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120" windowWidth="29400" windowHeight="15700" tabRatio="600" firstSheet="22" autoFilterDateGrouping="1"/>
  </bookViews>
  <sheets>
    <sheet xmlns:r="http://schemas.openxmlformats.org/officeDocument/2006/relationships" name="Raw Data (KG)" sheetId="1" state="visible" r:id="rId1"/>
    <sheet xmlns:r="http://schemas.openxmlformats.org/officeDocument/2006/relationships" name="Raw Food Data (KG)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2">
    <numFmt numFmtId="164" formatCode="0.0"/>
    <numFmt numFmtId="165" formatCode="[$-409]mmm\-yy;@"/>
    <numFmt numFmtId="166" formatCode="#,##0.0"/>
    <numFmt numFmtId="167" formatCode="0.0%"/>
    <numFmt numFmtId="168" formatCode="#,##0.000"/>
    <numFmt numFmtId="169" formatCode="0.000"/>
    <numFmt numFmtId="170" formatCode="#,##0.0000"/>
    <numFmt numFmtId="171" formatCode="dd/mm/yyyy;@"/>
    <numFmt numFmtId="172" formatCode="_(* #,##0_);_(* \(#,##0\);_(* &quot;-&quot;??_);_(@_)"/>
    <numFmt numFmtId="173" formatCode="yyyy\-mm\-dd"/>
    <numFmt numFmtId="174" formatCode="0.0000"/>
    <numFmt numFmtId="175" formatCode="_-* #,##0_-;\-* #,##0_-;_-* &quot;-&quot;??_-;_-@_-"/>
  </numFmts>
  <fonts count="48">
    <font>
      <name val="Calibri"/>
      <charset val="136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charset val="136"/>
      <family val="2"/>
      <color theme="1"/>
      <sz val="11"/>
      <scheme val="minor"/>
    </font>
    <font>
      <name val="Calibri"/>
      <charset val="136"/>
      <family val="2"/>
      <color theme="1"/>
      <sz val="12"/>
      <scheme val="minor"/>
    </font>
    <font>
      <name val="Arial"/>
      <family val="2"/>
      <color theme="1"/>
      <sz val="12"/>
    </font>
    <font>
      <name val="Arial"/>
      <family val="2"/>
      <b val="1"/>
      <sz val="12"/>
    </font>
    <font>
      <name val="Arial"/>
      <family val="2"/>
      <color rgb="FFFF0000"/>
      <sz val="12"/>
    </font>
    <font>
      <name val="Arial"/>
      <family val="2"/>
      <sz val="12"/>
    </font>
    <font>
      <name val="Arial"/>
      <family val="2"/>
      <b val="1"/>
      <color theme="1"/>
      <sz val="12"/>
    </font>
    <font>
      <name val="Calibri"/>
      <charset val="136"/>
      <family val="2"/>
      <sz val="8"/>
      <scheme val="minor"/>
    </font>
    <font>
      <name val="Calibri"/>
      <family val="2"/>
      <color rgb="FFFF0000"/>
      <sz val="12"/>
      <scheme val="minor"/>
    </font>
    <font>
      <name val="Arial"/>
      <family val="2"/>
      <b val="1"/>
      <color theme="1"/>
      <sz val="11"/>
    </font>
    <font>
      <name val="Calibri"/>
      <charset val="136"/>
      <family val="1"/>
      <color theme="1"/>
      <sz val="11"/>
      <scheme val="minor"/>
    </font>
    <font>
      <name val="Arial"/>
      <family val="2"/>
      <color theme="1"/>
      <sz val="11"/>
    </font>
    <font>
      <name val="Calibri"/>
      <charset val="136"/>
      <family val="2"/>
      <color theme="10"/>
      <sz val="11"/>
      <u val="single"/>
      <scheme val="minor"/>
    </font>
    <font>
      <name val="Arial"/>
      <family val="2"/>
      <color rgb="FF000000"/>
      <sz val="12"/>
    </font>
    <font>
      <name val="Arial"/>
      <family val="2"/>
      <b val="1"/>
      <color rgb="FF000000"/>
      <sz val="12"/>
    </font>
    <font>
      <name val="Arial"/>
      <family val="2"/>
      <color theme="10"/>
      <sz val="12"/>
      <u val="single"/>
    </font>
    <font>
      <name val="Calibri"/>
      <family val="2"/>
      <b val="1"/>
      <color theme="3"/>
      <sz val="13"/>
      <scheme val="minor"/>
    </font>
    <font>
      <name val="Arial"/>
      <family val="2"/>
      <b val="1"/>
      <color theme="1"/>
      <sz val="12"/>
      <u val="single"/>
    </font>
    <font>
      <name val="Times New Roman"/>
      <family val="1"/>
      <sz val="8.5"/>
    </font>
    <font>
      <name val="Arial"/>
      <family val="2"/>
      <b val="1"/>
      <color theme="1"/>
      <sz val="14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Arial"/>
      <family val="2"/>
      <color rgb="FF231F20"/>
      <sz val="12"/>
    </font>
    <font>
      <name val="Arial"/>
      <family val="2"/>
      <b val="1"/>
      <color theme="0"/>
      <sz val="12"/>
    </font>
    <font>
      <name val="Calibri"/>
      <family val="2"/>
      <color theme="1"/>
      <sz val="11"/>
      <scheme val="minor"/>
    </font>
    <font>
      <name val="Times New Roman"/>
      <family val="1"/>
      <color rgb="FF000000"/>
      <sz val="10"/>
    </font>
    <font>
      <name val="Helvetica Neue"/>
      <family val="2"/>
      <color theme="1"/>
      <sz val="12"/>
    </font>
    <font>
      <name val="Helvetica Neue"/>
      <family val="2"/>
      <color rgb="FF666666"/>
      <sz val="12"/>
    </font>
    <font>
      <name val="Helvetica Neue"/>
      <family val="2"/>
      <b val="1"/>
      <color rgb="FF666666"/>
      <sz val="12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</font>
    <font>
      <name val="Arial"/>
      <family val="2"/>
      <b val="1"/>
      <color theme="1"/>
      <sz val="15"/>
    </font>
    <font>
      <name val="Arial"/>
      <family val="2"/>
      <color theme="1"/>
      <sz val="15"/>
    </font>
    <font>
      <name val="Arial"/>
      <family val="2"/>
      <sz val="15"/>
    </font>
    <font>
      <name val="Calibri"/>
      <family val="2"/>
      <color rgb="FF212121"/>
      <sz val="12"/>
    </font>
    <font>
      <name val="PMingLiU"/>
      <charset val="136"/>
      <family val="1"/>
      <color rgb="FF212121"/>
      <sz val="12"/>
    </font>
    <font>
      <name val="Calibri"/>
      <family val="2"/>
      <b val="1"/>
      <color rgb="FF000000"/>
      <sz val="20"/>
    </font>
    <font>
      <name val="Calibri"/>
      <family val="2"/>
      <color rgb="FFFF0000"/>
      <sz val="20"/>
    </font>
    <font>
      <name val="Calibri"/>
      <family val="2"/>
      <b val="1"/>
      <sz val="11"/>
    </font>
    <font>
      <name val="Calibri"/>
      <family val="2"/>
      <b val="1"/>
      <color rgb="FF212121"/>
      <sz val="12"/>
    </font>
    <font>
      <name val="Calibri"/>
      <family val="2"/>
      <color rgb="FF9C0006"/>
      <sz val="12"/>
      <scheme val="minor"/>
    </font>
    <font>
      <name val="Calibri"/>
      <family val="2"/>
      <color rgb="FF9C0006"/>
      <sz val="30"/>
      <scheme val="minor"/>
    </font>
    <font>
      <name val="Tahoma"/>
      <family val="2"/>
      <color rgb="FF000000"/>
      <sz val="11"/>
    </font>
  </fonts>
  <fills count="36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B8E68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C7CE"/>
      </patternFill>
    </fill>
    <fill>
      <patternFill patternType="solid">
        <fgColor rgb="FF956D92"/>
        <bgColor indexed="64"/>
      </patternFill>
    </fill>
    <fill>
      <patternFill patternType="solid">
        <fgColor rgb="FF00B0F0"/>
        <bgColor rgb="FF000000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305496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8">
    <xf numFmtId="0" fontId="2" fillId="0" borderId="0"/>
    <xf numFmtId="43" fontId="2" fillId="0" borderId="0"/>
    <xf numFmtId="9" fontId="2" fillId="0" borderId="0"/>
    <xf numFmtId="0" fontId="2" fillId="0" borderId="0" applyAlignment="1">
      <alignment vertical="center"/>
    </xf>
    <xf numFmtId="0" fontId="12" fillId="0" borderId="0" applyAlignment="1">
      <alignment vertical="center"/>
    </xf>
    <xf numFmtId="0" fontId="14" fillId="0" borderId="0"/>
    <xf numFmtId="0" fontId="29" fillId="0" borderId="0"/>
    <xf numFmtId="0" fontId="45" fillId="33" borderId="0"/>
  </cellStyleXfs>
  <cellXfs count="719">
    <xf numFmtId="0" fontId="0" fillId="0" borderId="0" pivotButton="0" quotePrefix="0" xfId="0"/>
    <xf numFmtId="0" fontId="4" fillId="0" borderId="0" pivotButton="0" quotePrefix="0" xfId="0"/>
    <xf numFmtId="164" fontId="5" fillId="2" borderId="1" applyAlignment="1" pivotButton="0" quotePrefix="0" xfId="0">
      <alignment horizontal="right" vertical="center" wrapText="1"/>
    </xf>
    <xf numFmtId="164" fontId="4" fillId="0" borderId="0" applyAlignment="1" pivotButton="0" quotePrefix="0" xfId="0">
      <alignment vertical="center" wrapText="1"/>
    </xf>
    <xf numFmtId="165" fontId="5" fillId="2" borderId="1" applyAlignment="1" pivotButton="0" quotePrefix="0" xfId="0">
      <alignment horizontal="right" vertical="center"/>
    </xf>
    <xf numFmtId="164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165" fontId="5" fillId="2" borderId="5" applyAlignment="1" pivotButton="0" quotePrefix="0" xfId="0">
      <alignment horizontal="right" vertical="center" wrapText="1"/>
    </xf>
    <xf numFmtId="165" fontId="5" fillId="2" borderId="1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pivotButton="0" quotePrefix="0" xfId="0"/>
    <xf numFmtId="3" fontId="4" fillId="0" borderId="0" pivotButton="0" quotePrefix="0" xfId="0"/>
    <xf numFmtId="4" fontId="4" fillId="0" borderId="0" pivotButton="0" quotePrefix="0" xfId="0"/>
    <xf numFmtId="166" fontId="4" fillId="0" borderId="0" pivotButton="0" quotePrefix="0" xfId="0"/>
    <xf numFmtId="0" fontId="8" fillId="5" borderId="1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11" fillId="5" borderId="1" applyAlignment="1" pivotButton="0" quotePrefix="0" xfId="0">
      <alignment vertical="center"/>
    </xf>
    <xf numFmtId="0" fontId="11" fillId="5" borderId="3" applyAlignment="1" pivotButton="0" quotePrefix="0" xfId="0">
      <alignment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5" borderId="1" applyAlignment="1" pivotButton="0" quotePrefix="0" xfId="0">
      <alignment vertical="center" wrapText="1"/>
    </xf>
    <xf numFmtId="0" fontId="11" fillId="5" borderId="3" applyAlignment="1" pivotButton="0" quotePrefix="0" xfId="0">
      <alignment vertical="center" wrapText="1"/>
    </xf>
    <xf numFmtId="0" fontId="11" fillId="0" borderId="0" applyAlignment="1" applyProtection="1" pivotButton="0" quotePrefix="0" xfId="0">
      <alignment vertical="center" wrapText="1"/>
      <protection locked="0" hidden="0"/>
    </xf>
    <xf numFmtId="17" fontId="11" fillId="5" borderId="1" applyAlignment="1" pivotButton="0" quotePrefix="0" xfId="0">
      <alignment vertical="center"/>
    </xf>
    <xf numFmtId="3" fontId="13" fillId="0" borderId="8" applyAlignment="1" pivotButton="0" quotePrefix="0" xfId="4">
      <alignment vertical="center"/>
    </xf>
    <xf numFmtId="3" fontId="11" fillId="0" borderId="8" applyAlignment="1" pivotButton="0" quotePrefix="0" xfId="4">
      <alignment vertical="center"/>
    </xf>
    <xf numFmtId="0" fontId="13" fillId="0" borderId="8" applyAlignment="1" pivotButton="0" quotePrefix="0" xfId="0">
      <alignment vertical="center"/>
    </xf>
    <xf numFmtId="0" fontId="11" fillId="0" borderId="8" applyAlignment="1" pivotButton="0" quotePrefix="0" xfId="0">
      <alignment vertical="center"/>
    </xf>
    <xf numFmtId="3" fontId="13" fillId="5" borderId="8" applyAlignment="1" pivotButton="0" quotePrefix="0" xfId="0">
      <alignment vertical="center"/>
    </xf>
    <xf numFmtId="0" fontId="13" fillId="0" borderId="0" applyAlignment="1" applyProtection="1" pivotButton="0" quotePrefix="0" xfId="0">
      <alignment vertical="center"/>
      <protection locked="0" hidden="0"/>
    </xf>
    <xf numFmtId="3" fontId="11" fillId="0" borderId="8" applyAlignment="1" pivotButton="0" quotePrefix="0" xfId="0">
      <alignment vertical="center"/>
    </xf>
    <xf numFmtId="3" fontId="13" fillId="5" borderId="8" applyAlignment="1" pivotButton="0" quotePrefix="0" xfId="4">
      <alignment vertical="center"/>
    </xf>
    <xf numFmtId="0" fontId="13" fillId="5" borderId="8" applyAlignment="1" applyProtection="1" pivotButton="0" quotePrefix="0" xfId="0">
      <alignment vertical="center"/>
      <protection locked="0" hidden="0"/>
    </xf>
    <xf numFmtId="3" fontId="13" fillId="5" borderId="8" applyAlignment="1" applyProtection="1" pivotButton="0" quotePrefix="0" xfId="4">
      <alignment vertical="center"/>
      <protection locked="0" hidden="0"/>
    </xf>
    <xf numFmtId="3" fontId="11" fillId="5" borderId="8" applyAlignment="1" applyProtection="1" pivotButton="0" quotePrefix="0" xfId="4">
      <alignment vertical="center"/>
      <protection locked="0" hidden="0"/>
    </xf>
    <xf numFmtId="3" fontId="11" fillId="5" borderId="8" applyAlignment="1" applyProtection="1" pivotButton="0" quotePrefix="0" xfId="0">
      <alignment vertical="center"/>
      <protection locked="0" hidden="0"/>
    </xf>
    <xf numFmtId="3" fontId="13" fillId="5" borderId="8" applyAlignment="1" applyProtection="1" pivotButton="0" quotePrefix="0" xfId="0">
      <alignment vertical="center"/>
      <protection locked="0" hidden="0"/>
    </xf>
    <xf numFmtId="0" fontId="13" fillId="0" borderId="8" applyAlignment="1" applyProtection="1" pivotButton="0" quotePrefix="0" xfId="0">
      <alignment vertical="center"/>
      <protection locked="0" hidden="0"/>
    </xf>
    <xf numFmtId="3" fontId="13" fillId="0" borderId="8" applyAlignment="1" applyProtection="1" pivotButton="0" quotePrefix="0" xfId="4">
      <alignment vertical="center"/>
      <protection locked="0" hidden="0"/>
    </xf>
    <xf numFmtId="3" fontId="11" fillId="0" borderId="8" applyAlignment="1" applyProtection="1" pivotButton="0" quotePrefix="0" xfId="4">
      <alignment vertical="center"/>
      <protection locked="0" hidden="0"/>
    </xf>
    <xf numFmtId="3" fontId="11" fillId="0" borderId="8" applyAlignment="1" applyProtection="1" pivotButton="0" quotePrefix="0" xfId="0">
      <alignment vertical="center"/>
      <protection locked="0" hidden="0"/>
    </xf>
    <xf numFmtId="17" fontId="11" fillId="5" borderId="1" applyAlignment="1" applyProtection="1" pivotButton="0" quotePrefix="0" xfId="0">
      <alignment vertical="center"/>
      <protection locked="0" hidden="0"/>
    </xf>
    <xf numFmtId="3" fontId="13" fillId="0" borderId="8" applyAlignment="1" applyProtection="1" pivotButton="0" quotePrefix="0" xfId="0">
      <alignment vertical="center"/>
      <protection locked="0" hidden="0"/>
    </xf>
    <xf numFmtId="0" fontId="11" fillId="0" borderId="8" applyAlignment="1" applyProtection="1" pivotButton="0" quotePrefix="0" xfId="0">
      <alignment vertical="center"/>
      <protection locked="0" hidden="0"/>
    </xf>
    <xf numFmtId="3" fontId="13" fillId="0" borderId="0" applyAlignment="1" applyProtection="1" pivotButton="0" quotePrefix="0" xfId="0">
      <alignment vertical="center"/>
      <protection locked="0" hidden="0"/>
    </xf>
    <xf numFmtId="0" fontId="13" fillId="0" borderId="8" applyAlignment="1" applyProtection="1" pivotButton="0" quotePrefix="0" xfId="0">
      <alignment horizontal="right" vertical="center"/>
      <protection locked="0" hidden="0"/>
    </xf>
    <xf numFmtId="1" fontId="13" fillId="0" borderId="8" applyAlignment="1" applyProtection="1" pivotButton="0" quotePrefix="0" xfId="0">
      <alignment vertical="center"/>
      <protection locked="0" hidden="0"/>
    </xf>
    <xf numFmtId="1" fontId="11" fillId="0" borderId="8" applyAlignment="1" applyProtection="1" pivotButton="0" quotePrefix="0" xfId="0">
      <alignment vertical="center"/>
      <protection locked="0" hidden="0"/>
    </xf>
    <xf numFmtId="0" fontId="13" fillId="5" borderId="1" applyAlignment="1" applyProtection="1" pivotButton="0" quotePrefix="0" xfId="0">
      <alignment vertical="center"/>
      <protection locked="0" hidden="0"/>
    </xf>
    <xf numFmtId="0" fontId="8" fillId="5" borderId="0" applyAlignment="1" pivotButton="0" quotePrefix="0" xfId="0">
      <alignment vertical="center"/>
    </xf>
    <xf numFmtId="0" fontId="8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3" fontId="4" fillId="0" borderId="0" applyAlignment="1" pivotButton="0" quotePrefix="0" xfId="0">
      <alignment vertical="center" wrapText="1"/>
    </xf>
    <xf numFmtId="167" fontId="4" fillId="0" borderId="0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right" vertical="center" wrapText="1"/>
    </xf>
    <xf numFmtId="0" fontId="4" fillId="2" borderId="0" applyAlignment="1" pivotButton="0" quotePrefix="0" xfId="0">
      <alignment vertical="center"/>
    </xf>
    <xf numFmtId="4" fontId="4" fillId="0" borderId="0" applyAlignment="1" pivotButton="0" quotePrefix="0" xfId="0">
      <alignment vertical="center"/>
    </xf>
    <xf numFmtId="4" fontId="4" fillId="4" borderId="0" applyAlignment="1" pivotButton="0" quotePrefix="0" xfId="0">
      <alignment vertical="center"/>
    </xf>
    <xf numFmtId="165" fontId="8" fillId="2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168" fontId="8" fillId="2" borderId="0" applyAlignment="1" pivotButton="0" quotePrefix="0" xfId="0">
      <alignment horizontal="center" vertical="center" wrapText="1"/>
    </xf>
    <xf numFmtId="4" fontId="8" fillId="2" borderId="0" applyAlignment="1" pivotButton="0" quotePrefix="0" xfId="0">
      <alignment horizontal="center" vertical="center" wrapText="1"/>
    </xf>
    <xf numFmtId="165" fontId="8" fillId="2" borderId="0" applyAlignment="1" pivotButton="0" quotePrefix="0" xfId="3">
      <alignment horizontal="left" vertical="center" wrapText="1"/>
    </xf>
    <xf numFmtId="165" fontId="8" fillId="2" borderId="0" applyAlignment="1" pivotButton="0" quotePrefix="0" xfId="0">
      <alignment horizontal="left" vertical="center"/>
    </xf>
    <xf numFmtId="3" fontId="4" fillId="6" borderId="0" pivotButton="0" quotePrefix="0" xfId="0"/>
    <xf numFmtId="4" fontId="4" fillId="6" borderId="0" applyAlignment="1" pivotButton="0" quotePrefix="0" xfId="0">
      <alignment horizontal="right" vertical="center" wrapText="1"/>
    </xf>
    <xf numFmtId="4" fontId="4" fillId="6" borderId="0" pivotButton="0" quotePrefix="0" xfId="0"/>
    <xf numFmtId="0" fontId="4" fillId="6" borderId="0" applyAlignment="1" pivotButton="0" quotePrefix="0" xfId="0">
      <alignment vertical="center"/>
    </xf>
    <xf numFmtId="4" fontId="4" fillId="6" borderId="0" applyAlignment="1" pivotButton="0" quotePrefix="0" xfId="0">
      <alignment vertical="center"/>
    </xf>
    <xf numFmtId="3" fontId="4" fillId="6" borderId="0" applyAlignment="1" pivotButton="0" quotePrefix="0" xfId="0">
      <alignment vertical="center"/>
    </xf>
    <xf numFmtId="166" fontId="4" fillId="6" borderId="0" applyAlignment="1" pivotButton="0" quotePrefix="0" xfId="0">
      <alignment vertical="center"/>
    </xf>
    <xf numFmtId="3" fontId="4" fillId="6" borderId="0" applyAlignment="1" pivotButton="0" quotePrefix="0" xfId="2">
      <alignment vertical="center"/>
    </xf>
    <xf numFmtId="0" fontId="15" fillId="0" borderId="0" applyAlignment="1" pivotButton="0" quotePrefix="0" xfId="0">
      <alignment vertical="center"/>
    </xf>
    <xf numFmtId="3" fontId="15" fillId="0" borderId="9" applyAlignment="1" pivotButton="0" quotePrefix="0" xfId="0">
      <alignment vertical="center"/>
    </xf>
    <xf numFmtId="3" fontId="15" fillId="0" borderId="0" applyAlignment="1" pivotButton="0" quotePrefix="0" xfId="0">
      <alignment vertical="center"/>
    </xf>
    <xf numFmtId="3" fontId="6" fillId="0" borderId="0" applyAlignment="1" pivotButton="0" quotePrefix="0" xfId="0">
      <alignment vertical="center"/>
    </xf>
    <xf numFmtId="3" fontId="7" fillId="0" borderId="0" applyAlignment="1" pivotButton="0" quotePrefix="0" xfId="0">
      <alignment vertical="center"/>
    </xf>
    <xf numFmtId="3" fontId="5" fillId="0" borderId="0" applyAlignment="1" pivotButton="0" quotePrefix="0" xfId="0">
      <alignment vertical="center"/>
    </xf>
    <xf numFmtId="3" fontId="16" fillId="0" borderId="0" applyAlignment="1" pivotButton="0" quotePrefix="0" xfId="0">
      <alignment vertical="center"/>
    </xf>
    <xf numFmtId="0" fontId="17" fillId="0" borderId="0" applyAlignment="1" pivotButton="0" quotePrefix="0" xfId="5">
      <alignment vertical="center"/>
    </xf>
    <xf numFmtId="0" fontId="16" fillId="2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16" fillId="2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69" fontId="4" fillId="0" borderId="0" applyAlignment="1" pivotButton="0" quotePrefix="0" xfId="0">
      <alignment vertical="center"/>
    </xf>
    <xf numFmtId="165" fontId="16" fillId="2" borderId="1" applyAlignment="1" pivotButton="0" quotePrefix="0" xfId="0">
      <alignment horizontal="center" vertical="center" wrapText="1"/>
    </xf>
    <xf numFmtId="165" fontId="8" fillId="2" borderId="1" applyAlignment="1" pivotButton="0" quotePrefix="0" xfId="0">
      <alignment vertical="center"/>
    </xf>
    <xf numFmtId="165" fontId="8" fillId="2" borderId="5" applyAlignment="1" pivotButton="0" quotePrefix="0" xfId="0">
      <alignment vertical="center"/>
    </xf>
    <xf numFmtId="0" fontId="16" fillId="2" borderId="1" applyAlignment="1" pivotButton="0" quotePrefix="0" xfId="0">
      <alignment horizontal="center" vertical="center" wrapText="1"/>
    </xf>
    <xf numFmtId="169" fontId="16" fillId="2" borderId="1" applyAlignment="1" pivotButton="0" quotePrefix="0" xfId="0">
      <alignment horizontal="center" vertical="center" wrapText="1"/>
    </xf>
    <xf numFmtId="0" fontId="8" fillId="2" borderId="0" pivotButton="0" quotePrefix="0" xfId="0"/>
    <xf numFmtId="170" fontId="4" fillId="0" borderId="0" applyAlignment="1" pivotButton="0" quotePrefix="0" xfId="0">
      <alignment vertical="center"/>
    </xf>
    <xf numFmtId="4" fontId="15" fillId="0" borderId="0" applyAlignment="1" pivotButton="0" quotePrefix="0" xfId="0">
      <alignment vertical="center"/>
    </xf>
    <xf numFmtId="3" fontId="15" fillId="7" borderId="9" applyAlignment="1" pivotButton="0" quotePrefix="0" xfId="0">
      <alignment vertical="center"/>
    </xf>
    <xf numFmtId="0" fontId="15" fillId="4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17" fontId="8" fillId="2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4" fillId="4" borderId="11" applyAlignment="1" pivotButton="0" quotePrefix="0" xfId="0">
      <alignment vertical="center"/>
    </xf>
    <xf numFmtId="9" fontId="4" fillId="0" borderId="0" applyAlignment="1" pivotButton="0" quotePrefix="0" xfId="2">
      <alignment vertical="center"/>
    </xf>
    <xf numFmtId="0" fontId="4" fillId="0" borderId="4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4" fillId="4" borderId="2" applyAlignment="1" pivotButton="0" quotePrefix="0" xfId="0">
      <alignment vertical="center"/>
    </xf>
    <xf numFmtId="169" fontId="4" fillId="4" borderId="1" applyAlignment="1" pivotButton="0" quotePrefix="0" xfId="0">
      <alignment vertical="center"/>
    </xf>
    <xf numFmtId="0" fontId="4" fillId="4" borderId="8" applyAlignment="1" pivotButton="0" quotePrefix="0" xfId="0">
      <alignment vertical="center"/>
    </xf>
    <xf numFmtId="0" fontId="4" fillId="10" borderId="0" applyAlignment="1" pivotButton="0" quotePrefix="0" xfId="0">
      <alignment horizontal="center" vertical="center" wrapText="1"/>
    </xf>
    <xf numFmtId="4" fontId="4" fillId="0" borderId="13" applyAlignment="1" pivotButton="0" quotePrefix="0" xfId="0">
      <alignment vertical="center"/>
    </xf>
    <xf numFmtId="0" fontId="8" fillId="9" borderId="1" applyAlignment="1" pivotButton="0" quotePrefix="0" xfId="0">
      <alignment horizontal="right" vertical="center" wrapText="1"/>
    </xf>
    <xf numFmtId="0" fontId="8" fillId="2" borderId="1" applyAlignment="1" pivotButton="0" quotePrefix="0" xfId="0">
      <alignment horizontal="right" vertical="center" wrapText="1"/>
    </xf>
    <xf numFmtId="0" fontId="8" fillId="2" borderId="1" applyAlignment="1" pivotButton="0" quotePrefix="0" xfId="0">
      <alignment horizontal="right"/>
    </xf>
    <xf numFmtId="0" fontId="15" fillId="0" borderId="0" applyAlignment="1" pivotButton="0" quotePrefix="0" xfId="0">
      <alignment horizontal="center" vertical="center" wrapText="1"/>
    </xf>
    <xf numFmtId="168" fontId="15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right" vertical="center" wrapText="1"/>
    </xf>
    <xf numFmtId="166" fontId="7" fillId="0" borderId="0" applyAlignment="1" pivotButton="0" quotePrefix="0" xfId="0">
      <alignment horizontal="right" vertical="center" wrapText="1"/>
    </xf>
    <xf numFmtId="166" fontId="15" fillId="0" borderId="0" applyAlignment="1" pivotButton="0" quotePrefix="0" xfId="0">
      <alignment horizontal="right" vertical="center"/>
    </xf>
    <xf numFmtId="166" fontId="15" fillId="0" borderId="0" applyAlignment="1" pivotButton="0" quotePrefix="0" xfId="0">
      <alignment vertical="center"/>
    </xf>
    <xf numFmtId="10" fontId="16" fillId="0" borderId="0" applyAlignment="1" pivotButton="0" quotePrefix="0" xfId="0">
      <alignment vertical="center"/>
    </xf>
    <xf numFmtId="3" fontId="13" fillId="0" borderId="0" applyAlignment="1" pivotButton="0" quotePrefix="0" xfId="0">
      <alignment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right" vertical="center" wrapText="1"/>
    </xf>
    <xf numFmtId="0" fontId="8" fillId="2" borderId="0" applyAlignment="1" pivotButton="0" quotePrefix="0" xfId="0">
      <alignment horizontal="right"/>
    </xf>
    <xf numFmtId="0" fontId="4" fillId="9" borderId="0" pivotButton="0" quotePrefix="0" xfId="0"/>
    <xf numFmtId="17" fontId="13" fillId="0" borderId="0" applyAlignment="1" pivotButton="0" quotePrefix="0" xfId="0">
      <alignment vertical="center"/>
    </xf>
    <xf numFmtId="17" fontId="4" fillId="0" borderId="0" pivotButton="0" quotePrefix="0" xfId="0"/>
    <xf numFmtId="17" fontId="4" fillId="0" borderId="0" applyAlignment="1" pivotButton="0" quotePrefix="0" xfId="0">
      <alignment vertical="center"/>
    </xf>
    <xf numFmtId="168" fontId="4" fillId="0" borderId="0" applyAlignment="1" pivotButton="0" quotePrefix="0" xfId="0">
      <alignment vertical="center"/>
    </xf>
    <xf numFmtId="10" fontId="4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vertical="center"/>
    </xf>
    <xf numFmtId="0" fontId="16" fillId="9" borderId="0" applyAlignment="1" pivotButton="0" quotePrefix="0" xfId="0">
      <alignment horizontal="center" vertical="center" wrapText="1"/>
    </xf>
    <xf numFmtId="0" fontId="15" fillId="9" borderId="0" applyAlignment="1" pivotButton="0" quotePrefix="0" xfId="0">
      <alignment horizontal="center" vertical="center" wrapText="1"/>
    </xf>
    <xf numFmtId="166" fontId="4" fillId="9" borderId="0" applyAlignment="1" pivotButton="0" quotePrefix="0" xfId="0">
      <alignment vertical="center"/>
    </xf>
    <xf numFmtId="4" fontId="4" fillId="9" borderId="0" applyAlignment="1" pivotButton="0" quotePrefix="0" xfId="0">
      <alignment vertical="center"/>
    </xf>
    <xf numFmtId="10" fontId="4" fillId="9" borderId="0" applyAlignment="1" pivotButton="0" quotePrefix="0" xfId="0">
      <alignment vertical="center"/>
    </xf>
    <xf numFmtId="0" fontId="16" fillId="9" borderId="0" applyAlignment="1" pivotButton="0" quotePrefix="0" xfId="0">
      <alignment vertical="center" wrapText="1"/>
    </xf>
    <xf numFmtId="3" fontId="4" fillId="9" borderId="0" applyAlignment="1" pivotButton="0" quotePrefix="0" xfId="0">
      <alignment vertical="center"/>
    </xf>
    <xf numFmtId="4" fontId="4" fillId="0" borderId="0" applyAlignment="1" pivotButton="0" quotePrefix="0" xfId="0">
      <alignment horizontal="center" vertical="center" wrapText="1"/>
    </xf>
    <xf numFmtId="1" fontId="4" fillId="0" borderId="0" applyAlignment="1" pivotButton="0" quotePrefix="0" xfId="0">
      <alignment vertical="center"/>
    </xf>
    <xf numFmtId="0" fontId="8" fillId="2" borderId="0" applyAlignment="1" pivotButton="0" quotePrefix="0" xfId="0">
      <alignment vertical="center" wrapText="1"/>
    </xf>
    <xf numFmtId="10" fontId="4" fillId="0" borderId="0" pivotButton="0" quotePrefix="0" xfId="0"/>
    <xf numFmtId="170" fontId="4" fillId="0" borderId="0" pivotButton="0" quotePrefix="0" xfId="0"/>
    <xf numFmtId="168" fontId="4" fillId="0" borderId="0" pivotButton="0" quotePrefix="0" xfId="0"/>
    <xf numFmtId="17" fontId="8" fillId="2" borderId="0" pivotButton="0" quotePrefix="0" xfId="0"/>
    <xf numFmtId="0" fontId="4" fillId="9" borderId="0" applyAlignment="1" pivotButton="0" quotePrefix="0" xfId="0">
      <alignment horizontal="center" vertical="center"/>
    </xf>
    <xf numFmtId="3" fontId="4" fillId="9" borderId="0" pivotButton="0" quotePrefix="0" xfId="0"/>
    <xf numFmtId="171" fontId="8" fillId="2" borderId="0" pivotButton="0" quotePrefix="0" xfId="0"/>
    <xf numFmtId="0" fontId="6" fillId="20" borderId="1" applyAlignment="1" pivotButton="0" quotePrefix="0" xfId="0">
      <alignment horizontal="right" vertical="center" wrapText="1"/>
    </xf>
    <xf numFmtId="0" fontId="7" fillId="21" borderId="1" applyAlignment="1" pivotButton="0" quotePrefix="0" xfId="0">
      <alignment horizontal="right" vertical="center" wrapText="1"/>
    </xf>
    <xf numFmtId="3" fontId="26" fillId="0" borderId="21" applyAlignment="1" pivotButton="0" quotePrefix="0" xfId="0">
      <alignment horizontal="center" vertical="top" shrinkToFit="1"/>
    </xf>
    <xf numFmtId="9" fontId="4" fillId="0" borderId="0" pivotButton="0" quotePrefix="0" xfId="2"/>
    <xf numFmtId="10" fontId="4" fillId="0" borderId="0" pivotButton="0" quotePrefix="0" xfId="2"/>
    <xf numFmtId="3" fontId="8" fillId="0" borderId="0" applyAlignment="1" pivotButton="0" quotePrefix="0" xfId="0">
      <alignment vertical="center"/>
    </xf>
    <xf numFmtId="3" fontId="16" fillId="0" borderId="9" applyAlignment="1" pivotButton="0" quotePrefix="0" xfId="0">
      <alignment vertical="center"/>
    </xf>
    <xf numFmtId="3" fontId="16" fillId="0" borderId="0" applyAlignment="1" pivotButton="0" quotePrefix="0" xfId="0">
      <alignment vertical="center" wrapText="1"/>
    </xf>
    <xf numFmtId="0" fontId="17" fillId="0" borderId="0" pivotButton="0" quotePrefix="0" xfId="5"/>
    <xf numFmtId="0" fontId="8" fillId="14" borderId="1" applyAlignment="1" pivotButton="0" quotePrefix="0" xfId="3">
      <alignment horizontal="center" vertical="center" wrapText="1"/>
    </xf>
    <xf numFmtId="0" fontId="8" fillId="14" borderId="15" applyAlignment="1" pivotButton="0" quotePrefix="0" xfId="3">
      <alignment horizontal="center" vertical="center" wrapText="1"/>
    </xf>
    <xf numFmtId="0" fontId="5" fillId="14" borderId="15" applyAlignment="1" pivotButton="0" quotePrefix="0" xfId="3">
      <alignment horizontal="center" vertical="center" wrapText="1"/>
    </xf>
    <xf numFmtId="0" fontId="8" fillId="8" borderId="15" applyAlignment="1" pivotButton="0" quotePrefix="0" xfId="3">
      <alignment horizontal="center" vertical="center" wrapText="1"/>
    </xf>
    <xf numFmtId="0" fontId="5" fillId="8" borderId="15" applyAlignment="1" pivotButton="0" quotePrefix="0" xfId="3">
      <alignment horizontal="center" vertical="center" wrapText="1"/>
    </xf>
    <xf numFmtId="0" fontId="8" fillId="15" borderId="15" applyAlignment="1" pivotButton="0" quotePrefix="0" xfId="3">
      <alignment horizontal="center" vertical="center" wrapText="1"/>
    </xf>
    <xf numFmtId="0" fontId="8" fillId="16" borderId="15" applyAlignment="1" pivotButton="0" quotePrefix="0" xfId="3">
      <alignment horizontal="center" vertical="center" wrapText="1"/>
    </xf>
    <xf numFmtId="0" fontId="27" fillId="17" borderId="16" applyAlignment="1" pivotButton="0" quotePrefix="0" xfId="3">
      <alignment horizontal="center" vertical="center" wrapText="1"/>
    </xf>
    <xf numFmtId="0" fontId="4" fillId="9" borderId="0" applyAlignment="1" pivotButton="0" quotePrefix="0" xfId="0">
      <alignment vertical="center" wrapText="1"/>
    </xf>
    <xf numFmtId="3" fontId="4" fillId="19" borderId="0" applyAlignment="1" pivotButton="0" quotePrefix="0" xfId="0">
      <alignment vertical="center" wrapText="1"/>
    </xf>
    <xf numFmtId="17" fontId="8" fillId="0" borderId="0" applyAlignment="1" pivotButton="0" quotePrefix="0" xfId="0">
      <alignment vertical="center" wrapText="1"/>
    </xf>
    <xf numFmtId="3" fontId="15" fillId="0" borderId="0" applyAlignment="1" pivotButton="0" quotePrefix="0" xfId="0">
      <alignment vertical="center" shrinkToFit="1"/>
    </xf>
    <xf numFmtId="0" fontId="8" fillId="11" borderId="0" applyAlignment="1" pivotButton="0" quotePrefix="0" xfId="0">
      <alignment horizontal="left" vertical="center" wrapText="1"/>
    </xf>
    <xf numFmtId="167" fontId="4" fillId="0" borderId="0" pivotButton="0" quotePrefix="0" xfId="2"/>
    <xf numFmtId="0" fontId="8" fillId="0" borderId="0" applyAlignment="1" pivotButton="0" quotePrefix="0" xfId="0">
      <alignment horizontal="center" vertical="center"/>
    </xf>
    <xf numFmtId="3" fontId="15" fillId="0" borderId="0" applyAlignment="1" pivotButton="0" quotePrefix="0" xfId="0">
      <alignment horizontal="right" vertical="center" wrapText="1"/>
    </xf>
    <xf numFmtId="3" fontId="4" fillId="0" borderId="0" applyAlignment="1" pivotButton="0" quotePrefix="0" xfId="0">
      <alignment horizontal="right" vertical="center"/>
    </xf>
    <xf numFmtId="10" fontId="7" fillId="0" borderId="0" applyAlignment="1" pivotButton="0" quotePrefix="0" xfId="0">
      <alignment horizontal="right" vertical="center" wrapText="1"/>
    </xf>
    <xf numFmtId="166" fontId="7" fillId="9" borderId="0" applyAlignment="1" pivotButton="0" quotePrefix="0" xfId="0">
      <alignment horizontal="right" vertical="center" wrapText="1"/>
    </xf>
    <xf numFmtId="0" fontId="16" fillId="9" borderId="0" applyAlignment="1" pivotButton="0" quotePrefix="0" xfId="0">
      <alignment vertical="center"/>
    </xf>
    <xf numFmtId="17" fontId="4" fillId="2" borderId="0" applyAlignment="1" pivotButton="0" quotePrefix="0" xfId="0">
      <alignment vertical="center"/>
    </xf>
    <xf numFmtId="17" fontId="4" fillId="24" borderId="0" applyAlignment="1" pivotButton="0" quotePrefix="0" xfId="0">
      <alignment vertical="center"/>
    </xf>
    <xf numFmtId="0" fontId="4" fillId="0" borderId="0" applyAlignment="1" pivotButton="0" quotePrefix="0" xfId="0">
      <alignment horizontal="right" vertical="center"/>
    </xf>
    <xf numFmtId="0" fontId="4" fillId="9" borderId="0" applyAlignment="1" pivotButton="0" quotePrefix="0" xfId="0">
      <alignment horizontal="center" vertical="center" wrapText="1"/>
    </xf>
    <xf numFmtId="164" fontId="5" fillId="2" borderId="0" applyAlignment="1" pivotButton="0" quotePrefix="0" xfId="0">
      <alignment horizontal="right" vertical="center" wrapText="1"/>
    </xf>
    <xf numFmtId="166" fontId="5" fillId="2" borderId="0" applyAlignment="1" pivotButton="0" quotePrefix="0" xfId="0">
      <alignment horizontal="right" vertical="center" wrapText="1"/>
    </xf>
    <xf numFmtId="166" fontId="5" fillId="0" borderId="0" applyAlignment="1" pivotButton="0" quotePrefix="0" xfId="0">
      <alignment horizontal="right" vertical="center" wrapText="1"/>
    </xf>
    <xf numFmtId="0" fontId="8" fillId="5" borderId="0" applyAlignment="1" pivotButton="0" quotePrefix="0" xfId="0">
      <alignment horizontal="center" vertical="center" wrapText="1"/>
    </xf>
    <xf numFmtId="168" fontId="8" fillId="5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vertical="center" wrapText="1"/>
    </xf>
    <xf numFmtId="10" fontId="4" fillId="19" borderId="0" applyAlignment="1" pivotButton="0" quotePrefix="0" xfId="0">
      <alignment vertical="center"/>
    </xf>
    <xf numFmtId="0" fontId="11" fillId="2" borderId="0" pivotButton="0" quotePrefix="0" xfId="0"/>
    <xf numFmtId="0" fontId="11" fillId="0" borderId="0" applyAlignment="1" pivotButton="0" quotePrefix="0" xfId="0">
      <alignment horizontal="center" vertical="center"/>
    </xf>
    <xf numFmtId="9" fontId="4" fillId="0" borderId="0" pivotButton="0" quotePrefix="0" xfId="0"/>
    <xf numFmtId="0" fontId="11" fillId="12" borderId="0" pivotButton="0" quotePrefix="0" xfId="0"/>
    <xf numFmtId="166" fontId="13" fillId="0" borderId="0" pivotButton="0" quotePrefix="0" xfId="0"/>
    <xf numFmtId="166" fontId="13" fillId="0" borderId="0" pivotButton="0" quotePrefix="0" xfId="1"/>
    <xf numFmtId="166" fontId="5" fillId="5" borderId="0" applyAlignment="1" pivotButton="0" quotePrefix="0" xfId="0">
      <alignment horizontal="right" vertical="center" wrapText="1"/>
    </xf>
    <xf numFmtId="167" fontId="4" fillId="0" borderId="0" applyAlignment="1" pivotButton="0" quotePrefix="0" xfId="2">
      <alignment vertical="center"/>
    </xf>
    <xf numFmtId="0" fontId="8" fillId="2" borderId="23" pivotButton="0" quotePrefix="0" xfId="0"/>
    <xf numFmtId="4" fontId="4" fillId="0" borderId="24" pivotButton="0" quotePrefix="0" xfId="0"/>
    <xf numFmtId="4" fontId="4" fillId="0" borderId="24" applyAlignment="1" pivotButton="0" quotePrefix="0" xfId="0">
      <alignment vertical="center"/>
    </xf>
    <xf numFmtId="0" fontId="8" fillId="2" borderId="26" pivotButton="0" quotePrefix="0" xfId="0"/>
    <xf numFmtId="0" fontId="8" fillId="2" borderId="28" pivotButton="0" quotePrefix="0" xfId="0"/>
    <xf numFmtId="4" fontId="4" fillId="0" borderId="29" pivotButton="0" quotePrefix="0" xfId="0"/>
    <xf numFmtId="4" fontId="4" fillId="0" borderId="29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3" fontId="13" fillId="0" borderId="0" pivotButton="0" quotePrefix="0" xfId="0"/>
    <xf numFmtId="3" fontId="13" fillId="8" borderId="0" pivotButton="0" quotePrefix="0" xfId="0"/>
    <xf numFmtId="3" fontId="13" fillId="0" borderId="0" pivotButton="0" quotePrefix="0" xfId="1"/>
    <xf numFmtId="9" fontId="4" fillId="0" borderId="0" applyAlignment="1" pivotButton="0" quotePrefix="0" xfId="0">
      <alignment vertical="center"/>
    </xf>
    <xf numFmtId="0" fontId="8" fillId="25" borderId="0" pivotButton="0" quotePrefix="0" xfId="0"/>
    <xf numFmtId="17" fontId="8" fillId="25" borderId="0" pivotButton="0" quotePrefix="0" xfId="0"/>
    <xf numFmtId="3" fontId="26" fillId="26" borderId="21" applyAlignment="1" pivotButton="0" quotePrefix="0" xfId="0">
      <alignment horizontal="center" vertical="top" shrinkToFit="1"/>
    </xf>
    <xf numFmtId="0" fontId="7" fillId="0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 wrapText="1"/>
    </xf>
    <xf numFmtId="3" fontId="26" fillId="0" borderId="0" applyAlignment="1" pivotButton="0" quotePrefix="0" xfId="0">
      <alignment horizontal="center" vertical="top" shrinkToFit="1"/>
    </xf>
    <xf numFmtId="3" fontId="15" fillId="0" borderId="12" applyAlignment="1" pivotButton="0" quotePrefix="0" xfId="0">
      <alignment horizontal="center" vertical="center" wrapText="1" shrinkToFit="1"/>
    </xf>
    <xf numFmtId="1" fontId="15" fillId="0" borderId="12" applyAlignment="1" pivotButton="0" quotePrefix="0" xfId="0">
      <alignment horizontal="center" vertical="center" wrapText="1" shrinkToFit="1"/>
    </xf>
    <xf numFmtId="0" fontId="7" fillId="12" borderId="21" applyAlignment="1" pivotButton="0" quotePrefix="0" xfId="0">
      <alignment horizontal="center" vertical="center" wrapText="1"/>
    </xf>
    <xf numFmtId="1" fontId="15" fillId="0" borderId="12" applyAlignment="1" pivotButton="0" quotePrefix="0" xfId="0">
      <alignment horizontal="center" vertical="center" shrinkToFit="1"/>
    </xf>
    <xf numFmtId="1" fontId="15" fillId="0" borderId="22" applyAlignment="1" pivotButton="0" quotePrefix="0" xfId="0">
      <alignment horizontal="center" vertical="center" wrapText="1" shrinkToFit="1"/>
    </xf>
    <xf numFmtId="1" fontId="15" fillId="0" borderId="32" applyAlignment="1" pivotButton="0" quotePrefix="0" xfId="0">
      <alignment horizontal="center" vertical="center" wrapText="1" shrinkToFit="1"/>
    </xf>
    <xf numFmtId="0" fontId="4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3" fontId="4" fillId="0" borderId="33" applyAlignment="1" pivotButton="0" quotePrefix="0" xfId="0">
      <alignment horizontal="right" vertical="center" wrapText="1"/>
    </xf>
    <xf numFmtId="3" fontId="4" fillId="0" borderId="34" applyAlignment="1" pivotButton="0" quotePrefix="0" xfId="0">
      <alignment horizontal="right" vertical="center" wrapText="1"/>
    </xf>
    <xf numFmtId="4" fontId="8" fillId="5" borderId="52" applyAlignment="1" pivotButton="0" quotePrefix="0" xfId="0">
      <alignment vertical="center"/>
    </xf>
    <xf numFmtId="0" fontId="13" fillId="0" borderId="0" applyAlignment="1" pivotButton="0" quotePrefix="0" xfId="0">
      <alignment vertical="center" wrapText="1"/>
    </xf>
    <xf numFmtId="3" fontId="13" fillId="0" borderId="0" applyAlignment="1" pivotButton="0" quotePrefix="0" xfId="0">
      <alignment vertical="center" wrapText="1"/>
    </xf>
    <xf numFmtId="4" fontId="8" fillId="0" borderId="0" applyAlignment="1" pivotButton="0" quotePrefix="0" xfId="0">
      <alignment vertical="center"/>
    </xf>
    <xf numFmtId="3" fontId="4" fillId="20" borderId="0" applyAlignment="1" pivotButton="0" quotePrefix="0" xfId="0">
      <alignment vertical="center"/>
    </xf>
    <xf numFmtId="4" fontId="4" fillId="0" borderId="0" applyAlignment="1" pivotButton="0" quotePrefix="0" xfId="0">
      <alignment vertical="center" wrapText="1"/>
    </xf>
    <xf numFmtId="0" fontId="8" fillId="19" borderId="0" applyAlignment="1" pivotButton="0" quotePrefix="0" xfId="0">
      <alignment vertical="center"/>
    </xf>
    <xf numFmtId="4" fontId="4" fillId="19" borderId="0" applyAlignment="1" pivotButton="0" quotePrefix="0" xfId="0">
      <alignment vertical="center"/>
    </xf>
    <xf numFmtId="3" fontId="8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4" fontId="13" fillId="0" borderId="0" applyAlignment="1" pivotButton="0" quotePrefix="0" xfId="0">
      <alignment vertical="center" wrapText="1"/>
    </xf>
    <xf numFmtId="10" fontId="13" fillId="0" borderId="0" applyAlignment="1" pivotButton="0" quotePrefix="0" xfId="0">
      <alignment vertical="center" wrapText="1"/>
    </xf>
    <xf numFmtId="0" fontId="8" fillId="13" borderId="14" applyAlignment="1" pivotButton="0" quotePrefix="0" xfId="3">
      <alignment horizontal="center" vertical="center" wrapText="1"/>
    </xf>
    <xf numFmtId="0" fontId="8" fillId="13" borderId="15" applyAlignment="1" pivotButton="0" quotePrefix="0" xfId="3">
      <alignment horizontal="center" vertical="center" wrapText="1"/>
    </xf>
    <xf numFmtId="0" fontId="8" fillId="4" borderId="18" applyAlignment="1" pivotButton="0" quotePrefix="0" xfId="3">
      <alignment horizontal="center" vertical="center" wrapText="1"/>
    </xf>
    <xf numFmtId="17" fontId="4" fillId="18" borderId="5" applyAlignment="1" pivotButton="0" quotePrefix="0" xfId="3">
      <alignment vertical="center" wrapText="1"/>
    </xf>
    <xf numFmtId="3" fontId="4" fillId="18" borderId="5" applyAlignment="1" pivotButton="0" quotePrefix="0" xfId="3">
      <alignment vertical="center" wrapText="1"/>
    </xf>
    <xf numFmtId="3" fontId="4" fillId="18" borderId="19" applyAlignment="1" pivotButton="0" quotePrefix="0" xfId="3">
      <alignment vertical="center" wrapText="1"/>
    </xf>
    <xf numFmtId="3" fontId="4" fillId="18" borderId="20" applyAlignment="1" pivotButton="0" quotePrefix="0" xfId="3">
      <alignment vertical="center" wrapText="1"/>
    </xf>
    <xf numFmtId="3" fontId="4" fillId="18" borderId="1" applyAlignment="1" pivotButton="0" quotePrefix="0" xfId="3">
      <alignment vertical="center" wrapText="1"/>
    </xf>
    <xf numFmtId="3" fontId="4" fillId="18" borderId="10" applyAlignment="1" pivotButton="0" quotePrefix="0" xfId="3">
      <alignment vertical="center" wrapText="1"/>
    </xf>
    <xf numFmtId="3" fontId="4" fillId="18" borderId="2" applyAlignment="1" pivotButton="0" quotePrefix="0" xfId="3">
      <alignment vertical="center" wrapText="1"/>
    </xf>
    <xf numFmtId="3" fontId="7" fillId="18" borderId="5" applyAlignment="1" pivotButton="0" quotePrefix="0" xfId="3">
      <alignment vertical="center" wrapText="1"/>
    </xf>
    <xf numFmtId="17" fontId="4" fillId="18" borderId="1" applyAlignment="1" pivotButton="0" quotePrefix="0" xfId="3">
      <alignment vertical="center" wrapText="1"/>
    </xf>
    <xf numFmtId="3" fontId="7" fillId="18" borderId="1" applyAlignment="1" pivotButton="0" quotePrefix="0" xfId="3">
      <alignment vertical="center" wrapText="1"/>
    </xf>
    <xf numFmtId="17" fontId="4" fillId="11" borderId="1" applyAlignment="1" pivotButton="0" quotePrefix="0" xfId="3">
      <alignment vertical="center" wrapText="1"/>
    </xf>
    <xf numFmtId="3" fontId="4" fillId="11" borderId="1" applyAlignment="1" pivotButton="0" quotePrefix="0" xfId="3">
      <alignment vertical="center" wrapText="1"/>
    </xf>
    <xf numFmtId="3" fontId="7" fillId="11" borderId="1" applyAlignment="1" pivotButton="0" quotePrefix="0" xfId="3">
      <alignment vertical="center" wrapText="1"/>
    </xf>
    <xf numFmtId="3" fontId="4" fillId="11" borderId="10" applyAlignment="1" pivotButton="0" quotePrefix="0" xfId="3">
      <alignment vertical="center" wrapText="1"/>
    </xf>
    <xf numFmtId="3" fontId="4" fillId="11" borderId="2" applyAlignment="1" pivotButton="0" quotePrefix="0" xfId="3">
      <alignment vertical="center" wrapText="1"/>
    </xf>
    <xf numFmtId="17" fontId="4" fillId="19" borderId="1" applyAlignment="1" pivotButton="0" quotePrefix="0" xfId="3">
      <alignment vertical="center" wrapText="1"/>
    </xf>
    <xf numFmtId="3" fontId="4" fillId="19" borderId="1" applyAlignment="1" pivotButton="0" quotePrefix="0" xfId="3">
      <alignment vertical="center" wrapText="1"/>
    </xf>
    <xf numFmtId="3" fontId="7" fillId="19" borderId="1" applyAlignment="1" pivotButton="0" quotePrefix="0" xfId="3">
      <alignment vertical="center" wrapText="1"/>
    </xf>
    <xf numFmtId="3" fontId="4" fillId="19" borderId="10" applyAlignment="1" pivotButton="0" quotePrefix="0" xfId="3">
      <alignment vertical="center" wrapText="1"/>
    </xf>
    <xf numFmtId="3" fontId="4" fillId="19" borderId="2" applyAlignment="1" pivotButton="0" quotePrefix="0" xfId="3">
      <alignment vertical="center" wrapText="1"/>
    </xf>
    <xf numFmtId="17" fontId="4" fillId="20" borderId="1" applyAlignment="1" pivotButton="0" quotePrefix="0" xfId="3">
      <alignment vertical="center" wrapText="1"/>
    </xf>
    <xf numFmtId="3" fontId="4" fillId="20" borderId="1" applyAlignment="1" pivotButton="0" quotePrefix="0" xfId="3">
      <alignment vertical="center" wrapText="1"/>
    </xf>
    <xf numFmtId="3" fontId="7" fillId="20" borderId="1" applyAlignment="1" pivotButton="0" quotePrefix="0" xfId="3">
      <alignment vertical="center" wrapText="1"/>
    </xf>
    <xf numFmtId="3" fontId="4" fillId="20" borderId="10" applyAlignment="1" pivotButton="0" quotePrefix="0" xfId="3">
      <alignment vertical="center" wrapText="1"/>
    </xf>
    <xf numFmtId="3" fontId="4" fillId="20" borderId="2" applyAlignment="1" pivotButton="0" quotePrefix="0" xfId="3">
      <alignment vertical="center" wrapText="1"/>
    </xf>
    <xf numFmtId="3" fontId="6" fillId="20" borderId="1" applyAlignment="1" pivotButton="0" quotePrefix="0" xfId="3">
      <alignment vertical="center" wrapText="1"/>
    </xf>
    <xf numFmtId="17" fontId="4" fillId="21" borderId="1" applyAlignment="1" pivotButton="0" quotePrefix="0" xfId="3">
      <alignment vertical="center" wrapText="1"/>
    </xf>
    <xf numFmtId="3" fontId="4" fillId="21" borderId="1" applyAlignment="1" pivotButton="0" quotePrefix="0" xfId="3">
      <alignment vertical="center" wrapText="1"/>
    </xf>
    <xf numFmtId="3" fontId="7" fillId="21" borderId="1" applyAlignment="1" pivotButton="0" quotePrefix="0" xfId="3">
      <alignment vertical="center" wrapText="1"/>
    </xf>
    <xf numFmtId="3" fontId="4" fillId="21" borderId="10" applyAlignment="1" pivotButton="0" quotePrefix="0" xfId="3">
      <alignment vertical="center" wrapText="1"/>
    </xf>
    <xf numFmtId="3" fontId="4" fillId="21" borderId="2" applyAlignment="1" pivotButton="0" quotePrefix="0" xfId="3">
      <alignment vertical="center" wrapText="1"/>
    </xf>
    <xf numFmtId="17" fontId="7" fillId="21" borderId="1" applyAlignment="1" pivotButton="0" quotePrefix="0" xfId="3">
      <alignment vertical="center" wrapText="1"/>
    </xf>
    <xf numFmtId="3" fontId="7" fillId="21" borderId="10" applyAlignment="1" pivotButton="0" quotePrefix="0" xfId="3">
      <alignment vertical="center" wrapText="1"/>
    </xf>
    <xf numFmtId="3" fontId="7" fillId="21" borderId="2" applyAlignment="1" pivotButton="0" quotePrefix="0" xfId="3">
      <alignment vertical="center" wrapText="1"/>
    </xf>
    <xf numFmtId="3" fontId="7" fillId="19" borderId="2" applyAlignment="1" pivotButton="0" quotePrefix="0" xfId="3">
      <alignment vertical="center" wrapText="1"/>
    </xf>
    <xf numFmtId="3" fontId="7" fillId="11" borderId="2" applyAlignment="1" pivotButton="0" quotePrefix="0" xfId="3">
      <alignment vertical="center" wrapText="1"/>
    </xf>
    <xf numFmtId="17" fontId="4" fillId="22" borderId="1" applyAlignment="1" pivotButton="0" quotePrefix="0" xfId="3">
      <alignment vertical="center" wrapText="1"/>
    </xf>
    <xf numFmtId="3" fontId="7" fillId="22" borderId="1" applyAlignment="1" pivotButton="0" quotePrefix="0" xfId="3">
      <alignment vertical="center" wrapText="1"/>
    </xf>
    <xf numFmtId="3" fontId="4" fillId="22" borderId="10" applyAlignment="1" pivotButton="0" quotePrefix="0" xfId="3">
      <alignment vertical="center" wrapText="1"/>
    </xf>
    <xf numFmtId="3" fontId="7" fillId="22" borderId="2" applyAlignment="1" pivotButton="0" quotePrefix="0" xfId="3">
      <alignment vertical="center" wrapText="1"/>
    </xf>
    <xf numFmtId="3" fontId="7" fillId="20" borderId="2" applyAlignment="1" pivotButton="0" quotePrefix="0" xfId="3">
      <alignment vertical="center" wrapText="1"/>
    </xf>
    <xf numFmtId="17" fontId="4" fillId="23" borderId="1" applyAlignment="1" pivotButton="0" quotePrefix="0" xfId="3">
      <alignment vertical="center" wrapText="1"/>
    </xf>
    <xf numFmtId="3" fontId="7" fillId="23" borderId="1" applyAlignment="1" pivotButton="0" quotePrefix="0" xfId="3">
      <alignment vertical="center" wrapText="1"/>
    </xf>
    <xf numFmtId="3" fontId="4" fillId="23" borderId="10" applyAlignment="1" pivotButton="0" quotePrefix="0" xfId="3">
      <alignment vertical="center" wrapText="1"/>
    </xf>
    <xf numFmtId="3" fontId="7" fillId="23" borderId="2" applyAlignment="1" pivotButton="0" quotePrefix="0" xfId="3">
      <alignment vertical="center" wrapText="1"/>
    </xf>
    <xf numFmtId="0" fontId="7" fillId="18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4" fillId="19" borderId="1" applyAlignment="1" pivotButton="0" quotePrefix="0" xfId="0">
      <alignment vertical="center" wrapText="1"/>
    </xf>
    <xf numFmtId="0" fontId="4" fillId="20" borderId="1" applyAlignment="1" pivotButton="0" quotePrefix="0" xfId="0">
      <alignment vertical="center" wrapText="1"/>
    </xf>
    <xf numFmtId="0" fontId="4" fillId="21" borderId="1" applyAlignment="1" pivotButton="0" quotePrefix="0" xfId="0">
      <alignment vertical="center" wrapText="1"/>
    </xf>
    <xf numFmtId="3" fontId="4" fillId="21" borderId="1" applyAlignment="1" pivotButton="0" quotePrefix="0" xfId="0">
      <alignment vertical="center" wrapText="1"/>
    </xf>
    <xf numFmtId="3" fontId="4" fillId="19" borderId="1" applyAlignment="1" pivotButton="0" quotePrefix="0" xfId="0">
      <alignment vertical="center" wrapText="1"/>
    </xf>
    <xf numFmtId="3" fontId="4" fillId="11" borderId="1" applyAlignment="1" pivotButton="0" quotePrefix="0" xfId="0">
      <alignment vertical="center" wrapText="1"/>
    </xf>
    <xf numFmtId="3" fontId="4" fillId="22" borderId="1" applyAlignment="1" pivotButton="0" quotePrefix="0" xfId="0">
      <alignment vertical="center" wrapText="1"/>
    </xf>
    <xf numFmtId="3" fontId="4" fillId="20" borderId="1" applyAlignment="1" pivotButton="0" quotePrefix="0" xfId="0">
      <alignment vertical="center" wrapText="1"/>
    </xf>
    <xf numFmtId="3" fontId="4" fillId="23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right" vertical="center" wrapText="1"/>
    </xf>
    <xf numFmtId="0" fontId="11" fillId="2" borderId="1" applyAlignment="1" pivotButton="0" quotePrefix="0" xfId="0">
      <alignment horizontal="center" vertical="center" wrapText="1"/>
    </xf>
    <xf numFmtId="17" fontId="8" fillId="11" borderId="1" pivotButton="0" quotePrefix="0" xfId="0"/>
    <xf numFmtId="3" fontId="4" fillId="0" borderId="19" applyAlignment="1" pivotButton="0" quotePrefix="0" xfId="0">
      <alignment vertical="center" wrapText="1"/>
    </xf>
    <xf numFmtId="3" fontId="4" fillId="0" borderId="19" pivotButton="0" quotePrefix="0" xfId="0"/>
    <xf numFmtId="17" fontId="8" fillId="21" borderId="1" pivotButton="0" quotePrefix="0" xfId="0"/>
    <xf numFmtId="17" fontId="8" fillId="20" borderId="1" pivotButton="0" quotePrefix="0" xfId="0"/>
    <xf numFmtId="17" fontId="8" fillId="19" borderId="5" pivotButton="0" quotePrefix="0" xfId="0"/>
    <xf numFmtId="17" fontId="8" fillId="19" borderId="1" pivotButton="0" quotePrefix="0" xfId="0"/>
    <xf numFmtId="17" fontId="8" fillId="10" borderId="5" pivotButton="0" quotePrefix="0" xfId="0"/>
    <xf numFmtId="17" fontId="8" fillId="10" borderId="1" pivotButton="0" quotePrefix="0" xfId="0"/>
    <xf numFmtId="17" fontId="8" fillId="10" borderId="1" applyAlignment="1" pivotButton="0" quotePrefix="0" xfId="0">
      <alignment vertical="center" wrapText="1"/>
    </xf>
    <xf numFmtId="0" fontId="8" fillId="25" borderId="19" pivotButton="0" quotePrefix="0" xfId="0"/>
    <xf numFmtId="4" fontId="4" fillId="0" borderId="19" pivotButton="0" quotePrefix="0" xfId="0"/>
    <xf numFmtId="0" fontId="4" fillId="0" borderId="19" pivotButton="0" quotePrefix="0" xfId="0"/>
    <xf numFmtId="4" fontId="4" fillId="0" borderId="0" applyAlignment="1" pivotButton="0" quotePrefix="0" xfId="0">
      <alignment horizontal="right" wrapText="1"/>
    </xf>
    <xf numFmtId="3" fontId="4" fillId="0" borderId="0" applyAlignment="1" pivotButton="0" quotePrefix="0" xfId="0">
      <alignment horizontal="right" wrapText="1"/>
    </xf>
    <xf numFmtId="0" fontId="4" fillId="0" borderId="0" applyAlignment="1" pivotButton="0" quotePrefix="0" xfId="0">
      <alignment horizontal="right" wrapText="1"/>
    </xf>
    <xf numFmtId="0" fontId="4" fillId="25" borderId="0" pivotButton="0" quotePrefix="0" xfId="0"/>
    <xf numFmtId="0" fontId="30" fillId="0" borderId="0" pivotButton="0" quotePrefix="0" xfId="0"/>
    <xf numFmtId="0" fontId="31" fillId="0" borderId="0" pivotButton="0" quotePrefix="0" xfId="0"/>
    <xf numFmtId="3" fontId="31" fillId="0" borderId="0" pivotButton="0" quotePrefix="0" xfId="0"/>
    <xf numFmtId="3" fontId="32" fillId="0" borderId="0" pivotButton="0" quotePrefix="0" xfId="0"/>
    <xf numFmtId="3" fontId="30" fillId="0" borderId="0" pivotButton="0" quotePrefix="0" xfId="0"/>
    <xf numFmtId="10" fontId="0" fillId="0" borderId="0" pivotButton="0" quotePrefix="0" xfId="0"/>
    <xf numFmtId="1" fontId="13" fillId="0" borderId="0" applyAlignment="1" applyProtection="1" pivotButton="0" quotePrefix="0" xfId="0">
      <alignment vertical="center"/>
      <protection locked="0" hidden="0"/>
    </xf>
    <xf numFmtId="4" fontId="4" fillId="0" borderId="1" applyAlignment="1" pivotButton="0" quotePrefix="0" xfId="1">
      <alignment horizontal="right" vertical="center"/>
    </xf>
    <xf numFmtId="4" fontId="4" fillId="3" borderId="1" applyAlignment="1" pivotButton="0" quotePrefix="0" xfId="1">
      <alignment horizontal="right" vertical="center"/>
    </xf>
    <xf numFmtId="4" fontId="4" fillId="0" borderId="1" applyAlignment="1" pivotButton="0" quotePrefix="0" xfId="1">
      <alignment horizontal="right" vertical="center"/>
    </xf>
    <xf numFmtId="4" fontId="4" fillId="3" borderId="4" applyAlignment="1" pivotButton="0" quotePrefix="0" xfId="1">
      <alignment horizontal="right" vertical="center"/>
    </xf>
    <xf numFmtId="4" fontId="4" fillId="3" borderId="2" applyAlignment="1" pivotButton="0" quotePrefix="0" xfId="1">
      <alignment horizontal="right" vertical="center"/>
    </xf>
    <xf numFmtId="4" fontId="4" fillId="3" borderId="3" applyAlignment="1" pivotButton="0" quotePrefix="0" xfId="1">
      <alignment horizontal="right" vertical="center"/>
    </xf>
    <xf numFmtId="4" fontId="4" fillId="0" borderId="5" applyAlignment="1" pivotButton="0" quotePrefix="0" xfId="1">
      <alignment horizontal="right" vertical="center"/>
    </xf>
    <xf numFmtId="4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vertical="center"/>
    </xf>
    <xf numFmtId="4" fontId="28" fillId="0" borderId="0" pivotButton="0" quotePrefix="0" xfId="0"/>
    <xf numFmtId="4" fontId="4" fillId="0" borderId="0" applyAlignment="1" pivotButton="0" quotePrefix="0" xfId="3">
      <alignment vertical="center"/>
    </xf>
    <xf numFmtId="166" fontId="5" fillId="2" borderId="1" applyAlignment="1" pivotButton="0" quotePrefix="0" xfId="0">
      <alignment horizontal="center" vertical="center" wrapText="1"/>
    </xf>
    <xf numFmtId="3" fontId="15" fillId="0" borderId="0" pivotButton="0" quotePrefix="0" xfId="0"/>
    <xf numFmtId="10" fontId="4" fillId="0" borderId="0" applyAlignment="1" pivotButton="0" quotePrefix="0" xfId="0">
      <alignment vertical="center" wrapText="1"/>
    </xf>
    <xf numFmtId="17" fontId="4" fillId="0" borderId="0" applyAlignment="1" pivotButton="0" quotePrefix="0" xfId="0">
      <alignment vertical="center" wrapText="1"/>
    </xf>
    <xf numFmtId="16" fontId="4" fillId="0" borderId="0" applyAlignment="1" pivotButton="0" quotePrefix="0" xfId="0">
      <alignment vertical="center" wrapText="1"/>
    </xf>
    <xf numFmtId="3" fontId="4" fillId="0" borderId="0" applyAlignment="1" pivotButton="0" quotePrefix="0" xfId="2">
      <alignment vertical="center"/>
    </xf>
    <xf numFmtId="4" fontId="4" fillId="0" borderId="0" applyAlignment="1" pivotButton="0" quotePrefix="0" xfId="0">
      <alignment horizontal="right" vertical="center" wrapText="1"/>
    </xf>
    <xf numFmtId="172" fontId="4" fillId="0" borderId="0" applyAlignment="1" pivotButton="0" quotePrefix="0" xfId="1">
      <alignment vertical="center"/>
    </xf>
    <xf numFmtId="0" fontId="4" fillId="10" borderId="55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 wrapText="1"/>
    </xf>
    <xf numFmtId="3" fontId="4" fillId="12" borderId="0" applyAlignment="1" pivotButton="0" quotePrefix="0" xfId="0">
      <alignment vertical="center"/>
    </xf>
    <xf numFmtId="167" fontId="13" fillId="0" borderId="0" applyAlignment="1" pivotButton="0" quotePrefix="0" xfId="2">
      <alignment vertical="center" wrapText="1"/>
    </xf>
    <xf numFmtId="10" fontId="13" fillId="0" borderId="0" applyAlignment="1" pivotButton="0" quotePrefix="0" xfId="2">
      <alignment vertical="center" wrapText="1"/>
    </xf>
    <xf numFmtId="3" fontId="15" fillId="0" borderId="0" applyAlignment="1" pivotButton="0" quotePrefix="0" xfId="0">
      <alignment horizontal="right" vertical="top" wrapText="1" shrinkToFit="1"/>
    </xf>
    <xf numFmtId="3" fontId="4" fillId="0" borderId="0" applyAlignment="1" pivotButton="0" quotePrefix="0" xfId="0">
      <alignment horizontal="right" vertical="center" wrapText="1"/>
    </xf>
    <xf numFmtId="3" fontId="4" fillId="4" borderId="0" applyAlignment="1" pivotButton="0" quotePrefix="0" xfId="0">
      <alignment vertical="center"/>
    </xf>
    <xf numFmtId="0" fontId="8" fillId="5" borderId="0" applyAlignment="1" pivotButton="0" quotePrefix="0" xfId="0">
      <alignment horizontal="right" vertical="center" wrapText="1"/>
    </xf>
    <xf numFmtId="0" fontId="28" fillId="0" borderId="0" applyAlignment="1" pivotButton="0" quotePrefix="0" xfId="0">
      <alignment vertical="center"/>
    </xf>
    <xf numFmtId="0" fontId="8" fillId="5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  <xf numFmtId="0" fontId="8" fillId="28" borderId="0" applyAlignment="1" pivotButton="0" quotePrefix="0" xfId="0">
      <alignment vertical="center" wrapText="1"/>
    </xf>
    <xf numFmtId="0" fontId="8" fillId="28" borderId="0" applyAlignment="1" pivotButton="0" quotePrefix="0" xfId="0">
      <alignment horizontal="center" vertical="center" wrapText="1"/>
    </xf>
    <xf numFmtId="17" fontId="8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8" fillId="5" borderId="8" applyAlignment="1" pivotButton="0" quotePrefix="0" xfId="0">
      <alignment vertical="center"/>
    </xf>
    <xf numFmtId="37" fontId="4" fillId="0" borderId="0" applyAlignment="1" pivotButton="0" quotePrefix="0" xfId="0">
      <alignment vertical="center"/>
    </xf>
    <xf numFmtId="172" fontId="4" fillId="0" borderId="0" applyAlignment="1" pivotButton="0" quotePrefix="0" xfId="1">
      <alignment horizontal="center" vertical="center"/>
    </xf>
    <xf numFmtId="172" fontId="5" fillId="2" borderId="0" applyAlignment="1" pivotButton="0" quotePrefix="0" xfId="1">
      <alignment horizontal="center" vertical="center" wrapText="1"/>
    </xf>
    <xf numFmtId="172" fontId="5" fillId="2" borderId="6" applyAlignment="1" pivotButton="0" quotePrefix="0" xfId="1">
      <alignment horizontal="center" vertical="center" wrapText="1"/>
    </xf>
    <xf numFmtId="172" fontId="5" fillId="2" borderId="7" applyAlignment="1" pivotButton="0" quotePrefix="0" xfId="1">
      <alignment horizontal="right" vertical="center" wrapText="1"/>
    </xf>
    <xf numFmtId="172" fontId="4" fillId="0" borderId="0" applyAlignment="1" pivotButton="0" quotePrefix="0" xfId="1">
      <alignment horizontal="center" vertical="center" wrapText="1"/>
    </xf>
    <xf numFmtId="172" fontId="7" fillId="6" borderId="5" applyAlignment="1" pivotButton="0" quotePrefix="0" xfId="1">
      <alignment horizontal="right" vertical="center" wrapText="1"/>
    </xf>
    <xf numFmtId="172" fontId="6" fillId="6" borderId="5" applyAlignment="1" pivotButton="0" quotePrefix="0" xfId="1">
      <alignment horizontal="right" vertical="center" wrapText="1"/>
    </xf>
    <xf numFmtId="172" fontId="7" fillId="6" borderId="6" applyAlignment="1" pivotButton="0" quotePrefix="0" xfId="1">
      <alignment horizontal="right" vertical="center"/>
    </xf>
    <xf numFmtId="172" fontId="7" fillId="6" borderId="1" applyAlignment="1" pivotButton="0" quotePrefix="0" xfId="1">
      <alignment horizontal="right" vertical="center"/>
    </xf>
    <xf numFmtId="172" fontId="7" fillId="0" borderId="1" applyAlignment="1" pivotButton="0" quotePrefix="0" xfId="1">
      <alignment horizontal="right" vertical="center" wrapText="1"/>
    </xf>
    <xf numFmtId="172" fontId="5" fillId="6" borderId="5" applyAlignment="1" pivotButton="0" quotePrefix="0" xfId="1">
      <alignment horizontal="right" vertical="center" wrapText="1"/>
    </xf>
    <xf numFmtId="172" fontId="7" fillId="6" borderId="1" applyAlignment="1" pivotButton="0" quotePrefix="0" xfId="1">
      <alignment horizontal="right" vertical="center" wrapText="1"/>
    </xf>
    <xf numFmtId="172" fontId="6" fillId="6" borderId="1" applyAlignment="1" pivotButton="0" quotePrefix="0" xfId="1">
      <alignment horizontal="right" vertical="center" wrapText="1"/>
    </xf>
    <xf numFmtId="172" fontId="4" fillId="6" borderId="1" applyAlignment="1" pivotButton="0" quotePrefix="0" xfId="1">
      <alignment vertical="center" wrapText="1"/>
    </xf>
    <xf numFmtId="172" fontId="6" fillId="0" borderId="1" applyAlignment="1" pivotButton="0" quotePrefix="0" xfId="1">
      <alignment horizontal="right" vertical="center" wrapText="1"/>
    </xf>
    <xf numFmtId="172" fontId="7" fillId="0" borderId="6" applyAlignment="1" pivotButton="0" quotePrefix="0" xfId="1">
      <alignment horizontal="right" vertical="center"/>
    </xf>
    <xf numFmtId="172" fontId="7" fillId="0" borderId="1" applyAlignment="1" pivotButton="0" quotePrefix="0" xfId="1">
      <alignment horizontal="right" vertical="center"/>
    </xf>
    <xf numFmtId="172" fontId="4" fillId="0" borderId="1" applyAlignment="1" pivotButton="0" quotePrefix="0" xfId="1">
      <alignment vertical="center" wrapText="1"/>
    </xf>
    <xf numFmtId="172" fontId="7" fillId="0" borderId="1" applyAlignment="1" pivotButton="0" quotePrefix="0" xfId="1">
      <alignment horizontal="right" vertical="center" wrapText="1"/>
    </xf>
    <xf numFmtId="172" fontId="7" fillId="0" borderId="6" applyAlignment="1" pivotButton="0" quotePrefix="0" xfId="1">
      <alignment horizontal="right" vertical="center"/>
    </xf>
    <xf numFmtId="172" fontId="7" fillId="0" borderId="1" applyAlignment="1" pivotButton="0" quotePrefix="0" xfId="1">
      <alignment horizontal="right" vertical="center"/>
    </xf>
    <xf numFmtId="172" fontId="7" fillId="0" borderId="7" applyAlignment="1" pivotButton="0" quotePrefix="0" xfId="1">
      <alignment horizontal="right" vertical="center"/>
    </xf>
    <xf numFmtId="172" fontId="4" fillId="6" borderId="1" applyAlignment="1" pivotButton="0" quotePrefix="0" xfId="1">
      <alignment vertical="center"/>
    </xf>
    <xf numFmtId="172" fontId="4" fillId="6" borderId="1" applyAlignment="1" pivotButton="0" quotePrefix="0" xfId="1">
      <alignment horizontal="right" vertical="center" wrapText="1"/>
    </xf>
    <xf numFmtId="172" fontId="4" fillId="6" borderId="0" applyAlignment="1" pivotButton="0" quotePrefix="0" xfId="1">
      <alignment vertical="center"/>
    </xf>
    <xf numFmtId="172" fontId="3" fillId="6" borderId="1" applyAlignment="1" pivotButton="0" quotePrefix="0" xfId="1">
      <alignment vertical="center"/>
    </xf>
    <xf numFmtId="172" fontId="4" fillId="0" borderId="1" applyAlignment="1" pivotButton="0" quotePrefix="0" xfId="1">
      <alignment vertical="center"/>
    </xf>
    <xf numFmtId="172" fontId="7" fillId="3" borderId="1" applyAlignment="1" pivotButton="0" quotePrefix="0" xfId="1">
      <alignment horizontal="right" vertical="center" wrapText="1"/>
    </xf>
    <xf numFmtId="172" fontId="4" fillId="0" borderId="0" pivotButton="0" quotePrefix="0" xfId="1"/>
    <xf numFmtId="172" fontId="7" fillId="0" borderId="0" applyAlignment="1" pivotButton="0" quotePrefix="0" xfId="1">
      <alignment horizontal="center" vertical="center" wrapText="1"/>
    </xf>
    <xf numFmtId="172" fontId="7" fillId="0" borderId="0" applyAlignment="1" pivotButton="0" quotePrefix="0" xfId="1">
      <alignment horizontal="right" vertical="center" wrapText="1"/>
    </xf>
    <xf numFmtId="172" fontId="4" fillId="0" borderId="0" applyAlignment="1" pivotButton="0" quotePrefix="0" xfId="1">
      <alignment vertical="center" wrapText="1"/>
    </xf>
    <xf numFmtId="172" fontId="4" fillId="0" borderId="0" applyAlignment="1" pivotButton="0" quotePrefix="0" xfId="1">
      <alignment horizontal="left" vertical="center" wrapText="1"/>
    </xf>
    <xf numFmtId="9" fontId="15" fillId="0" borderId="0" applyAlignment="1" pivotButton="0" quotePrefix="0" xfId="2">
      <alignment vertical="center"/>
    </xf>
    <xf numFmtId="9" fontId="4" fillId="0" borderId="0" applyAlignment="1" pivotButton="0" quotePrefix="0" xfId="2">
      <alignment vertical="center"/>
    </xf>
    <xf numFmtId="172" fontId="4" fillId="29" borderId="0" applyAlignment="1" pivotButton="0" quotePrefix="0" xfId="1">
      <alignment vertical="center"/>
    </xf>
    <xf numFmtId="172" fontId="15" fillId="29" borderId="0" applyAlignment="1" pivotButton="0" quotePrefix="0" xfId="2">
      <alignment vertical="center"/>
    </xf>
    <xf numFmtId="172" fontId="15" fillId="0" borderId="0" applyAlignment="1" pivotButton="0" quotePrefix="0" xfId="1">
      <alignment vertical="center" wrapText="1"/>
    </xf>
    <xf numFmtId="9" fontId="15" fillId="0" borderId="0" applyAlignment="1" pivotButton="0" quotePrefix="0" xfId="2">
      <alignment vertical="center" wrapText="1"/>
    </xf>
    <xf numFmtId="40" fontId="36" fillId="5" borderId="38" applyAlignment="1" pivotButton="0" quotePrefix="0" xfId="0">
      <alignment vertical="center"/>
    </xf>
    <xf numFmtId="40" fontId="36" fillId="5" borderId="45" applyAlignment="1" pivotButton="0" quotePrefix="0" xfId="0">
      <alignment vertical="center" wrapText="1"/>
    </xf>
    <xf numFmtId="40" fontId="38" fillId="0" borderId="1" applyAlignment="1" pivotButton="0" quotePrefix="0" xfId="0">
      <alignment vertical="center" wrapText="1"/>
    </xf>
    <xf numFmtId="40" fontId="37" fillId="5" borderId="4" applyAlignment="1" pivotButton="0" quotePrefix="0" xfId="0">
      <alignment vertical="center" wrapText="1"/>
    </xf>
    <xf numFmtId="40" fontId="36" fillId="5" borderId="4" applyAlignment="1" pivotButton="0" quotePrefix="0" xfId="0">
      <alignment vertical="center" wrapText="1"/>
    </xf>
    <xf numFmtId="0" fontId="13" fillId="6" borderId="8" applyAlignment="1" applyProtection="1" pivotButton="0" quotePrefix="0" xfId="0">
      <alignment vertical="center"/>
      <protection locked="0" hidden="0"/>
    </xf>
    <xf numFmtId="0" fontId="0" fillId="30" borderId="1" pivotButton="0" quotePrefix="0" xfId="0"/>
    <xf numFmtId="17" fontId="0" fillId="31" borderId="1" pivotButton="0" quotePrefix="0" xfId="0"/>
    <xf numFmtId="3" fontId="0" fillId="6" borderId="1" pivotButton="0" quotePrefix="0" xfId="0"/>
    <xf numFmtId="3" fontId="0" fillId="6" borderId="1" applyAlignment="1" pivotButton="0" quotePrefix="0" xfId="0">
      <alignment horizontal="center" vertical="center"/>
    </xf>
    <xf numFmtId="0" fontId="39" fillId="0" borderId="0" pivotButton="0" quotePrefix="0" xfId="0"/>
    <xf numFmtId="0" fontId="40" fillId="0" borderId="0" pivotButton="0" quotePrefix="0" xfId="0"/>
    <xf numFmtId="3" fontId="0" fillId="0" borderId="0" pivotButton="0" quotePrefix="0" xfId="0"/>
    <xf numFmtId="0" fontId="41" fillId="4" borderId="57" applyAlignment="1" pivotButton="0" quotePrefix="0" xfId="0">
      <alignment horizontal="center" vertical="center" wrapText="1" readingOrder="1"/>
    </xf>
    <xf numFmtId="3" fontId="42" fillId="4" borderId="58" applyAlignment="1" pivotButton="0" quotePrefix="0" xfId="0">
      <alignment horizontal="center" vertical="center" wrapText="1" readingOrder="1"/>
    </xf>
    <xf numFmtId="3" fontId="42" fillId="4" borderId="31" applyAlignment="1" pivotButton="0" quotePrefix="0" xfId="0">
      <alignment horizontal="center" vertical="center" wrapText="1" readingOrder="1"/>
    </xf>
    <xf numFmtId="167" fontId="0" fillId="0" borderId="0" pivotButton="0" quotePrefix="0" xfId="0"/>
    <xf numFmtId="164" fontId="0" fillId="0" borderId="0" pivotButton="0" quotePrefix="0" xfId="0"/>
    <xf numFmtId="0" fontId="43" fillId="0" borderId="1" applyAlignment="1" pivotButton="0" quotePrefix="0" xfId="0">
      <alignment horizontal="center" vertical="top"/>
    </xf>
    <xf numFmtId="0" fontId="43" fillId="0" borderId="1" applyAlignment="1" pivotButton="0" quotePrefix="0" xfId="0">
      <alignment horizontal="center" vertical="top" wrapText="1"/>
    </xf>
    <xf numFmtId="173" fontId="0" fillId="0" borderId="0" pivotButton="0" quotePrefix="0" xfId="0"/>
    <xf numFmtId="4" fontId="4" fillId="0" borderId="59" applyAlignment="1" pivotButton="0" quotePrefix="0" xfId="0">
      <alignment readingOrder="1"/>
    </xf>
    <xf numFmtId="0" fontId="4" fillId="0" borderId="60" applyAlignment="1" pivotButton="0" quotePrefix="0" xfId="0">
      <alignment readingOrder="1"/>
    </xf>
    <xf numFmtId="0" fontId="4" fillId="0" borderId="61" applyAlignment="1" pivotButton="0" quotePrefix="0" xfId="0">
      <alignment readingOrder="1"/>
    </xf>
    <xf numFmtId="4" fontId="4" fillId="5" borderId="4" applyAlignment="1" pivotButton="0" quotePrefix="0" xfId="0">
      <alignment vertical="center" wrapText="1"/>
    </xf>
    <xf numFmtId="4" fontId="4" fillId="5" borderId="43" applyAlignment="1" pivotButton="0" quotePrefix="0" xfId="0">
      <alignment vertical="center" wrapText="1"/>
    </xf>
    <xf numFmtId="0" fontId="13" fillId="0" borderId="0" pivotButton="0" quotePrefix="0" xfId="0"/>
    <xf numFmtId="40" fontId="37" fillId="0" borderId="35" applyAlignment="1" pivotButton="0" quotePrefix="0" xfId="0">
      <alignment vertical="center"/>
    </xf>
    <xf numFmtId="40" fontId="37" fillId="5" borderId="37" applyAlignment="1" pivotButton="0" quotePrefix="0" xfId="0">
      <alignment horizontal="center" vertical="center" wrapText="1"/>
    </xf>
    <xf numFmtId="40" fontId="37" fillId="5" borderId="37" applyAlignment="1" pivotButton="0" quotePrefix="0" xfId="0">
      <alignment horizontal="center" vertical="center"/>
    </xf>
    <xf numFmtId="0" fontId="36" fillId="0" borderId="1" pivotButton="0" quotePrefix="0" xfId="0"/>
    <xf numFmtId="0" fontId="37" fillId="0" borderId="1" pivotButton="0" quotePrefix="0" xfId="0"/>
    <xf numFmtId="4" fontId="37" fillId="0" borderId="1" pivotButton="0" quotePrefix="0" xfId="0"/>
    <xf numFmtId="4" fontId="8" fillId="5" borderId="47" applyAlignment="1" pivotButton="0" quotePrefix="0" xfId="0">
      <alignment horizontal="center" vertical="center" wrapText="1"/>
    </xf>
    <xf numFmtId="4" fontId="4" fillId="5" borderId="13" applyAlignment="1" pivotButton="0" quotePrefix="0" xfId="0">
      <alignment vertical="center" wrapText="1"/>
    </xf>
    <xf numFmtId="4" fontId="4" fillId="0" borderId="1" applyAlignment="1" pivotButton="0" quotePrefix="0" xfId="0">
      <alignment vertical="center" wrapText="1"/>
    </xf>
    <xf numFmtId="4" fontId="7" fillId="0" borderId="1" applyAlignment="1" pivotButton="0" quotePrefix="0" xfId="0">
      <alignment vertical="center" wrapText="1"/>
    </xf>
    <xf numFmtId="4" fontId="4" fillId="0" borderId="5" applyAlignment="1" pivotButton="0" quotePrefix="0" xfId="0">
      <alignment vertical="center" wrapText="1"/>
    </xf>
    <xf numFmtId="4" fontId="8" fillId="5" borderId="49" applyAlignment="1" pivotButton="0" quotePrefix="0" xfId="0">
      <alignment vertical="center" wrapText="1"/>
    </xf>
    <xf numFmtId="4" fontId="4" fillId="0" borderId="3" applyAlignment="1" pivotButton="0" quotePrefix="0" xfId="0">
      <alignment vertical="center" wrapText="1"/>
    </xf>
    <xf numFmtId="40" fontId="4" fillId="0" borderId="46" applyAlignment="1" pivotButton="0" quotePrefix="0" xfId="0">
      <alignment horizontal="center" vertical="center" wrapText="1"/>
    </xf>
    <xf numFmtId="3" fontId="6" fillId="4" borderId="5" applyAlignment="1" pivotButton="0" quotePrefix="0" xfId="0">
      <alignment vertical="center" wrapText="1"/>
    </xf>
    <xf numFmtId="4" fontId="4" fillId="0" borderId="35" applyAlignment="1" pivotButton="0" quotePrefix="0" xfId="0">
      <alignment vertical="center"/>
    </xf>
    <xf numFmtId="4" fontId="8" fillId="0" borderId="1" applyAlignment="1" pivotButton="0" quotePrefix="0" xfId="0">
      <alignment vertical="center" wrapText="1"/>
    </xf>
    <xf numFmtId="3" fontId="6" fillId="4" borderId="1" applyAlignment="1" pivotButton="0" quotePrefix="0" xfId="0">
      <alignment vertical="center" wrapText="1"/>
    </xf>
    <xf numFmtId="3" fontId="6" fillId="4" borderId="1" applyAlignment="1" pivotButton="0" quotePrefix="0" xfId="0">
      <alignment vertical="center"/>
    </xf>
    <xf numFmtId="4" fontId="8" fillId="0" borderId="5" applyAlignment="1" pivotButton="0" quotePrefix="0" xfId="0">
      <alignment vertical="center" wrapText="1"/>
    </xf>
    <xf numFmtId="4" fontId="4" fillId="0" borderId="5" applyAlignment="1" pivotButton="0" quotePrefix="0" xfId="0">
      <alignment vertical="center"/>
    </xf>
    <xf numFmtId="4" fontId="4" fillId="5" borderId="17" applyAlignment="1" pivotButton="0" quotePrefix="0" xfId="0">
      <alignment vertical="center" wrapText="1"/>
    </xf>
    <xf numFmtId="4" fontId="4" fillId="5" borderId="16" applyAlignment="1" pivotButton="0" quotePrefix="0" xfId="0">
      <alignment vertical="center" wrapText="1"/>
    </xf>
    <xf numFmtId="4" fontId="4" fillId="5" borderId="18" applyAlignment="1" pivotButton="0" quotePrefix="0" xfId="0">
      <alignment vertical="center" wrapText="1"/>
    </xf>
    <xf numFmtId="4" fontId="8" fillId="5" borderId="51" applyAlignment="1" pivotButton="0" quotePrefix="0" xfId="0">
      <alignment vertical="center" wrapText="1"/>
    </xf>
    <xf numFmtId="4" fontId="4" fillId="5" borderId="49" applyAlignment="1" pivotButton="0" quotePrefix="0" xfId="0">
      <alignment vertical="center" wrapText="1"/>
    </xf>
    <xf numFmtId="3" fontId="4" fillId="5" borderId="51" applyAlignment="1" pivotButton="0" quotePrefix="0" xfId="0">
      <alignment vertical="center" wrapText="1"/>
    </xf>
    <xf numFmtId="4" fontId="8" fillId="5" borderId="18" applyAlignment="1" pivotButton="0" quotePrefix="0" xfId="0">
      <alignment vertical="center" wrapText="1"/>
    </xf>
    <xf numFmtId="4" fontId="6" fillId="4" borderId="41" applyAlignment="1" pivotButton="0" quotePrefix="0" xfId="0">
      <alignment vertical="center"/>
    </xf>
    <xf numFmtId="4" fontId="6" fillId="4" borderId="3" applyAlignment="1" pivotButton="0" quotePrefix="0" xfId="0">
      <alignment vertical="center"/>
    </xf>
    <xf numFmtId="4" fontId="4" fillId="0" borderId="3" applyAlignment="1" pivotButton="0" quotePrefix="0" xfId="0">
      <alignment vertical="center"/>
    </xf>
    <xf numFmtId="40" fontId="4" fillId="5" borderId="38" applyAlignment="1" pivotButton="0" quotePrefix="0" xfId="0">
      <alignment vertical="center"/>
    </xf>
    <xf numFmtId="40" fontId="4" fillId="5" borderId="48" applyAlignment="1" pivotButton="0" quotePrefix="0" xfId="0">
      <alignment vertical="center"/>
    </xf>
    <xf numFmtId="4" fontId="8" fillId="5" borderId="49" applyAlignment="1" pivotButton="0" quotePrefix="0" xfId="0">
      <alignment vertical="center"/>
    </xf>
    <xf numFmtId="0" fontId="4" fillId="0" borderId="10" applyAlignment="1" pivotButton="0" quotePrefix="0" xfId="0">
      <alignment vertical="center"/>
    </xf>
    <xf numFmtId="0" fontId="4" fillId="4" borderId="5" applyAlignment="1" pivotButton="0" quotePrefix="0" xfId="0">
      <alignment vertical="center"/>
    </xf>
    <xf numFmtId="0" fontId="4" fillId="4" borderId="20" applyAlignment="1" pivotButton="0" quotePrefix="0" xfId="0">
      <alignment vertical="center"/>
    </xf>
    <xf numFmtId="0" fontId="4" fillId="0" borderId="19" applyAlignment="1" pivotButton="0" quotePrefix="0" xfId="0">
      <alignment vertical="center"/>
    </xf>
    <xf numFmtId="17" fontId="8" fillId="20" borderId="1" applyAlignment="1" pivotButton="0" quotePrefix="0" xfId="0">
      <alignment vertical="center" wrapText="1"/>
    </xf>
    <xf numFmtId="169" fontId="4" fillId="0" borderId="0" applyAlignment="1" pivotButton="0" quotePrefix="0" xfId="0">
      <alignment vertical="center" wrapText="1"/>
    </xf>
    <xf numFmtId="0" fontId="0" fillId="0" borderId="1" pivotButton="0" quotePrefix="0" xfId="0"/>
    <xf numFmtId="17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3" fontId="4" fillId="0" borderId="20" applyAlignment="1" pivotButton="0" quotePrefix="0" xfId="0">
      <alignment vertical="center" wrapText="1"/>
    </xf>
    <xf numFmtId="170" fontId="15" fillId="0" borderId="0" applyAlignment="1" pivotButton="0" quotePrefix="0" xfId="0">
      <alignment vertical="center"/>
    </xf>
    <xf numFmtId="170" fontId="4" fillId="0" borderId="60" applyAlignment="1" pivotButton="0" quotePrefix="0" xfId="0">
      <alignment readingOrder="1"/>
    </xf>
    <xf numFmtId="3" fontId="4" fillId="0" borderId="60" applyAlignment="1" pivotButton="0" quotePrefix="0" xfId="0">
      <alignment readingOrder="1"/>
    </xf>
    <xf numFmtId="4" fontId="4" fillId="0" borderId="60" applyAlignment="1" pivotButton="0" quotePrefix="0" xfId="0">
      <alignment readingOrder="1"/>
    </xf>
    <xf numFmtId="3" fontId="37" fillId="0" borderId="1" pivotButton="0" quotePrefix="0" xfId="0"/>
    <xf numFmtId="170" fontId="37" fillId="0" borderId="1" pivotButton="0" quotePrefix="0" xfId="0"/>
    <xf numFmtId="166" fontId="37" fillId="0" borderId="1" pivotButton="0" quotePrefix="0" xfId="0"/>
    <xf numFmtId="1" fontId="4" fillId="0" borderId="0" pivotButton="0" quotePrefix="0" xfId="0"/>
    <xf numFmtId="166" fontId="4" fillId="0" borderId="0" applyAlignment="1" pivotButton="0" quotePrefix="1" xfId="0">
      <alignment vertical="center"/>
    </xf>
    <xf numFmtId="4" fontId="4" fillId="0" borderId="25" applyAlignment="1" pivotButton="0" quotePrefix="0" xfId="0">
      <alignment vertical="center"/>
    </xf>
    <xf numFmtId="4" fontId="4" fillId="0" borderId="27" applyAlignment="1" pivotButton="0" quotePrefix="0" xfId="0">
      <alignment vertical="center"/>
    </xf>
    <xf numFmtId="4" fontId="4" fillId="0" borderId="30" applyAlignment="1" pivotButton="0" quotePrefix="0" xfId="0">
      <alignment vertical="center"/>
    </xf>
    <xf numFmtId="4" fontId="15" fillId="0" borderId="0" pivotButton="0" quotePrefix="0" xfId="0"/>
    <xf numFmtId="2" fontId="4" fillId="0" borderId="0" pivotButton="0" quotePrefix="0" xfId="0"/>
    <xf numFmtId="4" fontId="4" fillId="8" borderId="1" applyAlignment="1" pivotButton="0" quotePrefix="0" xfId="0">
      <alignment vertical="center" wrapText="1"/>
    </xf>
    <xf numFmtId="164" fontId="8" fillId="2" borderId="0" applyAlignment="1" pivotButton="0" quotePrefix="0" xfId="0">
      <alignment horizontal="center" vertical="center" wrapText="1"/>
    </xf>
    <xf numFmtId="4" fontId="8" fillId="8" borderId="0" applyAlignment="1" pivotButton="0" quotePrefix="0" xfId="0">
      <alignment vertical="center" wrapText="1"/>
    </xf>
    <xf numFmtId="10" fontId="13" fillId="0" borderId="0" pivotButton="0" quotePrefix="0" xfId="0"/>
    <xf numFmtId="10" fontId="13" fillId="0" borderId="8" applyAlignment="1" applyProtection="1" pivotButton="0" quotePrefix="0" xfId="0">
      <alignment vertical="center"/>
      <protection locked="0" hidden="0"/>
    </xf>
    <xf numFmtId="165" fontId="5" fillId="2" borderId="5" applyAlignment="1" pivotButton="0" quotePrefix="0" xfId="0">
      <alignment horizontal="right" vertical="center"/>
    </xf>
    <xf numFmtId="4" fontId="4" fillId="0" borderId="5" applyAlignment="1" pivotButton="0" quotePrefix="0" xfId="0">
      <alignment horizontal="right" vertical="center"/>
    </xf>
    <xf numFmtId="165" fontId="5" fillId="2" borderId="64" applyAlignment="1" pivotButton="0" quotePrefix="0" xfId="0">
      <alignment horizontal="right" vertical="center"/>
    </xf>
    <xf numFmtId="4" fontId="4" fillId="0" borderId="64" applyAlignment="1" pivotButton="0" quotePrefix="0" xfId="1">
      <alignment horizontal="right" vertical="center"/>
    </xf>
    <xf numFmtId="4" fontId="4" fillId="0" borderId="64" applyAlignment="1" pivotButton="0" quotePrefix="0" xfId="1">
      <alignment horizontal="right" vertical="center"/>
    </xf>
    <xf numFmtId="166" fontId="4" fillId="0" borderId="29" applyAlignment="1" pivotButton="0" quotePrefix="0" xfId="0">
      <alignment vertical="center"/>
    </xf>
    <xf numFmtId="4" fontId="4" fillId="0" borderId="64" applyAlignment="1" pivotButton="0" quotePrefix="0" xfId="0">
      <alignment vertical="center"/>
    </xf>
    <xf numFmtId="164" fontId="0" fillId="0" borderId="11" applyAlignment="1" pivotButton="0" quotePrefix="0" xfId="0">
      <alignment horizontal="center" vertical="center"/>
    </xf>
    <xf numFmtId="17" fontId="0" fillId="0" borderId="1" applyAlignment="1" pivotButton="0" quotePrefix="0" xfId="0">
      <alignment horizontal="right"/>
    </xf>
    <xf numFmtId="9" fontId="0" fillId="0" borderId="0" pivotButton="0" quotePrefix="0" xfId="2"/>
    <xf numFmtId="0" fontId="8" fillId="17" borderId="16" applyAlignment="1" pivotButton="0" quotePrefix="0" xfId="3">
      <alignment horizontal="center" vertical="center" wrapText="1"/>
    </xf>
    <xf numFmtId="0" fontId="8" fillId="17" borderId="17" applyAlignment="1" pivotButton="0" quotePrefix="0" xfId="3">
      <alignment horizontal="center" vertical="center" wrapText="1"/>
    </xf>
    <xf numFmtId="17" fontId="8" fillId="23" borderId="1" applyAlignment="1" pivotButton="0" quotePrefix="0" xfId="0">
      <alignment vertical="center" wrapText="1"/>
    </xf>
    <xf numFmtId="172" fontId="15" fillId="0" borderId="0" applyAlignment="1" pivotButton="0" quotePrefix="0" xfId="2">
      <alignment vertical="center" wrapText="1"/>
    </xf>
    <xf numFmtId="166" fontId="4" fillId="20" borderId="0" applyAlignment="1" pivotButton="0" quotePrefix="0" xfId="0">
      <alignment vertical="center"/>
    </xf>
    <xf numFmtId="0" fontId="8" fillId="4" borderId="0" applyAlignment="1" pivotButton="0" quotePrefix="0" xfId="0">
      <alignment horizontal="right" vertical="center"/>
    </xf>
    <xf numFmtId="10" fontId="4" fillId="0" borderId="0" applyAlignment="1" pivotButton="0" quotePrefix="0" xfId="2">
      <alignment vertical="center"/>
    </xf>
    <xf numFmtId="0" fontId="44" fillId="0" borderId="0" pivotButton="0" quotePrefix="0" xfId="0"/>
    <xf numFmtId="3" fontId="4" fillId="0" borderId="0" applyAlignment="1" pivotButton="0" quotePrefix="0" xfId="0">
      <alignment horizontal="center" vertical="center" wrapText="1"/>
    </xf>
    <xf numFmtId="0" fontId="8" fillId="34" borderId="0" applyAlignment="1" pivotButton="0" quotePrefix="0" xfId="0">
      <alignment horizontal="center" vertical="center" wrapText="1"/>
    </xf>
    <xf numFmtId="0" fontId="8" fillId="0" borderId="19" applyAlignment="1" pivotButton="0" quotePrefix="0" xfId="0">
      <alignment horizontal="center" vertical="center" wrapText="1"/>
    </xf>
    <xf numFmtId="9" fontId="13" fillId="0" borderId="0" pivotButton="0" quotePrefix="0" xfId="2"/>
    <xf numFmtId="167" fontId="13" fillId="0" borderId="0" pivotButton="0" quotePrefix="0" xfId="2"/>
    <xf numFmtId="167" fontId="4" fillId="0" borderId="0" applyAlignment="1" pivotButton="0" quotePrefix="0" xfId="2">
      <alignment vertical="center" wrapText="1"/>
    </xf>
    <xf numFmtId="167" fontId="7" fillId="0" borderId="1" applyAlignment="1" pivotButton="0" quotePrefix="0" xfId="2">
      <alignment vertical="center" wrapText="1"/>
    </xf>
    <xf numFmtId="167" fontId="4" fillId="5" borderId="0" applyAlignment="1" pivotButton="0" quotePrefix="0" xfId="2">
      <alignment horizontal="right" vertical="center"/>
    </xf>
    <xf numFmtId="40" fontId="4" fillId="5" borderId="49" applyAlignment="1" pivotButton="0" quotePrefix="0" xfId="0">
      <alignment horizontal="center" vertical="center" wrapText="1"/>
    </xf>
    <xf numFmtId="0" fontId="4" fillId="5" borderId="65" applyAlignment="1" pivotButton="0" quotePrefix="0" xfId="0">
      <alignment horizontal="center" vertical="center" wrapText="1"/>
    </xf>
    <xf numFmtId="0" fontId="4" fillId="5" borderId="10" applyAlignment="1" pivotButton="0" quotePrefix="0" xfId="0">
      <alignment horizontal="center" vertical="center" wrapText="1"/>
    </xf>
    <xf numFmtId="4" fontId="4" fillId="5" borderId="1" applyAlignment="1" pivotButton="0" quotePrefix="0" xfId="0">
      <alignment vertical="center" wrapText="1"/>
    </xf>
    <xf numFmtId="43" fontId="4" fillId="0" borderId="0" pivotButton="0" quotePrefix="0" xfId="1"/>
    <xf numFmtId="4" fontId="4" fillId="0" borderId="0" pivotButton="0" quotePrefix="0" xfId="2"/>
    <xf numFmtId="174" fontId="4" fillId="0" borderId="0" pivotButton="0" quotePrefix="0" xfId="0"/>
    <xf numFmtId="0" fontId="8" fillId="12" borderId="0" applyAlignment="1" pivotButton="0" quotePrefix="0" xfId="0">
      <alignment horizontal="center" vertical="center" wrapText="1"/>
    </xf>
    <xf numFmtId="0" fontId="4" fillId="10" borderId="8" applyAlignment="1" pivotButton="0" quotePrefix="0" xfId="0">
      <alignment horizontal="center" vertical="center" wrapText="1"/>
    </xf>
    <xf numFmtId="3" fontId="4" fillId="0" borderId="55" pivotButton="0" quotePrefix="0" xfId="0"/>
    <xf numFmtId="3" fontId="4" fillId="0" borderId="8" pivotButton="0" quotePrefix="0" xfId="0"/>
    <xf numFmtId="3" fontId="4" fillId="0" borderId="11" pivotButton="0" quotePrefix="0" xfId="0"/>
    <xf numFmtId="164" fontId="4" fillId="0" borderId="29" applyAlignment="1" pivotButton="0" quotePrefix="0" xfId="0">
      <alignment vertical="center"/>
    </xf>
    <xf numFmtId="0" fontId="8" fillId="0" borderId="8" applyAlignment="1" pivotButton="0" quotePrefix="0" xfId="0">
      <alignment vertical="center"/>
    </xf>
    <xf numFmtId="4" fontId="4" fillId="0" borderId="0" pivotButton="0" quotePrefix="0" xfId="2"/>
    <xf numFmtId="172" fontId="4" fillId="0" borderId="0" applyAlignment="1" pivotButton="0" quotePrefix="0" xfId="1">
      <alignment vertical="center"/>
    </xf>
    <xf numFmtId="172" fontId="4" fillId="0" borderId="0" applyAlignment="1" pivotButton="0" quotePrefix="0" xfId="1">
      <alignment vertical="center" wrapText="1"/>
    </xf>
    <xf numFmtId="9" fontId="15" fillId="0" borderId="0" applyAlignment="1" pivotButton="0" quotePrefix="0" xfId="2">
      <alignment vertical="center" wrapText="1"/>
    </xf>
    <xf numFmtId="10" fontId="7" fillId="6" borderId="1" applyAlignment="1" pivotButton="0" quotePrefix="0" xfId="1">
      <alignment horizontal="right" vertical="center" wrapText="1"/>
    </xf>
    <xf numFmtId="17" fontId="8" fillId="11" borderId="2" pivotButton="0" quotePrefix="0" xfId="0"/>
    <xf numFmtId="17" fontId="8" fillId="21" borderId="2" pivotButton="0" quotePrefix="0" xfId="0"/>
    <xf numFmtId="17" fontId="8" fillId="20" borderId="2" pivotButton="0" quotePrefix="0" xfId="0"/>
    <xf numFmtId="17" fontId="8" fillId="19" borderId="20" pivotButton="0" quotePrefix="0" xfId="0"/>
    <xf numFmtId="17" fontId="8" fillId="19" borderId="2" pivotButton="0" quotePrefix="0" xfId="0"/>
    <xf numFmtId="17" fontId="8" fillId="10" borderId="20" pivotButton="0" quotePrefix="0" xfId="0"/>
    <xf numFmtId="17" fontId="8" fillId="10" borderId="2" pivotButton="0" quotePrefix="0" xfId="0"/>
    <xf numFmtId="17" fontId="8" fillId="10" borderId="2" applyAlignment="1" pivotButton="0" quotePrefix="0" xfId="0">
      <alignment vertical="center" wrapText="1"/>
    </xf>
    <xf numFmtId="17" fontId="8" fillId="20" borderId="2" applyAlignment="1" pivotButton="0" quotePrefix="0" xfId="0">
      <alignment vertical="center" wrapText="1"/>
    </xf>
    <xf numFmtId="0" fontId="8" fillId="0" borderId="0" pivotButton="0" quotePrefix="0" xfId="5"/>
    <xf numFmtId="0" fontId="8" fillId="0" borderId="19" applyAlignment="1" pivotButton="0" quotePrefix="0" xfId="0">
      <alignment vertical="center"/>
    </xf>
    <xf numFmtId="3" fontId="7" fillId="6" borderId="6" applyAlignment="1" pivotButton="0" quotePrefix="0" xfId="1">
      <alignment horizontal="right" vertical="center"/>
    </xf>
    <xf numFmtId="3" fontId="7" fillId="0" borderId="6" applyAlignment="1" pivotButton="0" quotePrefix="0" xfId="1">
      <alignment horizontal="right" vertical="center"/>
    </xf>
    <xf numFmtId="3" fontId="7" fillId="0" borderId="6" applyAlignment="1" pivotButton="0" quotePrefix="0" xfId="1">
      <alignment horizontal="right" vertical="center"/>
    </xf>
    <xf numFmtId="3" fontId="7" fillId="0" borderId="1" applyAlignment="1" pivotButton="0" quotePrefix="0" xfId="1">
      <alignment horizontal="right" vertical="center"/>
    </xf>
    <xf numFmtId="3" fontId="4" fillId="6" borderId="1" applyAlignment="1" pivotButton="0" quotePrefix="0" xfId="1">
      <alignment vertical="center"/>
    </xf>
    <xf numFmtId="3" fontId="7" fillId="6" borderId="1" applyAlignment="1" pivotButton="0" quotePrefix="0" xfId="1">
      <alignment horizontal="right" vertical="center"/>
    </xf>
    <xf numFmtId="3" fontId="7" fillId="6" borderId="1" applyAlignment="1" pivotButton="0" quotePrefix="0" xfId="1">
      <alignment horizontal="right" vertical="center" wrapText="1"/>
    </xf>
    <xf numFmtId="3" fontId="7" fillId="0" borderId="1" applyAlignment="1" pivotButton="0" quotePrefix="0" xfId="1">
      <alignment horizontal="right" vertical="center" wrapText="1"/>
    </xf>
    <xf numFmtId="3" fontId="4" fillId="0" borderId="0" applyAlignment="1" pivotButton="0" quotePrefix="0" xfId="1">
      <alignment vertical="center"/>
    </xf>
    <xf numFmtId="3" fontId="4" fillId="0" borderId="0" applyAlignment="1" pivotButton="0" quotePrefix="0" xfId="1">
      <alignment vertical="center"/>
    </xf>
    <xf numFmtId="3" fontId="7" fillId="6" borderId="2" applyAlignment="1" pivotButton="0" quotePrefix="0" xfId="1">
      <alignment horizontal="right" vertical="center"/>
    </xf>
    <xf numFmtId="0" fontId="16" fillId="35" borderId="66" applyAlignment="1" pivotButton="0" quotePrefix="0" xfId="0">
      <alignment horizontal="center" vertical="center" wrapText="1"/>
    </xf>
    <xf numFmtId="0" fontId="16" fillId="32" borderId="66" applyAlignment="1" pivotButton="0" quotePrefix="0" xfId="0">
      <alignment horizontal="center" vertical="center" wrapText="1"/>
    </xf>
    <xf numFmtId="0" fontId="8" fillId="9" borderId="51" applyAlignment="1" pivotButton="0" quotePrefix="0" xfId="3">
      <alignment horizontal="center" vertical="center" wrapText="1"/>
    </xf>
    <xf numFmtId="0" fontId="8" fillId="16" borderId="49" applyAlignment="1" pivotButton="0" quotePrefix="0" xfId="0">
      <alignment horizontal="center" vertical="center" wrapText="1"/>
    </xf>
    <xf numFmtId="0" fontId="8" fillId="14" borderId="49" applyAlignment="1" pivotButton="0" quotePrefix="0" xfId="3">
      <alignment horizontal="center" vertical="center" wrapText="1"/>
    </xf>
    <xf numFmtId="0" fontId="8" fillId="4" borderId="49" applyAlignment="1" pivotButton="0" quotePrefix="0" xfId="3">
      <alignment horizontal="center" vertical="center" wrapText="1"/>
    </xf>
    <xf numFmtId="0" fontId="8" fillId="15" borderId="49" applyAlignment="1" pivotButton="0" quotePrefix="0" xfId="3">
      <alignment horizontal="center" vertical="center" wrapText="1"/>
    </xf>
    <xf numFmtId="3" fontId="4" fillId="9" borderId="20" applyAlignment="1" pivotButton="0" quotePrefix="0" xfId="3">
      <alignment vertical="center" wrapText="1"/>
    </xf>
    <xf numFmtId="0" fontId="7" fillId="18" borderId="5" applyAlignment="1" pivotButton="0" quotePrefix="0" xfId="0">
      <alignment vertical="center" wrapText="1"/>
    </xf>
    <xf numFmtId="3" fontId="4" fillId="9" borderId="2" applyAlignment="1" pivotButton="0" quotePrefix="0" xfId="3">
      <alignment vertical="center" wrapText="1"/>
    </xf>
    <xf numFmtId="3" fontId="4" fillId="0" borderId="17" applyAlignment="1" pivotButton="0" quotePrefix="0" xfId="0">
      <alignment vertical="center" wrapText="1"/>
    </xf>
    <xf numFmtId="3" fontId="4" fillId="0" borderId="51" applyAlignment="1" pivotButton="0" quotePrefix="0" xfId="0">
      <alignment vertical="center" wrapText="1"/>
    </xf>
    <xf numFmtId="3" fontId="7" fillId="9" borderId="2" applyAlignment="1" pivotButton="0" quotePrefix="0" xfId="3">
      <alignment vertical="center" wrapText="1"/>
    </xf>
    <xf numFmtId="0" fontId="1" fillId="20" borderId="1" applyAlignment="1" pivotButton="0" quotePrefix="0" xfId="0">
      <alignment vertical="center" wrapText="1"/>
    </xf>
    <xf numFmtId="3" fontId="4" fillId="9" borderId="1" applyAlignment="1" pivotButton="0" quotePrefix="0" xfId="3">
      <alignment vertical="center" wrapText="1"/>
    </xf>
    <xf numFmtId="3" fontId="7" fillId="9" borderId="1" applyAlignment="1" pivotButton="0" quotePrefix="0" xfId="3">
      <alignment vertical="center" wrapText="1"/>
    </xf>
    <xf numFmtId="3" fontId="4" fillId="9" borderId="0" applyAlignment="1" pivotButton="0" quotePrefix="0" xfId="0">
      <alignment vertical="center" wrapText="1"/>
    </xf>
    <xf numFmtId="9" fontId="4" fillId="0" borderId="0" applyAlignment="1" pivotButton="0" quotePrefix="0" xfId="2">
      <alignment vertical="center" wrapText="1"/>
    </xf>
    <xf numFmtId="9" fontId="4" fillId="9" borderId="0" applyAlignment="1" pivotButton="0" quotePrefix="0" xfId="2">
      <alignment vertical="center" wrapText="1"/>
    </xf>
    <xf numFmtId="0" fontId="16" fillId="32" borderId="15" applyAlignment="1" pivotButton="0" quotePrefix="0" xfId="0">
      <alignment horizontal="center" vertical="center" wrapText="1"/>
    </xf>
    <xf numFmtId="0" fontId="27" fillId="17" borderId="17" applyAlignment="1" pivotButton="0" quotePrefix="0" xfId="3">
      <alignment horizontal="center" vertical="center" wrapText="1"/>
    </xf>
    <xf numFmtId="166" fontId="4" fillId="4" borderId="0" applyAlignment="1" pivotButton="0" quotePrefix="0" xfId="0">
      <alignment vertical="center"/>
    </xf>
    <xf numFmtId="3" fontId="4" fillId="4" borderId="0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 wrapText="1"/>
    </xf>
    <xf numFmtId="17" fontId="8" fillId="2" borderId="1" applyAlignment="1" pivotButton="0" quotePrefix="0" xfId="0">
      <alignment horizontal="right" vertical="center" wrapText="1"/>
    </xf>
    <xf numFmtId="17" fontId="8" fillId="2" borderId="1" applyAlignment="1" pivotButton="0" quotePrefix="0" xfId="0">
      <alignment vertical="center" wrapText="1"/>
    </xf>
    <xf numFmtId="0" fontId="8" fillId="2" borderId="1" applyAlignment="1" pivotButton="0" quotePrefix="0" xfId="0">
      <alignment vertical="center" wrapText="1"/>
    </xf>
    <xf numFmtId="3" fontId="8" fillId="4" borderId="0" applyAlignment="1" pivotButton="0" quotePrefix="0" xfId="0">
      <alignment vertical="center"/>
    </xf>
    <xf numFmtId="0" fontId="14" fillId="0" borderId="0" applyAlignment="1" pivotButton="0" quotePrefix="0" xfId="5">
      <alignment vertical="center"/>
    </xf>
    <xf numFmtId="166" fontId="15" fillId="4" borderId="0" applyAlignment="1" pivotButton="0" quotePrefix="0" xfId="0">
      <alignment vertical="center"/>
    </xf>
    <xf numFmtId="0" fontId="8" fillId="2" borderId="14" applyAlignment="1" pivotButton="0" quotePrefix="0" xfId="3">
      <alignment horizontal="center" vertical="center" wrapText="1"/>
    </xf>
    <xf numFmtId="165" fontId="5" fillId="27" borderId="6" applyAlignment="1" pivotButton="0" quotePrefix="0" xfId="0">
      <alignment horizontal="right" vertical="center"/>
    </xf>
    <xf numFmtId="165" fontId="5" fillId="21" borderId="6" applyAlignment="1" pivotButton="0" quotePrefix="0" xfId="0">
      <alignment horizontal="right" vertical="center"/>
    </xf>
    <xf numFmtId="165" fontId="5" fillId="20" borderId="6" applyAlignment="1" pivotButton="0" quotePrefix="0" xfId="0">
      <alignment horizontal="right" vertical="center"/>
    </xf>
    <xf numFmtId="165" fontId="5" fillId="23" borderId="6" applyAlignment="1" pivotButton="0" quotePrefix="0" xfId="0">
      <alignment horizontal="right" vertical="center"/>
    </xf>
    <xf numFmtId="165" fontId="5" fillId="21" borderId="54" applyAlignment="1" pivotButton="0" quotePrefix="0" xfId="0">
      <alignment horizontal="right" vertical="center"/>
    </xf>
    <xf numFmtId="165" fontId="5" fillId="20" borderId="54" applyAlignment="1" pivotButton="0" quotePrefix="0" xfId="0">
      <alignment horizontal="right" vertical="center"/>
    </xf>
    <xf numFmtId="175" fontId="7" fillId="0" borderId="0" applyAlignment="1" pivotButton="0" quotePrefix="0" xfId="0">
      <alignment horizontal="right" vertical="center" wrapText="1"/>
    </xf>
    <xf numFmtId="17" fontId="8" fillId="20" borderId="1" applyAlignment="1" pivotButton="0" quotePrefix="0" xfId="3">
      <alignment vertical="center" wrapText="1"/>
    </xf>
    <xf numFmtId="17" fontId="8" fillId="23" borderId="1" applyAlignment="1" pivotButton="0" quotePrefix="0" xfId="3">
      <alignment vertical="center" wrapText="1"/>
    </xf>
    <xf numFmtId="0" fontId="11" fillId="2" borderId="1" applyAlignment="1" pivotButton="0" quotePrefix="0" xfId="0">
      <alignment vertical="center" wrapText="1"/>
    </xf>
    <xf numFmtId="0" fontId="11" fillId="2" borderId="3" applyAlignment="1" pivotButton="0" quotePrefix="0" xfId="0">
      <alignment horizontal="center" vertical="center" wrapText="1"/>
    </xf>
    <xf numFmtId="0" fontId="11" fillId="2" borderId="8" applyAlignment="1" pivotButton="0" quotePrefix="0" xfId="0">
      <alignment vertical="center" wrapText="1"/>
    </xf>
    <xf numFmtId="0" fontId="11" fillId="2" borderId="1" applyAlignment="1" pivotButton="0" quotePrefix="0" xfId="0">
      <alignment horizontal="right" vertical="center" wrapText="1"/>
    </xf>
    <xf numFmtId="3" fontId="13" fillId="4" borderId="0" applyAlignment="1" pivotButton="0" quotePrefix="0" xfId="0">
      <alignment vertical="center" wrapText="1"/>
    </xf>
    <xf numFmtId="167" fontId="13" fillId="4" borderId="0" applyAlignment="1" pivotButton="0" quotePrefix="0" xfId="2">
      <alignment vertical="center" wrapText="1"/>
    </xf>
    <xf numFmtId="0" fontId="4" fillId="0" borderId="0" applyAlignment="1" pivotButton="0" quotePrefix="0" xfId="0">
      <alignment horizontal="center" vertical="center" wrapText="1"/>
    </xf>
    <xf numFmtId="40" fontId="37" fillId="5" borderId="35" applyAlignment="1" pivotButton="0" quotePrefix="0" xfId="0">
      <alignment horizontal="center" vertical="center"/>
    </xf>
    <xf numFmtId="40" fontId="37" fillId="5" borderId="42" applyAlignment="1" pivotButton="0" quotePrefix="0" xfId="0">
      <alignment horizontal="center" vertical="center"/>
    </xf>
    <xf numFmtId="40" fontId="37" fillId="5" borderId="20" applyAlignment="1" pivotButton="0" quotePrefix="0" xfId="0">
      <alignment horizontal="center" vertical="center"/>
    </xf>
    <xf numFmtId="40" fontId="37" fillId="5" borderId="41" applyAlignment="1" pivotButton="0" quotePrefix="0" xfId="0">
      <alignment horizontal="center" vertical="center"/>
    </xf>
    <xf numFmtId="40" fontId="36" fillId="5" borderId="4" applyAlignment="1" pivotButton="0" quotePrefix="0" xfId="0">
      <alignment horizontal="center" vertical="center" wrapText="1"/>
    </xf>
    <xf numFmtId="40" fontId="36" fillId="5" borderId="5" applyAlignment="1" pivotButton="0" quotePrefix="0" xfId="0">
      <alignment horizontal="center" vertical="center" wrapText="1"/>
    </xf>
    <xf numFmtId="40" fontId="36" fillId="5" borderId="43" applyAlignment="1" pivotButton="0" quotePrefix="0" xfId="0">
      <alignment horizontal="center" vertical="center"/>
    </xf>
    <xf numFmtId="40" fontId="36" fillId="5" borderId="44" applyAlignment="1" pivotButton="0" quotePrefix="0" xfId="0">
      <alignment horizontal="center" vertical="center"/>
    </xf>
    <xf numFmtId="40" fontId="37" fillId="5" borderId="36" applyAlignment="1" pivotButton="0" quotePrefix="0" xfId="0">
      <alignment horizontal="center" vertical="center" wrapText="1"/>
    </xf>
    <xf numFmtId="40" fontId="37" fillId="5" borderId="37" applyAlignment="1" pivotButton="0" quotePrefix="0" xfId="0">
      <alignment horizontal="center" vertical="center" wrapText="1"/>
    </xf>
    <xf numFmtId="40" fontId="37" fillId="5" borderId="56" applyAlignment="1" pivotButton="0" quotePrefix="0" xfId="0">
      <alignment horizontal="center" vertical="center" wrapText="1"/>
    </xf>
    <xf numFmtId="40" fontId="37" fillId="5" borderId="2" applyAlignment="1" pivotButton="0" quotePrefix="0" xfId="0">
      <alignment horizontal="center" vertical="center"/>
    </xf>
    <xf numFmtId="40" fontId="37" fillId="5" borderId="10" applyAlignment="1" pivotButton="0" quotePrefix="0" xfId="0">
      <alignment horizontal="center" vertical="center"/>
    </xf>
    <xf numFmtId="40" fontId="37" fillId="5" borderId="3" applyAlignment="1" pivotButton="0" quotePrefix="0" xfId="0">
      <alignment horizontal="center" vertical="center"/>
    </xf>
    <xf numFmtId="40" fontId="37" fillId="5" borderId="35" applyAlignment="1" pivotButton="0" quotePrefix="0" xfId="0">
      <alignment horizontal="center" vertical="center" wrapText="1"/>
    </xf>
    <xf numFmtId="40" fontId="37" fillId="5" borderId="42" applyAlignment="1" pivotButton="0" quotePrefix="0" xfId="0">
      <alignment horizontal="center" vertical="center" wrapText="1"/>
    </xf>
    <xf numFmtId="40" fontId="37" fillId="5" borderId="20" applyAlignment="1" pivotButton="0" quotePrefix="0" xfId="0">
      <alignment horizontal="center" vertical="center" wrapText="1"/>
    </xf>
    <xf numFmtId="40" fontId="37" fillId="5" borderId="41" applyAlignment="1" pivotButton="0" quotePrefix="0" xfId="0">
      <alignment horizontal="center" vertical="center" wrapText="1"/>
    </xf>
    <xf numFmtId="40" fontId="37" fillId="5" borderId="39" applyAlignment="1" pivotButton="0" quotePrefix="0" xfId="0">
      <alignment horizontal="center" vertical="center"/>
    </xf>
    <xf numFmtId="40" fontId="37" fillId="5" borderId="40" applyAlignment="1" pivotButton="0" quotePrefix="0" xfId="0">
      <alignment horizontal="center" vertical="center"/>
    </xf>
    <xf numFmtId="4" fontId="4" fillId="5" borderId="2" applyAlignment="1" pivotButton="0" quotePrefix="0" xfId="0">
      <alignment horizontal="center" vertical="center" wrapText="1"/>
    </xf>
    <xf numFmtId="4" fontId="4" fillId="5" borderId="62" applyAlignment="1" pivotButton="0" quotePrefix="0" xfId="0">
      <alignment horizontal="center" vertical="center" wrapText="1"/>
    </xf>
    <xf numFmtId="4" fontId="4" fillId="5" borderId="13" applyAlignment="1" pivotButton="0" quotePrefix="0" xfId="0">
      <alignment horizontal="center" vertical="center" wrapText="1"/>
    </xf>
    <xf numFmtId="4" fontId="4" fillId="5" borderId="42" applyAlignment="1" pivotButton="0" quotePrefix="0" xfId="0">
      <alignment horizontal="center" vertical="center" wrapText="1"/>
    </xf>
    <xf numFmtId="4" fontId="8" fillId="5" borderId="52" applyAlignment="1" pivotButton="0" quotePrefix="0" xfId="0">
      <alignment horizontal="center" vertical="center"/>
    </xf>
    <xf numFmtId="4" fontId="8" fillId="5" borderId="63" applyAlignment="1" pivotButton="0" quotePrefix="0" xfId="0">
      <alignment horizontal="center" vertical="center"/>
    </xf>
    <xf numFmtId="4" fontId="4" fillId="5" borderId="17" applyAlignment="1" pivotButton="0" quotePrefix="0" xfId="0">
      <alignment horizontal="center" vertical="center" wrapText="1"/>
    </xf>
    <xf numFmtId="4" fontId="4" fillId="5" borderId="50" applyAlignment="1" pivotButton="0" quotePrefix="0" xfId="0">
      <alignment horizontal="center" vertical="center" wrapText="1"/>
    </xf>
    <xf numFmtId="4" fontId="4" fillId="5" borderId="51" applyAlignment="1" pivotButton="0" quotePrefix="0" xfId="0">
      <alignment horizontal="center" vertical="center" wrapText="1"/>
    </xf>
    <xf numFmtId="40" fontId="4" fillId="5" borderId="39" applyAlignment="1" pivotButton="0" quotePrefix="0" xfId="0">
      <alignment horizontal="center" vertical="center"/>
    </xf>
    <xf numFmtId="40" fontId="4" fillId="5" borderId="40" applyAlignment="1" pivotButton="0" quotePrefix="0" xfId="0">
      <alignment horizontal="center" vertical="center"/>
    </xf>
    <xf numFmtId="4" fontId="4" fillId="5" borderId="23" applyAlignment="1" pivotButton="0" quotePrefix="0" xfId="0">
      <alignment horizontal="center" vertical="center" wrapText="1"/>
    </xf>
    <xf numFmtId="4" fontId="4" fillId="5" borderId="53" applyAlignment="1" pivotButton="0" quotePrefix="0" xfId="0">
      <alignment horizontal="center" vertical="center" wrapText="1"/>
    </xf>
    <xf numFmtId="4" fontId="4" fillId="5" borderId="26" applyAlignment="1" pivotButton="0" quotePrefix="0" xfId="0">
      <alignment horizontal="center" vertical="center" wrapText="1"/>
    </xf>
    <xf numFmtId="4" fontId="4" fillId="5" borderId="8" applyAlignment="1" pivotButton="0" quotePrefix="0" xfId="0">
      <alignment horizontal="center" vertical="center" wrapText="1"/>
    </xf>
    <xf numFmtId="4" fontId="4" fillId="5" borderId="25" applyAlignment="1" pivotButton="0" quotePrefix="0" xfId="0">
      <alignment horizontal="center" vertical="center" wrapText="1"/>
    </xf>
    <xf numFmtId="4" fontId="4" fillId="5" borderId="27" applyAlignment="1" pivotButton="0" quotePrefix="0" xfId="0">
      <alignment horizontal="center" vertical="center" wrapText="1"/>
    </xf>
    <xf numFmtId="4" fontId="8" fillId="5" borderId="52" applyAlignment="1" pivotButton="0" quotePrefix="0" xfId="0">
      <alignment horizontal="center" vertical="center" wrapText="1"/>
    </xf>
    <xf numFmtId="4" fontId="8" fillId="5" borderId="63" applyAlignment="1" pivotButton="0" quotePrefix="0" xfId="0">
      <alignment horizontal="center" vertical="center" wrapText="1"/>
    </xf>
    <xf numFmtId="3" fontId="4" fillId="5" borderId="24" applyAlignment="1" pivotButton="0" quotePrefix="0" xfId="0">
      <alignment horizontal="center" vertical="center" wrapText="1"/>
    </xf>
    <xf numFmtId="3" fontId="4" fillId="5" borderId="0" applyAlignment="1" pivotButton="0" quotePrefix="0" xfId="0">
      <alignment horizontal="center" vertical="center" wrapText="1"/>
    </xf>
    <xf numFmtId="4" fontId="8" fillId="5" borderId="25" applyAlignment="1" pivotButton="0" quotePrefix="0" xfId="0">
      <alignment horizontal="center" vertical="center" wrapText="1"/>
    </xf>
    <xf numFmtId="4" fontId="8" fillId="5" borderId="27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6" fillId="33" borderId="0" applyAlignment="1" pivotButton="0" quotePrefix="0" xfId="7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0">
      <alignment horizontal="center" vertical="center" wrapText="1"/>
    </xf>
    <xf numFmtId="172" fontId="4" fillId="0" borderId="0" applyAlignment="1" pivotButton="0" quotePrefix="0" xfId="1">
      <alignment horizontal="left" vertical="center" wrapText="1"/>
    </xf>
    <xf numFmtId="0" fontId="11" fillId="5" borderId="2" applyAlignment="1" pivotButton="0" quotePrefix="0" xfId="0">
      <alignment horizontal="center" vertical="center" wrapText="1"/>
    </xf>
    <xf numFmtId="0" fontId="11" fillId="5" borderId="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72" fontId="4" fillId="0" borderId="0" applyAlignment="1" pivotButton="0" quotePrefix="0" xfId="1">
      <alignment horizontal="center" vertical="center" wrapText="1"/>
    </xf>
    <xf numFmtId="0" fontId="4" fillId="0" borderId="0" applyAlignment="1" pivotButton="0" quotePrefix="0" xfId="0">
      <alignment vertical="center"/>
    </xf>
    <xf numFmtId="172" fontId="4" fillId="0" borderId="0" applyAlignment="1" pivotButton="0" quotePrefix="0" xfId="1">
      <alignment vertical="center"/>
    </xf>
    <xf numFmtId="172" fontId="4" fillId="0" borderId="0" applyAlignment="1" pivotButton="0" quotePrefix="0" xfId="1">
      <alignment vertical="center" wrapText="1"/>
    </xf>
    <xf numFmtId="172" fontId="5" fillId="2" borderId="0" applyAlignment="1" pivotButton="0" quotePrefix="0" xfId="1">
      <alignment horizontal="center" vertical="center" wrapText="1"/>
    </xf>
    <xf numFmtId="172" fontId="5" fillId="2" borderId="6" applyAlignment="1" pivotButton="0" quotePrefix="0" xfId="1">
      <alignment horizontal="center" vertical="center" wrapText="1"/>
    </xf>
    <xf numFmtId="172" fontId="5" fillId="2" borderId="7" applyAlignment="1" pivotButton="0" quotePrefix="0" xfId="1">
      <alignment horizontal="right" vertical="center" wrapText="1"/>
    </xf>
    <xf numFmtId="172" fontId="4" fillId="0" borderId="0" applyAlignment="1" pivotButton="0" quotePrefix="0" xfId="1">
      <alignment horizontal="center" vertical="center" wrapText="1"/>
    </xf>
    <xf numFmtId="172" fontId="4" fillId="0" borderId="0" applyAlignment="1" pivotButton="0" quotePrefix="0" xfId="1">
      <alignment horizontal="center" vertical="center"/>
    </xf>
    <xf numFmtId="165" fontId="5" fillId="2" borderId="5" applyAlignment="1" pivotButton="0" quotePrefix="0" xfId="0">
      <alignment horizontal="right" vertical="center" wrapText="1"/>
    </xf>
    <xf numFmtId="172" fontId="7" fillId="6" borderId="5" applyAlignment="1" pivotButton="0" quotePrefix="0" xfId="1">
      <alignment horizontal="right" vertical="center" wrapText="1"/>
    </xf>
    <xf numFmtId="172" fontId="6" fillId="6" borderId="5" applyAlignment="1" pivotButton="0" quotePrefix="0" xfId="1">
      <alignment horizontal="right" vertical="center" wrapText="1"/>
    </xf>
    <xf numFmtId="172" fontId="7" fillId="6" borderId="6" applyAlignment="1" pivotButton="0" quotePrefix="0" xfId="1">
      <alignment horizontal="right" vertical="center"/>
    </xf>
    <xf numFmtId="172" fontId="7" fillId="6" borderId="1" applyAlignment="1" pivotButton="0" quotePrefix="0" xfId="1">
      <alignment horizontal="right" vertical="center"/>
    </xf>
    <xf numFmtId="172" fontId="7" fillId="0" borderId="1" applyAlignment="1" pivotButton="0" quotePrefix="0" xfId="1">
      <alignment horizontal="right" vertical="center" wrapText="1"/>
    </xf>
    <xf numFmtId="172" fontId="5" fillId="6" borderId="5" applyAlignment="1" pivotButton="0" quotePrefix="0" xfId="1">
      <alignment horizontal="right" vertical="center" wrapText="1"/>
    </xf>
    <xf numFmtId="165" fontId="5" fillId="2" borderId="1" applyAlignment="1" pivotButton="0" quotePrefix="0" xfId="0">
      <alignment horizontal="right" vertical="center" wrapText="1"/>
    </xf>
    <xf numFmtId="172" fontId="7" fillId="6" borderId="1" applyAlignment="1" pivotButton="0" quotePrefix="0" xfId="1">
      <alignment horizontal="right" vertical="center" wrapText="1"/>
    </xf>
    <xf numFmtId="172" fontId="6" fillId="6" borderId="1" applyAlignment="1" pivotButton="0" quotePrefix="0" xfId="1">
      <alignment horizontal="right" vertical="center" wrapText="1"/>
    </xf>
    <xf numFmtId="172" fontId="4" fillId="6" borderId="1" applyAlignment="1" pivotButton="0" quotePrefix="0" xfId="1">
      <alignment vertical="center" wrapText="1"/>
    </xf>
    <xf numFmtId="172" fontId="15" fillId="29" borderId="0" applyAlignment="1" pivotButton="0" quotePrefix="0" xfId="2">
      <alignment vertical="center"/>
    </xf>
    <xf numFmtId="172" fontId="6" fillId="0" borderId="1" applyAlignment="1" pivotButton="0" quotePrefix="0" xfId="1">
      <alignment horizontal="right" vertical="center" wrapText="1"/>
    </xf>
    <xf numFmtId="172" fontId="7" fillId="0" borderId="6" applyAlignment="1" pivotButton="0" quotePrefix="0" xfId="1">
      <alignment horizontal="right" vertical="center"/>
    </xf>
    <xf numFmtId="172" fontId="7" fillId="0" borderId="1" applyAlignment="1" pivotButton="0" quotePrefix="0" xfId="1">
      <alignment horizontal="right" vertical="center"/>
    </xf>
    <xf numFmtId="172" fontId="4" fillId="0" borderId="1" applyAlignment="1" pivotButton="0" quotePrefix="0" xfId="1">
      <alignment vertical="center" wrapText="1"/>
    </xf>
    <xf numFmtId="172" fontId="15" fillId="0" borderId="0" applyAlignment="1" pivotButton="0" quotePrefix="0" xfId="1">
      <alignment vertical="center" wrapText="1"/>
    </xf>
    <xf numFmtId="172" fontId="7" fillId="0" borderId="7" applyAlignment="1" pivotButton="0" quotePrefix="0" xfId="1">
      <alignment horizontal="right" vertical="center"/>
    </xf>
    <xf numFmtId="172" fontId="4" fillId="6" borderId="1" applyAlignment="1" pivotButton="0" quotePrefix="0" xfId="1">
      <alignment vertical="center"/>
    </xf>
    <xf numFmtId="172" fontId="4" fillId="6" borderId="1" applyAlignment="1" pivotButton="0" quotePrefix="0" xfId="1">
      <alignment horizontal="right" vertical="center" wrapText="1"/>
    </xf>
    <xf numFmtId="172" fontId="4" fillId="6" borderId="0" applyAlignment="1" pivotButton="0" quotePrefix="0" xfId="1">
      <alignment vertical="center"/>
    </xf>
    <xf numFmtId="172" fontId="3" fillId="6" borderId="1" applyAlignment="1" pivotButton="0" quotePrefix="0" xfId="1">
      <alignment vertical="center"/>
    </xf>
    <xf numFmtId="172" fontId="4" fillId="0" borderId="1" applyAlignment="1" pivotButton="0" quotePrefix="0" xfId="1">
      <alignment vertical="center"/>
    </xf>
    <xf numFmtId="172" fontId="7" fillId="3" borderId="1" applyAlignment="1" pivotButton="0" quotePrefix="0" xfId="1">
      <alignment horizontal="right" vertical="center" wrapText="1"/>
    </xf>
    <xf numFmtId="172" fontId="4" fillId="0" borderId="0" pivotButton="0" quotePrefix="0" xfId="1"/>
    <xf numFmtId="172" fontId="4" fillId="29" borderId="0" applyAlignment="1" pivotButton="0" quotePrefix="0" xfId="1">
      <alignment vertical="center"/>
    </xf>
    <xf numFmtId="172" fontId="15" fillId="0" borderId="0" applyAlignment="1" pivotButton="0" quotePrefix="0" xfId="2">
      <alignment vertical="center" wrapText="1"/>
    </xf>
    <xf numFmtId="172" fontId="7" fillId="0" borderId="0" applyAlignment="1" pivotButton="0" quotePrefix="0" xfId="1">
      <alignment horizontal="center" vertical="center" wrapText="1"/>
    </xf>
    <xf numFmtId="172" fontId="7" fillId="0" borderId="0" applyAlignment="1" pivotButton="0" quotePrefix="0" xfId="1">
      <alignment horizontal="right" vertical="center" wrapText="1"/>
    </xf>
    <xf numFmtId="172" fontId="4" fillId="0" borderId="0" applyAlignment="1" pivotButton="0" quotePrefix="0" xfId="1">
      <alignment horizontal="left" vertical="center" wrapText="1"/>
    </xf>
    <xf numFmtId="166" fontId="4" fillId="0" borderId="0" applyAlignment="1" pivotButton="0" quotePrefix="0" xfId="0">
      <alignment vertical="center"/>
    </xf>
    <xf numFmtId="166" fontId="5" fillId="2" borderId="1" applyAlignment="1" pivotButton="0" quotePrefix="0" xfId="0">
      <alignment horizontal="center" vertical="center" wrapText="1"/>
    </xf>
    <xf numFmtId="165" fontId="5" fillId="2" borderId="1" applyAlignment="1" pivotButton="0" quotePrefix="0" xfId="0">
      <alignment horizontal="right" vertical="center"/>
    </xf>
    <xf numFmtId="165" fontId="5" fillId="2" borderId="64" applyAlignment="1" pivotButton="0" quotePrefix="0" xfId="0">
      <alignment horizontal="right" vertical="center"/>
    </xf>
    <xf numFmtId="166" fontId="4" fillId="0" borderId="29" applyAlignment="1" pivotButton="0" quotePrefix="0" xfId="0">
      <alignment vertical="center"/>
    </xf>
    <xf numFmtId="165" fontId="5" fillId="2" borderId="5" applyAlignment="1" pivotButton="0" quotePrefix="0" xfId="0">
      <alignment horizontal="right" vertical="center"/>
    </xf>
    <xf numFmtId="167" fontId="4" fillId="0" borderId="0" applyAlignment="1" pivotButton="0" quotePrefix="0" xfId="0">
      <alignment vertical="center"/>
    </xf>
  </cellXfs>
  <cellStyles count="8">
    <cellStyle name="Normal" xfId="0" builtinId="0"/>
    <cellStyle name="Comma" xfId="1" builtinId="3"/>
    <cellStyle name="Per cent" xfId="2" builtinId="5"/>
    <cellStyle name="Normal 2" xfId="3"/>
    <cellStyle name="一般 2" xfId="4"/>
    <cellStyle name="Hyperlink" xfId="5" builtinId="8"/>
    <cellStyle name="Normal 3" xfId="6"/>
    <cellStyle name="Bad" xfId="7" builtinId="27"/>
  </cellStyles>
  <dxfs count="1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 b="1" i="0" strike="noStrike" kern="1200" spc="0" baseline="0" dirty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12-Month Rolling Average of Waste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areaChart>
        <grouping val="stacked"/>
        <varyColors val="0"/>
        <ser>
          <idx val="0"/>
          <order val="0"/>
          <spPr>
            <a:solidFill xmlns:a="http://schemas.openxmlformats.org/drawingml/2006/main">
              <a:schemeClr val="accent2">
                <a:lumMod val="60000"/>
                <a:lumOff val="4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(KG)'!$AG$5:$AG$14</f>
              <numCache>
                <formatCode>_(* #,##0_);_(* \(#,##0\);_(* "-"??_);_(@_)</formatCode>
                <ptCount val="10"/>
              </numCache>
            </numRef>
          </cat>
          <val>
            <numRef>
              <f>'Raw Data (KG)'!$AJ$5:$AJ$14</f>
              <numCache>
                <formatCode>_(* #,##0_);_(* \(#,##0\);_(* "-"??_);_(@_)</formatCode>
                <ptCount val="10"/>
              </numCache>
            </numRef>
          </val>
        </ser>
        <ser>
          <idx val="1"/>
          <order val="1"/>
          <spPr>
            <a:solidFill xmlns:a="http://schemas.openxmlformats.org/drawingml/2006/main">
              <a:schemeClr val="accent2">
                <a:lumMod val="40000"/>
                <a:lumOff val="60000"/>
              </a:schemeClr>
            </a:solidFill>
            <a:ln xmlns:a="http://schemas.openxmlformats.org/drawingml/2006/main" w="25400">
              <a:noFill/>
              <a:prstDash val="solid"/>
            </a:ln>
          </spPr>
          <cat>
            <numRef>
              <f>'Raw Data (KG)'!$AG$5:$AG$14</f>
              <numCache>
                <formatCode>_(* #,##0_);_(* \(#,##0\);_(* "-"??_);_(@_)</formatCode>
                <ptCount val="10"/>
              </numCache>
            </numRef>
          </cat>
          <val>
            <numRef>
              <f>'Raw Data (KG)'!$AI$5:$AI$14</f>
              <numCache>
                <formatCode>_(* #,##0_);_(* \(#,##0\);_(* "-"??_);_(@_)</formatCode>
                <ptCount val="1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Waste Distribution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areaChart>
        <grouping val="stacked"/>
        <varyColors val="0"/>
        <ser>
          <idx val="0"/>
          <order val="0"/>
          <tx>
            <strRef>
              <f>'Raw Data (KG)'!$B$1</f>
              <strCache>
                <ptCount val="1"/>
                <pt idx="0">
                  <v xml:space="preserve"> Trash 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(KG)'!$B$2:$B$130</f>
              <numCache>
                <formatCode>_(* #,##0_);_(* \(#,##0\);_(* "-"??_);_(@_)</formatCode>
                <ptCount val="129"/>
                <pt idx="0">
                  <v>282100</v>
                </pt>
                <pt idx="1">
                  <v>282100</v>
                </pt>
                <pt idx="2">
                  <v>273000.0000000001</v>
                </pt>
                <pt idx="3">
                  <v>282100</v>
                </pt>
                <pt idx="4">
                  <v>273000.0000000001</v>
                </pt>
                <pt idx="5">
                  <v>282100</v>
                </pt>
                <pt idx="6">
                  <v>282100</v>
                </pt>
                <pt idx="7">
                  <v>254800</v>
                </pt>
                <pt idx="8">
                  <v>282100</v>
                </pt>
                <pt idx="9">
                  <v>273000.0000000001</v>
                </pt>
                <pt idx="10">
                  <v>282100</v>
                </pt>
                <pt idx="11">
                  <v>273000.0000000001</v>
                </pt>
                <pt idx="12">
                  <v>282100</v>
                </pt>
                <pt idx="13">
                  <v>282100</v>
                </pt>
                <pt idx="14">
                  <v>273000.0000000001</v>
                </pt>
                <pt idx="15">
                  <v>282100</v>
                </pt>
                <pt idx="16">
                  <v>273000.0000000001</v>
                </pt>
                <pt idx="17">
                  <v>282100</v>
                </pt>
                <pt idx="18">
                  <v>282100</v>
                </pt>
                <pt idx="19">
                  <v>254800</v>
                </pt>
                <pt idx="20">
                  <v>282100</v>
                </pt>
                <pt idx="21">
                  <v>273000.0000000001</v>
                </pt>
                <pt idx="22">
                  <v>282100</v>
                </pt>
                <pt idx="23">
                  <v>273000.0000000001</v>
                </pt>
                <pt idx="24">
                  <v>231390</v>
                </pt>
                <pt idx="25">
                  <v>281540</v>
                </pt>
                <pt idx="26">
                  <v>272880</v>
                </pt>
                <pt idx="27">
                  <v>281000</v>
                </pt>
                <pt idx="28">
                  <v>274289.9999999999</v>
                </pt>
                <pt idx="29">
                  <v>267880</v>
                </pt>
                <pt idx="30">
                  <v>269800</v>
                </pt>
                <pt idx="31">
                  <v>240500</v>
                </pt>
                <pt idx="32">
                  <v>263290</v>
                </pt>
                <pt idx="33">
                  <v>260100</v>
                </pt>
                <pt idx="34">
                  <v>279280.0000000001</v>
                </pt>
                <pt idx="35">
                  <v>265300</v>
                </pt>
                <pt idx="36">
                  <v>230700</v>
                </pt>
                <pt idx="37">
                  <v>249380</v>
                </pt>
                <pt idx="38">
                  <v>261650</v>
                </pt>
                <pt idx="39">
                  <v>258900</v>
                </pt>
                <pt idx="40">
                  <v>262650</v>
                </pt>
                <pt idx="41">
                  <v>247410</v>
                </pt>
                <pt idx="42">
                  <v>186070</v>
                </pt>
                <pt idx="43">
                  <v>189900</v>
                </pt>
                <pt idx="44">
                  <v>218930</v>
                </pt>
                <pt idx="45">
                  <v>200140</v>
                </pt>
                <pt idx="46">
                  <v>194190</v>
                </pt>
                <pt idx="47">
                  <v>204680</v>
                </pt>
                <pt idx="48">
                  <v>180020</v>
                </pt>
                <pt idx="49">
                  <v>205980</v>
                </pt>
                <pt idx="50">
                  <v>204680</v>
                </pt>
                <pt idx="51">
                  <v>205980</v>
                </pt>
                <pt idx="52">
                  <v>227040</v>
                </pt>
                <pt idx="53">
                  <v>212210</v>
                </pt>
                <pt idx="54">
                  <v>214260</v>
                </pt>
                <pt idx="55">
                  <v>202080</v>
                </pt>
                <pt idx="56">
                  <v>195120</v>
                </pt>
                <pt idx="57">
                  <v>177650</v>
                </pt>
                <pt idx="58">
                  <v>172500</v>
                </pt>
                <pt idx="59">
                  <v>172790</v>
                </pt>
                <pt idx="60">
                  <v>181220</v>
                </pt>
                <pt idx="61">
                  <v>176530</v>
                </pt>
                <pt idx="62">
                  <v>173070</v>
                </pt>
                <pt idx="63">
                  <v>177500</v>
                </pt>
                <pt idx="64">
                  <v>208090</v>
                </pt>
                <pt idx="65">
                  <v>202560</v>
                </pt>
                <pt idx="66">
                  <v>145940.2628</v>
                </pt>
                <pt idx="67">
                  <v>138993.9224</v>
                </pt>
                <pt idx="68">
                  <v>162063.1426</v>
                </pt>
                <pt idx="69">
                  <v>134497.6445</v>
                </pt>
                <pt idx="70">
                  <v>155093.376</v>
                </pt>
                <pt idx="71">
                  <v>155588.3447</v>
                </pt>
                <pt idx="72">
                  <v>141020</v>
                </pt>
                <pt idx="73">
                  <v>150570</v>
                </pt>
                <pt idx="74">
                  <v>138430</v>
                </pt>
                <pt idx="75">
                  <v>133570</v>
                </pt>
                <pt idx="76">
                  <v>106670</v>
                </pt>
                <pt idx="77">
                  <v>114530</v>
                </pt>
                <pt idx="78">
                  <v>86780</v>
                </pt>
                <pt idx="79">
                  <v>68320</v>
                </pt>
                <pt idx="80">
                  <v>74000</v>
                </pt>
                <pt idx="81">
                  <v>77800</v>
                </pt>
                <pt idx="82">
                  <v>95690</v>
                </pt>
                <pt idx="83">
                  <v>100890</v>
                </pt>
                <pt idx="84">
                  <v>99540</v>
                </pt>
                <pt idx="85">
                  <v>98190</v>
                </pt>
                <pt idx="86">
                  <v>103480</v>
                </pt>
                <pt idx="87">
                  <v>99600</v>
                </pt>
                <pt idx="88">
                  <v>100780</v>
                </pt>
                <pt idx="89">
                  <v>92840</v>
                </pt>
                <pt idx="90">
                  <v>82270</v>
                </pt>
                <pt idx="91">
                  <v>91040</v>
                </pt>
                <pt idx="92">
                  <v>108160</v>
                </pt>
                <pt idx="93">
                  <v>97900</v>
                </pt>
                <pt idx="94">
                  <v>114090</v>
                </pt>
                <pt idx="95">
                  <v>91870</v>
                </pt>
                <pt idx="96">
                  <v>94540</v>
                </pt>
                <pt idx="97">
                  <v>104460</v>
                </pt>
                <pt idx="98">
                  <v>125580</v>
                </pt>
                <pt idx="99">
                  <v>120930</v>
                </pt>
                <pt idx="100">
                  <v>122690</v>
                </pt>
                <pt idx="101">
                  <v>119627</v>
                </pt>
                <pt idx="102">
                  <v>113840</v>
                </pt>
                <pt idx="103">
                  <v>94360</v>
                </pt>
                <pt idx="104">
                  <v>94960</v>
                </pt>
                <pt idx="105">
                  <v>91850</v>
                </pt>
                <pt idx="106">
                  <v>105840</v>
                </pt>
                <pt idx="107">
                  <v>111880</v>
                </pt>
                <pt idx="108">
                  <v>106480</v>
                </pt>
                <pt idx="109">
                  <v>119990</v>
                </pt>
                <pt idx="110">
                  <v>145680</v>
                </pt>
                <pt idx="111">
                  <v>146210</v>
                </pt>
                <pt idx="112">
                  <v>147280</v>
                </pt>
                <pt idx="113">
                  <v>132640</v>
                </pt>
                <pt idx="114">
                  <v>106940</v>
                </pt>
                <pt idx="115">
                  <v>127480</v>
                </pt>
                <pt idx="116">
                  <v>146920</v>
                </pt>
                <pt idx="117">
                  <v>129810</v>
                </pt>
                <pt idx="118">
                  <v>131750</v>
                </pt>
                <pt idx="119">
                  <v>117380</v>
                </pt>
                <pt idx="120">
                  <v>112750</v>
                </pt>
                <pt idx="121">
                  <v>124050</v>
                </pt>
                <pt idx="122">
                  <v>139580</v>
                </pt>
                <pt idx="123">
                  <v>133760</v>
                </pt>
                <pt idx="124">
                  <v>138502</v>
                </pt>
                <pt idx="125">
                  <v>128818</v>
                </pt>
                <pt idx="126">
                  <v>110008</v>
                </pt>
                <pt idx="127">
                  <v>107199.9</v>
                </pt>
                <pt idx="128">
                  <v>124409.7</v>
                </pt>
              </numCache>
            </numRef>
          </val>
        </ser>
        <ser>
          <idx val="1"/>
          <order val="1"/>
          <tx>
            <strRef>
              <f>'Raw Data (KG)'!$C$1</f>
              <strCache>
                <ptCount val="1"/>
                <pt idx="0">
                  <v xml:space="preserve"> Yellow Skip 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(KG)'!$C$2:$C$130</f>
              <numCache>
                <formatCode>_(* #,##0_);_(* \(#,##0\);_(* "-"??_);_(@_)</formatCode>
                <ptCount val="129"/>
                <pt idx="42">
                  <v>41470</v>
                </pt>
                <pt idx="43">
                  <v>54160</v>
                </pt>
                <pt idx="44">
                  <v>32240</v>
                </pt>
                <pt idx="45">
                  <v>35860</v>
                </pt>
                <pt idx="46">
                  <v>41550</v>
                </pt>
                <pt idx="47">
                  <v>51440</v>
                </pt>
                <pt idx="48">
                  <v>45550</v>
                </pt>
                <pt idx="49">
                  <v>48250</v>
                </pt>
                <pt idx="50">
                  <v>55310</v>
                </pt>
                <pt idx="51">
                  <v>65260.00000000001</v>
                </pt>
                <pt idx="52">
                  <v>65069.99999999999</v>
                </pt>
                <pt idx="53">
                  <v>24760</v>
                </pt>
                <pt idx="54">
                  <v>65069.99999999999</v>
                </pt>
                <pt idx="55">
                  <v>18960</v>
                </pt>
                <pt idx="56">
                  <v>41590</v>
                </pt>
                <pt idx="57">
                  <v>25270</v>
                </pt>
                <pt idx="58">
                  <v>37170</v>
                </pt>
                <pt idx="59">
                  <v>40100</v>
                </pt>
                <pt idx="60">
                  <v>34440</v>
                </pt>
                <pt idx="61">
                  <v>29500</v>
                </pt>
                <pt idx="62">
                  <v>23680</v>
                </pt>
                <pt idx="63">
                  <v>28200</v>
                </pt>
                <pt idx="64">
                  <v>25670</v>
                </pt>
                <pt idx="65">
                  <v>31590</v>
                </pt>
                <pt idx="66">
                  <v>23670</v>
                </pt>
                <pt idx="67">
                  <v>20250</v>
                </pt>
                <pt idx="68">
                  <v>14620</v>
                </pt>
                <pt idx="69">
                  <v>13820</v>
                </pt>
                <pt idx="70">
                  <v>28910</v>
                </pt>
                <pt idx="71">
                  <v>37750</v>
                </pt>
                <pt idx="72">
                  <v>39000</v>
                </pt>
                <pt idx="73">
                  <v>51750</v>
                </pt>
                <pt idx="74">
                  <v>62990</v>
                </pt>
                <pt idx="75">
                  <v>59480</v>
                </pt>
                <pt idx="76">
                  <v>49040</v>
                </pt>
                <pt idx="77">
                  <v>56380</v>
                </pt>
                <pt idx="78">
                  <v>27790</v>
                </pt>
                <pt idx="79">
                  <v>16600</v>
                </pt>
                <pt idx="80">
                  <v>24090</v>
                </pt>
                <pt idx="81">
                  <v>24780</v>
                </pt>
                <pt idx="82">
                  <v>46630</v>
                </pt>
                <pt idx="83">
                  <v>43240</v>
                </pt>
                <pt idx="84">
                  <v>25450</v>
                </pt>
                <pt idx="85">
                  <v>25100</v>
                </pt>
                <pt idx="86">
                  <v>26450</v>
                </pt>
                <pt idx="87">
                  <v>18840</v>
                </pt>
                <pt idx="88">
                  <v>20400</v>
                </pt>
                <pt idx="89">
                  <v>19120</v>
                </pt>
                <pt idx="90">
                  <v>19600</v>
                </pt>
                <pt idx="91">
                  <v>16990</v>
                </pt>
                <pt idx="92">
                  <v>20300</v>
                </pt>
                <pt idx="93">
                  <v>25520</v>
                </pt>
                <pt idx="94">
                  <v>22770</v>
                </pt>
                <pt idx="95">
                  <v>19320</v>
                </pt>
                <pt idx="96">
                  <v>23190</v>
                </pt>
                <pt idx="97">
                  <v>27760</v>
                </pt>
                <pt idx="98">
                  <v>28910</v>
                </pt>
                <pt idx="99">
                  <v>22640</v>
                </pt>
                <pt idx="100">
                  <v>22120</v>
                </pt>
                <pt idx="101">
                  <v>24060</v>
                </pt>
                <pt idx="102">
                  <v>30180</v>
                </pt>
                <pt idx="103">
                  <v>16000</v>
                </pt>
                <pt idx="104">
                  <v>17320</v>
                </pt>
                <pt idx="105">
                  <v>17830</v>
                </pt>
                <pt idx="106">
                  <v>22940</v>
                </pt>
                <pt idx="107">
                  <v>21280</v>
                </pt>
                <pt idx="108">
                  <v>27350</v>
                </pt>
                <pt idx="109">
                  <v>22610</v>
                </pt>
                <pt idx="110">
                  <v>27480</v>
                </pt>
                <pt idx="111">
                  <v>21850</v>
                </pt>
                <pt idx="112">
                  <v>19570</v>
                </pt>
                <pt idx="113">
                  <v>21400</v>
                </pt>
                <pt idx="114">
                  <v>17220</v>
                </pt>
                <pt idx="115">
                  <v>24570</v>
                </pt>
                <pt idx="116">
                  <v>22970</v>
                </pt>
                <pt idx="117">
                  <v>19680</v>
                </pt>
                <pt idx="118">
                  <v>20220</v>
                </pt>
                <pt idx="119">
                  <v>24830</v>
                </pt>
                <pt idx="120">
                  <v>23930</v>
                </pt>
                <pt idx="121">
                  <v>29050</v>
                </pt>
                <pt idx="122">
                  <v>18300</v>
                </pt>
                <pt idx="123">
                  <v>17930</v>
                </pt>
                <pt idx="124">
                  <v>19760</v>
                </pt>
                <pt idx="125">
                  <v>19890</v>
                </pt>
                <pt idx="126">
                  <v>20330</v>
                </pt>
                <pt idx="127">
                  <v>15820</v>
                </pt>
                <pt idx="128">
                  <v>17340</v>
                </pt>
              </numCache>
            </numRef>
          </val>
        </ser>
        <ser>
          <idx val="2"/>
          <order val="2"/>
          <tx>
            <strRef>
              <f>'Raw Data (KG)'!$D$1</f>
              <strCache>
                <ptCount val="1"/>
                <pt idx="0">
                  <v xml:space="preserve"> Paper (LG7/SSID) 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 w="25400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(KG)'!$D$2:$D$130</f>
              <numCache>
                <formatCode>_(* #,##0_);_(* \(#,##0\);_(* "-"??_);_(@_)</formatCode>
                <ptCount val="129"/>
                <pt idx="0">
                  <v>2000</v>
                </pt>
                <pt idx="1">
                  <v>2000</v>
                </pt>
                <pt idx="2">
                  <v>2000</v>
                </pt>
                <pt idx="3">
                  <v>2000</v>
                </pt>
                <pt idx="4">
                  <v>2000</v>
                </pt>
                <pt idx="5">
                  <v>2000</v>
                </pt>
                <pt idx="6">
                  <v>2000</v>
                </pt>
                <pt idx="7">
                  <v>2000</v>
                </pt>
                <pt idx="8">
                  <v>2000</v>
                </pt>
                <pt idx="9">
                  <v>2000</v>
                </pt>
                <pt idx="10">
                  <v>2000</v>
                </pt>
                <pt idx="11">
                  <v>2000</v>
                </pt>
                <pt idx="12">
                  <v>2000</v>
                </pt>
                <pt idx="13">
                  <v>2000</v>
                </pt>
                <pt idx="14">
                  <v>2000</v>
                </pt>
                <pt idx="15">
                  <v>2000</v>
                </pt>
                <pt idx="16">
                  <v>2000</v>
                </pt>
                <pt idx="17">
                  <v>2000</v>
                </pt>
                <pt idx="18">
                  <v>2000</v>
                </pt>
                <pt idx="19">
                  <v>2000</v>
                </pt>
                <pt idx="20">
                  <v>2000</v>
                </pt>
                <pt idx="21">
                  <v>2000</v>
                </pt>
                <pt idx="22">
                  <v>2000</v>
                </pt>
                <pt idx="23">
                  <v>2000</v>
                </pt>
                <pt idx="24">
                  <v>2000</v>
                </pt>
                <pt idx="25">
                  <v>2000</v>
                </pt>
                <pt idx="26">
                  <v>2000</v>
                </pt>
                <pt idx="27">
                  <v>2000</v>
                </pt>
                <pt idx="28">
                  <v>2000</v>
                </pt>
                <pt idx="29">
                  <v>2000</v>
                </pt>
                <pt idx="30">
                  <v>2177.808333</v>
                </pt>
                <pt idx="31">
                  <v>2177.808333</v>
                </pt>
                <pt idx="32">
                  <v>2177.808333</v>
                </pt>
                <pt idx="33">
                  <v>2177.808333</v>
                </pt>
                <pt idx="34">
                  <v>2177.808333</v>
                </pt>
                <pt idx="35">
                  <v>2177.808333</v>
                </pt>
                <pt idx="36">
                  <v>2657.808333</v>
                </pt>
                <pt idx="37">
                  <v>2757.808333</v>
                </pt>
                <pt idx="38">
                  <v>3007.808333</v>
                </pt>
                <pt idx="39">
                  <v>177.8083333333333</v>
                </pt>
                <pt idx="40">
                  <v>177.8083333333333</v>
                </pt>
                <pt idx="41">
                  <v>177.8083333333333</v>
                </pt>
                <pt idx="42">
                  <v>2093.875</v>
                </pt>
                <pt idx="43">
                  <v>2093.875</v>
                </pt>
                <pt idx="44">
                  <v>2093.875</v>
                </pt>
                <pt idx="45">
                  <v>2093.875</v>
                </pt>
                <pt idx="46">
                  <v>2093.875</v>
                </pt>
                <pt idx="47">
                  <v>2093.875</v>
                </pt>
                <pt idx="48">
                  <v>2093.875</v>
                </pt>
                <pt idx="49">
                  <v>2093.875</v>
                </pt>
                <pt idx="50">
                  <v>721</v>
                </pt>
                <pt idx="51">
                  <v>423</v>
                </pt>
                <pt idx="52">
                  <v>828</v>
                </pt>
                <pt idx="53">
                  <v>1935</v>
                </pt>
                <pt idx="54">
                  <v>196</v>
                </pt>
                <pt idx="55">
                  <v>313</v>
                </pt>
                <pt idx="56">
                  <v>181</v>
                </pt>
                <pt idx="57">
                  <v>0</v>
                </pt>
                <pt idx="58">
                  <v>130</v>
                </pt>
                <pt idx="59">
                  <v>4124</v>
                </pt>
                <pt idx="60">
                  <v>144</v>
                </pt>
                <pt idx="61">
                  <v>66</v>
                </pt>
                <pt idx="62">
                  <v>589</v>
                </pt>
                <pt idx="63">
                  <v>225</v>
                </pt>
                <pt idx="64">
                  <v>366</v>
                </pt>
                <pt idx="65">
                  <v>739</v>
                </pt>
                <pt idx="66">
                  <v>0</v>
                </pt>
                <pt idx="67">
                  <v>233</v>
                </pt>
                <pt idx="68">
                  <v>224</v>
                </pt>
                <pt idx="69">
                  <v>485</v>
                </pt>
                <pt idx="70">
                  <v>11581</v>
                </pt>
                <pt idx="71">
                  <v>575</v>
                </pt>
                <pt idx="72">
                  <v>3106</v>
                </pt>
                <pt idx="73">
                  <v>4099.200000000001</v>
                </pt>
                <pt idx="74">
                  <v>7886.399999999999</v>
                </pt>
                <pt idx="75">
                  <v>622</v>
                </pt>
                <pt idx="76">
                  <v>2214</v>
                </pt>
                <pt idx="77">
                  <v>909</v>
                </pt>
                <pt idx="78">
                  <v>1011</v>
                </pt>
                <pt idx="79">
                  <v>0</v>
                </pt>
                <pt idx="80">
                  <v>190</v>
                </pt>
                <pt idx="81">
                  <v>174</v>
                </pt>
                <pt idx="82">
                  <v>862</v>
                </pt>
                <pt idx="83">
                  <v>657</v>
                </pt>
                <pt idx="84">
                  <v>481</v>
                </pt>
                <pt idx="85">
                  <v>735</v>
                </pt>
                <pt idx="86">
                  <v>2051</v>
                </pt>
                <pt idx="87">
                  <v>807</v>
                </pt>
                <pt idx="88">
                  <v>866</v>
                </pt>
                <pt idx="89">
                  <v>731</v>
                </pt>
                <pt idx="90">
                  <v>291</v>
                </pt>
                <pt idx="91">
                  <v>90</v>
                </pt>
                <pt idx="92">
                  <v>588</v>
                </pt>
                <pt idx="93">
                  <v>317</v>
                </pt>
                <pt idx="94">
                  <v>476</v>
                </pt>
                <pt idx="95">
                  <v>1449</v>
                </pt>
                <pt idx="96">
                  <v>1001</v>
                </pt>
                <pt idx="97">
                  <v>1112</v>
                </pt>
                <pt idx="98">
                  <v>624</v>
                </pt>
                <pt idx="99">
                  <v>243</v>
                </pt>
                <pt idx="100">
                  <v>1282</v>
                </pt>
                <pt idx="101">
                  <v>683</v>
                </pt>
                <pt idx="102">
                  <v>1410</v>
                </pt>
                <pt idx="103">
                  <v>1223</v>
                </pt>
                <pt idx="104">
                  <v>540</v>
                </pt>
                <pt idx="105">
                  <v>174</v>
                </pt>
                <pt idx="106">
                  <v>869</v>
                </pt>
                <pt idx="107">
                  <v>640</v>
                </pt>
                <pt idx="108">
                  <v>631</v>
                </pt>
                <pt idx="109">
                  <v>567</v>
                </pt>
                <pt idx="110">
                  <v>889</v>
                </pt>
                <pt idx="111">
                  <v>1137</v>
                </pt>
                <pt idx="112">
                  <v>723</v>
                </pt>
                <pt idx="113">
                  <v>1104</v>
                </pt>
                <pt idx="114">
                  <v>68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</numCache>
            </numRef>
          </val>
        </ser>
        <ser>
          <idx val="3"/>
          <order val="3"/>
          <tx>
            <strRef>
              <f>'Raw Data (KG)'!$E$1</f>
              <strCache>
                <ptCount val="1"/>
                <pt idx="0">
                  <v xml:space="preserve"> Paper (corrugated containers+office paper+ newspapers) 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(KG)'!$E$2:$E$130</f>
              <numCache>
                <formatCode>_(* #,##0_);_(* \(#,##0\);_(* "-"??_);_(@_)</formatCode>
                <ptCount val="129"/>
                <pt idx="0">
                  <v>5120</v>
                </pt>
                <pt idx="1">
                  <v>4100</v>
                </pt>
                <pt idx="2">
                  <v>4900</v>
                </pt>
                <pt idx="3">
                  <v>4700</v>
                </pt>
                <pt idx="4">
                  <v>4450</v>
                </pt>
                <pt idx="5">
                  <v>4150</v>
                </pt>
                <pt idx="6">
                  <v>4360</v>
                </pt>
                <pt idx="7">
                  <v>4400</v>
                </pt>
                <pt idx="8">
                  <v>4800</v>
                </pt>
                <pt idx="9">
                  <v>4620</v>
                </pt>
                <pt idx="10">
                  <v>4900</v>
                </pt>
                <pt idx="11">
                  <v>4700</v>
                </pt>
                <pt idx="12">
                  <v>4520</v>
                </pt>
                <pt idx="13">
                  <v>4610</v>
                </pt>
                <pt idx="14">
                  <v>4500</v>
                </pt>
                <pt idx="15">
                  <v>4100</v>
                </pt>
                <pt idx="16">
                  <v>4900</v>
                </pt>
                <pt idx="17">
                  <v>4750</v>
                </pt>
                <pt idx="18">
                  <v>4640</v>
                </pt>
                <pt idx="19">
                  <v>4540</v>
                </pt>
                <pt idx="20">
                  <v>4140</v>
                </pt>
                <pt idx="21">
                  <v>4040</v>
                </pt>
                <pt idx="22">
                  <v>4090</v>
                </pt>
                <pt idx="23">
                  <v>4000</v>
                </pt>
                <pt idx="24">
                  <v>4150</v>
                </pt>
                <pt idx="25">
                  <v>4020</v>
                </pt>
                <pt idx="26">
                  <v>3810</v>
                </pt>
                <pt idx="27">
                  <v>3970</v>
                </pt>
                <pt idx="28">
                  <v>3890</v>
                </pt>
                <pt idx="29">
                  <v>3810</v>
                </pt>
                <pt idx="30">
                  <v>4230</v>
                </pt>
                <pt idx="31">
                  <v>4070</v>
                </pt>
                <pt idx="32">
                  <v>4120</v>
                </pt>
                <pt idx="33">
                  <v>4050</v>
                </pt>
                <pt idx="34">
                  <v>4080</v>
                </pt>
                <pt idx="35">
                  <v>4120</v>
                </pt>
                <pt idx="36">
                  <v>2980</v>
                </pt>
                <pt idx="37">
                  <v>7160</v>
                </pt>
                <pt idx="38">
                  <v>7820</v>
                </pt>
                <pt idx="39">
                  <v>9300</v>
                </pt>
                <pt idx="40">
                  <v>9900</v>
                </pt>
                <pt idx="41">
                  <v>9450</v>
                </pt>
                <pt idx="42">
                  <v>10200</v>
                </pt>
                <pt idx="43">
                  <v>9070</v>
                </pt>
                <pt idx="44">
                  <v>9840</v>
                </pt>
                <pt idx="45">
                  <v>10420</v>
                </pt>
                <pt idx="46">
                  <v>11250</v>
                </pt>
                <pt idx="47">
                  <v>7160</v>
                </pt>
                <pt idx="48">
                  <v>10930</v>
                </pt>
                <pt idx="49">
                  <v>10700</v>
                </pt>
                <pt idx="50">
                  <v>7160</v>
                </pt>
                <pt idx="51">
                  <v>9910</v>
                </pt>
                <pt idx="52">
                  <v>9740</v>
                </pt>
                <pt idx="53">
                  <v>8410</v>
                </pt>
                <pt idx="54">
                  <v>9740</v>
                </pt>
                <pt idx="55">
                  <v>7530</v>
                </pt>
                <pt idx="56">
                  <v>9500</v>
                </pt>
                <pt idx="57">
                  <v>9790</v>
                </pt>
                <pt idx="58">
                  <v>11580</v>
                </pt>
                <pt idx="59">
                  <v>10110</v>
                </pt>
                <pt idx="60">
                  <v>11130</v>
                </pt>
                <pt idx="61">
                  <v>10170</v>
                </pt>
                <pt idx="62">
                  <v>9110</v>
                </pt>
                <pt idx="63">
                  <v>7540</v>
                </pt>
                <pt idx="64">
                  <v>7720</v>
                </pt>
                <pt idx="65">
                  <v>7080</v>
                </pt>
                <pt idx="66">
                  <v>9880</v>
                </pt>
                <pt idx="67">
                  <v>7000</v>
                </pt>
                <pt idx="68">
                  <v>9520</v>
                </pt>
                <pt idx="69">
                  <v>8220</v>
                </pt>
                <pt idx="70">
                  <v>6735</v>
                </pt>
                <pt idx="71">
                  <v>7100</v>
                </pt>
                <pt idx="72">
                  <v>12152</v>
                </pt>
                <pt idx="73">
                  <v>5646</v>
                </pt>
                <pt idx="74">
                  <v>10805</v>
                </pt>
                <pt idx="75">
                  <v>14330</v>
                </pt>
                <pt idx="76">
                  <v>12030</v>
                </pt>
                <pt idx="77">
                  <v>13715</v>
                </pt>
                <pt idx="78">
                  <v>12753</v>
                </pt>
                <pt idx="79">
                  <v>7410</v>
                </pt>
                <pt idx="80">
                  <v>10071</v>
                </pt>
                <pt idx="81">
                  <v>8981</v>
                </pt>
                <pt idx="82">
                  <v>9906</v>
                </pt>
                <pt idx="83">
                  <v>12620</v>
                </pt>
                <pt idx="84">
                  <v>12224</v>
                </pt>
                <pt idx="85">
                  <v>11764</v>
                </pt>
                <pt idx="86">
                  <v>12331</v>
                </pt>
                <pt idx="87">
                  <v>13196</v>
                </pt>
                <pt idx="88">
                  <v>11978</v>
                </pt>
                <pt idx="89">
                  <v>11422</v>
                </pt>
                <pt idx="90">
                  <v>12557</v>
                </pt>
                <pt idx="91">
                  <v>11838</v>
                </pt>
                <pt idx="92">
                  <v>14191</v>
                </pt>
                <pt idx="93">
                  <v>12749</v>
                </pt>
                <pt idx="94">
                  <v>12531</v>
                </pt>
                <pt idx="95">
                  <v>13034</v>
                </pt>
                <pt idx="96">
                  <v>12407</v>
                </pt>
                <pt idx="97">
                  <v>14252</v>
                </pt>
                <pt idx="98">
                  <v>15030</v>
                </pt>
                <pt idx="99">
                  <v>12985</v>
                </pt>
                <pt idx="100">
                  <v>13164</v>
                </pt>
                <pt idx="101">
                  <v>13435</v>
                </pt>
                <pt idx="102">
                  <v>13422</v>
                </pt>
                <pt idx="103">
                  <v>9823</v>
                </pt>
                <pt idx="104">
                  <v>9495</v>
                </pt>
                <pt idx="105">
                  <v>9308</v>
                </pt>
                <pt idx="106">
                  <v>10020</v>
                </pt>
                <pt idx="107">
                  <v>10130</v>
                </pt>
                <pt idx="108">
                  <v>10024</v>
                </pt>
                <pt idx="109">
                  <v>11052</v>
                </pt>
                <pt idx="110">
                  <v>12231</v>
                </pt>
                <pt idx="111">
                  <v>11893</v>
                </pt>
                <pt idx="112">
                  <v>11445</v>
                </pt>
                <pt idx="113">
                  <v>11105</v>
                </pt>
                <pt idx="114">
                  <v>9350</v>
                </pt>
                <pt idx="115">
                  <v>10379</v>
                </pt>
                <pt idx="116">
                  <v>11198</v>
                </pt>
                <pt idx="117">
                  <v>10871</v>
                </pt>
                <pt idx="118">
                  <v>10533</v>
                </pt>
                <pt idx="119">
                  <v>10392</v>
                </pt>
                <pt idx="120">
                  <v>10670</v>
                </pt>
                <pt idx="121">
                  <v>10732</v>
                </pt>
                <pt idx="122">
                  <v>11135</v>
                </pt>
                <pt idx="123">
                  <v>11304</v>
                </pt>
                <pt idx="124">
                  <v>13460</v>
                </pt>
                <pt idx="125">
                  <v>13442</v>
                </pt>
                <pt idx="126">
                  <v>13416</v>
                </pt>
                <pt idx="127">
                  <v>12589</v>
                </pt>
                <pt idx="128">
                  <v>13346</v>
                </pt>
              </numCache>
            </numRef>
          </val>
        </ser>
        <ser>
          <idx val="4"/>
          <order val="4"/>
          <tx>
            <strRef>
              <f>'Raw Data (KG)'!$F$1</f>
              <strCache>
                <ptCount val="1"/>
                <pt idx="0">
                  <v xml:space="preserve"> Metal (Aluminium) 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(KG)'!$F$2:$F$130</f>
              <numCache>
                <formatCode>_(* #,##0_);_(* \(#,##0\);_(* "-"??_);_(@_)</formatCode>
                <ptCount val="129"/>
                <pt idx="0">
                  <v>108</v>
                </pt>
                <pt idx="1">
                  <v>300</v>
                </pt>
                <pt idx="2">
                  <v>320</v>
                </pt>
                <pt idx="3">
                  <v>150</v>
                </pt>
                <pt idx="4">
                  <v>11</v>
                </pt>
                <pt idx="5">
                  <v>90</v>
                </pt>
                <pt idx="6">
                  <v>70</v>
                </pt>
                <pt idx="7">
                  <v>200</v>
                </pt>
                <pt idx="8">
                  <v>150</v>
                </pt>
                <pt idx="9">
                  <v>110</v>
                </pt>
                <pt idx="10">
                  <v>350</v>
                </pt>
                <pt idx="11">
                  <v>450</v>
                </pt>
                <pt idx="12">
                  <v>150</v>
                </pt>
                <pt idx="13">
                  <v>140</v>
                </pt>
                <pt idx="14">
                  <v>350</v>
                </pt>
                <pt idx="15">
                  <v>90</v>
                </pt>
                <pt idx="16">
                  <v>110</v>
                </pt>
                <pt idx="17">
                  <v>100</v>
                </pt>
                <pt idx="18">
                  <v>370</v>
                </pt>
                <pt idx="19">
                  <v>110</v>
                </pt>
                <pt idx="20">
                  <v>140</v>
                </pt>
                <pt idx="21">
                  <v>110</v>
                </pt>
                <pt idx="22">
                  <v>550</v>
                </pt>
                <pt idx="23">
                  <v>150</v>
                </pt>
                <pt idx="24">
                  <v>110</v>
                </pt>
                <pt idx="25">
                  <v>130</v>
                </pt>
                <pt idx="26">
                  <v>100</v>
                </pt>
                <pt idx="27">
                  <v>90</v>
                </pt>
                <pt idx="28">
                  <v>100</v>
                </pt>
                <pt idx="29">
                  <v>250</v>
                </pt>
                <pt idx="30">
                  <v>300</v>
                </pt>
                <pt idx="31">
                  <v>250</v>
                </pt>
                <pt idx="32">
                  <v>170</v>
                </pt>
                <pt idx="33">
                  <v>140</v>
                </pt>
                <pt idx="34">
                  <v>110</v>
                </pt>
                <pt idx="35">
                  <v>270</v>
                </pt>
                <pt idx="36">
                  <v>260</v>
                </pt>
                <pt idx="37">
                  <v>400</v>
                </pt>
                <pt idx="38">
                  <v>250</v>
                </pt>
                <pt idx="39">
                  <v>150</v>
                </pt>
                <pt idx="40">
                  <v>110</v>
                </pt>
                <pt idx="41">
                  <v>270</v>
                </pt>
                <pt idx="42">
                  <v>180</v>
                </pt>
                <pt idx="43">
                  <v>210</v>
                </pt>
                <pt idx="44">
                  <v>210</v>
                </pt>
                <pt idx="45">
                  <v>290</v>
                </pt>
                <pt idx="46">
                  <v>260</v>
                </pt>
                <pt idx="47">
                  <v>400</v>
                </pt>
                <pt idx="48">
                  <v>270</v>
                </pt>
                <pt idx="49">
                  <v>210</v>
                </pt>
                <pt idx="50">
                  <v>400</v>
                </pt>
                <pt idx="51">
                  <v>200</v>
                </pt>
                <pt idx="52">
                  <v>210</v>
                </pt>
                <pt idx="53">
                  <v>150</v>
                </pt>
                <pt idx="54">
                  <v>210</v>
                </pt>
                <pt idx="55">
                  <v>150</v>
                </pt>
                <pt idx="56">
                  <v>170</v>
                </pt>
                <pt idx="57">
                  <v>170</v>
                </pt>
                <pt idx="58">
                  <v>170</v>
                </pt>
                <pt idx="59">
                  <v>210</v>
                </pt>
                <pt idx="60">
                  <v>260</v>
                </pt>
                <pt idx="61">
                  <v>310</v>
                </pt>
                <pt idx="62">
                  <v>270</v>
                </pt>
                <pt idx="63">
                  <v>190</v>
                </pt>
                <pt idx="64">
                  <v>170</v>
                </pt>
                <pt idx="65">
                  <v>120</v>
                </pt>
                <pt idx="66">
                  <v>170</v>
                </pt>
                <pt idx="67">
                  <v>160</v>
                </pt>
                <pt idx="68">
                  <v>180</v>
                </pt>
                <pt idx="69">
                  <v>160</v>
                </pt>
                <pt idx="70">
                  <v>140</v>
                </pt>
                <pt idx="71">
                  <v>170</v>
                </pt>
                <pt idx="72">
                  <v>100</v>
                </pt>
                <pt idx="73">
                  <v>51</v>
                </pt>
                <pt idx="74">
                  <v>83</v>
                </pt>
                <pt idx="75">
                  <v>107</v>
                </pt>
                <pt idx="76">
                  <v>107</v>
                </pt>
                <pt idx="77">
                  <v>94</v>
                </pt>
                <pt idx="78">
                  <v>80</v>
                </pt>
                <pt idx="79">
                  <v>56</v>
                </pt>
                <pt idx="80">
                  <v>77</v>
                </pt>
                <pt idx="81">
                  <v>67</v>
                </pt>
                <pt idx="82">
                  <v>76</v>
                </pt>
                <pt idx="83">
                  <v>88</v>
                </pt>
                <pt idx="84">
                  <v>107</v>
                </pt>
                <pt idx="85">
                  <v>107</v>
                </pt>
                <pt idx="86">
                  <v>105</v>
                </pt>
                <pt idx="87">
                  <v>96</v>
                </pt>
                <pt idx="88">
                  <v>100</v>
                </pt>
                <pt idx="89">
                  <v>86</v>
                </pt>
                <pt idx="90">
                  <v>82</v>
                </pt>
                <pt idx="91">
                  <v>89</v>
                </pt>
                <pt idx="92">
                  <v>90</v>
                </pt>
                <pt idx="93">
                  <v>77</v>
                </pt>
                <pt idx="94">
                  <v>77</v>
                </pt>
                <pt idx="95">
                  <v>73</v>
                </pt>
                <pt idx="96">
                  <v>79</v>
                </pt>
                <pt idx="97">
                  <v>82</v>
                </pt>
                <pt idx="98">
                  <v>92</v>
                </pt>
                <pt idx="99">
                  <v>81</v>
                </pt>
                <pt idx="100">
                  <v>88</v>
                </pt>
                <pt idx="101">
                  <v>87</v>
                </pt>
                <pt idx="102">
                  <v>82</v>
                </pt>
                <pt idx="103">
                  <v>59</v>
                </pt>
                <pt idx="104">
                  <v>65</v>
                </pt>
                <pt idx="105">
                  <v>61</v>
                </pt>
                <pt idx="106">
                  <v>65</v>
                </pt>
                <pt idx="107">
                  <v>59</v>
                </pt>
                <pt idx="108">
                  <v>62</v>
                </pt>
                <pt idx="109">
                  <v>71</v>
                </pt>
                <pt idx="110">
                  <v>76</v>
                </pt>
                <pt idx="111">
                  <v>79</v>
                </pt>
                <pt idx="112">
                  <v>77</v>
                </pt>
                <pt idx="113">
                  <v>65</v>
                </pt>
                <pt idx="114">
                  <v>58</v>
                </pt>
                <pt idx="115">
                  <v>60</v>
                </pt>
                <pt idx="116">
                  <v>71</v>
                </pt>
                <pt idx="117">
                  <v>61</v>
                </pt>
                <pt idx="118">
                  <v>69</v>
                </pt>
                <pt idx="119">
                  <v>63</v>
                </pt>
                <pt idx="120">
                  <v>69</v>
                </pt>
                <pt idx="121">
                  <v>72</v>
                </pt>
                <pt idx="122">
                  <v>70</v>
                </pt>
                <pt idx="123">
                  <v>72</v>
                </pt>
                <pt idx="124">
                  <v>86</v>
                </pt>
                <pt idx="125">
                  <v>83</v>
                </pt>
                <pt idx="126">
                  <v>75</v>
                </pt>
                <pt idx="127">
                  <v>75</v>
                </pt>
                <pt idx="128">
                  <v>78</v>
                </pt>
              </numCache>
            </numRef>
          </val>
        </ser>
        <ser>
          <idx val="5"/>
          <order val="5"/>
          <tx>
            <strRef>
              <f>'Raw Data (KG)'!$G$1</f>
              <strCache>
                <ptCount val="1"/>
                <pt idx="0">
                  <v xml:space="preserve"> Metal Skip (Metal) 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(KG)'!$G$2:$G$130</f>
              <numCache>
                <formatCode>_(* #,##0_);_(* \(#,##0\);_(* "-"??_);_(@_)</formatCode>
                <ptCount val="129"/>
                <pt idx="56">
                  <v>330</v>
                </pt>
                <pt idx="72">
                  <v>423</v>
                </pt>
                <pt idx="73">
                  <v>267</v>
                </pt>
                <pt idx="74">
                  <v>169</v>
                </pt>
                <pt idx="75">
                  <v>179</v>
                </pt>
                <pt idx="76">
                  <v>220</v>
                </pt>
                <pt idx="77">
                  <v>197</v>
                </pt>
                <pt idx="78">
                  <v>214</v>
                </pt>
                <pt idx="79">
                  <v>164</v>
                </pt>
                <pt idx="80">
                  <v>211</v>
                </pt>
                <pt idx="81">
                  <v>214</v>
                </pt>
                <pt idx="82">
                  <v>1743</v>
                </pt>
                <pt idx="83">
                  <v>2264</v>
                </pt>
                <pt idx="84">
                  <v>1459</v>
                </pt>
                <pt idx="85">
                  <v>1874</v>
                </pt>
                <pt idx="86">
                  <v>266</v>
                </pt>
                <pt idx="87">
                  <v>249</v>
                </pt>
                <pt idx="88">
                  <v>321</v>
                </pt>
                <pt idx="89">
                  <v>321</v>
                </pt>
                <pt idx="90">
                  <v>262</v>
                </pt>
                <pt idx="91">
                  <v>1701</v>
                </pt>
                <pt idx="92">
                  <v>251</v>
                </pt>
                <pt idx="93">
                  <v>1274</v>
                </pt>
                <pt idx="94">
                  <v>802</v>
                </pt>
                <pt idx="95">
                  <v>259</v>
                </pt>
                <pt idx="96">
                  <v>1049</v>
                </pt>
                <pt idx="97">
                  <v>294</v>
                </pt>
                <pt idx="98">
                  <v>810</v>
                </pt>
                <pt idx="99">
                  <v>911</v>
                </pt>
                <pt idx="100">
                  <v>282</v>
                </pt>
                <pt idx="101">
                  <v>984</v>
                </pt>
                <pt idx="102">
                  <v>1130</v>
                </pt>
                <pt idx="103">
                  <v>254</v>
                </pt>
                <pt idx="104">
                  <v>324</v>
                </pt>
                <pt idx="105">
                  <v>1040</v>
                </pt>
                <pt idx="106">
                  <v>251</v>
                </pt>
                <pt idx="107">
                  <v>245</v>
                </pt>
                <pt idx="108">
                  <v>748</v>
                </pt>
                <pt idx="109">
                  <v>1232</v>
                </pt>
                <pt idx="110">
                  <v>555</v>
                </pt>
                <pt idx="111">
                  <v>647</v>
                </pt>
                <pt idx="112">
                  <v>659</v>
                </pt>
                <pt idx="113">
                  <v>1568</v>
                </pt>
                <pt idx="114">
                  <v>714</v>
                </pt>
                <pt idx="115">
                  <v>1050</v>
                </pt>
                <pt idx="116">
                  <v>903</v>
                </pt>
                <pt idx="117">
                  <v>666</v>
                </pt>
                <pt idx="118">
                  <v>569</v>
                </pt>
                <pt idx="119">
                  <v>834</v>
                </pt>
                <pt idx="120">
                  <v>846</v>
                </pt>
                <pt idx="121">
                  <v>800</v>
                </pt>
                <pt idx="122">
                  <v>731</v>
                </pt>
                <pt idx="123">
                  <v>661</v>
                </pt>
                <pt idx="124">
                  <v>666</v>
                </pt>
                <pt idx="125">
                  <v>259</v>
                </pt>
                <pt idx="126">
                  <v>660</v>
                </pt>
                <pt idx="127">
                  <v>243</v>
                </pt>
                <pt idx="128">
                  <v>455</v>
                </pt>
              </numCache>
            </numRef>
          </val>
        </ser>
        <ser>
          <idx val="6"/>
          <order val="6"/>
          <tx>
            <strRef>
              <f>'Raw Data (KG)'!$H$1</f>
              <strCache>
                <ptCount val="1"/>
                <pt idx="0">
                  <v xml:space="preserve"> Plastic (waste plastic bottles + plastic bag) 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(KG)'!$H$2:$H$130</f>
              <numCache>
                <formatCode>_(* #,##0_);_(* \(#,##0\);_(* "-"??_);_(@_)</formatCode>
                <ptCount val="129"/>
                <pt idx="0">
                  <v>240</v>
                </pt>
                <pt idx="1">
                  <v>250</v>
                </pt>
                <pt idx="2">
                  <v>310</v>
                </pt>
                <pt idx="3">
                  <v>440</v>
                </pt>
                <pt idx="4">
                  <v>570</v>
                </pt>
                <pt idx="5">
                  <v>600</v>
                </pt>
                <pt idx="6">
                  <v>520</v>
                </pt>
                <pt idx="7">
                  <v>410</v>
                </pt>
                <pt idx="8">
                  <v>390</v>
                </pt>
                <pt idx="9">
                  <v>510</v>
                </pt>
                <pt idx="10">
                  <v>470</v>
                </pt>
                <pt idx="11">
                  <v>400</v>
                </pt>
                <pt idx="12">
                  <v>370</v>
                </pt>
                <pt idx="13">
                  <v>400</v>
                </pt>
                <pt idx="14">
                  <v>390</v>
                </pt>
                <pt idx="15">
                  <v>420</v>
                </pt>
                <pt idx="16">
                  <v>390</v>
                </pt>
                <pt idx="17">
                  <v>420</v>
                </pt>
                <pt idx="18">
                  <v>390</v>
                </pt>
                <pt idx="19">
                  <v>380</v>
                </pt>
                <pt idx="20">
                  <v>410</v>
                </pt>
                <pt idx="21">
                  <v>500</v>
                </pt>
                <pt idx="22">
                  <v>460</v>
                </pt>
                <pt idx="23">
                  <v>410</v>
                </pt>
                <pt idx="24">
                  <v>510</v>
                </pt>
                <pt idx="25">
                  <v>480</v>
                </pt>
                <pt idx="26">
                  <v>390</v>
                </pt>
                <pt idx="27">
                  <v>480</v>
                </pt>
                <pt idx="28">
                  <v>450</v>
                </pt>
                <pt idx="29">
                  <v>370</v>
                </pt>
                <pt idx="30">
                  <v>460</v>
                </pt>
                <pt idx="31">
                  <v>490</v>
                </pt>
                <pt idx="32">
                  <v>500</v>
                </pt>
                <pt idx="33">
                  <v>410</v>
                </pt>
                <pt idx="34">
                  <v>500</v>
                </pt>
                <pt idx="35">
                  <v>490</v>
                </pt>
                <pt idx="36">
                  <v>510</v>
                </pt>
                <pt idx="37">
                  <v>577.5</v>
                </pt>
                <pt idx="38">
                  <v>1119.8</v>
                </pt>
                <pt idx="39">
                  <v>2310</v>
                </pt>
                <pt idx="40">
                  <v>2627.5</v>
                </pt>
                <pt idx="41">
                  <v>1472.5</v>
                </pt>
                <pt idx="42">
                  <v>1682</v>
                </pt>
                <pt idx="43">
                  <v>1845.5</v>
                </pt>
                <pt idx="44">
                  <v>1991</v>
                </pt>
                <pt idx="45">
                  <v>2070.2</v>
                </pt>
                <pt idx="46">
                  <v>1900</v>
                </pt>
                <pt idx="47">
                  <v>3011</v>
                </pt>
                <pt idx="48">
                  <v>1863.5</v>
                </pt>
                <pt idx="49">
                  <v>975</v>
                </pt>
                <pt idx="50">
                  <v>975</v>
                </pt>
                <pt idx="51">
                  <v>1691</v>
                </pt>
                <pt idx="52">
                  <v>975</v>
                </pt>
                <pt idx="53">
                  <v>1882</v>
                </pt>
                <pt idx="54">
                  <v>975</v>
                </pt>
                <pt idx="55">
                  <v>140</v>
                </pt>
                <pt idx="56">
                  <v>450</v>
                </pt>
                <pt idx="57">
                  <v>460</v>
                </pt>
                <pt idx="58">
                  <v>670</v>
                </pt>
                <pt idx="59">
                  <v>340</v>
                </pt>
                <pt idx="60">
                  <v>560</v>
                </pt>
                <pt idx="61">
                  <v>540</v>
                </pt>
                <pt idx="62">
                  <v>660</v>
                </pt>
                <pt idx="63">
                  <v>1170</v>
                </pt>
                <pt idx="64">
                  <v>820</v>
                </pt>
                <pt idx="65">
                  <v>830</v>
                </pt>
                <pt idx="66">
                  <v>610</v>
                </pt>
                <pt idx="67">
                  <v>390</v>
                </pt>
                <pt idx="68">
                  <v>950</v>
                </pt>
                <pt idx="69">
                  <v>920</v>
                </pt>
                <pt idx="70">
                  <v>1080</v>
                </pt>
                <pt idx="71">
                  <v>870</v>
                </pt>
                <pt idx="72">
                  <v>390</v>
                </pt>
                <pt idx="73">
                  <v>302</v>
                </pt>
                <pt idx="74">
                  <v>380</v>
                </pt>
                <pt idx="75">
                  <v>462</v>
                </pt>
                <pt idx="76">
                  <v>401</v>
                </pt>
                <pt idx="77">
                  <v>340</v>
                </pt>
                <pt idx="78">
                  <v>280</v>
                </pt>
                <pt idx="79">
                  <v>250</v>
                </pt>
                <pt idx="80">
                  <v>356</v>
                </pt>
                <pt idx="81">
                  <v>284</v>
                </pt>
                <pt idx="82">
                  <v>291</v>
                </pt>
                <pt idx="83">
                  <v>322</v>
                </pt>
                <pt idx="84">
                  <v>340</v>
                </pt>
                <pt idx="85">
                  <v>343</v>
                </pt>
                <pt idx="86">
                  <v>344</v>
                </pt>
                <pt idx="87">
                  <v>348</v>
                </pt>
                <pt idx="88">
                  <v>477</v>
                </pt>
                <pt idx="89">
                  <v>352</v>
                </pt>
                <pt idx="90">
                  <v>305</v>
                </pt>
                <pt idx="91">
                  <v>366</v>
                </pt>
                <pt idx="92">
                  <v>433</v>
                </pt>
                <pt idx="93">
                  <v>383</v>
                </pt>
                <pt idx="94">
                  <v>563</v>
                </pt>
                <pt idx="95">
                  <v>350</v>
                </pt>
                <pt idx="96">
                  <v>535</v>
                </pt>
                <pt idx="97">
                  <v>356</v>
                </pt>
                <pt idx="98">
                  <v>336</v>
                </pt>
                <pt idx="99">
                  <v>304</v>
                </pt>
                <pt idx="100">
                  <v>285</v>
                </pt>
                <pt idx="101">
                  <v>361</v>
                </pt>
                <pt idx="102">
                  <v>288</v>
                </pt>
                <pt idx="103">
                  <v>191</v>
                </pt>
                <pt idx="104">
                  <v>185.4</v>
                </pt>
                <pt idx="105">
                  <v>137</v>
                </pt>
                <pt idx="106">
                  <v>113</v>
                </pt>
                <pt idx="107">
                  <v>148</v>
                </pt>
                <pt idx="108">
                  <v>232</v>
                </pt>
                <pt idx="109">
                  <v>248</v>
                </pt>
                <pt idx="110">
                  <v>266</v>
                </pt>
                <pt idx="111">
                  <v>266</v>
                </pt>
                <pt idx="112">
                  <v>273</v>
                </pt>
                <pt idx="113">
                  <v>279</v>
                </pt>
                <pt idx="114">
                  <v>198</v>
                </pt>
                <pt idx="115">
                  <v>217</v>
                </pt>
                <pt idx="116">
                  <v>285</v>
                </pt>
                <pt idx="117">
                  <v>220</v>
                </pt>
                <pt idx="118">
                  <v>260</v>
                </pt>
                <pt idx="119">
                  <v>244</v>
                </pt>
                <pt idx="120">
                  <v>216</v>
                </pt>
                <pt idx="121">
                  <v>227</v>
                </pt>
                <pt idx="122">
                  <v>261</v>
                </pt>
                <pt idx="123">
                  <v>323</v>
                </pt>
                <pt idx="124">
                  <v>399</v>
                </pt>
                <pt idx="125">
                  <v>379</v>
                </pt>
                <pt idx="126">
                  <v>359</v>
                </pt>
                <pt idx="127">
                  <v>356</v>
                </pt>
                <pt idx="128">
                  <v>393</v>
                </pt>
              </numCache>
            </numRef>
          </val>
        </ser>
        <ser>
          <idx val="7"/>
          <order val="7"/>
          <tx>
            <strRef>
              <f>'Raw Data (KG)'!$I$1</f>
              <strCache>
                <ptCount val="1"/>
                <pt idx="0">
                  <v xml:space="preserve"> Expanded Polystyrene 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(KG)'!$I$2:$I$130</f>
              <numCache>
                <formatCode>_(* #,##0_);_(* \(#,##0\);_(* "-"??_);_(@_)</formatCode>
                <ptCount val="129"/>
                <pt idx="53">
                  <v>110.05</v>
                </pt>
                <pt idx="54">
                  <v>58.3</v>
                </pt>
                <pt idx="55">
                  <v>60.3</v>
                </pt>
                <pt idx="56">
                  <v>68.5</v>
                </pt>
                <pt idx="57">
                  <v>56.4</v>
                </pt>
                <pt idx="58">
                  <v>0</v>
                </pt>
                <pt idx="59">
                  <v>119.65</v>
                </pt>
                <pt idx="60">
                  <v>57.8</v>
                </pt>
                <pt idx="61">
                  <v>29.5</v>
                </pt>
                <pt idx="62">
                  <v>0</v>
                </pt>
                <pt idx="63">
                  <v>223.45</v>
                </pt>
                <pt idx="64">
                  <v>159.65</v>
                </pt>
                <pt idx="65">
                  <v>78</v>
                </pt>
                <pt idx="66">
                  <v>79.5</v>
                </pt>
                <pt idx="67">
                  <v>61.5</v>
                </pt>
                <pt idx="68">
                  <v>70.2</v>
                </pt>
                <pt idx="69">
                  <v>0</v>
                </pt>
                <pt idx="70">
                  <v>62.35</v>
                </pt>
                <pt idx="71">
                  <v>63.8</v>
                </pt>
                <pt idx="73">
                  <v>67.09999999999999</v>
                </pt>
                <pt idx="74">
                  <v>157.25</v>
                </pt>
                <pt idx="75">
                  <v>81</v>
                </pt>
                <pt idx="76">
                  <v>391.95</v>
                </pt>
                <pt idx="77">
                  <v>72.34999999999999</v>
                </pt>
                <pt idx="78">
                  <v>76.84999999999999</v>
                </pt>
                <pt idx="79">
                  <v>71.90000000000001</v>
                </pt>
                <pt idx="80">
                  <v>82.09999999999999</v>
                </pt>
                <pt idx="81">
                  <v>136</v>
                </pt>
                <pt idx="82">
                  <v>223.15</v>
                </pt>
                <pt idx="83">
                  <v>145.1</v>
                </pt>
                <pt idx="84">
                  <v>233.8</v>
                </pt>
                <pt idx="85">
                  <v>137.15</v>
                </pt>
                <pt idx="86">
                  <v>168.75</v>
                </pt>
                <pt idx="87">
                  <v>162.7</v>
                </pt>
                <pt idx="88">
                  <v>242.15</v>
                </pt>
                <pt idx="89">
                  <v>161.05</v>
                </pt>
                <pt idx="90">
                  <v>83.55</v>
                </pt>
                <pt idx="91">
                  <v>185.05</v>
                </pt>
                <pt idx="92">
                  <v>142.6</v>
                </pt>
                <pt idx="93">
                  <v>124.75</v>
                </pt>
                <pt idx="94">
                  <v>130.3</v>
                </pt>
                <pt idx="95">
                  <v>115.7</v>
                </pt>
                <pt idx="96">
                  <v>81.84999999999999</v>
                </pt>
                <pt idx="97">
                  <v>75.95</v>
                </pt>
                <pt idx="98">
                  <v>70.05</v>
                </pt>
                <pt idx="99">
                  <v>157.35</v>
                </pt>
                <pt idx="100">
                  <v>67.75</v>
                </pt>
                <pt idx="101">
                  <v>63.95</v>
                </pt>
                <pt idx="102">
                  <v>133.65</v>
                </pt>
                <pt idx="103">
                  <v>67.65000000000001</v>
                </pt>
                <pt idx="104">
                  <v>206.75</v>
                </pt>
                <pt idx="105">
                  <v>153.8</v>
                </pt>
                <pt idx="106">
                  <v>57.35</v>
                </pt>
                <pt idx="107">
                  <v>127.8</v>
                </pt>
                <pt idx="108">
                  <v>101.95</v>
                </pt>
                <pt idx="109">
                  <v>90.25</v>
                </pt>
                <pt idx="110">
                  <v>55.25</v>
                </pt>
                <pt idx="111">
                  <v>120.55</v>
                </pt>
                <pt idx="112">
                  <v>0</v>
                </pt>
                <pt idx="113">
                  <v>0</v>
                </pt>
                <pt idx="114">
                  <v>36.5</v>
                </pt>
                <pt idx="115">
                  <v>0</v>
                </pt>
                <pt idx="116">
                  <v>35.8</v>
                </pt>
                <pt idx="117">
                  <v>35.75</v>
                </pt>
                <pt idx="118">
                  <v>28.9</v>
                </pt>
                <pt idx="119">
                  <v>41.45</v>
                </pt>
                <pt idx="120">
                  <v>43.5</v>
                </pt>
                <pt idx="121">
                  <v>53.9</v>
                </pt>
                <pt idx="122">
                  <v>43.75</v>
                </pt>
                <pt idx="123">
                  <v>19.6</v>
                </pt>
                <pt idx="124">
                  <v>20.6</v>
                </pt>
                <pt idx="125">
                  <v>17.8</v>
                </pt>
                <pt idx="126">
                  <v>19.8</v>
                </pt>
                <pt idx="127">
                  <v>15.4</v>
                </pt>
                <pt idx="128">
                  <v>22.8</v>
                </pt>
              </numCache>
            </numRef>
          </val>
        </ser>
        <ser>
          <idx val="8"/>
          <order val="8"/>
          <tx>
            <strRef>
              <f>'Raw Data (KG)'!$J$1</f>
              <strCache>
                <ptCount val="1"/>
                <pt idx="0">
                  <v xml:space="preserve"> CD @0.154kg 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 w="25400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(KG)'!$J$2:$J$130</f>
            </numRef>
          </val>
        </ser>
        <ser>
          <idx val="9"/>
          <order val="9"/>
          <tx>
            <strRef>
              <f>'Raw Data (KG)'!$K$1</f>
              <strCache>
                <ptCount val="1"/>
                <pt idx="0">
                  <v xml:space="preserve"> Glass </v>
                </pt>
              </strCache>
            </strRef>
          </tx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(KG)'!$K$2:$K$130</f>
              <numCache>
                <formatCode>_(* #,##0_);_(* \(#,##0\);_(* "-"??_);_(@_)</formatCode>
                <ptCount val="129"/>
                <pt idx="13">
                  <v>626</v>
                </pt>
                <pt idx="14">
                  <v>827</v>
                </pt>
                <pt idx="15">
                  <v>728</v>
                </pt>
                <pt idx="16">
                  <v>1653</v>
                </pt>
                <pt idx="17">
                  <v>875</v>
                </pt>
                <pt idx="18">
                  <v>870</v>
                </pt>
                <pt idx="19">
                  <v>856</v>
                </pt>
                <pt idx="20">
                  <v>1953</v>
                </pt>
                <pt idx="21">
                  <v>1067</v>
                </pt>
                <pt idx="22">
                  <v>1074</v>
                </pt>
                <pt idx="23">
                  <v>1038</v>
                </pt>
                <pt idx="24">
                  <v>957</v>
                </pt>
                <pt idx="25">
                  <v>827</v>
                </pt>
                <pt idx="26">
                  <v>1956</v>
                </pt>
                <pt idx="27">
                  <v>3297</v>
                </pt>
                <pt idx="28">
                  <v>1785</v>
                </pt>
                <pt idx="29">
                  <v>1400</v>
                </pt>
                <pt idx="30">
                  <v>1647</v>
                </pt>
                <pt idx="31">
                  <v>3015</v>
                </pt>
                <pt idx="32">
                  <v>1168</v>
                </pt>
                <pt idx="33">
                  <v>1397</v>
                </pt>
                <pt idx="34">
                  <v>1824</v>
                </pt>
                <pt idx="35">
                  <v>1672</v>
                </pt>
                <pt idx="36">
                  <v>2495</v>
                </pt>
                <pt idx="37">
                  <v>1142</v>
                </pt>
                <pt idx="38">
                  <v>2204</v>
                </pt>
                <pt idx="39">
                  <v>1653</v>
                </pt>
                <pt idx="40">
                  <v>3458</v>
                </pt>
                <pt idx="41">
                  <v>1465</v>
                </pt>
                <pt idx="42">
                  <v>1726</v>
                </pt>
                <pt idx="43">
                  <v>1475</v>
                </pt>
                <pt idx="44">
                  <v>1816</v>
                </pt>
                <pt idx="45">
                  <v>1894</v>
                </pt>
                <pt idx="46">
                  <v>1563</v>
                </pt>
                <pt idx="47">
                  <v>1981</v>
                </pt>
                <pt idx="48">
                  <v>1948</v>
                </pt>
                <pt idx="49">
                  <v>1726</v>
                </pt>
                <pt idx="50">
                  <v>3290</v>
                </pt>
                <pt idx="51">
                  <v>0</v>
                </pt>
                <pt idx="52">
                  <v>3956</v>
                </pt>
                <pt idx="53">
                  <v>4858</v>
                </pt>
                <pt idx="54">
                  <v>0</v>
                </pt>
                <pt idx="55">
                  <v>2040</v>
                </pt>
                <pt idx="56">
                  <v>1740</v>
                </pt>
                <pt idx="57">
                  <v>1490</v>
                </pt>
                <pt idx="58">
                  <v>0</v>
                </pt>
                <pt idx="59">
                  <v>3470</v>
                </pt>
                <pt idx="60">
                  <v>0</v>
                </pt>
                <pt idx="61">
                  <v>2620</v>
                </pt>
                <pt idx="62">
                  <v>845</v>
                </pt>
                <pt idx="63">
                  <v>1663</v>
                </pt>
                <pt idx="64">
                  <v>812</v>
                </pt>
                <pt idx="65">
                  <v>2191</v>
                </pt>
                <pt idx="66">
                  <v>1388</v>
                </pt>
                <pt idx="67">
                  <v>1172</v>
                </pt>
                <pt idx="68">
                  <v>1793</v>
                </pt>
                <pt idx="69">
                  <v>1845</v>
                </pt>
                <pt idx="70">
                  <v>1356</v>
                </pt>
                <pt idx="71">
                  <v>2613</v>
                </pt>
                <pt idx="72">
                  <v>1388</v>
                </pt>
                <pt idx="73">
                  <v>2411</v>
                </pt>
                <pt idx="74">
                  <v>2352</v>
                </pt>
                <pt idx="75">
                  <v>2259</v>
                </pt>
                <pt idx="76">
                  <v>542</v>
                </pt>
                <pt idx="77">
                  <v>874</v>
                </pt>
                <pt idx="78">
                  <v>0</v>
                </pt>
                <pt idx="79">
                  <v>0</v>
                </pt>
                <pt idx="80">
                  <v>1020</v>
                </pt>
                <pt idx="81">
                  <v>0</v>
                </pt>
                <pt idx="82">
                  <v>863</v>
                </pt>
                <pt idx="83">
                  <v>982</v>
                </pt>
                <pt idx="84">
                  <v>0</v>
                </pt>
                <pt idx="85">
                  <v>734</v>
                </pt>
                <pt idx="86">
                  <v>643</v>
                </pt>
                <pt idx="87">
                  <v>971</v>
                </pt>
                <pt idx="88">
                  <v>781</v>
                </pt>
                <pt idx="89">
                  <v>971</v>
                </pt>
                <pt idx="90">
                  <v>1544</v>
                </pt>
                <pt idx="91">
                  <v>0</v>
                </pt>
                <pt idx="92">
                  <v>758</v>
                </pt>
                <pt idx="93">
                  <v>0</v>
                </pt>
                <pt idx="94">
                  <v>1085</v>
                </pt>
                <pt idx="95">
                  <v>908</v>
                </pt>
                <pt idx="96">
                  <v>1043</v>
                </pt>
                <pt idx="97">
                  <v>0</v>
                </pt>
                <pt idx="98">
                  <v>1006</v>
                </pt>
                <pt idx="99">
                  <v>891</v>
                </pt>
                <pt idx="100">
                  <v>625</v>
                </pt>
                <pt idx="101">
                  <v>0</v>
                </pt>
                <pt idx="102">
                  <v>0</v>
                </pt>
                <pt idx="103">
                  <v>869</v>
                </pt>
                <pt idx="104">
                  <v>0</v>
                </pt>
                <pt idx="105">
                  <v>1036</v>
                </pt>
                <pt idx="106">
                  <v>0</v>
                </pt>
                <pt idx="107">
                  <v>1056</v>
                </pt>
                <pt idx="108">
                  <v>0</v>
                </pt>
                <pt idx="109">
                  <v>1973</v>
                </pt>
                <pt idx="110">
                  <v>0</v>
                </pt>
                <pt idx="111">
                  <v>1009</v>
                </pt>
                <pt idx="112">
                  <v>993</v>
                </pt>
                <pt idx="113">
                  <v>762</v>
                </pt>
                <pt idx="114">
                  <v>757</v>
                </pt>
                <pt idx="115">
                  <v>670</v>
                </pt>
                <pt idx="116">
                  <v>603</v>
                </pt>
                <pt idx="117">
                  <v>499</v>
                </pt>
                <pt idx="118">
                  <v>0</v>
                </pt>
                <pt idx="119">
                  <v>608</v>
                </pt>
                <pt idx="120">
                  <v>673</v>
                </pt>
                <pt idx="121">
                  <v>996</v>
                </pt>
                <pt idx="122">
                  <v>0</v>
                </pt>
                <pt idx="123">
                  <v>1412</v>
                </pt>
                <pt idx="124">
                  <v>975</v>
                </pt>
                <pt idx="125">
                  <v>856</v>
                </pt>
                <pt idx="126">
                  <v>0</v>
                </pt>
                <pt idx="127">
                  <v>698</v>
                </pt>
                <pt idx="128">
                  <v>597</v>
                </pt>
              </numCache>
            </numRef>
          </val>
        </ser>
        <ser>
          <idx val="10"/>
          <order val="10"/>
          <tx>
            <strRef>
              <f>'Raw Data (KG)'!$L$1</f>
              <strCache>
                <ptCount val="1"/>
                <pt idx="0">
                  <v xml:space="preserve"> Clothes 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(KG)'!$L$2:$L$130</f>
              <numCache>
                <formatCode>_(* #,##0_);_(* \(#,##0\);_(* "-"??_);_(@_)</formatCode>
                <ptCount val="129"/>
                <pt idx="15">
                  <v>0</v>
                </pt>
                <pt idx="16">
                  <v>0</v>
                </pt>
                <pt idx="17">
                  <v>160</v>
                </pt>
                <pt idx="18">
                  <v>70</v>
                </pt>
                <pt idx="19">
                  <v>0</v>
                </pt>
                <pt idx="20">
                  <v>0</v>
                </pt>
                <pt idx="21">
                  <v>240</v>
                </pt>
                <pt idx="22">
                  <v>400</v>
                </pt>
                <pt idx="23">
                  <v>270</v>
                </pt>
                <pt idx="24">
                  <v>0</v>
                </pt>
                <pt idx="25">
                  <v>270</v>
                </pt>
                <pt idx="26">
                  <v>120</v>
                </pt>
                <pt idx="27">
                  <v>160</v>
                </pt>
                <pt idx="28">
                  <v>50</v>
                </pt>
                <pt idx="29">
                  <v>250</v>
                </pt>
                <pt idx="30">
                  <v>100</v>
                </pt>
                <pt idx="31">
                  <v>160</v>
                </pt>
                <pt idx="32">
                  <v>30</v>
                </pt>
                <pt idx="33">
                  <v>100</v>
                </pt>
                <pt idx="34">
                  <v>150</v>
                </pt>
                <pt idx="35">
                  <v>340</v>
                </pt>
                <pt idx="36">
                  <v>0</v>
                </pt>
                <pt idx="37">
                  <v>200</v>
                </pt>
                <pt idx="38">
                  <v>220</v>
                </pt>
                <pt idx="39">
                  <v>0</v>
                </pt>
                <pt idx="40">
                  <v>0</v>
                </pt>
                <pt idx="41">
                  <v>50</v>
                </pt>
                <pt idx="42">
                  <v>0</v>
                </pt>
                <pt idx="43">
                  <v>120</v>
                </pt>
                <pt idx="44">
                  <v>0</v>
                </pt>
                <pt idx="45">
                  <v>150</v>
                </pt>
                <pt idx="46">
                  <v>250</v>
                </pt>
                <pt idx="47">
                  <v>250</v>
                </pt>
                <pt idx="48">
                  <v>100</v>
                </pt>
                <pt idx="49">
                  <v>0</v>
                </pt>
                <pt idx="50">
                  <v>200</v>
                </pt>
                <pt idx="51">
                  <v>70</v>
                </pt>
                <pt idx="52">
                  <v>100</v>
                </pt>
                <pt idx="53">
                  <v>100</v>
                </pt>
                <pt idx="54">
                  <v>150</v>
                </pt>
                <pt idx="55">
                  <v>0</v>
                </pt>
                <pt idx="56">
                  <v>80</v>
                </pt>
                <pt idx="57">
                  <v>180</v>
                </pt>
                <pt idx="58">
                  <v>170</v>
                </pt>
                <pt idx="59">
                  <v>280</v>
                </pt>
                <pt idx="60">
                  <v>130</v>
                </pt>
                <pt idx="61">
                  <v>0</v>
                </pt>
                <pt idx="62">
                  <v>260</v>
                </pt>
                <pt idx="63">
                  <v>30</v>
                </pt>
                <pt idx="64">
                  <v>0</v>
                </pt>
                <pt idx="65">
                  <v>100</v>
                </pt>
                <pt idx="66">
                  <v>180</v>
                </pt>
                <pt idx="67">
                  <v>0</v>
                </pt>
                <pt idx="68">
                  <v>120</v>
                </pt>
                <pt idx="69">
                  <v>100</v>
                </pt>
                <pt idx="70">
                  <v>130</v>
                </pt>
                <pt idx="71">
                  <v>150</v>
                </pt>
                <pt idx="72">
                  <v>110</v>
                </pt>
                <pt idx="73">
                  <v>70</v>
                </pt>
                <pt idx="74">
                  <v>40</v>
                </pt>
                <pt idx="75">
                  <v>40</v>
                </pt>
                <pt idx="76">
                  <v>30</v>
                </pt>
                <pt idx="77">
                  <v>50</v>
                </pt>
                <pt idx="78">
                  <v>80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180</v>
                </pt>
                <pt idx="84">
                  <v>70</v>
                </pt>
                <pt idx="85">
                  <v>100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30</v>
                </pt>
                <pt idx="93">
                  <v>130</v>
                </pt>
                <pt idx="94">
                  <v>50</v>
                </pt>
                <pt idx="95">
                  <v>130</v>
                </pt>
                <pt idx="96">
                  <v>150</v>
                </pt>
                <pt idx="97">
                  <v>130</v>
                </pt>
                <pt idx="98">
                  <v>80</v>
                </pt>
                <pt idx="99">
                  <v>150</v>
                </pt>
                <pt idx="100">
                  <v>30</v>
                </pt>
                <pt idx="101">
                  <v>70</v>
                </pt>
                <pt idx="102">
                  <v>200</v>
                </pt>
                <pt idx="103">
                  <v>0</v>
                </pt>
                <pt idx="104">
                  <v>0</v>
                </pt>
                <pt idx="105">
                  <v>160</v>
                </pt>
                <pt idx="106">
                  <v>80</v>
                </pt>
                <pt idx="107">
                  <v>150</v>
                </pt>
                <pt idx="108">
                  <v>150</v>
                </pt>
                <pt idx="109">
                  <v>150</v>
                </pt>
                <pt idx="110">
                  <v>110</v>
                </pt>
                <pt idx="111">
                  <v>60</v>
                </pt>
                <pt idx="112">
                  <v>180</v>
                </pt>
                <pt idx="113">
                  <v>230</v>
                </pt>
                <pt idx="114">
                  <v>90</v>
                </pt>
                <pt idx="115">
                  <v>140</v>
                </pt>
                <pt idx="116">
                  <v>200</v>
                </pt>
                <pt idx="117">
                  <v>250</v>
                </pt>
                <pt idx="118">
                  <v>120</v>
                </pt>
                <pt idx="119">
                  <v>180</v>
                </pt>
                <pt idx="120">
                  <v>170</v>
                </pt>
                <pt idx="121">
                  <v>250</v>
                </pt>
                <pt idx="122">
                  <v>180</v>
                </pt>
                <pt idx="123">
                  <v>170</v>
                </pt>
                <pt idx="124">
                  <v>190</v>
                </pt>
                <pt idx="125">
                  <v>180</v>
                </pt>
                <pt idx="126">
                  <v>200</v>
                </pt>
                <pt idx="127">
                  <v>160</v>
                </pt>
                <pt idx="128">
                  <v>130</v>
                </pt>
              </numCache>
            </numRef>
          </val>
        </ser>
        <ser>
          <idx val="11"/>
          <order val="11"/>
          <tx>
            <strRef>
              <f>'Raw Data (KG)'!$M$1</f>
              <strCache>
                <ptCount val="1"/>
                <pt idx="0">
                  <v xml:space="preserve"> Fluorescent Tube @ 0.3kg </v>
                </pt>
              </strCache>
            </strRef>
          </tx>
          <spPr>
            <a:solidFill xmlns:a="http://schemas.openxmlformats.org/drawingml/2006/main">
              <a:schemeClr val="accent6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(KG)'!$M$2:$M$130</f>
              <numCache>
                <formatCode>_(* #,##0_);_(* \(#,##0\);_(* "-"??_);_(@_)</formatCode>
                <ptCount val="129"/>
                <pt idx="0">
                  <v>217</v>
                </pt>
                <pt idx="1">
                  <v>203</v>
                </pt>
                <pt idx="2">
                  <v>223</v>
                </pt>
                <pt idx="3">
                  <v>400</v>
                </pt>
                <pt idx="4">
                  <v>800</v>
                </pt>
                <pt idx="5">
                  <v>600</v>
                </pt>
                <pt idx="6">
                  <v>600</v>
                </pt>
                <pt idx="7">
                  <v>800</v>
                </pt>
                <pt idx="8">
                  <v>800</v>
                </pt>
                <pt idx="9">
                  <v>800</v>
                </pt>
                <pt idx="10">
                  <v>800</v>
                </pt>
                <pt idx="11">
                  <v>800</v>
                </pt>
                <pt idx="12">
                  <v>1000</v>
                </pt>
                <pt idx="13">
                  <v>800</v>
                </pt>
                <pt idx="14">
                  <v>800</v>
                </pt>
                <pt idx="15">
                  <v>800</v>
                </pt>
                <pt idx="16">
                  <v>800</v>
                </pt>
                <pt idx="17">
                  <v>1000</v>
                </pt>
                <pt idx="18">
                  <v>800</v>
                </pt>
                <pt idx="19">
                  <v>800</v>
                </pt>
                <pt idx="20">
                  <v>800</v>
                </pt>
                <pt idx="21">
                  <v>1000</v>
                </pt>
                <pt idx="22">
                  <v>800</v>
                </pt>
                <pt idx="23">
                  <v>800</v>
                </pt>
                <pt idx="24">
                  <v>1000</v>
                </pt>
                <pt idx="25">
                  <v>800</v>
                </pt>
                <pt idx="26">
                  <v>1000</v>
                </pt>
                <pt idx="27">
                  <v>800</v>
                </pt>
                <pt idx="28">
                  <v>800</v>
                </pt>
                <pt idx="29">
                  <v>1200</v>
                </pt>
                <pt idx="30">
                  <formatCode>#,##0</formatCode>
                  <v>1200</v>
                </pt>
                <pt idx="31">
                  <formatCode>#,##0</formatCode>
                  <v>600</v>
                </pt>
                <pt idx="32">
                  <formatCode>#,##0</formatCode>
                  <v>1200</v>
                </pt>
                <pt idx="33">
                  <formatCode>#,##0</formatCode>
                  <v>600</v>
                </pt>
                <pt idx="34">
                  <formatCode>#,##0</formatCode>
                  <v>1000</v>
                </pt>
                <pt idx="35">
                  <formatCode>#,##0</formatCode>
                  <v>800</v>
                </pt>
                <pt idx="36">
                  <formatCode>#,##0</formatCode>
                  <v>1000</v>
                </pt>
                <pt idx="37">
                  <formatCode>#,##0</formatCode>
                  <v>2400</v>
                </pt>
                <pt idx="38">
                  <formatCode>#,##0</formatCode>
                  <v>1800</v>
                </pt>
                <pt idx="39">
                  <formatCode>#,##0</formatCode>
                  <v>2000</v>
                </pt>
                <pt idx="40">
                  <formatCode>#,##0</formatCode>
                  <v>1600</v>
                </pt>
                <pt idx="41">
                  <formatCode>#,##0</formatCode>
                  <v>1400</v>
                </pt>
                <pt idx="42">
                  <formatCode>#,##0</formatCode>
                  <v>1400</v>
                </pt>
                <pt idx="43">
                  <formatCode>#,##0</formatCode>
                  <v>2800</v>
                </pt>
                <pt idx="44">
                  <formatCode>#,##0</formatCode>
                  <v>3000</v>
                </pt>
                <pt idx="45">
                  <formatCode>#,##0</formatCode>
                  <v>1400</v>
                </pt>
                <pt idx="46">
                  <formatCode>#,##0</formatCode>
                  <v>3400</v>
                </pt>
                <pt idx="47">
                  <formatCode>#,##0</formatCode>
                  <v>800</v>
                </pt>
                <pt idx="48">
                  <formatCode>#,##0</formatCode>
                  <v>3200</v>
                </pt>
                <pt idx="49">
                  <formatCode>#,##0</formatCode>
                  <v>800</v>
                </pt>
                <pt idx="50">
                  <formatCode>#,##0</formatCode>
                  <v>800</v>
                </pt>
                <pt idx="51">
                  <formatCode>#,##0</formatCode>
                  <v>800</v>
                </pt>
                <pt idx="52">
                  <formatCode>#,##0</formatCode>
                  <v>1200</v>
                </pt>
                <pt idx="53">
                  <formatCode>#,##0</formatCode>
                  <v>1800</v>
                </pt>
                <pt idx="54">
                  <formatCode>#,##0</formatCode>
                  <v>1600</v>
                </pt>
                <pt idx="55">
                  <formatCode>#,##0</formatCode>
                  <v>1200</v>
                </pt>
                <pt idx="56">
                  <formatCode>#,##0</formatCode>
                  <v>1600</v>
                </pt>
                <pt idx="57">
                  <formatCode>#,##0</formatCode>
                  <v>4600</v>
                </pt>
                <pt idx="58">
                  <formatCode>#,##0</formatCode>
                  <v>2400</v>
                </pt>
                <pt idx="59">
                  <formatCode>#,##0</formatCode>
                  <v>800</v>
                </pt>
                <pt idx="60">
                  <formatCode>#,##0</formatCode>
                  <v>800</v>
                </pt>
                <pt idx="61">
                  <formatCode>#,##0</formatCode>
                  <v>800</v>
                </pt>
                <pt idx="62">
                  <formatCode>#,##0</formatCode>
                  <v>800</v>
                </pt>
                <pt idx="63">
                  <formatCode>#,##0</formatCode>
                  <v>2400</v>
                </pt>
                <pt idx="64">
                  <formatCode>#,##0</formatCode>
                  <v>1800</v>
                </pt>
                <pt idx="65">
                  <formatCode>#,##0</formatCode>
                  <v>1800</v>
                </pt>
                <pt idx="66">
                  <formatCode>#,##0</formatCode>
                  <v>2800</v>
                </pt>
                <pt idx="67">
                  <formatCode>#,##0</formatCode>
                  <v>1400</v>
                </pt>
                <pt idx="68">
                  <formatCode>#,##0</formatCode>
                  <v>800</v>
                </pt>
                <pt idx="69">
                  <formatCode>#,##0</formatCode>
                  <v>2200</v>
                </pt>
                <pt idx="70">
                  <formatCode>#,##0</formatCode>
                  <v>800</v>
                </pt>
                <pt idx="71">
                  <formatCode>#,##0</formatCode>
                  <v>800</v>
                </pt>
                <pt idx="72">
                  <formatCode>#,##0</formatCode>
                  <v>800</v>
                </pt>
                <pt idx="73">
                  <formatCode>#,##0</formatCode>
                  <v>600</v>
                </pt>
                <pt idx="74">
                  <formatCode>#,##0</formatCode>
                  <v>800</v>
                </pt>
                <pt idx="75">
                  <formatCode>#,##0</formatCode>
                  <v>400</v>
                </pt>
                <pt idx="76">
                  <formatCode>#,##0</formatCode>
                  <v>800</v>
                </pt>
                <pt idx="77">
                  <formatCode>#,##0</formatCode>
                  <v>800</v>
                </pt>
                <pt idx="78">
                  <formatCode>#,##0</formatCode>
                  <v>800</v>
                </pt>
                <pt idx="79">
                  <formatCode>#,##0</formatCode>
                  <v>400</v>
                </pt>
                <pt idx="80">
                  <formatCode>#,##0</formatCode>
                  <v>400</v>
                </pt>
                <pt idx="81">
                  <formatCode>#,##0</formatCode>
                  <v>400</v>
                </pt>
                <pt idx="82">
                  <formatCode>#,##0</formatCode>
                  <v>800</v>
                </pt>
                <pt idx="83">
                  <formatCode>#,##0</formatCode>
                  <v>1600</v>
                </pt>
                <pt idx="84">
                  <formatCode>#,##0</formatCode>
                  <v>400</v>
                </pt>
                <pt idx="85">
                  <formatCode>#,##0</formatCode>
                  <v>1200</v>
                </pt>
                <pt idx="86">
                  <formatCode>#,##0</formatCode>
                  <v>800</v>
                </pt>
                <pt idx="87">
                  <formatCode>#,##0</formatCode>
                  <v>400</v>
                </pt>
                <pt idx="88">
                  <formatCode>#,##0</formatCode>
                  <v>800</v>
                </pt>
                <pt idx="89">
                  <formatCode>#,##0</formatCode>
                  <v>600</v>
                </pt>
                <pt idx="90">
                  <formatCode>#,##0</formatCode>
                  <v>600</v>
                </pt>
                <pt idx="91">
                  <formatCode>#,##0</formatCode>
                  <v>600</v>
                </pt>
                <pt idx="92">
                  <formatCode>#,##0</formatCode>
                  <v>400</v>
                </pt>
                <pt idx="93">
                  <formatCode>#,##0</formatCode>
                  <v>800</v>
                </pt>
                <pt idx="94">
                  <formatCode>#,##0</formatCode>
                  <v>800</v>
                </pt>
                <pt idx="95">
                  <formatCode>#,##0</formatCode>
                  <v>800</v>
                </pt>
                <pt idx="96">
                  <formatCode>#,##0</formatCode>
                  <v>800</v>
                </pt>
                <pt idx="97">
                  <formatCode>#,##0</formatCode>
                  <v>800</v>
                </pt>
                <pt idx="98">
                  <formatCode>#,##0</formatCode>
                  <v>800</v>
                </pt>
                <pt idx="99">
                  <formatCode>#,##0</formatCode>
                  <v>800</v>
                </pt>
                <pt idx="100">
                  <formatCode>#,##0</formatCode>
                  <v>800</v>
                </pt>
                <pt idx="101">
                  <formatCode>#,##0</formatCode>
                  <v>600</v>
                </pt>
                <pt idx="102">
                  <formatCode>#,##0</formatCode>
                  <v>1200</v>
                </pt>
                <pt idx="103">
                  <formatCode>#,##0</formatCode>
                  <v>400</v>
                </pt>
                <pt idx="104">
                  <formatCode>#,##0</formatCode>
                  <v>400</v>
                </pt>
                <pt idx="105">
                  <formatCode>#,##0</formatCode>
                  <v>800</v>
                </pt>
                <pt idx="106">
                  <formatCode>#,##0</formatCode>
                  <v>400</v>
                </pt>
                <pt idx="107">
                  <formatCode>#,##0</formatCode>
                  <v>800</v>
                </pt>
                <pt idx="108">
                  <formatCode>#,##0</formatCode>
                  <v>600</v>
                </pt>
                <pt idx="109">
                  <formatCode>#,##0</formatCode>
                  <v>1200</v>
                </pt>
                <pt idx="110">
                  <formatCode>#,##0</formatCode>
                  <v>400</v>
                </pt>
                <pt idx="111">
                  <formatCode>#,##0</formatCode>
                  <v>800</v>
                </pt>
                <pt idx="112">
                  <formatCode>#,##0</formatCode>
                  <v>800</v>
                </pt>
                <pt idx="113">
                  <formatCode>#,##0</formatCode>
                  <v>800</v>
                </pt>
                <pt idx="114">
                  <formatCode>#,##0</formatCode>
                  <v>400</v>
                </pt>
                <pt idx="115">
                  <formatCode>#,##0</formatCode>
                  <v>600</v>
                </pt>
                <pt idx="116">
                  <formatCode>#,##0</formatCode>
                  <v>800</v>
                </pt>
                <pt idx="117">
                  <formatCode>#,##0</formatCode>
                  <v>200</v>
                </pt>
                <pt idx="118">
                  <formatCode>#,##0</formatCode>
                  <v>400</v>
                </pt>
                <pt idx="119">
                  <formatCode>#,##0</formatCode>
                  <v>1200</v>
                </pt>
                <pt idx="120">
                  <formatCode>#,##0</formatCode>
                  <v>1200</v>
                </pt>
                <pt idx="121">
                  <formatCode>#,##0</formatCode>
                  <v>600</v>
                </pt>
                <pt idx="122">
                  <formatCode>#,##0</formatCode>
                  <v>800</v>
                </pt>
                <pt idx="123">
                  <formatCode>#,##0</formatCode>
                  <v>400</v>
                </pt>
                <pt idx="124">
                  <formatCode>#,##0</formatCode>
                  <v>800</v>
                </pt>
                <pt idx="125">
                  <formatCode>#,##0</formatCode>
                  <v>1200</v>
                </pt>
                <pt idx="126">
                  <formatCode>#,##0</formatCode>
                  <v>800</v>
                </pt>
                <pt idx="127">
                  <formatCode>#,##0</formatCode>
                  <v>800</v>
                </pt>
                <pt idx="128">
                  <formatCode>#,##0</formatCode>
                  <v>400</v>
                </pt>
              </numCache>
            </numRef>
          </val>
        </ser>
        <ser>
          <idx val="12"/>
          <order val="12"/>
          <tx>
            <strRef>
              <f>'Raw Data (KG)'!$N$1</f>
              <strCache>
                <ptCount val="1"/>
                <pt idx="0">
                  <v>Lamp @ 0.07kg</v>
                </pt>
              </strCache>
            </strRef>
          </tx>
          <spPr>
            <a:solidFill xmlns:a="http://schemas.openxmlformats.org/drawingml/2006/main">
              <a:schemeClr val="accent1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(KG)'!$N$2:$N$130</f>
              <numCache>
                <formatCode>_(* #,##0_);_(* \(#,##0\);_(* "-"??_);_(@_)</formatCode>
                <ptCount val="129"/>
                <pt idx="0">
                  <v>23</v>
                </pt>
                <pt idx="1">
                  <v>22</v>
                </pt>
                <pt idx="2">
                  <v>24</v>
                </pt>
                <pt idx="3">
                  <v>200</v>
                </pt>
                <pt idx="4">
                  <v>400</v>
                </pt>
                <pt idx="5">
                  <v>400</v>
                </pt>
                <pt idx="6">
                  <v>200</v>
                </pt>
                <pt idx="7">
                  <v>200</v>
                </pt>
                <pt idx="8">
                  <v>400</v>
                </pt>
                <pt idx="9">
                  <v>400</v>
                </pt>
                <pt idx="10">
                  <v>400</v>
                </pt>
                <pt idx="11">
                  <v>400</v>
                </pt>
                <pt idx="12">
                  <v>600</v>
                </pt>
                <pt idx="13">
                  <v>400</v>
                </pt>
                <pt idx="14">
                  <v>400</v>
                </pt>
                <pt idx="15">
                  <v>400</v>
                </pt>
                <pt idx="16">
                  <v>400</v>
                </pt>
                <pt idx="17">
                  <v>400</v>
                </pt>
                <pt idx="18">
                  <v>400</v>
                </pt>
                <pt idx="19">
                  <v>400</v>
                </pt>
                <pt idx="20">
                  <v>400</v>
                </pt>
                <pt idx="21">
                  <v>400</v>
                </pt>
                <pt idx="22">
                  <v>400</v>
                </pt>
                <pt idx="23">
                  <v>400</v>
                </pt>
                <pt idx="24">
                  <v>600</v>
                </pt>
                <pt idx="25">
                  <v>400</v>
                </pt>
                <pt idx="26">
                  <v>400</v>
                </pt>
                <pt idx="27">
                  <v>200</v>
                </pt>
                <pt idx="28">
                  <v>600</v>
                </pt>
                <pt idx="29">
                  <v>1200</v>
                </pt>
                <pt idx="30">
                  <formatCode>#,##0</formatCode>
                  <v>400</v>
                </pt>
                <pt idx="31">
                  <formatCode>#,##0</formatCode>
                  <v>200</v>
                </pt>
                <pt idx="32">
                  <formatCode>#,##0</formatCode>
                  <v>400</v>
                </pt>
                <pt idx="33">
                  <formatCode>#,##0</formatCode>
                  <v>400</v>
                </pt>
                <pt idx="34">
                  <formatCode>#,##0</formatCode>
                  <v>400</v>
                </pt>
                <pt idx="35">
                  <formatCode>#,##0</formatCode>
                  <v>400</v>
                </pt>
                <pt idx="36">
                  <formatCode>#,##0</formatCode>
                  <v>600</v>
                </pt>
                <pt idx="37">
                  <formatCode>#,##0</formatCode>
                  <v>200</v>
                </pt>
                <pt idx="38">
                  <formatCode>#,##0</formatCode>
                  <v>400</v>
                </pt>
                <pt idx="39">
                  <formatCode>#,##0</formatCode>
                  <v>200</v>
                </pt>
                <pt idx="40">
                  <formatCode>#,##0</formatCode>
                  <v>400</v>
                </pt>
                <pt idx="41">
                  <formatCode>#,##0</formatCode>
                  <v>200</v>
                </pt>
                <pt idx="42">
                  <formatCode>#,##0</formatCode>
                  <v>0</v>
                </pt>
                <pt idx="43">
                  <formatCode>#,##0</formatCode>
                  <v>400</v>
                </pt>
                <pt idx="44">
                  <formatCode>#,##0</formatCode>
                  <v>0</v>
                </pt>
                <pt idx="45">
                  <formatCode>#,##0</formatCode>
                  <v>400</v>
                </pt>
                <pt idx="46">
                  <formatCode>#,##0</formatCode>
                  <v>400</v>
                </pt>
                <pt idx="47">
                  <formatCode>#,##0</formatCode>
                  <v>400</v>
                </pt>
                <pt idx="48">
                  <formatCode>#,##0</formatCode>
                  <v>400</v>
                </pt>
                <pt idx="49">
                  <formatCode>#,##0</formatCode>
                  <v>400</v>
                </pt>
                <pt idx="50">
                  <formatCode>#,##0</formatCode>
                  <v>400</v>
                </pt>
                <pt idx="51">
                  <formatCode>#,##0</formatCode>
                  <v>400</v>
                </pt>
                <pt idx="52">
                  <formatCode>#,##0</formatCode>
                  <v>600</v>
                </pt>
                <pt idx="53">
                  <formatCode>#,##0</formatCode>
                  <v>400</v>
                </pt>
                <pt idx="54">
                  <formatCode>#,##0</formatCode>
                  <v>400</v>
                </pt>
                <pt idx="55">
                  <formatCode>#,##0</formatCode>
                  <v>200</v>
                </pt>
                <pt idx="56">
                  <formatCode>#,##0</formatCode>
                  <v>400</v>
                </pt>
                <pt idx="57">
                  <formatCode>#,##0</formatCode>
                  <v>400</v>
                </pt>
                <pt idx="58">
                  <formatCode>#,##0</formatCode>
                  <v>200</v>
                </pt>
                <pt idx="59">
                  <formatCode>#,##0</formatCode>
                  <v>400</v>
                </pt>
                <pt idx="60">
                  <formatCode>#,##0</formatCode>
                  <v>400</v>
                </pt>
                <pt idx="61">
                  <formatCode>#,##0</formatCode>
                  <v>400</v>
                </pt>
                <pt idx="62">
                  <formatCode>#,##0</formatCode>
                  <v>400</v>
                </pt>
                <pt idx="63">
                  <formatCode>#,##0</formatCode>
                  <v>600</v>
                </pt>
                <pt idx="64">
                  <formatCode>#,##0</formatCode>
                  <v>200</v>
                </pt>
                <pt idx="65">
                  <formatCode>#,##0</formatCode>
                  <v>400</v>
                </pt>
                <pt idx="66">
                  <formatCode>#,##0</formatCode>
                  <v>400</v>
                </pt>
                <pt idx="67">
                  <formatCode>#,##0</formatCode>
                  <v>400</v>
                </pt>
                <pt idx="68">
                  <formatCode>#,##0</formatCode>
                  <v>200</v>
                </pt>
                <pt idx="69">
                  <formatCode>#,##0</formatCode>
                  <v>400</v>
                </pt>
                <pt idx="70">
                  <formatCode>#,##0</formatCode>
                  <v>200</v>
                </pt>
                <pt idx="71">
                  <formatCode>#,##0</formatCode>
                  <v>200</v>
                </pt>
                <pt idx="72">
                  <formatCode>#,##0</formatCode>
                  <v>400</v>
                </pt>
                <pt idx="73">
                  <formatCode>#,##0</formatCode>
                  <v>400</v>
                </pt>
                <pt idx="74">
                  <formatCode>#,##0</formatCode>
                  <v>600</v>
                </pt>
                <pt idx="75">
                  <formatCode>#,##0</formatCode>
                  <v>400</v>
                </pt>
                <pt idx="76">
                  <formatCode>#,##0</formatCode>
                  <v>400</v>
                </pt>
                <pt idx="77">
                  <formatCode>#,##0</formatCode>
                  <v>400</v>
                </pt>
                <pt idx="78">
                  <formatCode>#,##0</formatCode>
                  <v>400</v>
                </pt>
                <pt idx="79">
                  <formatCode>#,##0</formatCode>
                  <v>200</v>
                </pt>
                <pt idx="80">
                  <formatCode>#,##0</formatCode>
                  <v>200</v>
                </pt>
                <pt idx="81">
                  <formatCode>#,##0</formatCode>
                  <v>200</v>
                </pt>
                <pt idx="82">
                  <formatCode>#,##0</formatCode>
                  <v>400</v>
                </pt>
                <pt idx="83">
                  <formatCode>#,##0</formatCode>
                  <v>400</v>
                </pt>
                <pt idx="84">
                  <formatCode>#,##0</formatCode>
                  <v>200</v>
                </pt>
                <pt idx="85">
                  <formatCode>#,##0</formatCode>
                  <v>600</v>
                </pt>
                <pt idx="86">
                  <formatCode>#,##0</formatCode>
                  <v>400</v>
                </pt>
                <pt idx="87">
                  <formatCode>#,##0</formatCode>
                  <v>400</v>
                </pt>
                <pt idx="88">
                  <formatCode>#,##0</formatCode>
                  <v>400</v>
                </pt>
                <pt idx="89">
                  <formatCode>#,##0</formatCode>
                  <v>200</v>
                </pt>
                <pt idx="90">
                  <formatCode>#,##0</formatCode>
                  <v>400</v>
                </pt>
                <pt idx="91">
                  <formatCode>#,##0</formatCode>
                  <v>400</v>
                </pt>
                <pt idx="92">
                  <formatCode>#,##0</formatCode>
                  <v>200</v>
                </pt>
                <pt idx="93">
                  <formatCode>#,##0</formatCode>
                  <v>400</v>
                </pt>
                <pt idx="94">
                  <formatCode>#,##0</formatCode>
                  <v>400</v>
                </pt>
                <pt idx="95">
                  <formatCode>#,##0</formatCode>
                  <v>400</v>
                </pt>
                <pt idx="96">
                  <formatCode>#,##0</formatCode>
                  <v>400</v>
                </pt>
                <pt idx="97">
                  <formatCode>#,##0</formatCode>
                  <v>400</v>
                </pt>
                <pt idx="98">
                  <formatCode>#,##0</formatCode>
                  <v>400</v>
                </pt>
                <pt idx="99">
                  <formatCode>#,##0</formatCode>
                  <v>400</v>
                </pt>
                <pt idx="100">
                  <formatCode>#,##0</formatCode>
                  <v>400</v>
                </pt>
                <pt idx="101">
                  <formatCode>#,##0</formatCode>
                  <v>400</v>
                </pt>
                <pt idx="102">
                  <formatCode>#,##0</formatCode>
                  <v>600</v>
                </pt>
                <pt idx="103">
                  <formatCode>#,##0</formatCode>
                  <v>400</v>
                </pt>
                <pt idx="104">
                  <formatCode>#,##0</formatCode>
                  <v>400</v>
                </pt>
                <pt idx="105">
                  <formatCode>#,##0</formatCode>
                  <v>200</v>
                </pt>
                <pt idx="106">
                  <formatCode>#,##0</formatCode>
                  <v>200</v>
                </pt>
                <pt idx="107">
                  <formatCode>#,##0</formatCode>
                  <v>400</v>
                </pt>
                <pt idx="108">
                  <formatCode>#,##0</formatCode>
                  <v>400</v>
                </pt>
                <pt idx="109">
                  <formatCode>#,##0</formatCode>
                  <v>400</v>
                </pt>
                <pt idx="110">
                  <formatCode>#,##0</formatCode>
                  <v>400</v>
                </pt>
                <pt idx="111">
                  <formatCode>#,##0</formatCode>
                  <v>400</v>
                </pt>
                <pt idx="112">
                  <formatCode>#,##0</formatCode>
                  <v>400</v>
                </pt>
                <pt idx="113">
                  <formatCode>#,##0</formatCode>
                  <v>400</v>
                </pt>
                <pt idx="114">
                  <formatCode>#,##0</formatCode>
                  <v>200</v>
                </pt>
                <pt idx="115">
                  <formatCode>#,##0</formatCode>
                  <v>400</v>
                </pt>
                <pt idx="116">
                  <formatCode>#,##0</formatCode>
                  <v>200</v>
                </pt>
                <pt idx="117">
                  <formatCode>#,##0</formatCode>
                  <v>200</v>
                </pt>
                <pt idx="118">
                  <formatCode>#,##0</formatCode>
                  <v>200</v>
                </pt>
                <pt idx="119">
                  <formatCode>#,##0</formatCode>
                  <v>200</v>
                </pt>
                <pt idx="120">
                  <formatCode>#,##0</formatCode>
                  <v>400</v>
                </pt>
                <pt idx="121">
                  <formatCode>#,##0</formatCode>
                  <v>400</v>
                </pt>
                <pt idx="122">
                  <formatCode>#,##0</formatCode>
                  <v>400</v>
                </pt>
                <pt idx="123">
                  <formatCode>#,##0</formatCode>
                  <v>200</v>
                </pt>
                <pt idx="124">
                  <formatCode>#,##0</formatCode>
                  <v>400</v>
                </pt>
                <pt idx="125">
                  <formatCode>#,##0</formatCode>
                  <v>600</v>
                </pt>
                <pt idx="126">
                  <formatCode>#,##0</formatCode>
                  <v>400</v>
                </pt>
                <pt idx="127">
                  <formatCode>#,##0</formatCode>
                  <v>200</v>
                </pt>
                <pt idx="128">
                  <formatCode>#,##0</formatCode>
                  <v>400</v>
                </pt>
              </numCache>
            </numRef>
          </val>
        </ser>
        <ser>
          <idx val="13"/>
          <order val="13"/>
          <tx>
            <strRef>
              <f>'Raw Data (KG)'!$O$1</f>
              <strCache>
                <ptCount val="1"/>
                <pt idx="0">
                  <v xml:space="preserve"> Rechargeable Battery </v>
                </pt>
              </strCache>
            </strRef>
          </tx>
          <spPr>
            <a:solidFill xmlns:a="http://schemas.openxmlformats.org/drawingml/2006/main">
              <a:schemeClr val="accent2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(KG)'!$O$2:$O$130</f>
              <numCache>
                <formatCode>_(* #,##0_);_(* \(#,##0\);_(* "-"??_);_(@_)</formatCode>
                <ptCount val="12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3.4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5.850000000000001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4.850000000000001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5.65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4.600000000000001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45</v>
                </pt>
                <pt idx="108">
                  <v>324</v>
                </pt>
                <pt idx="109">
                  <v>89</v>
                </pt>
                <pt idx="110">
                  <v>0</v>
                </pt>
                <pt idx="111">
                  <v>18</v>
                </pt>
                <pt idx="112">
                  <v>47</v>
                </pt>
                <pt idx="113">
                  <v>101</v>
                </pt>
                <pt idx="114">
                  <v>0</v>
                </pt>
                <pt idx="115">
                  <v>24</v>
                </pt>
                <pt idx="116">
                  <v>29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74</v>
                </pt>
                <pt idx="123">
                  <v>77</v>
                </pt>
                <pt idx="124">
                  <v>0</v>
                </pt>
                <pt idx="125">
                  <v>0</v>
                </pt>
                <pt idx="126">
                  <v>371</v>
                </pt>
                <pt idx="127">
                  <v>201</v>
                </pt>
                <pt idx="128">
                  <v>0</v>
                </pt>
              </numCache>
            </numRef>
          </val>
        </ser>
        <ser>
          <idx val="14"/>
          <order val="14"/>
          <tx>
            <strRef>
              <f>'Raw Data (KG)'!$P$1</f>
              <strCache>
                <ptCount val="1"/>
                <pt idx="0">
                  <v xml:space="preserve"> Toner </v>
                </pt>
              </strCache>
            </strRef>
          </tx>
          <spPr>
            <a:solidFill xmlns:a="http://schemas.openxmlformats.org/drawingml/2006/main">
              <a:schemeClr val="accent3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(KG)'!$P$2:$P$130</f>
              <numCache>
                <formatCode>_(* #,##0_);_(* \(#,##0\);_(* "-"??_);_(@_)</formatCode>
                <ptCount val="129"/>
                <pt idx="0">
                  <v>115.24</v>
                </pt>
                <pt idx="1">
                  <v>118.59</v>
                </pt>
                <pt idx="2">
                  <v>89.78</v>
                </pt>
                <pt idx="3">
                  <v>148.07</v>
                </pt>
                <pt idx="4">
                  <v>95.14</v>
                </pt>
                <pt idx="5">
                  <v>75.04000000000001</v>
                </pt>
                <pt idx="6">
                  <v>63.65000000000001</v>
                </pt>
                <pt idx="7">
                  <v>103.18</v>
                </pt>
                <pt idx="8">
                  <v>113.9</v>
                </pt>
                <pt idx="9">
                  <v>116.58</v>
                </pt>
                <pt idx="10">
                  <v>80.40000000000001</v>
                </pt>
                <pt idx="11">
                  <v>75.04000000000001</v>
                </pt>
                <pt idx="12">
                  <v>76.38000000000001</v>
                </pt>
                <pt idx="13">
                  <v>57.62</v>
                </pt>
                <pt idx="14">
                  <v>93.13000000000001</v>
                </pt>
                <pt idx="15">
                  <v>67</v>
                </pt>
                <pt idx="16">
                  <v>67</v>
                </pt>
                <pt idx="17">
                  <v>62.31</v>
                </pt>
                <pt idx="18">
                  <v>97.82000000000001</v>
                </pt>
                <pt idx="19">
                  <v>64.99000000000001</v>
                </pt>
                <pt idx="20">
                  <v>85.09</v>
                </pt>
                <pt idx="21">
                  <v>58.96</v>
                </pt>
                <pt idx="22">
                  <v>77.05000000000001</v>
                </pt>
                <pt idx="23">
                  <v>92.46000000000001</v>
                </pt>
                <pt idx="24">
                  <v>103.85</v>
                </pt>
                <pt idx="25">
                  <v>70.35000000000001</v>
                </pt>
                <pt idx="26">
                  <v>85.76000000000001</v>
                </pt>
                <pt idx="27">
                  <v>69.01000000000001</v>
                </pt>
                <pt idx="28">
                  <v>95.81</v>
                </pt>
                <pt idx="29">
                  <v>87.10000000000001</v>
                </pt>
                <pt idx="30">
                  <v>51.59</v>
                </pt>
                <pt idx="31">
                  <v>38.19</v>
                </pt>
                <pt idx="32">
                  <v>87.10000000000001</v>
                </pt>
                <pt idx="33">
                  <v>54.27</v>
                </pt>
                <pt idx="34">
                  <v>34.84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169.51</v>
                </pt>
                <pt idx="39">
                  <v>0</v>
                </pt>
                <pt idx="40">
                  <v>148.07</v>
                </pt>
                <pt idx="41">
                  <v>0</v>
                </pt>
                <pt idx="42">
                  <v>138.02</v>
                </pt>
                <pt idx="43">
                  <v>0</v>
                </pt>
                <pt idx="44">
                  <v>81.07000000000001</v>
                </pt>
                <pt idx="45">
                  <v>0</v>
                </pt>
                <pt idx="46">
                  <v>86.43000000000001</v>
                </pt>
                <pt idx="47">
                  <v>0</v>
                </pt>
                <pt idx="48">
                  <v>99.16000000000001</v>
                </pt>
                <pt idx="49">
                  <v>0</v>
                </pt>
                <pt idx="50">
                  <v>0</v>
                </pt>
                <pt idx="51">
                  <v>129.31</v>
                </pt>
                <pt idx="52">
                  <v>0</v>
                </pt>
                <pt idx="53">
                  <v>129.31</v>
                </pt>
                <pt idx="54">
                  <v>0</v>
                </pt>
                <pt idx="55">
                  <v>0</v>
                </pt>
                <pt idx="56">
                  <v>174.2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159.46</v>
                </pt>
                <pt idx="63">
                  <v>0</v>
                </pt>
                <pt idx="64">
                  <v>0</v>
                </pt>
                <pt idx="65">
                  <v>247.9</v>
                </pt>
                <pt idx="66">
                  <v>0</v>
                </pt>
                <pt idx="67">
                  <v>83.75</v>
                </pt>
                <pt idx="68">
                  <v>60.3</v>
                </pt>
                <pt idx="69">
                  <v>91.79000000000001</v>
                </pt>
                <pt idx="70">
                  <v>0</v>
                </pt>
                <pt idx="71">
                  <v>0</v>
                </pt>
                <pt idx="72">
                  <v>75.04000000000001</v>
                </pt>
                <pt idx="73">
                  <v>0</v>
                </pt>
                <pt idx="74">
                  <v>70.35000000000001</v>
                </pt>
                <pt idx="75">
                  <v>80.40000000000001</v>
                </pt>
                <pt idx="76">
                  <v>63.65000000000001</v>
                </pt>
                <pt idx="77">
                  <v>49.58000000000001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109.21</v>
                </pt>
                <pt idx="83">
                  <v>167.5</v>
                </pt>
                <pt idx="84">
                  <v>147.4</v>
                </pt>
                <pt idx="85">
                  <v>0</v>
                </pt>
                <pt idx="86">
                  <v>82.41000000000001</v>
                </pt>
                <pt idx="87">
                  <v>57.62</v>
                </pt>
                <pt idx="88">
                  <v>83.75</v>
                </pt>
                <pt idx="89">
                  <v>67</v>
                </pt>
                <pt idx="90">
                  <v>75.04000000000001</v>
                </pt>
                <pt idx="91">
                  <v>0</v>
                </pt>
                <pt idx="92">
                  <v>73.7</v>
                </pt>
                <pt idx="93">
                  <v>120.6</v>
                </pt>
                <pt idx="94">
                  <v>123.95</v>
                </pt>
                <pt idx="95">
                  <v>80.40000000000001</v>
                </pt>
                <pt idx="96">
                  <v>100.5</v>
                </pt>
                <pt idx="97">
                  <v>121.94</v>
                </pt>
                <pt idx="98">
                  <v>67</v>
                </pt>
                <pt idx="99">
                  <v>0</v>
                </pt>
                <pt idx="100">
                  <v>172.86</v>
                </pt>
                <pt idx="101">
                  <v>80.40000000000001</v>
                </pt>
                <pt idx="102">
                  <v>0</v>
                </pt>
                <pt idx="103">
                  <v>125.96</v>
                </pt>
                <pt idx="104">
                  <v>0</v>
                </pt>
                <pt idx="105">
                  <v>68.34</v>
                </pt>
                <pt idx="106">
                  <v>0</v>
                </pt>
                <pt idx="107">
                  <v>57</v>
                </pt>
                <pt idx="108">
                  <v>44</v>
                </pt>
                <pt idx="109">
                  <v>76</v>
                </pt>
                <pt idx="110">
                  <v>49</v>
                </pt>
                <pt idx="111">
                  <v>49</v>
                </pt>
                <pt idx="112">
                  <v>57</v>
                </pt>
                <pt idx="113">
                  <v>17</v>
                </pt>
                <pt idx="114">
                  <v>0</v>
                </pt>
                <pt idx="115">
                  <v>72</v>
                </pt>
                <pt idx="116">
                  <v>73</v>
                </pt>
                <pt idx="117">
                  <v>48</v>
                </pt>
                <pt idx="118">
                  <v>105</v>
                </pt>
                <pt idx="119">
                  <v>22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128</v>
                </pt>
                <pt idx="127">
                  <v>115</v>
                </pt>
                <pt idx="128">
                  <v>0</v>
                </pt>
              </numCache>
            </numRef>
          </val>
        </ser>
        <ser>
          <idx val="15"/>
          <order val="15"/>
          <tx>
            <strRef>
              <f>'Raw Data (KG)'!$Q$1</f>
              <strCache>
                <ptCount val="1"/>
                <pt idx="0">
                  <v xml:space="preserve"> Ink Cartridge (expressed in PIECES) </v>
                </pt>
              </strCache>
            </strRef>
          </tx>
          <spPr>
            <a:solidFill xmlns:a="http://schemas.openxmlformats.org/drawingml/2006/main">
              <a:schemeClr val="accent4">
                <a:lumMod val="80000"/>
                <a:lumOff val="20000"/>
              </a:schemeClr>
            </a:solidFill>
            <a:ln xmlns:a="http://schemas.openxmlformats.org/drawingml/2006/main" w="25400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(KG)'!$Q$2:$Q$130</f>
            </numRef>
          </val>
        </ser>
        <ser>
          <idx val="16"/>
          <order val="16"/>
          <tx>
            <strRef>
              <f>'Raw Data (KG)'!$R$1</f>
              <strCache>
                <ptCount val="1"/>
                <pt idx="0">
                  <v xml:space="preserve"> Electronic Ballast (2x32W) @0.34kg </v>
                </pt>
              </strCache>
            </strRef>
          </tx>
          <spPr>
            <a:solidFill xmlns:a="http://schemas.openxmlformats.org/drawingml/2006/main">
              <a:schemeClr val="accent5">
                <a:lumMod val="80000"/>
                <a:lumOff val="20000"/>
              </a:schemeClr>
            </a:solidFill>
            <a:ln xmlns:a="http://schemas.openxmlformats.org/drawingml/2006/main" w="25400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(KG)'!$R$2:$R$130</f>
            </numRef>
          </val>
        </ser>
        <ser>
          <idx val="17"/>
          <order val="17"/>
          <tx>
            <strRef>
              <f>'Raw Data (KG)'!$S$1</f>
              <strCache>
                <ptCount val="1"/>
                <pt idx="0">
                  <v xml:space="preserve"> Electronic Ballast (2x36W) @0.13 </v>
                </pt>
              </strCache>
            </strRef>
          </tx>
          <spPr>
            <a:solidFill xmlns:a="http://schemas.openxmlformats.org/drawingml/2006/main">
              <a:schemeClr val="accent6">
                <a:lumMod val="80000"/>
                <a:lumOff val="20000"/>
              </a:schemeClr>
            </a:solidFill>
            <a:ln xmlns:a="http://schemas.openxmlformats.org/drawingml/2006/main" w="25400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(KG)'!$S$2:$S$130</f>
            </numRef>
          </val>
        </ser>
        <ser>
          <idx val="18"/>
          <order val="18"/>
          <tx>
            <strRef>
              <f>'Raw Data (KG)'!$T$1</f>
              <strCache>
                <ptCount val="1"/>
                <pt idx="0">
                  <v xml:space="preserve"> Electronic Ballast (1x36W) @0.15 </v>
                </pt>
              </strCache>
            </strRef>
          </tx>
          <spPr>
            <a:solidFill xmlns:a="http://schemas.openxmlformats.org/drawingml/2006/main">
              <a:schemeClr val="accent1">
                <a:lumMod val="80000"/>
              </a:schemeClr>
            </a:solidFill>
            <a:ln xmlns:a="http://schemas.openxmlformats.org/drawingml/2006/main" w="25400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(KG)'!$T$2:$T$130</f>
            </numRef>
          </val>
        </ser>
        <ser>
          <idx val="19"/>
          <order val="19"/>
          <tx>
            <strRef>
              <f>'Raw Data (KG)'!$U$1</f>
              <strCache>
                <ptCount val="1"/>
                <pt idx="0">
                  <v xml:space="preserve"> Electrical Appliance </v>
                </pt>
              </strCache>
            </strRef>
          </tx>
          <spPr>
            <a:solidFill xmlns:a="http://schemas.openxmlformats.org/drawingml/2006/main">
              <a:schemeClr val="accent2">
                <a:lumMod val="8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(KG)'!$U$2:$U$130</f>
              <numCache>
                <formatCode>_(* #,##0_);_(* \(#,##0\);_(* "-"??_);_(@_)</formatCode>
                <ptCount val="129"/>
                <pt idx="61">
                  <v>582</v>
                </pt>
                <pt idx="63">
                  <v>340.5</v>
                </pt>
                <pt idx="64">
                  <v>1179</v>
                </pt>
                <pt idx="66">
                  <v>850</v>
                </pt>
                <pt idx="70">
                  <v>1504.5</v>
                </pt>
                <pt idx="74">
                  <v>852</v>
                </pt>
                <pt idx="75">
                  <v>0</v>
                </pt>
                <pt idx="77">
                  <v>1746.5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2">
                  <v>729</v>
                </pt>
                <pt idx="83">
                  <v>1045.5</v>
                </pt>
                <pt idx="84">
                  <v>0</v>
                </pt>
                <pt idx="85">
                  <v>1080</v>
                </pt>
                <pt idx="86">
                  <v>0</v>
                </pt>
                <pt idx="87">
                  <v>792</v>
                </pt>
                <pt idx="88">
                  <v>1427</v>
                </pt>
                <pt idx="89">
                  <v>0</v>
                </pt>
                <pt idx="90">
                  <v>0</v>
                </pt>
                <pt idx="91">
                  <v>652.5</v>
                </pt>
                <pt idx="92">
                  <v>0</v>
                </pt>
                <pt idx="93">
                  <v>0</v>
                </pt>
                <pt idx="94">
                  <v>675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1971</v>
                </pt>
                <pt idx="101">
                  <v>355.5</v>
                </pt>
                <pt idx="102">
                  <v>0</v>
                </pt>
                <pt idx="103">
                  <v>256.5</v>
                </pt>
                <pt idx="104">
                  <v>0</v>
                </pt>
                <pt idx="105">
                  <v>1482</v>
                </pt>
                <pt idx="106">
                  <v>736</v>
                </pt>
                <pt idx="107">
                  <v>819</v>
                </pt>
                <pt idx="108">
                  <v>0</v>
                </pt>
                <pt idx="109">
                  <v>604</v>
                </pt>
                <pt idx="110">
                  <v>0</v>
                </pt>
                <pt idx="111">
                  <v>731</v>
                </pt>
                <pt idx="112">
                  <v>0</v>
                </pt>
                <pt idx="113">
                  <v>0</v>
                </pt>
                <pt idx="114">
                  <v>1109</v>
                </pt>
                <pt idx="115">
                  <v>0</v>
                </pt>
                <pt idx="116">
                  <v>0</v>
                </pt>
                <pt idx="117">
                  <v>1438</v>
                </pt>
                <pt idx="118">
                  <v>0</v>
                </pt>
                <pt idx="119">
                  <v>0</v>
                </pt>
                <pt idx="120">
                  <v>513</v>
                </pt>
                <pt idx="121">
                  <v>435</v>
                </pt>
                <pt idx="122">
                  <v>531</v>
                </pt>
                <pt idx="123">
                  <v>364.5</v>
                </pt>
                <pt idx="124">
                  <v>737.5</v>
                </pt>
                <pt idx="125">
                  <v>1285</v>
                </pt>
                <pt idx="126">
                  <v>917.5</v>
                </pt>
                <pt idx="127">
                  <v>353.1</v>
                </pt>
                <pt idx="128">
                  <v>785</v>
                </pt>
              </numCache>
            </numRef>
          </val>
        </ser>
        <ser>
          <idx val="20"/>
          <order val="20"/>
          <tx>
            <strRef>
              <f>'Raw Data (KG)'!$V$1</f>
              <strCache>
                <ptCount val="1"/>
                <pt idx="0">
                  <v xml:space="preserve"> Wood </v>
                </pt>
              </strCache>
            </strRef>
          </tx>
          <spPr>
            <a:solidFill xmlns:a="http://schemas.openxmlformats.org/drawingml/2006/main">
              <a:schemeClr val="accent3">
                <a:lumMod val="8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(KG)'!$V$2:$V$130</f>
              <numCache>
                <formatCode>_(* #,##0_);_(* \(#,##0\);_(* "-"??_);_(@_)</formatCode>
                <ptCount val="129"/>
                <pt idx="55">
                  <v>1300</v>
                </pt>
                <pt idx="56">
                  <v>1500</v>
                </pt>
                <pt idx="57">
                  <v>1300</v>
                </pt>
                <pt idx="58">
                  <v>3400</v>
                </pt>
                <pt idx="59">
                  <v>40370</v>
                </pt>
                <pt idx="60">
                  <v>0</v>
                </pt>
                <pt idx="61">
                  <v>7200</v>
                </pt>
                <pt idx="62">
                  <v>3800</v>
                </pt>
                <pt idx="63">
                  <v>2700</v>
                </pt>
                <pt idx="64">
                  <v>3700</v>
                </pt>
                <pt idx="65">
                  <v>32700</v>
                </pt>
                <pt idx="66">
                  <v>7800</v>
                </pt>
                <pt idx="67">
                  <v>1900</v>
                </pt>
                <pt idx="68">
                  <v>2500</v>
                </pt>
                <pt idx="69">
                  <v>7800</v>
                </pt>
                <pt idx="70">
                  <v>10400</v>
                </pt>
                <pt idx="71">
                  <v>11000</v>
                </pt>
                <pt idx="72">
                  <v>19200</v>
                </pt>
                <pt idx="73">
                  <v>25600</v>
                </pt>
                <pt idx="74">
                  <v>24100</v>
                </pt>
                <pt idx="75">
                  <v>14400</v>
                </pt>
                <pt idx="76">
                  <v>10500</v>
                </pt>
                <pt idx="77">
                  <v>10100</v>
                </pt>
                <pt idx="78">
                  <v>11200</v>
                </pt>
                <pt idx="79">
                  <v>7900</v>
                </pt>
                <pt idx="80">
                  <v>10000</v>
                </pt>
                <pt idx="81">
                  <v>5200</v>
                </pt>
                <pt idx="82">
                  <v>11500</v>
                </pt>
                <pt idx="83">
                  <v>7200</v>
                </pt>
                <pt idx="84">
                  <v>12300</v>
                </pt>
                <pt idx="85">
                  <v>12400</v>
                </pt>
                <pt idx="86">
                  <v>10400</v>
                </pt>
                <pt idx="87">
                  <v>12200</v>
                </pt>
                <pt idx="88">
                  <v>13500</v>
                </pt>
                <pt idx="89">
                  <v>14600</v>
                </pt>
                <pt idx="90">
                  <v>18700</v>
                </pt>
                <pt idx="91">
                  <v>6000</v>
                </pt>
                <pt idx="92">
                  <v>14700</v>
                </pt>
                <pt idx="93">
                  <v>20500</v>
                </pt>
                <pt idx="94">
                  <v>10400</v>
                </pt>
                <pt idx="95">
                  <v>10400</v>
                </pt>
                <pt idx="96">
                  <v>16700</v>
                </pt>
                <pt idx="97">
                  <v>13700</v>
                </pt>
                <pt idx="98">
                  <v>9500</v>
                </pt>
                <pt idx="99">
                  <v>7830</v>
                </pt>
                <pt idx="100">
                  <v>5800</v>
                </pt>
                <pt idx="101">
                  <v>10180</v>
                </pt>
                <pt idx="102">
                  <v>19838</v>
                </pt>
                <pt idx="103">
                  <v>7420</v>
                </pt>
                <pt idx="104">
                  <v>9700</v>
                </pt>
                <pt idx="105">
                  <v>10420</v>
                </pt>
                <pt idx="106">
                  <v>12000</v>
                </pt>
                <pt idx="107">
                  <v>9000</v>
                </pt>
                <pt idx="108">
                  <v>12000</v>
                </pt>
                <pt idx="109">
                  <v>15000</v>
                </pt>
                <pt idx="110">
                  <v>12000</v>
                </pt>
                <pt idx="111">
                  <v>15000</v>
                </pt>
                <pt idx="112">
                  <v>12000</v>
                </pt>
                <pt idx="113">
                  <v>15000</v>
                </pt>
                <pt idx="114">
                  <v>15000</v>
                </pt>
                <pt idx="115">
                  <v>12000</v>
                </pt>
                <pt idx="116">
                  <v>15000</v>
                </pt>
                <pt idx="117">
                  <v>15000</v>
                </pt>
                <pt idx="118">
                  <v>12000</v>
                </pt>
                <pt idx="119">
                  <v>12000</v>
                </pt>
                <pt idx="120">
                  <v>18000</v>
                </pt>
                <pt idx="121">
                  <v>15000</v>
                </pt>
                <pt idx="122">
                  <v>15000</v>
                </pt>
                <pt idx="123">
                  <v>15000</v>
                </pt>
                <pt idx="124">
                  <v>12000</v>
                </pt>
                <pt idx="125">
                  <v>15000</v>
                </pt>
                <pt idx="126">
                  <v>18000</v>
                </pt>
                <pt idx="127">
                  <v>15000</v>
                </pt>
                <pt idx="128">
                  <v>15000</v>
                </pt>
              </numCache>
            </numRef>
          </val>
        </ser>
        <ser>
          <idx val="21"/>
          <order val="21"/>
          <tx>
            <strRef>
              <f>'Raw Data (KG)'!$W$1</f>
              <strCache>
                <ptCount val="1"/>
                <pt idx="0">
                  <v xml:space="preserve"> Food Waste (Contractor) </v>
                </pt>
              </strCache>
            </strRef>
          </tx>
          <spPr>
            <a:solidFill xmlns:a="http://schemas.openxmlformats.org/drawingml/2006/main">
              <a:schemeClr val="accent5">
                <a:lumMod val="20000"/>
                <a:lumOff val="8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(KG)'!$W$2:$W$130</f>
              <numCache>
                <formatCode>_(* #,##0_);_(* \(#,##0\);_(* "-"??_);_(@_)</formatCode>
                <ptCount val="129"/>
                <pt idx="39">
                  <v>21800</v>
                </pt>
                <pt idx="40">
                  <v>19250</v>
                </pt>
                <pt idx="41">
                  <v>16900</v>
                </pt>
                <pt idx="42">
                  <v>13750</v>
                </pt>
                <pt idx="43">
                  <v>18825</v>
                </pt>
                <pt idx="44">
                  <v>21975</v>
                </pt>
                <pt idx="45">
                  <v>18850</v>
                </pt>
                <pt idx="46">
                  <v>20275</v>
                </pt>
                <pt idx="47">
                  <v>21025</v>
                </pt>
                <pt idx="48">
                  <v>13275</v>
                </pt>
                <pt idx="49">
                  <v>15525</v>
                </pt>
                <pt idx="50">
                  <v>25050</v>
                </pt>
                <pt idx="51">
                  <v>25175</v>
                </pt>
                <pt idx="52">
                  <v>30100</v>
                </pt>
                <pt idx="53">
                  <v>30200</v>
                </pt>
                <pt idx="54">
                  <v>27975</v>
                </pt>
                <pt idx="55">
                  <v>21825</v>
                </pt>
                <pt idx="56">
                  <v>25300</v>
                </pt>
                <pt idx="57">
                  <v>25225</v>
                </pt>
                <pt idx="58">
                  <v>37200</v>
                </pt>
                <pt idx="59">
                  <v>27900</v>
                </pt>
                <pt idx="60">
                  <v>25675</v>
                </pt>
                <pt idx="61">
                  <v>16633.9</v>
                </pt>
                <pt idx="62">
                  <v>18194.05</v>
                </pt>
                <pt idx="63">
                  <v>26058</v>
                </pt>
                <pt idx="64">
                  <v>28892.5</v>
                </pt>
                <pt idx="65">
                  <v>24534.5</v>
                </pt>
                <pt idx="66">
                  <v>21757.5</v>
                </pt>
                <pt idx="67">
                  <v>24584.5</v>
                </pt>
                <pt idx="68">
                  <v>30930.5</v>
                </pt>
                <pt idx="69">
                  <v>32534.5</v>
                </pt>
                <pt idx="70">
                  <v>31664</v>
                </pt>
                <pt idx="71">
                  <v>23162.5</v>
                </pt>
                <pt idx="72">
                  <v>19566</v>
                </pt>
                <pt idx="73">
                  <v>24598</v>
                </pt>
                <pt idx="74">
                  <v>34879.5</v>
                </pt>
                <pt idx="75">
                  <v>37724</v>
                </pt>
                <pt idx="76">
                  <v>27265.5</v>
                </pt>
                <pt idx="77">
                  <v>28071.5</v>
                </pt>
                <pt idx="78">
                  <v>23781.5</v>
                </pt>
                <pt idx="79">
                  <v>11633.5</v>
                </pt>
                <pt idx="80">
                  <v>13782.5</v>
                </pt>
                <pt idx="81">
                  <v>11779</v>
                </pt>
                <pt idx="82">
                  <v>15765</v>
                </pt>
                <pt idx="83">
                  <v>20002</v>
                </pt>
                <pt idx="84">
                  <v>24809</v>
                </pt>
                <pt idx="85">
                  <v>23143</v>
                </pt>
                <pt idx="86">
                  <v>28611</v>
                </pt>
                <pt idx="87">
                  <v>31009</v>
                </pt>
                <pt idx="88">
                  <v>34289</v>
                </pt>
                <pt idx="89">
                  <v>33360</v>
                </pt>
                <pt idx="90">
                  <v>33517</v>
                </pt>
                <pt idx="91">
                  <v>29468</v>
                </pt>
                <pt idx="92">
                  <v>35447</v>
                </pt>
                <pt idx="93">
                  <v>43497</v>
                </pt>
                <pt idx="94">
                  <v>40188</v>
                </pt>
                <pt idx="95">
                  <v>35583</v>
                </pt>
                <pt idx="96">
                  <v>36437</v>
                </pt>
                <pt idx="97">
                  <v>33584</v>
                </pt>
                <pt idx="98">
                  <v>35376</v>
                </pt>
                <pt idx="99">
                  <v>45400</v>
                </pt>
                <pt idx="100">
                  <v>42665</v>
                </pt>
                <pt idx="101">
                  <v>41338</v>
                </pt>
                <pt idx="102">
                  <v>33071</v>
                </pt>
                <pt idx="103">
                  <v>24947</v>
                </pt>
                <pt idx="104">
                  <v>22091</v>
                </pt>
                <pt idx="105">
                  <v>24586.6</v>
                </pt>
                <pt idx="106">
                  <v>27462</v>
                </pt>
                <pt idx="107">
                  <v>22866</v>
                </pt>
                <pt idx="108">
                  <v>25176</v>
                </pt>
                <pt idx="109">
                  <v>26660</v>
                </pt>
                <pt idx="110">
                  <v>35619</v>
                </pt>
                <pt idx="111">
                  <v>39851</v>
                </pt>
                <pt idx="112">
                  <v>42228</v>
                </pt>
                <pt idx="113">
                  <v>44338</v>
                </pt>
                <pt idx="114">
                  <v>34407</v>
                </pt>
                <pt idx="115">
                  <v>28553</v>
                </pt>
                <pt idx="116">
                  <v>35187</v>
                </pt>
                <pt idx="117">
                  <v>39810.5</v>
                </pt>
                <pt idx="118">
                  <v>39784</v>
                </pt>
                <pt idx="119">
                  <v>40149.6</v>
                </pt>
                <pt idx="120">
                  <v>23296.5</v>
                </pt>
                <pt idx="121">
                  <v>28190.5</v>
                </pt>
                <pt idx="122">
                  <v>30387</v>
                </pt>
                <pt idx="123">
                  <v>30156.5</v>
                </pt>
                <pt idx="124">
                  <v>42615.9</v>
                </pt>
                <pt idx="125">
                  <v>35693.3</v>
                </pt>
                <pt idx="126">
                  <v>29377.9</v>
                </pt>
                <pt idx="127">
                  <v>35652.6</v>
                </pt>
                <pt idx="128">
                  <v>43510.8</v>
                </pt>
              </numCache>
            </numRef>
          </val>
        </ser>
        <ser>
          <idx val="22"/>
          <order val="22"/>
          <tx>
            <strRef>
              <f>'Raw Data (KG)'!$X$1</f>
              <strCache>
                <ptCount val="1"/>
                <pt idx="0">
                  <v xml:space="preserve"> Animal Bedding </v>
                </pt>
              </strCache>
            </strRef>
          </tx>
          <spPr>
            <a:solidFill xmlns:a="http://schemas.openxmlformats.org/drawingml/2006/main">
              <a:schemeClr val="accent6">
                <a:lumMod val="40000"/>
                <a:lumOff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(KG)'!$X$2:$X$130</f>
              <numCache>
                <formatCode>_(* #,##0_);_(* \(#,##0\);_(* "-"??_);_(@_)</formatCode>
                <ptCount val="129"/>
                <pt idx="35">
                  <v>0</v>
                </pt>
                <pt idx="38">
                  <v>0</v>
                </pt>
                <pt idx="39">
                  <v>0</v>
                </pt>
                <pt idx="40">
                  <v>66</v>
                </pt>
                <pt idx="41">
                  <v>62.5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7680</v>
                </pt>
                <pt idx="63">
                  <v>7680</v>
                </pt>
                <pt idx="64">
                  <v>7680</v>
                </pt>
                <pt idx="65">
                  <v>7680</v>
                </pt>
                <pt idx="66">
                  <v>7680</v>
                </pt>
                <pt idx="67">
                  <v>7680</v>
                </pt>
                <pt idx="74">
                  <v>10560</v>
                </pt>
                <pt idx="75">
                  <v>10560</v>
                </pt>
                <pt idx="76">
                  <v>10240</v>
                </pt>
                <pt idx="77">
                  <v>10240</v>
                </pt>
                <pt idx="78">
                  <v>5120</v>
                </pt>
                <pt idx="79">
                  <v>6400</v>
                </pt>
                <pt idx="80">
                  <v>4800</v>
                </pt>
                <pt idx="81">
                  <v>4800</v>
                </pt>
                <pt idx="82">
                  <v>6400</v>
                </pt>
                <pt idx="83">
                  <v>6400</v>
                </pt>
                <pt idx="84">
                  <v>4800</v>
                </pt>
                <pt idx="85">
                  <v>4800</v>
                </pt>
                <pt idx="86">
                  <v>6400</v>
                </pt>
                <pt idx="87">
                  <v>4800</v>
                </pt>
                <pt idx="88">
                  <v>3200</v>
                </pt>
                <pt idx="89">
                  <v>3200</v>
                </pt>
                <pt idx="90">
                  <v>3200</v>
                </pt>
                <pt idx="91">
                  <v>4800</v>
                </pt>
                <pt idx="92">
                  <v>8000</v>
                </pt>
                <pt idx="93">
                  <v>4800</v>
                </pt>
                <pt idx="94">
                  <v>6400</v>
                </pt>
                <pt idx="95">
                  <v>4800</v>
                </pt>
                <pt idx="96">
                  <v>8000</v>
                </pt>
                <pt idx="97">
                  <v>6400</v>
                </pt>
                <pt idx="98">
                  <v>6400</v>
                </pt>
                <pt idx="99">
                  <v>6400</v>
                </pt>
                <pt idx="100">
                  <v>4800</v>
                </pt>
                <pt idx="101">
                  <v>8000</v>
                </pt>
                <pt idx="102">
                  <v>6400</v>
                </pt>
                <pt idx="103">
                  <v>4800</v>
                </pt>
                <pt idx="104">
                  <v>6400</v>
                </pt>
                <pt idx="105">
                  <v>6400</v>
                </pt>
                <pt idx="106">
                  <v>6400</v>
                </pt>
                <pt idx="107">
                  <v>8000</v>
                </pt>
                <pt idx="108">
                  <v>6400</v>
                </pt>
                <pt idx="109">
                  <v>6400</v>
                </pt>
                <pt idx="110">
                  <v>8000</v>
                </pt>
                <pt idx="111">
                  <v>6400</v>
                </pt>
                <pt idx="112">
                  <v>6400</v>
                </pt>
                <pt idx="113">
                  <v>6400</v>
                </pt>
                <pt idx="114">
                  <v>6400</v>
                </pt>
                <pt idx="115">
                  <v>6400</v>
                </pt>
                <pt idx="116">
                  <v>8000</v>
                </pt>
                <pt idx="117">
                  <v>4800</v>
                </pt>
                <pt idx="118">
                  <v>6400</v>
                </pt>
                <pt idx="119">
                  <v>8000</v>
                </pt>
                <pt idx="120">
                  <v>7185</v>
                </pt>
                <pt idx="121">
                  <v>7200</v>
                </pt>
                <pt idx="122">
                  <v>11215</v>
                </pt>
                <pt idx="123">
                  <v>9565</v>
                </pt>
                <pt idx="124">
                  <v>7803</v>
                </pt>
                <pt idx="125">
                  <v>19833</v>
                </pt>
                <pt idx="126">
                  <v>21650</v>
                </pt>
                <pt idx="127">
                  <v>15470</v>
                </pt>
                <pt idx="128">
                  <v>17465</v>
                </pt>
              </numCache>
            </numRef>
          </val>
        </ser>
        <ser>
          <idx val="23"/>
          <order val="23"/>
          <tx>
            <strRef>
              <f>'Raw Data (KG)'!$Y$1</f>
              <strCache>
                <ptCount val="1"/>
                <pt idx="0">
                  <v xml:space="preserve"> Landscape </v>
                </pt>
              </strCache>
            </strRef>
          </tx>
          <spPr>
            <a:solidFill xmlns:a="http://schemas.openxmlformats.org/drawingml/2006/main">
              <a:schemeClr val="accent6">
                <a:lumMod val="8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(KG)'!$Y$2:$Y$130</f>
              <numCache>
                <formatCode>_(* #,##0_);_(* \(#,##0\);_(* "-"??_);_(@_)</formatCode>
                <ptCount val="129"/>
                <pt idx="57">
                  <v>3000</v>
                </pt>
                <pt idx="58">
                  <v>12000</v>
                </pt>
                <pt idx="59">
                  <v>6000</v>
                </pt>
                <pt idx="60">
                  <v>5000</v>
                </pt>
                <pt idx="61">
                  <v>3500</v>
                </pt>
                <pt idx="62">
                  <v>45500</v>
                </pt>
                <pt idx="63">
                  <v>0</v>
                </pt>
                <pt idx="64">
                  <v>21000</v>
                </pt>
                <pt idx="65">
                  <v>28000</v>
                </pt>
                <pt idx="66">
                  <v>38500</v>
                </pt>
                <pt idx="67">
                  <v>0</v>
                </pt>
                <pt idx="68">
                  <v>3500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17500</v>
                </pt>
                <pt idx="75">
                  <v>10500</v>
                </pt>
                <pt idx="76">
                  <v>14000</v>
                </pt>
                <pt idx="77">
                  <v>24500</v>
                </pt>
                <pt idx="78">
                  <v>21000</v>
                </pt>
                <pt idx="79">
                  <v>21000</v>
                </pt>
                <pt idx="80">
                  <v>21000</v>
                </pt>
                <pt idx="81">
                  <v>24500</v>
                </pt>
                <pt idx="82">
                  <v>28000</v>
                </pt>
                <pt idx="83">
                  <v>28000</v>
                </pt>
                <pt idx="84">
                  <v>17500</v>
                </pt>
                <pt idx="85">
                  <v>24000</v>
                </pt>
                <pt idx="86">
                  <v>21000</v>
                </pt>
                <pt idx="87">
                  <v>24500</v>
                </pt>
                <pt idx="88">
                  <v>21000</v>
                </pt>
                <pt idx="89">
                  <v>10500</v>
                </pt>
                <pt idx="90">
                  <v>24500</v>
                </pt>
                <pt idx="91">
                  <v>14000</v>
                </pt>
                <pt idx="92">
                  <v>17500</v>
                </pt>
                <pt idx="93">
                  <v>14000</v>
                </pt>
                <pt idx="94">
                  <v>17500</v>
                </pt>
                <pt idx="95">
                  <v>24500</v>
                </pt>
                <pt idx="96">
                  <v>21000</v>
                </pt>
                <pt idx="97">
                  <v>35000</v>
                </pt>
                <pt idx="98">
                  <v>28000</v>
                </pt>
                <pt idx="99">
                  <v>35000</v>
                </pt>
                <pt idx="100">
                  <v>35000</v>
                </pt>
                <pt idx="101">
                  <v>31500</v>
                </pt>
                <pt idx="102">
                  <v>28000</v>
                </pt>
                <pt idx="103">
                  <v>14000</v>
                </pt>
                <pt idx="104">
                  <v>24500</v>
                </pt>
                <pt idx="105">
                  <v>24500</v>
                </pt>
                <pt idx="106">
                  <v>31500</v>
                </pt>
                <pt idx="107">
                  <v>35000</v>
                </pt>
                <pt idx="108">
                  <v>24500</v>
                </pt>
                <pt idx="109">
                  <v>31500</v>
                </pt>
                <pt idx="110">
                  <v>31500</v>
                </pt>
                <pt idx="111">
                  <v>28000</v>
                </pt>
                <pt idx="112">
                  <v>31500</v>
                </pt>
                <pt idx="113">
                  <v>28000</v>
                </pt>
                <pt idx="114">
                  <v>31500</v>
                </pt>
                <pt idx="115">
                  <v>21000</v>
                </pt>
                <pt idx="116">
                  <v>24500</v>
                </pt>
                <pt idx="117">
                  <v>17500</v>
                </pt>
                <pt idx="118">
                  <v>24500</v>
                </pt>
                <pt idx="119">
                  <v>24500</v>
                </pt>
                <pt idx="120">
                  <v>14485</v>
                </pt>
                <pt idx="121">
                  <v>20070</v>
                </pt>
                <pt idx="122">
                  <v>37770</v>
                </pt>
                <pt idx="123">
                  <v>20910</v>
                </pt>
                <pt idx="124">
                  <v>15947</v>
                </pt>
                <pt idx="125">
                  <v>7885</v>
                </pt>
                <pt idx="126">
                  <v>7650</v>
                </pt>
                <pt idx="127">
                  <v>6340</v>
                </pt>
                <pt idx="128">
                  <v>6740</v>
                </pt>
              </numCache>
            </numRef>
          </val>
        </ser>
        <ser>
          <idx val="24"/>
          <order val="24"/>
          <tx>
            <strRef>
              <f>'Raw Data (KG)'!$Z$1</f>
              <strCache>
                <ptCount val="1"/>
                <pt idx="0">
                  <v xml:space="preserve"> Tetra Packs 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  <a:lumOff val="4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(KG)'!$A$2:$A$130</f>
              <numCache>
                <formatCode>[$-409]mmm\-yy;@</formatCode>
                <ptCount val="129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45253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</numCache>
            </numRef>
          </cat>
          <val>
            <numRef>
              <f>'Raw Data (KG)'!$Z$2:$Z$130</f>
              <numCache>
                <formatCode>_(* #,##0_);_(* \(#,##0\);_(* "-"??_);_(@_)</formatCode>
                <ptCount val="129"/>
                <pt idx="108">
                  <v>67</v>
                </pt>
                <pt idx="109">
                  <v>0</v>
                </pt>
                <pt idx="110">
                  <v>12.6</v>
                </pt>
                <pt idx="111">
                  <v>0</v>
                </pt>
                <pt idx="112">
                  <v>6.5</v>
                </pt>
                <pt idx="113">
                  <v>0</v>
                </pt>
                <pt idx="114">
                  <v>9.5</v>
                </pt>
                <pt idx="115">
                  <v>13.4</v>
                </pt>
                <pt idx="116">
                  <v>26.5</v>
                </pt>
                <pt idx="117">
                  <v>6.5</v>
                </pt>
                <pt idx="118">
                  <v>0</v>
                </pt>
                <pt idx="119">
                  <v>43</v>
                </pt>
                <pt idx="120">
                  <v>0</v>
                </pt>
                <pt idx="121">
                  <v>21.1</v>
                </pt>
                <pt idx="122">
                  <v>17.6</v>
                </pt>
                <pt idx="123">
                  <v>0</v>
                </pt>
                <pt idx="124">
                  <v>27.2</v>
                </pt>
                <pt idx="125">
                  <v>0</v>
                </pt>
                <pt idx="126">
                  <v>6</v>
                </pt>
                <pt idx="127">
                  <v>4.7</v>
                </pt>
                <pt idx="128">
                  <v>32.6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strike="noStrike" kern="1200" spc="0" baseline="0" dirty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Waste to Landfill 12-Month Rolling Average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areaChart>
        <grouping val="stacked"/>
        <varyColors val="0"/>
        <ser>
          <idx val="0"/>
          <order val="0"/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cat>
            <numRef>
              <f>'Raw Data (KG)'!$A$25:$A$85</f>
              <numCache>
                <formatCode>[$-409]mmm\-yy;@</formatCode>
                <ptCount val="61"/>
                <pt idx="0">
                  <v>42156</v>
                </pt>
                <pt idx="1">
                  <v>42186</v>
                </pt>
                <pt idx="2">
                  <v>42217</v>
                </pt>
                <pt idx="3">
                  <v>42248</v>
                </pt>
                <pt idx="4">
                  <v>42278</v>
                </pt>
                <pt idx="5">
                  <v>42309</v>
                </pt>
                <pt idx="6">
                  <v>42339</v>
                </pt>
                <pt idx="7">
                  <v>42370</v>
                </pt>
                <pt idx="8">
                  <v>42401</v>
                </pt>
                <pt idx="9">
                  <v>42430</v>
                </pt>
                <pt idx="10">
                  <v>42461</v>
                </pt>
                <pt idx="11">
                  <v>42491</v>
                </pt>
                <pt idx="12">
                  <v>42522</v>
                </pt>
                <pt idx="13">
                  <v>42552</v>
                </pt>
                <pt idx="14">
                  <v>42583</v>
                </pt>
                <pt idx="15">
                  <v>42614</v>
                </pt>
                <pt idx="16">
                  <v>42644</v>
                </pt>
                <pt idx="17">
                  <v>42675</v>
                </pt>
                <pt idx="18">
                  <v>42705</v>
                </pt>
                <pt idx="19">
                  <v>42736</v>
                </pt>
                <pt idx="20">
                  <v>42767</v>
                </pt>
                <pt idx="21">
                  <v>42795</v>
                </pt>
                <pt idx="22">
                  <v>42826</v>
                </pt>
                <pt idx="23">
                  <v>42856</v>
                </pt>
                <pt idx="24">
                  <v>42887</v>
                </pt>
                <pt idx="25">
                  <v>42917</v>
                </pt>
                <pt idx="26">
                  <v>42948</v>
                </pt>
                <pt idx="27">
                  <v>42979</v>
                </pt>
                <pt idx="28">
                  <v>43009</v>
                </pt>
                <pt idx="29">
                  <v>43040</v>
                </pt>
                <pt idx="30">
                  <v>43070</v>
                </pt>
                <pt idx="31">
                  <v>43101</v>
                </pt>
                <pt idx="32">
                  <v>43132</v>
                </pt>
                <pt idx="33">
                  <v>43160</v>
                </pt>
                <pt idx="34">
                  <v>43191</v>
                </pt>
                <pt idx="35">
                  <v>43221</v>
                </pt>
                <pt idx="36">
                  <v>43252</v>
                </pt>
                <pt idx="37">
                  <v>43282</v>
                </pt>
                <pt idx="38">
                  <v>43313</v>
                </pt>
                <pt idx="39">
                  <v>43344</v>
                </pt>
                <pt idx="40">
                  <v>43374</v>
                </pt>
                <pt idx="41">
                  <v>43405</v>
                </pt>
                <pt idx="42">
                  <v>43435</v>
                </pt>
                <pt idx="43">
                  <v>43466</v>
                </pt>
                <pt idx="44">
                  <v>43497</v>
                </pt>
                <pt idx="45">
                  <v>43525</v>
                </pt>
                <pt idx="46">
                  <v>43556</v>
                </pt>
                <pt idx="47">
                  <v>43586</v>
                </pt>
                <pt idx="48">
                  <v>43617</v>
                </pt>
                <pt idx="49">
                  <v>43647</v>
                </pt>
                <pt idx="50">
                  <v>43678</v>
                </pt>
                <pt idx="51">
                  <v>43709</v>
                </pt>
                <pt idx="52">
                  <v>43739</v>
                </pt>
                <pt idx="53">
                  <v>43770</v>
                </pt>
                <pt idx="54">
                  <v>43800</v>
                </pt>
                <pt idx="55">
                  <v>43831</v>
                </pt>
                <pt idx="56">
                  <v>43862</v>
                </pt>
                <pt idx="57">
                  <v>43891</v>
                </pt>
                <pt idx="58">
                  <v>43922</v>
                </pt>
                <pt idx="59">
                  <v>43952</v>
                </pt>
                <pt idx="60">
                  <v>43983</v>
                </pt>
              </numCache>
            </numRef>
          </cat>
          <val>
            <numRef>
              <f>'Raw Data (KG)'!$AC$25:$AC$85</f>
              <numCache>
                <formatCode>_(* #,##0_);_(* \(#,##0\);_(* "-"??_);_(@_)</formatCode>
                <ptCount val="61"/>
                <pt idx="0">
                  <v>276791.6666666667</v>
                </pt>
                <pt idx="1">
                  <v>272565.8333333333</v>
                </pt>
                <pt idx="2">
                  <v>272519.1666666667</v>
                </pt>
                <pt idx="3">
                  <v>272509.1666666667</v>
                </pt>
                <pt idx="4">
                  <v>272417.5</v>
                </pt>
                <pt idx="5">
                  <v>272525</v>
                </pt>
                <pt idx="6">
                  <v>271340</v>
                </pt>
                <pt idx="7">
                  <v>270315</v>
                </pt>
                <pt idx="8">
                  <v>269123.3333333333</v>
                </pt>
                <pt idx="9">
                  <v>267555.8333333333</v>
                </pt>
                <pt idx="10">
                  <v>266480.8333333333</v>
                </pt>
                <pt idx="11">
                  <v>266245.8333333333</v>
                </pt>
                <pt idx="12">
                  <v>265604.1666666667</v>
                </pt>
                <pt idx="13">
                  <v>265546.6666666667</v>
                </pt>
                <pt idx="14">
                  <v>262866.6666666667</v>
                </pt>
                <pt idx="15">
                  <v>261930.8333333333</v>
                </pt>
                <pt idx="16">
                  <v>260089.1666666667</v>
                </pt>
                <pt idx="17">
                  <v>259119.1666666667</v>
                </pt>
                <pt idx="18">
                  <v>257413.3333333333</v>
                </pt>
                <pt idx="19">
                  <v>253891.6666666667</v>
                </pt>
                <pt idx="20">
                  <v>254188.3333333333</v>
                </pt>
                <pt idx="21">
                  <v>253178.3333333333</v>
                </pt>
                <pt idx="22">
                  <v>251170</v>
                </pt>
                <pt idx="23">
                  <v>247541.6666666667</v>
                </pt>
                <pt idx="24">
                  <v>246776.6666666667</v>
                </pt>
                <pt idx="25">
                  <v>246349.1666666667</v>
                </pt>
                <pt idx="26">
                  <v>246753.3333333333</v>
                </pt>
                <pt idx="27">
                  <v>246615</v>
                </pt>
                <pt idx="28">
                  <v>247643.3333333333</v>
                </pt>
                <pt idx="29">
                  <v>250098.3333333333</v>
                </pt>
                <pt idx="30">
                  <v>249228.3333333333</v>
                </pt>
                <pt idx="31">
                  <v>253544.1666666667</v>
                </pt>
                <pt idx="32">
                  <v>251625.8333333333</v>
                </pt>
                <pt idx="33">
                  <v>250420.8333333333</v>
                </pt>
                <pt idx="34">
                  <v>247664.1666666667</v>
                </pt>
                <pt idx="35">
                  <v>245491.6666666667</v>
                </pt>
                <pt idx="36">
                  <v>241889.1666666667</v>
                </pt>
                <pt idx="37">
                  <v>241063.3333333333</v>
                </pt>
                <pt idx="38">
                  <v>237046.6666666667</v>
                </pt>
                <pt idx="39">
                  <v>231776.6666666667</v>
                </pt>
                <pt idx="40">
                  <v>226315</v>
                </pt>
                <pt idx="41">
                  <v>221452.5</v>
                </pt>
                <pt idx="42">
                  <v>221217.5</v>
                </pt>
                <pt idx="43">
                  <v>212074.1885666667</v>
                </pt>
                <pt idx="44">
                  <v>206924.5154333333</v>
                </pt>
                <pt idx="45">
                  <v>201922.2773166666</v>
                </pt>
                <pt idx="46">
                  <v>197372.081025</v>
                </pt>
                <pt idx="47">
                  <v>195233.1956916667</v>
                </pt>
                <pt idx="48">
                  <v>193603.8910833333</v>
                </pt>
                <pt idx="49">
                  <v>190633.8910833333</v>
                </pt>
                <pt idx="50">
                  <v>190324.7244166667</v>
                </pt>
                <pt idx="51">
                  <v>190713.8910833333</v>
                </pt>
                <pt idx="52">
                  <v>189659.7244166667</v>
                </pt>
                <pt idx="53">
                  <v>183155.55775</v>
                </pt>
                <pt idx="54">
                  <v>177885.55775</v>
                </pt>
                <pt idx="55">
                  <v>173298.8691833333</v>
                </pt>
                <pt idx="56">
                  <v>167105.2089833333</v>
                </pt>
                <pt idx="57">
                  <v>160555.7804333333</v>
                </pt>
                <pt idx="58">
                  <v>156744.3100583333</v>
                </pt>
                <pt idx="59">
                  <v>153270.6953916667</v>
                </pt>
                <pt idx="60">
                  <v>149170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Food</a:t>
            </a:r>
            <a:r>
              <a:rPr lang="en-GB" baseline="0"/>
              <a:t xml:space="preserve"> Waste Recycling Breakdown (monthly)</a:t>
            </a:r>
            <a:endParaRPr lang="en-GB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GB"/>
        </a:p>
      </txPr>
    </title>
    <plotArea>
      <layout/>
      <areaChart>
        <grouping val="stacked"/>
        <varyColors val="0"/>
        <ser>
          <idx val="0"/>
          <order val="0"/>
          <tx>
            <strRef>
              <f>'Raw Food Data (KG)'!$B$1</f>
              <strCache>
                <ptCount val="1"/>
                <pt idx="0">
                  <v>LG1 Canteen and China Garden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'Raw Food Data (KG)'!$A$83:$A$106</f>
              <numCache>
                <formatCode>[$-409]mmm\-yy;@</formatCode>
                <ptCount val="24"/>
                <pt idx="0">
                  <v>45108</v>
                </pt>
                <pt idx="1">
                  <v>45139</v>
                </pt>
                <pt idx="2">
                  <v>45192</v>
                </pt>
                <pt idx="3">
                  <v>45222</v>
                </pt>
                <pt idx="4">
                  <v>45253</v>
                </pt>
                <pt idx="5">
                  <v>45283</v>
                </pt>
                <pt idx="6">
                  <v>45314</v>
                </pt>
                <pt idx="7">
                  <v>45345</v>
                </pt>
                <pt idx="8">
                  <v>45374</v>
                </pt>
                <pt idx="9">
                  <v>45405</v>
                </pt>
                <pt idx="10">
                  <v>45435</v>
                </pt>
                <pt idx="11">
                  <v>45466</v>
                </pt>
                <pt idx="12">
                  <v>45496</v>
                </pt>
                <pt idx="13">
                  <v>45527</v>
                </pt>
                <pt idx="14">
                  <v>45558</v>
                </pt>
                <pt idx="15">
                  <v>45588</v>
                </pt>
                <pt idx="16">
                  <v>45619</v>
                </pt>
                <pt idx="17">
                  <v>45649</v>
                </pt>
                <pt idx="18">
                  <v>45680</v>
                </pt>
                <pt idx="19">
                  <v>45711</v>
                </pt>
                <pt idx="20">
                  <v>45739</v>
                </pt>
                <pt idx="21">
                  <v>45770</v>
                </pt>
                <pt idx="22">
                  <v>45800</v>
                </pt>
                <pt idx="23">
                  <v>45831</v>
                </pt>
              </numCache>
            </numRef>
          </cat>
          <val>
            <numRef>
              <f>'Raw Food Data (KG)'!$B$83:$B$106</f>
              <numCache>
                <formatCode>#,##0.00</formatCode>
                <ptCount val="24"/>
                <pt idx="0">
                  <v>7456</v>
                </pt>
                <pt idx="1">
                  <v>10135</v>
                </pt>
                <pt idx="2">
                  <v>10338</v>
                </pt>
                <pt idx="3">
                  <v>10324.6</v>
                </pt>
                <pt idx="4">
                  <v>14389.8</v>
                </pt>
                <pt idx="5">
                  <v>13139.5</v>
                </pt>
                <pt idx="6">
                  <v>10440.2</v>
                </pt>
                <pt idx="7">
                  <v>13343</v>
                </pt>
                <pt idx="8">
                  <v>16211.6</v>
                </pt>
                <pt idx="9">
                  <v>14442.9</v>
                </pt>
                <pt idx="10">
                  <v>15427.9</v>
                </pt>
                <pt idx="11">
                  <v>11557.2</v>
                </pt>
                <pt idx="12">
                  <v>12616.3</v>
                </pt>
                <pt idx="13">
                  <v>13470.8</v>
                </pt>
                <pt idx="14">
                  <v>15432.9</v>
                </pt>
                <pt idx="15">
                  <v>17066.9</v>
                </pt>
                <pt idx="16">
                  <v>17036.9</v>
                </pt>
                <pt idx="17">
                  <v>14307.6</v>
                </pt>
                <pt idx="18">
                  <v>11380</v>
                </pt>
                <pt idx="19">
                  <v>14291.7</v>
                </pt>
                <pt idx="20">
                  <v>16689.5</v>
                </pt>
                <pt idx="21">
                  <v>14808.3</v>
                </pt>
                <pt idx="22">
                  <v>14697.1</v>
                </pt>
                <pt idx="23">
                  <v>11953.9</v>
                </pt>
              </numCache>
            </numRef>
          </val>
        </ser>
        <ser>
          <idx val="1"/>
          <order val="1"/>
          <tx>
            <strRef>
              <f>'Raw Food Data (KG)'!$C$1</f>
              <strCache>
                <ptCount val="1"/>
                <pt idx="0">
                  <v>LG7 Canteens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 w="25400">
              <a:noFill/>
              <a:prstDash val="solid"/>
            </a:ln>
          </spPr>
          <cat>
            <numRef>
              <f>'Raw Food Data (KG)'!$A$83:$A$106</f>
              <numCache>
                <formatCode>[$-409]mmm\-yy;@</formatCode>
                <ptCount val="24"/>
                <pt idx="0">
                  <v>45108</v>
                </pt>
                <pt idx="1">
                  <v>45139</v>
                </pt>
                <pt idx="2">
                  <v>45192</v>
                </pt>
                <pt idx="3">
                  <v>45222</v>
                </pt>
                <pt idx="4">
                  <v>45253</v>
                </pt>
                <pt idx="5">
                  <v>45283</v>
                </pt>
                <pt idx="6">
                  <v>45314</v>
                </pt>
                <pt idx="7">
                  <v>45345</v>
                </pt>
                <pt idx="8">
                  <v>45374</v>
                </pt>
                <pt idx="9">
                  <v>45405</v>
                </pt>
                <pt idx="10">
                  <v>45435</v>
                </pt>
                <pt idx="11">
                  <v>45466</v>
                </pt>
                <pt idx="12">
                  <v>45496</v>
                </pt>
                <pt idx="13">
                  <v>45527</v>
                </pt>
                <pt idx="14">
                  <v>45558</v>
                </pt>
                <pt idx="15">
                  <v>45588</v>
                </pt>
                <pt idx="16">
                  <v>45619</v>
                </pt>
                <pt idx="17">
                  <v>45649</v>
                </pt>
                <pt idx="18">
                  <v>45680</v>
                </pt>
                <pt idx="19">
                  <v>45711</v>
                </pt>
                <pt idx="20">
                  <v>45739</v>
                </pt>
                <pt idx="21">
                  <v>45770</v>
                </pt>
                <pt idx="22">
                  <v>45800</v>
                </pt>
                <pt idx="23">
                  <v>45831</v>
                </pt>
              </numCache>
            </numRef>
          </cat>
          <val>
            <numRef>
              <f>'Raw Food Data (KG)'!$C$83:$C$106</f>
            </numRef>
          </val>
        </ser>
        <ser>
          <idx val="2"/>
          <order val="2"/>
          <tx>
            <strRef>
              <f>'Raw Food Data (KG)'!$D$1</f>
              <strCache>
                <ptCount val="1"/>
                <pt idx="0">
                  <v>McDonald's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 w="25400">
              <a:noFill/>
              <a:prstDash val="solid"/>
            </a:ln>
          </spPr>
          <cat>
            <numRef>
              <f>'Raw Food Data (KG)'!$A$83:$A$106</f>
              <numCache>
                <formatCode>[$-409]mmm\-yy;@</formatCode>
                <ptCount val="24"/>
                <pt idx="0">
                  <v>45108</v>
                </pt>
                <pt idx="1">
                  <v>45139</v>
                </pt>
                <pt idx="2">
                  <v>45192</v>
                </pt>
                <pt idx="3">
                  <v>45222</v>
                </pt>
                <pt idx="4">
                  <v>45253</v>
                </pt>
                <pt idx="5">
                  <v>45283</v>
                </pt>
                <pt idx="6">
                  <v>45314</v>
                </pt>
                <pt idx="7">
                  <v>45345</v>
                </pt>
                <pt idx="8">
                  <v>45374</v>
                </pt>
                <pt idx="9">
                  <v>45405</v>
                </pt>
                <pt idx="10">
                  <v>45435</v>
                </pt>
                <pt idx="11">
                  <v>45466</v>
                </pt>
                <pt idx="12">
                  <v>45496</v>
                </pt>
                <pt idx="13">
                  <v>45527</v>
                </pt>
                <pt idx="14">
                  <v>45558</v>
                </pt>
                <pt idx="15">
                  <v>45588</v>
                </pt>
                <pt idx="16">
                  <v>45619</v>
                </pt>
                <pt idx="17">
                  <v>45649</v>
                </pt>
                <pt idx="18">
                  <v>45680</v>
                </pt>
                <pt idx="19">
                  <v>45711</v>
                </pt>
                <pt idx="20">
                  <v>45739</v>
                </pt>
                <pt idx="21">
                  <v>45770</v>
                </pt>
                <pt idx="22">
                  <v>45800</v>
                </pt>
                <pt idx="23">
                  <v>45831</v>
                </pt>
              </numCache>
            </numRef>
          </cat>
          <val>
            <numRef>
              <f>'Raw Food Data (KG)'!$D$83:$D$106</f>
            </numRef>
          </val>
        </ser>
        <ser>
          <idx val="3"/>
          <order val="3"/>
          <tx>
            <strRef>
              <f>'Raw Food Data (KG)'!$E$1</f>
              <strCache>
                <ptCount val="1"/>
                <pt idx="0">
                  <v>LG7 Canteen + McDonald's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cat>
            <numRef>
              <f>'Raw Food Data (KG)'!$A$83:$A$106</f>
              <numCache>
                <formatCode>[$-409]mmm\-yy;@</formatCode>
                <ptCount val="24"/>
                <pt idx="0">
                  <v>45108</v>
                </pt>
                <pt idx="1">
                  <v>45139</v>
                </pt>
                <pt idx="2">
                  <v>45192</v>
                </pt>
                <pt idx="3">
                  <v>45222</v>
                </pt>
                <pt idx="4">
                  <v>45253</v>
                </pt>
                <pt idx="5">
                  <v>45283</v>
                </pt>
                <pt idx="6">
                  <v>45314</v>
                </pt>
                <pt idx="7">
                  <v>45345</v>
                </pt>
                <pt idx="8">
                  <v>45374</v>
                </pt>
                <pt idx="9">
                  <v>45405</v>
                </pt>
                <pt idx="10">
                  <v>45435</v>
                </pt>
                <pt idx="11">
                  <v>45466</v>
                </pt>
                <pt idx="12">
                  <v>45496</v>
                </pt>
                <pt idx="13">
                  <v>45527</v>
                </pt>
                <pt idx="14">
                  <v>45558</v>
                </pt>
                <pt idx="15">
                  <v>45588</v>
                </pt>
                <pt idx="16">
                  <v>45619</v>
                </pt>
                <pt idx="17">
                  <v>45649</v>
                </pt>
                <pt idx="18">
                  <v>45680</v>
                </pt>
                <pt idx="19">
                  <v>45711</v>
                </pt>
                <pt idx="20">
                  <v>45739</v>
                </pt>
                <pt idx="21">
                  <v>45770</v>
                </pt>
                <pt idx="22">
                  <v>45800</v>
                </pt>
                <pt idx="23">
                  <v>45831</v>
                </pt>
              </numCache>
            </numRef>
          </cat>
          <val>
            <numRef>
              <f>'Raw Food Data (KG)'!$E$83:$E$106</f>
              <numCache>
                <formatCode>#,##0.00</formatCode>
                <ptCount val="24"/>
                <pt idx="0">
                  <v>7333.6</v>
                </pt>
                <pt idx="1">
                  <v>10227.8</v>
                </pt>
                <pt idx="2">
                  <v>11338.2</v>
                </pt>
                <pt idx="3">
                  <v>10794.8</v>
                </pt>
                <pt idx="4">
                  <v>17059.3</v>
                </pt>
                <pt idx="5">
                  <v>12822.3</v>
                </pt>
                <pt idx="6">
                  <v>10518.7</v>
                </pt>
                <pt idx="7">
                  <v>12271.5</v>
                </pt>
                <pt idx="8">
                  <v>15475.8</v>
                </pt>
                <pt idx="9">
                  <v>14528.1</v>
                </pt>
                <pt idx="10">
                  <v>14693.7</v>
                </pt>
                <pt idx="11">
                  <v>9417.700000000001</v>
                </pt>
                <pt idx="12">
                  <v>12850.5</v>
                </pt>
                <pt idx="13">
                  <v>13539.6</v>
                </pt>
                <pt idx="14">
                  <v>19435.4</v>
                </pt>
                <pt idx="15">
                  <v>21511.2</v>
                </pt>
                <pt idx="16">
                  <v>21337.2</v>
                </pt>
                <pt idx="17">
                  <v>18821.3</v>
                </pt>
                <pt idx="18">
                  <v>12982.1</v>
                </pt>
                <pt idx="19">
                  <v>17364</v>
                </pt>
                <pt idx="20">
                  <v>20873.5</v>
                </pt>
                <pt idx="21">
                  <v>17587.2</v>
                </pt>
                <pt idx="22">
                  <v>19797.9</v>
                </pt>
                <pt idx="23">
                  <v>12025.4</v>
                </pt>
              </numCache>
            </numRef>
          </val>
        </ser>
        <ser>
          <idx val="4"/>
          <order val="4"/>
          <tx>
            <strRef>
              <f>'Raw Food Data (KG)'!$F$1</f>
              <strCache>
                <ptCount val="1"/>
                <pt idx="0">
                  <v>LG7 Fusion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cat>
            <numRef>
              <f>'Raw Food Data (KG)'!$A$83:$A$106</f>
              <numCache>
                <formatCode>[$-409]mmm\-yy;@</formatCode>
                <ptCount val="24"/>
                <pt idx="0">
                  <v>45108</v>
                </pt>
                <pt idx="1">
                  <v>45139</v>
                </pt>
                <pt idx="2">
                  <v>45192</v>
                </pt>
                <pt idx="3">
                  <v>45222</v>
                </pt>
                <pt idx="4">
                  <v>45253</v>
                </pt>
                <pt idx="5">
                  <v>45283</v>
                </pt>
                <pt idx="6">
                  <v>45314</v>
                </pt>
                <pt idx="7">
                  <v>45345</v>
                </pt>
                <pt idx="8">
                  <v>45374</v>
                </pt>
                <pt idx="9">
                  <v>45405</v>
                </pt>
                <pt idx="10">
                  <v>45435</v>
                </pt>
                <pt idx="11">
                  <v>45466</v>
                </pt>
                <pt idx="12">
                  <v>45496</v>
                </pt>
                <pt idx="13">
                  <v>45527</v>
                </pt>
                <pt idx="14">
                  <v>45558</v>
                </pt>
                <pt idx="15">
                  <v>45588</v>
                </pt>
                <pt idx="16">
                  <v>45619</v>
                </pt>
                <pt idx="17">
                  <v>45649</v>
                </pt>
                <pt idx="18">
                  <v>45680</v>
                </pt>
                <pt idx="19">
                  <v>45711</v>
                </pt>
                <pt idx="20">
                  <v>45739</v>
                </pt>
                <pt idx="21">
                  <v>45770</v>
                </pt>
                <pt idx="22">
                  <v>45800</v>
                </pt>
                <pt idx="23">
                  <v>45831</v>
                </pt>
              </numCache>
            </numRef>
          </cat>
          <val>
            <numRef>
              <f>'Raw Food Data (KG)'!$F$83:$F$106</f>
              <numCache>
                <formatCode>#,##0.00</formatCode>
                <ptCount val="24"/>
                <pt idx="0">
                  <v>1940.5</v>
                </pt>
                <pt idx="1">
                  <v>1272</v>
                </pt>
                <pt idx="2">
                  <v>464.9</v>
                </pt>
                <pt idx="3">
                  <v>1523</v>
                </pt>
                <pt idx="4">
                  <v>797.5</v>
                </pt>
                <pt idx="5">
                  <v>714.5</v>
                </pt>
                <pt idx="6">
                  <v>549.9</v>
                </pt>
                <pt idx="7">
                  <v>372.5</v>
                </pt>
                <pt idx="8">
                  <v>384.1</v>
                </pt>
                <pt idx="9">
                  <v>462.4</v>
                </pt>
                <pt idx="10">
                  <v>495.5</v>
                </pt>
                <pt idx="11">
                  <v>586</v>
                </pt>
                <pt idx="12">
                  <v>644.6</v>
                </pt>
                <pt idx="13">
                  <v>406.6</v>
                </pt>
                <pt idx="14">
                  <v>414.7</v>
                </pt>
                <pt idx="15">
                  <v>340.3</v>
                </pt>
                <pt idx="16">
                  <v>276.4</v>
                </pt>
                <pt idx="17">
                  <v>409.8</v>
                </pt>
                <pt idx="18">
                  <v>422.8</v>
                </pt>
                <pt idx="19">
                  <v>291</v>
                </pt>
                <pt idx="20">
                  <v>217.9</v>
                </pt>
                <pt idx="21">
                  <v>180.9</v>
                </pt>
                <pt idx="22">
                  <v>201.9</v>
                </pt>
                <pt idx="23">
                  <v>275.8</v>
                </pt>
              </numCache>
            </numRef>
          </val>
        </ser>
        <ser>
          <idx val="5"/>
          <order val="5"/>
          <tx>
            <strRef>
              <f>'Raw Food Data (KG)'!$G$1</f>
              <strCache>
                <ptCount val="1"/>
                <pt idx="0">
                  <v>Courtyard (Lift 25)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cat>
            <numRef>
              <f>'Raw Food Data (KG)'!$A$83:$A$106</f>
              <numCache>
                <formatCode>[$-409]mmm\-yy;@</formatCode>
                <ptCount val="24"/>
                <pt idx="0">
                  <v>45108</v>
                </pt>
                <pt idx="1">
                  <v>45139</v>
                </pt>
                <pt idx="2">
                  <v>45192</v>
                </pt>
                <pt idx="3">
                  <v>45222</v>
                </pt>
                <pt idx="4">
                  <v>45253</v>
                </pt>
                <pt idx="5">
                  <v>45283</v>
                </pt>
                <pt idx="6">
                  <v>45314</v>
                </pt>
                <pt idx="7">
                  <v>45345</v>
                </pt>
                <pt idx="8">
                  <v>45374</v>
                </pt>
                <pt idx="9">
                  <v>45405</v>
                </pt>
                <pt idx="10">
                  <v>45435</v>
                </pt>
                <pt idx="11">
                  <v>45466</v>
                </pt>
                <pt idx="12">
                  <v>45496</v>
                </pt>
                <pt idx="13">
                  <v>45527</v>
                </pt>
                <pt idx="14">
                  <v>45558</v>
                </pt>
                <pt idx="15">
                  <v>45588</v>
                </pt>
                <pt idx="16">
                  <v>45619</v>
                </pt>
                <pt idx="17">
                  <v>45649</v>
                </pt>
                <pt idx="18">
                  <v>45680</v>
                </pt>
                <pt idx="19">
                  <v>45711</v>
                </pt>
                <pt idx="20">
                  <v>45739</v>
                </pt>
                <pt idx="21">
                  <v>45770</v>
                </pt>
                <pt idx="22">
                  <v>45800</v>
                </pt>
                <pt idx="23">
                  <v>45831</v>
                </pt>
              </numCache>
            </numRef>
          </cat>
          <val>
            <numRef>
              <f>'Raw Food Data (KG)'!$G$83:$G$106</f>
              <numCache>
                <formatCode>#,##0.00</formatCode>
                <ptCount val="24"/>
                <pt idx="0">
                  <v>1322.5</v>
                </pt>
                <pt idx="1">
                  <v>1102</v>
                </pt>
                <pt idx="2">
                  <v>1964.4</v>
                </pt>
                <pt idx="3">
                  <v>1648.9</v>
                </pt>
                <pt idx="4">
                  <v>2422</v>
                </pt>
                <pt idx="5">
                  <v>1756.1</v>
                </pt>
                <pt idx="6">
                  <v>1402.4</v>
                </pt>
                <pt idx="7">
                  <v>2301.4</v>
                </pt>
                <pt idx="8">
                  <v>2645.1</v>
                </pt>
                <pt idx="9">
                  <v>2136.4</v>
                </pt>
                <pt idx="10">
                  <v>2215.9</v>
                </pt>
                <pt idx="11">
                  <v>1702.6</v>
                </pt>
                <pt idx="12">
                  <v>1284.7</v>
                </pt>
                <pt idx="13">
                  <v>1969.5</v>
                </pt>
                <pt idx="14">
                  <v>2528.6</v>
                </pt>
                <pt idx="15">
                  <v>3013.3</v>
                </pt>
                <pt idx="16">
                  <v>3075.9</v>
                </pt>
                <pt idx="17">
                  <v>1746.9</v>
                </pt>
                <pt idx="18">
                  <v>1253</v>
                </pt>
                <pt idx="19">
                  <v>2200.1</v>
                </pt>
                <pt idx="20">
                  <v>3040.7</v>
                </pt>
                <pt idx="21">
                  <v>2598.6</v>
                </pt>
                <pt idx="22">
                  <v>2501</v>
                </pt>
                <pt idx="23">
                  <v>1250.6</v>
                </pt>
              </numCache>
            </numRef>
          </val>
        </ser>
        <ser>
          <idx val="6"/>
          <order val="6"/>
          <tx>
            <strRef>
              <f>'Raw Food Data (KG)'!$H$1</f>
              <strCache>
                <ptCount val="1"/>
                <pt idx="0">
                  <v>UC Bistro (Tower C)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Food Data (KG)'!$A$83:$A$106</f>
              <numCache>
                <formatCode>[$-409]mmm\-yy;@</formatCode>
                <ptCount val="24"/>
                <pt idx="0">
                  <v>45108</v>
                </pt>
                <pt idx="1">
                  <v>45139</v>
                </pt>
                <pt idx="2">
                  <v>45192</v>
                </pt>
                <pt idx="3">
                  <v>45222</v>
                </pt>
                <pt idx="4">
                  <v>45253</v>
                </pt>
                <pt idx="5">
                  <v>45283</v>
                </pt>
                <pt idx="6">
                  <v>45314</v>
                </pt>
                <pt idx="7">
                  <v>45345</v>
                </pt>
                <pt idx="8">
                  <v>45374</v>
                </pt>
                <pt idx="9">
                  <v>45405</v>
                </pt>
                <pt idx="10">
                  <v>45435</v>
                </pt>
                <pt idx="11">
                  <v>45466</v>
                </pt>
                <pt idx="12">
                  <v>45496</v>
                </pt>
                <pt idx="13">
                  <v>45527</v>
                </pt>
                <pt idx="14">
                  <v>45558</v>
                </pt>
                <pt idx="15">
                  <v>45588</v>
                </pt>
                <pt idx="16">
                  <v>45619</v>
                </pt>
                <pt idx="17">
                  <v>45649</v>
                </pt>
                <pt idx="18">
                  <v>45680</v>
                </pt>
                <pt idx="19">
                  <v>45711</v>
                </pt>
                <pt idx="20">
                  <v>45739</v>
                </pt>
                <pt idx="21">
                  <v>45770</v>
                </pt>
                <pt idx="22">
                  <v>45800</v>
                </pt>
                <pt idx="23">
                  <v>45831</v>
                </pt>
              </numCache>
            </numRef>
          </cat>
          <val>
            <numRef>
              <f>'Raw Food Data (KG)'!$H$83:$H$106</f>
              <numCache>
                <formatCode>#,##0.00</formatCode>
                <ptCount val="24"/>
                <pt idx="0">
                  <v>427.5</v>
                </pt>
                <pt idx="1">
                  <v>456</v>
                </pt>
                <pt idx="2">
                  <v>628</v>
                </pt>
                <pt idx="3">
                  <v>410.9</v>
                </pt>
                <pt idx="4">
                  <v>545.8</v>
                </pt>
                <pt idx="5">
                  <v>746.4</v>
                </pt>
                <pt idx="6">
                  <v>413.5</v>
                </pt>
                <pt idx="7">
                  <v>438.2</v>
                </pt>
                <pt idx="8">
                  <v>504.3</v>
                </pt>
                <pt idx="9">
                  <v>361.5</v>
                </pt>
                <pt idx="10">
                  <v>576.4</v>
                </pt>
                <pt idx="11">
                  <v>503.8</v>
                </pt>
                <pt idx="12">
                  <v>425.3</v>
                </pt>
                <pt idx="13">
                  <v>430.9</v>
                </pt>
                <pt idx="14">
                  <v>437.8</v>
                </pt>
                <pt idx="15">
                  <v>339.2</v>
                </pt>
                <pt idx="16">
                  <v>597.3</v>
                </pt>
                <pt idx="17">
                  <v>558.5</v>
                </pt>
                <pt idx="18">
                  <v>292.3</v>
                </pt>
                <pt idx="19">
                  <v>521.3</v>
                </pt>
                <pt idx="20">
                  <v>543.6</v>
                </pt>
                <pt idx="21">
                  <v>395.5</v>
                </pt>
                <pt idx="22">
                  <v>563</v>
                </pt>
                <pt idx="23">
                  <v>445.6</v>
                </pt>
              </numCache>
            </numRef>
          </val>
        </ser>
        <ser>
          <idx val="7"/>
          <order val="7"/>
          <tx>
            <strRef>
              <f>'Raw Food Data (KG)'!$I$1</f>
              <strCache>
                <ptCount val="1"/>
                <pt idx="0">
                  <v>LSK Campus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Food Data (KG)'!$A$83:$A$106</f>
              <numCache>
                <formatCode>[$-409]mmm\-yy;@</formatCode>
                <ptCount val="24"/>
                <pt idx="0">
                  <v>45108</v>
                </pt>
                <pt idx="1">
                  <v>45139</v>
                </pt>
                <pt idx="2">
                  <v>45192</v>
                </pt>
                <pt idx="3">
                  <v>45222</v>
                </pt>
                <pt idx="4">
                  <v>45253</v>
                </pt>
                <pt idx="5">
                  <v>45283</v>
                </pt>
                <pt idx="6">
                  <v>45314</v>
                </pt>
                <pt idx="7">
                  <v>45345</v>
                </pt>
                <pt idx="8">
                  <v>45374</v>
                </pt>
                <pt idx="9">
                  <v>45405</v>
                </pt>
                <pt idx="10">
                  <v>45435</v>
                </pt>
                <pt idx="11">
                  <v>45466</v>
                </pt>
                <pt idx="12">
                  <v>45496</v>
                </pt>
                <pt idx="13">
                  <v>45527</v>
                </pt>
                <pt idx="14">
                  <v>45558</v>
                </pt>
                <pt idx="15">
                  <v>45588</v>
                </pt>
                <pt idx="16">
                  <v>45619</v>
                </pt>
                <pt idx="17">
                  <v>45649</v>
                </pt>
                <pt idx="18">
                  <v>45680</v>
                </pt>
                <pt idx="19">
                  <v>45711</v>
                </pt>
                <pt idx="20">
                  <v>45739</v>
                </pt>
                <pt idx="21">
                  <v>45770</v>
                </pt>
                <pt idx="22">
                  <v>45800</v>
                </pt>
                <pt idx="23">
                  <v>45831</v>
                </pt>
              </numCache>
            </numRef>
          </cat>
          <val>
            <numRef>
              <f>'Raw Food Data (KG)'!$I$83:$I$106</f>
              <numCache>
                <formatCode>#,##0.00</formatCode>
                <ptCount val="24"/>
                <pt idx="0">
                  <v>1793.5</v>
                </pt>
                <pt idx="1">
                  <v>2079</v>
                </pt>
                <pt idx="2">
                  <v>2438.7</v>
                </pt>
                <pt idx="3">
                  <v>2014.9</v>
                </pt>
                <pt idx="4">
                  <v>3703.9</v>
                </pt>
                <pt idx="5">
                  <v>2987.4</v>
                </pt>
                <pt idx="6">
                  <v>2540.4</v>
                </pt>
                <pt idx="7">
                  <v>2848.4</v>
                </pt>
                <pt idx="8">
                  <v>3490.9</v>
                </pt>
                <pt idx="9">
                  <v>3084.1</v>
                </pt>
                <pt idx="10">
                  <v>2978.3</v>
                </pt>
                <pt idx="11">
                  <v>2130.4</v>
                </pt>
                <pt idx="12">
                  <v>2178.2</v>
                </pt>
                <pt idx="13">
                  <v>2499.5</v>
                </pt>
                <pt idx="14">
                  <v>3537.8</v>
                </pt>
                <pt idx="15">
                  <v>3904.1</v>
                </pt>
                <pt idx="16">
                  <v>3829.2</v>
                </pt>
                <pt idx="17">
                  <v>2897</v>
                </pt>
                <pt idx="18">
                  <v>2142.1</v>
                </pt>
                <pt idx="19">
                  <v>3128.6</v>
                </pt>
                <pt idx="20">
                  <v>4006.5</v>
                </pt>
                <pt idx="21">
                  <v>3247.9</v>
                </pt>
                <pt idx="22">
                  <v>3505.2</v>
                </pt>
                <pt idx="23">
                  <v>2717.6</v>
                </pt>
              </numCache>
            </numRef>
          </val>
        </ser>
        <ser>
          <idx val="8"/>
          <order val="8"/>
          <tx>
            <strRef>
              <f>'Raw Food Data (KG)'!$J$1</f>
              <strCache>
                <ptCount val="1"/>
                <pt idx="0">
                  <v>Seafront Cafeteria (now collected at UG6 starting July 23)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 w="25400">
              <a:noFill/>
              <a:prstDash val="solid"/>
            </a:ln>
          </spPr>
          <cat>
            <numRef>
              <f>'Raw Food Data (KG)'!$A$83:$A$106</f>
              <numCache>
                <formatCode>[$-409]mmm\-yy;@</formatCode>
                <ptCount val="24"/>
                <pt idx="0">
                  <v>45108</v>
                </pt>
                <pt idx="1">
                  <v>45139</v>
                </pt>
                <pt idx="2">
                  <v>45192</v>
                </pt>
                <pt idx="3">
                  <v>45222</v>
                </pt>
                <pt idx="4">
                  <v>45253</v>
                </pt>
                <pt idx="5">
                  <v>45283</v>
                </pt>
                <pt idx="6">
                  <v>45314</v>
                </pt>
                <pt idx="7">
                  <v>45345</v>
                </pt>
                <pt idx="8">
                  <v>45374</v>
                </pt>
                <pt idx="9">
                  <v>45405</v>
                </pt>
                <pt idx="10">
                  <v>45435</v>
                </pt>
                <pt idx="11">
                  <v>45466</v>
                </pt>
                <pt idx="12">
                  <v>45496</v>
                </pt>
                <pt idx="13">
                  <v>45527</v>
                </pt>
                <pt idx="14">
                  <v>45558</v>
                </pt>
                <pt idx="15">
                  <v>45588</v>
                </pt>
                <pt idx="16">
                  <v>45619</v>
                </pt>
                <pt idx="17">
                  <v>45649</v>
                </pt>
                <pt idx="18">
                  <v>45680</v>
                </pt>
                <pt idx="19">
                  <v>45711</v>
                </pt>
                <pt idx="20">
                  <v>45739</v>
                </pt>
                <pt idx="21">
                  <v>45770</v>
                </pt>
                <pt idx="22">
                  <v>45800</v>
                </pt>
                <pt idx="23">
                  <v>45831</v>
                </pt>
              </numCache>
            </numRef>
          </cat>
          <val>
            <numRef>
              <f>'Raw Food Data (KG)'!$J$83:$J$106</f>
            </numRef>
          </val>
        </ser>
        <ser>
          <idx val="9"/>
          <order val="9"/>
          <tx>
            <strRef>
              <f>'Raw Food Data (KG)'!$K$1</f>
              <strCache>
                <ptCount val="1"/>
                <pt idx="0">
                  <v>UG Halls</v>
                </pt>
              </strCache>
            </strRef>
          </tx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 w="25400">
              <a:noFill/>
              <a:prstDash val="solid"/>
            </a:ln>
          </spPr>
          <cat>
            <numRef>
              <f>'Raw Food Data (KG)'!$A$83:$A$106</f>
              <numCache>
                <formatCode>[$-409]mmm\-yy;@</formatCode>
                <ptCount val="24"/>
                <pt idx="0">
                  <v>45108</v>
                </pt>
                <pt idx="1">
                  <v>45139</v>
                </pt>
                <pt idx="2">
                  <v>45192</v>
                </pt>
                <pt idx="3">
                  <v>45222</v>
                </pt>
                <pt idx="4">
                  <v>45253</v>
                </pt>
                <pt idx="5">
                  <v>45283</v>
                </pt>
                <pt idx="6">
                  <v>45314</v>
                </pt>
                <pt idx="7">
                  <v>45345</v>
                </pt>
                <pt idx="8">
                  <v>45374</v>
                </pt>
                <pt idx="9">
                  <v>45405</v>
                </pt>
                <pt idx="10">
                  <v>45435</v>
                </pt>
                <pt idx="11">
                  <v>45466</v>
                </pt>
                <pt idx="12">
                  <v>45496</v>
                </pt>
                <pt idx="13">
                  <v>45527</v>
                </pt>
                <pt idx="14">
                  <v>45558</v>
                </pt>
                <pt idx="15">
                  <v>45588</v>
                </pt>
                <pt idx="16">
                  <v>45619</v>
                </pt>
                <pt idx="17">
                  <v>45649</v>
                </pt>
                <pt idx="18">
                  <v>45680</v>
                </pt>
                <pt idx="19">
                  <v>45711</v>
                </pt>
                <pt idx="20">
                  <v>45739</v>
                </pt>
                <pt idx="21">
                  <v>45770</v>
                </pt>
                <pt idx="22">
                  <v>45800</v>
                </pt>
                <pt idx="23">
                  <v>45831</v>
                </pt>
              </numCache>
            </numRef>
          </cat>
          <val>
            <numRef>
              <f>'Raw Food Data (KG)'!$K$83:$K$106</f>
            </numRef>
          </val>
        </ser>
        <ser>
          <idx val="10"/>
          <order val="10"/>
          <tx>
            <strRef>
              <f>'Raw Food Data (KG)'!$L$1</f>
              <strCache>
                <ptCount val="1"/>
                <pt idx="0">
                  <v xml:space="preserve">UG Halls + Seafront Cafeteria 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Food Data (KG)'!$A$83:$A$106</f>
              <numCache>
                <formatCode>[$-409]mmm\-yy;@</formatCode>
                <ptCount val="24"/>
                <pt idx="0">
                  <v>45108</v>
                </pt>
                <pt idx="1">
                  <v>45139</v>
                </pt>
                <pt idx="2">
                  <v>45192</v>
                </pt>
                <pt idx="3">
                  <v>45222</v>
                </pt>
                <pt idx="4">
                  <v>45253</v>
                </pt>
                <pt idx="5">
                  <v>45283</v>
                </pt>
                <pt idx="6">
                  <v>45314</v>
                </pt>
                <pt idx="7">
                  <v>45345</v>
                </pt>
                <pt idx="8">
                  <v>45374</v>
                </pt>
                <pt idx="9">
                  <v>45405</v>
                </pt>
                <pt idx="10">
                  <v>45435</v>
                </pt>
                <pt idx="11">
                  <v>45466</v>
                </pt>
                <pt idx="12">
                  <v>45496</v>
                </pt>
                <pt idx="13">
                  <v>45527</v>
                </pt>
                <pt idx="14">
                  <v>45558</v>
                </pt>
                <pt idx="15">
                  <v>45588</v>
                </pt>
                <pt idx="16">
                  <v>45619</v>
                </pt>
                <pt idx="17">
                  <v>45649</v>
                </pt>
                <pt idx="18">
                  <v>45680</v>
                </pt>
                <pt idx="19">
                  <v>45711</v>
                </pt>
                <pt idx="20">
                  <v>45739</v>
                </pt>
                <pt idx="21">
                  <v>45770</v>
                </pt>
                <pt idx="22">
                  <v>45800</v>
                </pt>
                <pt idx="23">
                  <v>45831</v>
                </pt>
              </numCache>
            </numRef>
          </cat>
          <val>
            <numRef>
              <f>'Raw Food Data (KG)'!$L$83:$L$106</f>
              <numCache>
                <formatCode>#,##0.00</formatCode>
                <ptCount val="24"/>
                <pt idx="0">
                  <v>0</v>
                </pt>
                <pt idx="1">
                  <v>123</v>
                </pt>
                <pt idx="2">
                  <v>525.9</v>
                </pt>
                <pt idx="3">
                  <v>476.8</v>
                </pt>
                <pt idx="4">
                  <v>770.6</v>
                </pt>
                <pt idx="5">
                  <v>490.1</v>
                </pt>
                <pt idx="6">
                  <v>221.8</v>
                </pt>
                <pt idx="7">
                  <v>612</v>
                </pt>
                <pt idx="8">
                  <v>733.1</v>
                </pt>
                <pt idx="9">
                  <v>601.2</v>
                </pt>
                <pt idx="10">
                  <v>590</v>
                </pt>
                <pt idx="11">
                  <v>208.2</v>
                </pt>
                <pt idx="12">
                  <v>239.8</v>
                </pt>
                <pt idx="13">
                  <v>309.3</v>
                </pt>
                <pt idx="14">
                  <v>568.1</v>
                </pt>
                <pt idx="15">
                  <v>672.3</v>
                </pt>
                <pt idx="16">
                  <v>640</v>
                </pt>
                <pt idx="17">
                  <formatCode>#,##0.0</formatCode>
                  <v>435.6</v>
                </pt>
                <pt idx="18">
                  <v>193.4</v>
                </pt>
                <pt idx="19">
                  <v>533.9</v>
                </pt>
                <pt idx="20">
                  <v>707.7</v>
                </pt>
                <pt idx="21">
                  <v>543.1</v>
                </pt>
                <pt idx="22">
                  <v>486.6</v>
                </pt>
                <pt idx="23">
                  <v>195.1</v>
                </pt>
              </numCache>
            </numRef>
          </val>
        </ser>
        <ser>
          <idx val="11"/>
          <order val="11"/>
          <tx>
            <strRef>
              <f>'Raw Food Data (KG)'!$M$1</f>
              <strCache>
                <ptCount val="1"/>
                <pt idx="0">
                  <v>Conference Lodge</v>
                </pt>
              </strCache>
            </strRef>
          </tx>
          <spPr>
            <a:solidFill xmlns:a="http://schemas.openxmlformats.org/drawingml/2006/main">
              <a:schemeClr val="accent6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Food Data (KG)'!$A$83:$A$106</f>
              <numCache>
                <formatCode>[$-409]mmm\-yy;@</formatCode>
                <ptCount val="24"/>
                <pt idx="0">
                  <v>45108</v>
                </pt>
                <pt idx="1">
                  <v>45139</v>
                </pt>
                <pt idx="2">
                  <v>45192</v>
                </pt>
                <pt idx="3">
                  <v>45222</v>
                </pt>
                <pt idx="4">
                  <v>45253</v>
                </pt>
                <pt idx="5">
                  <v>45283</v>
                </pt>
                <pt idx="6">
                  <v>45314</v>
                </pt>
                <pt idx="7">
                  <v>45345</v>
                </pt>
                <pt idx="8">
                  <v>45374</v>
                </pt>
                <pt idx="9">
                  <v>45405</v>
                </pt>
                <pt idx="10">
                  <v>45435</v>
                </pt>
                <pt idx="11">
                  <v>45466</v>
                </pt>
                <pt idx="12">
                  <v>45496</v>
                </pt>
                <pt idx="13">
                  <v>45527</v>
                </pt>
                <pt idx="14">
                  <v>45558</v>
                </pt>
                <pt idx="15">
                  <v>45588</v>
                </pt>
                <pt idx="16">
                  <v>45619</v>
                </pt>
                <pt idx="17">
                  <v>45649</v>
                </pt>
                <pt idx="18">
                  <v>45680</v>
                </pt>
                <pt idx="19">
                  <v>45711</v>
                </pt>
                <pt idx="20">
                  <v>45739</v>
                </pt>
                <pt idx="21">
                  <v>45770</v>
                </pt>
                <pt idx="22">
                  <v>45800</v>
                </pt>
                <pt idx="23">
                  <v>45831</v>
                </pt>
              </numCache>
            </numRef>
          </cat>
          <val>
            <numRef>
              <f>'Raw Food Data (KG)'!$M$83:$M$106</f>
              <numCache>
                <formatCode>#,##0.00</formatCode>
                <ptCount val="24"/>
                <pt idx="0">
                  <v>738.5</v>
                </pt>
                <pt idx="1">
                  <v>589.6</v>
                </pt>
                <pt idx="2">
                  <v>530.6</v>
                </pt>
                <pt idx="3">
                  <v>564</v>
                </pt>
                <pt idx="4">
                  <v>650.6</v>
                </pt>
                <pt idx="5">
                  <v>796.8</v>
                </pt>
                <pt idx="6">
                  <v>870.1</v>
                </pt>
                <pt idx="7">
                  <v>790.2</v>
                </pt>
                <pt idx="8">
                  <v>947</v>
                </pt>
                <pt idx="9">
                  <v>744.9</v>
                </pt>
                <pt idx="10">
                  <v>894</v>
                </pt>
                <pt idx="11">
                  <v>920</v>
                </pt>
                <pt idx="12">
                  <v>734.1</v>
                </pt>
                <pt idx="13">
                  <v>749.4</v>
                </pt>
                <pt idx="14">
                  <v>843.4</v>
                </pt>
                <pt idx="15">
                  <v>996.4</v>
                </pt>
                <pt idx="16">
                  <v>1211.5</v>
                </pt>
                <pt idx="17">
                  <v>1199.3</v>
                </pt>
                <pt idx="18">
                  <v>871.4</v>
                </pt>
                <pt idx="19">
                  <v>820.9</v>
                </pt>
                <pt idx="20">
                  <v>839.6</v>
                </pt>
                <pt idx="21">
                  <v>904.8</v>
                </pt>
                <pt idx="22">
                  <v>923.2</v>
                </pt>
                <pt idx="23">
                  <v>718.4</v>
                </pt>
              </numCache>
            </numRef>
          </val>
        </ser>
        <ser>
          <idx val="12"/>
          <order val="12"/>
          <tx>
            <strRef>
              <f>'Raw Food Data (KG)'!$N$1</f>
              <strCache>
                <ptCount val="1"/>
                <pt idx="0">
                  <v>Staff Quarters</v>
                </pt>
              </strCache>
            </strRef>
          </tx>
          <spPr>
            <a:solidFill xmlns:a="http://schemas.openxmlformats.org/drawingml/2006/main">
              <a:schemeClr val="accent1">
                <a:lumMod val="80000"/>
                <a:lumOff val="20000"/>
              </a:schemeClr>
            </a:solidFill>
            <a:ln xmlns:a="http://schemas.openxmlformats.org/drawingml/2006/main" w="25400">
              <a:noFill/>
              <a:prstDash val="solid"/>
            </a:ln>
          </spPr>
          <cat>
            <numRef>
              <f>'Raw Food Data (KG)'!$A$83:$A$106</f>
              <numCache>
                <formatCode>[$-409]mmm\-yy;@</formatCode>
                <ptCount val="24"/>
                <pt idx="0">
                  <v>45108</v>
                </pt>
                <pt idx="1">
                  <v>45139</v>
                </pt>
                <pt idx="2">
                  <v>45192</v>
                </pt>
                <pt idx="3">
                  <v>45222</v>
                </pt>
                <pt idx="4">
                  <v>45253</v>
                </pt>
                <pt idx="5">
                  <v>45283</v>
                </pt>
                <pt idx="6">
                  <v>45314</v>
                </pt>
                <pt idx="7">
                  <v>45345</v>
                </pt>
                <pt idx="8">
                  <v>45374</v>
                </pt>
                <pt idx="9">
                  <v>45405</v>
                </pt>
                <pt idx="10">
                  <v>45435</v>
                </pt>
                <pt idx="11">
                  <v>45466</v>
                </pt>
                <pt idx="12">
                  <v>45496</v>
                </pt>
                <pt idx="13">
                  <v>45527</v>
                </pt>
                <pt idx="14">
                  <v>45558</v>
                </pt>
                <pt idx="15">
                  <v>45588</v>
                </pt>
                <pt idx="16">
                  <v>45619</v>
                </pt>
                <pt idx="17">
                  <v>45649</v>
                </pt>
                <pt idx="18">
                  <v>45680</v>
                </pt>
                <pt idx="19">
                  <v>45711</v>
                </pt>
                <pt idx="20">
                  <v>45739</v>
                </pt>
                <pt idx="21">
                  <v>45770</v>
                </pt>
                <pt idx="22">
                  <v>45800</v>
                </pt>
                <pt idx="23">
                  <v>45831</v>
                </pt>
              </numCache>
            </numRef>
          </cat>
          <val>
            <numRef>
              <f>'Raw Food Data (KG)'!$N$83:$N$106</f>
            </numRef>
          </val>
        </ser>
        <ser>
          <idx val="13"/>
          <order val="13"/>
          <tx>
            <strRef>
              <f>'Raw Food Data (KG)'!$O$1</f>
              <strCache>
                <ptCount val="1"/>
                <pt idx="0">
                  <v>Junior Staff Quarters</v>
                </pt>
              </strCache>
            </strRef>
          </tx>
          <spPr>
            <a:solidFill xmlns:a="http://schemas.openxmlformats.org/drawingml/2006/main">
              <a:schemeClr val="accent2">
                <a:lumMod val="80000"/>
                <a:lumOff val="20000"/>
              </a:schemeClr>
            </a:solidFill>
            <a:ln xmlns:a="http://schemas.openxmlformats.org/drawingml/2006/main" w="25400">
              <a:noFill/>
              <a:prstDash val="solid"/>
            </a:ln>
          </spPr>
          <cat>
            <numRef>
              <f>'Raw Food Data (KG)'!$A$83:$A$106</f>
              <numCache>
                <formatCode>[$-409]mmm\-yy;@</formatCode>
                <ptCount val="24"/>
                <pt idx="0">
                  <v>45108</v>
                </pt>
                <pt idx="1">
                  <v>45139</v>
                </pt>
                <pt idx="2">
                  <v>45192</v>
                </pt>
                <pt idx="3">
                  <v>45222</v>
                </pt>
                <pt idx="4">
                  <v>45253</v>
                </pt>
                <pt idx="5">
                  <v>45283</v>
                </pt>
                <pt idx="6">
                  <v>45314</v>
                </pt>
                <pt idx="7">
                  <v>45345</v>
                </pt>
                <pt idx="8">
                  <v>45374</v>
                </pt>
                <pt idx="9">
                  <v>45405</v>
                </pt>
                <pt idx="10">
                  <v>45435</v>
                </pt>
                <pt idx="11">
                  <v>45466</v>
                </pt>
                <pt idx="12">
                  <v>45496</v>
                </pt>
                <pt idx="13">
                  <v>45527</v>
                </pt>
                <pt idx="14">
                  <v>45558</v>
                </pt>
                <pt idx="15">
                  <v>45588</v>
                </pt>
                <pt idx="16">
                  <v>45619</v>
                </pt>
                <pt idx="17">
                  <v>45649</v>
                </pt>
                <pt idx="18">
                  <v>45680</v>
                </pt>
                <pt idx="19">
                  <v>45711</v>
                </pt>
                <pt idx="20">
                  <v>45739</v>
                </pt>
                <pt idx="21">
                  <v>45770</v>
                </pt>
                <pt idx="22">
                  <v>45800</v>
                </pt>
                <pt idx="23">
                  <v>45831</v>
                </pt>
              </numCache>
            </numRef>
          </cat>
          <val>
            <numRef>
              <f>'Raw Food Data (KG)'!$O$83:$O$106</f>
            </numRef>
          </val>
        </ser>
        <ser>
          <idx val="14"/>
          <order val="14"/>
          <tx>
            <strRef>
              <f>'Raw Food Data (KG)'!$P$1</f>
              <strCache>
                <ptCount val="1"/>
                <pt idx="0">
                  <v>Staff Quarters (All)</v>
                </pt>
              </strCache>
            </strRef>
          </tx>
          <spPr>
            <a:solidFill xmlns:a="http://schemas.openxmlformats.org/drawingml/2006/main">
              <a:schemeClr val="accent3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'Raw Food Data (KG)'!$A$83:$A$106</f>
              <numCache>
                <formatCode>[$-409]mmm\-yy;@</formatCode>
                <ptCount val="24"/>
                <pt idx="0">
                  <v>45108</v>
                </pt>
                <pt idx="1">
                  <v>45139</v>
                </pt>
                <pt idx="2">
                  <v>45192</v>
                </pt>
                <pt idx="3">
                  <v>45222</v>
                </pt>
                <pt idx="4">
                  <v>45253</v>
                </pt>
                <pt idx="5">
                  <v>45283</v>
                </pt>
                <pt idx="6">
                  <v>45314</v>
                </pt>
                <pt idx="7">
                  <v>45345</v>
                </pt>
                <pt idx="8">
                  <v>45374</v>
                </pt>
                <pt idx="9">
                  <v>45405</v>
                </pt>
                <pt idx="10">
                  <v>45435</v>
                </pt>
                <pt idx="11">
                  <v>45466</v>
                </pt>
                <pt idx="12">
                  <v>45496</v>
                </pt>
                <pt idx="13">
                  <v>45527</v>
                </pt>
                <pt idx="14">
                  <v>45558</v>
                </pt>
                <pt idx="15">
                  <v>45588</v>
                </pt>
                <pt idx="16">
                  <v>45619</v>
                </pt>
                <pt idx="17">
                  <v>45649</v>
                </pt>
                <pt idx="18">
                  <v>45680</v>
                </pt>
                <pt idx="19">
                  <v>45711</v>
                </pt>
                <pt idx="20">
                  <v>45739</v>
                </pt>
                <pt idx="21">
                  <v>45770</v>
                </pt>
                <pt idx="22">
                  <v>45800</v>
                </pt>
                <pt idx="23">
                  <v>45831</v>
                </pt>
              </numCache>
            </numRef>
          </cat>
          <val>
            <numRef>
              <f>'Raw Food Data (KG)'!$P$83:$P$106</f>
              <numCache>
                <formatCode>#,##0.00</formatCode>
                <ptCount val="24"/>
                <pt idx="0">
                  <v>2284.4</v>
                </pt>
                <pt idx="1">
                  <v>2206.1</v>
                </pt>
                <pt idx="2">
                  <v>2158.3</v>
                </pt>
                <pt idx="3">
                  <v>2398.6</v>
                </pt>
                <pt idx="4">
                  <v>2276.4</v>
                </pt>
                <pt idx="5">
                  <v>2240.2</v>
                </pt>
                <pt idx="6">
                  <v>2420.9</v>
                </pt>
                <pt idx="7">
                  <v>2675.4</v>
                </pt>
                <pt idx="8">
                  <v>3118.9</v>
                </pt>
                <pt idx="9">
                  <v>3239.5</v>
                </pt>
                <pt idx="10">
                  <v>3033.6</v>
                </pt>
                <pt idx="11">
                  <v>3034.1</v>
                </pt>
                <pt idx="12">
                  <v>3135.3</v>
                </pt>
                <pt idx="13">
                  <v>3219.9</v>
                </pt>
                <pt idx="14">
                  <v>2913</v>
                </pt>
                <pt idx="15">
                  <v>2698.5</v>
                </pt>
                <pt idx="16">
                  <v>2738</v>
                </pt>
                <pt idx="17">
                  <v>2401</v>
                </pt>
                <pt idx="18">
                  <v>2517.9</v>
                </pt>
                <pt idx="19">
                  <v>2421.8</v>
                </pt>
                <pt idx="20">
                  <v>2500.1</v>
                </pt>
                <pt idx="21">
                  <v>2026.8</v>
                </pt>
                <pt idx="22">
                  <v>2102.5</v>
                </pt>
                <pt idx="23">
                  <v>1952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Food</a:t>
            </a:r>
            <a:r>
              <a:rPr lang="en-US" baseline="0"/>
              <a:t xml:space="preserve"> Waste Recycling Trend</a:t>
            </a:r>
            <a:r>
              <a:rPr lang="en-US"/>
              <a:t>l (kg)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areaChart>
        <grouping val="stacked"/>
        <varyColors val="0"/>
        <ser>
          <idx val="0"/>
          <order val="0"/>
          <tx>
            <strRef>
              <f>'Raw Food Data (KG)'!$Q$1</f>
              <strCache>
                <ptCount val="1"/>
                <pt idx="0">
                  <v>Total (kg)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'Raw Food Data (KG)'!$A$2:$A$91</f>
              <numCache>
                <formatCode>[$-409]mmm\-yy;@</formatCode>
                <ptCount val="90"/>
                <pt idx="0">
                  <v>42644</v>
                </pt>
                <pt idx="1">
                  <v>42675</v>
                </pt>
                <pt idx="2">
                  <v>42705</v>
                </pt>
                <pt idx="3">
                  <v>42736</v>
                </pt>
                <pt idx="4">
                  <v>42767</v>
                </pt>
                <pt idx="5">
                  <v>42795</v>
                </pt>
                <pt idx="6">
                  <v>42826</v>
                </pt>
                <pt idx="7">
                  <v>42856</v>
                </pt>
                <pt idx="8">
                  <v>42887</v>
                </pt>
                <pt idx="9">
                  <v>42917</v>
                </pt>
                <pt idx="10">
                  <v>42948</v>
                </pt>
                <pt idx="11">
                  <v>42979</v>
                </pt>
                <pt idx="12">
                  <v>43009</v>
                </pt>
                <pt idx="13">
                  <v>43040</v>
                </pt>
                <pt idx="14">
                  <v>43070</v>
                </pt>
                <pt idx="15">
                  <v>43101</v>
                </pt>
                <pt idx="16">
                  <v>43132</v>
                </pt>
                <pt idx="17">
                  <v>43160</v>
                </pt>
                <pt idx="18">
                  <v>43191</v>
                </pt>
                <pt idx="19">
                  <v>43221</v>
                </pt>
                <pt idx="20">
                  <v>43252</v>
                </pt>
                <pt idx="21">
                  <v>43282</v>
                </pt>
                <pt idx="22">
                  <v>43313</v>
                </pt>
                <pt idx="23">
                  <v>43344</v>
                </pt>
                <pt idx="24">
                  <v>43374</v>
                </pt>
                <pt idx="25">
                  <v>43405</v>
                </pt>
                <pt idx="26">
                  <v>43435</v>
                </pt>
                <pt idx="27">
                  <v>43466</v>
                </pt>
                <pt idx="28">
                  <v>43497</v>
                </pt>
                <pt idx="29">
                  <v>43525</v>
                </pt>
                <pt idx="30">
                  <v>43556</v>
                </pt>
                <pt idx="31">
                  <v>43586</v>
                </pt>
                <pt idx="32">
                  <v>43617</v>
                </pt>
                <pt idx="33">
                  <v>43647</v>
                </pt>
                <pt idx="34">
                  <v>43678</v>
                </pt>
                <pt idx="35">
                  <v>43709</v>
                </pt>
                <pt idx="36">
                  <v>43739</v>
                </pt>
                <pt idx="37">
                  <v>43770</v>
                </pt>
                <pt idx="38">
                  <v>43800</v>
                </pt>
                <pt idx="39">
                  <v>43831</v>
                </pt>
                <pt idx="40">
                  <v>43862</v>
                </pt>
                <pt idx="41">
                  <v>43891</v>
                </pt>
                <pt idx="42">
                  <v>43922</v>
                </pt>
                <pt idx="43">
                  <v>43952</v>
                </pt>
                <pt idx="44">
                  <v>43983</v>
                </pt>
                <pt idx="45">
                  <v>44013</v>
                </pt>
                <pt idx="46">
                  <v>44044</v>
                </pt>
                <pt idx="47">
                  <v>44075</v>
                </pt>
                <pt idx="48">
                  <v>44105</v>
                </pt>
                <pt idx="49">
                  <v>44136</v>
                </pt>
                <pt idx="50">
                  <v>44166</v>
                </pt>
                <pt idx="51">
                  <v>44197</v>
                </pt>
                <pt idx="52">
                  <v>44228</v>
                </pt>
                <pt idx="53">
                  <v>44256</v>
                </pt>
                <pt idx="54">
                  <v>44287</v>
                </pt>
                <pt idx="55">
                  <v>44317</v>
                </pt>
                <pt idx="56">
                  <v>44348</v>
                </pt>
                <pt idx="57">
                  <v>44378</v>
                </pt>
                <pt idx="58">
                  <v>44409</v>
                </pt>
                <pt idx="59">
                  <v>44440</v>
                </pt>
                <pt idx="60">
                  <v>44470</v>
                </pt>
                <pt idx="61">
                  <v>44501</v>
                </pt>
                <pt idx="62">
                  <v>44531</v>
                </pt>
                <pt idx="63">
                  <v>44562</v>
                </pt>
                <pt idx="64">
                  <v>44593</v>
                </pt>
                <pt idx="65">
                  <v>44621</v>
                </pt>
                <pt idx="66">
                  <v>44652</v>
                </pt>
                <pt idx="67">
                  <v>44682</v>
                </pt>
                <pt idx="68">
                  <v>44713</v>
                </pt>
                <pt idx="69">
                  <v>44743</v>
                </pt>
                <pt idx="70">
                  <v>44774</v>
                </pt>
                <pt idx="71">
                  <v>44805</v>
                </pt>
                <pt idx="72">
                  <v>44835</v>
                </pt>
                <pt idx="73">
                  <v>44866</v>
                </pt>
                <pt idx="74">
                  <v>44896</v>
                </pt>
                <pt idx="75">
                  <v>44927</v>
                </pt>
                <pt idx="76">
                  <v>44958</v>
                </pt>
                <pt idx="77">
                  <v>44986</v>
                </pt>
                <pt idx="78">
                  <v>45017</v>
                </pt>
                <pt idx="79">
                  <v>45047</v>
                </pt>
                <pt idx="80">
                  <v>45078</v>
                </pt>
                <pt idx="81">
                  <v>45108</v>
                </pt>
                <pt idx="82">
                  <v>45139</v>
                </pt>
                <pt idx="83">
                  <v>45192</v>
                </pt>
                <pt idx="84">
                  <v>45222</v>
                </pt>
                <pt idx="85">
                  <v>45253</v>
                </pt>
                <pt idx="86">
                  <v>45283</v>
                </pt>
                <pt idx="87">
                  <v>45314</v>
                </pt>
                <pt idx="88">
                  <v>45345</v>
                </pt>
                <pt idx="89">
                  <v>45374</v>
                </pt>
              </numCache>
            </numRef>
          </cat>
          <val>
            <numRef>
              <f>'Raw Food Data (KG)'!$Q$2:$Q$91</f>
              <numCache>
                <formatCode>#,##0.00</formatCode>
                <ptCount val="90"/>
                <pt idx="0">
                  <v>21800</v>
                </pt>
                <pt idx="1">
                  <v>19250</v>
                </pt>
                <pt idx="2">
                  <v>16900</v>
                </pt>
                <pt idx="3">
                  <v>13750</v>
                </pt>
                <pt idx="4">
                  <v>18825</v>
                </pt>
                <pt idx="5">
                  <v>21975</v>
                </pt>
                <pt idx="6">
                  <v>18850</v>
                </pt>
                <pt idx="7">
                  <v>20275</v>
                </pt>
                <pt idx="8">
                  <v>21025</v>
                </pt>
                <pt idx="9">
                  <v>13275</v>
                </pt>
                <pt idx="10">
                  <v>15525</v>
                </pt>
                <pt idx="11">
                  <v>25050</v>
                </pt>
                <pt idx="12">
                  <v>25175</v>
                </pt>
                <pt idx="13">
                  <v>30100</v>
                </pt>
                <pt idx="14">
                  <v>30200</v>
                </pt>
                <pt idx="15">
                  <v>27975</v>
                </pt>
                <pt idx="16">
                  <v>21825</v>
                </pt>
                <pt idx="17">
                  <v>25300</v>
                </pt>
                <pt idx="18">
                  <v>25225</v>
                </pt>
                <pt idx="19">
                  <v>37200</v>
                </pt>
                <pt idx="20">
                  <v>27900</v>
                </pt>
                <pt idx="21">
                  <v>25675</v>
                </pt>
                <pt idx="22">
                  <v>16633.9</v>
                </pt>
                <pt idx="23">
                  <v>18194.05</v>
                </pt>
                <pt idx="24">
                  <v>26058</v>
                </pt>
                <pt idx="25">
                  <v>28892.5</v>
                </pt>
                <pt idx="26">
                  <v>24534.5</v>
                </pt>
                <pt idx="27">
                  <v>21757.5</v>
                </pt>
                <pt idx="28">
                  <v>24584.5</v>
                </pt>
                <pt idx="29">
                  <v>30930.5</v>
                </pt>
                <pt idx="30">
                  <v>32534.5</v>
                </pt>
                <pt idx="31">
                  <v>31664</v>
                </pt>
                <pt idx="32">
                  <v>23162.5</v>
                </pt>
                <pt idx="33">
                  <v>19566</v>
                </pt>
                <pt idx="34">
                  <v>24598</v>
                </pt>
                <pt idx="35">
                  <v>34879.5</v>
                </pt>
                <pt idx="36">
                  <v>37724</v>
                </pt>
                <pt idx="37">
                  <v>27265.5</v>
                </pt>
                <pt idx="38">
                  <v>28071.5</v>
                </pt>
                <pt idx="39">
                  <v>23781.5</v>
                </pt>
                <pt idx="40">
                  <v>11633.5</v>
                </pt>
                <pt idx="41">
                  <v>13782.5</v>
                </pt>
                <pt idx="42">
                  <v>11779</v>
                </pt>
                <pt idx="43">
                  <v>15765</v>
                </pt>
                <pt idx="44">
                  <v>20002</v>
                </pt>
                <pt idx="45">
                  <v>24809</v>
                </pt>
                <pt idx="46">
                  <v>23143</v>
                </pt>
                <pt idx="47">
                  <v>28611</v>
                </pt>
                <pt idx="48">
                  <v>31009</v>
                </pt>
                <pt idx="49">
                  <v>34289</v>
                </pt>
                <pt idx="50">
                  <v>33360</v>
                </pt>
                <pt idx="51">
                  <v>33517</v>
                </pt>
                <pt idx="52">
                  <v>29468</v>
                </pt>
                <pt idx="53">
                  <v>35447</v>
                </pt>
                <pt idx="54">
                  <v>43497</v>
                </pt>
                <pt idx="55">
                  <v>40188</v>
                </pt>
                <pt idx="56">
                  <v>35583</v>
                </pt>
                <pt idx="57">
                  <v>36437</v>
                </pt>
                <pt idx="58">
                  <v>33584</v>
                </pt>
                <pt idx="59">
                  <v>35376</v>
                </pt>
                <pt idx="60">
                  <v>45400</v>
                </pt>
                <pt idx="61">
                  <v>42665</v>
                </pt>
                <pt idx="62">
                  <v>41338</v>
                </pt>
                <pt idx="63">
                  <v>33071</v>
                </pt>
                <pt idx="64">
                  <v>24947</v>
                </pt>
                <pt idx="65">
                  <v>22091</v>
                </pt>
                <pt idx="66">
                  <v>24586.6</v>
                </pt>
                <pt idx="67">
                  <v>27462</v>
                </pt>
                <pt idx="68">
                  <v>22866</v>
                </pt>
                <pt idx="69">
                  <v>25176</v>
                </pt>
                <pt idx="70">
                  <v>26660</v>
                </pt>
                <pt idx="71">
                  <v>35619</v>
                </pt>
                <pt idx="72">
                  <v>39851</v>
                </pt>
                <pt idx="73">
                  <v>42228</v>
                </pt>
                <pt idx="74">
                  <v>44338</v>
                </pt>
                <pt idx="75">
                  <v>34407</v>
                </pt>
                <pt idx="76">
                  <v>28553</v>
                </pt>
                <pt idx="77">
                  <v>35187</v>
                </pt>
                <pt idx="78">
                  <v>39810.5</v>
                </pt>
                <pt idx="79">
                  <v>39784</v>
                </pt>
                <pt idx="80">
                  <v>40149.6</v>
                </pt>
                <pt idx="81">
                  <v>23296.5</v>
                </pt>
                <pt idx="82">
                  <v>28190.5</v>
                </pt>
                <pt idx="83">
                  <v>30387</v>
                </pt>
                <pt idx="84">
                  <v>30156.5</v>
                </pt>
                <pt idx="85">
                  <v>42615.9</v>
                </pt>
                <pt idx="86">
                  <v>35693.3</v>
                </pt>
                <pt idx="87">
                  <v>29377.9</v>
                </pt>
                <pt idx="88">
                  <v>35652.6</v>
                </pt>
                <pt idx="89">
                  <v>43510.8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SUST</author>
    <author>tc={4E314518-B4EA-144A-B2AF-1CDE80C037B7}</author>
    <author>tc={13EA20FD-5826-0547-8558-2E91F0C33707}</author>
    <author>tc={1E793133-4C65-6445-8218-E97094A7D6B6}</author>
    <author>tc={F05ECE4B-2969-6A42-AA70-02FC2F966C7F}</author>
    <author>tc={E7C81AB6-8B8F-D349-A1B3-97ABC48480B0}</author>
    <author>tc={A8B5FC4D-47AD-6744-8B0F-68CCC59E403C}</author>
    <author>tc={EA27A9C4-1CFF-DF49-A330-EF756325CEFC}</author>
    <author>tc={58851594-216E-0C4F-A4CE-6A75F27A6A44}</author>
    <author>tc={E676DAE1-8B92-E444-8E49-F7FDE71E4963}</author>
    <author>tc={02BC4A65-D9B0-8E4D-8375-AC4400CA076A}</author>
    <author>tc={E940BA26-BD25-084A-B075-57C671CF7D3A}</author>
    <author>tc={2E0DB3E0-D2B1-A248-A167-74D3D86A69A2}</author>
    <author>tc={3E2FABC6-5229-9F46-8604-41A2EDB9263E}</author>
    <author>tc={8D9E8BF0-9664-B343-9C5B-0AD1528B561A}</author>
    <author>tc={DB5A8E93-33ED-C042-B183-0C2C4D940F19}</author>
    <author>tc={98346250-71E5-A448-905D-FE9C4C37F75E}</author>
    <author>tc={7C331265-08D7-D447-9567-02408AB2E96B}</author>
    <author>tc={107D3DEA-3713-2E4C-9FB7-4347D5826B36}</author>
    <author>tc={54AB0716-F408-A640-A7D6-29DB532F4CFB}</author>
    <author>tc={6D1BAD2F-3A84-534E-AE6B-B019717CADF4}</author>
    <author>tc={A80C6BFE-B6BA-E040-90FA-4B0B7A237987}</author>
    <author>tc={092FE75B-11C6-6944-82D1-A0237AE3B272}</author>
    <author>tc={08FDCECD-5034-984F-B371-85E1BEB510AA}</author>
    <author>tc={CF21930E-08D3-3A43-A9E6-3009AEEBD239}</author>
    <author>tc={DBB11659-E52C-8A48-88F5-6F8F8D7BD44C}</author>
    <author>tc={5340B439-4669-C544-AB67-5C333DE98B95}</author>
    <author>tc={30BE03FE-4892-CA46-A538-CF42EC536013}</author>
    <author>tc={32943604-CCEF-EF44-9A7D-8F00B3AC8F59}</author>
    <author>tc={496E0B1E-077B-8741-A9CE-B7548DFBDDF2}</author>
    <author>tc={37503934-6FA6-EC40-9D85-39CEC4AE6E94}</author>
    <author>tc={411D276A-290E-C44C-B7BF-6E320C99F8D8}</author>
    <author>tc={5AAAEC42-6E04-F34D-9AEF-282CFCC0D960}</author>
    <author>tc={F96E8E3B-3A68-5D42-A496-80EB27951260}</author>
    <author>tc={0978D730-8509-704D-8D66-B809C0FEAC70}</author>
    <author>tc={EE7A3A6F-1578-EE46-A274-BACF2E9F0F41}</author>
    <author>tc={293CCB56-703F-3440-9CF1-DBA273E70020}</author>
    <author>tc={A056EC00-9A6B-A949-9934-F4FD9AE2DB45}</author>
    <author>tc={9770B87E-9726-C14D-A738-CDCEAC493A84}</author>
    <author>tc={DC664FD2-734D-B046-92E6-905833CBE5E7}</author>
    <author>tc={13E10DB9-4D1C-C847-B1D8-04C5625F951A}</author>
    <author>tc={11CCAEEF-6C2C-7F4F-BF8A-2E9D9EFC7CE4}</author>
    <author>Lily Li</author>
  </authors>
  <commentList>
    <comment ref="B1" authorId="0" shapeId="0">
      <text>
        <t>SUST:
From Nixon monthly report</t>
      </text>
    </comment>
    <comment ref="C1" authorId="0" shapeId="0">
      <text>
        <t>SUST:
From Nixon monthly report</t>
      </text>
    </comment>
    <comment ref="E1" authorId="0" shapeId="0">
      <text>
        <t xml:space="preserve">SUST:
From Nixon monthly report
</t>
      </text>
    </comment>
    <comment ref="F1" authorId="0" shapeId="0">
      <text>
        <t xml:space="preserve">SUST:
From Nixon monthly report
</t>
      </text>
    </comment>
    <comment ref="G1" authorId="0" shapeId="0">
      <text>
        <t>SUST:
From Nixon monthly</t>
      </text>
    </comment>
    <comment ref="H1" authorId="0" shapeId="0">
      <text>
        <t>SUST:
From Nixon monthly
report</t>
      </text>
    </comment>
    <comment ref="I1" authorId="0" shapeId="0">
      <text>
        <t>SUST:
Contact Nixon</t>
      </text>
    </comment>
    <comment ref="K1" authorId="0" shapeId="0">
      <text>
        <t>SUST:
From Hong Kong Glass Resoucres email
sometimes it's 0 since they collect on request basis from CMO</t>
      </text>
    </comment>
    <comment ref="L1" authorId="0" shapeId="0">
      <text>
        <t>SUST:From Friend of Earth email</t>
      </text>
    </comment>
    <comment ref="M1" authorId="0" shapeId="0">
      <text>
        <t>SUST:
From physical receipt that send to Teri</t>
      </text>
    </comment>
    <comment ref="N1" authorId="0" shapeId="0">
      <text>
        <t>SUST:
From physical receipt that send to Teri</t>
      </text>
    </comment>
    <comment ref="O1" authorId="0" shapeId="0">
      <text>
        <t>SUST:
From Nixon monthly
report</t>
      </text>
    </comment>
    <comment ref="P1" authorId="0" shapeId="0">
      <text>
        <t>SUST:
from Nixon monthly report</t>
      </text>
    </comment>
    <comment ref="Q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Expressed in PIECES. There is no estimated weight per piece value in other Excel Workbooks.
Reply:
    This value will be EXCLUDED in the “Others” category in Monthly recycling from months including and before June 2020</t>
      </text>
    </comment>
    <comment ref="R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expressed in pieces. Multiplied by a factor of 0.34kg per piece and rounded off.</t>
      </text>
    </comment>
    <comment ref="S1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expressed in pieces. Multiplied by a factor of 0.13kg per piece and rounded off.</t>
      </text>
    </comment>
    <comment ref="T1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expressed in pieces. Multiplied by a factor of 0.15kg per piece and rounded off.</t>
      </text>
    </comment>
    <comment ref="U1" authorId="0" shapeId="0">
      <text>
        <t>SUST:
From CMO Ricky (Alba data)</t>
      </text>
    </comment>
    <comment ref="V1" authorId="0" shapeId="0">
      <text>
        <t>SUST:
From Ricky Ng (CMO)</t>
      </text>
    </comment>
    <comment ref="X1" authorId="0" shapeId="0">
      <text>
        <t>SUST:
From CMO</t>
      </text>
    </comment>
    <comment ref="Z1" authorId="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From Nixon
</t>
      </text>
    </comment>
    <comment ref="Z111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available</t>
      </text>
    </comment>
    <comment ref="Z113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available</t>
      </text>
    </comment>
    <comment ref="Z115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available</t>
      </text>
    </comment>
    <comment ref="I116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updated to match actual receipts</t>
      </text>
    </comment>
    <comment ref="I118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updated to match actual receipts</t>
      </text>
    </comment>
    <comment ref="I119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updated to match actual receipts</t>
      </text>
    </comment>
    <comment ref="I120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updated to match actual receipts</t>
      </text>
    </comment>
    <comment ref="M120" authorId="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800</t>
      </text>
    </comment>
    <comment ref="N120" authorId="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400</t>
      </text>
    </comment>
    <comment ref="Z120" authorId="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available</t>
      </text>
    </comment>
    <comment ref="I121" authorId="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updated to match actual receipts</t>
      </text>
    </comment>
    <comment ref="M121" authorId="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800</t>
      </text>
    </comment>
    <comment ref="N121" authorId="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400</t>
      </text>
    </comment>
    <comment ref="B126" authorId="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62kg from e-waste sent to landfill by Huaden</t>
      </text>
    </comment>
    <comment ref="U126" authorId="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additional printer monitor collection by Huaden
Reply:
    Only 391 diverted included. 62 sent to landfill added to trash
Reply:
    How should I cite the data from this cell? Should I list it as 391kg in the monthly recycling tab?</t>
      </text>
    </comment>
    <comment ref="B127" authorId="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Huaden e-waste disposed to landfill</t>
      </text>
    </comment>
    <comment ref="U127" authorId="2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Huaden only. Need to add Alba
</t>
      </text>
    </comment>
    <comment ref="B128" authorId="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E-Waste to landfill added</t>
      </text>
    </comment>
    <comment ref="U128" authorId="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Alba added</t>
      </text>
    </comment>
    <comment ref="B129" authorId="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E-Waste to landfill added</t>
      </text>
    </comment>
    <comment ref="U129" authorId="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Alba added</t>
      </text>
    </comment>
    <comment ref="B130" authorId="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E-Waste to landfill added</t>
      </text>
    </comment>
    <comment ref="U130" authorId="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Alba added</t>
      </text>
    </comment>
    <comment ref="B131" authorId="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E-waste to landfill added</t>
      </text>
    </comment>
    <comment ref="U131" authorId="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Alba added</t>
      </text>
    </comment>
    <comment ref="B132" authorId="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E-waste collection this month</t>
      </text>
    </comment>
    <comment ref="U132" authorId="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Alba added</t>
      </text>
    </comment>
    <comment ref="B133" authorId="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E-waste to landfill added</t>
      </text>
    </comment>
    <comment ref="U133" authorId="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Alba added</t>
      </text>
    </comment>
    <comment ref="B134" authorId="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E-waste to landfill added</t>
      </text>
    </comment>
    <comment ref="U134" authorId="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Alba added</t>
      </text>
    </comment>
    <comment ref="B135" authorId="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E-waste to landfill added</t>
      </text>
    </comment>
    <comment ref="U135" authorId="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Alba added</t>
      </text>
    </comment>
    <comment ref="B136" authorId="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E-waste to landfill added</t>
      </text>
    </comment>
    <comment ref="U136" authorId="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Alba added</t>
      </text>
    </comment>
    <comment ref="Z136" authorId="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Vacant since terminated contract with Mil Mill</t>
      </text>
    </comment>
    <comment ref="N148" authorId="42" shapeId="0">
      <text>
        <t>Lily Li:
should be 400?</t>
      </text>
    </comment>
    <comment ref="M150" authorId="42" shapeId="0">
      <text>
        <t>Lily Li:
Should be 800?</t>
      </text>
    </comment>
    <comment ref="N150" authorId="42" shapeId="0">
      <text>
        <t>Lily Li:
Should be 400?</t>
      </text>
    </comment>
  </commentList>
</comments>
</file>

<file path=xl/comments/comment2.xml><?xml version="1.0" encoding="utf-8"?>
<comments xmlns="http://schemas.openxmlformats.org/spreadsheetml/2006/main">
  <authors>
    <author>tc={725D30C6-9444-CF41-B822-EFB209E01AA5}</author>
    <author>tc={B0E438D4-21EE-E840-8141-AC7155466BE4}</author>
    <author>tc={4A33CE36-34DA-FF4E-B845-DFCA4E1EEAD8}</author>
    <author>tc={2D2465AB-0639-0E4E-93D9-3EC91B5A5664}</author>
    <author>tc={FF7A9722-DD1F-CA4A-8EC3-3D9F5A93CB5E}</author>
    <author>tc={82CA7D4D-798C-C14D-8E74-72968E6AA4C8}</author>
  </authors>
  <commentList>
    <comment ref="E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(starting July 23)</t>
      </text>
    </comment>
    <comment ref="L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(starting July 2023)</t>
      </text>
    </comment>
    <comment ref="P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Junior and regular staff quarters</t>
      </text>
    </comment>
    <comment ref="C82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to reflect actual</t>
      </text>
    </comment>
    <comment ref="F82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to reflect actual</t>
      </text>
    </comment>
    <comment ref="O82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to reflect actual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drawing1.xml><?xml version="1.0" encoding="utf-8"?>
<wsDr xmlns="http://schemas.openxmlformats.org/drawingml/2006/spreadsheetDrawing">
  <twoCellAnchor>
    <from>
      <col>34</col>
      <colOff>75596</colOff>
      <row>43</row>
      <rowOff>102001</rowOff>
    </from>
    <to>
      <col>39</col>
      <colOff>680962</colOff>
      <row>60</row>
      <rowOff>144939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34</col>
      <colOff>25709</colOff>
      <row>156</row>
      <rowOff>38099</rowOff>
    </from>
    <to>
      <col>49</col>
      <colOff>272143</colOff>
      <row>187</row>
      <rowOff>123976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34</col>
      <colOff>66675</colOff>
      <row>82</row>
      <rowOff>66675</rowOff>
    </from>
    <to>
      <col>42</col>
      <colOff>133350</colOff>
      <row>106</row>
      <rowOff>104775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4</col>
      <colOff>36461</colOff>
      <row>127</row>
      <rowOff>167500</rowOff>
    </from>
    <to>
      <col>17</col>
      <colOff>262538</colOff>
      <row>150</row>
      <rowOff>180613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18</col>
      <colOff>162566</colOff>
      <row>12</row>
      <rowOff>169435</rowOff>
    </from>
    <to>
      <col>29</col>
      <colOff>144470</colOff>
      <row>47</row>
      <rowOff>170365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32"/>
  <sheetViews>
    <sheetView tabSelected="1" zoomScale="40" workbookViewId="0">
      <pane xSplit="1" ySplit="1" topLeftCell="B74" activePane="bottomRight" state="frozen"/>
      <selection pane="topRight" activeCell="B1" sqref="B1"/>
      <selection pane="bottomLeft" activeCell="A2" sqref="A2"/>
      <selection pane="bottomRight" activeCell="W4761" sqref="W4761"/>
    </sheetView>
  </sheetViews>
  <sheetFormatPr baseColWidth="10" defaultColWidth="10.6640625" defaultRowHeight="16"/>
  <cols>
    <col width="11.1640625" bestFit="1" customWidth="1" style="61" min="1" max="1"/>
    <col width="15.6640625" customWidth="1" style="675" min="2" max="4"/>
    <col width="20.6640625" customWidth="1" style="675" min="5" max="5"/>
    <col width="15.6640625" customWidth="1" style="675" min="6" max="9"/>
    <col hidden="1" width="13.1640625" customWidth="1" style="675" min="10" max="10"/>
    <col width="15.6640625" customWidth="1" style="675" min="11" max="12"/>
    <col width="13.6640625" bestFit="1" customWidth="1" style="675" min="13" max="13"/>
    <col width="15.5" customWidth="1" style="675" min="14" max="14"/>
    <col width="14.33203125" customWidth="1" style="675" min="15" max="15"/>
    <col width="13.1640625" customWidth="1" style="675" min="16" max="16"/>
    <col hidden="1" width="15.6640625" customWidth="1" style="675" min="17" max="17"/>
    <col hidden="1" width="18.33203125" customWidth="1" style="675" min="18" max="20"/>
    <col width="15.6640625" customWidth="1" style="675" min="21" max="23"/>
    <col width="12.33203125" bestFit="1" customWidth="1" style="675" min="24" max="24"/>
    <col width="13" customWidth="1" style="675" min="25" max="25"/>
    <col width="13.33203125" customWidth="1" style="675" min="26" max="26"/>
    <col width="13.1640625" bestFit="1" customWidth="1" style="676" min="27" max="27"/>
    <col width="16" bestFit="1" customWidth="1" style="675" min="28" max="28"/>
    <col width="13.1640625" bestFit="1" customWidth="1" style="675" min="29" max="29"/>
    <col width="15.1640625" bestFit="1" customWidth="1" style="675" min="30" max="31"/>
    <col width="15" bestFit="1" customWidth="1" style="675" min="32" max="32"/>
    <col width="10.6640625" customWidth="1" style="676" min="33" max="33"/>
    <col width="12.6640625" bestFit="1" customWidth="1" style="676" min="34" max="34"/>
    <col width="14.33203125" bestFit="1" customWidth="1" style="675" min="35" max="35"/>
    <col width="13.6640625" bestFit="1" customWidth="1" style="675" min="36" max="36"/>
    <col width="16.5" customWidth="1" style="675" min="37" max="37"/>
    <col width="13.6640625" bestFit="1" customWidth="1" style="674" min="38" max="38"/>
    <col width="14.6640625" bestFit="1" customWidth="1" style="674" min="39" max="41"/>
    <col width="16.1640625" bestFit="1" customWidth="1" style="674" min="42" max="43"/>
    <col width="14" bestFit="1" customWidth="1" style="674" min="44" max="44"/>
    <col width="10.6640625" customWidth="1" style="674" min="45" max="16384"/>
  </cols>
  <sheetData>
    <row r="1" ht="68" customFormat="1" customHeight="1" s="672">
      <c r="A1" s="58" t="n"/>
      <c r="B1" s="677" t="inlineStr">
        <is>
          <t>Trash</t>
        </is>
      </c>
      <c r="C1" s="677" t="inlineStr">
        <is>
          <t>Yellow Skip</t>
        </is>
      </c>
      <c r="D1" s="677" t="inlineStr">
        <is>
          <t>Paper (LG7/SSID)</t>
        </is>
      </c>
      <c r="E1" s="677" t="inlineStr">
        <is>
          <t>Paper (corrugated containers+office paper+ newspapers)</t>
        </is>
      </c>
      <c r="F1" s="677" t="inlineStr">
        <is>
          <t>Metal (Aluminium)</t>
        </is>
      </c>
      <c r="G1" s="677" t="inlineStr">
        <is>
          <t>Metal Skip (Metal)</t>
        </is>
      </c>
      <c r="H1" s="677" t="inlineStr">
        <is>
          <t>Plastic (waste plastic bottles + plastic bag)</t>
        </is>
      </c>
      <c r="I1" s="677" t="inlineStr">
        <is>
          <t>Expanded Polystyrene</t>
        </is>
      </c>
      <c r="J1" s="678" t="inlineStr">
        <is>
          <t>CD @0.154kg</t>
        </is>
      </c>
      <c r="K1" s="677" t="inlineStr">
        <is>
          <t>Glass</t>
        </is>
      </c>
      <c r="L1" s="677" t="inlineStr">
        <is>
          <t>Clothes</t>
        </is>
      </c>
      <c r="M1" s="678" t="inlineStr">
        <is>
          <t>Fluorescent Tube @ 0.3kg</t>
        </is>
      </c>
      <c r="N1" s="65" t="inlineStr">
        <is>
          <t>Lamp @ 0.07kg</t>
        </is>
      </c>
      <c r="O1" s="678" t="inlineStr">
        <is>
          <t>Rechargeable Battery</t>
        </is>
      </c>
      <c r="P1" s="678" t="inlineStr">
        <is>
          <t>Toner</t>
        </is>
      </c>
      <c r="Q1" s="678" t="inlineStr">
        <is>
          <t>Ink Cartridge (expressed in PIECES)</t>
        </is>
      </c>
      <c r="R1" s="679" t="inlineStr">
        <is>
          <t>Electronic Ballast (2x32W) @0.34kg</t>
        </is>
      </c>
      <c r="S1" s="679" t="inlineStr">
        <is>
          <t>Electronic Ballast (2x36W) @0.13</t>
        </is>
      </c>
      <c r="T1" s="679" t="inlineStr">
        <is>
          <t>Electronic Ballast (1x36W) @0.15</t>
        </is>
      </c>
      <c r="U1" s="677" t="inlineStr">
        <is>
          <t>Electrical Appliance</t>
        </is>
      </c>
      <c r="V1" s="677" t="inlineStr">
        <is>
          <t>Wood</t>
        </is>
      </c>
      <c r="W1" s="677" t="inlineStr">
        <is>
          <t>Food Waste (Contractor)</t>
        </is>
      </c>
      <c r="X1" s="677" t="inlineStr">
        <is>
          <t>Animal Bedding</t>
        </is>
      </c>
      <c r="Y1" s="677" t="inlineStr">
        <is>
          <t>Landscape</t>
        </is>
      </c>
      <c r="Z1" s="677" t="inlineStr">
        <is>
          <t>Tetra Packs</t>
        </is>
      </c>
      <c r="AA1" s="680" t="inlineStr">
        <is>
          <t xml:space="preserve">Monthly Total of Waste to Landfill </t>
        </is>
      </c>
      <c r="AB1" s="680" t="inlineStr">
        <is>
          <t xml:space="preserve">Waste to Landfill 12 month rolling sum </t>
        </is>
      </c>
      <c r="AC1" s="680" t="inlineStr">
        <is>
          <t>Waste to Landfill 12 month rolling average</t>
        </is>
      </c>
      <c r="AD1" s="680" t="inlineStr">
        <is>
          <t>Monthly Total of Recycling</t>
        </is>
      </c>
      <c r="AE1" s="680" t="inlineStr">
        <is>
          <t xml:space="preserve">Recycling 12 month rolling sum </t>
        </is>
      </c>
      <c r="AF1" s="680" t="inlineStr">
        <is>
          <t>Recycling 12 month rolling average</t>
        </is>
      </c>
      <c r="AG1" s="680" t="n"/>
      <c r="AH1" s="680" t="inlineStr">
        <is>
          <t>Total Waste Generate</t>
        </is>
      </c>
      <c r="AI1" s="680" t="inlineStr">
        <is>
          <t>Total Waste (12month rolling sum)</t>
        </is>
      </c>
      <c r="AJ1" s="681" t="n"/>
      <c r="AK1" s="681" t="n"/>
    </row>
    <row r="2">
      <c r="A2" s="682" t="n">
        <v>41456</v>
      </c>
      <c r="B2" s="683" t="n">
        <v>282100</v>
      </c>
      <c r="C2" s="683" t="n"/>
      <c r="D2" s="684" t="n">
        <v>2000</v>
      </c>
      <c r="E2" s="683">
        <f>5120</f>
        <v/>
      </c>
      <c r="F2" s="683" t="n">
        <v>108</v>
      </c>
      <c r="G2" s="683" t="n"/>
      <c r="H2" s="683" t="n">
        <v>240</v>
      </c>
      <c r="I2" s="683" t="n"/>
      <c r="J2" s="685" t="n">
        <v>3.25</v>
      </c>
      <c r="K2" s="683" t="n"/>
      <c r="L2" s="683" t="n"/>
      <c r="M2" s="685" t="n">
        <v>217</v>
      </c>
      <c r="N2" s="685" t="n">
        <v>23</v>
      </c>
      <c r="O2" s="686" t="inlineStr">
        <is>
          <t>-</t>
        </is>
      </c>
      <c r="P2" s="686">
        <f>0.67*172</f>
        <v/>
      </c>
      <c r="Q2" s="685" t="n">
        <v>0</v>
      </c>
      <c r="R2" s="686" t="n"/>
      <c r="S2" s="686" t="n"/>
      <c r="T2" s="686" t="n"/>
      <c r="U2" s="683" t="n"/>
      <c r="V2" s="683" t="n"/>
      <c r="W2" s="687" t="n"/>
      <c r="X2" s="683" t="n"/>
      <c r="Y2" s="683" t="n"/>
      <c r="Z2" s="688" t="n"/>
      <c r="AA2" s="676">
        <f>SUM(B2:C2)</f>
        <v/>
      </c>
      <c r="AD2" s="675">
        <f>SUM(D2:Z2)</f>
        <v/>
      </c>
    </row>
    <row r="3">
      <c r="A3" s="689" t="n">
        <v>41487</v>
      </c>
      <c r="B3" s="690" t="n">
        <v>282100</v>
      </c>
      <c r="C3" s="690" t="n"/>
      <c r="D3" s="691" t="n">
        <v>2000</v>
      </c>
      <c r="E3" s="690">
        <f>4100</f>
        <v/>
      </c>
      <c r="F3" s="690" t="n">
        <v>300</v>
      </c>
      <c r="G3" s="690" t="n"/>
      <c r="H3" s="690" t="n">
        <v>250</v>
      </c>
      <c r="I3" s="690" t="n"/>
      <c r="J3" s="685" t="n">
        <v>1.16</v>
      </c>
      <c r="K3" s="690" t="n"/>
      <c r="L3" s="690" t="n"/>
      <c r="M3" s="685" t="n">
        <v>203</v>
      </c>
      <c r="N3" s="685" t="n">
        <v>22</v>
      </c>
      <c r="O3" s="686" t="inlineStr">
        <is>
          <t>-</t>
        </is>
      </c>
      <c r="P3" s="686">
        <f>0.67*177</f>
        <v/>
      </c>
      <c r="Q3" s="685" t="n">
        <v>0</v>
      </c>
      <c r="R3" s="686" t="n"/>
      <c r="S3" s="686" t="n"/>
      <c r="T3" s="686" t="n"/>
      <c r="U3" s="690" t="n"/>
      <c r="V3" s="690" t="n"/>
      <c r="W3" s="687" t="n"/>
      <c r="X3" s="690" t="n"/>
      <c r="Y3" s="690" t="n"/>
      <c r="Z3" s="692" t="n"/>
      <c r="AA3" s="676">
        <f>SUM(B3:C3)</f>
        <v/>
      </c>
      <c r="AD3" s="675">
        <f>SUM(D3:Z3)</f>
        <v/>
      </c>
    </row>
    <row r="4">
      <c r="A4" s="689" t="n">
        <v>41518</v>
      </c>
      <c r="B4" s="690" t="n">
        <v>273000.0000000001</v>
      </c>
      <c r="C4" s="690" t="n"/>
      <c r="D4" s="691" t="n">
        <v>2000</v>
      </c>
      <c r="E4" s="690">
        <f>4900</f>
        <v/>
      </c>
      <c r="F4" s="690" t="n">
        <v>320</v>
      </c>
      <c r="G4" s="690" t="n"/>
      <c r="H4" s="690" t="n">
        <v>310</v>
      </c>
      <c r="I4" s="690" t="n"/>
      <c r="J4" s="685" t="n">
        <v>0.696</v>
      </c>
      <c r="K4" s="690" t="n"/>
      <c r="L4" s="690" t="n"/>
      <c r="M4" s="685" t="n">
        <v>223</v>
      </c>
      <c r="N4" s="685" t="n">
        <v>24</v>
      </c>
      <c r="O4" s="686" t="inlineStr">
        <is>
          <t>-</t>
        </is>
      </c>
      <c r="P4" s="686">
        <f>0.67*134</f>
        <v/>
      </c>
      <c r="Q4" s="685" t="n">
        <v>58</v>
      </c>
      <c r="R4" s="686" t="n"/>
      <c r="S4" s="686" t="n"/>
      <c r="T4" s="686" t="n"/>
      <c r="U4" s="690" t="n"/>
      <c r="V4" s="690" t="n"/>
      <c r="W4" s="687" t="n"/>
      <c r="X4" s="690" t="n"/>
      <c r="Y4" s="690" t="n"/>
      <c r="Z4" s="692" t="n"/>
      <c r="AA4" s="676">
        <f>SUM(B4:C4)</f>
        <v/>
      </c>
      <c r="AD4" s="675">
        <f>SUM(D4:Z4)</f>
        <v/>
      </c>
      <c r="AL4" s="139" t="n"/>
    </row>
    <row r="5">
      <c r="A5" s="689" t="n">
        <v>41548</v>
      </c>
      <c r="B5" s="690" t="n">
        <v>282100</v>
      </c>
      <c r="C5" s="690" t="n"/>
      <c r="D5" s="691" t="n">
        <v>2000</v>
      </c>
      <c r="E5" s="690">
        <f>4700</f>
        <v/>
      </c>
      <c r="F5" s="690" t="n">
        <v>150</v>
      </c>
      <c r="G5" s="690" t="n"/>
      <c r="H5" s="690" t="n">
        <v>440</v>
      </c>
      <c r="I5" s="690" t="n"/>
      <c r="J5" s="685" t="n">
        <v>0.155</v>
      </c>
      <c r="K5" s="690" t="n"/>
      <c r="L5" s="690" t="n"/>
      <c r="M5" s="685" t="n">
        <v>400</v>
      </c>
      <c r="N5" s="685" t="n">
        <v>200</v>
      </c>
      <c r="O5" s="686" t="inlineStr">
        <is>
          <t>-</t>
        </is>
      </c>
      <c r="P5" s="686">
        <f>0.67*221</f>
        <v/>
      </c>
      <c r="Q5" s="685" t="n">
        <v>0</v>
      </c>
      <c r="R5" s="686" t="n"/>
      <c r="S5" s="686" t="n"/>
      <c r="T5" s="686" t="n"/>
      <c r="U5" s="690" t="n"/>
      <c r="V5" s="690" t="n"/>
      <c r="W5" s="687" t="n"/>
      <c r="X5" s="690" t="n"/>
      <c r="Y5" s="690" t="n"/>
      <c r="Z5" s="692" t="n"/>
      <c r="AA5" s="676">
        <f>SUM(B5:C5)</f>
        <v/>
      </c>
      <c r="AD5" s="675">
        <f>SUM(D5:Z5)</f>
        <v/>
      </c>
      <c r="AL5" s="139" t="n"/>
      <c r="AM5" s="139" t="n"/>
      <c r="AN5" s="139" t="n"/>
    </row>
    <row r="6">
      <c r="A6" s="689" t="n">
        <v>41579</v>
      </c>
      <c r="B6" s="690" t="n">
        <v>273000.0000000001</v>
      </c>
      <c r="C6" s="690" t="n"/>
      <c r="D6" s="691" t="n">
        <v>2000</v>
      </c>
      <c r="E6" s="690">
        <f>4450</f>
        <v/>
      </c>
      <c r="F6" s="690" t="n">
        <v>11</v>
      </c>
      <c r="G6" s="690" t="n"/>
      <c r="H6" s="690" t="n">
        <v>570</v>
      </c>
      <c r="I6" s="690" t="n"/>
      <c r="J6" s="685" t="n">
        <v>2.413</v>
      </c>
      <c r="K6" s="690" t="n"/>
      <c r="L6" s="690" t="n"/>
      <c r="M6" s="685" t="n">
        <v>800</v>
      </c>
      <c r="N6" s="685" t="n">
        <v>400</v>
      </c>
      <c r="O6" s="686" t="inlineStr">
        <is>
          <t>-</t>
        </is>
      </c>
      <c r="P6" s="686">
        <f>0.67*142</f>
        <v/>
      </c>
      <c r="Q6" s="685" t="n">
        <v>8</v>
      </c>
      <c r="R6" s="686" t="n"/>
      <c r="S6" s="686" t="n"/>
      <c r="T6" s="686" t="n"/>
      <c r="U6" s="690" t="n"/>
      <c r="V6" s="690" t="n"/>
      <c r="W6" s="687" t="n"/>
      <c r="X6" s="690" t="n"/>
      <c r="Y6" s="690" t="n"/>
      <c r="Z6" s="692" t="n"/>
      <c r="AA6" s="676">
        <f>SUM(B6:C6)</f>
        <v/>
      </c>
      <c r="AD6" s="675">
        <f>SUM(D6:Z6)</f>
        <v/>
      </c>
      <c r="AL6" s="139" t="n"/>
      <c r="AM6" s="139" t="n"/>
      <c r="AN6" s="139" t="n"/>
    </row>
    <row r="7">
      <c r="A7" s="689" t="n">
        <v>41609</v>
      </c>
      <c r="B7" s="690" t="n">
        <v>282100</v>
      </c>
      <c r="C7" s="690" t="n"/>
      <c r="D7" s="691" t="n">
        <v>2000</v>
      </c>
      <c r="E7" s="690">
        <f>4150</f>
        <v/>
      </c>
      <c r="F7" s="690" t="n">
        <v>90</v>
      </c>
      <c r="G7" s="690" t="n"/>
      <c r="H7" s="690" t="n">
        <v>600</v>
      </c>
      <c r="I7" s="690" t="n"/>
      <c r="J7" s="685" t="n">
        <v>1.748</v>
      </c>
      <c r="K7" s="690" t="n"/>
      <c r="L7" s="690" t="n"/>
      <c r="M7" s="685" t="n">
        <v>600</v>
      </c>
      <c r="N7" s="685" t="n">
        <v>400</v>
      </c>
      <c r="O7" s="686">
        <f>0.05*68</f>
        <v/>
      </c>
      <c r="P7" s="686">
        <f>0.67*112</f>
        <v/>
      </c>
      <c r="Q7" s="685" t="n">
        <v>46</v>
      </c>
      <c r="R7" s="686" t="n"/>
      <c r="S7" s="686" t="n"/>
      <c r="T7" s="686" t="n"/>
      <c r="U7" s="690" t="n"/>
      <c r="V7" s="690" t="n"/>
      <c r="W7" s="687" t="n"/>
      <c r="X7" s="690" t="n"/>
      <c r="Y7" s="690" t="n"/>
      <c r="Z7" s="692" t="n"/>
      <c r="AA7" s="676">
        <f>SUM(B7:C7)</f>
        <v/>
      </c>
      <c r="AD7" s="675">
        <f>SUM(D7:Z7)</f>
        <v/>
      </c>
      <c r="AL7" s="139" t="n"/>
      <c r="AM7" s="139" t="n"/>
      <c r="AN7" s="139" t="n"/>
    </row>
    <row r="8">
      <c r="A8" s="689" t="n">
        <v>41640</v>
      </c>
      <c r="B8" s="690" t="n">
        <v>282100</v>
      </c>
      <c r="C8" s="690" t="n"/>
      <c r="D8" s="691" t="n">
        <v>2000</v>
      </c>
      <c r="E8" s="690">
        <f>4360</f>
        <v/>
      </c>
      <c r="F8" s="690" t="n">
        <v>70</v>
      </c>
      <c r="G8" s="690" t="n"/>
      <c r="H8" s="690" t="n">
        <v>520</v>
      </c>
      <c r="I8" s="690" t="n"/>
      <c r="J8" s="685" t="n">
        <v>1.779</v>
      </c>
      <c r="K8" s="690" t="n"/>
      <c r="L8" s="690" t="n"/>
      <c r="M8" s="685" t="n">
        <v>600</v>
      </c>
      <c r="N8" s="685" t="n">
        <v>200</v>
      </c>
      <c r="O8" s="686" t="inlineStr">
        <is>
          <t>-</t>
        </is>
      </c>
      <c r="P8" s="686">
        <f>0.67*95</f>
        <v/>
      </c>
      <c r="Q8" s="685" t="n">
        <v>0</v>
      </c>
      <c r="R8" s="686" t="n"/>
      <c r="S8" s="686" t="n"/>
      <c r="T8" s="686" t="n"/>
      <c r="U8" s="690" t="n"/>
      <c r="V8" s="690" t="n"/>
      <c r="W8" s="687" t="n"/>
      <c r="X8" s="690" t="n"/>
      <c r="Y8" s="690" t="n"/>
      <c r="Z8" s="692" t="n"/>
      <c r="AA8" s="676">
        <f>SUM(B8:C8)</f>
        <v/>
      </c>
      <c r="AD8" s="675">
        <f>SUM(D8:Z8)</f>
        <v/>
      </c>
      <c r="AL8" s="139" t="n"/>
      <c r="AM8" s="139" t="n"/>
      <c r="AN8" s="139" t="n"/>
    </row>
    <row r="9">
      <c r="A9" s="689" t="n">
        <v>41671</v>
      </c>
      <c r="B9" s="690" t="n">
        <v>254800</v>
      </c>
      <c r="C9" s="690" t="n"/>
      <c r="D9" s="691" t="n">
        <v>2000</v>
      </c>
      <c r="E9" s="690">
        <f>4400</f>
        <v/>
      </c>
      <c r="F9" s="690" t="n">
        <v>200</v>
      </c>
      <c r="G9" s="690" t="n"/>
      <c r="H9" s="690" t="n">
        <v>410</v>
      </c>
      <c r="I9" s="690" t="n"/>
      <c r="J9" s="685" t="n">
        <v>3.604</v>
      </c>
      <c r="K9" s="690" t="n"/>
      <c r="L9" s="690" t="n"/>
      <c r="M9" s="685" t="n">
        <v>800</v>
      </c>
      <c r="N9" s="685" t="n">
        <v>200</v>
      </c>
      <c r="O9" s="686" t="inlineStr">
        <is>
          <t>-</t>
        </is>
      </c>
      <c r="P9" s="686">
        <f>0.67*154</f>
        <v/>
      </c>
      <c r="Q9" s="685" t="n">
        <v>0</v>
      </c>
      <c r="R9" s="686" t="n"/>
      <c r="S9" s="686" t="n"/>
      <c r="T9" s="686" t="n"/>
      <c r="U9" s="690" t="n"/>
      <c r="V9" s="690" t="n"/>
      <c r="W9" s="687" t="n"/>
      <c r="X9" s="690" t="n"/>
      <c r="Y9" s="690" t="n"/>
      <c r="Z9" s="692" t="n"/>
      <c r="AA9" s="676">
        <f>SUM(B9:C9)</f>
        <v/>
      </c>
      <c r="AD9" s="675">
        <f>SUM(D9:Z9)</f>
        <v/>
      </c>
      <c r="AL9" s="139" t="n"/>
      <c r="AM9" s="139" t="n"/>
      <c r="AN9" s="139" t="n"/>
    </row>
    <row r="10">
      <c r="A10" s="689" t="n">
        <v>41699</v>
      </c>
      <c r="B10" s="690" t="n">
        <v>282100</v>
      </c>
      <c r="C10" s="690" t="n"/>
      <c r="D10" s="691" t="n">
        <v>2000</v>
      </c>
      <c r="E10" s="690">
        <f>4800</f>
        <v/>
      </c>
      <c r="F10" s="690" t="n">
        <v>150</v>
      </c>
      <c r="G10" s="690" t="n"/>
      <c r="H10" s="690" t="n">
        <v>390</v>
      </c>
      <c r="I10" s="690" t="n"/>
      <c r="J10" s="685" t="n">
        <v>0.263</v>
      </c>
      <c r="K10" s="690" t="n"/>
      <c r="L10" s="690" t="n"/>
      <c r="M10" s="685" t="n">
        <v>800</v>
      </c>
      <c r="N10" s="685" t="n">
        <v>400</v>
      </c>
      <c r="O10" s="686" t="inlineStr">
        <is>
          <t>-</t>
        </is>
      </c>
      <c r="P10" s="686">
        <f>0.67*170</f>
        <v/>
      </c>
      <c r="Q10" s="685" t="n">
        <v>0</v>
      </c>
      <c r="R10" s="686" t="n"/>
      <c r="S10" s="686" t="n"/>
      <c r="T10" s="686" t="n"/>
      <c r="U10" s="690" t="n"/>
      <c r="V10" s="690" t="n"/>
      <c r="W10" s="687" t="n"/>
      <c r="X10" s="690" t="n"/>
      <c r="Y10" s="690" t="n"/>
      <c r="Z10" s="692" t="n"/>
      <c r="AA10" s="676">
        <f>SUM(B10:C10)</f>
        <v/>
      </c>
      <c r="AD10" s="675">
        <f>SUM(D10:Z10)</f>
        <v/>
      </c>
      <c r="AL10" s="139" t="n"/>
      <c r="AM10" s="139" t="n"/>
      <c r="AN10" s="139" t="n"/>
    </row>
    <row r="11">
      <c r="A11" s="689" t="n">
        <v>41730</v>
      </c>
      <c r="B11" s="690" t="n">
        <v>273000.0000000001</v>
      </c>
      <c r="C11" s="690" t="n"/>
      <c r="D11" s="691" t="n">
        <v>2000</v>
      </c>
      <c r="E11" s="690">
        <f>4620</f>
        <v/>
      </c>
      <c r="F11" s="690" t="n">
        <v>110</v>
      </c>
      <c r="G11" s="690" t="n"/>
      <c r="H11" s="690" t="n">
        <v>510</v>
      </c>
      <c r="I11" s="690" t="n"/>
      <c r="J11" s="685" t="n">
        <v>8.398999999999999</v>
      </c>
      <c r="K11" s="690" t="n"/>
      <c r="L11" s="690" t="n"/>
      <c r="M11" s="685" t="n">
        <v>800</v>
      </c>
      <c r="N11" s="685" t="n">
        <v>400</v>
      </c>
      <c r="O11" s="686" t="inlineStr">
        <is>
          <t>-</t>
        </is>
      </c>
      <c r="P11" s="686">
        <f>0.67*174</f>
        <v/>
      </c>
      <c r="Q11" s="685" t="n">
        <v>0</v>
      </c>
      <c r="R11" s="686" t="n"/>
      <c r="S11" s="686" t="n"/>
      <c r="T11" s="686" t="n"/>
      <c r="U11" s="690" t="n"/>
      <c r="V11" s="690" t="n"/>
      <c r="W11" s="687" t="n"/>
      <c r="X11" s="690" t="n"/>
      <c r="Y11" s="690" t="n"/>
      <c r="Z11" s="692" t="n"/>
      <c r="AA11" s="676">
        <f>SUM(B11:C11)</f>
        <v/>
      </c>
      <c r="AD11" s="675">
        <f>SUM(D11:Z11)</f>
        <v/>
      </c>
      <c r="AL11" s="139" t="n"/>
      <c r="AM11" s="139" t="n"/>
      <c r="AN11" s="139" t="n"/>
    </row>
    <row r="12">
      <c r="A12" s="689" t="n">
        <v>41760</v>
      </c>
      <c r="B12" s="690" t="n">
        <v>282100</v>
      </c>
      <c r="C12" s="690" t="n"/>
      <c r="D12" s="691" t="n">
        <v>2000</v>
      </c>
      <c r="E12" s="690">
        <f>4900</f>
        <v/>
      </c>
      <c r="F12" s="690" t="n">
        <v>350</v>
      </c>
      <c r="G12" s="690" t="n"/>
      <c r="H12" s="690" t="n">
        <v>470</v>
      </c>
      <c r="I12" s="690" t="n"/>
      <c r="J12" s="685" t="n">
        <v>22.335</v>
      </c>
      <c r="K12" s="690" t="n"/>
      <c r="L12" s="690" t="n"/>
      <c r="M12" s="685" t="n">
        <v>800</v>
      </c>
      <c r="N12" s="685" t="n">
        <v>400</v>
      </c>
      <c r="O12" s="686" t="inlineStr">
        <is>
          <t>-</t>
        </is>
      </c>
      <c r="P12" s="686">
        <f>0.67*120</f>
        <v/>
      </c>
      <c r="Q12" s="685" t="n">
        <v>30</v>
      </c>
      <c r="R12" s="686" t="n"/>
      <c r="S12" s="686" t="n"/>
      <c r="T12" s="686" t="n"/>
      <c r="U12" s="690" t="n"/>
      <c r="V12" s="690" t="n"/>
      <c r="W12" s="687" t="n"/>
      <c r="X12" s="690" t="n"/>
      <c r="Y12" s="690" t="n"/>
      <c r="Z12" s="692" t="n"/>
      <c r="AA12" s="676">
        <f>SUM(B12:C12)</f>
        <v/>
      </c>
      <c r="AD12" s="675">
        <f>SUM(D12:Z12)</f>
        <v/>
      </c>
      <c r="AL12" s="139" t="n"/>
      <c r="AM12" s="139" t="n"/>
      <c r="AN12" s="139" t="n"/>
    </row>
    <row r="13">
      <c r="A13" s="689" t="n">
        <v>41791</v>
      </c>
      <c r="B13" s="690" t="n">
        <v>273000.0000000001</v>
      </c>
      <c r="C13" s="690" t="n"/>
      <c r="D13" s="691" t="n">
        <v>2000</v>
      </c>
      <c r="E13" s="690">
        <f>4700</f>
        <v/>
      </c>
      <c r="F13" s="690" t="n">
        <v>450</v>
      </c>
      <c r="G13" s="690" t="n"/>
      <c r="H13" s="690" t="n">
        <v>400</v>
      </c>
      <c r="I13" s="690" t="n"/>
      <c r="J13" s="685" t="n">
        <v>14.836</v>
      </c>
      <c r="K13" s="690" t="n"/>
      <c r="L13" s="690" t="n"/>
      <c r="M13" s="685" t="n">
        <v>800</v>
      </c>
      <c r="N13" s="685" t="n">
        <v>400</v>
      </c>
      <c r="O13" s="686" t="inlineStr">
        <is>
          <t>-</t>
        </is>
      </c>
      <c r="P13" s="686">
        <f>0.67*112</f>
        <v/>
      </c>
      <c r="Q13" s="685" t="n">
        <v>0</v>
      </c>
      <c r="R13" s="686" t="n"/>
      <c r="S13" s="686" t="n"/>
      <c r="T13" s="686" t="n"/>
      <c r="U13" s="690" t="n"/>
      <c r="V13" s="690" t="n"/>
      <c r="W13" s="687" t="n"/>
      <c r="X13" s="690" t="n"/>
      <c r="Y13" s="690" t="n"/>
      <c r="Z13" s="692" t="n"/>
      <c r="AA13" s="676">
        <f>SUM(B13:C13)</f>
        <v/>
      </c>
      <c r="AB13" s="675">
        <f>SUM(AA2:AA13)</f>
        <v/>
      </c>
      <c r="AC13" s="675">
        <f>AB13/12</f>
        <v/>
      </c>
      <c r="AD13" s="675">
        <f>SUM(D13:Z13)</f>
        <v/>
      </c>
      <c r="AE13" s="675">
        <f>SUM(AD2:AD13)</f>
        <v/>
      </c>
      <c r="AF13" s="675">
        <f>AE13/12</f>
        <v/>
      </c>
      <c r="AH13" s="693">
        <f>AB13+AE13</f>
        <v/>
      </c>
      <c r="AL13" s="139" t="n"/>
      <c r="AM13" s="139" t="n"/>
      <c r="AN13" s="139" t="n"/>
    </row>
    <row r="14">
      <c r="A14" s="689" t="n">
        <v>41821</v>
      </c>
      <c r="B14" s="687" t="n">
        <v>282100</v>
      </c>
      <c r="C14" s="687" t="n"/>
      <c r="D14" s="694" t="n">
        <v>2000</v>
      </c>
      <c r="E14" s="687">
        <f>4520</f>
        <v/>
      </c>
      <c r="F14" s="687" t="n">
        <v>150</v>
      </c>
      <c r="G14" s="687" t="n"/>
      <c r="H14" s="687" t="n">
        <v>370</v>
      </c>
      <c r="I14" s="687" t="n"/>
      <c r="J14" s="695" t="n">
        <v>27.087</v>
      </c>
      <c r="K14" s="687" t="n"/>
      <c r="L14" s="687" t="n"/>
      <c r="M14" s="695" t="n">
        <v>1000</v>
      </c>
      <c r="N14" s="695" t="n">
        <v>600</v>
      </c>
      <c r="O14" s="696" t="inlineStr">
        <is>
          <t>-</t>
        </is>
      </c>
      <c r="P14" s="696">
        <f>0.67*114</f>
        <v/>
      </c>
      <c r="Q14" s="695" t="n">
        <v>0</v>
      </c>
      <c r="R14" s="696" t="n"/>
      <c r="S14" s="696" t="n"/>
      <c r="T14" s="696" t="n"/>
      <c r="U14" s="687" t="n"/>
      <c r="V14" s="687" t="n"/>
      <c r="W14" s="687" t="n"/>
      <c r="X14" s="687" t="n"/>
      <c r="Y14" s="687" t="n"/>
      <c r="Z14" s="697" t="n"/>
      <c r="AA14" s="676">
        <f>SUM(B14:C14)</f>
        <v/>
      </c>
      <c r="AB14" s="675">
        <f>SUM(AA3:AA14)</f>
        <v/>
      </c>
      <c r="AC14" s="675">
        <f>AB14/12</f>
        <v/>
      </c>
      <c r="AD14" s="675">
        <f>SUM(D14:Z14)</f>
        <v/>
      </c>
      <c r="AE14" s="675">
        <f>SUM(AD3:AD14)</f>
        <v/>
      </c>
      <c r="AF14" s="675">
        <f>AE14/12</f>
        <v/>
      </c>
      <c r="AL14" s="139" t="n"/>
      <c r="AM14" s="139" t="n"/>
      <c r="AN14" s="139" t="n"/>
    </row>
    <row r="15">
      <c r="A15" s="689" t="n">
        <v>41852</v>
      </c>
      <c r="B15" s="687" t="n">
        <v>282100</v>
      </c>
      <c r="C15" s="687" t="n"/>
      <c r="D15" s="694" t="n">
        <v>2000</v>
      </c>
      <c r="E15" s="687">
        <f>4610</f>
        <v/>
      </c>
      <c r="F15" s="687" t="n">
        <v>140</v>
      </c>
      <c r="G15" s="687" t="n"/>
      <c r="H15" s="687" t="n">
        <v>400</v>
      </c>
      <c r="I15" s="687" t="n"/>
      <c r="J15" s="695" t="n">
        <v>16.097</v>
      </c>
      <c r="K15" s="687" t="n">
        <v>626</v>
      </c>
      <c r="L15" s="687" t="n"/>
      <c r="M15" s="695" t="n">
        <v>800</v>
      </c>
      <c r="N15" s="695" t="n">
        <v>400</v>
      </c>
      <c r="O15" s="696" t="inlineStr">
        <is>
          <t>-</t>
        </is>
      </c>
      <c r="P15" s="696">
        <f>0.67*86</f>
        <v/>
      </c>
      <c r="Q15" s="695" t="n">
        <v>0</v>
      </c>
      <c r="R15" s="696" t="n"/>
      <c r="S15" s="696" t="n"/>
      <c r="T15" s="696" t="n"/>
      <c r="U15" s="687" t="n"/>
      <c r="V15" s="687" t="n"/>
      <c r="W15" s="687" t="n"/>
      <c r="X15" s="687" t="n"/>
      <c r="Y15" s="687" t="n"/>
      <c r="Z15" s="697" t="n"/>
      <c r="AA15" s="676">
        <f>SUM(B15:C15)</f>
        <v/>
      </c>
      <c r="AB15" s="675">
        <f>SUM(AA4:AA15)</f>
        <v/>
      </c>
      <c r="AC15" s="675">
        <f>AB15/12</f>
        <v/>
      </c>
      <c r="AD15" s="675">
        <f>SUM(D15:Z15)</f>
        <v/>
      </c>
      <c r="AE15" s="675">
        <f>SUM(AD4:AD15)</f>
        <v/>
      </c>
      <c r="AF15" s="675">
        <f>AE15/12</f>
        <v/>
      </c>
    </row>
    <row r="16">
      <c r="A16" s="689" t="n">
        <v>41883</v>
      </c>
      <c r="B16" s="687" t="n">
        <v>273000.0000000001</v>
      </c>
      <c r="C16" s="687" t="n"/>
      <c r="D16" s="694" t="n">
        <v>2000</v>
      </c>
      <c r="E16" s="687">
        <f>4500</f>
        <v/>
      </c>
      <c r="F16" s="687" t="n">
        <v>350</v>
      </c>
      <c r="G16" s="687" t="n"/>
      <c r="H16" s="687" t="n">
        <v>390</v>
      </c>
      <c r="I16" s="687" t="n"/>
      <c r="J16" s="695" t="n">
        <v>4.022</v>
      </c>
      <c r="K16" s="687" t="n">
        <v>827</v>
      </c>
      <c r="L16" s="687" t="n"/>
      <c r="M16" s="695" t="n">
        <v>800</v>
      </c>
      <c r="N16" s="695" t="n">
        <v>400</v>
      </c>
      <c r="O16" s="696" t="inlineStr">
        <is>
          <t>-</t>
        </is>
      </c>
      <c r="P16" s="696">
        <f>0.67*139</f>
        <v/>
      </c>
      <c r="Q16" s="695" t="n">
        <v>0</v>
      </c>
      <c r="R16" s="696" t="n"/>
      <c r="S16" s="696" t="n"/>
      <c r="T16" s="696" t="n"/>
      <c r="U16" s="687" t="n"/>
      <c r="V16" s="687" t="n"/>
      <c r="W16" s="687" t="n"/>
      <c r="X16" s="687" t="n"/>
      <c r="Y16" s="687" t="n"/>
      <c r="Z16" s="697" t="n"/>
      <c r="AA16" s="676">
        <f>SUM(B16:C16)</f>
        <v/>
      </c>
      <c r="AB16" s="675">
        <f>SUM(AA5:AA16)</f>
        <v/>
      </c>
      <c r="AC16" s="675">
        <f>AB16/12</f>
        <v/>
      </c>
      <c r="AD16" s="675">
        <f>SUM(D16:Z16)</f>
        <v/>
      </c>
      <c r="AE16" s="675">
        <f>SUM(AD5:AD16)</f>
        <v/>
      </c>
      <c r="AF16" s="675">
        <f>AE16/12</f>
        <v/>
      </c>
    </row>
    <row r="17">
      <c r="A17" s="689" t="n">
        <v>41913</v>
      </c>
      <c r="B17" s="687" t="n">
        <v>282100</v>
      </c>
      <c r="C17" s="687" t="n"/>
      <c r="D17" s="694" t="n">
        <v>2000</v>
      </c>
      <c r="E17" s="687">
        <f>4100</f>
        <v/>
      </c>
      <c r="F17" s="687" t="n">
        <v>90</v>
      </c>
      <c r="G17" s="687" t="n"/>
      <c r="H17" s="687" t="n">
        <v>420</v>
      </c>
      <c r="I17" s="687" t="n"/>
      <c r="J17" s="695" t="n">
        <v>0.526</v>
      </c>
      <c r="K17" s="687" t="n">
        <v>728</v>
      </c>
      <c r="L17" s="687" t="n">
        <v>0</v>
      </c>
      <c r="M17" s="695" t="n">
        <v>800</v>
      </c>
      <c r="N17" s="695" t="n">
        <v>400</v>
      </c>
      <c r="O17" s="696" t="inlineStr">
        <is>
          <t>-</t>
        </is>
      </c>
      <c r="P17" s="696">
        <f>0.67*100</f>
        <v/>
      </c>
      <c r="Q17" s="695" t="n">
        <v>25</v>
      </c>
      <c r="R17" s="696" t="n"/>
      <c r="S17" s="696" t="n"/>
      <c r="T17" s="696" t="n"/>
      <c r="U17" s="687" t="n"/>
      <c r="V17" s="687" t="n"/>
      <c r="W17" s="687" t="n"/>
      <c r="X17" s="687" t="n"/>
      <c r="Y17" s="687" t="n"/>
      <c r="Z17" s="697" t="n"/>
      <c r="AA17" s="676">
        <f>SUM(B17:C17)</f>
        <v/>
      </c>
      <c r="AB17" s="675">
        <f>SUM(AA6:AA17)</f>
        <v/>
      </c>
      <c r="AC17" s="675">
        <f>AB17/12</f>
        <v/>
      </c>
      <c r="AD17" s="675">
        <f>SUM(D17:Z17)</f>
        <v/>
      </c>
      <c r="AE17" s="675">
        <f>SUM(AD6:AD17)</f>
        <v/>
      </c>
      <c r="AF17" s="675">
        <f>AE17/12</f>
        <v/>
      </c>
    </row>
    <row r="18">
      <c r="A18" s="689" t="n">
        <v>41944</v>
      </c>
      <c r="B18" s="687" t="n">
        <v>273000.0000000001</v>
      </c>
      <c r="C18" s="687" t="n"/>
      <c r="D18" s="694" t="n">
        <v>2000</v>
      </c>
      <c r="E18" s="687">
        <f>4900</f>
        <v/>
      </c>
      <c r="F18" s="687" t="n">
        <v>110</v>
      </c>
      <c r="G18" s="687" t="n"/>
      <c r="H18" s="687" t="n">
        <v>390</v>
      </c>
      <c r="I18" s="687" t="n"/>
      <c r="J18" s="695" t="n">
        <v>2.475</v>
      </c>
      <c r="K18" s="687" t="n">
        <v>1653</v>
      </c>
      <c r="L18" s="687" t="n">
        <v>0</v>
      </c>
      <c r="M18" s="695" t="n">
        <v>800</v>
      </c>
      <c r="N18" s="695" t="n">
        <v>400</v>
      </c>
      <c r="O18" s="696" t="inlineStr">
        <is>
          <t>-</t>
        </is>
      </c>
      <c r="P18" s="696">
        <f>0.67*100</f>
        <v/>
      </c>
      <c r="Q18" s="695" t="n">
        <v>0</v>
      </c>
      <c r="R18" s="696" t="n"/>
      <c r="S18" s="696" t="n"/>
      <c r="T18" s="696" t="n"/>
      <c r="U18" s="687" t="n"/>
      <c r="V18" s="687" t="n"/>
      <c r="W18" s="687" t="n"/>
      <c r="X18" s="687" t="n"/>
      <c r="Y18" s="687" t="n"/>
      <c r="Z18" s="697" t="n"/>
      <c r="AA18" s="676">
        <f>SUM(B18:C18)</f>
        <v/>
      </c>
      <c r="AB18" s="675">
        <f>SUM(AA7:AA18)</f>
        <v/>
      </c>
      <c r="AC18" s="675">
        <f>AB18/12</f>
        <v/>
      </c>
      <c r="AD18" s="675">
        <f>SUM(D18:Z18)</f>
        <v/>
      </c>
      <c r="AE18" s="675">
        <f>SUM(AD7:AD18)</f>
        <v/>
      </c>
      <c r="AF18" s="675">
        <f>AE18/12</f>
        <v/>
      </c>
    </row>
    <row r="19">
      <c r="A19" s="689" t="n">
        <v>41974</v>
      </c>
      <c r="B19" s="687" t="n">
        <v>282100</v>
      </c>
      <c r="C19" s="687" t="n"/>
      <c r="D19" s="694" t="n">
        <v>2000</v>
      </c>
      <c r="E19" s="687">
        <f>4750</f>
        <v/>
      </c>
      <c r="F19" s="687" t="n">
        <v>100</v>
      </c>
      <c r="G19" s="687" t="n"/>
      <c r="H19" s="687" t="n">
        <v>420</v>
      </c>
      <c r="I19" s="687" t="n"/>
      <c r="J19" s="695" t="n">
        <v>2.521</v>
      </c>
      <c r="K19" s="687" t="n">
        <v>875</v>
      </c>
      <c r="L19" s="687" t="n">
        <v>160</v>
      </c>
      <c r="M19" s="695" t="n">
        <v>1000</v>
      </c>
      <c r="N19" s="695" t="n">
        <v>400</v>
      </c>
      <c r="O19" s="696">
        <f>0.05*117</f>
        <v/>
      </c>
      <c r="P19" s="696">
        <f>0.67*93</f>
        <v/>
      </c>
      <c r="Q19" s="695" t="n">
        <v>0</v>
      </c>
      <c r="R19" s="696" t="n"/>
      <c r="S19" s="696" t="n"/>
      <c r="T19" s="696" t="n"/>
      <c r="U19" s="687" t="n"/>
      <c r="V19" s="687" t="n"/>
      <c r="W19" s="687" t="n"/>
      <c r="X19" s="687" t="n"/>
      <c r="Y19" s="687" t="n"/>
      <c r="Z19" s="697" t="n"/>
      <c r="AA19" s="676">
        <f>SUM(B19:C19)</f>
        <v/>
      </c>
      <c r="AB19" s="675">
        <f>SUM(AA8:AA19)</f>
        <v/>
      </c>
      <c r="AC19" s="675">
        <f>AB19/12</f>
        <v/>
      </c>
      <c r="AD19" s="675">
        <f>SUM(D19:Z19)</f>
        <v/>
      </c>
      <c r="AE19" s="675">
        <f>SUM(AD8:AD19)</f>
        <v/>
      </c>
      <c r="AF19" s="675">
        <f>AE19/12</f>
        <v/>
      </c>
    </row>
    <row r="20">
      <c r="A20" s="689" t="n">
        <v>42005</v>
      </c>
      <c r="B20" s="687" t="n">
        <v>282100</v>
      </c>
      <c r="C20" s="687" t="n"/>
      <c r="D20" s="694" t="n">
        <v>2000</v>
      </c>
      <c r="E20" s="687">
        <f>4640</f>
        <v/>
      </c>
      <c r="F20" s="687" t="n">
        <v>370</v>
      </c>
      <c r="G20" s="687" t="n"/>
      <c r="H20" s="687" t="n">
        <v>390</v>
      </c>
      <c r="I20" s="687" t="n"/>
      <c r="J20" s="695" t="n">
        <v>4.687</v>
      </c>
      <c r="K20" s="687" t="n">
        <v>870</v>
      </c>
      <c r="L20" s="687" t="n">
        <v>70</v>
      </c>
      <c r="M20" s="695" t="n">
        <v>800</v>
      </c>
      <c r="N20" s="695" t="n">
        <v>400</v>
      </c>
      <c r="O20" s="696" t="inlineStr">
        <is>
          <t>-</t>
        </is>
      </c>
      <c r="P20" s="696">
        <f>0.67*146</f>
        <v/>
      </c>
      <c r="Q20" s="695" t="n">
        <v>0</v>
      </c>
      <c r="R20" s="696" t="n"/>
      <c r="S20" s="696" t="n"/>
      <c r="T20" s="696" t="n"/>
      <c r="U20" s="687" t="n"/>
      <c r="V20" s="687" t="n"/>
      <c r="W20" s="687" t="n"/>
      <c r="X20" s="687" t="n"/>
      <c r="Y20" s="687" t="n"/>
      <c r="Z20" s="697" t="n"/>
      <c r="AA20" s="676">
        <f>SUM(B20:C20)</f>
        <v/>
      </c>
      <c r="AB20" s="675">
        <f>SUM(AA9:AA20)</f>
        <v/>
      </c>
      <c r="AC20" s="675">
        <f>AB20/12</f>
        <v/>
      </c>
      <c r="AD20" s="675">
        <f>SUM(D20:Z20)</f>
        <v/>
      </c>
      <c r="AE20" s="675">
        <f>SUM(AD9:AD20)</f>
        <v/>
      </c>
      <c r="AF20" s="675">
        <f>AE20/12</f>
        <v/>
      </c>
    </row>
    <row r="21">
      <c r="A21" s="689" t="n">
        <v>42036</v>
      </c>
      <c r="B21" s="687" t="n">
        <v>254800</v>
      </c>
      <c r="C21" s="687" t="n"/>
      <c r="D21" s="694" t="n">
        <v>2000</v>
      </c>
      <c r="E21" s="687">
        <f>4540</f>
        <v/>
      </c>
      <c r="F21" s="687" t="n">
        <v>110</v>
      </c>
      <c r="G21" s="687" t="n"/>
      <c r="H21" s="687" t="n">
        <v>380</v>
      </c>
      <c r="I21" s="687" t="n"/>
      <c r="J21" s="695" t="n">
        <v>14.617</v>
      </c>
      <c r="K21" s="687" t="n">
        <v>856</v>
      </c>
      <c r="L21" s="687" t="n">
        <v>0</v>
      </c>
      <c r="M21" s="695" t="n">
        <v>800</v>
      </c>
      <c r="N21" s="695" t="n">
        <v>400</v>
      </c>
      <c r="O21" s="696" t="inlineStr">
        <is>
          <t>-</t>
        </is>
      </c>
      <c r="P21" s="696">
        <f>0.67*97</f>
        <v/>
      </c>
      <c r="Q21" s="695" t="n">
        <v>21</v>
      </c>
      <c r="R21" s="696" t="n"/>
      <c r="S21" s="696" t="n"/>
      <c r="T21" s="696" t="n"/>
      <c r="U21" s="687" t="n"/>
      <c r="V21" s="687" t="n"/>
      <c r="W21" s="687" t="n"/>
      <c r="X21" s="687" t="n"/>
      <c r="Y21" s="687" t="n"/>
      <c r="Z21" s="697" t="n"/>
      <c r="AA21" s="676">
        <f>SUM(B21:C21)</f>
        <v/>
      </c>
      <c r="AB21" s="675">
        <f>SUM(AA10:AA21)</f>
        <v/>
      </c>
      <c r="AC21" s="675">
        <f>AB21/12</f>
        <v/>
      </c>
      <c r="AD21" s="675">
        <f>SUM(D21:Z21)</f>
        <v/>
      </c>
      <c r="AE21" s="675">
        <f>SUM(AD10:AD21)</f>
        <v/>
      </c>
      <c r="AF21" s="675">
        <f>AE21/12</f>
        <v/>
      </c>
    </row>
    <row r="22">
      <c r="A22" s="689" t="n">
        <v>42064</v>
      </c>
      <c r="B22" s="687" t="n">
        <v>282100</v>
      </c>
      <c r="C22" s="687" t="n"/>
      <c r="D22" s="694" t="n">
        <v>2000</v>
      </c>
      <c r="E22" s="687">
        <f>4140</f>
        <v/>
      </c>
      <c r="F22" s="687" t="n">
        <v>140</v>
      </c>
      <c r="G22" s="687" t="n"/>
      <c r="H22" s="687" t="n">
        <v>410</v>
      </c>
      <c r="I22" s="687" t="n"/>
      <c r="J22" s="695" t="n">
        <v>4.378</v>
      </c>
      <c r="K22" s="687" t="n">
        <v>1953</v>
      </c>
      <c r="L22" s="687" t="n">
        <v>0</v>
      </c>
      <c r="M22" s="695" t="n">
        <v>800</v>
      </c>
      <c r="N22" s="695" t="n">
        <v>400</v>
      </c>
      <c r="O22" s="696" t="inlineStr">
        <is>
          <t>-</t>
        </is>
      </c>
      <c r="P22" s="696">
        <f>0.67*127</f>
        <v/>
      </c>
      <c r="Q22" s="695" t="n">
        <v>0</v>
      </c>
      <c r="R22" s="696" t="n"/>
      <c r="S22" s="696" t="n"/>
      <c r="T22" s="696" t="n"/>
      <c r="U22" s="687" t="n"/>
      <c r="V22" s="687" t="n"/>
      <c r="W22" s="687" t="n"/>
      <c r="X22" s="687" t="n"/>
      <c r="Y22" s="687" t="n"/>
      <c r="Z22" s="697" t="n"/>
      <c r="AA22" s="676">
        <f>SUM(B22:C22)</f>
        <v/>
      </c>
      <c r="AB22" s="675">
        <f>SUM(AA11:AA22)</f>
        <v/>
      </c>
      <c r="AC22" s="675">
        <f>AB22/12</f>
        <v/>
      </c>
      <c r="AD22" s="675">
        <f>SUM(D22:Z22)</f>
        <v/>
      </c>
      <c r="AE22" s="675">
        <f>SUM(AD11:AD22)</f>
        <v/>
      </c>
      <c r="AF22" s="675">
        <f>AE22/12</f>
        <v/>
      </c>
    </row>
    <row r="23">
      <c r="A23" s="689" t="n">
        <v>42095</v>
      </c>
      <c r="B23" s="687" t="n">
        <v>273000.0000000001</v>
      </c>
      <c r="C23" s="687" t="n"/>
      <c r="D23" s="694" t="n">
        <v>2000</v>
      </c>
      <c r="E23" s="687">
        <f>4040</f>
        <v/>
      </c>
      <c r="F23" s="687" t="n">
        <v>110</v>
      </c>
      <c r="G23" s="687" t="n"/>
      <c r="H23" s="687" t="n">
        <v>500</v>
      </c>
      <c r="I23" s="687" t="n"/>
      <c r="J23" s="695" t="n">
        <v>0.65</v>
      </c>
      <c r="K23" s="687" t="n">
        <v>1067</v>
      </c>
      <c r="L23" s="687" t="n">
        <v>240</v>
      </c>
      <c r="M23" s="695" t="n">
        <v>1000</v>
      </c>
      <c r="N23" s="695" t="n">
        <v>400</v>
      </c>
      <c r="O23" s="696" t="inlineStr">
        <is>
          <t>-</t>
        </is>
      </c>
      <c r="P23" s="696">
        <f>0.67*88</f>
        <v/>
      </c>
      <c r="Q23" s="695" t="n">
        <v>0</v>
      </c>
      <c r="R23" s="696" t="n"/>
      <c r="S23" s="696" t="n"/>
      <c r="T23" s="696" t="n"/>
      <c r="U23" s="687" t="n"/>
      <c r="V23" s="687" t="n"/>
      <c r="W23" s="687" t="n"/>
      <c r="X23" s="687" t="n"/>
      <c r="Y23" s="687" t="n"/>
      <c r="Z23" s="697" t="n"/>
      <c r="AA23" s="676">
        <f>SUM(B23:C23)</f>
        <v/>
      </c>
      <c r="AB23" s="675">
        <f>SUM(AA12:AA23)</f>
        <v/>
      </c>
      <c r="AC23" s="675">
        <f>AB23/12</f>
        <v/>
      </c>
      <c r="AD23" s="675">
        <f>SUM(D23:Z23)</f>
        <v/>
      </c>
      <c r="AE23" s="675">
        <f>SUM(AD12:AD23)</f>
        <v/>
      </c>
      <c r="AF23" s="675">
        <f>AE23/12</f>
        <v/>
      </c>
    </row>
    <row r="24">
      <c r="A24" s="689" t="n">
        <v>42125</v>
      </c>
      <c r="B24" s="687" t="n">
        <v>282100</v>
      </c>
      <c r="C24" s="687" t="n"/>
      <c r="D24" s="694" t="n">
        <v>2000</v>
      </c>
      <c r="E24" s="687">
        <f>4090</f>
        <v/>
      </c>
      <c r="F24" s="687" t="n">
        <v>550</v>
      </c>
      <c r="G24" s="687" t="n"/>
      <c r="H24" s="687" t="n">
        <v>460</v>
      </c>
      <c r="I24" s="687" t="n"/>
      <c r="J24" s="695" t="n">
        <v>3.357</v>
      </c>
      <c r="K24" s="687" t="n">
        <v>1074</v>
      </c>
      <c r="L24" s="687" t="n">
        <v>400</v>
      </c>
      <c r="M24" s="695" t="n">
        <v>800</v>
      </c>
      <c r="N24" s="695" t="n">
        <v>400</v>
      </c>
      <c r="O24" s="696" t="inlineStr">
        <is>
          <t>-</t>
        </is>
      </c>
      <c r="P24" s="696">
        <f>0.67*115</f>
        <v/>
      </c>
      <c r="Q24" s="695" t="n">
        <v>0</v>
      </c>
      <c r="R24" s="696" t="n"/>
      <c r="S24" s="696" t="n"/>
      <c r="T24" s="696" t="n"/>
      <c r="U24" s="687" t="n"/>
      <c r="V24" s="687" t="n"/>
      <c r="W24" s="687" t="n"/>
      <c r="X24" s="687" t="n"/>
      <c r="Y24" s="687" t="n"/>
      <c r="Z24" s="697" t="n"/>
      <c r="AA24" s="676">
        <f>SUM(B24:C24)</f>
        <v/>
      </c>
      <c r="AB24" s="675">
        <f>SUM(AA13:AA24)</f>
        <v/>
      </c>
      <c r="AC24" s="675">
        <f>AB24/12</f>
        <v/>
      </c>
      <c r="AD24" s="675">
        <f>SUM(D24:Z24)</f>
        <v/>
      </c>
      <c r="AE24" s="675">
        <f>SUM(AD13:AD24)</f>
        <v/>
      </c>
      <c r="AF24" s="675">
        <f>AE24/12</f>
        <v/>
      </c>
    </row>
    <row r="25">
      <c r="A25" s="689" t="n">
        <v>42156</v>
      </c>
      <c r="B25" s="687" t="n">
        <v>273000.0000000001</v>
      </c>
      <c r="C25" s="687" t="n"/>
      <c r="D25" s="694" t="n">
        <v>2000</v>
      </c>
      <c r="E25" s="687">
        <f>4000</f>
        <v/>
      </c>
      <c r="F25" s="687" t="n">
        <v>150</v>
      </c>
      <c r="G25" s="687" t="n"/>
      <c r="H25" s="687" t="n">
        <v>410</v>
      </c>
      <c r="I25" s="687" t="n"/>
      <c r="J25" s="695" t="n">
        <v>1.764</v>
      </c>
      <c r="K25" s="687" t="n">
        <v>1038</v>
      </c>
      <c r="L25" s="687" t="n">
        <v>270</v>
      </c>
      <c r="M25" s="695" t="n">
        <v>800</v>
      </c>
      <c r="N25" s="695" t="n">
        <v>400</v>
      </c>
      <c r="O25" s="696" t="inlineStr">
        <is>
          <t>-</t>
        </is>
      </c>
      <c r="P25" s="696">
        <f>0.67*138</f>
        <v/>
      </c>
      <c r="Q25" s="695" t="n">
        <v>0</v>
      </c>
      <c r="R25" s="696" t="n"/>
      <c r="S25" s="696" t="n"/>
      <c r="T25" s="696" t="n"/>
      <c r="U25" s="687" t="n"/>
      <c r="V25" s="687" t="n"/>
      <c r="W25" s="687" t="n"/>
      <c r="X25" s="687" t="n"/>
      <c r="Y25" s="687" t="n"/>
      <c r="Z25" s="697" t="n"/>
      <c r="AA25" s="676">
        <f>SUM(B25:C25)</f>
        <v/>
      </c>
      <c r="AB25" s="675">
        <f>SUM(AA14:AA25)</f>
        <v/>
      </c>
      <c r="AC25" s="675">
        <f>AB25/12</f>
        <v/>
      </c>
      <c r="AD25" s="675">
        <f>SUM(D25:Z25)</f>
        <v/>
      </c>
      <c r="AE25" s="675">
        <f>SUM(AD14:AD25)</f>
        <v/>
      </c>
      <c r="AF25" s="675">
        <f>AE25/12</f>
        <v/>
      </c>
      <c r="AH25" s="693">
        <f>AB25+AE25</f>
        <v/>
      </c>
      <c r="AI25" s="675">
        <f>AE25/AB25</f>
        <v/>
      </c>
    </row>
    <row r="26">
      <c r="A26" s="689" t="n">
        <v>42186</v>
      </c>
      <c r="B26" s="690" t="n">
        <v>231390</v>
      </c>
      <c r="C26" s="690" t="n"/>
      <c r="D26" s="691" t="n">
        <v>2000</v>
      </c>
      <c r="E26" s="690">
        <f>4150</f>
        <v/>
      </c>
      <c r="F26" s="690" t="n">
        <v>110</v>
      </c>
      <c r="G26" s="690" t="n"/>
      <c r="H26" s="690" t="n">
        <v>510</v>
      </c>
      <c r="I26" s="690" t="n"/>
      <c r="J26" s="685" t="n">
        <v>0.062</v>
      </c>
      <c r="K26" s="690" t="n">
        <v>957</v>
      </c>
      <c r="L26" s="690" t="n">
        <v>0</v>
      </c>
      <c r="M26" s="685" t="n">
        <v>1000</v>
      </c>
      <c r="N26" s="685" t="n">
        <v>600</v>
      </c>
      <c r="O26" s="686" t="inlineStr">
        <is>
          <t>-</t>
        </is>
      </c>
      <c r="P26" s="686">
        <f>0.67*155</f>
        <v/>
      </c>
      <c r="Q26" s="685" t="n">
        <v>0</v>
      </c>
      <c r="R26" s="686" t="n"/>
      <c r="S26" s="686" t="n"/>
      <c r="T26" s="686" t="n"/>
      <c r="U26" s="690" t="n"/>
      <c r="V26" s="690" t="n"/>
      <c r="W26" s="687" t="n"/>
      <c r="X26" s="690" t="n"/>
      <c r="Y26" s="690" t="n"/>
      <c r="Z26" s="692" t="n"/>
      <c r="AA26" s="676">
        <f>SUM(B26:C26)</f>
        <v/>
      </c>
      <c r="AB26" s="675">
        <f>SUM(AA15:AA26)</f>
        <v/>
      </c>
      <c r="AC26" s="675">
        <f>AB26/12</f>
        <v/>
      </c>
      <c r="AD26" s="675">
        <f>SUM(D26:Z26)</f>
        <v/>
      </c>
      <c r="AE26" s="675">
        <f>SUM(AD15:AD26)</f>
        <v/>
      </c>
      <c r="AF26" s="675">
        <f>AE26/12</f>
        <v/>
      </c>
    </row>
    <row r="27">
      <c r="A27" s="689" t="n">
        <v>42217</v>
      </c>
      <c r="B27" s="690" t="n">
        <v>281540</v>
      </c>
      <c r="C27" s="690" t="n"/>
      <c r="D27" s="691" t="n">
        <v>2000</v>
      </c>
      <c r="E27" s="690">
        <f>4020</f>
        <v/>
      </c>
      <c r="F27" s="690" t="n">
        <v>130</v>
      </c>
      <c r="G27" s="690" t="n"/>
      <c r="H27" s="690" t="n">
        <v>480</v>
      </c>
      <c r="I27" s="690" t="n"/>
      <c r="J27" s="685" t="n">
        <v>5.006</v>
      </c>
      <c r="K27" s="690" t="n">
        <v>827</v>
      </c>
      <c r="L27" s="690" t="n">
        <v>270</v>
      </c>
      <c r="M27" s="685" t="n">
        <v>800</v>
      </c>
      <c r="N27" s="685" t="n">
        <v>400</v>
      </c>
      <c r="O27" s="686" t="inlineStr">
        <is>
          <t>-</t>
        </is>
      </c>
      <c r="P27" s="686">
        <f>0.67*105</f>
        <v/>
      </c>
      <c r="Q27" s="685" t="n">
        <v>0</v>
      </c>
      <c r="R27" s="686" t="n"/>
      <c r="S27" s="686" t="n"/>
      <c r="T27" s="686" t="n"/>
      <c r="U27" s="690" t="n"/>
      <c r="V27" s="690" t="n"/>
      <c r="W27" s="687" t="n"/>
      <c r="X27" s="690" t="n"/>
      <c r="Y27" s="690" t="n"/>
      <c r="Z27" s="692" t="n"/>
      <c r="AA27" s="676">
        <f>SUM(B27:C27)</f>
        <v/>
      </c>
      <c r="AB27" s="675">
        <f>SUM(AA16:AA27)</f>
        <v/>
      </c>
      <c r="AC27" s="675">
        <f>AB27/12</f>
        <v/>
      </c>
      <c r="AD27" s="675">
        <f>SUM(D27:Z27)</f>
        <v/>
      </c>
      <c r="AE27" s="675">
        <f>SUM(AD16:AD27)</f>
        <v/>
      </c>
      <c r="AF27" s="675">
        <f>AE27/12</f>
        <v/>
      </c>
    </row>
    <row r="28">
      <c r="A28" s="689" t="n">
        <v>42248</v>
      </c>
      <c r="B28" s="690" t="n">
        <v>272880</v>
      </c>
      <c r="C28" s="690" t="n"/>
      <c r="D28" s="691" t="n">
        <v>2000</v>
      </c>
      <c r="E28" s="690">
        <f>3810</f>
        <v/>
      </c>
      <c r="F28" s="690" t="n">
        <v>100</v>
      </c>
      <c r="G28" s="690" t="n"/>
      <c r="H28" s="690" t="n">
        <v>390</v>
      </c>
      <c r="I28" s="690" t="n"/>
      <c r="J28" s="685" t="n">
        <v>1.578</v>
      </c>
      <c r="K28" s="690" t="n">
        <v>1956</v>
      </c>
      <c r="L28" s="690" t="n">
        <v>120</v>
      </c>
      <c r="M28" s="685" t="n">
        <v>1000</v>
      </c>
      <c r="N28" s="685" t="n">
        <v>400</v>
      </c>
      <c r="O28" s="686" t="inlineStr">
        <is>
          <t>-</t>
        </is>
      </c>
      <c r="P28" s="686">
        <f>0.67*128</f>
        <v/>
      </c>
      <c r="Q28" s="685" t="n">
        <v>0</v>
      </c>
      <c r="R28" s="686" t="n"/>
      <c r="S28" s="686" t="n"/>
      <c r="T28" s="686" t="n"/>
      <c r="U28" s="690" t="n"/>
      <c r="V28" s="690" t="n"/>
      <c r="W28" s="687" t="n"/>
      <c r="X28" s="690" t="n"/>
      <c r="Y28" s="690" t="n"/>
      <c r="Z28" s="692" t="n"/>
      <c r="AA28" s="676">
        <f>SUM(B28:C28)</f>
        <v/>
      </c>
      <c r="AB28" s="675">
        <f>SUM(AA17:AA28)</f>
        <v/>
      </c>
      <c r="AC28" s="675">
        <f>AB28/12</f>
        <v/>
      </c>
      <c r="AD28" s="675">
        <f>SUM(D28:Z28)</f>
        <v/>
      </c>
      <c r="AE28" s="675">
        <f>SUM(AD17:AD28)</f>
        <v/>
      </c>
      <c r="AF28" s="675">
        <f>AE28/12</f>
        <v/>
      </c>
    </row>
    <row r="29">
      <c r="A29" s="689" t="n">
        <v>42278</v>
      </c>
      <c r="B29" s="690" t="n">
        <v>281000</v>
      </c>
      <c r="C29" s="690" t="n"/>
      <c r="D29" s="691" t="n">
        <v>2000</v>
      </c>
      <c r="E29" s="690">
        <f>3970</f>
        <v/>
      </c>
      <c r="F29" s="690" t="n">
        <v>90</v>
      </c>
      <c r="G29" s="690" t="n"/>
      <c r="H29" s="690" t="n">
        <v>480</v>
      </c>
      <c r="I29" s="690" t="n"/>
      <c r="J29" s="685" t="n">
        <v>2.042</v>
      </c>
      <c r="K29" s="690" t="n">
        <v>3297</v>
      </c>
      <c r="L29" s="690" t="n">
        <v>160</v>
      </c>
      <c r="M29" s="685" t="n">
        <v>800</v>
      </c>
      <c r="N29" s="685" t="n">
        <v>200</v>
      </c>
      <c r="O29" s="686" t="inlineStr">
        <is>
          <t>-</t>
        </is>
      </c>
      <c r="P29" s="686">
        <f>0.67*103</f>
        <v/>
      </c>
      <c r="Q29" s="685" t="n">
        <v>0</v>
      </c>
      <c r="R29" s="686" t="n"/>
      <c r="S29" s="686" t="n"/>
      <c r="T29" s="686" t="n"/>
      <c r="U29" s="690" t="n"/>
      <c r="V29" s="690" t="n"/>
      <c r="W29" s="687" t="n"/>
      <c r="X29" s="690" t="n"/>
      <c r="Y29" s="690" t="n"/>
      <c r="Z29" s="692" t="n"/>
      <c r="AA29" s="676">
        <f>SUM(B29:C29)</f>
        <v/>
      </c>
      <c r="AB29" s="675">
        <f>SUM(AA18:AA29)</f>
        <v/>
      </c>
      <c r="AC29" s="675">
        <f>AB29/12</f>
        <v/>
      </c>
      <c r="AD29" s="675">
        <f>SUM(D29:Z29)</f>
        <v/>
      </c>
      <c r="AE29" s="675">
        <f>SUM(AD18:AD29)</f>
        <v/>
      </c>
      <c r="AF29" s="675">
        <f>AE29/12</f>
        <v/>
      </c>
    </row>
    <row r="30">
      <c r="A30" s="689" t="n">
        <v>42309</v>
      </c>
      <c r="B30" s="690" t="n">
        <v>274289.9999999999</v>
      </c>
      <c r="C30" s="690" t="n"/>
      <c r="D30" s="691" t="n">
        <v>2000</v>
      </c>
      <c r="E30" s="690">
        <f>3890</f>
        <v/>
      </c>
      <c r="F30" s="690" t="n">
        <v>100</v>
      </c>
      <c r="G30" s="690" t="n"/>
      <c r="H30" s="690" t="n">
        <v>450</v>
      </c>
      <c r="I30" s="690" t="n"/>
      <c r="J30" s="685" t="n">
        <v>0.062</v>
      </c>
      <c r="K30" s="690" t="n">
        <v>1785</v>
      </c>
      <c r="L30" s="690" t="n">
        <v>50</v>
      </c>
      <c r="M30" s="685" t="n">
        <v>800</v>
      </c>
      <c r="N30" s="685" t="n">
        <v>600</v>
      </c>
      <c r="O30" s="686" t="inlineStr">
        <is>
          <t>-</t>
        </is>
      </c>
      <c r="P30" s="686">
        <f>0.67*143</f>
        <v/>
      </c>
      <c r="Q30" s="685" t="n">
        <v>0</v>
      </c>
      <c r="R30" s="686" t="n"/>
      <c r="S30" s="686" t="n"/>
      <c r="T30" s="686" t="n"/>
      <c r="U30" s="690" t="n"/>
      <c r="V30" s="690" t="n"/>
      <c r="W30" s="687" t="n"/>
      <c r="X30" s="690" t="n"/>
      <c r="Y30" s="690" t="n"/>
      <c r="Z30" s="692" t="n"/>
      <c r="AA30" s="676">
        <f>SUM(B30:C30)</f>
        <v/>
      </c>
      <c r="AB30" s="675">
        <f>SUM(AA19:AA30)</f>
        <v/>
      </c>
      <c r="AC30" s="675">
        <f>AB30/12</f>
        <v/>
      </c>
      <c r="AD30" s="675">
        <f>SUM(D30:Z30)</f>
        <v/>
      </c>
      <c r="AE30" s="675">
        <f>SUM(AD19:AD30)</f>
        <v/>
      </c>
      <c r="AF30" s="675">
        <f>AE30/12</f>
        <v/>
      </c>
    </row>
    <row r="31">
      <c r="A31" s="689" t="n">
        <v>42339</v>
      </c>
      <c r="B31" s="690" t="n">
        <v>267880</v>
      </c>
      <c r="C31" s="690" t="n"/>
      <c r="D31" s="691" t="n">
        <v>2000</v>
      </c>
      <c r="E31" s="690">
        <f>3810</f>
        <v/>
      </c>
      <c r="F31" s="690" t="n">
        <v>250</v>
      </c>
      <c r="G31" s="690" t="n"/>
      <c r="H31" s="690" t="n">
        <v>370</v>
      </c>
      <c r="I31" s="690" t="n"/>
      <c r="J31" s="685" t="n">
        <v>3.224</v>
      </c>
      <c r="K31" s="690" t="n">
        <v>1400</v>
      </c>
      <c r="L31" s="690" t="n">
        <v>250</v>
      </c>
      <c r="M31" s="685" t="n">
        <v>1200</v>
      </c>
      <c r="N31" s="685" t="n">
        <v>1200</v>
      </c>
      <c r="O31" s="686">
        <f>0.05*97</f>
        <v/>
      </c>
      <c r="P31" s="686">
        <f>0.67*130</f>
        <v/>
      </c>
      <c r="Q31" s="685" t="n">
        <v>0</v>
      </c>
      <c r="R31" s="686" t="n"/>
      <c r="S31" s="686" t="n"/>
      <c r="T31" s="686" t="n"/>
      <c r="U31" s="690" t="n"/>
      <c r="V31" s="690" t="n"/>
      <c r="W31" s="687" t="n"/>
      <c r="X31" s="690" t="n"/>
      <c r="Y31" s="690" t="n"/>
      <c r="Z31" s="692" t="n"/>
      <c r="AA31" s="676">
        <f>SUM(B31:C31)</f>
        <v/>
      </c>
      <c r="AB31" s="675">
        <f>SUM(AA20:AA31)</f>
        <v/>
      </c>
      <c r="AC31" s="675">
        <f>AB31/12</f>
        <v/>
      </c>
      <c r="AD31" s="675">
        <f>SUM(D31:Z31)</f>
        <v/>
      </c>
      <c r="AE31" s="675">
        <f>SUM(AD20:AD31)</f>
        <v/>
      </c>
      <c r="AF31" s="675">
        <f>AE31/12</f>
        <v/>
      </c>
    </row>
    <row r="32">
      <c r="A32" s="689" t="n">
        <v>42370</v>
      </c>
      <c r="B32" s="690" t="n">
        <v>269800</v>
      </c>
      <c r="C32" s="690" t="n"/>
      <c r="D32" s="691">
        <f>2000+177.808333</f>
        <v/>
      </c>
      <c r="E32" s="690">
        <f>4230</f>
        <v/>
      </c>
      <c r="F32" s="690" t="n">
        <v>300</v>
      </c>
      <c r="G32" s="690" t="n"/>
      <c r="H32" s="690" t="n">
        <v>460</v>
      </c>
      <c r="I32" s="690" t="n"/>
      <c r="J32" s="685" t="n">
        <v>0.17</v>
      </c>
      <c r="K32" s="690" t="n">
        <v>1647</v>
      </c>
      <c r="L32" s="690" t="n">
        <v>100</v>
      </c>
      <c r="M32" s="558" t="n">
        <v>1200</v>
      </c>
      <c r="N32" s="558" t="n">
        <v>400</v>
      </c>
      <c r="O32" s="686" t="inlineStr">
        <is>
          <t>-</t>
        </is>
      </c>
      <c r="P32" s="686">
        <f>0.67*77</f>
        <v/>
      </c>
      <c r="Q32" s="685" t="n">
        <v>20</v>
      </c>
      <c r="R32" s="686" t="n"/>
      <c r="S32" s="686" t="n"/>
      <c r="T32" s="686" t="n"/>
      <c r="U32" s="690" t="n"/>
      <c r="V32" s="690" t="n"/>
      <c r="W32" s="687" t="n"/>
      <c r="X32" s="690" t="n"/>
      <c r="Y32" s="690" t="n"/>
      <c r="Z32" s="692" t="n"/>
      <c r="AA32" s="676">
        <f>SUM(B32:C32)</f>
        <v/>
      </c>
      <c r="AB32" s="675">
        <f>SUM(AA21:AA32)</f>
        <v/>
      </c>
      <c r="AC32" s="675">
        <f>AB32/12</f>
        <v/>
      </c>
      <c r="AD32" s="675">
        <f>SUM(D32:Z32)</f>
        <v/>
      </c>
      <c r="AE32" s="675">
        <f>SUM(AD21:AD32)</f>
        <v/>
      </c>
      <c r="AF32" s="675">
        <f>AE32/12</f>
        <v/>
      </c>
    </row>
    <row r="33">
      <c r="A33" s="689" t="n">
        <v>42401</v>
      </c>
      <c r="B33" s="690" t="n">
        <v>240500</v>
      </c>
      <c r="C33" s="690" t="n"/>
      <c r="D33" s="691">
        <f>2000+177.808333</f>
        <v/>
      </c>
      <c r="E33" s="690">
        <f>4070</f>
        <v/>
      </c>
      <c r="F33" s="690" t="n">
        <v>250</v>
      </c>
      <c r="G33" s="690" t="n"/>
      <c r="H33" s="690" t="n">
        <v>490</v>
      </c>
      <c r="I33" s="690" t="n"/>
      <c r="J33" s="685" t="n">
        <v>0.108</v>
      </c>
      <c r="K33" s="690" t="n">
        <v>3015</v>
      </c>
      <c r="L33" s="690" t="n">
        <v>160</v>
      </c>
      <c r="M33" s="558" t="n">
        <v>600</v>
      </c>
      <c r="N33" s="558" t="n">
        <v>200</v>
      </c>
      <c r="O33" s="686" t="inlineStr">
        <is>
          <t>-</t>
        </is>
      </c>
      <c r="P33" s="686">
        <f>0.67*57</f>
        <v/>
      </c>
      <c r="Q33" s="685" t="n">
        <v>0</v>
      </c>
      <c r="R33" s="686" t="n"/>
      <c r="S33" s="686" t="n"/>
      <c r="T33" s="686" t="n"/>
      <c r="U33" s="690" t="n"/>
      <c r="V33" s="690" t="n"/>
      <c r="W33" s="687" t="n"/>
      <c r="X33" s="690" t="n"/>
      <c r="Y33" s="690" t="n"/>
      <c r="Z33" s="692" t="n"/>
      <c r="AA33" s="676">
        <f>SUM(B33:C33)</f>
        <v/>
      </c>
      <c r="AB33" s="675">
        <f>SUM(AA22:AA33)</f>
        <v/>
      </c>
      <c r="AC33" s="675">
        <f>AB33/12</f>
        <v/>
      </c>
      <c r="AD33" s="675">
        <f>SUM(D33:Z33)</f>
        <v/>
      </c>
      <c r="AE33" s="675">
        <f>SUM(AD22:AD33)</f>
        <v/>
      </c>
      <c r="AF33" s="675">
        <f>AE33/12</f>
        <v/>
      </c>
    </row>
    <row r="34">
      <c r="A34" s="689" t="n">
        <v>42430</v>
      </c>
      <c r="B34" s="690" t="n">
        <v>263290</v>
      </c>
      <c r="C34" s="690" t="n"/>
      <c r="D34" s="691">
        <f>2000+177.808333</f>
        <v/>
      </c>
      <c r="E34" s="690">
        <f>4120</f>
        <v/>
      </c>
      <c r="F34" s="690" t="n">
        <v>170</v>
      </c>
      <c r="G34" s="690" t="n"/>
      <c r="H34" s="690" t="n">
        <v>500</v>
      </c>
      <c r="I34" s="690" t="n"/>
      <c r="J34" s="685" t="n">
        <v>1.436</v>
      </c>
      <c r="K34" s="690" t="n">
        <v>1168</v>
      </c>
      <c r="L34" s="690" t="n">
        <v>30</v>
      </c>
      <c r="M34" s="558" t="n">
        <v>1200</v>
      </c>
      <c r="N34" s="558" t="n">
        <v>400</v>
      </c>
      <c r="O34" s="686" t="inlineStr">
        <is>
          <t>-</t>
        </is>
      </c>
      <c r="P34" s="686">
        <f>0.67*130</f>
        <v/>
      </c>
      <c r="Q34" s="685" t="n">
        <v>0</v>
      </c>
      <c r="R34" s="686" t="n"/>
      <c r="S34" s="686" t="n"/>
      <c r="T34" s="686" t="n"/>
      <c r="U34" s="690" t="n"/>
      <c r="V34" s="690" t="n"/>
      <c r="W34" s="687" t="n"/>
      <c r="X34" s="690" t="n"/>
      <c r="Y34" s="690" t="n"/>
      <c r="Z34" s="692" t="n"/>
      <c r="AA34" s="676">
        <f>SUM(B34:C34)</f>
        <v/>
      </c>
      <c r="AB34" s="675">
        <f>SUM(AA23:AA34)</f>
        <v/>
      </c>
      <c r="AC34" s="675">
        <f>AB34/12</f>
        <v/>
      </c>
      <c r="AD34" s="675">
        <f>SUM(D34:Z34)</f>
        <v/>
      </c>
      <c r="AE34" s="675">
        <f>SUM(AD23:AD34)</f>
        <v/>
      </c>
      <c r="AF34" s="675">
        <f>AE34/12</f>
        <v/>
      </c>
    </row>
    <row r="35">
      <c r="A35" s="689" t="n">
        <v>42461</v>
      </c>
      <c r="B35" s="690" t="n">
        <v>260100</v>
      </c>
      <c r="C35" s="690" t="n"/>
      <c r="D35" s="691">
        <f>2000+177.808333</f>
        <v/>
      </c>
      <c r="E35" s="690">
        <f>4050</f>
        <v/>
      </c>
      <c r="F35" s="690" t="n">
        <v>140</v>
      </c>
      <c r="G35" s="690" t="n"/>
      <c r="H35" s="690" t="n">
        <v>410</v>
      </c>
      <c r="I35" s="690" t="n"/>
      <c r="J35" s="685" t="n">
        <v>1.764</v>
      </c>
      <c r="K35" s="690" t="n">
        <v>1397</v>
      </c>
      <c r="L35" s="690" t="n">
        <v>100</v>
      </c>
      <c r="M35" s="558" t="n">
        <v>600</v>
      </c>
      <c r="N35" s="558" t="n">
        <v>400</v>
      </c>
      <c r="O35" s="686" t="inlineStr">
        <is>
          <t>-</t>
        </is>
      </c>
      <c r="P35" s="686">
        <f>0.67*81</f>
        <v/>
      </c>
      <c r="Q35" s="685" t="n">
        <v>0</v>
      </c>
      <c r="R35" s="686" t="n"/>
      <c r="S35" s="686" t="n"/>
      <c r="T35" s="686" t="n"/>
      <c r="U35" s="690" t="n"/>
      <c r="V35" s="690" t="n"/>
      <c r="W35" s="687" t="n"/>
      <c r="X35" s="690" t="n"/>
      <c r="Y35" s="690" t="n"/>
      <c r="Z35" s="692" t="n"/>
      <c r="AA35" s="676">
        <f>SUM(B35:C35)</f>
        <v/>
      </c>
      <c r="AB35" s="675">
        <f>SUM(AA24:AA35)</f>
        <v/>
      </c>
      <c r="AC35" s="675">
        <f>AB35/12</f>
        <v/>
      </c>
      <c r="AD35" s="675">
        <f>SUM(D35:Z35)</f>
        <v/>
      </c>
      <c r="AE35" s="675">
        <f>SUM(AD24:AD35)</f>
        <v/>
      </c>
      <c r="AF35" s="675">
        <f>AE35/12</f>
        <v/>
      </c>
    </row>
    <row r="36">
      <c r="A36" s="689" t="n">
        <v>42491</v>
      </c>
      <c r="B36" s="690" t="n">
        <v>279280.0000000001</v>
      </c>
      <c r="C36" s="690" t="n"/>
      <c r="D36" s="691">
        <f>2000+177.808333</f>
        <v/>
      </c>
      <c r="E36" s="690">
        <f>4080</f>
        <v/>
      </c>
      <c r="F36" s="690" t="n">
        <v>110</v>
      </c>
      <c r="G36" s="690" t="n"/>
      <c r="H36" s="690" t="n">
        <v>500</v>
      </c>
      <c r="I36" s="690" t="n"/>
      <c r="J36" s="685" t="n">
        <v>0</v>
      </c>
      <c r="K36" s="690" t="n">
        <v>1824</v>
      </c>
      <c r="L36" s="690" t="n">
        <v>150</v>
      </c>
      <c r="M36" s="558" t="n">
        <v>1000</v>
      </c>
      <c r="N36" s="558" t="n">
        <v>400</v>
      </c>
      <c r="O36" s="686" t="inlineStr">
        <is>
          <t>-</t>
        </is>
      </c>
      <c r="P36" s="686">
        <f>0.67*52</f>
        <v/>
      </c>
      <c r="Q36" s="685" t="n">
        <v>9</v>
      </c>
      <c r="R36" s="686" t="n"/>
      <c r="S36" s="686" t="n"/>
      <c r="T36" s="686" t="n"/>
      <c r="U36" s="690" t="n"/>
      <c r="V36" s="690" t="n"/>
      <c r="W36" s="687" t="n"/>
      <c r="X36" s="690" t="n"/>
      <c r="Y36" s="690" t="n"/>
      <c r="Z36" s="692" t="n"/>
      <c r="AA36" s="676">
        <f>SUM(B36:C36)</f>
        <v/>
      </c>
      <c r="AB36" s="675">
        <f>SUM(AA25:AA36)</f>
        <v/>
      </c>
      <c r="AC36" s="675">
        <f>AB36/12</f>
        <v/>
      </c>
      <c r="AD36" s="675">
        <f>SUM(D36:Z36)</f>
        <v/>
      </c>
      <c r="AE36" s="675">
        <f>SUM(AD25:AD36)</f>
        <v/>
      </c>
      <c r="AF36" s="675">
        <f>AE36/12</f>
        <v/>
      </c>
    </row>
    <row r="37">
      <c r="A37" s="689" t="n">
        <v>42522</v>
      </c>
      <c r="B37" s="690" t="n">
        <v>265300</v>
      </c>
      <c r="C37" s="690" t="n"/>
      <c r="D37" s="691">
        <f>2000+177.808333</f>
        <v/>
      </c>
      <c r="E37" s="690">
        <f>4120</f>
        <v/>
      </c>
      <c r="F37" s="690" t="n">
        <v>270</v>
      </c>
      <c r="G37" s="690" t="n"/>
      <c r="H37" s="690" t="n">
        <v>490</v>
      </c>
      <c r="I37" s="690" t="n"/>
      <c r="J37" s="685" t="n">
        <v>0</v>
      </c>
      <c r="K37" s="690" t="n">
        <v>1672</v>
      </c>
      <c r="L37" s="690" t="n">
        <v>340</v>
      </c>
      <c r="M37" s="558" t="n">
        <v>800</v>
      </c>
      <c r="N37" s="558" t="n">
        <v>400</v>
      </c>
      <c r="O37" s="686" t="inlineStr">
        <is>
          <t>-</t>
        </is>
      </c>
      <c r="P37" s="686" t="n">
        <v>0</v>
      </c>
      <c r="Q37" s="685" t="n">
        <v>0</v>
      </c>
      <c r="R37" s="686" t="n"/>
      <c r="S37" s="686" t="n"/>
      <c r="T37" s="686" t="n"/>
      <c r="U37" s="690" t="n"/>
      <c r="V37" s="690" t="n"/>
      <c r="W37" s="687" t="n"/>
      <c r="X37" s="690" t="n">
        <v>0</v>
      </c>
      <c r="Y37" s="690" t="n"/>
      <c r="Z37" s="692" t="n"/>
      <c r="AA37" s="676">
        <f>SUM(B37:C37)</f>
        <v/>
      </c>
      <c r="AB37" s="675">
        <f>SUM(AA26:AA37)</f>
        <v/>
      </c>
      <c r="AC37" s="675">
        <f>AB37/12</f>
        <v/>
      </c>
      <c r="AD37" s="675">
        <f>SUM(D37:Z37)</f>
        <v/>
      </c>
      <c r="AE37" s="675">
        <f>SUM(AD26:AD37)</f>
        <v/>
      </c>
      <c r="AF37" s="675">
        <f>AE37/12</f>
        <v/>
      </c>
      <c r="AH37" s="693">
        <f>AB37+AE37</f>
        <v/>
      </c>
    </row>
    <row r="38">
      <c r="A38" s="689" t="n">
        <v>42552</v>
      </c>
      <c r="B38" s="687" t="n">
        <v>230700</v>
      </c>
      <c r="C38" s="687" t="n"/>
      <c r="D38" s="687">
        <f>2480+177.808333</f>
        <v/>
      </c>
      <c r="E38" s="687" t="n">
        <v>2980</v>
      </c>
      <c r="F38" s="687" t="n">
        <v>260</v>
      </c>
      <c r="G38" s="687" t="n"/>
      <c r="H38" s="687" t="n">
        <v>510</v>
      </c>
      <c r="I38" s="687" t="n"/>
      <c r="J38" s="695" t="n">
        <v>0</v>
      </c>
      <c r="K38" s="687" t="n">
        <v>2495</v>
      </c>
      <c r="L38" s="687" t="n">
        <v>0</v>
      </c>
      <c r="M38" s="560" t="n">
        <v>1000</v>
      </c>
      <c r="N38" s="560" t="n">
        <v>600</v>
      </c>
      <c r="O38" s="696" t="inlineStr">
        <is>
          <t>-</t>
        </is>
      </c>
      <c r="P38" s="696" t="n">
        <v>0</v>
      </c>
      <c r="Q38" s="695" t="n">
        <v>0</v>
      </c>
      <c r="R38" s="696" t="n"/>
      <c r="S38" s="696" t="n"/>
      <c r="T38" s="696" t="n"/>
      <c r="U38" s="687" t="n"/>
      <c r="V38" s="687" t="n"/>
      <c r="W38" s="687" t="n"/>
      <c r="X38" s="687" t="n"/>
      <c r="Y38" s="687" t="n"/>
      <c r="Z38" s="697" t="n"/>
      <c r="AA38" s="676">
        <f>SUM(B38:C38)</f>
        <v/>
      </c>
      <c r="AB38" s="675">
        <f>SUM(AA27:AA38)</f>
        <v/>
      </c>
      <c r="AC38" s="675">
        <f>AB38/12</f>
        <v/>
      </c>
      <c r="AD38" s="675">
        <f>SUM(D38:Z38)</f>
        <v/>
      </c>
      <c r="AE38" s="675">
        <f>SUM(AD27:AD38)</f>
        <v/>
      </c>
      <c r="AF38" s="675">
        <f>AE38/12</f>
        <v/>
      </c>
    </row>
    <row r="39">
      <c r="A39" s="689" t="n">
        <v>42583</v>
      </c>
      <c r="B39" s="687" t="n">
        <v>249380</v>
      </c>
      <c r="C39" s="687" t="n"/>
      <c r="D39" s="687">
        <f>2580+177.808333</f>
        <v/>
      </c>
      <c r="E39" s="687">
        <f>7160</f>
        <v/>
      </c>
      <c r="F39" s="687" t="n">
        <v>400</v>
      </c>
      <c r="G39" s="687" t="n"/>
      <c r="H39" s="687" t="n">
        <v>577.5</v>
      </c>
      <c r="I39" s="687" t="n"/>
      <c r="J39" s="695" t="n">
        <v>0</v>
      </c>
      <c r="K39" s="687" t="n">
        <v>1142</v>
      </c>
      <c r="L39" s="687" t="n">
        <v>200</v>
      </c>
      <c r="M39" s="560" t="n">
        <v>2400</v>
      </c>
      <c r="N39" s="560" t="n">
        <v>200</v>
      </c>
      <c r="O39" s="696" t="inlineStr">
        <is>
          <t>-</t>
        </is>
      </c>
      <c r="P39" s="696" t="n">
        <v>0</v>
      </c>
      <c r="Q39" s="695" t="n">
        <v>0</v>
      </c>
      <c r="R39" s="696" t="n"/>
      <c r="S39" s="696" t="n"/>
      <c r="T39" s="696" t="n"/>
      <c r="U39" s="687" t="n"/>
      <c r="V39" s="687" t="n"/>
      <c r="W39" s="687" t="n"/>
      <c r="X39" s="687" t="n"/>
      <c r="Y39" s="687" t="n"/>
      <c r="Z39" s="697" t="n"/>
      <c r="AA39" s="676">
        <f>SUM(B39:C39)</f>
        <v/>
      </c>
      <c r="AB39" s="675">
        <f>SUM(AA28:AA39)</f>
        <v/>
      </c>
      <c r="AC39" s="675">
        <f>AB39/12</f>
        <v/>
      </c>
      <c r="AD39" s="675">
        <f>SUM(D39:Z39)</f>
        <v/>
      </c>
      <c r="AE39" s="675">
        <f>SUM(AD28:AD39)</f>
        <v/>
      </c>
      <c r="AF39" s="675">
        <f>AE39/12</f>
        <v/>
      </c>
    </row>
    <row r="40">
      <c r="A40" s="689" t="n">
        <v>42614</v>
      </c>
      <c r="B40" s="687" t="n">
        <v>261650</v>
      </c>
      <c r="C40" s="687" t="n"/>
      <c r="D40" s="687">
        <f>2830+177.808333</f>
        <v/>
      </c>
      <c r="E40" s="687" t="n">
        <v>7820</v>
      </c>
      <c r="F40" s="687" t="n">
        <v>250</v>
      </c>
      <c r="G40" s="687" t="n"/>
      <c r="H40" s="687" t="n">
        <v>1119.8</v>
      </c>
      <c r="I40" s="687" t="n"/>
      <c r="J40" s="695" t="n">
        <v>0</v>
      </c>
      <c r="K40" s="687" t="n">
        <v>2204</v>
      </c>
      <c r="L40" s="687" t="n">
        <v>220</v>
      </c>
      <c r="M40" s="560" t="n">
        <v>1800</v>
      </c>
      <c r="N40" s="560" t="n">
        <v>400</v>
      </c>
      <c r="O40" s="696" t="inlineStr">
        <is>
          <t>-</t>
        </is>
      </c>
      <c r="P40" s="696">
        <f>0.67*253</f>
        <v/>
      </c>
      <c r="Q40" s="695" t="n">
        <v>0</v>
      </c>
      <c r="R40" s="696" t="n"/>
      <c r="S40" s="696" t="n"/>
      <c r="T40" s="696" t="n"/>
      <c r="U40" s="687" t="n"/>
      <c r="V40" s="687" t="n"/>
      <c r="W40" s="687" t="n"/>
      <c r="X40" s="687" t="n">
        <v>0</v>
      </c>
      <c r="Y40" s="687" t="n"/>
      <c r="Z40" s="697" t="n"/>
      <c r="AA40" s="676">
        <f>SUM(B40:C40)</f>
        <v/>
      </c>
      <c r="AB40" s="675">
        <f>SUM(AA29:AA40)</f>
        <v/>
      </c>
      <c r="AC40" s="675">
        <f>AB40/12</f>
        <v/>
      </c>
      <c r="AD40" s="675">
        <f>SUM(D40:Z40)</f>
        <v/>
      </c>
      <c r="AE40" s="675">
        <f>SUM(AD29:AD40)</f>
        <v/>
      </c>
      <c r="AF40" s="675">
        <f>AE40/12</f>
        <v/>
      </c>
    </row>
    <row r="41">
      <c r="A41" s="689" t="n">
        <v>42644</v>
      </c>
      <c r="B41" s="687" t="n">
        <v>258900</v>
      </c>
      <c r="C41" s="687" t="n"/>
      <c r="D41" s="687" t="n">
        <v>177.8083333333333</v>
      </c>
      <c r="E41" s="687" t="n">
        <v>9300</v>
      </c>
      <c r="F41" s="687" t="n">
        <v>150</v>
      </c>
      <c r="G41" s="687" t="n"/>
      <c r="H41" s="687" t="n">
        <v>2310</v>
      </c>
      <c r="I41" s="687" t="n"/>
      <c r="J41" s="695" t="n">
        <v>13.462</v>
      </c>
      <c r="K41" s="687" t="n">
        <v>1653</v>
      </c>
      <c r="L41" s="687" t="n">
        <v>0</v>
      </c>
      <c r="M41" s="560" t="n">
        <v>2000</v>
      </c>
      <c r="N41" s="560" t="n">
        <v>200</v>
      </c>
      <c r="O41" s="696" t="inlineStr">
        <is>
          <t>-</t>
        </is>
      </c>
      <c r="P41" s="696" t="n">
        <v>0</v>
      </c>
      <c r="Q41" s="695" t="n">
        <v>0</v>
      </c>
      <c r="R41" s="696" t="n"/>
      <c r="S41" s="696" t="n"/>
      <c r="T41" s="696" t="n"/>
      <c r="U41" s="687" t="n"/>
      <c r="V41" s="687" t="n"/>
      <c r="W41" s="687">
        <f>'Raw Food Data (KG)'!Q2</f>
        <v/>
      </c>
      <c r="X41" s="687" t="n">
        <v>0</v>
      </c>
      <c r="Y41" s="687" t="n"/>
      <c r="Z41" s="697" t="n"/>
      <c r="AA41" s="676">
        <f>SUM(B41:C41)</f>
        <v/>
      </c>
      <c r="AB41" s="675">
        <f>SUM(AA30:AA41)</f>
        <v/>
      </c>
      <c r="AC41" s="675">
        <f>AB41/12</f>
        <v/>
      </c>
      <c r="AD41" s="675">
        <f>SUM(D41:Z41)</f>
        <v/>
      </c>
      <c r="AE41" s="675">
        <f>SUM(AD30:AD41)</f>
        <v/>
      </c>
      <c r="AF41" s="675">
        <f>AE41/12</f>
        <v/>
      </c>
    </row>
    <row r="42">
      <c r="A42" s="689" t="n">
        <v>42675</v>
      </c>
      <c r="B42" s="687" t="n">
        <v>262650</v>
      </c>
      <c r="C42" s="687" t="n"/>
      <c r="D42" s="687" t="n">
        <v>177.8083333333333</v>
      </c>
      <c r="E42" s="687" t="n">
        <v>9900</v>
      </c>
      <c r="F42" s="687" t="n">
        <v>110</v>
      </c>
      <c r="G42" s="687" t="n"/>
      <c r="H42" s="687" t="n">
        <v>2627.5</v>
      </c>
      <c r="I42" s="687" t="n"/>
      <c r="J42" s="695" t="n">
        <v>0</v>
      </c>
      <c r="K42" s="687" t="n">
        <v>3458</v>
      </c>
      <c r="L42" s="687" t="n">
        <v>0</v>
      </c>
      <c r="M42" s="560" t="n">
        <v>1600</v>
      </c>
      <c r="N42" s="560" t="n">
        <v>400</v>
      </c>
      <c r="O42" s="696" t="inlineStr">
        <is>
          <t>-</t>
        </is>
      </c>
      <c r="P42" s="696">
        <f>0.67*221</f>
        <v/>
      </c>
      <c r="Q42" s="695" t="n">
        <v>0</v>
      </c>
      <c r="R42" s="696" t="n"/>
      <c r="S42" s="696" t="n"/>
      <c r="T42" s="696" t="n"/>
      <c r="U42" s="687" t="n"/>
      <c r="V42" s="687" t="n"/>
      <c r="W42" s="687">
        <f>'Raw Food Data (KG)'!Q3</f>
        <v/>
      </c>
      <c r="X42" s="687" t="n">
        <v>66</v>
      </c>
      <c r="Y42" s="687" t="n"/>
      <c r="Z42" s="697" t="n"/>
      <c r="AA42" s="676">
        <f>SUM(B42:C42)</f>
        <v/>
      </c>
      <c r="AB42" s="675">
        <f>SUM(AA31:AA42)</f>
        <v/>
      </c>
      <c r="AC42" s="675">
        <f>AB42/12</f>
        <v/>
      </c>
      <c r="AD42" s="675">
        <f>SUM(D42:Z42)</f>
        <v/>
      </c>
      <c r="AE42" s="675">
        <f>SUM(AD31:AD42)</f>
        <v/>
      </c>
      <c r="AF42" s="675">
        <f>AE42/12</f>
        <v/>
      </c>
    </row>
    <row r="43">
      <c r="A43" s="689" t="n">
        <v>42705</v>
      </c>
      <c r="B43" s="687" t="n">
        <v>247410</v>
      </c>
      <c r="C43" s="687" t="n"/>
      <c r="D43" s="687" t="n">
        <v>177.8083333333333</v>
      </c>
      <c r="E43" s="687" t="n">
        <v>9450</v>
      </c>
      <c r="F43" s="687" t="n">
        <v>270</v>
      </c>
      <c r="G43" s="687" t="n"/>
      <c r="H43" s="687" t="n">
        <v>1472.5</v>
      </c>
      <c r="I43" s="687" t="n"/>
      <c r="J43" s="695" t="n">
        <v>0</v>
      </c>
      <c r="K43" s="687" t="n">
        <v>1465</v>
      </c>
      <c r="L43" s="687" t="n">
        <v>50</v>
      </c>
      <c r="M43" s="560" t="n">
        <v>1400</v>
      </c>
      <c r="N43" s="560" t="n">
        <v>200</v>
      </c>
      <c r="O43" s="696">
        <f>0.05*113</f>
        <v/>
      </c>
      <c r="P43" s="696" t="n">
        <v>0</v>
      </c>
      <c r="Q43" s="695" t="n">
        <v>0</v>
      </c>
      <c r="R43" s="696" t="n"/>
      <c r="S43" s="696" t="n"/>
      <c r="T43" s="696" t="n"/>
      <c r="U43" s="687" t="n"/>
      <c r="V43" s="687" t="n"/>
      <c r="W43" s="687">
        <f>'Raw Food Data (KG)'!Q4</f>
        <v/>
      </c>
      <c r="X43" s="687" t="n">
        <v>62.5</v>
      </c>
      <c r="Y43" s="687" t="n"/>
      <c r="Z43" s="697" t="n"/>
      <c r="AA43" s="676">
        <f>SUM(B43:C43)</f>
        <v/>
      </c>
      <c r="AB43" s="675">
        <f>SUM(AA32:AA43)</f>
        <v/>
      </c>
      <c r="AC43" s="675">
        <f>AB43/12</f>
        <v/>
      </c>
      <c r="AD43" s="675">
        <f>SUM(D43:Z43)</f>
        <v/>
      </c>
      <c r="AE43" s="675">
        <f>SUM(AD32:AD43)</f>
        <v/>
      </c>
      <c r="AF43" s="675">
        <f>AE43/12</f>
        <v/>
      </c>
    </row>
    <row r="44">
      <c r="A44" s="689" t="n">
        <v>42736</v>
      </c>
      <c r="B44" s="687" t="n">
        <v>186070</v>
      </c>
      <c r="C44" s="687" t="n">
        <v>41470</v>
      </c>
      <c r="D44" s="687" t="n">
        <v>2093.875</v>
      </c>
      <c r="E44" s="687" t="n">
        <v>10200</v>
      </c>
      <c r="F44" s="687" t="n">
        <v>180</v>
      </c>
      <c r="G44" s="687" t="n"/>
      <c r="H44" s="687" t="n">
        <v>1682</v>
      </c>
      <c r="I44" s="687" t="n"/>
      <c r="J44" s="695">
        <f>8231/1000</f>
        <v/>
      </c>
      <c r="K44" s="687" t="n">
        <v>1726</v>
      </c>
      <c r="L44" s="687" t="n">
        <v>0</v>
      </c>
      <c r="M44" s="560" t="n">
        <v>1400</v>
      </c>
      <c r="N44" s="560" t="n">
        <v>0</v>
      </c>
      <c r="O44" s="696" t="inlineStr">
        <is>
          <t>-</t>
        </is>
      </c>
      <c r="P44" s="696">
        <f>0.67*206</f>
        <v/>
      </c>
      <c r="Q44" s="695" t="n">
        <v>0</v>
      </c>
      <c r="R44" s="696" t="n"/>
      <c r="S44" s="696" t="n"/>
      <c r="T44" s="696" t="n"/>
      <c r="U44" s="687" t="n"/>
      <c r="V44" s="687" t="n"/>
      <c r="W44" s="687">
        <f>'Raw Food Data (KG)'!Q5</f>
        <v/>
      </c>
      <c r="X44" s="687" t="n">
        <v>0</v>
      </c>
      <c r="Y44" s="687" t="n"/>
      <c r="Z44" s="697" t="n"/>
      <c r="AA44" s="676">
        <f>SUM(B44:C44)</f>
        <v/>
      </c>
      <c r="AB44" s="675">
        <f>SUM(AA33:AA44)</f>
        <v/>
      </c>
      <c r="AC44" s="675">
        <f>AB44/12</f>
        <v/>
      </c>
      <c r="AD44" s="675">
        <f>SUM(D44:Z44)</f>
        <v/>
      </c>
      <c r="AE44" s="675">
        <f>SUM(AD33:AD44)</f>
        <v/>
      </c>
      <c r="AF44" s="675">
        <f>AE44/12</f>
        <v/>
      </c>
    </row>
    <row r="45">
      <c r="A45" s="689" t="n">
        <v>42767</v>
      </c>
      <c r="B45" s="687" t="n">
        <v>189900</v>
      </c>
      <c r="C45" s="687" t="n">
        <v>54160</v>
      </c>
      <c r="D45" s="687" t="n">
        <v>2093.875</v>
      </c>
      <c r="E45" s="687" t="n">
        <v>9070</v>
      </c>
      <c r="F45" s="687" t="n">
        <v>210</v>
      </c>
      <c r="G45" s="687" t="n"/>
      <c r="H45" s="687" t="n">
        <v>1845.5</v>
      </c>
      <c r="I45" s="687" t="n"/>
      <c r="J45" s="695" t="n">
        <v>0</v>
      </c>
      <c r="K45" s="687" t="n">
        <v>1475</v>
      </c>
      <c r="L45" s="687" t="n">
        <v>120</v>
      </c>
      <c r="M45" s="560" t="n">
        <v>2800</v>
      </c>
      <c r="N45" s="560" t="n">
        <v>400</v>
      </c>
      <c r="O45" s="696" t="inlineStr">
        <is>
          <t>-</t>
        </is>
      </c>
      <c r="P45" s="696" t="n">
        <v>0</v>
      </c>
      <c r="Q45" s="695" t="n">
        <v>0</v>
      </c>
      <c r="R45" s="696" t="n"/>
      <c r="S45" s="696" t="n"/>
      <c r="T45" s="696" t="n"/>
      <c r="U45" s="687" t="n"/>
      <c r="V45" s="687" t="n"/>
      <c r="W45" s="687">
        <f>'Raw Food Data (KG)'!Q6</f>
        <v/>
      </c>
      <c r="X45" s="687" t="n">
        <v>0</v>
      </c>
      <c r="Y45" s="687" t="n"/>
      <c r="Z45" s="697" t="n"/>
      <c r="AA45" s="676">
        <f>SUM(B45:C45)</f>
        <v/>
      </c>
      <c r="AB45" s="675">
        <f>SUM(AA34:AA45)</f>
        <v/>
      </c>
      <c r="AC45" s="675">
        <f>AB45/12</f>
        <v/>
      </c>
      <c r="AD45" s="675">
        <f>SUM(D45:Z45)</f>
        <v/>
      </c>
      <c r="AE45" s="675">
        <f>SUM(AD34:AD45)</f>
        <v/>
      </c>
      <c r="AF45" s="675">
        <f>AE45/12</f>
        <v/>
      </c>
    </row>
    <row r="46">
      <c r="A46" s="689" t="n">
        <v>42795</v>
      </c>
      <c r="B46" s="687" t="n">
        <v>218930</v>
      </c>
      <c r="C46" s="687" t="n">
        <v>32240</v>
      </c>
      <c r="D46" s="687" t="n">
        <v>2093.875</v>
      </c>
      <c r="E46" s="687" t="n">
        <v>9840</v>
      </c>
      <c r="F46" s="687" t="n">
        <v>210</v>
      </c>
      <c r="G46" s="687" t="n"/>
      <c r="H46" s="687" t="n">
        <v>1991</v>
      </c>
      <c r="I46" s="687" t="n"/>
      <c r="J46" s="695" t="n">
        <v>0</v>
      </c>
      <c r="K46" s="687" t="n">
        <v>1816</v>
      </c>
      <c r="L46" s="687" t="n">
        <v>0</v>
      </c>
      <c r="M46" s="560" t="n">
        <v>3000</v>
      </c>
      <c r="N46" s="560" t="n">
        <v>0</v>
      </c>
      <c r="O46" s="696" t="inlineStr">
        <is>
          <t>-</t>
        </is>
      </c>
      <c r="P46" s="696">
        <f>0.67*121</f>
        <v/>
      </c>
      <c r="Q46" s="695" t="n">
        <v>0</v>
      </c>
      <c r="R46" s="696" t="n"/>
      <c r="S46" s="696" t="n"/>
      <c r="T46" s="696" t="n"/>
      <c r="U46" s="687" t="n"/>
      <c r="V46" s="687" t="n"/>
      <c r="W46" s="687">
        <f>'Raw Food Data (KG)'!Q7</f>
        <v/>
      </c>
      <c r="X46" s="687" t="n">
        <v>0</v>
      </c>
      <c r="Y46" s="687" t="n"/>
      <c r="Z46" s="697" t="n"/>
      <c r="AA46" s="676">
        <f>SUM(B46:C46)</f>
        <v/>
      </c>
      <c r="AB46" s="675">
        <f>SUM(AA35:AA46)</f>
        <v/>
      </c>
      <c r="AC46" s="675">
        <f>AB46/12</f>
        <v/>
      </c>
      <c r="AD46" s="675">
        <f>SUM(D46:Z46)</f>
        <v/>
      </c>
      <c r="AE46" s="675">
        <f>SUM(AD35:AD46)</f>
        <v/>
      </c>
      <c r="AF46" s="675">
        <f>AE46/12</f>
        <v/>
      </c>
    </row>
    <row r="47">
      <c r="A47" s="689" t="n">
        <v>42826</v>
      </c>
      <c r="B47" s="687" t="n">
        <v>200140</v>
      </c>
      <c r="C47" s="687" t="n">
        <v>35860</v>
      </c>
      <c r="D47" s="687" t="n">
        <v>2093.875</v>
      </c>
      <c r="E47" s="687" t="n">
        <v>10420</v>
      </c>
      <c r="F47" s="687" t="n">
        <v>290</v>
      </c>
      <c r="G47" s="687" t="n"/>
      <c r="H47" s="687" t="n">
        <v>2070.2</v>
      </c>
      <c r="I47" s="687" t="n"/>
      <c r="J47" s="695" t="n">
        <v>0</v>
      </c>
      <c r="K47" s="687" t="n">
        <v>1894</v>
      </c>
      <c r="L47" s="687" t="n">
        <v>150</v>
      </c>
      <c r="M47" s="560" t="n">
        <v>1400</v>
      </c>
      <c r="N47" s="560" t="n">
        <v>400</v>
      </c>
      <c r="O47" s="696" t="inlineStr">
        <is>
          <t>-</t>
        </is>
      </c>
      <c r="P47" s="696" t="n">
        <v>0</v>
      </c>
      <c r="Q47" s="695" t="n">
        <v>0</v>
      </c>
      <c r="R47" s="696">
        <f>0.34*1900</f>
        <v/>
      </c>
      <c r="S47" s="696">
        <f>0.13*40</f>
        <v/>
      </c>
      <c r="T47" s="696">
        <f>0.15*60</f>
        <v/>
      </c>
      <c r="U47" s="687" t="n"/>
      <c r="V47" s="687" t="n"/>
      <c r="W47" s="687">
        <f>'Raw Food Data (KG)'!Q8</f>
        <v/>
      </c>
      <c r="X47" s="687" t="n">
        <v>0</v>
      </c>
      <c r="Y47" s="687" t="n"/>
      <c r="Z47" s="697" t="n"/>
      <c r="AA47" s="676">
        <f>SUM(B47:C47)</f>
        <v/>
      </c>
      <c r="AB47" s="675">
        <f>SUM(AA36:AA47)</f>
        <v/>
      </c>
      <c r="AC47" s="675">
        <f>AB47/12</f>
        <v/>
      </c>
      <c r="AD47" s="675">
        <f>SUM(D47:Z47)</f>
        <v/>
      </c>
      <c r="AE47" s="675">
        <f>SUM(AD36:AD47)</f>
        <v/>
      </c>
      <c r="AF47" s="675">
        <f>AE47/12</f>
        <v/>
      </c>
    </row>
    <row r="48">
      <c r="A48" s="689" t="n">
        <v>42856</v>
      </c>
      <c r="B48" s="687" t="n">
        <v>194190</v>
      </c>
      <c r="C48" s="687" t="n">
        <v>41550</v>
      </c>
      <c r="D48" s="687" t="n">
        <v>2093.875</v>
      </c>
      <c r="E48" s="687" t="n">
        <v>11250</v>
      </c>
      <c r="F48" s="687" t="n">
        <v>260</v>
      </c>
      <c r="G48" s="687" t="n"/>
      <c r="H48" s="687" t="n">
        <v>1900</v>
      </c>
      <c r="I48" s="687" t="n"/>
      <c r="J48" s="695">
        <f>29-8-13</f>
        <v/>
      </c>
      <c r="K48" s="687" t="n">
        <v>1563</v>
      </c>
      <c r="L48" s="687" t="n">
        <v>250</v>
      </c>
      <c r="M48" s="560" t="n">
        <v>3400</v>
      </c>
      <c r="N48" s="560" t="n">
        <v>400</v>
      </c>
      <c r="O48" s="696" t="inlineStr">
        <is>
          <t>-</t>
        </is>
      </c>
      <c r="P48" s="696">
        <f>0.67*129</f>
        <v/>
      </c>
      <c r="Q48" s="695" t="n">
        <v>0</v>
      </c>
      <c r="R48" s="696" t="n"/>
      <c r="S48" s="696" t="n"/>
      <c r="T48" s="696" t="n"/>
      <c r="U48" s="687" t="n"/>
      <c r="V48" s="687" t="n"/>
      <c r="W48" s="687">
        <f>'Raw Food Data (KG)'!Q9</f>
        <v/>
      </c>
      <c r="X48" s="687" t="n">
        <v>0</v>
      </c>
      <c r="Y48" s="687" t="n"/>
      <c r="Z48" s="697" t="n"/>
      <c r="AA48" s="676">
        <f>SUM(B48:C48)</f>
        <v/>
      </c>
      <c r="AB48" s="675">
        <f>SUM(AA37:AA48)</f>
        <v/>
      </c>
      <c r="AC48" s="675">
        <f>AB48/12</f>
        <v/>
      </c>
      <c r="AD48" s="675">
        <f>SUM(D48:Z48)</f>
        <v/>
      </c>
      <c r="AE48" s="675">
        <f>SUM(AD37:AD48)</f>
        <v/>
      </c>
      <c r="AF48" s="675">
        <f>AE48/12</f>
        <v/>
      </c>
    </row>
    <row r="49">
      <c r="A49" s="689" t="n">
        <v>42887</v>
      </c>
      <c r="B49" s="687" t="n">
        <v>204680</v>
      </c>
      <c r="C49" s="687" t="n">
        <v>51440</v>
      </c>
      <c r="D49" s="687" t="n">
        <v>2093.875</v>
      </c>
      <c r="E49" s="687" t="n">
        <v>7160</v>
      </c>
      <c r="F49" s="687" t="n">
        <v>400</v>
      </c>
      <c r="G49" s="687" t="n"/>
      <c r="H49" s="687">
        <f>1991+1020</f>
        <v/>
      </c>
      <c r="I49" s="687" t="n"/>
      <c r="J49" s="695" t="n">
        <v>0</v>
      </c>
      <c r="K49" s="687" t="n">
        <v>1981</v>
      </c>
      <c r="L49" s="687" t="n">
        <v>250</v>
      </c>
      <c r="M49" s="560" t="n">
        <v>800</v>
      </c>
      <c r="N49" s="560" t="n">
        <v>400</v>
      </c>
      <c r="O49" s="696" t="inlineStr">
        <is>
          <t>-</t>
        </is>
      </c>
      <c r="P49" s="696" t="n">
        <v>0</v>
      </c>
      <c r="Q49" s="695" t="n">
        <v>0</v>
      </c>
      <c r="R49" s="696">
        <f>0.34*1000</f>
        <v/>
      </c>
      <c r="S49" s="696" t="n"/>
      <c r="T49" s="696" t="n"/>
      <c r="U49" s="687" t="n"/>
      <c r="V49" s="687" t="n"/>
      <c r="W49" s="687">
        <f>'Raw Food Data (KG)'!Q10</f>
        <v/>
      </c>
      <c r="X49" s="687" t="n">
        <v>0</v>
      </c>
      <c r="Y49" s="687" t="n"/>
      <c r="Z49" s="697" t="n"/>
      <c r="AA49" s="676">
        <f>SUM(B49:C49)</f>
        <v/>
      </c>
      <c r="AB49" s="675">
        <f>SUM(AA38:AA49)</f>
        <v/>
      </c>
      <c r="AC49" s="675">
        <f>AB49/12</f>
        <v/>
      </c>
      <c r="AD49" s="675">
        <f>SUM(D49:Z49)</f>
        <v/>
      </c>
      <c r="AE49" s="675">
        <f>SUM(AD38:AD49)</f>
        <v/>
      </c>
      <c r="AF49" s="675">
        <f>AE49/12</f>
        <v/>
      </c>
      <c r="AH49" s="693">
        <f>AB49+AE49</f>
        <v/>
      </c>
    </row>
    <row r="50">
      <c r="A50" s="689" t="n">
        <v>42917</v>
      </c>
      <c r="B50" s="690" t="n">
        <v>180020</v>
      </c>
      <c r="C50" s="690" t="n">
        <v>45550</v>
      </c>
      <c r="D50" s="690" t="n">
        <v>2093.875</v>
      </c>
      <c r="E50" s="690" t="n">
        <v>10930</v>
      </c>
      <c r="F50" s="690" t="n">
        <v>270</v>
      </c>
      <c r="G50" s="690" t="n"/>
      <c r="H50" s="690" t="n">
        <v>1863.5</v>
      </c>
      <c r="I50" s="690" t="n"/>
      <c r="J50" s="685" t="n">
        <v>2.568</v>
      </c>
      <c r="K50" s="690" t="n">
        <v>1948</v>
      </c>
      <c r="L50" s="690" t="n">
        <v>100</v>
      </c>
      <c r="M50" s="558" t="n">
        <v>3200</v>
      </c>
      <c r="N50" s="558" t="n">
        <v>400</v>
      </c>
      <c r="O50" s="686" t="inlineStr">
        <is>
          <t>-</t>
        </is>
      </c>
      <c r="P50" s="686">
        <f>0.67*148</f>
        <v/>
      </c>
      <c r="Q50" s="685" t="n">
        <v>3</v>
      </c>
      <c r="R50" s="686" t="n"/>
      <c r="S50" s="686" t="n"/>
      <c r="T50" s="686" t="n"/>
      <c r="U50" s="690" t="n"/>
      <c r="V50" s="690" t="n"/>
      <c r="W50" s="687">
        <f>'Raw Food Data (KG)'!Q11</f>
        <v/>
      </c>
      <c r="X50" s="690" t="n">
        <v>0</v>
      </c>
      <c r="Y50" s="690" t="n"/>
      <c r="Z50" s="692" t="n"/>
      <c r="AA50" s="676">
        <f>SUM(B50:C50)</f>
        <v/>
      </c>
      <c r="AB50" s="675">
        <f>SUM(AA39:AA50)</f>
        <v/>
      </c>
      <c r="AC50" s="675">
        <f>AB50/12</f>
        <v/>
      </c>
      <c r="AD50" s="675">
        <f>SUM(D50:Z50)</f>
        <v/>
      </c>
      <c r="AE50" s="675">
        <f>SUM(AD39:AD50)</f>
        <v/>
      </c>
      <c r="AF50" s="675">
        <f>AE50/12</f>
        <v/>
      </c>
    </row>
    <row r="51">
      <c r="A51" s="689" t="n">
        <v>42948</v>
      </c>
      <c r="B51" s="690" t="n">
        <v>205980</v>
      </c>
      <c r="C51" s="690" t="n">
        <v>48250</v>
      </c>
      <c r="D51" s="690" t="n">
        <v>2093.875</v>
      </c>
      <c r="E51" s="690" t="n">
        <v>10700</v>
      </c>
      <c r="F51" s="690" t="n">
        <v>210</v>
      </c>
      <c r="G51" s="690" t="n"/>
      <c r="H51" s="690" t="n">
        <v>975</v>
      </c>
      <c r="I51" s="690" t="n"/>
      <c r="J51" s="685" t="n">
        <v>0</v>
      </c>
      <c r="K51" s="690" t="n">
        <v>1726</v>
      </c>
      <c r="L51" s="690" t="n">
        <v>0</v>
      </c>
      <c r="M51" s="558" t="n">
        <v>800</v>
      </c>
      <c r="N51" s="558" t="n">
        <v>400</v>
      </c>
      <c r="O51" s="686" t="inlineStr">
        <is>
          <t>-</t>
        </is>
      </c>
      <c r="P51" s="686" t="n">
        <v>0</v>
      </c>
      <c r="Q51" s="685" t="n">
        <v>0</v>
      </c>
      <c r="R51" s="686">
        <f>0.34*700</f>
        <v/>
      </c>
      <c r="S51" s="686">
        <f>0.13*300</f>
        <v/>
      </c>
      <c r="T51" s="686" t="n"/>
      <c r="U51" s="690" t="n"/>
      <c r="V51" s="690" t="n"/>
      <c r="W51" s="687">
        <f>'Raw Food Data (KG)'!Q12</f>
        <v/>
      </c>
      <c r="X51" s="690" t="n">
        <v>0</v>
      </c>
      <c r="Y51" s="690" t="n"/>
      <c r="Z51" s="692" t="n"/>
      <c r="AA51" s="676">
        <f>SUM(B51:C51)</f>
        <v/>
      </c>
      <c r="AB51" s="675">
        <f>SUM(AA40:AA51)</f>
        <v/>
      </c>
      <c r="AC51" s="675">
        <f>AB51/12</f>
        <v/>
      </c>
      <c r="AD51" s="675">
        <f>SUM(D51:Z51)</f>
        <v/>
      </c>
      <c r="AE51" s="675">
        <f>SUM(AD40:AD51)</f>
        <v/>
      </c>
      <c r="AF51" s="675">
        <f>AE51/12</f>
        <v/>
      </c>
    </row>
    <row r="52">
      <c r="A52" s="689" t="n">
        <v>42979</v>
      </c>
      <c r="B52" s="690" t="n">
        <v>204680</v>
      </c>
      <c r="C52" s="690" t="n">
        <v>55310</v>
      </c>
      <c r="D52" s="690" t="n">
        <v>721</v>
      </c>
      <c r="E52" s="690" t="n">
        <v>7160</v>
      </c>
      <c r="F52" s="690" t="n">
        <v>400</v>
      </c>
      <c r="G52" s="690" t="n"/>
      <c r="H52" s="690" t="n">
        <v>975</v>
      </c>
      <c r="I52" s="690" t="n"/>
      <c r="J52" s="685" t="n">
        <v>3.434</v>
      </c>
      <c r="K52" s="690" t="n">
        <v>3290</v>
      </c>
      <c r="L52" s="690" t="n">
        <v>200</v>
      </c>
      <c r="M52" s="558" t="n">
        <v>800</v>
      </c>
      <c r="N52" s="558" t="n">
        <v>400</v>
      </c>
      <c r="O52" s="686" t="inlineStr">
        <is>
          <t>-</t>
        </is>
      </c>
      <c r="P52" s="686" t="n">
        <v>0</v>
      </c>
      <c r="Q52" s="685" t="n">
        <v>0</v>
      </c>
      <c r="R52" s="686" t="n"/>
      <c r="S52" s="686" t="n"/>
      <c r="T52" s="686" t="n"/>
      <c r="U52" s="690" t="n"/>
      <c r="V52" s="690" t="n"/>
      <c r="W52" s="687">
        <f>'Raw Food Data (KG)'!Q13</f>
        <v/>
      </c>
      <c r="X52" s="690" t="n">
        <v>0</v>
      </c>
      <c r="Y52" s="690" t="n"/>
      <c r="Z52" s="692" t="n"/>
      <c r="AA52" s="676">
        <f>SUM(B52:C52)</f>
        <v/>
      </c>
      <c r="AB52" s="675">
        <f>SUM(AA41:AA52)</f>
        <v/>
      </c>
      <c r="AC52" s="675">
        <f>AB52/12</f>
        <v/>
      </c>
      <c r="AD52" s="675">
        <f>SUM(D52:Z52)</f>
        <v/>
      </c>
      <c r="AE52" s="675">
        <f>SUM(AD41:AD52)</f>
        <v/>
      </c>
      <c r="AF52" s="675">
        <f>AE52/12</f>
        <v/>
      </c>
    </row>
    <row r="53">
      <c r="A53" s="689" t="n">
        <v>43009</v>
      </c>
      <c r="B53" s="690" t="n">
        <v>205980</v>
      </c>
      <c r="C53" s="690" t="n">
        <v>65260.00000000001</v>
      </c>
      <c r="D53" s="690" t="n">
        <v>423</v>
      </c>
      <c r="E53" s="690" t="n">
        <v>9910</v>
      </c>
      <c r="F53" s="690" t="n">
        <v>200</v>
      </c>
      <c r="G53" s="690" t="n"/>
      <c r="H53" s="690" t="n">
        <v>1691</v>
      </c>
      <c r="I53" s="690" t="n"/>
      <c r="J53" s="685" t="n">
        <v>0</v>
      </c>
      <c r="K53" s="690" t="n">
        <v>0</v>
      </c>
      <c r="L53" s="690" t="n">
        <v>70</v>
      </c>
      <c r="M53" s="558" t="n">
        <v>800</v>
      </c>
      <c r="N53" s="558" t="n">
        <v>400</v>
      </c>
      <c r="O53" s="686" t="inlineStr">
        <is>
          <t>-</t>
        </is>
      </c>
      <c r="P53" s="686">
        <f>0.67*193</f>
        <v/>
      </c>
      <c r="Q53" s="685" t="n">
        <v>7</v>
      </c>
      <c r="R53" s="686" t="n"/>
      <c r="S53" s="686" t="n"/>
      <c r="T53" s="686" t="n"/>
      <c r="U53" s="690" t="n"/>
      <c r="V53" s="690" t="n"/>
      <c r="W53" s="687">
        <f>'Raw Food Data (KG)'!Q14</f>
        <v/>
      </c>
      <c r="X53" s="690" t="n">
        <v>0</v>
      </c>
      <c r="Y53" s="690" t="n"/>
      <c r="Z53" s="692" t="n"/>
      <c r="AA53" s="676">
        <f>SUM(B53:C53)</f>
        <v/>
      </c>
      <c r="AB53" s="675">
        <f>SUM(AA42:AA53)</f>
        <v/>
      </c>
      <c r="AC53" s="675">
        <f>AB53/12</f>
        <v/>
      </c>
      <c r="AD53" s="675">
        <f>SUM(D53:Z53)</f>
        <v/>
      </c>
      <c r="AE53" s="675">
        <f>SUM(AD42:AD53)</f>
        <v/>
      </c>
      <c r="AF53" s="675">
        <f>AE53/12</f>
        <v/>
      </c>
    </row>
    <row r="54">
      <c r="A54" s="689" t="n">
        <v>43040</v>
      </c>
      <c r="B54" s="690" t="n">
        <v>227040</v>
      </c>
      <c r="C54" s="690" t="n">
        <v>65069.99999999999</v>
      </c>
      <c r="D54" s="690" t="n">
        <v>828</v>
      </c>
      <c r="E54" s="690" t="n">
        <v>9740</v>
      </c>
      <c r="F54" s="690" t="n">
        <v>210</v>
      </c>
      <c r="G54" s="690" t="n"/>
      <c r="H54" s="690" t="n">
        <v>975</v>
      </c>
      <c r="I54" s="690" t="n"/>
      <c r="J54" s="685" t="n">
        <v>2.011</v>
      </c>
      <c r="K54" s="690" t="n">
        <v>3956</v>
      </c>
      <c r="L54" s="690" t="n">
        <v>100</v>
      </c>
      <c r="M54" s="558" t="n">
        <v>1200</v>
      </c>
      <c r="N54" s="558" t="n">
        <v>600</v>
      </c>
      <c r="O54" s="686" t="inlineStr">
        <is>
          <t>-</t>
        </is>
      </c>
      <c r="P54" s="686" t="n">
        <v>0</v>
      </c>
      <c r="Q54" s="685" t="n">
        <v>0</v>
      </c>
      <c r="R54" s="686">
        <f>0.34*700</f>
        <v/>
      </c>
      <c r="S54" s="686">
        <f>0.13*300</f>
        <v/>
      </c>
      <c r="T54" s="686" t="n"/>
      <c r="U54" s="690" t="n"/>
      <c r="V54" s="690" t="n"/>
      <c r="W54" s="687">
        <f>'Raw Food Data (KG)'!Q15</f>
        <v/>
      </c>
      <c r="X54" s="690" t="n">
        <v>0</v>
      </c>
      <c r="Y54" s="690" t="n"/>
      <c r="Z54" s="692" t="n"/>
      <c r="AA54" s="676">
        <f>SUM(B54:C54)</f>
        <v/>
      </c>
      <c r="AB54" s="675">
        <f>SUM(AA43:AA54)</f>
        <v/>
      </c>
      <c r="AC54" s="675">
        <f>AB54/12</f>
        <v/>
      </c>
      <c r="AD54" s="675">
        <f>SUM(D54:Z54)</f>
        <v/>
      </c>
      <c r="AE54" s="675">
        <f>SUM(AD43:AD54)</f>
        <v/>
      </c>
      <c r="AF54" s="675">
        <f>AE54/12</f>
        <v/>
      </c>
    </row>
    <row r="55">
      <c r="A55" s="689" t="n">
        <v>43070</v>
      </c>
      <c r="B55" s="690" t="n">
        <v>212210</v>
      </c>
      <c r="C55" s="690" t="n">
        <v>24760</v>
      </c>
      <c r="D55" s="690" t="n">
        <v>1935</v>
      </c>
      <c r="E55" s="690" t="n">
        <v>8410</v>
      </c>
      <c r="F55" s="690" t="n">
        <v>150</v>
      </c>
      <c r="G55" s="690" t="n"/>
      <c r="H55" s="690" t="n">
        <v>1882</v>
      </c>
      <c r="I55" s="690" t="n">
        <v>110.05</v>
      </c>
      <c r="J55" s="685" t="n">
        <v>0</v>
      </c>
      <c r="K55" s="690" t="n">
        <v>4858</v>
      </c>
      <c r="L55" s="690" t="n">
        <v>100</v>
      </c>
      <c r="M55" s="558" t="n">
        <v>1800</v>
      </c>
      <c r="N55" s="558" t="n">
        <v>400</v>
      </c>
      <c r="O55" s="686">
        <f>0.05*92</f>
        <v/>
      </c>
      <c r="P55" s="686">
        <f>0.67*193</f>
        <v/>
      </c>
      <c r="Q55" s="685" t="n">
        <v>0</v>
      </c>
      <c r="R55" s="686">
        <f>0.34*500</f>
        <v/>
      </c>
      <c r="S55" s="686" t="n"/>
      <c r="T55" s="686">
        <f>0.15*500</f>
        <v/>
      </c>
      <c r="U55" s="690" t="n"/>
      <c r="V55" s="690" t="n"/>
      <c r="W55" s="687">
        <f>'Raw Food Data (KG)'!Q16</f>
        <v/>
      </c>
      <c r="X55" s="690" t="n">
        <v>0</v>
      </c>
      <c r="Y55" s="690" t="n"/>
      <c r="Z55" s="692" t="n"/>
      <c r="AA55" s="676">
        <f>SUM(B55:C55)</f>
        <v/>
      </c>
      <c r="AB55" s="675">
        <f>SUM(AA44:AA55)</f>
        <v/>
      </c>
      <c r="AC55" s="675">
        <f>AB55/12</f>
        <v/>
      </c>
      <c r="AD55" s="675">
        <f>SUM(D55:Z55)</f>
        <v/>
      </c>
      <c r="AE55" s="675">
        <f>SUM(AD44:AD55)</f>
        <v/>
      </c>
      <c r="AF55" s="675">
        <f>AE55/12</f>
        <v/>
      </c>
    </row>
    <row r="56">
      <c r="A56" s="689" t="n">
        <v>43101</v>
      </c>
      <c r="B56" s="690" t="n">
        <v>214260</v>
      </c>
      <c r="C56" s="690" t="n">
        <v>65069.99999999999</v>
      </c>
      <c r="D56" s="690" t="n">
        <v>196</v>
      </c>
      <c r="E56" s="690" t="n">
        <v>9740</v>
      </c>
      <c r="F56" s="690" t="n">
        <v>210</v>
      </c>
      <c r="G56" s="690" t="n"/>
      <c r="H56" s="690" t="n">
        <v>975</v>
      </c>
      <c r="I56" s="690" t="n">
        <v>58.3</v>
      </c>
      <c r="J56" s="685" t="n">
        <v>0</v>
      </c>
      <c r="K56" s="690" t="n">
        <v>0</v>
      </c>
      <c r="L56" s="690" t="n">
        <v>150</v>
      </c>
      <c r="M56" s="558" t="n">
        <v>1600</v>
      </c>
      <c r="N56" s="558" t="n">
        <v>400</v>
      </c>
      <c r="O56" s="686" t="inlineStr">
        <is>
          <t>-</t>
        </is>
      </c>
      <c r="P56" s="686" t="n">
        <v>0</v>
      </c>
      <c r="Q56" s="685" t="n">
        <v>0</v>
      </c>
      <c r="R56" s="686" t="n"/>
      <c r="S56" s="686" t="n"/>
      <c r="T56" s="686" t="n"/>
      <c r="U56" s="690" t="n"/>
      <c r="V56" s="690" t="n"/>
      <c r="W56" s="687">
        <f>'Raw Food Data (KG)'!Q17</f>
        <v/>
      </c>
      <c r="X56" s="690" t="n">
        <v>0</v>
      </c>
      <c r="Y56" s="690" t="n"/>
      <c r="Z56" s="692" t="n"/>
      <c r="AA56" s="676">
        <f>SUM(B56:C56)</f>
        <v/>
      </c>
      <c r="AB56" s="675">
        <f>SUM(AA45:AA56)</f>
        <v/>
      </c>
      <c r="AC56" s="675">
        <f>AB56/12</f>
        <v/>
      </c>
      <c r="AD56" s="675">
        <f>SUM(D56:Z56)</f>
        <v/>
      </c>
      <c r="AE56" s="675">
        <f>SUM(AD45:AD56)</f>
        <v/>
      </c>
      <c r="AF56" s="675">
        <f>AE56/12</f>
        <v/>
      </c>
    </row>
    <row r="57">
      <c r="A57" s="689" t="n">
        <v>43132</v>
      </c>
      <c r="B57" s="690" t="n">
        <v>202080</v>
      </c>
      <c r="C57" s="690" t="n">
        <v>18960</v>
      </c>
      <c r="D57" s="690" t="n">
        <v>313</v>
      </c>
      <c r="E57" s="690" t="n">
        <v>7530</v>
      </c>
      <c r="F57" s="690" t="n">
        <v>150</v>
      </c>
      <c r="G57" s="690" t="n"/>
      <c r="H57" s="690" t="n">
        <v>140</v>
      </c>
      <c r="I57" s="690" t="n">
        <v>60.3</v>
      </c>
      <c r="J57" s="685" t="n">
        <v>0</v>
      </c>
      <c r="K57" s="690" t="n">
        <v>2040</v>
      </c>
      <c r="L57" s="690" t="n">
        <v>0</v>
      </c>
      <c r="M57" s="558" t="n">
        <v>1200</v>
      </c>
      <c r="N57" s="558" t="n">
        <v>200</v>
      </c>
      <c r="O57" s="686" t="inlineStr">
        <is>
          <t>-</t>
        </is>
      </c>
      <c r="P57" s="686" t="n">
        <v>0</v>
      </c>
      <c r="Q57" s="685" t="n">
        <v>0</v>
      </c>
      <c r="R57" s="686" t="n"/>
      <c r="S57" s="686" t="n"/>
      <c r="T57" s="686" t="n"/>
      <c r="U57" s="690" t="n"/>
      <c r="V57" s="690" t="n">
        <v>1300</v>
      </c>
      <c r="W57" s="687">
        <f>'Raw Food Data (KG)'!Q18</f>
        <v/>
      </c>
      <c r="X57" s="690" t="n">
        <v>0</v>
      </c>
      <c r="Y57" s="690" t="n"/>
      <c r="Z57" s="692" t="n"/>
      <c r="AA57" s="676">
        <f>SUM(B57:C57)</f>
        <v/>
      </c>
      <c r="AB57" s="675">
        <f>SUM(AA46:AA57)</f>
        <v/>
      </c>
      <c r="AC57" s="675">
        <f>AB57/12</f>
        <v/>
      </c>
      <c r="AD57" s="675">
        <f>SUM(D57:Z57)</f>
        <v/>
      </c>
      <c r="AE57" s="675">
        <f>SUM(AD46:AD57)</f>
        <v/>
      </c>
      <c r="AF57" s="675">
        <f>AE57/12</f>
        <v/>
      </c>
    </row>
    <row r="58">
      <c r="A58" s="689" t="n">
        <v>43160</v>
      </c>
      <c r="B58" s="690" t="n">
        <v>195120</v>
      </c>
      <c r="C58" s="690" t="n">
        <v>41590</v>
      </c>
      <c r="D58" s="690" t="n">
        <v>181</v>
      </c>
      <c r="E58" s="690" t="n">
        <v>9500</v>
      </c>
      <c r="F58" s="690" t="n">
        <v>170</v>
      </c>
      <c r="G58" s="690" t="n">
        <v>330</v>
      </c>
      <c r="H58" s="690" t="n">
        <v>450</v>
      </c>
      <c r="I58" s="690" t="n">
        <v>68.5</v>
      </c>
      <c r="J58" s="685" t="n">
        <v>0</v>
      </c>
      <c r="K58" s="690" t="n">
        <v>1740</v>
      </c>
      <c r="L58" s="690" t="n">
        <v>80</v>
      </c>
      <c r="M58" s="558" t="n">
        <v>1600</v>
      </c>
      <c r="N58" s="558" t="n">
        <v>400</v>
      </c>
      <c r="O58" s="686" t="inlineStr">
        <is>
          <t>-</t>
        </is>
      </c>
      <c r="P58" s="686">
        <f>0.67*260</f>
        <v/>
      </c>
      <c r="Q58" s="685" t="n">
        <v>7</v>
      </c>
      <c r="R58" s="686" t="n"/>
      <c r="S58" s="686" t="n"/>
      <c r="T58" s="686" t="n"/>
      <c r="U58" s="690" t="n"/>
      <c r="V58" s="690" t="n">
        <v>1500</v>
      </c>
      <c r="W58" s="687">
        <f>'Raw Food Data (KG)'!Q19</f>
        <v/>
      </c>
      <c r="X58" s="690" t="n">
        <v>0</v>
      </c>
      <c r="Y58" s="690" t="n"/>
      <c r="Z58" s="692" t="n"/>
      <c r="AA58" s="676">
        <f>SUM(B58:C58)</f>
        <v/>
      </c>
      <c r="AB58" s="675">
        <f>SUM(AA47:AA58)</f>
        <v/>
      </c>
      <c r="AC58" s="675">
        <f>AB58/12</f>
        <v/>
      </c>
      <c r="AD58" s="675">
        <f>SUM(D58:Z58)</f>
        <v/>
      </c>
      <c r="AE58" s="675">
        <f>SUM(AD47:AD58)</f>
        <v/>
      </c>
      <c r="AF58" s="675">
        <f>AE58/12</f>
        <v/>
      </c>
    </row>
    <row r="59">
      <c r="A59" s="689" t="n">
        <v>43191</v>
      </c>
      <c r="B59" s="690" t="n">
        <v>177650</v>
      </c>
      <c r="C59" s="690" t="n">
        <v>25270</v>
      </c>
      <c r="D59" s="690" t="n">
        <v>0</v>
      </c>
      <c r="E59" s="690" t="n">
        <v>9790</v>
      </c>
      <c r="F59" s="690" t="n">
        <v>170</v>
      </c>
      <c r="G59" s="690" t="n"/>
      <c r="H59" s="690" t="n">
        <v>460</v>
      </c>
      <c r="I59" s="690" t="n">
        <v>56.4</v>
      </c>
      <c r="J59" s="685" t="n">
        <v>11.511</v>
      </c>
      <c r="K59" s="690" t="n">
        <v>1490</v>
      </c>
      <c r="L59" s="690" t="n">
        <v>180</v>
      </c>
      <c r="M59" s="558" t="n">
        <v>4600</v>
      </c>
      <c r="N59" s="558" t="n">
        <v>400</v>
      </c>
      <c r="O59" s="686" t="inlineStr">
        <is>
          <t>-</t>
        </is>
      </c>
      <c r="P59" s="686" t="n">
        <v>0</v>
      </c>
      <c r="Q59" s="685" t="n">
        <v>0</v>
      </c>
      <c r="R59" s="686" t="n"/>
      <c r="S59" s="686">
        <f>0.13*(1000+1600)</f>
        <v/>
      </c>
      <c r="T59" s="686">
        <f>0.15*(1000+400)</f>
        <v/>
      </c>
      <c r="U59" s="690" t="n"/>
      <c r="V59" s="690" t="n">
        <v>1300</v>
      </c>
      <c r="W59" s="687">
        <f>'Raw Food Data (KG)'!Q20</f>
        <v/>
      </c>
      <c r="X59" s="690" t="n">
        <v>0</v>
      </c>
      <c r="Y59" s="690" t="n">
        <v>3000</v>
      </c>
      <c r="Z59" s="692" t="n"/>
      <c r="AA59" s="676">
        <f>SUM(B59:C59)</f>
        <v/>
      </c>
      <c r="AB59" s="675">
        <f>SUM(AA48:AA59)</f>
        <v/>
      </c>
      <c r="AC59" s="675">
        <f>AB59/12</f>
        <v/>
      </c>
      <c r="AD59" s="675">
        <f>SUM(D59:Z59)</f>
        <v/>
      </c>
      <c r="AE59" s="675">
        <f>SUM(AD48:AD59)</f>
        <v/>
      </c>
      <c r="AF59" s="675">
        <f>AE59/12</f>
        <v/>
      </c>
    </row>
    <row r="60">
      <c r="A60" s="689" t="n">
        <v>43221</v>
      </c>
      <c r="B60" s="690" t="n">
        <v>172500</v>
      </c>
      <c r="C60" s="690" t="n">
        <v>37170</v>
      </c>
      <c r="D60" s="690" t="n">
        <v>130</v>
      </c>
      <c r="E60" s="690" t="n">
        <v>11580</v>
      </c>
      <c r="F60" s="690" t="n">
        <v>170</v>
      </c>
      <c r="G60" s="690" t="n"/>
      <c r="H60" s="690" t="n">
        <v>670</v>
      </c>
      <c r="I60" s="690" t="n">
        <v>0</v>
      </c>
      <c r="J60" s="685" t="n">
        <v>0</v>
      </c>
      <c r="K60" s="690" t="n">
        <v>0</v>
      </c>
      <c r="L60" s="690" t="n">
        <v>170</v>
      </c>
      <c r="M60" s="558" t="n">
        <v>2400</v>
      </c>
      <c r="N60" s="558" t="n">
        <v>200</v>
      </c>
      <c r="O60" s="686" t="inlineStr">
        <is>
          <t>-</t>
        </is>
      </c>
      <c r="P60" s="686" t="n">
        <v>0</v>
      </c>
      <c r="Q60" s="685" t="n">
        <v>0</v>
      </c>
      <c r="R60" s="686" t="n"/>
      <c r="S60" s="686" t="n"/>
      <c r="T60" s="686" t="n"/>
      <c r="U60" s="690" t="n"/>
      <c r="V60" s="690" t="n">
        <v>3400</v>
      </c>
      <c r="W60" s="687">
        <f>'Raw Food Data (KG)'!Q21</f>
        <v/>
      </c>
      <c r="X60" s="690" t="n">
        <v>0</v>
      </c>
      <c r="Y60" s="690" t="n">
        <v>12000</v>
      </c>
      <c r="Z60" s="692" t="n"/>
      <c r="AA60" s="676">
        <f>SUM(B60:C60)</f>
        <v/>
      </c>
      <c r="AB60" s="675">
        <f>SUM(AA49:AA60)</f>
        <v/>
      </c>
      <c r="AC60" s="675">
        <f>AB60/12</f>
        <v/>
      </c>
      <c r="AD60" s="675">
        <f>SUM(D60:Z60)</f>
        <v/>
      </c>
      <c r="AE60" s="675">
        <f>SUM(AD49:AD60)</f>
        <v/>
      </c>
      <c r="AF60" s="675">
        <f>AE60/12</f>
        <v/>
      </c>
    </row>
    <row r="61">
      <c r="A61" s="689" t="n">
        <v>43252</v>
      </c>
      <c r="B61" s="690" t="n">
        <v>172790</v>
      </c>
      <c r="C61" s="690" t="n">
        <v>40100</v>
      </c>
      <c r="D61" s="690" t="n">
        <v>4124</v>
      </c>
      <c r="E61" s="690" t="n">
        <v>10110</v>
      </c>
      <c r="F61" s="690" t="n">
        <v>210</v>
      </c>
      <c r="G61" s="690" t="n"/>
      <c r="H61" s="690" t="n">
        <v>340</v>
      </c>
      <c r="I61" s="690" t="n">
        <v>119.65</v>
      </c>
      <c r="J61" s="685" t="n">
        <v>0</v>
      </c>
      <c r="K61" s="690" t="n">
        <v>3470</v>
      </c>
      <c r="L61" s="690" t="n">
        <v>280</v>
      </c>
      <c r="M61" s="558" t="n">
        <v>800</v>
      </c>
      <c r="N61" s="558" t="n">
        <v>400</v>
      </c>
      <c r="O61" s="686" t="inlineStr">
        <is>
          <t>-</t>
        </is>
      </c>
      <c r="P61" s="686" t="n">
        <v>0</v>
      </c>
      <c r="Q61" s="685" t="n">
        <v>0</v>
      </c>
      <c r="R61" s="686" t="n"/>
      <c r="S61" s="686" t="n"/>
      <c r="T61" s="686" t="n"/>
      <c r="U61" s="690" t="n"/>
      <c r="V61" s="690" t="n">
        <v>40370</v>
      </c>
      <c r="W61" s="687">
        <f>'Raw Food Data (KG)'!Q22</f>
        <v/>
      </c>
      <c r="X61" s="690" t="n">
        <v>0</v>
      </c>
      <c r="Y61" s="690" t="n">
        <v>6000</v>
      </c>
      <c r="Z61" s="692" t="n"/>
      <c r="AA61" s="676">
        <f>SUM(B61:C61)</f>
        <v/>
      </c>
      <c r="AB61" s="675">
        <f>SUM(AA50:AA61)</f>
        <v/>
      </c>
      <c r="AC61" s="675">
        <f>AB61/12</f>
        <v/>
      </c>
      <c r="AD61" s="675">
        <f>SUM(D61:Z61)</f>
        <v/>
      </c>
      <c r="AE61" s="675">
        <f>SUM(AD50:AD61)</f>
        <v/>
      </c>
      <c r="AF61" s="675">
        <f>AE61/12</f>
        <v/>
      </c>
      <c r="AH61" s="693">
        <f>AB61+AE61</f>
        <v/>
      </c>
    </row>
    <row r="62">
      <c r="A62" s="689" t="n">
        <v>43282</v>
      </c>
      <c r="B62" s="687" t="n">
        <v>181220</v>
      </c>
      <c r="C62" s="687" t="n">
        <v>34440</v>
      </c>
      <c r="D62" s="687" t="n">
        <v>144</v>
      </c>
      <c r="E62" s="687" t="n">
        <v>11130</v>
      </c>
      <c r="F62" s="687" t="n">
        <v>260</v>
      </c>
      <c r="G62" s="687" t="n"/>
      <c r="H62" s="687" t="n">
        <v>560</v>
      </c>
      <c r="I62" s="687" t="n">
        <v>57.8</v>
      </c>
      <c r="J62" s="695" t="n">
        <v>0</v>
      </c>
      <c r="K62" s="687" t="n">
        <v>0</v>
      </c>
      <c r="L62" s="687" t="n">
        <v>130</v>
      </c>
      <c r="M62" s="560" t="n">
        <v>800</v>
      </c>
      <c r="N62" s="560" t="n">
        <v>400</v>
      </c>
      <c r="O62" s="696" t="inlineStr">
        <is>
          <t>-</t>
        </is>
      </c>
      <c r="P62" s="696" t="n">
        <v>0</v>
      </c>
      <c r="Q62" s="695" t="n">
        <v>0</v>
      </c>
      <c r="R62" s="696" t="n">
        <v>0</v>
      </c>
      <c r="S62" s="696">
        <f>0.13*800</f>
        <v/>
      </c>
      <c r="T62" s="696">
        <f>0.15*200</f>
        <v/>
      </c>
      <c r="U62" s="687" t="n"/>
      <c r="V62" s="687" t="n">
        <v>0</v>
      </c>
      <c r="W62" s="687">
        <f>'Raw Food Data (KG)'!Q23</f>
        <v/>
      </c>
      <c r="X62" s="687" t="n">
        <v>0</v>
      </c>
      <c r="Y62" s="687" t="n">
        <v>5000</v>
      </c>
      <c r="Z62" s="697" t="n"/>
      <c r="AA62" s="676">
        <f>SUM(B62:C62)</f>
        <v/>
      </c>
      <c r="AB62" s="675">
        <f>SUM(AA51:AA62)</f>
        <v/>
      </c>
      <c r="AC62" s="675">
        <f>AB62/12</f>
        <v/>
      </c>
      <c r="AD62" s="675">
        <f>SUM(D62:Z62)</f>
        <v/>
      </c>
      <c r="AE62" s="675">
        <f>SUM(AD51:AD62)</f>
        <v/>
      </c>
      <c r="AF62" s="675">
        <f>AE62/12</f>
        <v/>
      </c>
    </row>
    <row r="63">
      <c r="A63" s="689" t="n">
        <v>43313</v>
      </c>
      <c r="B63" s="687" t="n">
        <v>176530</v>
      </c>
      <c r="C63" s="687" t="n">
        <v>29500</v>
      </c>
      <c r="D63" s="687" t="n">
        <v>66</v>
      </c>
      <c r="E63" s="687" t="n">
        <v>10170</v>
      </c>
      <c r="F63" s="687" t="n">
        <v>310</v>
      </c>
      <c r="G63" s="687" t="n"/>
      <c r="H63" s="687" t="n">
        <v>540</v>
      </c>
      <c r="I63" s="687" t="n">
        <v>29.5</v>
      </c>
      <c r="J63" s="695" t="n">
        <v>0</v>
      </c>
      <c r="K63" s="687" t="n">
        <v>2620</v>
      </c>
      <c r="L63" s="687" t="n">
        <v>0</v>
      </c>
      <c r="M63" s="560" t="n">
        <v>800</v>
      </c>
      <c r="N63" s="560" t="n">
        <v>400</v>
      </c>
      <c r="O63" s="696" t="inlineStr">
        <is>
          <t>-</t>
        </is>
      </c>
      <c r="P63" s="696" t="n">
        <v>0</v>
      </c>
      <c r="Q63" s="695" t="n">
        <v>0</v>
      </c>
      <c r="R63" s="696" t="n">
        <v>0</v>
      </c>
      <c r="S63" s="696" t="n">
        <v>0</v>
      </c>
      <c r="T63" s="696" t="n">
        <v>0</v>
      </c>
      <c r="U63" s="687">
        <f>17*27+3*35+4*4.5</f>
        <v/>
      </c>
      <c r="V63" s="687" t="n">
        <v>7200</v>
      </c>
      <c r="W63" s="687">
        <f>'Raw Food Data (KG)'!Q24</f>
        <v/>
      </c>
      <c r="X63" s="687" t="n">
        <v>0</v>
      </c>
      <c r="Y63" s="687" t="n">
        <v>3500</v>
      </c>
      <c r="Z63" s="697" t="n"/>
      <c r="AA63" s="676">
        <f>SUM(B63:C63)</f>
        <v/>
      </c>
      <c r="AB63" s="675">
        <f>SUM(AA52:AA63)</f>
        <v/>
      </c>
      <c r="AC63" s="675">
        <f>AB63/12</f>
        <v/>
      </c>
      <c r="AD63" s="675">
        <f>SUM(D63:Z63)</f>
        <v/>
      </c>
      <c r="AE63" s="675">
        <f>SUM(AD52:AD63)</f>
        <v/>
      </c>
      <c r="AF63" s="675">
        <f>AE63/12</f>
        <v/>
      </c>
    </row>
    <row r="64">
      <c r="A64" s="689" t="n">
        <v>43344</v>
      </c>
      <c r="B64" s="687" t="n">
        <v>173070</v>
      </c>
      <c r="C64" s="687" t="n">
        <v>23680</v>
      </c>
      <c r="D64" s="687" t="n">
        <v>589</v>
      </c>
      <c r="E64" s="687" t="n">
        <v>9110</v>
      </c>
      <c r="F64" s="687" t="n">
        <v>270</v>
      </c>
      <c r="G64" s="687" t="n"/>
      <c r="H64" s="687" t="n">
        <v>660</v>
      </c>
      <c r="I64" s="687" t="n">
        <v>0</v>
      </c>
      <c r="J64" s="695" t="n">
        <v>0.186</v>
      </c>
      <c r="K64" s="687" t="n">
        <v>845</v>
      </c>
      <c r="L64" s="687" t="n">
        <v>260</v>
      </c>
      <c r="M64" s="560" t="n">
        <v>800</v>
      </c>
      <c r="N64" s="560" t="n">
        <v>400</v>
      </c>
      <c r="O64" s="696" t="inlineStr">
        <is>
          <t>-</t>
        </is>
      </c>
      <c r="P64" s="696">
        <f>0.67*238</f>
        <v/>
      </c>
      <c r="Q64" s="695" t="n">
        <v>14</v>
      </c>
      <c r="R64" s="696" t="n">
        <v>0</v>
      </c>
      <c r="S64" s="696" t="n">
        <v>0</v>
      </c>
      <c r="T64" s="696" t="n">
        <v>0</v>
      </c>
      <c r="U64" s="687" t="n"/>
      <c r="V64" s="687" t="n">
        <v>3800</v>
      </c>
      <c r="W64" s="687">
        <f>'Raw Food Data (KG)'!Q25</f>
        <v/>
      </c>
      <c r="X64" s="687" t="n">
        <v>7680</v>
      </c>
      <c r="Y64" s="687" t="n">
        <v>45500</v>
      </c>
      <c r="Z64" s="697" t="n"/>
      <c r="AA64" s="676">
        <f>SUM(B64:C64)</f>
        <v/>
      </c>
      <c r="AB64" s="675">
        <f>SUM(AA53:AA64)</f>
        <v/>
      </c>
      <c r="AC64" s="675">
        <f>AB64/12</f>
        <v/>
      </c>
      <c r="AD64" s="675">
        <f>SUM(D64:Z64)</f>
        <v/>
      </c>
      <c r="AE64" s="675">
        <f>SUM(AD53:AD64)</f>
        <v/>
      </c>
      <c r="AF64" s="675">
        <f>AE64/12</f>
        <v/>
      </c>
    </row>
    <row r="65">
      <c r="A65" s="689" t="n">
        <v>43374</v>
      </c>
      <c r="B65" s="687" t="n">
        <v>177500</v>
      </c>
      <c r="C65" s="687" t="n">
        <v>28200</v>
      </c>
      <c r="D65" s="687" t="n">
        <v>225</v>
      </c>
      <c r="E65" s="687" t="n">
        <v>7540</v>
      </c>
      <c r="F65" s="687" t="n">
        <v>190</v>
      </c>
      <c r="G65" s="687" t="n"/>
      <c r="H65" s="687" t="n">
        <v>1170</v>
      </c>
      <c r="I65" s="687" t="n">
        <v>223.45</v>
      </c>
      <c r="J65" s="695" t="n">
        <v>0</v>
      </c>
      <c r="K65" s="687" t="n">
        <v>1663</v>
      </c>
      <c r="L65" s="687" t="n">
        <v>30</v>
      </c>
      <c r="M65" s="560" t="n">
        <v>2400</v>
      </c>
      <c r="N65" s="560" t="n">
        <v>600</v>
      </c>
      <c r="O65" s="696" t="inlineStr">
        <is>
          <t>-</t>
        </is>
      </c>
      <c r="P65" s="696" t="n">
        <v>0</v>
      </c>
      <c r="Q65" s="695" t="n">
        <v>0</v>
      </c>
      <c r="R65" s="696" t="n"/>
      <c r="S65" s="696" t="n"/>
      <c r="T65" s="696" t="n"/>
      <c r="U65" s="687">
        <f>12*27+1*7.5+2*4.5</f>
        <v/>
      </c>
      <c r="V65" s="687" t="n">
        <v>2700</v>
      </c>
      <c r="W65" s="687">
        <f>'Raw Food Data (KG)'!Q26</f>
        <v/>
      </c>
      <c r="X65" s="687" t="n">
        <v>7680</v>
      </c>
      <c r="Y65" s="687" t="n">
        <v>0</v>
      </c>
      <c r="Z65" s="697" t="n"/>
      <c r="AA65" s="676">
        <f>SUM(B65:C65)</f>
        <v/>
      </c>
      <c r="AB65" s="675">
        <f>SUM(AA54:AA65)</f>
        <v/>
      </c>
      <c r="AC65" s="675">
        <f>AB65/12</f>
        <v/>
      </c>
      <c r="AD65" s="675">
        <f>SUM(D65:Z65)</f>
        <v/>
      </c>
      <c r="AE65" s="675">
        <f>SUM(AD54:AD65)</f>
        <v/>
      </c>
      <c r="AF65" s="675">
        <f>AE65/12</f>
        <v/>
      </c>
    </row>
    <row r="66">
      <c r="A66" s="689" t="n">
        <v>43405</v>
      </c>
      <c r="B66" s="687" t="n">
        <v>208090</v>
      </c>
      <c r="C66" s="687" t="n">
        <v>25670</v>
      </c>
      <c r="D66" s="687" t="n">
        <v>366</v>
      </c>
      <c r="E66" s="687" t="n">
        <v>7720</v>
      </c>
      <c r="F66" s="687" t="n">
        <v>170</v>
      </c>
      <c r="G66" s="687" t="n"/>
      <c r="H66" s="687" t="n">
        <v>820</v>
      </c>
      <c r="I66" s="687" t="n">
        <v>159.65</v>
      </c>
      <c r="J66" s="695" t="n">
        <v>0.449</v>
      </c>
      <c r="K66" s="687" t="n">
        <v>812</v>
      </c>
      <c r="L66" s="687" t="n">
        <v>0</v>
      </c>
      <c r="M66" s="560" t="n">
        <v>1800</v>
      </c>
      <c r="N66" s="560" t="n">
        <v>200</v>
      </c>
      <c r="O66" s="696" t="inlineStr">
        <is>
          <t>-</t>
        </is>
      </c>
      <c r="P66" s="696" t="n">
        <v>0</v>
      </c>
      <c r="Q66" s="695" t="n">
        <v>0</v>
      </c>
      <c r="R66" s="696" t="n"/>
      <c r="S66" s="696">
        <f>0.13*2000</f>
        <v/>
      </c>
      <c r="T66" s="696" t="n"/>
      <c r="U66" s="687">
        <f>32*27+9*35</f>
        <v/>
      </c>
      <c r="V66" s="687" t="n">
        <v>3700</v>
      </c>
      <c r="W66" s="687">
        <f>'Raw Food Data (KG)'!Q27</f>
        <v/>
      </c>
      <c r="X66" s="687" t="n">
        <v>7680</v>
      </c>
      <c r="Y66" s="687" t="n">
        <v>21000</v>
      </c>
      <c r="Z66" s="697" t="n"/>
      <c r="AA66" s="676">
        <f>SUM(B66:C66)</f>
        <v/>
      </c>
      <c r="AB66" s="675">
        <f>SUM(AA55:AA66)</f>
        <v/>
      </c>
      <c r="AC66" s="675">
        <f>AB66/12</f>
        <v/>
      </c>
      <c r="AD66" s="675">
        <f>SUM(D66:Z66)</f>
        <v/>
      </c>
      <c r="AE66" s="675">
        <f>SUM(AD55:AD66)</f>
        <v/>
      </c>
      <c r="AF66" s="675">
        <f>AE66/12</f>
        <v/>
      </c>
    </row>
    <row r="67">
      <c r="A67" s="689" t="n">
        <v>43435</v>
      </c>
      <c r="B67" s="687" t="n">
        <v>202560</v>
      </c>
      <c r="C67" s="687" t="n">
        <v>31590</v>
      </c>
      <c r="D67" s="687" t="n">
        <v>739</v>
      </c>
      <c r="E67" s="687" t="n">
        <v>7080</v>
      </c>
      <c r="F67" s="687" t="n">
        <v>120</v>
      </c>
      <c r="G67" s="687" t="n"/>
      <c r="H67" s="687" t="n">
        <v>830</v>
      </c>
      <c r="I67" s="687" t="n">
        <v>78</v>
      </c>
      <c r="J67" s="695" t="n">
        <v>0.186</v>
      </c>
      <c r="K67" s="687" t="n">
        <v>2191</v>
      </c>
      <c r="L67" s="687" t="n">
        <v>100</v>
      </c>
      <c r="M67" s="560" t="n">
        <v>1800</v>
      </c>
      <c r="N67" s="560" t="n">
        <v>400</v>
      </c>
      <c r="O67" s="696" t="inlineStr">
        <is>
          <t>-</t>
        </is>
      </c>
      <c r="P67" s="696">
        <f>0.67*370</f>
        <v/>
      </c>
      <c r="Q67" s="695" t="n">
        <v>20</v>
      </c>
      <c r="R67" s="696" t="n"/>
      <c r="S67" s="696" t="n"/>
      <c r="T67" s="696" t="n"/>
      <c r="U67" s="687" t="n"/>
      <c r="V67" s="687" t="n">
        <v>32700</v>
      </c>
      <c r="W67" s="687">
        <f>'Raw Food Data (KG)'!Q28</f>
        <v/>
      </c>
      <c r="X67" s="687" t="n">
        <v>7680</v>
      </c>
      <c r="Y67" s="687" t="n">
        <v>28000</v>
      </c>
      <c r="Z67" s="697" t="n"/>
      <c r="AA67" s="676">
        <f>SUM(B67:C67)</f>
        <v/>
      </c>
      <c r="AB67" s="675">
        <f>SUM(AA56:AA67)</f>
        <v/>
      </c>
      <c r="AC67" s="675">
        <f>AB67/12</f>
        <v/>
      </c>
      <c r="AD67" s="675">
        <f>SUM(D67:Z67)</f>
        <v/>
      </c>
      <c r="AE67" s="675">
        <f>SUM(AD56:AD67)</f>
        <v/>
      </c>
      <c r="AF67" s="675">
        <f>AE67/12</f>
        <v/>
      </c>
    </row>
    <row r="68">
      <c r="A68" s="689" t="n">
        <v>43466</v>
      </c>
      <c r="B68" s="687" t="n">
        <v>145940.2628</v>
      </c>
      <c r="C68" s="687" t="n">
        <v>23670</v>
      </c>
      <c r="D68" s="687" t="n">
        <v>0</v>
      </c>
      <c r="E68" s="687" t="n">
        <v>9880</v>
      </c>
      <c r="F68" s="687" t="n">
        <v>170</v>
      </c>
      <c r="G68" s="687" t="n"/>
      <c r="H68" s="687" t="n">
        <v>610</v>
      </c>
      <c r="I68" s="687" t="n">
        <v>79.5</v>
      </c>
      <c r="J68" s="695" t="n">
        <v>0</v>
      </c>
      <c r="K68" s="687" t="n">
        <v>1388</v>
      </c>
      <c r="L68" s="687" t="n">
        <v>180</v>
      </c>
      <c r="M68" s="560" t="n">
        <v>2800</v>
      </c>
      <c r="N68" s="560" t="n">
        <v>400</v>
      </c>
      <c r="O68" s="696" t="inlineStr">
        <is>
          <t>-</t>
        </is>
      </c>
      <c r="P68" s="696" t="n">
        <v>0</v>
      </c>
      <c r="Q68" s="695" t="n">
        <v>0</v>
      </c>
      <c r="R68" s="696" t="n"/>
      <c r="S68" s="696" t="n"/>
      <c r="T68" s="696" t="n"/>
      <c r="U68" s="687">
        <f>17*27+6*7.5+19*4.5+7*35+2*4.5+1*6.5</f>
        <v/>
      </c>
      <c r="V68" s="687" t="n">
        <v>7800</v>
      </c>
      <c r="W68" s="687">
        <f>'Raw Food Data (KG)'!Q29</f>
        <v/>
      </c>
      <c r="X68" s="687">
        <f>160*48</f>
        <v/>
      </c>
      <c r="Y68" s="687" t="n">
        <v>38500</v>
      </c>
      <c r="Z68" s="697" t="n"/>
      <c r="AA68" s="676">
        <f>SUM(B68:C68)</f>
        <v/>
      </c>
      <c r="AB68" s="675">
        <f>SUM(AA57:AA68)</f>
        <v/>
      </c>
      <c r="AC68" s="675">
        <f>AB68/12</f>
        <v/>
      </c>
      <c r="AD68" s="675">
        <f>SUM(D68:Z68)</f>
        <v/>
      </c>
      <c r="AE68" s="675">
        <f>SUM(AD57:AD68)</f>
        <v/>
      </c>
      <c r="AF68" s="675">
        <f>AE68/12</f>
        <v/>
      </c>
    </row>
    <row r="69">
      <c r="A69" s="689" t="n">
        <v>43497</v>
      </c>
      <c r="B69" s="687" t="n">
        <v>138993.9224</v>
      </c>
      <c r="C69" s="687" t="n">
        <v>20250</v>
      </c>
      <c r="D69" s="687" t="n">
        <v>233</v>
      </c>
      <c r="E69" s="687" t="n">
        <v>7000</v>
      </c>
      <c r="F69" s="687" t="n">
        <v>160</v>
      </c>
      <c r="G69" s="687" t="n"/>
      <c r="H69" s="687" t="n">
        <v>390</v>
      </c>
      <c r="I69" s="687" t="n">
        <v>61.5</v>
      </c>
      <c r="J69" s="695" t="n">
        <v>3.945</v>
      </c>
      <c r="K69" s="687" t="n">
        <v>1172</v>
      </c>
      <c r="L69" s="687" t="n">
        <v>0</v>
      </c>
      <c r="M69" s="560" t="n">
        <v>1400</v>
      </c>
      <c r="N69" s="560" t="n">
        <v>400</v>
      </c>
      <c r="O69" s="696" t="inlineStr">
        <is>
          <t>-</t>
        </is>
      </c>
      <c r="P69" s="696">
        <f>0.67*125</f>
        <v/>
      </c>
      <c r="Q69" s="695" t="n">
        <v>3</v>
      </c>
      <c r="R69" s="696" t="n"/>
      <c r="S69" s="696" t="n"/>
      <c r="T69" s="696" t="n"/>
      <c r="U69" s="687" t="n"/>
      <c r="V69" s="687" t="n">
        <v>1900</v>
      </c>
      <c r="W69" s="687">
        <f>'Raw Food Data (KG)'!Q30</f>
        <v/>
      </c>
      <c r="X69" s="687">
        <f>160*48</f>
        <v/>
      </c>
      <c r="Y69" s="687" t="n">
        <v>0</v>
      </c>
      <c r="Z69" s="697" t="n"/>
      <c r="AA69" s="676">
        <f>SUM(B69:C69)</f>
        <v/>
      </c>
      <c r="AB69" s="675">
        <f>SUM(AA58:AA69)</f>
        <v/>
      </c>
      <c r="AC69" s="675">
        <f>AB69/12</f>
        <v/>
      </c>
      <c r="AD69" s="675">
        <f>SUM(D69:Z69)</f>
        <v/>
      </c>
      <c r="AE69" s="675">
        <f>SUM(AD58:AD69)</f>
        <v/>
      </c>
      <c r="AF69" s="675">
        <f>AE69/12</f>
        <v/>
      </c>
    </row>
    <row r="70">
      <c r="A70" s="689" t="n">
        <v>43525</v>
      </c>
      <c r="B70" s="687" t="n">
        <v>162063.1426</v>
      </c>
      <c r="C70" s="687" t="n">
        <v>14620</v>
      </c>
      <c r="D70" s="687" t="n">
        <v>224</v>
      </c>
      <c r="E70" s="687" t="n">
        <v>9520</v>
      </c>
      <c r="F70" s="687" t="n">
        <v>180</v>
      </c>
      <c r="G70" s="687" t="n"/>
      <c r="H70" s="687" t="n">
        <v>950</v>
      </c>
      <c r="I70" s="687" t="n">
        <v>70.2</v>
      </c>
      <c r="J70" s="695" t="n">
        <v>0</v>
      </c>
      <c r="K70" s="687" t="n">
        <v>1793</v>
      </c>
      <c r="L70" s="687" t="n">
        <v>120</v>
      </c>
      <c r="M70" s="560" t="n">
        <v>800</v>
      </c>
      <c r="N70" s="560" t="n">
        <v>200</v>
      </c>
      <c r="O70" s="696" t="inlineStr">
        <is>
          <t>-</t>
        </is>
      </c>
      <c r="P70" s="696">
        <f>0.67*90</f>
        <v/>
      </c>
      <c r="Q70" s="695" t="n">
        <v>0</v>
      </c>
      <c r="R70" s="696" t="n"/>
      <c r="S70" s="696" t="n"/>
      <c r="T70" s="696" t="n"/>
      <c r="U70" s="687" t="n"/>
      <c r="V70" s="687" t="n">
        <v>2500</v>
      </c>
      <c r="W70" s="687">
        <f>'Raw Food Data (KG)'!Q31</f>
        <v/>
      </c>
      <c r="X70" s="687" t="n"/>
      <c r="Y70" s="687" t="n">
        <v>3500</v>
      </c>
      <c r="Z70" s="697" t="n"/>
      <c r="AA70" s="676">
        <f>SUM(B70:C70)</f>
        <v/>
      </c>
      <c r="AB70" s="675">
        <f>SUM(AA59:AA70)</f>
        <v/>
      </c>
      <c r="AC70" s="675">
        <f>AB70/12</f>
        <v/>
      </c>
      <c r="AD70" s="675">
        <f>SUM(D70:Z70)</f>
        <v/>
      </c>
      <c r="AE70" s="675">
        <f>SUM(AD59:AD70)</f>
        <v/>
      </c>
      <c r="AF70" s="675">
        <f>AE70/12</f>
        <v/>
      </c>
    </row>
    <row r="71">
      <c r="A71" s="689" t="n">
        <v>43556</v>
      </c>
      <c r="B71" s="687" t="n">
        <v>134497.6445</v>
      </c>
      <c r="C71" s="687" t="n">
        <v>13820</v>
      </c>
      <c r="D71" s="687" t="n">
        <v>485</v>
      </c>
      <c r="E71" s="687" t="n">
        <v>8220</v>
      </c>
      <c r="F71" s="687" t="n">
        <v>160</v>
      </c>
      <c r="G71" s="687" t="n"/>
      <c r="H71" s="687" t="n">
        <v>920</v>
      </c>
      <c r="I71" s="687" t="n">
        <v>0</v>
      </c>
      <c r="J71" s="695" t="n">
        <v>1.47</v>
      </c>
      <c r="K71" s="687" t="n">
        <v>1845</v>
      </c>
      <c r="L71" s="687" t="n">
        <v>100</v>
      </c>
      <c r="M71" s="560" t="n">
        <v>2200</v>
      </c>
      <c r="N71" s="560" t="n">
        <v>400</v>
      </c>
      <c r="O71" s="696" t="inlineStr">
        <is>
          <t>-</t>
        </is>
      </c>
      <c r="P71" s="696">
        <f>0.67*137</f>
        <v/>
      </c>
      <c r="Q71" s="695" t="n">
        <v>18</v>
      </c>
      <c r="R71" s="696" t="n"/>
      <c r="S71" s="696" t="n"/>
      <c r="T71" s="696" t="n"/>
      <c r="U71" s="687" t="n"/>
      <c r="V71" s="687" t="n">
        <v>7800</v>
      </c>
      <c r="W71" s="687">
        <f>'Raw Food Data (KG)'!Q32</f>
        <v/>
      </c>
      <c r="X71" s="687" t="n"/>
      <c r="Y71" s="687" t="n">
        <v>0</v>
      </c>
      <c r="Z71" s="697" t="n"/>
      <c r="AA71" s="676">
        <f>SUM(B71:C71)</f>
        <v/>
      </c>
      <c r="AB71" s="675">
        <f>SUM(AA60:AA71)</f>
        <v/>
      </c>
      <c r="AC71" s="675">
        <f>AB71/12</f>
        <v/>
      </c>
      <c r="AD71" s="675">
        <f>SUM(D71:Z71)</f>
        <v/>
      </c>
      <c r="AE71" s="675">
        <f>SUM(AD60:AD71)</f>
        <v/>
      </c>
      <c r="AF71" s="675">
        <f>AE71/12</f>
        <v/>
      </c>
    </row>
    <row r="72">
      <c r="A72" s="689" t="n">
        <v>43586</v>
      </c>
      <c r="B72" s="687" t="n">
        <v>155093.376</v>
      </c>
      <c r="C72" s="687" t="n">
        <v>28910</v>
      </c>
      <c r="D72" s="687" t="n">
        <v>11581</v>
      </c>
      <c r="E72" s="687" t="n">
        <v>6735</v>
      </c>
      <c r="F72" s="687" t="n">
        <v>140</v>
      </c>
      <c r="G72" s="687" t="n"/>
      <c r="H72" s="687" t="n">
        <v>1080</v>
      </c>
      <c r="I72" s="687" t="n">
        <v>62.35</v>
      </c>
      <c r="J72" s="695" t="n">
        <v>1.841</v>
      </c>
      <c r="K72" s="687" t="n">
        <v>1356</v>
      </c>
      <c r="L72" s="687" t="n">
        <v>130</v>
      </c>
      <c r="M72" s="560" t="n">
        <v>800</v>
      </c>
      <c r="N72" s="560" t="n">
        <v>200</v>
      </c>
      <c r="O72" s="696" t="inlineStr">
        <is>
          <t>-</t>
        </is>
      </c>
      <c r="P72" s="696" t="n">
        <v>0</v>
      </c>
      <c r="Q72" s="695" t="n">
        <v>0</v>
      </c>
      <c r="R72" s="696" t="n"/>
      <c r="S72" s="696" t="n"/>
      <c r="T72" s="696" t="n"/>
      <c r="U72" s="687">
        <f>27*27+9*4.5+21*35</f>
        <v/>
      </c>
      <c r="V72" s="687" t="n">
        <v>10400</v>
      </c>
      <c r="W72" s="687">
        <f>'Raw Food Data (KG)'!Q33</f>
        <v/>
      </c>
      <c r="X72" s="687" t="n"/>
      <c r="Y72" s="687" t="n">
        <v>0</v>
      </c>
      <c r="Z72" s="697" t="n"/>
      <c r="AA72" s="676">
        <f>SUM(B72:C72)</f>
        <v/>
      </c>
      <c r="AB72" s="675">
        <f>SUM(AA61:AA72)</f>
        <v/>
      </c>
      <c r="AC72" s="675">
        <f>AB72/12</f>
        <v/>
      </c>
      <c r="AD72" s="675">
        <f>SUM(D72:Z72)</f>
        <v/>
      </c>
      <c r="AE72" s="675">
        <f>SUM(AD61:AD72)</f>
        <v/>
      </c>
      <c r="AF72" s="675">
        <f>AE72/12</f>
        <v/>
      </c>
    </row>
    <row r="73">
      <c r="A73" s="689" t="n">
        <v>43617</v>
      </c>
      <c r="B73" s="687" t="n">
        <v>155588.3447</v>
      </c>
      <c r="C73" s="687" t="n">
        <v>37750</v>
      </c>
      <c r="D73" s="687" t="n">
        <v>575</v>
      </c>
      <c r="E73" s="687" t="n">
        <v>7100</v>
      </c>
      <c r="F73" s="687" t="n">
        <v>170</v>
      </c>
      <c r="G73" s="687" t="n"/>
      <c r="H73" s="687" t="n">
        <v>870</v>
      </c>
      <c r="I73" s="687" t="n">
        <v>63.8</v>
      </c>
      <c r="J73" s="695" t="n">
        <v>0</v>
      </c>
      <c r="K73" s="687" t="n">
        <v>2613</v>
      </c>
      <c r="L73" s="687" t="n">
        <v>150</v>
      </c>
      <c r="M73" s="560" t="n">
        <v>800</v>
      </c>
      <c r="N73" s="560" t="n">
        <v>200</v>
      </c>
      <c r="O73" s="696" t="inlineStr">
        <is>
          <t>-</t>
        </is>
      </c>
      <c r="P73" s="696" t="n">
        <v>0</v>
      </c>
      <c r="Q73" s="695" t="n">
        <v>0</v>
      </c>
      <c r="R73" s="696" t="n"/>
      <c r="S73" s="696" t="n"/>
      <c r="T73" s="696" t="n"/>
      <c r="U73" s="687" t="n"/>
      <c r="V73" s="687" t="n">
        <v>11000</v>
      </c>
      <c r="W73" s="687">
        <f>'Raw Food Data (KG)'!Q34</f>
        <v/>
      </c>
      <c r="X73" s="687" t="n"/>
      <c r="Y73" s="687" t="n">
        <v>0</v>
      </c>
      <c r="Z73" s="697" t="n"/>
      <c r="AA73" s="676">
        <f>SUM(B73:C73)</f>
        <v/>
      </c>
      <c r="AB73" s="675">
        <f>SUM(AA62:AA73)</f>
        <v/>
      </c>
      <c r="AC73" s="675">
        <f>AB73/12</f>
        <v/>
      </c>
      <c r="AD73" s="675">
        <f>SUM(D73:Z73)</f>
        <v/>
      </c>
      <c r="AE73" s="675">
        <f>SUM(AD62:AD73)</f>
        <v/>
      </c>
      <c r="AF73" s="675">
        <f>AE73/12</f>
        <v/>
      </c>
      <c r="AH73" s="693">
        <f>AB73+AE73</f>
        <v/>
      </c>
    </row>
    <row r="74">
      <c r="A74" s="689" t="n">
        <v>43647</v>
      </c>
      <c r="B74" s="690" t="n">
        <v>141020</v>
      </c>
      <c r="C74" s="690" t="n">
        <v>39000</v>
      </c>
      <c r="D74" s="690" t="n">
        <v>3106</v>
      </c>
      <c r="E74" s="690">
        <f>5696+6456</f>
        <v/>
      </c>
      <c r="F74" s="690" t="n">
        <v>100</v>
      </c>
      <c r="G74" s="690" t="n">
        <v>423</v>
      </c>
      <c r="H74" s="690" t="n">
        <v>390</v>
      </c>
      <c r="I74" s="690" t="n"/>
      <c r="J74" s="685" t="n">
        <v>20.067</v>
      </c>
      <c r="K74" s="690" t="n">
        <v>1388</v>
      </c>
      <c r="L74" s="690" t="n">
        <v>110</v>
      </c>
      <c r="M74" s="558" t="n">
        <v>800</v>
      </c>
      <c r="N74" s="558" t="n">
        <v>400</v>
      </c>
      <c r="O74" s="686" t="inlineStr">
        <is>
          <t>-</t>
        </is>
      </c>
      <c r="P74" s="686">
        <f>0.67*112</f>
        <v/>
      </c>
      <c r="Q74" s="685" t="n">
        <v>0</v>
      </c>
      <c r="R74" s="686" t="n"/>
      <c r="S74" s="686" t="n"/>
      <c r="T74" s="686" t="n"/>
      <c r="U74" s="690" t="n"/>
      <c r="V74" s="690" t="n">
        <v>19200</v>
      </c>
      <c r="W74" s="687">
        <f>'Raw Food Data (KG)'!Q35</f>
        <v/>
      </c>
      <c r="X74" s="690" t="n"/>
      <c r="Y74" s="690" t="n">
        <v>0</v>
      </c>
      <c r="Z74" s="692" t="n"/>
      <c r="AA74" s="676">
        <f>SUM(B74:C74)</f>
        <v/>
      </c>
      <c r="AB74" s="675">
        <f>SUM(AA63:AA74)</f>
        <v/>
      </c>
      <c r="AC74" s="675">
        <f>AB74/12</f>
        <v/>
      </c>
      <c r="AD74" s="675">
        <f>SUM(D74:Z74)</f>
        <v/>
      </c>
      <c r="AE74" s="675">
        <f>SUM(AD63:AD74)</f>
        <v/>
      </c>
      <c r="AF74" s="675">
        <f>AE74/12</f>
        <v/>
      </c>
    </row>
    <row r="75">
      <c r="A75" s="689" t="n">
        <v>43678</v>
      </c>
      <c r="B75" s="690" t="n">
        <v>150570</v>
      </c>
      <c r="C75" s="690" t="n">
        <v>51750</v>
      </c>
      <c r="D75" s="690" t="n">
        <v>4099.200000000001</v>
      </c>
      <c r="E75" s="690" t="n">
        <v>5646</v>
      </c>
      <c r="F75" s="690" t="n">
        <v>51</v>
      </c>
      <c r="G75" s="690" t="n">
        <v>267</v>
      </c>
      <c r="H75" s="690" t="n">
        <v>302</v>
      </c>
      <c r="I75" s="690" t="n">
        <v>67.09999999999999</v>
      </c>
      <c r="J75" s="685" t="n">
        <v>0</v>
      </c>
      <c r="K75" s="690" t="n">
        <v>2411</v>
      </c>
      <c r="L75" s="690" t="n">
        <v>70</v>
      </c>
      <c r="M75" s="558" t="n">
        <v>600</v>
      </c>
      <c r="N75" s="558" t="n">
        <v>400</v>
      </c>
      <c r="O75" s="686" t="inlineStr">
        <is>
          <t>-</t>
        </is>
      </c>
      <c r="P75" s="686" t="n">
        <v>0</v>
      </c>
      <c r="Q75" s="685" t="n">
        <v>0</v>
      </c>
      <c r="R75" s="686" t="n"/>
      <c r="S75" s="686" t="n"/>
      <c r="T75" s="686" t="n"/>
      <c r="U75" s="690" t="n"/>
      <c r="V75" s="690" t="n">
        <v>25600</v>
      </c>
      <c r="W75" s="687">
        <f>'Raw Food Data (KG)'!Q36</f>
        <v/>
      </c>
      <c r="X75" s="690" t="n"/>
      <c r="Y75" s="690" t="n">
        <v>0</v>
      </c>
      <c r="Z75" s="692" t="n"/>
      <c r="AA75" s="676">
        <f>SUM(B75:C75)</f>
        <v/>
      </c>
      <c r="AB75" s="675">
        <f>SUM(AA64:AA75)</f>
        <v/>
      </c>
      <c r="AC75" s="675">
        <f>AB75/12</f>
        <v/>
      </c>
      <c r="AD75" s="675">
        <f>SUM(D75:Z75)</f>
        <v/>
      </c>
      <c r="AE75" s="675">
        <f>SUM(AD64:AD75)</f>
        <v/>
      </c>
      <c r="AF75" s="675">
        <f>AE75/12</f>
        <v/>
      </c>
    </row>
    <row r="76">
      <c r="A76" s="689" t="n">
        <v>43709</v>
      </c>
      <c r="B76" s="690" t="n">
        <v>138430</v>
      </c>
      <c r="C76" s="690" t="n">
        <v>62990</v>
      </c>
      <c r="D76" s="690" t="n">
        <v>7886.399999999999</v>
      </c>
      <c r="E76" s="690">
        <f>6755+4050</f>
        <v/>
      </c>
      <c r="F76" s="690" t="n">
        <v>83</v>
      </c>
      <c r="G76" s="690" t="n">
        <v>169</v>
      </c>
      <c r="H76" s="690" t="n">
        <v>380</v>
      </c>
      <c r="I76" s="690" t="n">
        <v>157.25</v>
      </c>
      <c r="J76" s="685" t="n">
        <v>0.789</v>
      </c>
      <c r="K76" s="690" t="n">
        <v>2352</v>
      </c>
      <c r="L76" s="690" t="n">
        <v>40</v>
      </c>
      <c r="M76" s="558" t="n">
        <v>800</v>
      </c>
      <c r="N76" s="558" t="n">
        <v>600</v>
      </c>
      <c r="O76" s="686" t="inlineStr">
        <is>
          <t>-</t>
        </is>
      </c>
      <c r="P76" s="686">
        <f>0.67*105</f>
        <v/>
      </c>
      <c r="Q76" s="685" t="n">
        <v>20</v>
      </c>
      <c r="R76" s="686" t="n"/>
      <c r="S76" s="686" t="n"/>
      <c r="T76" s="686" t="n"/>
      <c r="U76" s="690">
        <f>31*27+2*7.5</f>
        <v/>
      </c>
      <c r="V76" s="690" t="n">
        <v>24100</v>
      </c>
      <c r="W76" s="687">
        <f>'Raw Food Data (KG)'!Q37</f>
        <v/>
      </c>
      <c r="X76" s="690">
        <f>10560</f>
        <v/>
      </c>
      <c r="Y76" s="690" t="n">
        <v>17500</v>
      </c>
      <c r="Z76" s="692" t="n"/>
      <c r="AA76" s="676">
        <f>SUM(B76:C76)</f>
        <v/>
      </c>
      <c r="AB76" s="675">
        <f>SUM(AA65:AA76)</f>
        <v/>
      </c>
      <c r="AC76" s="675">
        <f>AB76/12</f>
        <v/>
      </c>
      <c r="AD76" s="675">
        <f>SUM(D76:Z76)</f>
        <v/>
      </c>
      <c r="AE76" s="675">
        <f>SUM(AD65:AD76)</f>
        <v/>
      </c>
      <c r="AF76" s="675">
        <f>AE76/12</f>
        <v/>
      </c>
    </row>
    <row r="77">
      <c r="A77" s="689" t="n">
        <v>43739</v>
      </c>
      <c r="B77" s="690" t="n">
        <v>133570</v>
      </c>
      <c r="C77" s="690" t="n">
        <v>59480</v>
      </c>
      <c r="D77" s="690" t="n">
        <v>622</v>
      </c>
      <c r="E77" s="690" t="n">
        <v>14330</v>
      </c>
      <c r="F77" s="690" t="n">
        <v>107</v>
      </c>
      <c r="G77" s="690" t="n">
        <v>179</v>
      </c>
      <c r="H77" s="690" t="n">
        <v>462</v>
      </c>
      <c r="I77" s="690" t="n">
        <v>81</v>
      </c>
      <c r="J77" s="685" t="n">
        <v>15.38</v>
      </c>
      <c r="K77" s="690" t="n">
        <v>2259</v>
      </c>
      <c r="L77" s="690" t="n">
        <v>40</v>
      </c>
      <c r="M77" s="558" t="n">
        <v>400</v>
      </c>
      <c r="N77" s="558" t="n">
        <v>400</v>
      </c>
      <c r="O77" s="686" t="inlineStr">
        <is>
          <t>-</t>
        </is>
      </c>
      <c r="P77" s="686">
        <f>0.67*120</f>
        <v/>
      </c>
      <c r="Q77" s="685" t="n">
        <v>9</v>
      </c>
      <c r="R77" s="686" t="n">
        <v>0</v>
      </c>
      <c r="S77" s="686" t="n">
        <v>0</v>
      </c>
      <c r="T77" s="686" t="n">
        <v>0</v>
      </c>
      <c r="U77" s="690" t="n">
        <v>0</v>
      </c>
      <c r="V77" s="690" t="n">
        <v>14400</v>
      </c>
      <c r="W77" s="687">
        <f>'Raw Food Data (KG)'!Q38</f>
        <v/>
      </c>
      <c r="X77" s="690" t="n">
        <v>10560</v>
      </c>
      <c r="Y77" s="690" t="n">
        <v>10500</v>
      </c>
      <c r="Z77" s="692" t="n"/>
      <c r="AA77" s="676">
        <f>SUM(B77:C77)</f>
        <v/>
      </c>
      <c r="AB77" s="675">
        <f>SUM(AA66:AA77)</f>
        <v/>
      </c>
      <c r="AC77" s="675">
        <f>AB77/12</f>
        <v/>
      </c>
      <c r="AD77" s="675">
        <f>SUM(D77:Z77)</f>
        <v/>
      </c>
      <c r="AE77" s="675">
        <f>SUM(AD66:AD77)</f>
        <v/>
      </c>
      <c r="AF77" s="675">
        <f>AE77/12</f>
        <v/>
      </c>
    </row>
    <row r="78">
      <c r="A78" s="689" t="n">
        <v>43770</v>
      </c>
      <c r="B78" s="690" t="n">
        <v>106670</v>
      </c>
      <c r="C78" s="690" t="n">
        <v>49040</v>
      </c>
      <c r="D78" s="690" t="n">
        <v>2214</v>
      </c>
      <c r="E78" s="690" t="n">
        <v>12030</v>
      </c>
      <c r="F78" s="690" t="n">
        <v>107</v>
      </c>
      <c r="G78" s="690" t="n">
        <v>220</v>
      </c>
      <c r="H78" s="690" t="n">
        <v>401</v>
      </c>
      <c r="I78" s="690" t="n">
        <v>391.95</v>
      </c>
      <c r="J78" s="685" t="n">
        <v>3.4</v>
      </c>
      <c r="K78" s="690" t="n">
        <v>542</v>
      </c>
      <c r="L78" s="690" t="n">
        <v>30</v>
      </c>
      <c r="M78" s="558" t="n">
        <v>800</v>
      </c>
      <c r="N78" s="558" t="n">
        <v>400</v>
      </c>
      <c r="O78" s="686" t="inlineStr">
        <is>
          <t>-</t>
        </is>
      </c>
      <c r="P78" s="686">
        <f>0.67*95</f>
        <v/>
      </c>
      <c r="Q78" s="685" t="n">
        <v>6</v>
      </c>
      <c r="R78" s="686" t="n"/>
      <c r="S78" s="686" t="n"/>
      <c r="T78" s="686" t="n"/>
      <c r="U78" s="690" t="n"/>
      <c r="V78" s="690" t="n">
        <v>10500</v>
      </c>
      <c r="W78" s="687">
        <f>'Raw Food Data (KG)'!Q39</f>
        <v/>
      </c>
      <c r="X78" s="690" t="n">
        <v>10240</v>
      </c>
      <c r="Y78" s="690" t="n">
        <v>14000</v>
      </c>
      <c r="Z78" s="692" t="n"/>
      <c r="AA78" s="676">
        <f>SUM(B78:C78)</f>
        <v/>
      </c>
      <c r="AB78" s="675">
        <f>SUM(AA67:AA78)</f>
        <v/>
      </c>
      <c r="AC78" s="675">
        <f>AB78/12</f>
        <v/>
      </c>
      <c r="AD78" s="675">
        <f>SUM(D78:Z78)</f>
        <v/>
      </c>
      <c r="AE78" s="675">
        <f>SUM(AD67:AD78)</f>
        <v/>
      </c>
      <c r="AF78" s="675">
        <f>AE78/12</f>
        <v/>
      </c>
    </row>
    <row r="79">
      <c r="A79" s="689" t="n">
        <v>43800</v>
      </c>
      <c r="B79" s="690" t="n">
        <v>114530</v>
      </c>
      <c r="C79" s="690" t="n">
        <v>56380</v>
      </c>
      <c r="D79" s="690" t="n">
        <v>909</v>
      </c>
      <c r="E79" s="690" t="n">
        <v>13715</v>
      </c>
      <c r="F79" s="690" t="n">
        <v>94</v>
      </c>
      <c r="G79" s="690" t="n">
        <v>197</v>
      </c>
      <c r="H79" s="690" t="n">
        <v>340</v>
      </c>
      <c r="I79" s="690" t="n">
        <v>72.34999999999999</v>
      </c>
      <c r="J79" s="685" t="n">
        <v>5.57</v>
      </c>
      <c r="K79" s="690" t="n">
        <v>874</v>
      </c>
      <c r="L79" s="690" t="n">
        <v>50</v>
      </c>
      <c r="M79" s="558" t="n">
        <v>800</v>
      </c>
      <c r="N79" s="558" t="n">
        <v>400</v>
      </c>
      <c r="O79" s="686" t="inlineStr">
        <is>
          <t>-</t>
        </is>
      </c>
      <c r="P79" s="686">
        <f>0.67*74</f>
        <v/>
      </c>
      <c r="Q79" s="685" t="n">
        <v>11</v>
      </c>
      <c r="R79" s="686" t="n"/>
      <c r="S79" s="686" t="n"/>
      <c r="T79" s="686" t="n"/>
      <c r="U79" s="690">
        <f>36*27+1*4.5+22*35</f>
        <v/>
      </c>
      <c r="V79" s="690" t="n">
        <v>10100</v>
      </c>
      <c r="W79" s="687">
        <f>'Raw Food Data (KG)'!Q40</f>
        <v/>
      </c>
      <c r="X79" s="690" t="n">
        <v>10240</v>
      </c>
      <c r="Y79" s="690" t="n">
        <v>24500</v>
      </c>
      <c r="Z79" s="692" t="n"/>
      <c r="AA79" s="676">
        <f>SUM(B79:C79)</f>
        <v/>
      </c>
      <c r="AB79" s="675">
        <f>SUM(AA68:AA79)</f>
        <v/>
      </c>
      <c r="AC79" s="675">
        <f>AB79/12</f>
        <v/>
      </c>
      <c r="AD79" s="675">
        <f>SUM(D79:Z79)</f>
        <v/>
      </c>
      <c r="AE79" s="675">
        <f>SUM(AD68:AD79)</f>
        <v/>
      </c>
      <c r="AF79" s="675">
        <f>AE79/12</f>
        <v/>
      </c>
    </row>
    <row r="80">
      <c r="A80" s="689" t="n">
        <v>43831</v>
      </c>
      <c r="B80" s="690" t="n">
        <v>86780</v>
      </c>
      <c r="C80" s="690" t="n">
        <v>27790</v>
      </c>
      <c r="D80" s="690" t="n">
        <v>1011</v>
      </c>
      <c r="E80" s="690" t="n">
        <v>12753</v>
      </c>
      <c r="F80" s="690" t="n">
        <v>80</v>
      </c>
      <c r="G80" s="690" t="n">
        <v>214</v>
      </c>
      <c r="H80" s="690" t="n">
        <v>280</v>
      </c>
      <c r="I80" s="690" t="n">
        <v>76.84999999999999</v>
      </c>
      <c r="J80" s="685" t="n">
        <v>0</v>
      </c>
      <c r="K80" s="690" t="n">
        <v>0</v>
      </c>
      <c r="L80" s="690" t="n">
        <v>80</v>
      </c>
      <c r="M80" s="558" t="n">
        <v>800</v>
      </c>
      <c r="N80" s="558" t="n">
        <v>400</v>
      </c>
      <c r="O80" s="686" t="inlineStr">
        <is>
          <t>-</t>
        </is>
      </c>
      <c r="P80" s="686" t="n">
        <v>0</v>
      </c>
      <c r="Q80" s="685" t="n">
        <v>0</v>
      </c>
      <c r="R80" s="686" t="n"/>
      <c r="S80" s="686" t="n"/>
      <c r="T80" s="686" t="n"/>
      <c r="U80" s="690" t="n">
        <v>0</v>
      </c>
      <c r="V80" s="690" t="n">
        <v>11200</v>
      </c>
      <c r="W80" s="687">
        <f>'Raw Food Data (KG)'!Q41</f>
        <v/>
      </c>
      <c r="X80" s="690" t="n">
        <v>5120</v>
      </c>
      <c r="Y80" s="690" t="n">
        <v>21000</v>
      </c>
      <c r="Z80" s="692" t="n"/>
      <c r="AA80" s="676">
        <f>SUM(B80:C80)</f>
        <v/>
      </c>
      <c r="AB80" s="675">
        <f>SUM(AA69:AA80)</f>
        <v/>
      </c>
      <c r="AC80" s="675">
        <f>AB80/12</f>
        <v/>
      </c>
      <c r="AD80" s="675">
        <f>SUM(D80:Z80)</f>
        <v/>
      </c>
      <c r="AE80" s="675">
        <f>SUM(AD69:AD80)</f>
        <v/>
      </c>
      <c r="AF80" s="675">
        <f>AE80/12</f>
        <v/>
      </c>
    </row>
    <row r="81">
      <c r="A81" s="689" t="n">
        <v>43862</v>
      </c>
      <c r="B81" s="690" t="n">
        <v>68320</v>
      </c>
      <c r="C81" s="690" t="n">
        <v>16600</v>
      </c>
      <c r="D81" s="690" t="n">
        <v>0</v>
      </c>
      <c r="E81" s="690" t="n">
        <v>7410</v>
      </c>
      <c r="F81" s="690" t="n">
        <v>56</v>
      </c>
      <c r="G81" s="690" t="n">
        <v>164</v>
      </c>
      <c r="H81" s="690" t="n">
        <v>250</v>
      </c>
      <c r="I81" s="690" t="n">
        <v>71.90000000000001</v>
      </c>
      <c r="J81" s="685" t="n">
        <v>0</v>
      </c>
      <c r="K81" s="690" t="n">
        <v>0</v>
      </c>
      <c r="L81" s="690" t="n">
        <v>0</v>
      </c>
      <c r="M81" s="558" t="n">
        <v>400</v>
      </c>
      <c r="N81" s="558" t="n">
        <v>200</v>
      </c>
      <c r="O81" s="686" t="inlineStr">
        <is>
          <t>-</t>
        </is>
      </c>
      <c r="P81" s="686" t="n">
        <v>0</v>
      </c>
      <c r="Q81" s="685" t="n">
        <v>0</v>
      </c>
      <c r="R81" s="686" t="n"/>
      <c r="S81" s="686" t="n"/>
      <c r="T81" s="686" t="n"/>
      <c r="U81" s="690" t="n">
        <v>0</v>
      </c>
      <c r="V81" s="690" t="n">
        <v>7900</v>
      </c>
      <c r="W81" s="687">
        <f>'Raw Food Data (KG)'!Q42</f>
        <v/>
      </c>
      <c r="X81" s="690" t="n">
        <v>6400</v>
      </c>
      <c r="Y81" s="690" t="n">
        <v>21000</v>
      </c>
      <c r="Z81" s="692" t="n"/>
      <c r="AA81" s="676">
        <f>SUM(B81:C81)</f>
        <v/>
      </c>
      <c r="AB81" s="675">
        <f>SUM(AA70:AA81)</f>
        <v/>
      </c>
      <c r="AC81" s="675">
        <f>AB81/12</f>
        <v/>
      </c>
      <c r="AD81" s="675">
        <f>SUM(D81:Z81)</f>
        <v/>
      </c>
      <c r="AE81" s="675">
        <f>SUM(AD70:AD81)</f>
        <v/>
      </c>
      <c r="AF81" s="675">
        <f>AE81/12</f>
        <v/>
      </c>
    </row>
    <row r="82">
      <c r="A82" s="689" t="n">
        <v>43891</v>
      </c>
      <c r="B82" s="690" t="n">
        <v>74000</v>
      </c>
      <c r="C82" s="690" t="n">
        <v>24090</v>
      </c>
      <c r="D82" s="690" t="n">
        <v>190</v>
      </c>
      <c r="E82" s="690" t="n">
        <v>10071</v>
      </c>
      <c r="F82" s="690" t="n">
        <v>77</v>
      </c>
      <c r="G82" s="690" t="n">
        <v>211</v>
      </c>
      <c r="H82" s="690" t="n">
        <v>356</v>
      </c>
      <c r="I82" s="690" t="n">
        <v>82.09999999999999</v>
      </c>
      <c r="J82" s="685" t="n">
        <v>0</v>
      </c>
      <c r="K82" s="690" t="n">
        <v>1020</v>
      </c>
      <c r="L82" s="690" t="n">
        <v>0</v>
      </c>
      <c r="M82" s="558" t="n">
        <v>400</v>
      </c>
      <c r="N82" s="558" t="n">
        <v>200</v>
      </c>
      <c r="O82" s="686" t="inlineStr">
        <is>
          <t>-</t>
        </is>
      </c>
      <c r="P82" s="686" t="n">
        <v>0</v>
      </c>
      <c r="Q82" s="685" t="n">
        <v>0</v>
      </c>
      <c r="R82" s="686" t="n"/>
      <c r="S82" s="686" t="n"/>
      <c r="T82" s="686" t="n"/>
      <c r="U82" s="690" t="n">
        <v>0</v>
      </c>
      <c r="V82" s="690" t="n">
        <v>10000</v>
      </c>
      <c r="W82" s="687">
        <f>'Raw Food Data (KG)'!Q43</f>
        <v/>
      </c>
      <c r="X82" s="690" t="n">
        <v>4800</v>
      </c>
      <c r="Y82" s="690" t="n">
        <v>21000</v>
      </c>
      <c r="Z82" s="692" t="n"/>
      <c r="AA82" s="676">
        <f>SUM(B82:C82)</f>
        <v/>
      </c>
      <c r="AB82" s="675">
        <f>SUM(AA71:AA82)</f>
        <v/>
      </c>
      <c r="AC82" s="675">
        <f>AB82/12</f>
        <v/>
      </c>
      <c r="AD82" s="675">
        <f>SUM(D82:Z82)</f>
        <v/>
      </c>
      <c r="AE82" s="675">
        <f>SUM(AD71:AD82)</f>
        <v/>
      </c>
      <c r="AF82" s="675">
        <f>AE82/12</f>
        <v/>
      </c>
    </row>
    <row r="83">
      <c r="A83" s="689" t="n">
        <v>43922</v>
      </c>
      <c r="B83" s="690" t="n">
        <v>77800</v>
      </c>
      <c r="C83" s="690" t="n">
        <v>24780</v>
      </c>
      <c r="D83" s="690" t="n">
        <v>174</v>
      </c>
      <c r="E83" s="690" t="n">
        <v>8981</v>
      </c>
      <c r="F83" s="690" t="n">
        <v>67</v>
      </c>
      <c r="G83" s="690" t="n">
        <v>214</v>
      </c>
      <c r="H83" s="690" t="n">
        <v>284</v>
      </c>
      <c r="I83" s="690" t="n">
        <v>136</v>
      </c>
      <c r="J83" s="685" t="n">
        <v>0</v>
      </c>
      <c r="K83" s="690" t="n">
        <v>0</v>
      </c>
      <c r="L83" s="690" t="n">
        <v>0</v>
      </c>
      <c r="M83" s="558" t="n">
        <v>400</v>
      </c>
      <c r="N83" s="558" t="n">
        <v>200</v>
      </c>
      <c r="O83" s="686" t="inlineStr">
        <is>
          <t>-</t>
        </is>
      </c>
      <c r="P83" s="686" t="n">
        <v>0</v>
      </c>
      <c r="Q83" s="685" t="n">
        <v>0</v>
      </c>
      <c r="R83" s="686" t="n"/>
      <c r="S83" s="686" t="n"/>
      <c r="T83" s="686" t="n"/>
      <c r="U83" s="690" t="n"/>
      <c r="V83" s="690" t="n">
        <v>5200</v>
      </c>
      <c r="W83" s="687">
        <f>'Raw Food Data (KG)'!Q44</f>
        <v/>
      </c>
      <c r="X83" s="690" t="n">
        <v>4800</v>
      </c>
      <c r="Y83" s="690" t="n">
        <v>24500</v>
      </c>
      <c r="Z83" s="692" t="n"/>
      <c r="AA83" s="676">
        <f>SUM(B83:C83)</f>
        <v/>
      </c>
      <c r="AB83" s="675">
        <f>SUM(AA72:AA83)</f>
        <v/>
      </c>
      <c r="AC83" s="675">
        <f>AB83/12</f>
        <v/>
      </c>
      <c r="AD83" s="675">
        <f>SUM(D83:Z83)</f>
        <v/>
      </c>
      <c r="AE83" s="675">
        <f>SUM(AD72:AD83)</f>
        <v/>
      </c>
      <c r="AF83" s="675">
        <f>AE83/12</f>
        <v/>
      </c>
    </row>
    <row r="84">
      <c r="A84" s="689" t="n">
        <v>43952</v>
      </c>
      <c r="B84" s="690" t="n">
        <v>95690</v>
      </c>
      <c r="C84" s="690" t="n">
        <v>46630</v>
      </c>
      <c r="D84" s="690" t="n">
        <v>862</v>
      </c>
      <c r="E84" s="690" t="n">
        <v>9906</v>
      </c>
      <c r="F84" s="690" t="n">
        <v>76</v>
      </c>
      <c r="G84" s="690" t="n">
        <v>1743</v>
      </c>
      <c r="H84" s="690" t="n">
        <v>291</v>
      </c>
      <c r="I84" s="690" t="n">
        <v>223.15</v>
      </c>
      <c r="J84" s="685" t="n">
        <v>10.829</v>
      </c>
      <c r="K84" s="690" t="n">
        <v>863</v>
      </c>
      <c r="L84" s="690" t="n">
        <v>0</v>
      </c>
      <c r="M84" s="558" t="n">
        <v>800</v>
      </c>
      <c r="N84" s="558" t="n">
        <v>400</v>
      </c>
      <c r="O84" s="686" t="inlineStr">
        <is>
          <t>-</t>
        </is>
      </c>
      <c r="P84" s="686">
        <f>0.67*163</f>
        <v/>
      </c>
      <c r="Q84" s="685" t="n">
        <v>2</v>
      </c>
      <c r="R84" s="686" t="n"/>
      <c r="S84" s="686" t="n"/>
      <c r="T84" s="686" t="n"/>
      <c r="U84" s="690">
        <f>27*27</f>
        <v/>
      </c>
      <c r="V84" s="690" t="n">
        <v>11500</v>
      </c>
      <c r="W84" s="687">
        <f>'Raw Food Data (KG)'!Q45</f>
        <v/>
      </c>
      <c r="X84" s="690" t="n">
        <v>6400</v>
      </c>
      <c r="Y84" s="690" t="n">
        <v>28000</v>
      </c>
      <c r="Z84" s="692" t="n"/>
      <c r="AA84" s="676">
        <f>SUM(B84:C84)</f>
        <v/>
      </c>
      <c r="AB84" s="675">
        <f>SUM(AA73:AA84)</f>
        <v/>
      </c>
      <c r="AC84" s="675">
        <f>AB84/12</f>
        <v/>
      </c>
      <c r="AD84" s="675">
        <f>SUM(D84:Z84)</f>
        <v/>
      </c>
      <c r="AE84" s="675">
        <f>SUM(AD73:AD84)</f>
        <v/>
      </c>
      <c r="AF84" s="675">
        <f>AE84/12</f>
        <v/>
      </c>
    </row>
    <row r="85">
      <c r="A85" s="689" t="n">
        <v>43983</v>
      </c>
      <c r="B85" s="690" t="n">
        <v>100890</v>
      </c>
      <c r="C85" s="690" t="n">
        <v>43240</v>
      </c>
      <c r="D85" s="690" t="n">
        <v>657</v>
      </c>
      <c r="E85" s="690" t="n">
        <v>12620</v>
      </c>
      <c r="F85" s="690" t="n">
        <v>88</v>
      </c>
      <c r="G85" s="690" t="n">
        <v>2264</v>
      </c>
      <c r="H85" s="690" t="n">
        <v>322</v>
      </c>
      <c r="I85" s="690" t="n">
        <v>145.1</v>
      </c>
      <c r="J85" s="685" t="n">
        <v>10.52</v>
      </c>
      <c r="K85" s="690" t="n">
        <v>982</v>
      </c>
      <c r="L85" s="690" t="n">
        <v>180</v>
      </c>
      <c r="M85" s="558" t="n">
        <v>1600</v>
      </c>
      <c r="N85" s="558" t="n">
        <v>400</v>
      </c>
      <c r="O85" s="686" t="inlineStr">
        <is>
          <t>-</t>
        </is>
      </c>
      <c r="P85" s="686">
        <f>0.67*250</f>
        <v/>
      </c>
      <c r="Q85" s="685" t="n">
        <v>0</v>
      </c>
      <c r="R85" s="686" t="n"/>
      <c r="S85" s="686" t="n"/>
      <c r="T85" s="686" t="n"/>
      <c r="U85" s="690">
        <f>23*27+1*4.5+12*35</f>
        <v/>
      </c>
      <c r="V85" s="690" t="n">
        <v>7200</v>
      </c>
      <c r="W85" s="687">
        <f>'Raw Food Data (KG)'!Q46</f>
        <v/>
      </c>
      <c r="X85" s="690" t="n">
        <v>6400</v>
      </c>
      <c r="Y85" s="690" t="n">
        <v>28000</v>
      </c>
      <c r="Z85" s="692" t="n"/>
      <c r="AA85" s="676">
        <f>SUM(B85:C85)</f>
        <v/>
      </c>
      <c r="AB85" s="675">
        <f>SUM(AA74:AA85)</f>
        <v/>
      </c>
      <c r="AC85" s="675">
        <f>AB85/12</f>
        <v/>
      </c>
      <c r="AD85" s="675">
        <f>SUM(D85:Z85)</f>
        <v/>
      </c>
      <c r="AE85" s="675">
        <f>SUM(AD74:AD85)</f>
        <v/>
      </c>
      <c r="AF85" s="675">
        <f>AE85/12</f>
        <v/>
      </c>
      <c r="AG85" s="676">
        <f>(AC87-AC25)/AC25</f>
        <v/>
      </c>
    </row>
    <row r="86">
      <c r="A86" s="689" t="n">
        <v>44013</v>
      </c>
      <c r="B86" s="687" t="n">
        <v>99540</v>
      </c>
      <c r="C86" s="687" t="n">
        <v>25450</v>
      </c>
      <c r="D86" s="687" t="n">
        <v>481</v>
      </c>
      <c r="E86" s="687" t="n">
        <v>12224</v>
      </c>
      <c r="F86" s="687" t="n">
        <v>107</v>
      </c>
      <c r="G86" s="687" t="n">
        <v>1459</v>
      </c>
      <c r="H86" s="687" t="n">
        <v>340</v>
      </c>
      <c r="I86" s="687" t="n">
        <v>233.8</v>
      </c>
      <c r="J86" s="695" t="n">
        <v>0.851</v>
      </c>
      <c r="K86" s="687" t="n">
        <v>0</v>
      </c>
      <c r="L86" s="687" t="n">
        <v>70</v>
      </c>
      <c r="M86" s="560" t="n">
        <v>400</v>
      </c>
      <c r="N86" s="560" t="n">
        <v>200</v>
      </c>
      <c r="O86" s="696" t="inlineStr">
        <is>
          <t>-</t>
        </is>
      </c>
      <c r="P86" s="696">
        <f>0.67*220</f>
        <v/>
      </c>
      <c r="Q86" s="695" t="n">
        <v>6</v>
      </c>
      <c r="R86" s="696" t="n"/>
      <c r="S86" s="696" t="n"/>
      <c r="T86" s="696" t="n"/>
      <c r="U86" s="687" t="n">
        <v>0</v>
      </c>
      <c r="V86" s="687" t="n">
        <v>12300</v>
      </c>
      <c r="W86" s="687">
        <f>'Raw Food Data (KG)'!Q47</f>
        <v/>
      </c>
      <c r="X86" s="687" t="n">
        <v>4800</v>
      </c>
      <c r="Y86" s="687" t="n">
        <v>17500</v>
      </c>
      <c r="Z86" s="697" t="n"/>
      <c r="AA86" s="676">
        <f>SUM(B86:C86)</f>
        <v/>
      </c>
      <c r="AB86" s="675">
        <f>SUM(AA75:AA86)</f>
        <v/>
      </c>
      <c r="AC86" s="675">
        <f>AB86/12</f>
        <v/>
      </c>
      <c r="AD86" s="675">
        <f>SUM(D86:Z86)</f>
        <v/>
      </c>
      <c r="AE86" s="675">
        <f>SUM(AD75:AD86)</f>
        <v/>
      </c>
      <c r="AF86" s="675">
        <f>AE86/12</f>
        <v/>
      </c>
    </row>
    <row r="87">
      <c r="A87" s="689" t="n">
        <v>44044</v>
      </c>
      <c r="B87" s="687" t="n">
        <v>98190</v>
      </c>
      <c r="C87" s="687" t="n">
        <v>25100</v>
      </c>
      <c r="D87" s="687" t="n">
        <v>735</v>
      </c>
      <c r="E87" s="687" t="n">
        <v>11764</v>
      </c>
      <c r="F87" s="687" t="n">
        <v>107</v>
      </c>
      <c r="G87" s="687" t="n">
        <v>1874</v>
      </c>
      <c r="H87" s="687" t="n">
        <v>343</v>
      </c>
      <c r="I87" s="687" t="n">
        <v>137.15</v>
      </c>
      <c r="J87" s="695" t="n">
        <v>0</v>
      </c>
      <c r="K87" s="687" t="n">
        <v>734</v>
      </c>
      <c r="L87" s="687" t="n">
        <v>100</v>
      </c>
      <c r="M87" s="560" t="n">
        <v>1200</v>
      </c>
      <c r="N87" s="560" t="n">
        <v>600</v>
      </c>
      <c r="O87" s="696" t="inlineStr">
        <is>
          <t>-</t>
        </is>
      </c>
      <c r="P87" s="696" t="n">
        <v>0</v>
      </c>
      <c r="Q87" s="695" t="n">
        <v>0</v>
      </c>
      <c r="R87" s="696" t="n"/>
      <c r="S87" s="696" t="n"/>
      <c r="T87" s="696" t="n"/>
      <c r="U87" s="687">
        <f>5*27+27*35</f>
        <v/>
      </c>
      <c r="V87" s="687" t="n">
        <v>12400</v>
      </c>
      <c r="W87" s="687">
        <f>'Raw Food Data (KG)'!Q48</f>
        <v/>
      </c>
      <c r="X87" s="687" t="n">
        <v>4800</v>
      </c>
      <c r="Y87" s="687" t="n">
        <v>24000</v>
      </c>
      <c r="Z87" s="697" t="n"/>
      <c r="AA87" s="676">
        <f>SUM(B87:C87)</f>
        <v/>
      </c>
      <c r="AB87" s="675">
        <f>SUM(AA76:AA87)</f>
        <v/>
      </c>
      <c r="AC87" s="675">
        <f>AB87/12</f>
        <v/>
      </c>
      <c r="AD87" s="675">
        <f>SUM(D87:Z87)</f>
        <v/>
      </c>
      <c r="AE87" s="675">
        <f>SUM(AD76:AD87)</f>
        <v/>
      </c>
      <c r="AF87" s="675">
        <f>AE87/12</f>
        <v/>
      </c>
    </row>
    <row r="88">
      <c r="A88" s="689" t="n">
        <v>44075</v>
      </c>
      <c r="B88" s="687" t="n">
        <v>103480</v>
      </c>
      <c r="C88" s="687" t="n">
        <v>26450</v>
      </c>
      <c r="D88" s="687" t="n">
        <v>2051</v>
      </c>
      <c r="E88" s="687" t="n">
        <v>12331</v>
      </c>
      <c r="F88" s="687" t="n">
        <v>105</v>
      </c>
      <c r="G88" s="687" t="n">
        <v>266</v>
      </c>
      <c r="H88" s="687" t="n">
        <v>344</v>
      </c>
      <c r="I88" s="687" t="n">
        <v>168.75</v>
      </c>
      <c r="J88" s="695" t="n">
        <v>0.789</v>
      </c>
      <c r="K88" s="687" t="n">
        <v>643</v>
      </c>
      <c r="L88" s="687" t="n">
        <v>0</v>
      </c>
      <c r="M88" s="560" t="n">
        <v>800</v>
      </c>
      <c r="N88" s="560" t="n">
        <v>400</v>
      </c>
      <c r="O88" s="696" t="inlineStr">
        <is>
          <t>-</t>
        </is>
      </c>
      <c r="P88" s="696">
        <f>0.67*123</f>
        <v/>
      </c>
      <c r="Q88" s="695" t="n">
        <v>0</v>
      </c>
      <c r="R88" s="696" t="n"/>
      <c r="S88" s="696" t="n"/>
      <c r="T88" s="696" t="n"/>
      <c r="U88" s="687" t="n">
        <v>0</v>
      </c>
      <c r="V88" s="687" t="n">
        <v>10400</v>
      </c>
      <c r="W88" s="687">
        <f>'Raw Food Data (KG)'!Q49</f>
        <v/>
      </c>
      <c r="X88" s="687" t="n">
        <v>6400</v>
      </c>
      <c r="Y88" s="687" t="n">
        <v>21000</v>
      </c>
      <c r="Z88" s="697" t="n"/>
      <c r="AA88" s="676">
        <f>SUM(B88:C88)</f>
        <v/>
      </c>
      <c r="AB88" s="675">
        <f>SUM(AA77:AA88)</f>
        <v/>
      </c>
      <c r="AC88" s="675">
        <f>AB88/12</f>
        <v/>
      </c>
      <c r="AD88" s="675">
        <f>SUM(D88:Z88)</f>
        <v/>
      </c>
      <c r="AE88" s="675">
        <f>SUM(AD77:AD88)</f>
        <v/>
      </c>
      <c r="AF88" s="675">
        <f>AE88/12</f>
        <v/>
      </c>
    </row>
    <row r="89">
      <c r="A89" s="689" t="n">
        <v>44105</v>
      </c>
      <c r="B89" s="687" t="n">
        <v>99600</v>
      </c>
      <c r="C89" s="687" t="n">
        <v>18840</v>
      </c>
      <c r="D89" s="687" t="n">
        <v>807</v>
      </c>
      <c r="E89" s="687" t="n">
        <v>13196</v>
      </c>
      <c r="F89" s="687" t="n">
        <v>96</v>
      </c>
      <c r="G89" s="687" t="n">
        <v>249</v>
      </c>
      <c r="H89" s="687" t="n">
        <v>348</v>
      </c>
      <c r="I89" s="687" t="n">
        <v>162.7</v>
      </c>
      <c r="J89" s="695" t="n">
        <v>0</v>
      </c>
      <c r="K89" s="687" t="n">
        <v>971</v>
      </c>
      <c r="L89" s="687" t="n">
        <v>0</v>
      </c>
      <c r="M89" s="560" t="n">
        <v>400</v>
      </c>
      <c r="N89" s="560" t="n">
        <v>400</v>
      </c>
      <c r="O89" s="696" t="inlineStr">
        <is>
          <t>-</t>
        </is>
      </c>
      <c r="P89" s="696">
        <f>0.67*86</f>
        <v/>
      </c>
      <c r="Q89" s="695" t="n">
        <v>6</v>
      </c>
      <c r="R89" s="696" t="n"/>
      <c r="S89" s="696" t="n"/>
      <c r="T89" s="696" t="n"/>
      <c r="U89" s="687">
        <f>29*27+2*4.5</f>
        <v/>
      </c>
      <c r="V89" s="687" t="n">
        <v>12200</v>
      </c>
      <c r="W89" s="687">
        <f>'Raw Food Data (KG)'!Q50</f>
        <v/>
      </c>
      <c r="X89" s="687" t="n">
        <v>4800</v>
      </c>
      <c r="Y89" s="687" t="n">
        <v>24500</v>
      </c>
      <c r="Z89" s="697" t="n"/>
      <c r="AA89" s="676">
        <f>SUM(B89:C89)</f>
        <v/>
      </c>
      <c r="AB89" s="675">
        <f>SUM(AA78:AA89)</f>
        <v/>
      </c>
      <c r="AC89" s="675">
        <f>AB89/12</f>
        <v/>
      </c>
      <c r="AD89" s="675">
        <f>SUM(D89:Z89)</f>
        <v/>
      </c>
      <c r="AE89" s="675">
        <f>SUM(AD78:AD89)</f>
        <v/>
      </c>
      <c r="AF89" s="675">
        <f>AE89/12</f>
        <v/>
      </c>
    </row>
    <row r="90">
      <c r="A90" s="689" t="n">
        <v>44136</v>
      </c>
      <c r="B90" s="687" t="n">
        <v>100780</v>
      </c>
      <c r="C90" s="687" t="n">
        <v>20400</v>
      </c>
      <c r="D90" s="687" t="n">
        <v>866</v>
      </c>
      <c r="E90" s="687" t="n">
        <v>11978</v>
      </c>
      <c r="F90" s="687" t="n">
        <v>100</v>
      </c>
      <c r="G90" s="687" t="n">
        <v>321</v>
      </c>
      <c r="H90" s="687" t="n">
        <v>477</v>
      </c>
      <c r="I90" s="687" t="n">
        <v>242.15</v>
      </c>
      <c r="J90" s="695" t="n">
        <v>0.464</v>
      </c>
      <c r="K90" s="687" t="n">
        <v>781</v>
      </c>
      <c r="L90" s="687" t="n">
        <v>0</v>
      </c>
      <c r="M90" s="560" t="n">
        <v>800</v>
      </c>
      <c r="N90" s="560" t="n">
        <v>400</v>
      </c>
      <c r="O90" s="696" t="inlineStr">
        <is>
          <t>-</t>
        </is>
      </c>
      <c r="P90" s="696">
        <f>0.67*125</f>
        <v/>
      </c>
      <c r="Q90" s="695" t="n">
        <v>7</v>
      </c>
      <c r="R90" s="696" t="n"/>
      <c r="S90" s="696" t="n"/>
      <c r="T90" s="696" t="n"/>
      <c r="U90" s="687">
        <f>(18+29)*27+7.5*2+(22+2)*4.5+1*35</f>
        <v/>
      </c>
      <c r="V90" s="687" t="n">
        <v>13500</v>
      </c>
      <c r="W90" s="687">
        <f>'Raw Food Data (KG)'!Q51</f>
        <v/>
      </c>
      <c r="X90" s="687" t="n">
        <v>3200</v>
      </c>
      <c r="Y90" s="687" t="n">
        <v>21000</v>
      </c>
      <c r="Z90" s="697" t="n"/>
      <c r="AA90" s="676">
        <f>SUM(B90:C90)</f>
        <v/>
      </c>
      <c r="AB90" s="675">
        <f>SUM(AA79:AA90)</f>
        <v/>
      </c>
      <c r="AC90" s="675">
        <f>AB90/12</f>
        <v/>
      </c>
      <c r="AD90" s="675">
        <f>SUM(D90:Z90)</f>
        <v/>
      </c>
      <c r="AE90" s="675">
        <f>SUM(AD79:AD90)</f>
        <v/>
      </c>
      <c r="AF90" s="675">
        <f>AE90/12</f>
        <v/>
      </c>
    </row>
    <row r="91">
      <c r="A91" s="689" t="n">
        <v>44166</v>
      </c>
      <c r="B91" s="687" t="n">
        <v>92840</v>
      </c>
      <c r="C91" s="687" t="n">
        <v>19120</v>
      </c>
      <c r="D91" s="687" t="n">
        <v>731</v>
      </c>
      <c r="E91" s="687" t="n">
        <v>11422</v>
      </c>
      <c r="F91" s="687" t="n">
        <v>86</v>
      </c>
      <c r="G91" s="687" t="n">
        <v>321</v>
      </c>
      <c r="H91" s="687" t="n">
        <v>352</v>
      </c>
      <c r="I91" s="687" t="n">
        <v>161.05</v>
      </c>
      <c r="J91" s="695" t="n">
        <v>0.928</v>
      </c>
      <c r="K91" s="687" t="n">
        <v>971</v>
      </c>
      <c r="L91" s="687" t="n">
        <v>0</v>
      </c>
      <c r="M91" s="560" t="n">
        <v>600</v>
      </c>
      <c r="N91" s="560" t="n">
        <v>200</v>
      </c>
      <c r="O91" s="696" t="inlineStr">
        <is>
          <t>-</t>
        </is>
      </c>
      <c r="P91" s="696">
        <f>0.67*100</f>
        <v/>
      </c>
      <c r="Q91" s="695" t="n">
        <v>0</v>
      </c>
      <c r="R91" s="696" t="n"/>
      <c r="S91" s="696" t="n"/>
      <c r="T91" s="696" t="n"/>
      <c r="U91" s="687" t="n">
        <v>0</v>
      </c>
      <c r="V91" s="687" t="n">
        <v>14600</v>
      </c>
      <c r="W91" s="687">
        <f>'Raw Food Data (KG)'!Q52</f>
        <v/>
      </c>
      <c r="X91" s="687" t="n">
        <v>3200</v>
      </c>
      <c r="Y91" s="687" t="n">
        <v>10500</v>
      </c>
      <c r="Z91" s="697" t="n"/>
      <c r="AA91" s="676">
        <f>SUM(B91:C91)</f>
        <v/>
      </c>
      <c r="AB91" s="675">
        <f>SUM(AA80:AA91)</f>
        <v/>
      </c>
      <c r="AC91" s="675">
        <f>AB91/12</f>
        <v/>
      </c>
      <c r="AD91" s="675">
        <f>SUM(D91:Z91)</f>
        <v/>
      </c>
      <c r="AE91" s="675">
        <f>SUM(AD80:AD91)</f>
        <v/>
      </c>
      <c r="AF91" s="675">
        <f>AE91/12</f>
        <v/>
      </c>
    </row>
    <row r="92">
      <c r="A92" s="689" t="n">
        <v>44197</v>
      </c>
      <c r="B92" s="687" t="n">
        <v>82270</v>
      </c>
      <c r="C92" s="687" t="n">
        <v>19600</v>
      </c>
      <c r="D92" s="687" t="n">
        <v>291</v>
      </c>
      <c r="E92" s="687" t="n">
        <v>12557</v>
      </c>
      <c r="F92" s="687" t="n">
        <v>82</v>
      </c>
      <c r="G92" s="687" t="n">
        <v>262</v>
      </c>
      <c r="H92" s="687" t="n">
        <v>305</v>
      </c>
      <c r="I92" s="687" t="n">
        <v>83.55</v>
      </c>
      <c r="J92" s="695" t="n">
        <v>4.64</v>
      </c>
      <c r="K92" s="687" t="n">
        <v>1544</v>
      </c>
      <c r="L92" s="687" t="n">
        <v>0</v>
      </c>
      <c r="M92" s="560" t="n">
        <v>600</v>
      </c>
      <c r="N92" s="560" t="n">
        <v>400</v>
      </c>
      <c r="O92" s="696" t="inlineStr">
        <is>
          <t>-</t>
        </is>
      </c>
      <c r="P92" s="696">
        <f>0.67*112</f>
        <v/>
      </c>
      <c r="Q92" s="695" t="n">
        <v>0</v>
      </c>
      <c r="R92" s="696" t="n"/>
      <c r="S92" s="696" t="n"/>
      <c r="T92" s="696" t="n"/>
      <c r="U92" s="687" t="n">
        <v>0</v>
      </c>
      <c r="V92" s="687" t="n">
        <v>18700</v>
      </c>
      <c r="W92" s="687">
        <f>'Raw Food Data (KG)'!Q53</f>
        <v/>
      </c>
      <c r="X92" s="687" t="n">
        <v>3200</v>
      </c>
      <c r="Y92" s="687" t="n">
        <v>24500</v>
      </c>
      <c r="Z92" s="697" t="n"/>
      <c r="AA92" s="676">
        <f>SUM(B92:C92)</f>
        <v/>
      </c>
      <c r="AB92" s="675">
        <f>SUM(AA81:AA92)</f>
        <v/>
      </c>
      <c r="AC92" s="675">
        <f>AB92/12</f>
        <v/>
      </c>
      <c r="AD92" s="675">
        <f>SUM(D92:Z92)</f>
        <v/>
      </c>
      <c r="AE92" s="675">
        <f>SUM(AD81:AD92)</f>
        <v/>
      </c>
      <c r="AF92" s="675">
        <f>AE92/12</f>
        <v/>
      </c>
    </row>
    <row r="93">
      <c r="A93" s="689" t="n">
        <v>44228</v>
      </c>
      <c r="B93" s="687" t="n">
        <v>91040</v>
      </c>
      <c r="C93" s="687" t="n">
        <v>16990</v>
      </c>
      <c r="D93" s="687" t="n">
        <v>90</v>
      </c>
      <c r="E93" s="687" t="n">
        <v>11838</v>
      </c>
      <c r="F93" s="687" t="n">
        <v>89</v>
      </c>
      <c r="G93" s="687" t="n">
        <v>1701</v>
      </c>
      <c r="H93" s="687" t="n">
        <v>366</v>
      </c>
      <c r="I93" s="687" t="n">
        <v>185.05</v>
      </c>
      <c r="J93" s="695" t="n">
        <v>3.911</v>
      </c>
      <c r="K93" s="687" t="n">
        <v>0</v>
      </c>
      <c r="L93" s="687" t="n">
        <v>0</v>
      </c>
      <c r="M93" s="560" t="n">
        <v>600</v>
      </c>
      <c r="N93" s="560" t="n">
        <v>400</v>
      </c>
      <c r="O93" s="696" t="inlineStr">
        <is>
          <t>-</t>
        </is>
      </c>
      <c r="P93" s="696" t="n">
        <v>0</v>
      </c>
      <c r="Q93" s="695" t="n">
        <v>0</v>
      </c>
      <c r="R93" s="696" t="n"/>
      <c r="S93" s="696" t="n"/>
      <c r="T93" s="696" t="n"/>
      <c r="U93" s="687">
        <f>24*27+4.5*1</f>
        <v/>
      </c>
      <c r="V93" s="687" t="n">
        <v>6000</v>
      </c>
      <c r="W93" s="687">
        <f>'Raw Food Data (KG)'!Q54</f>
        <v/>
      </c>
      <c r="X93" s="687" t="n">
        <v>4800</v>
      </c>
      <c r="Y93" s="687" t="n">
        <v>14000</v>
      </c>
      <c r="Z93" s="697" t="n"/>
      <c r="AA93" s="676">
        <f>SUM(B93:C93)</f>
        <v/>
      </c>
      <c r="AB93" s="675">
        <f>SUM(AA82:AA93)</f>
        <v/>
      </c>
      <c r="AC93" s="675">
        <f>AB93/12</f>
        <v/>
      </c>
      <c r="AD93" s="675">
        <f>SUM(D93:Z93)</f>
        <v/>
      </c>
      <c r="AE93" s="675">
        <f>SUM(AD82:AD93)</f>
        <v/>
      </c>
      <c r="AF93" s="675">
        <f>AE93/12</f>
        <v/>
      </c>
    </row>
    <row r="94">
      <c r="A94" s="689" t="n">
        <v>44256</v>
      </c>
      <c r="B94" s="687" t="n">
        <v>108160</v>
      </c>
      <c r="C94" s="687" t="n">
        <v>20300</v>
      </c>
      <c r="D94" s="687" t="n">
        <v>588</v>
      </c>
      <c r="E94" s="687" t="n">
        <v>14191</v>
      </c>
      <c r="F94" s="687" t="n">
        <v>90</v>
      </c>
      <c r="G94" s="687" t="n">
        <v>251</v>
      </c>
      <c r="H94" s="687" t="n">
        <v>433</v>
      </c>
      <c r="I94" s="687" t="n">
        <v>142.6</v>
      </c>
      <c r="J94" s="695" t="n">
        <v>4.363</v>
      </c>
      <c r="K94" s="687" t="n">
        <v>758</v>
      </c>
      <c r="L94" s="687" t="n">
        <v>30</v>
      </c>
      <c r="M94" s="560" t="n">
        <v>400</v>
      </c>
      <c r="N94" s="560" t="n">
        <v>200</v>
      </c>
      <c r="O94" s="696" t="inlineStr">
        <is>
          <t>-</t>
        </is>
      </c>
      <c r="P94" s="696">
        <f>0.67*110</f>
        <v/>
      </c>
      <c r="Q94" s="695" t="n">
        <v>0</v>
      </c>
      <c r="R94" s="696" t="n"/>
      <c r="S94" s="696" t="n"/>
      <c r="T94" s="696" t="n"/>
      <c r="U94" s="687" t="n">
        <v>0</v>
      </c>
      <c r="V94" s="687" t="n">
        <v>14700</v>
      </c>
      <c r="W94" s="687">
        <f>'Raw Food Data (KG)'!Q55</f>
        <v/>
      </c>
      <c r="X94" s="687" t="n">
        <v>8000</v>
      </c>
      <c r="Y94" s="687" t="n">
        <v>17500</v>
      </c>
      <c r="Z94" s="697" t="n"/>
      <c r="AA94" s="676">
        <f>SUM(B94:C94)</f>
        <v/>
      </c>
      <c r="AB94" s="675">
        <f>SUM(AA83:AA94)</f>
        <v/>
      </c>
      <c r="AC94" s="675">
        <f>AB94/12</f>
        <v/>
      </c>
      <c r="AD94" s="675">
        <f>SUM(D94:Z94)</f>
        <v/>
      </c>
      <c r="AE94" s="675">
        <f>SUM(AD83:AD94)</f>
        <v/>
      </c>
      <c r="AF94" s="675">
        <f>AE94/12</f>
        <v/>
      </c>
    </row>
    <row r="95">
      <c r="A95" s="689" t="n">
        <v>44287</v>
      </c>
      <c r="B95" s="687" t="n">
        <v>97900</v>
      </c>
      <c r="C95" s="687" t="n">
        <v>25520</v>
      </c>
      <c r="D95" s="687" t="n">
        <v>317</v>
      </c>
      <c r="E95" s="687" t="n">
        <v>12749</v>
      </c>
      <c r="F95" s="687" t="n">
        <v>77</v>
      </c>
      <c r="G95" s="687" t="n">
        <v>1274</v>
      </c>
      <c r="H95" s="687" t="n">
        <v>383</v>
      </c>
      <c r="I95" s="687" t="n">
        <v>124.75</v>
      </c>
      <c r="J95" s="695" t="n">
        <v>0.356</v>
      </c>
      <c r="K95" s="687" t="n">
        <v>0</v>
      </c>
      <c r="L95" s="687" t="n">
        <v>130</v>
      </c>
      <c r="M95" s="560" t="n">
        <v>800</v>
      </c>
      <c r="N95" s="560" t="n">
        <v>400</v>
      </c>
      <c r="O95" s="696" t="inlineStr">
        <is>
          <t>-</t>
        </is>
      </c>
      <c r="P95" s="696">
        <f>0.67*180</f>
        <v/>
      </c>
      <c r="Q95" s="695" t="n">
        <v>0</v>
      </c>
      <c r="R95" s="696" t="n"/>
      <c r="S95" s="696" t="n"/>
      <c r="T95" s="696" t="n"/>
      <c r="U95" s="687" t="n">
        <v>0</v>
      </c>
      <c r="V95" s="687" t="n">
        <v>20500</v>
      </c>
      <c r="W95" s="687">
        <f>'Raw Food Data (KG)'!Q56</f>
        <v/>
      </c>
      <c r="X95" s="687" t="n">
        <v>4800</v>
      </c>
      <c r="Y95" s="687" t="n">
        <v>14000</v>
      </c>
      <c r="Z95" s="697" t="n"/>
      <c r="AA95" s="676">
        <f>SUM(B95:C95)</f>
        <v/>
      </c>
      <c r="AB95" s="675">
        <f>SUM(AA84:AA95)</f>
        <v/>
      </c>
      <c r="AC95" s="675">
        <f>AB95/12</f>
        <v/>
      </c>
      <c r="AD95" s="675">
        <f>SUM(D95:Z95)</f>
        <v/>
      </c>
      <c r="AE95" s="675">
        <f>SUM(AD84:AD95)</f>
        <v/>
      </c>
      <c r="AF95" s="675">
        <f>AE95/12</f>
        <v/>
      </c>
    </row>
    <row r="96">
      <c r="A96" s="689" t="n">
        <v>44317</v>
      </c>
      <c r="B96" s="687" t="n">
        <v>114090</v>
      </c>
      <c r="C96" s="687" t="n">
        <v>22770</v>
      </c>
      <c r="D96" s="687" t="n">
        <v>476</v>
      </c>
      <c r="E96" s="687" t="n">
        <v>12531</v>
      </c>
      <c r="F96" s="687" t="n">
        <v>77</v>
      </c>
      <c r="G96" s="687" t="n">
        <v>802</v>
      </c>
      <c r="H96" s="687" t="n">
        <v>563</v>
      </c>
      <c r="I96" s="687" t="n">
        <v>130.3</v>
      </c>
      <c r="J96" s="695" t="n">
        <v>5.415</v>
      </c>
      <c r="K96" s="687" t="n">
        <v>1085</v>
      </c>
      <c r="L96" s="687" t="n">
        <v>50</v>
      </c>
      <c r="M96" s="560" t="n">
        <v>800</v>
      </c>
      <c r="N96" s="560" t="n">
        <v>400</v>
      </c>
      <c r="O96" s="696" t="inlineStr">
        <is>
          <t>-</t>
        </is>
      </c>
      <c r="P96" s="696">
        <f>0.67*185</f>
        <v/>
      </c>
      <c r="Q96" s="695" t="n">
        <v>0</v>
      </c>
      <c r="R96" s="696" t="n"/>
      <c r="S96" s="696" t="n"/>
      <c r="T96" s="696" t="n"/>
      <c r="U96" s="687">
        <f>25*27</f>
        <v/>
      </c>
      <c r="V96" s="687" t="n">
        <v>10400</v>
      </c>
      <c r="W96" s="687">
        <f>'Raw Food Data (KG)'!Q57</f>
        <v/>
      </c>
      <c r="X96" s="687" t="n">
        <v>6400</v>
      </c>
      <c r="Y96" s="687" t="n">
        <v>17500</v>
      </c>
      <c r="Z96" s="697" t="n"/>
      <c r="AA96" s="676">
        <f>SUM(B96:C96)</f>
        <v/>
      </c>
      <c r="AB96" s="675">
        <f>SUM(AA85:AA96)</f>
        <v/>
      </c>
      <c r="AC96" s="675">
        <f>AB96/12</f>
        <v/>
      </c>
      <c r="AD96" s="675">
        <f>SUM(D96:Z96)</f>
        <v/>
      </c>
      <c r="AE96" s="675">
        <f>SUM(AD85:AD96)</f>
        <v/>
      </c>
      <c r="AF96" s="675">
        <f>AE96/12</f>
        <v/>
      </c>
    </row>
    <row r="97">
      <c r="A97" s="689" t="n">
        <v>44348</v>
      </c>
      <c r="B97" s="687" t="n">
        <v>91870</v>
      </c>
      <c r="C97" s="687" t="n">
        <v>19320</v>
      </c>
      <c r="D97" s="687" t="n">
        <v>1449</v>
      </c>
      <c r="E97" s="687" t="n">
        <v>13034</v>
      </c>
      <c r="F97" s="687" t="n">
        <v>73</v>
      </c>
      <c r="G97" s="687" t="n">
        <v>259</v>
      </c>
      <c r="H97" s="687" t="n">
        <v>350</v>
      </c>
      <c r="I97" s="687" t="n">
        <v>115.7</v>
      </c>
      <c r="J97" s="695" t="n">
        <v>3.868</v>
      </c>
      <c r="K97" s="687" t="n">
        <v>908</v>
      </c>
      <c r="L97" s="687" t="n">
        <v>130</v>
      </c>
      <c r="M97" s="560" t="n">
        <v>800</v>
      </c>
      <c r="N97" s="560" t="n">
        <v>400</v>
      </c>
      <c r="O97" s="696" t="inlineStr">
        <is>
          <t>-</t>
        </is>
      </c>
      <c r="P97" s="696">
        <f>0.67*120</f>
        <v/>
      </c>
      <c r="Q97" s="695" t="n">
        <v>0</v>
      </c>
      <c r="R97" s="696" t="n"/>
      <c r="S97" s="696" t="n"/>
      <c r="T97" s="696" t="n"/>
      <c r="U97" s="687" t="n">
        <v>0</v>
      </c>
      <c r="V97" s="687" t="n">
        <v>10400</v>
      </c>
      <c r="W97" s="687">
        <f>'Raw Food Data (KG)'!Q58</f>
        <v/>
      </c>
      <c r="X97" s="687" t="n">
        <v>4800</v>
      </c>
      <c r="Y97" s="687" t="n">
        <v>24500</v>
      </c>
      <c r="Z97" s="697" t="n"/>
      <c r="AA97" s="676">
        <f>SUM(B97:C97)</f>
        <v/>
      </c>
      <c r="AB97" s="675">
        <f>SUM(AA86:AA97)</f>
        <v/>
      </c>
      <c r="AC97" s="675">
        <f>AB97/12</f>
        <v/>
      </c>
      <c r="AD97" s="675">
        <f>SUM(D97:Z97)</f>
        <v/>
      </c>
      <c r="AE97" s="675">
        <f>SUM(AD86:AD97)</f>
        <v/>
      </c>
      <c r="AF97" s="675">
        <f>AE97/12</f>
        <v/>
      </c>
      <c r="AH97" s="693">
        <f>AB97+AE97</f>
        <v/>
      </c>
    </row>
    <row r="98">
      <c r="A98" s="689" t="n">
        <v>44378</v>
      </c>
      <c r="B98" s="690" t="n">
        <v>94540</v>
      </c>
      <c r="C98" s="690" t="n">
        <v>23190</v>
      </c>
      <c r="D98" s="690" t="n">
        <v>1001</v>
      </c>
      <c r="E98" s="690" t="n">
        <v>12407</v>
      </c>
      <c r="F98" s="690" t="n">
        <v>79</v>
      </c>
      <c r="G98" s="690" t="n">
        <v>1049</v>
      </c>
      <c r="H98" s="690" t="n">
        <v>535</v>
      </c>
      <c r="I98" s="690" t="n">
        <v>81.84999999999999</v>
      </c>
      <c r="J98" s="685" t="n">
        <v>3.868</v>
      </c>
      <c r="K98" s="690" t="n">
        <v>1043</v>
      </c>
      <c r="L98" s="690" t="n">
        <v>150</v>
      </c>
      <c r="M98" s="558" t="n">
        <v>800</v>
      </c>
      <c r="N98" s="558" t="n">
        <v>400</v>
      </c>
      <c r="O98" s="686" t="inlineStr">
        <is>
          <t>-</t>
        </is>
      </c>
      <c r="P98" s="686">
        <f>0.67*150</f>
        <v/>
      </c>
      <c r="Q98" s="685" t="n">
        <v>0</v>
      </c>
      <c r="R98" s="686" t="n"/>
      <c r="S98" s="686" t="n"/>
      <c r="T98" s="686" t="n"/>
      <c r="U98" s="690" t="n">
        <v>0</v>
      </c>
      <c r="V98" s="690" t="n">
        <v>16700</v>
      </c>
      <c r="W98" s="687">
        <f>'Raw Food Data (KG)'!Q59</f>
        <v/>
      </c>
      <c r="X98" s="690" t="n">
        <v>8000</v>
      </c>
      <c r="Y98" s="690" t="n">
        <v>21000</v>
      </c>
      <c r="Z98" s="692" t="n"/>
      <c r="AA98" s="676">
        <f>SUM(B98:C98)</f>
        <v/>
      </c>
      <c r="AB98" s="675">
        <f>SUM(AA87:AA98)</f>
        <v/>
      </c>
      <c r="AC98" s="675">
        <f>AB98/12</f>
        <v/>
      </c>
      <c r="AD98" s="675">
        <f>SUM(D98:Z98)</f>
        <v/>
      </c>
      <c r="AE98" s="675">
        <f>SUM(AD87:AD98)</f>
        <v/>
      </c>
      <c r="AF98" s="675">
        <f>AE98/12</f>
        <v/>
      </c>
    </row>
    <row r="99">
      <c r="A99" s="689" t="n">
        <v>44409</v>
      </c>
      <c r="B99" s="690" t="n">
        <v>104460</v>
      </c>
      <c r="C99" s="690" t="n">
        <v>27760</v>
      </c>
      <c r="D99" s="690" t="n">
        <v>1112</v>
      </c>
      <c r="E99" s="690" t="n">
        <v>14252</v>
      </c>
      <c r="F99" s="690" t="n">
        <v>82</v>
      </c>
      <c r="G99" s="690" t="n">
        <v>294</v>
      </c>
      <c r="H99" s="690" t="n">
        <v>356</v>
      </c>
      <c r="I99" s="690" t="n">
        <v>75.95</v>
      </c>
      <c r="J99" s="685" t="n">
        <v>0.203</v>
      </c>
      <c r="K99" s="690" t="n">
        <v>0</v>
      </c>
      <c r="L99" s="690" t="n">
        <v>130</v>
      </c>
      <c r="M99" s="558" t="n">
        <v>800</v>
      </c>
      <c r="N99" s="558" t="n">
        <v>400</v>
      </c>
      <c r="O99" s="686" t="inlineStr">
        <is>
          <t>-</t>
        </is>
      </c>
      <c r="P99" s="686">
        <f>0.67*182</f>
        <v/>
      </c>
      <c r="Q99" s="685" t="n">
        <v>0</v>
      </c>
      <c r="R99" s="686" t="n"/>
      <c r="S99" s="686" t="n"/>
      <c r="T99" s="686" t="n"/>
      <c r="U99" s="690" t="n">
        <v>0</v>
      </c>
      <c r="V99" s="690" t="n">
        <v>13700</v>
      </c>
      <c r="W99" s="687">
        <f>'Raw Food Data (KG)'!Q60</f>
        <v/>
      </c>
      <c r="X99" s="690" t="n">
        <v>6400</v>
      </c>
      <c r="Y99" s="690" t="n">
        <v>35000</v>
      </c>
      <c r="Z99" s="692" t="n"/>
      <c r="AA99" s="676">
        <f>SUM(B99:C99)</f>
        <v/>
      </c>
      <c r="AB99" s="675">
        <f>SUM(AA88:AA99)</f>
        <v/>
      </c>
      <c r="AC99" s="675">
        <f>AB99/12</f>
        <v/>
      </c>
      <c r="AD99" s="675">
        <f>SUM(D99:Z99)</f>
        <v/>
      </c>
      <c r="AE99" s="675">
        <f>SUM(AD88:AD99)</f>
        <v/>
      </c>
      <c r="AF99" s="675">
        <f>AE99/12</f>
        <v/>
      </c>
    </row>
    <row r="100">
      <c r="A100" s="689" t="n">
        <v>44440</v>
      </c>
      <c r="B100" s="690" t="n">
        <v>125580</v>
      </c>
      <c r="C100" s="690" t="n">
        <v>28910</v>
      </c>
      <c r="D100" s="690" t="n">
        <v>624</v>
      </c>
      <c r="E100" s="690" t="n">
        <v>15030</v>
      </c>
      <c r="F100" s="690" t="n">
        <v>92</v>
      </c>
      <c r="G100" s="690" t="n">
        <v>810</v>
      </c>
      <c r="H100" s="690" t="n">
        <v>336</v>
      </c>
      <c r="I100" s="690" t="n">
        <v>70.05</v>
      </c>
      <c r="J100" s="685" t="n">
        <v>0</v>
      </c>
      <c r="K100" s="690" t="n">
        <v>1006</v>
      </c>
      <c r="L100" s="690" t="n">
        <v>80</v>
      </c>
      <c r="M100" s="558" t="n">
        <v>800</v>
      </c>
      <c r="N100" s="558" t="n">
        <v>400</v>
      </c>
      <c r="O100" s="686" t="inlineStr">
        <is>
          <t>-</t>
        </is>
      </c>
      <c r="P100" s="686">
        <f>0.67*100</f>
        <v/>
      </c>
      <c r="Q100" s="685" t="n">
        <v>0</v>
      </c>
      <c r="R100" s="686" t="n"/>
      <c r="S100" s="686" t="n"/>
      <c r="T100" s="686" t="n"/>
      <c r="U100" s="690" t="n">
        <v>0</v>
      </c>
      <c r="V100" s="690" t="n">
        <v>9500</v>
      </c>
      <c r="W100" s="687">
        <f>'Raw Food Data (KG)'!Q61</f>
        <v/>
      </c>
      <c r="X100" s="690" t="n">
        <v>6400</v>
      </c>
      <c r="Y100" s="690" t="n">
        <v>28000</v>
      </c>
      <c r="Z100" s="692" t="n"/>
      <c r="AA100" s="676">
        <f>SUM(B100:C100)</f>
        <v/>
      </c>
      <c r="AB100" s="675">
        <f>SUM(AA89:AA100)</f>
        <v/>
      </c>
      <c r="AC100" s="675">
        <f>AB100/12</f>
        <v/>
      </c>
      <c r="AD100" s="675">
        <f>SUM(D100:Z100)</f>
        <v/>
      </c>
      <c r="AE100" s="675">
        <f>SUM(AD89:AD100)</f>
        <v/>
      </c>
      <c r="AF100" s="675">
        <f>AE100/12</f>
        <v/>
      </c>
    </row>
    <row r="101">
      <c r="A101" s="689" t="n">
        <v>44470</v>
      </c>
      <c r="B101" s="690" t="n">
        <v>120930</v>
      </c>
      <c r="C101" s="690" t="n">
        <v>22640</v>
      </c>
      <c r="D101" s="690" t="n">
        <v>243</v>
      </c>
      <c r="E101" s="690" t="n">
        <v>12985</v>
      </c>
      <c r="F101" s="690" t="n">
        <v>81</v>
      </c>
      <c r="G101" s="690" t="n">
        <v>911</v>
      </c>
      <c r="H101" s="690" t="n">
        <v>304</v>
      </c>
      <c r="I101" s="690" t="n">
        <v>157.35</v>
      </c>
      <c r="J101" s="685" t="n">
        <v>0</v>
      </c>
      <c r="K101" s="690" t="n">
        <v>891</v>
      </c>
      <c r="L101" s="690" t="n">
        <v>150</v>
      </c>
      <c r="M101" s="558" t="n">
        <v>800</v>
      </c>
      <c r="N101" s="558" t="n">
        <v>400</v>
      </c>
      <c r="O101" s="686" t="inlineStr">
        <is>
          <t>-</t>
        </is>
      </c>
      <c r="P101" s="686" t="n">
        <v>0</v>
      </c>
      <c r="Q101" s="685" t="n">
        <v>0</v>
      </c>
      <c r="R101" s="686" t="n"/>
      <c r="S101" s="686" t="n"/>
      <c r="T101" s="686" t="n"/>
      <c r="U101" s="690" t="n">
        <v>0</v>
      </c>
      <c r="V101" s="690" t="n">
        <v>7830</v>
      </c>
      <c r="W101" s="687">
        <f>'Raw Food Data (KG)'!Q62</f>
        <v/>
      </c>
      <c r="X101" s="690" t="n">
        <v>6400</v>
      </c>
      <c r="Y101" s="690" t="n">
        <v>35000</v>
      </c>
      <c r="Z101" s="692" t="n"/>
      <c r="AA101" s="676">
        <f>SUM(B101:C101)</f>
        <v/>
      </c>
      <c r="AB101" s="675">
        <f>SUM(AA90:AA101)</f>
        <v/>
      </c>
      <c r="AC101" s="675">
        <f>AB101/12</f>
        <v/>
      </c>
      <c r="AD101" s="675">
        <f>SUM(D101:Z101)</f>
        <v/>
      </c>
      <c r="AE101" s="675">
        <f>SUM(AD90:AD101)</f>
        <v/>
      </c>
      <c r="AF101" s="675">
        <f>AE101/12</f>
        <v/>
      </c>
    </row>
    <row r="102">
      <c r="A102" s="689" t="n">
        <v>44501</v>
      </c>
      <c r="B102" s="690" t="n">
        <v>122690</v>
      </c>
      <c r="C102" s="690" t="n">
        <v>22120</v>
      </c>
      <c r="D102" s="690" t="n">
        <v>1282</v>
      </c>
      <c r="E102" s="690" t="n">
        <v>13164</v>
      </c>
      <c r="F102" s="690" t="n">
        <v>88</v>
      </c>
      <c r="G102" s="690" t="n">
        <v>282</v>
      </c>
      <c r="H102" s="690" t="n">
        <v>285</v>
      </c>
      <c r="I102" s="690" t="n">
        <v>67.75</v>
      </c>
      <c r="J102" s="685" t="n">
        <v>0.774</v>
      </c>
      <c r="K102" s="690" t="n">
        <v>625</v>
      </c>
      <c r="L102" s="690" t="n">
        <v>30</v>
      </c>
      <c r="M102" s="558" t="n">
        <v>800</v>
      </c>
      <c r="N102" s="558" t="n">
        <v>400</v>
      </c>
      <c r="O102" s="686" t="inlineStr">
        <is>
          <t>-</t>
        </is>
      </c>
      <c r="P102" s="686">
        <f>0.67*258</f>
        <v/>
      </c>
      <c r="Q102" s="685" t="n">
        <v>0</v>
      </c>
      <c r="R102" s="686" t="n"/>
      <c r="S102" s="686" t="n"/>
      <c r="T102" s="686" t="n"/>
      <c r="U102" s="690">
        <f>72*27+6*4.5</f>
        <v/>
      </c>
      <c r="V102" s="690" t="n">
        <v>5800</v>
      </c>
      <c r="W102" s="687">
        <f>'Raw Food Data (KG)'!Q63</f>
        <v/>
      </c>
      <c r="X102" s="690" t="n">
        <v>4800</v>
      </c>
      <c r="Y102" s="690" t="n">
        <v>35000</v>
      </c>
      <c r="Z102" s="692" t="n"/>
      <c r="AA102" s="676">
        <f>SUM(B102:C102)</f>
        <v/>
      </c>
      <c r="AB102" s="675">
        <f>SUM(AA91:AA102)</f>
        <v/>
      </c>
      <c r="AC102" s="675">
        <f>AB102/12</f>
        <v/>
      </c>
      <c r="AD102" s="675">
        <f>SUM(D102:Z102)</f>
        <v/>
      </c>
      <c r="AE102" s="675">
        <f>SUM(AD91:AD102)</f>
        <v/>
      </c>
      <c r="AF102" s="675">
        <f>AE102/12</f>
        <v/>
      </c>
    </row>
    <row r="103">
      <c r="A103" s="689" t="n">
        <v>44531</v>
      </c>
      <c r="B103" s="690" t="n">
        <v>119627</v>
      </c>
      <c r="C103" s="690" t="n">
        <v>24060</v>
      </c>
      <c r="D103" s="690" t="n">
        <v>683</v>
      </c>
      <c r="E103" s="690" t="n">
        <v>13435</v>
      </c>
      <c r="F103" s="690" t="n">
        <v>87</v>
      </c>
      <c r="G103" s="690" t="n">
        <v>984</v>
      </c>
      <c r="H103" s="690" t="n">
        <v>361</v>
      </c>
      <c r="I103" s="690" t="n">
        <v>63.95</v>
      </c>
      <c r="J103" s="685" t="n">
        <v>0.387</v>
      </c>
      <c r="K103" s="690" t="n">
        <v>0</v>
      </c>
      <c r="L103" s="690" t="n">
        <v>70</v>
      </c>
      <c r="M103" s="558" t="n">
        <v>600</v>
      </c>
      <c r="N103" s="558" t="n">
        <v>400</v>
      </c>
      <c r="O103" s="686" t="inlineStr">
        <is>
          <t>-</t>
        </is>
      </c>
      <c r="P103" s="686">
        <f>0.67*120</f>
        <v/>
      </c>
      <c r="Q103" s="685" t="n">
        <v>0</v>
      </c>
      <c r="R103" s="686" t="n"/>
      <c r="S103" s="686" t="n"/>
      <c r="T103" s="686" t="n"/>
      <c r="U103" s="690">
        <f>13*27+1*4.5</f>
        <v/>
      </c>
      <c r="V103" s="690" t="n">
        <v>10180</v>
      </c>
      <c r="W103" s="687">
        <f>'Raw Food Data (KG)'!Q64</f>
        <v/>
      </c>
      <c r="X103" s="690" t="n">
        <v>8000</v>
      </c>
      <c r="Y103" s="690" t="n">
        <v>31500</v>
      </c>
      <c r="Z103" s="692" t="n"/>
      <c r="AA103" s="676">
        <f>SUM(B103:C103)</f>
        <v/>
      </c>
      <c r="AB103" s="675">
        <f>SUM(AA92:AA103)</f>
        <v/>
      </c>
      <c r="AC103" s="675">
        <f>AB103/12</f>
        <v/>
      </c>
      <c r="AD103" s="675">
        <f>SUM(D103:Z103)</f>
        <v/>
      </c>
      <c r="AE103" s="675">
        <f>SUM(AD92:AD103)</f>
        <v/>
      </c>
      <c r="AF103" s="675">
        <f>AE103/12</f>
        <v/>
      </c>
    </row>
    <row r="104">
      <c r="A104" s="689" t="n">
        <v>44562</v>
      </c>
      <c r="B104" s="690" t="n">
        <v>113840</v>
      </c>
      <c r="C104" s="690" t="n">
        <v>30180</v>
      </c>
      <c r="D104" s="690" t="n">
        <v>1410</v>
      </c>
      <c r="E104" s="690" t="n">
        <v>13422</v>
      </c>
      <c r="F104" s="690" t="n">
        <v>82</v>
      </c>
      <c r="G104" s="690" t="n">
        <v>1130</v>
      </c>
      <c r="H104" s="690" t="n">
        <v>288</v>
      </c>
      <c r="I104" s="690" t="n">
        <v>133.65</v>
      </c>
      <c r="J104" s="685" t="n">
        <v>0</v>
      </c>
      <c r="K104" s="690" t="n">
        <v>0</v>
      </c>
      <c r="L104" s="690" t="n">
        <v>200</v>
      </c>
      <c r="M104" s="558" t="n">
        <v>1200</v>
      </c>
      <c r="N104" s="558" t="n">
        <v>600</v>
      </c>
      <c r="O104" s="686" t="inlineStr">
        <is>
          <t>-</t>
        </is>
      </c>
      <c r="P104" s="686" t="n">
        <v>0</v>
      </c>
      <c r="Q104" s="685" t="n">
        <v>0</v>
      </c>
      <c r="R104" s="686" t="n"/>
      <c r="S104" s="686" t="n"/>
      <c r="T104" s="686" t="n"/>
      <c r="U104" s="690" t="n">
        <v>0</v>
      </c>
      <c r="V104" s="690" t="n">
        <v>19838</v>
      </c>
      <c r="W104" s="687">
        <f>'Raw Food Data (KG)'!Q65</f>
        <v/>
      </c>
      <c r="X104" s="690" t="n">
        <v>6400</v>
      </c>
      <c r="Y104" s="690" t="n">
        <v>28000</v>
      </c>
      <c r="Z104" s="692" t="n"/>
      <c r="AA104" s="676">
        <f>SUM(B104:C104)</f>
        <v/>
      </c>
      <c r="AB104" s="675">
        <f>SUM(AA93:AA104)</f>
        <v/>
      </c>
      <c r="AC104" s="675">
        <f>AB104/12</f>
        <v/>
      </c>
      <c r="AD104" s="675">
        <f>SUM(D104:Z104)</f>
        <v/>
      </c>
      <c r="AE104" s="675">
        <f>SUM(AD93:AD104)</f>
        <v/>
      </c>
      <c r="AF104" s="675">
        <f>AE104/12</f>
        <v/>
      </c>
    </row>
    <row r="105">
      <c r="A105" s="689" t="n">
        <v>44593</v>
      </c>
      <c r="B105" s="690" t="n">
        <v>94360</v>
      </c>
      <c r="C105" s="690" t="n">
        <v>16000</v>
      </c>
      <c r="D105" s="690" t="n">
        <v>1223</v>
      </c>
      <c r="E105" s="690" t="n">
        <v>9823</v>
      </c>
      <c r="F105" s="690" t="n">
        <v>59</v>
      </c>
      <c r="G105" s="690" t="n">
        <v>254</v>
      </c>
      <c r="H105" s="690" t="n">
        <v>191</v>
      </c>
      <c r="I105" s="690" t="n">
        <v>67.65000000000001</v>
      </c>
      <c r="J105" s="685" t="n">
        <v>0.371</v>
      </c>
      <c r="K105" s="690" t="n">
        <v>869</v>
      </c>
      <c r="L105" s="690" t="n">
        <v>0</v>
      </c>
      <c r="M105" s="558" t="n">
        <v>400</v>
      </c>
      <c r="N105" s="558" t="n">
        <v>400</v>
      </c>
      <c r="O105" s="686" t="inlineStr">
        <is>
          <t>-</t>
        </is>
      </c>
      <c r="P105" s="686">
        <f>0.67*188</f>
        <v/>
      </c>
      <c r="Q105" s="685" t="n">
        <v>0</v>
      </c>
      <c r="R105" s="686" t="n"/>
      <c r="S105" s="686" t="n"/>
      <c r="T105" s="686" t="n"/>
      <c r="U105" s="690">
        <f>6*27+1*4.5+1*35+1*55</f>
        <v/>
      </c>
      <c r="V105" s="690" t="n">
        <v>7420</v>
      </c>
      <c r="W105" s="687">
        <f>'Raw Food Data (KG)'!Q66</f>
        <v/>
      </c>
      <c r="X105" s="690" t="n">
        <v>4800</v>
      </c>
      <c r="Y105" s="690" t="n">
        <v>14000</v>
      </c>
      <c r="Z105" s="692" t="n"/>
      <c r="AA105" s="676">
        <f>SUM(B105:C105)</f>
        <v/>
      </c>
      <c r="AB105" s="675">
        <f>SUM(AA94:AA105)</f>
        <v/>
      </c>
      <c r="AC105" s="675">
        <f>AB105/12</f>
        <v/>
      </c>
      <c r="AD105" s="675">
        <f>SUM(D105:Z105)</f>
        <v/>
      </c>
      <c r="AE105" s="675">
        <f>SUM(AD94:AD105)</f>
        <v/>
      </c>
      <c r="AF105" s="675">
        <f>AE105/12</f>
        <v/>
      </c>
    </row>
    <row r="106">
      <c r="A106" s="689" t="n">
        <v>44621</v>
      </c>
      <c r="B106" s="690" t="n">
        <v>94960</v>
      </c>
      <c r="C106" s="690" t="n">
        <v>17320</v>
      </c>
      <c r="D106" s="690" t="n">
        <v>540</v>
      </c>
      <c r="E106" s="690" t="n">
        <v>9495</v>
      </c>
      <c r="F106" s="690" t="n">
        <v>65</v>
      </c>
      <c r="G106" s="690" t="n">
        <v>324</v>
      </c>
      <c r="H106" s="690" t="n">
        <v>185.4</v>
      </c>
      <c r="I106" s="690" t="n">
        <v>206.75</v>
      </c>
      <c r="J106" s="685" t="n">
        <v>0</v>
      </c>
      <c r="K106" s="690" t="n">
        <v>0</v>
      </c>
      <c r="L106" s="690" t="n">
        <v>0</v>
      </c>
      <c r="M106" s="558" t="n">
        <v>400</v>
      </c>
      <c r="N106" s="558" t="n">
        <v>400</v>
      </c>
      <c r="O106" s="686" t="inlineStr">
        <is>
          <t>-</t>
        </is>
      </c>
      <c r="P106" s="686" t="n">
        <v>0</v>
      </c>
      <c r="Q106" s="685" t="n">
        <v>0</v>
      </c>
      <c r="R106" s="686" t="n"/>
      <c r="S106" s="686" t="n"/>
      <c r="T106" s="686" t="n"/>
      <c r="U106" s="690" t="n">
        <v>0</v>
      </c>
      <c r="V106" s="690" t="n">
        <v>9700</v>
      </c>
      <c r="W106" s="687">
        <f>'Raw Food Data (KG)'!Q67</f>
        <v/>
      </c>
      <c r="X106" s="690" t="n">
        <v>6400</v>
      </c>
      <c r="Y106" s="690" t="n">
        <v>24500</v>
      </c>
      <c r="Z106" s="692" t="n"/>
      <c r="AA106" s="676">
        <f>SUM(B106:C106)</f>
        <v/>
      </c>
      <c r="AB106" s="675">
        <f>SUM(AA95:AA106)</f>
        <v/>
      </c>
      <c r="AC106" s="675">
        <f>AB106/12</f>
        <v/>
      </c>
      <c r="AD106" s="675">
        <f>SUM(D106:Z106)</f>
        <v/>
      </c>
      <c r="AE106" s="675">
        <f>SUM(AD95:AD106)</f>
        <v/>
      </c>
      <c r="AF106" s="675">
        <f>AE106/12</f>
        <v/>
      </c>
    </row>
    <row r="107">
      <c r="A107" s="689" t="n">
        <v>44652</v>
      </c>
      <c r="B107" s="690" t="n">
        <v>91850</v>
      </c>
      <c r="C107" s="690" t="n">
        <v>17830</v>
      </c>
      <c r="D107" s="690" t="n">
        <v>174</v>
      </c>
      <c r="E107" s="690" t="n">
        <v>9308</v>
      </c>
      <c r="F107" s="690" t="n">
        <v>61</v>
      </c>
      <c r="G107" s="690" t="n">
        <v>1040</v>
      </c>
      <c r="H107" s="690" t="n">
        <v>137</v>
      </c>
      <c r="I107" s="690" t="n">
        <v>153.8</v>
      </c>
      <c r="J107" s="685" t="n">
        <v>4.641</v>
      </c>
      <c r="K107" s="690" t="n">
        <v>1036</v>
      </c>
      <c r="L107" s="690" t="n">
        <v>160</v>
      </c>
      <c r="M107" s="558" t="n">
        <v>800</v>
      </c>
      <c r="N107" s="558" t="n">
        <v>200</v>
      </c>
      <c r="O107" s="686" t="inlineStr">
        <is>
          <t>-</t>
        </is>
      </c>
      <c r="P107" s="686">
        <f>0.67*102</f>
        <v/>
      </c>
      <c r="Q107" s="685" t="n">
        <v>0</v>
      </c>
      <c r="R107" s="686" t="n"/>
      <c r="S107" s="686" t="n"/>
      <c r="T107" s="686" t="n"/>
      <c r="U107" s="690">
        <f>36*27+2*7.5+9*55</f>
        <v/>
      </c>
      <c r="V107" s="690" t="n">
        <v>10420</v>
      </c>
      <c r="W107" s="687">
        <f>'Raw Food Data (KG)'!Q68</f>
        <v/>
      </c>
      <c r="X107" s="690" t="n">
        <v>6400</v>
      </c>
      <c r="Y107" s="690" t="n">
        <v>24500</v>
      </c>
      <c r="Z107" s="692" t="n"/>
      <c r="AA107" s="676">
        <f>SUM(B107:C107)</f>
        <v/>
      </c>
      <c r="AB107" s="675">
        <f>SUM(AA96:AA107)</f>
        <v/>
      </c>
      <c r="AC107" s="675">
        <f>AB107/12</f>
        <v/>
      </c>
      <c r="AD107" s="675">
        <f>SUM(D107:Z107)</f>
        <v/>
      </c>
      <c r="AE107" s="675">
        <f>SUM(AD96:AD107)</f>
        <v/>
      </c>
      <c r="AF107" s="675">
        <f>AE107/12</f>
        <v/>
      </c>
    </row>
    <row r="108">
      <c r="A108" s="689" t="n">
        <v>44682</v>
      </c>
      <c r="B108" s="690" t="n">
        <v>105840</v>
      </c>
      <c r="C108" s="690" t="n">
        <v>22940</v>
      </c>
      <c r="D108" s="690" t="n">
        <v>869</v>
      </c>
      <c r="E108" s="690" t="n">
        <v>10020</v>
      </c>
      <c r="F108" s="690" t="n">
        <v>65</v>
      </c>
      <c r="G108" s="690" t="n">
        <v>251</v>
      </c>
      <c r="H108" s="690" t="n">
        <v>113</v>
      </c>
      <c r="I108" s="690" t="n">
        <v>57.35</v>
      </c>
      <c r="J108" s="685" t="n">
        <v>0</v>
      </c>
      <c r="K108" s="690" t="n">
        <v>0</v>
      </c>
      <c r="L108" s="690" t="n">
        <v>80</v>
      </c>
      <c r="M108" s="558" t="n">
        <v>400</v>
      </c>
      <c r="N108" s="558" t="n">
        <v>200</v>
      </c>
      <c r="O108" s="686" t="inlineStr">
        <is>
          <t>-</t>
        </is>
      </c>
      <c r="P108" s="686" t="n">
        <v>0</v>
      </c>
      <c r="Q108" s="685" t="n">
        <v>0</v>
      </c>
      <c r="R108" s="686" t="n"/>
      <c r="S108" s="686" t="n"/>
      <c r="T108" s="686" t="n"/>
      <c r="U108" s="690">
        <f>13*27+7*55</f>
        <v/>
      </c>
      <c r="V108" s="690" t="n">
        <v>12000</v>
      </c>
      <c r="W108" s="687">
        <f>'Raw Food Data (KG)'!Q69</f>
        <v/>
      </c>
      <c r="X108" s="690" t="n">
        <v>6400</v>
      </c>
      <c r="Y108" s="690" t="n">
        <v>31500</v>
      </c>
      <c r="Z108" s="692" t="n"/>
      <c r="AA108" s="676">
        <f>SUM(B108:C108)</f>
        <v/>
      </c>
      <c r="AB108" s="675">
        <f>SUM(AA97:AA108)</f>
        <v/>
      </c>
      <c r="AC108" s="675">
        <f>AB108/12</f>
        <v/>
      </c>
      <c r="AD108" s="675">
        <f>SUM(D108:Z108)</f>
        <v/>
      </c>
      <c r="AE108" s="675">
        <f>SUM(AD97:AD108)</f>
        <v/>
      </c>
      <c r="AF108" s="675">
        <f>AE108/12</f>
        <v/>
      </c>
    </row>
    <row r="109">
      <c r="A109" s="689" t="n">
        <v>44713</v>
      </c>
      <c r="B109" s="690" t="n">
        <v>111880</v>
      </c>
      <c r="C109" s="690" t="n">
        <v>21280</v>
      </c>
      <c r="D109" s="690" t="n">
        <v>640</v>
      </c>
      <c r="E109" s="690" t="n">
        <v>10130</v>
      </c>
      <c r="F109" s="690" t="n">
        <v>59</v>
      </c>
      <c r="G109" s="690" t="n">
        <v>245</v>
      </c>
      <c r="H109" s="690" t="n">
        <v>148</v>
      </c>
      <c r="I109" s="690" t="n">
        <v>127.8</v>
      </c>
      <c r="J109" s="685" t="n">
        <v>0</v>
      </c>
      <c r="K109" s="690" t="n">
        <v>1056</v>
      </c>
      <c r="L109" s="690" t="n">
        <v>150</v>
      </c>
      <c r="M109" s="558" t="n">
        <v>800</v>
      </c>
      <c r="N109" s="558" t="n">
        <v>400</v>
      </c>
      <c r="O109" s="686" t="n">
        <v>45</v>
      </c>
      <c r="P109" s="686" t="n">
        <v>57</v>
      </c>
      <c r="Q109" s="685" t="n">
        <v>0</v>
      </c>
      <c r="R109" s="686" t="n"/>
      <c r="S109" s="686" t="n"/>
      <c r="T109" s="686" t="n"/>
      <c r="U109" s="690">
        <f>22*27+3*55+1*60</f>
        <v/>
      </c>
      <c r="V109" s="690" t="n">
        <v>9000</v>
      </c>
      <c r="W109" s="687">
        <f>'Raw Food Data (KG)'!Q70</f>
        <v/>
      </c>
      <c r="X109" s="690" t="n">
        <v>8000</v>
      </c>
      <c r="Y109" s="690" t="n">
        <v>35000</v>
      </c>
      <c r="Z109" s="692" t="n"/>
      <c r="AA109" s="676">
        <f>SUM(B109:C109)</f>
        <v/>
      </c>
      <c r="AB109" s="675">
        <f>SUM(AA98:AA109)</f>
        <v/>
      </c>
      <c r="AC109" s="675">
        <f>AB109/12</f>
        <v/>
      </c>
      <c r="AD109" s="675">
        <f>SUM(D109:Z109)</f>
        <v/>
      </c>
      <c r="AE109" s="675">
        <f>SUM(AD98:AD109)</f>
        <v/>
      </c>
      <c r="AF109" s="675">
        <f>AE109/12</f>
        <v/>
      </c>
      <c r="AH109" s="693">
        <f>AB109+AE109</f>
        <v/>
      </c>
    </row>
    <row r="110">
      <c r="A110" s="689" t="n">
        <v>44743</v>
      </c>
      <c r="B110" s="687" t="n">
        <v>106480</v>
      </c>
      <c r="C110" s="687" t="n">
        <v>27350</v>
      </c>
      <c r="D110" s="687" t="n">
        <v>631</v>
      </c>
      <c r="E110" s="687" t="n">
        <v>10024</v>
      </c>
      <c r="F110" s="687" t="n">
        <v>62</v>
      </c>
      <c r="G110" s="687" t="n">
        <v>748</v>
      </c>
      <c r="H110" s="687" t="n">
        <v>232</v>
      </c>
      <c r="I110" s="687" t="n">
        <v>101.95</v>
      </c>
      <c r="J110" s="695" t="n">
        <v>0</v>
      </c>
      <c r="K110" s="687" t="n">
        <v>0</v>
      </c>
      <c r="L110" s="687" t="n">
        <v>150</v>
      </c>
      <c r="M110" s="560" t="n">
        <v>600</v>
      </c>
      <c r="N110" s="560" t="n">
        <v>400</v>
      </c>
      <c r="O110" s="696" t="n">
        <v>324</v>
      </c>
      <c r="P110" s="696" t="n">
        <v>44</v>
      </c>
      <c r="Q110" s="695" t="n">
        <v>0</v>
      </c>
      <c r="R110" s="696" t="n"/>
      <c r="S110" s="696" t="n"/>
      <c r="T110" s="696" t="n"/>
      <c r="U110" s="687" t="n">
        <v>0</v>
      </c>
      <c r="V110" s="687" t="n">
        <v>12000</v>
      </c>
      <c r="W110" s="687">
        <f>'Raw Food Data (KG)'!Q71</f>
        <v/>
      </c>
      <c r="X110" s="687" t="n">
        <v>6400</v>
      </c>
      <c r="Y110" s="687" t="n">
        <v>24500</v>
      </c>
      <c r="Z110" s="697" t="n">
        <v>67</v>
      </c>
      <c r="AA110" s="676">
        <f>SUM(B110:C110)</f>
        <v/>
      </c>
      <c r="AB110" s="675">
        <f>SUM(AA99:AA110)</f>
        <v/>
      </c>
      <c r="AC110" s="675">
        <f>AB110/12</f>
        <v/>
      </c>
      <c r="AD110" s="675">
        <f>SUM(D110:Z110)</f>
        <v/>
      </c>
      <c r="AE110" s="675">
        <f>SUM(AD99:AD110)</f>
        <v/>
      </c>
      <c r="AF110" s="675">
        <f>AE110/12</f>
        <v/>
      </c>
    </row>
    <row r="111">
      <c r="A111" s="689" t="n">
        <v>44774</v>
      </c>
      <c r="B111" s="687" t="n">
        <v>119990</v>
      </c>
      <c r="C111" s="687" t="n">
        <v>22610</v>
      </c>
      <c r="D111" s="687" t="n">
        <v>567</v>
      </c>
      <c r="E111" s="687" t="n">
        <v>11052</v>
      </c>
      <c r="F111" s="687" t="n">
        <v>71</v>
      </c>
      <c r="G111" s="687" t="n">
        <v>1232</v>
      </c>
      <c r="H111" s="687" t="n">
        <v>248</v>
      </c>
      <c r="I111" s="687" t="n">
        <v>90.25</v>
      </c>
      <c r="J111" s="695" t="n">
        <v>0</v>
      </c>
      <c r="K111" s="687" t="n">
        <v>1973</v>
      </c>
      <c r="L111" s="687" t="n">
        <v>150</v>
      </c>
      <c r="M111" s="560" t="n">
        <v>1200</v>
      </c>
      <c r="N111" s="560" t="n">
        <v>400</v>
      </c>
      <c r="O111" s="696" t="n">
        <v>89</v>
      </c>
      <c r="P111" s="696" t="n">
        <v>76</v>
      </c>
      <c r="Q111" s="695" t="n">
        <v>0</v>
      </c>
      <c r="R111" s="696" t="n"/>
      <c r="S111" s="696" t="n"/>
      <c r="T111" s="696" t="n"/>
      <c r="U111" s="687">
        <f>17*27+2*55+1*35</f>
        <v/>
      </c>
      <c r="V111" s="687" t="n">
        <v>15000</v>
      </c>
      <c r="W111" s="687">
        <f>'Raw Food Data (KG)'!Q72</f>
        <v/>
      </c>
      <c r="X111" s="687" t="n">
        <v>6400</v>
      </c>
      <c r="Y111" s="687" t="n">
        <v>31500</v>
      </c>
      <c r="Z111" s="697" t="n">
        <v>0</v>
      </c>
      <c r="AA111" s="676">
        <f>SUM(B111:C111)</f>
        <v/>
      </c>
      <c r="AB111" s="675">
        <f>SUM(AA100:AA111)</f>
        <v/>
      </c>
      <c r="AC111" s="675">
        <f>AB111/12</f>
        <v/>
      </c>
      <c r="AD111" s="675">
        <f>SUM(D111:Z111)</f>
        <v/>
      </c>
      <c r="AE111" s="675">
        <f>SUM(AD100:AD111)</f>
        <v/>
      </c>
      <c r="AF111" s="675">
        <f>AE111/12</f>
        <v/>
      </c>
    </row>
    <row r="112">
      <c r="A112" s="689" t="n">
        <v>44805</v>
      </c>
      <c r="B112" s="687" t="n">
        <v>145680</v>
      </c>
      <c r="C112" s="687" t="n">
        <v>27480</v>
      </c>
      <c r="D112" s="687" t="n">
        <v>889</v>
      </c>
      <c r="E112" s="687" t="n">
        <v>12231</v>
      </c>
      <c r="F112" s="687" t="n">
        <v>76</v>
      </c>
      <c r="G112" s="687" t="n">
        <v>555</v>
      </c>
      <c r="H112" s="687" t="n">
        <v>266</v>
      </c>
      <c r="I112" s="687" t="n">
        <v>55.25</v>
      </c>
      <c r="J112" s="695" t="n">
        <v>0</v>
      </c>
      <c r="K112" s="687" t="n">
        <v>0</v>
      </c>
      <c r="L112" s="687" t="n">
        <v>110</v>
      </c>
      <c r="M112" s="560" t="n">
        <v>400</v>
      </c>
      <c r="N112" s="560" t="n">
        <v>400</v>
      </c>
      <c r="O112" s="696" t="n">
        <v>0</v>
      </c>
      <c r="P112" s="696" t="n">
        <v>49</v>
      </c>
      <c r="Q112" s="695" t="n">
        <v>0</v>
      </c>
      <c r="R112" s="696" t="n"/>
      <c r="S112" s="696" t="n"/>
      <c r="T112" s="696" t="n"/>
      <c r="U112" s="687" t="n">
        <v>0</v>
      </c>
      <c r="V112" s="687" t="n">
        <v>12000</v>
      </c>
      <c r="W112" s="687">
        <f>'Raw Food Data (KG)'!Q73</f>
        <v/>
      </c>
      <c r="X112" s="687" t="n">
        <v>8000</v>
      </c>
      <c r="Y112" s="687" t="n">
        <v>31500</v>
      </c>
      <c r="Z112" s="697" t="n">
        <v>12.6</v>
      </c>
      <c r="AA112" s="676">
        <f>SUM(B112:C112)</f>
        <v/>
      </c>
      <c r="AB112" s="675">
        <f>SUM(AA101:AA112)</f>
        <v/>
      </c>
      <c r="AC112" s="675">
        <f>AB112/12</f>
        <v/>
      </c>
      <c r="AD112" s="675">
        <f>SUM(D112:Z112)</f>
        <v/>
      </c>
      <c r="AE112" s="675">
        <f>SUM(AD101:AD112)</f>
        <v/>
      </c>
      <c r="AF112" s="675">
        <f>AE112/12</f>
        <v/>
      </c>
    </row>
    <row r="113">
      <c r="A113" s="689" t="n">
        <v>44835</v>
      </c>
      <c r="B113" s="687" t="n">
        <v>146210</v>
      </c>
      <c r="C113" s="687" t="n">
        <v>21850</v>
      </c>
      <c r="D113" s="687" t="n">
        <v>1137</v>
      </c>
      <c r="E113" s="687" t="n">
        <v>11893</v>
      </c>
      <c r="F113" s="687" t="n">
        <v>79</v>
      </c>
      <c r="G113" s="687" t="n">
        <v>647</v>
      </c>
      <c r="H113" s="687" t="n">
        <v>266</v>
      </c>
      <c r="I113" s="687" t="n">
        <v>120.55</v>
      </c>
      <c r="J113" s="695" t="n">
        <v>0</v>
      </c>
      <c r="K113" s="687" t="n">
        <v>1009</v>
      </c>
      <c r="L113" s="687" t="n">
        <v>60</v>
      </c>
      <c r="M113" s="560" t="n">
        <v>800</v>
      </c>
      <c r="N113" s="560" t="n">
        <v>400</v>
      </c>
      <c r="O113" s="696" t="n">
        <v>18</v>
      </c>
      <c r="P113" s="696" t="n">
        <v>49</v>
      </c>
      <c r="Q113" s="695" t="n">
        <v>0</v>
      </c>
      <c r="R113" s="696" t="n"/>
      <c r="S113" s="696" t="n"/>
      <c r="T113" s="696" t="n"/>
      <c r="U113" s="687">
        <f>23*27+2*55</f>
        <v/>
      </c>
      <c r="V113" s="687" t="n">
        <v>15000</v>
      </c>
      <c r="W113" s="687">
        <f>'Raw Food Data (KG)'!Q74</f>
        <v/>
      </c>
      <c r="X113" s="687" t="n">
        <v>6400</v>
      </c>
      <c r="Y113" s="687" t="n">
        <v>28000</v>
      </c>
      <c r="Z113" s="697" t="n">
        <v>0</v>
      </c>
      <c r="AA113" s="676">
        <f>SUM(B113:C113)</f>
        <v/>
      </c>
      <c r="AB113" s="675">
        <f>SUM(AA102:AA113)</f>
        <v/>
      </c>
      <c r="AC113" s="675">
        <f>AB113/12</f>
        <v/>
      </c>
      <c r="AD113" s="675">
        <f>SUM(D113:Z113)</f>
        <v/>
      </c>
      <c r="AE113" s="675">
        <f>SUM(AD102:AD113)</f>
        <v/>
      </c>
      <c r="AF113" s="675">
        <f>AE113/12</f>
        <v/>
      </c>
    </row>
    <row r="114">
      <c r="A114" s="689" t="n">
        <v>44866</v>
      </c>
      <c r="B114" s="687" t="n">
        <v>147280</v>
      </c>
      <c r="C114" s="687" t="n">
        <v>19570</v>
      </c>
      <c r="D114" s="687" t="n">
        <v>723</v>
      </c>
      <c r="E114" s="687" t="n">
        <v>11445</v>
      </c>
      <c r="F114" s="687" t="n">
        <v>77</v>
      </c>
      <c r="G114" s="687" t="n">
        <v>659</v>
      </c>
      <c r="H114" s="687" t="n">
        <v>273</v>
      </c>
      <c r="I114" s="687" t="n">
        <v>0</v>
      </c>
      <c r="J114" s="695" t="n">
        <v>0</v>
      </c>
      <c r="K114" s="687" t="n">
        <v>993</v>
      </c>
      <c r="L114" s="687" t="n">
        <v>180</v>
      </c>
      <c r="M114" s="560" t="n">
        <v>800</v>
      </c>
      <c r="N114" s="560" t="n">
        <v>400</v>
      </c>
      <c r="O114" s="696" t="n">
        <v>47</v>
      </c>
      <c r="P114" s="696" t="n">
        <v>57</v>
      </c>
      <c r="Q114" s="695" t="n">
        <v>0</v>
      </c>
      <c r="R114" s="696" t="n"/>
      <c r="S114" s="696" t="n"/>
      <c r="T114" s="696" t="n"/>
      <c r="U114" s="687" t="n">
        <v>0</v>
      </c>
      <c r="V114" s="687" t="n">
        <v>12000</v>
      </c>
      <c r="W114" s="687">
        <f>'Raw Food Data (KG)'!Q75</f>
        <v/>
      </c>
      <c r="X114" s="687" t="n">
        <v>6400</v>
      </c>
      <c r="Y114" s="687" t="n">
        <v>31500</v>
      </c>
      <c r="Z114" s="697" t="n">
        <v>6.5</v>
      </c>
      <c r="AA114" s="676">
        <f>SUM(B114:C114)</f>
        <v/>
      </c>
      <c r="AB114" s="675">
        <f>SUM(AA103:AA114)</f>
        <v/>
      </c>
      <c r="AC114" s="675">
        <f>AB114/12</f>
        <v/>
      </c>
      <c r="AD114" s="675">
        <f>SUM(D114:Z114)</f>
        <v/>
      </c>
      <c r="AE114" s="675">
        <f>SUM(AD103:AD114)</f>
        <v/>
      </c>
      <c r="AF114" s="675">
        <f>AE114/12</f>
        <v/>
      </c>
    </row>
    <row r="115">
      <c r="A115" s="689" t="n">
        <v>44896</v>
      </c>
      <c r="B115" s="687" t="n">
        <v>132640</v>
      </c>
      <c r="C115" s="687" t="n">
        <v>21400</v>
      </c>
      <c r="D115" s="687" t="n">
        <v>1104</v>
      </c>
      <c r="E115" s="687" t="n">
        <v>11105</v>
      </c>
      <c r="F115" s="687" t="n">
        <v>65</v>
      </c>
      <c r="G115" s="687" t="n">
        <v>1568</v>
      </c>
      <c r="H115" s="687" t="n">
        <v>279</v>
      </c>
      <c r="I115" s="687" t="n">
        <v>0</v>
      </c>
      <c r="J115" s="695" t="n">
        <v>0</v>
      </c>
      <c r="K115" s="687" t="n">
        <v>762</v>
      </c>
      <c r="L115" s="687" t="n">
        <v>230</v>
      </c>
      <c r="M115" s="560" t="n">
        <v>800</v>
      </c>
      <c r="N115" s="560" t="n">
        <v>400</v>
      </c>
      <c r="O115" s="696" t="n">
        <v>101</v>
      </c>
      <c r="P115" s="696" t="n">
        <v>17</v>
      </c>
      <c r="Q115" s="695" t="n">
        <v>0</v>
      </c>
      <c r="R115" s="696" t="n"/>
      <c r="S115" s="696" t="n"/>
      <c r="T115" s="696" t="n"/>
      <c r="U115" s="687" t="n">
        <v>0</v>
      </c>
      <c r="V115" s="687" t="n">
        <v>15000</v>
      </c>
      <c r="W115" s="687">
        <f>'Raw Food Data (KG)'!Q76</f>
        <v/>
      </c>
      <c r="X115" s="687" t="n">
        <v>6400</v>
      </c>
      <c r="Y115" s="687" t="n">
        <v>28000</v>
      </c>
      <c r="Z115" s="697" t="n">
        <v>0</v>
      </c>
      <c r="AA115" s="676">
        <f>SUM(B115:C115)</f>
        <v/>
      </c>
      <c r="AB115" s="675">
        <f>SUM(AA104:AA115)</f>
        <v/>
      </c>
      <c r="AC115" s="675">
        <f>AB115/12</f>
        <v/>
      </c>
      <c r="AD115" s="675">
        <f>SUM(D115:Z115)</f>
        <v/>
      </c>
      <c r="AE115" s="675">
        <f>SUM(AD104:AD115)</f>
        <v/>
      </c>
      <c r="AF115" s="675">
        <f>AE115/12</f>
        <v/>
      </c>
    </row>
    <row r="116">
      <c r="A116" s="689" t="n">
        <v>44927</v>
      </c>
      <c r="B116" s="687" t="n">
        <v>106940</v>
      </c>
      <c r="C116" s="687" t="n">
        <v>17220</v>
      </c>
      <c r="D116" s="687" t="n">
        <v>68</v>
      </c>
      <c r="E116" s="687" t="n">
        <v>9350</v>
      </c>
      <c r="F116" s="687" t="n">
        <v>58</v>
      </c>
      <c r="G116" s="687" t="n">
        <v>714</v>
      </c>
      <c r="H116" s="687" t="n">
        <v>198</v>
      </c>
      <c r="I116" s="687" t="n">
        <v>36.5</v>
      </c>
      <c r="J116" s="695" t="n">
        <v>0</v>
      </c>
      <c r="K116" s="687" t="n">
        <v>757</v>
      </c>
      <c r="L116" s="687" t="n">
        <v>90</v>
      </c>
      <c r="M116" s="560" t="n">
        <v>400</v>
      </c>
      <c r="N116" s="560" t="n">
        <v>200</v>
      </c>
      <c r="O116" s="696" t="n">
        <v>0</v>
      </c>
      <c r="P116" s="696" t="n">
        <v>0</v>
      </c>
      <c r="Q116" s="695" t="n">
        <v>0</v>
      </c>
      <c r="R116" s="696" t="n"/>
      <c r="S116" s="696" t="n"/>
      <c r="T116" s="696" t="n"/>
      <c r="U116" s="687">
        <f>37*27+2*55</f>
        <v/>
      </c>
      <c r="V116" s="687" t="n">
        <v>15000</v>
      </c>
      <c r="W116" s="687">
        <f>'Raw Food Data (KG)'!Q77</f>
        <v/>
      </c>
      <c r="X116" s="687" t="n">
        <v>6400</v>
      </c>
      <c r="Y116" s="687" t="n">
        <v>31500</v>
      </c>
      <c r="Z116" s="697" t="n">
        <v>9.5</v>
      </c>
      <c r="AA116" s="676">
        <f>SUM(B116:C116)</f>
        <v/>
      </c>
      <c r="AB116" s="675">
        <f>SUM(AA105:AA116)</f>
        <v/>
      </c>
      <c r="AC116" s="675">
        <f>AB116/12</f>
        <v/>
      </c>
      <c r="AD116" s="675">
        <f>SUM(D116:Z116)</f>
        <v/>
      </c>
      <c r="AE116" s="675">
        <f>SUM(AD105:AD116)</f>
        <v/>
      </c>
      <c r="AF116" s="675">
        <f>AE116/12</f>
        <v/>
      </c>
    </row>
    <row r="117" ht="17" customHeight="1">
      <c r="A117" s="689" t="n">
        <v>44958</v>
      </c>
      <c r="B117" s="687" t="n">
        <v>127480</v>
      </c>
      <c r="C117" s="687" t="n">
        <v>24570</v>
      </c>
      <c r="D117" s="687" t="inlineStr">
        <is>
          <t>-</t>
        </is>
      </c>
      <c r="E117" s="687" t="n">
        <v>10379</v>
      </c>
      <c r="F117" s="687" t="n">
        <v>60</v>
      </c>
      <c r="G117" s="697" t="n">
        <v>1050</v>
      </c>
      <c r="H117" s="687" t="n">
        <v>217</v>
      </c>
      <c r="I117" s="687" t="n">
        <v>0</v>
      </c>
      <c r="J117" s="695" t="n">
        <v>0</v>
      </c>
      <c r="K117" s="687" t="n">
        <v>670</v>
      </c>
      <c r="L117" s="687" t="n">
        <v>140</v>
      </c>
      <c r="M117" s="560" t="n">
        <v>600</v>
      </c>
      <c r="N117" s="560" t="n">
        <v>400</v>
      </c>
      <c r="O117" s="696" t="n">
        <v>24</v>
      </c>
      <c r="P117" s="696" t="n">
        <v>72</v>
      </c>
      <c r="Q117" s="695" t="n">
        <v>0</v>
      </c>
      <c r="R117" s="696" t="n"/>
      <c r="S117" s="696" t="n"/>
      <c r="T117" s="696" t="n"/>
      <c r="U117" s="687" t="n">
        <v>0</v>
      </c>
      <c r="V117" s="687" t="n">
        <v>12000</v>
      </c>
      <c r="W117" s="687">
        <f>'Raw Food Data (KG)'!Q78</f>
        <v/>
      </c>
      <c r="X117" s="687" t="n">
        <v>6400</v>
      </c>
      <c r="Y117" s="687" t="n">
        <v>21000</v>
      </c>
      <c r="Z117" s="697" t="n">
        <v>13.4</v>
      </c>
      <c r="AA117" s="676">
        <f>SUM(B117:C117)</f>
        <v/>
      </c>
      <c r="AB117" s="675">
        <f>SUM(AA106:AA117)</f>
        <v/>
      </c>
      <c r="AC117" s="675">
        <f>AB117/12</f>
        <v/>
      </c>
      <c r="AD117" s="675">
        <f>SUM(D117:Z117)</f>
        <v/>
      </c>
      <c r="AE117" s="675">
        <f>SUM(AD106:AD117)</f>
        <v/>
      </c>
      <c r="AF117" s="675">
        <f>AE117/12</f>
        <v/>
      </c>
      <c r="AG117" s="698" t="n"/>
      <c r="AH117" s="698" t="n"/>
      <c r="AL117" s="92" t="n"/>
      <c r="AM117" s="92" t="n"/>
      <c r="AN117" s="92" t="n"/>
      <c r="AO117" s="92" t="n"/>
      <c r="AP117" s="92" t="n"/>
      <c r="AQ117" s="92" t="n"/>
    </row>
    <row r="118" ht="17" customHeight="1">
      <c r="A118" s="689" t="n">
        <v>44986</v>
      </c>
      <c r="B118" s="687" t="n">
        <v>146920</v>
      </c>
      <c r="C118" s="687" t="n">
        <v>22970</v>
      </c>
      <c r="D118" s="687" t="inlineStr">
        <is>
          <t>-</t>
        </is>
      </c>
      <c r="E118" s="687" t="n">
        <v>11198</v>
      </c>
      <c r="F118" s="687" t="n">
        <v>71</v>
      </c>
      <c r="G118" s="697" t="n">
        <v>903</v>
      </c>
      <c r="H118" s="687" t="n">
        <v>285</v>
      </c>
      <c r="I118" s="687" t="n">
        <v>35.8</v>
      </c>
      <c r="J118" s="695" t="n">
        <v>0</v>
      </c>
      <c r="K118" s="687" t="n">
        <v>603</v>
      </c>
      <c r="L118" s="687" t="n">
        <v>200</v>
      </c>
      <c r="M118" s="560" t="n">
        <v>800</v>
      </c>
      <c r="N118" s="560" t="n">
        <v>200</v>
      </c>
      <c r="O118" s="696">
        <f>0.05*580</f>
        <v/>
      </c>
      <c r="P118" s="696" t="n">
        <v>73</v>
      </c>
      <c r="Q118" s="695" t="n">
        <v>0</v>
      </c>
      <c r="R118" s="696" t="n"/>
      <c r="S118" s="696" t="n"/>
      <c r="T118" s="696" t="n"/>
      <c r="U118" s="687" t="n">
        <v>0</v>
      </c>
      <c r="V118" s="687" t="n">
        <v>15000</v>
      </c>
      <c r="W118" s="687">
        <f>'Raw Food Data (KG)'!Q79</f>
        <v/>
      </c>
      <c r="X118" s="687" t="n">
        <v>8000</v>
      </c>
      <c r="Y118" s="687" t="n">
        <v>24500</v>
      </c>
      <c r="Z118" s="697" t="n">
        <v>26.5</v>
      </c>
      <c r="AA118" s="676">
        <f>SUM(B118:C118)</f>
        <v/>
      </c>
      <c r="AB118" s="675">
        <f>SUM(AA107:AA118)</f>
        <v/>
      </c>
      <c r="AC118" s="675">
        <f>AB118/12</f>
        <v/>
      </c>
      <c r="AD118" s="675">
        <f>SUM(D118:Z118)</f>
        <v/>
      </c>
      <c r="AE118" s="675">
        <f>SUM(AD107:AD118)</f>
        <v/>
      </c>
      <c r="AF118" s="675">
        <f>AE118/12</f>
        <v/>
      </c>
      <c r="AG118" s="698" t="n"/>
      <c r="AH118" s="698" t="n"/>
      <c r="AL118" s="92" t="n"/>
      <c r="AM118" s="92" t="n"/>
      <c r="AN118" s="92" t="n"/>
      <c r="AO118" s="92" t="n"/>
      <c r="AP118" s="92" t="n"/>
      <c r="AQ118" s="92" t="n"/>
    </row>
    <row r="119" ht="17" customHeight="1">
      <c r="A119" s="689" t="n">
        <v>45017</v>
      </c>
      <c r="B119" s="687" t="n">
        <v>129810</v>
      </c>
      <c r="C119" s="687" t="n">
        <v>19680</v>
      </c>
      <c r="D119" s="687" t="inlineStr">
        <is>
          <t>-</t>
        </is>
      </c>
      <c r="E119" s="687" t="n">
        <v>10871</v>
      </c>
      <c r="F119" s="687" t="n">
        <v>61</v>
      </c>
      <c r="G119" s="697" t="n">
        <v>666</v>
      </c>
      <c r="H119" s="687" t="n">
        <v>220</v>
      </c>
      <c r="I119" s="687" t="n">
        <v>35.75</v>
      </c>
      <c r="J119" s="695" t="n">
        <v>0</v>
      </c>
      <c r="K119" s="687" t="n">
        <v>499</v>
      </c>
      <c r="L119" s="687" t="n">
        <v>250</v>
      </c>
      <c r="M119" s="561" t="n">
        <v>200</v>
      </c>
      <c r="N119" s="561" t="n">
        <v>200</v>
      </c>
      <c r="O119" s="696" t="n">
        <v>0</v>
      </c>
      <c r="P119" s="696" t="n">
        <v>48</v>
      </c>
      <c r="Q119" s="695" t="n">
        <v>0</v>
      </c>
      <c r="R119" s="696" t="n"/>
      <c r="S119" s="696" t="n"/>
      <c r="T119" s="696" t="n"/>
      <c r="U119" s="687">
        <f>39*27+7*55</f>
        <v/>
      </c>
      <c r="V119" s="687" t="n">
        <v>15000</v>
      </c>
      <c r="W119" s="687">
        <f>'Raw Food Data (KG)'!Q80</f>
        <v/>
      </c>
      <c r="X119" s="687" t="n">
        <v>4800</v>
      </c>
      <c r="Y119" s="687" t="n">
        <v>17500</v>
      </c>
      <c r="Z119" s="697" t="n">
        <v>6.5</v>
      </c>
      <c r="AA119" s="676">
        <f>SUM(B119:C119)</f>
        <v/>
      </c>
      <c r="AB119" s="675">
        <f>SUM(AA108:AA119)</f>
        <v/>
      </c>
      <c r="AC119" s="675">
        <f>AB119/12</f>
        <v/>
      </c>
      <c r="AD119" s="675">
        <f>SUM(D119:Z119)</f>
        <v/>
      </c>
      <c r="AE119" s="675">
        <f>SUM(AD108:AD119)</f>
        <v/>
      </c>
      <c r="AF119" s="675">
        <f>AE119/12</f>
        <v/>
      </c>
      <c r="AG119" s="698" t="n"/>
      <c r="AH119" s="698" t="n"/>
      <c r="AL119" s="92" t="n"/>
      <c r="AM119" s="92" t="n"/>
      <c r="AN119" s="92" t="n"/>
      <c r="AO119" s="92" t="n"/>
      <c r="AP119" s="92" t="n"/>
      <c r="AQ119" s="92" t="n"/>
    </row>
    <row r="120" ht="17" customHeight="1">
      <c r="A120" s="689" t="n">
        <v>45047</v>
      </c>
      <c r="B120" s="687" t="n">
        <v>131750</v>
      </c>
      <c r="C120" s="687" t="n">
        <v>20220</v>
      </c>
      <c r="D120" s="687" t="inlineStr">
        <is>
          <t>-</t>
        </is>
      </c>
      <c r="E120" s="687" t="n">
        <v>10533</v>
      </c>
      <c r="F120" s="687" t="n">
        <v>69</v>
      </c>
      <c r="G120" s="697" t="n">
        <v>569</v>
      </c>
      <c r="H120" s="687" t="n">
        <v>260</v>
      </c>
      <c r="I120" s="687" t="n">
        <v>28.9</v>
      </c>
      <c r="J120" s="695" t="n">
        <v>0</v>
      </c>
      <c r="K120" s="687" t="n">
        <v>0</v>
      </c>
      <c r="L120" s="687" t="n">
        <v>120</v>
      </c>
      <c r="M120" s="561" t="n">
        <v>400</v>
      </c>
      <c r="N120" s="561" t="n">
        <v>200</v>
      </c>
      <c r="O120" s="696" t="n">
        <v>0</v>
      </c>
      <c r="P120" s="696" t="n">
        <v>105</v>
      </c>
      <c r="Q120" s="695" t="n">
        <v>0</v>
      </c>
      <c r="R120" s="696" t="n"/>
      <c r="S120" s="696" t="n"/>
      <c r="T120" s="696" t="n"/>
      <c r="U120" s="687" t="n">
        <v>0</v>
      </c>
      <c r="V120" s="687" t="n">
        <v>12000</v>
      </c>
      <c r="W120" s="687">
        <f>'Raw Food Data (KG)'!Q81</f>
        <v/>
      </c>
      <c r="X120" s="687" t="n">
        <v>6400</v>
      </c>
      <c r="Y120" s="687" t="n">
        <v>24500</v>
      </c>
      <c r="Z120" s="697" t="n">
        <v>0</v>
      </c>
      <c r="AA120" s="676">
        <f>SUM(B120:C120)</f>
        <v/>
      </c>
      <c r="AB120" s="675">
        <f>SUM(AA109:AA120)</f>
        <v/>
      </c>
      <c r="AC120" s="675">
        <f>AB120/12</f>
        <v/>
      </c>
      <c r="AD120" s="675">
        <f>SUM(D120:Z120)</f>
        <v/>
      </c>
      <c r="AE120" s="675">
        <f>SUM(AD109:AD120)</f>
        <v/>
      </c>
      <c r="AF120" s="675">
        <f>AE120/12</f>
        <v/>
      </c>
      <c r="AG120" s="698" t="n"/>
      <c r="AH120" s="698" t="n"/>
      <c r="AL120" s="92" t="n"/>
      <c r="AM120" s="92" t="n"/>
      <c r="AN120" s="92" t="n"/>
      <c r="AO120" s="92" t="n"/>
      <c r="AP120" s="92" t="n"/>
      <c r="AQ120" s="92" t="n"/>
    </row>
    <row r="121" ht="17" customHeight="1">
      <c r="A121" s="689" t="n">
        <v>45078</v>
      </c>
      <c r="B121" s="687" t="n">
        <v>117380</v>
      </c>
      <c r="C121" s="687" t="n">
        <v>24830</v>
      </c>
      <c r="D121" s="687" t="inlineStr">
        <is>
          <t>-</t>
        </is>
      </c>
      <c r="E121" s="687" t="n">
        <v>10392</v>
      </c>
      <c r="F121" s="687" t="n">
        <v>63</v>
      </c>
      <c r="G121" s="697" t="n">
        <v>834</v>
      </c>
      <c r="H121" s="687" t="n">
        <v>244</v>
      </c>
      <c r="I121" s="687" t="n">
        <v>41.45</v>
      </c>
      <c r="J121" s="699" t="n">
        <v>0</v>
      </c>
      <c r="K121" s="687" t="n">
        <v>608</v>
      </c>
      <c r="L121" s="687" t="n">
        <v>180</v>
      </c>
      <c r="M121" s="561" t="n">
        <v>1200</v>
      </c>
      <c r="N121" s="561" t="n">
        <v>200</v>
      </c>
      <c r="O121" s="696" t="n">
        <v>0</v>
      </c>
      <c r="P121" s="696" t="n">
        <v>22</v>
      </c>
      <c r="Q121" s="699" t="n">
        <v>0</v>
      </c>
      <c r="R121" s="696" t="n"/>
      <c r="S121" s="696" t="n"/>
      <c r="T121" s="696" t="n"/>
      <c r="U121" s="687" t="n">
        <v>0</v>
      </c>
      <c r="V121" s="687" t="n">
        <v>12000</v>
      </c>
      <c r="W121" s="687">
        <f>'Raw Food Data (KG)'!Q82</f>
        <v/>
      </c>
      <c r="X121" s="687" t="n">
        <v>8000</v>
      </c>
      <c r="Y121" s="687" t="n">
        <v>24500</v>
      </c>
      <c r="Z121" s="697" t="n">
        <v>43</v>
      </c>
      <c r="AA121" s="676">
        <f>SUM(B121:C121)</f>
        <v/>
      </c>
      <c r="AB121" s="675">
        <f>SUM(AA110:AA121)</f>
        <v/>
      </c>
      <c r="AC121" s="675">
        <f>AB121/12</f>
        <v/>
      </c>
      <c r="AD121" s="675">
        <f>SUM(D121:Z121)</f>
        <v/>
      </c>
      <c r="AE121" s="675">
        <f>SUM(AD110:AD121)</f>
        <v/>
      </c>
      <c r="AF121" s="675">
        <f>AE121/12</f>
        <v/>
      </c>
      <c r="AG121" s="698" t="n"/>
      <c r="AH121" s="693">
        <f>AB121+AE121</f>
        <v/>
      </c>
      <c r="AL121" s="92" t="n"/>
      <c r="AM121" s="92" t="n"/>
      <c r="AN121" s="92" t="n"/>
      <c r="AO121" s="92" t="n"/>
      <c r="AP121" s="92" t="n"/>
      <c r="AQ121" s="92" t="n"/>
    </row>
    <row r="122" ht="17" customHeight="1">
      <c r="A122" s="689" t="n">
        <v>45108</v>
      </c>
      <c r="B122" s="690" t="n">
        <v>112750</v>
      </c>
      <c r="C122" s="690" t="n">
        <v>23930</v>
      </c>
      <c r="D122" s="690" t="inlineStr">
        <is>
          <t xml:space="preserve"> - </t>
        </is>
      </c>
      <c r="E122" s="690">
        <f>6996+3674</f>
        <v/>
      </c>
      <c r="F122" s="690" t="n">
        <v>69</v>
      </c>
      <c r="G122" s="692" t="n">
        <v>846</v>
      </c>
      <c r="H122" s="690" t="n">
        <v>216</v>
      </c>
      <c r="I122" s="690" t="n">
        <v>43.5</v>
      </c>
      <c r="J122" s="699" t="n">
        <v>0</v>
      </c>
      <c r="K122" s="690" t="n">
        <v>673</v>
      </c>
      <c r="L122" s="690" t="n">
        <v>170</v>
      </c>
      <c r="M122" s="562" t="n">
        <v>1200</v>
      </c>
      <c r="N122" s="562" t="n">
        <v>400</v>
      </c>
      <c r="O122" s="686" t="n">
        <v>0</v>
      </c>
      <c r="P122" s="686" t="n">
        <v>0</v>
      </c>
      <c r="Q122" s="699" t="n">
        <v>0</v>
      </c>
      <c r="R122" s="686" t="n"/>
      <c r="S122" s="686" t="n"/>
      <c r="T122" s="686" t="n"/>
      <c r="U122" s="690" t="n">
        <v>513</v>
      </c>
      <c r="V122" s="690" t="n">
        <v>18000</v>
      </c>
      <c r="W122" s="687">
        <f>'Raw Food Data (KG)'!Q83</f>
        <v/>
      </c>
      <c r="X122" s="690">
        <f>7.185*1000</f>
        <v/>
      </c>
      <c r="Y122" s="690" t="n">
        <v>14485</v>
      </c>
      <c r="Z122" s="692" t="n">
        <v>0</v>
      </c>
      <c r="AA122" s="676">
        <f>SUM(B122:C122)</f>
        <v/>
      </c>
      <c r="AB122" s="675">
        <f>SUM(AA111:AA122)</f>
        <v/>
      </c>
      <c r="AC122" s="675">
        <f>AB122/12</f>
        <v/>
      </c>
      <c r="AD122" s="675">
        <f>SUM(D122:Z122)</f>
        <v/>
      </c>
      <c r="AE122" s="675">
        <f>SUM(AD111:AD122)</f>
        <v/>
      </c>
      <c r="AF122" s="675">
        <f>AE122/12</f>
        <v/>
      </c>
      <c r="AG122" s="698" t="n"/>
      <c r="AH122" s="698" t="n"/>
      <c r="AL122" s="92" t="n"/>
      <c r="AM122" s="92" t="n"/>
      <c r="AN122" s="92" t="n"/>
      <c r="AO122" s="92" t="n"/>
      <c r="AP122" s="92" t="n"/>
      <c r="AQ122" s="92" t="n"/>
    </row>
    <row r="123" ht="17" customHeight="1">
      <c r="A123" s="689" t="n">
        <v>45139</v>
      </c>
      <c r="B123" s="690" t="n">
        <v>124050</v>
      </c>
      <c r="C123" s="690" t="n">
        <v>29050</v>
      </c>
      <c r="D123" s="690" t="inlineStr">
        <is>
          <t xml:space="preserve"> - </t>
        </is>
      </c>
      <c r="E123" s="690">
        <f>7291+3441</f>
        <v/>
      </c>
      <c r="F123" s="690">
        <f>72</f>
        <v/>
      </c>
      <c r="G123" s="692">
        <f>800</f>
        <v/>
      </c>
      <c r="H123" s="690">
        <f>227</f>
        <v/>
      </c>
      <c r="I123" s="690" t="n">
        <v>53.9</v>
      </c>
      <c r="J123" s="699" t="n">
        <v>0</v>
      </c>
      <c r="K123" s="690" t="n">
        <v>996</v>
      </c>
      <c r="L123" s="690" t="n">
        <v>250</v>
      </c>
      <c r="M123" s="563" t="n">
        <v>600</v>
      </c>
      <c r="N123" s="563" t="n">
        <v>400</v>
      </c>
      <c r="O123" s="686" t="n">
        <v>0</v>
      </c>
      <c r="P123" s="686" t="n">
        <v>0</v>
      </c>
      <c r="Q123" s="699" t="n">
        <v>0</v>
      </c>
      <c r="R123" s="686" t="n"/>
      <c r="S123" s="686" t="n"/>
      <c r="T123" s="686" t="n"/>
      <c r="U123" s="690">
        <f>(8*27)+(2*4.5)+(6*35)</f>
        <v/>
      </c>
      <c r="V123" s="690" t="n">
        <v>15000</v>
      </c>
      <c r="W123" s="687">
        <f>'Raw Food Data (KG)'!Q84</f>
        <v/>
      </c>
      <c r="X123" s="690">
        <f>7.2*1000</f>
        <v/>
      </c>
      <c r="Y123" s="690" t="n">
        <v>20070</v>
      </c>
      <c r="Z123" s="692" t="n">
        <v>21.1</v>
      </c>
      <c r="AA123" s="676">
        <f>SUM(B123:C123)</f>
        <v/>
      </c>
      <c r="AB123" s="675">
        <f>SUM(AA112:AA123)</f>
        <v/>
      </c>
      <c r="AC123" s="675">
        <f>AB123/12</f>
        <v/>
      </c>
      <c r="AD123" s="675">
        <f>SUM(D123:Z123)</f>
        <v/>
      </c>
      <c r="AE123" s="675">
        <f>SUM(AD112:AD123)</f>
        <v/>
      </c>
      <c r="AF123" s="675">
        <f>AE123/12</f>
        <v/>
      </c>
      <c r="AG123" s="698" t="n"/>
      <c r="AH123" s="698" t="n"/>
      <c r="AL123" s="92" t="n"/>
      <c r="AM123" s="92" t="n"/>
      <c r="AN123" s="92" t="n"/>
      <c r="AO123" s="92" t="n"/>
      <c r="AP123" s="92" t="n"/>
      <c r="AQ123" s="92" t="n"/>
    </row>
    <row r="124" ht="17" customHeight="1">
      <c r="A124" s="689" t="n">
        <v>45170</v>
      </c>
      <c r="B124" s="690" t="n">
        <v>139580</v>
      </c>
      <c r="C124" s="690" t="n">
        <v>18300</v>
      </c>
      <c r="D124" s="690" t="inlineStr">
        <is>
          <t xml:space="preserve"> - </t>
        </is>
      </c>
      <c r="E124" s="690">
        <f>7713+3422</f>
        <v/>
      </c>
      <c r="F124" s="690">
        <f>70</f>
        <v/>
      </c>
      <c r="G124" s="692">
        <f>731</f>
        <v/>
      </c>
      <c r="H124" s="690">
        <f>261</f>
        <v/>
      </c>
      <c r="I124" s="690">
        <f>43.75</f>
        <v/>
      </c>
      <c r="J124" s="699" t="n">
        <v>0</v>
      </c>
      <c r="K124" s="690" t="n">
        <v>0</v>
      </c>
      <c r="L124" s="690" t="n">
        <v>180</v>
      </c>
      <c r="M124" s="563" t="n">
        <v>800</v>
      </c>
      <c r="N124" s="563" t="n">
        <v>400</v>
      </c>
      <c r="O124" s="686" t="n">
        <v>74</v>
      </c>
      <c r="P124" s="686" t="n">
        <v>0</v>
      </c>
      <c r="Q124" s="699" t="n">
        <v>0</v>
      </c>
      <c r="R124" s="686" t="n"/>
      <c r="S124" s="686" t="n"/>
      <c r="T124" s="686" t="n"/>
      <c r="U124" s="690">
        <f>(19*27)+(4*4.5)</f>
        <v/>
      </c>
      <c r="V124" s="690" t="n">
        <v>15000</v>
      </c>
      <c r="W124" s="687">
        <f>'Raw Food Data (KG)'!Q85</f>
        <v/>
      </c>
      <c r="X124" s="690">
        <f>11.215*1000</f>
        <v/>
      </c>
      <c r="Y124" s="690" t="n">
        <v>37770</v>
      </c>
      <c r="Z124" s="692" t="n">
        <v>17.6</v>
      </c>
      <c r="AA124" s="676">
        <f>SUM(B124:C124)</f>
        <v/>
      </c>
      <c r="AB124" s="675">
        <f>SUM(AA113:AA124)</f>
        <v/>
      </c>
      <c r="AC124" s="675">
        <f>AB124/12</f>
        <v/>
      </c>
      <c r="AD124" s="675">
        <f>SUM(D124:Z124)</f>
        <v/>
      </c>
      <c r="AE124" s="675">
        <f>SUM(AD113:AD124)</f>
        <v/>
      </c>
      <c r="AF124" s="675">
        <f>AE124/12</f>
        <v/>
      </c>
      <c r="AG124" s="545" t="n"/>
      <c r="AH124" s="545" t="n"/>
      <c r="AL124" s="92" t="n"/>
      <c r="AM124" s="92" t="n"/>
      <c r="AN124" s="92" t="n"/>
      <c r="AO124" s="92" t="n"/>
      <c r="AP124" s="92" t="n"/>
      <c r="AQ124" s="92" t="n"/>
    </row>
    <row r="125" ht="17" customHeight="1">
      <c r="A125" s="689" t="n">
        <v>45200</v>
      </c>
      <c r="B125" s="690" t="n">
        <v>133760</v>
      </c>
      <c r="C125" s="690" t="n">
        <v>17930</v>
      </c>
      <c r="D125" s="690" t="inlineStr">
        <is>
          <t xml:space="preserve"> - </t>
        </is>
      </c>
      <c r="E125" s="690">
        <f>8080+3224</f>
        <v/>
      </c>
      <c r="F125" s="690" t="n">
        <v>72</v>
      </c>
      <c r="G125" s="692" t="n">
        <v>661</v>
      </c>
      <c r="H125" s="690" t="n">
        <v>323</v>
      </c>
      <c r="I125" s="690" t="n">
        <v>19.6</v>
      </c>
      <c r="J125" s="699" t="n">
        <v>0</v>
      </c>
      <c r="K125" s="690" t="n">
        <v>1412</v>
      </c>
      <c r="L125" s="690" t="n">
        <v>170</v>
      </c>
      <c r="M125" s="563" t="n">
        <v>400</v>
      </c>
      <c r="N125" s="563" t="n">
        <v>200</v>
      </c>
      <c r="O125" s="686" t="n">
        <v>77</v>
      </c>
      <c r="P125" s="686" t="n">
        <v>0</v>
      </c>
      <c r="Q125" s="699" t="n">
        <v>0</v>
      </c>
      <c r="R125" s="686" t="n"/>
      <c r="S125" s="686" t="n"/>
      <c r="T125" s="686" t="n"/>
      <c r="U125" s="690">
        <f>(13*27)+(3*4.5)</f>
        <v/>
      </c>
      <c r="V125" s="690" t="n">
        <v>15000</v>
      </c>
      <c r="W125" s="687">
        <f>'Raw Food Data (KG)'!Q86</f>
        <v/>
      </c>
      <c r="X125" s="690">
        <f>1000*9.565</f>
        <v/>
      </c>
      <c r="Y125" s="690" t="n">
        <v>20910</v>
      </c>
      <c r="Z125" s="692" t="n">
        <v>0</v>
      </c>
      <c r="AA125" s="676">
        <f>SUM(B125:C125)</f>
        <v/>
      </c>
      <c r="AB125" s="675">
        <f>SUM(AA114:AA125)</f>
        <v/>
      </c>
      <c r="AC125" s="675">
        <f>AB125/12</f>
        <v/>
      </c>
      <c r="AD125" s="675">
        <f>SUM(D125:Z125)</f>
        <v/>
      </c>
      <c r="AE125" s="675">
        <f>SUM(AD114:AD125)</f>
        <v/>
      </c>
      <c r="AF125" s="675">
        <f>AE125/12</f>
        <v/>
      </c>
      <c r="AG125" s="545" t="n"/>
      <c r="AH125" s="545" t="n"/>
      <c r="AL125" s="92" t="n"/>
      <c r="AM125" s="92" t="n"/>
      <c r="AN125" s="92" t="n"/>
      <c r="AO125" s="92" t="n"/>
      <c r="AP125" s="92" t="n"/>
      <c r="AQ125" s="92" t="n"/>
    </row>
    <row r="126" ht="17" customHeight="1">
      <c r="A126" s="689" t="n">
        <v>45253</v>
      </c>
      <c r="B126" s="690" t="n">
        <v>138502</v>
      </c>
      <c r="C126" s="690" t="n">
        <v>19760</v>
      </c>
      <c r="D126" s="690" t="inlineStr">
        <is>
          <t>-</t>
        </is>
      </c>
      <c r="E126" s="690">
        <f>9388+4072</f>
        <v/>
      </c>
      <c r="F126" s="690" t="n">
        <v>86</v>
      </c>
      <c r="G126" s="692" t="n">
        <v>666</v>
      </c>
      <c r="H126" s="690" t="n">
        <v>399</v>
      </c>
      <c r="I126" s="690" t="n">
        <v>20.6</v>
      </c>
      <c r="J126" s="699" t="n">
        <v>0</v>
      </c>
      <c r="K126" s="690" t="n">
        <v>975</v>
      </c>
      <c r="L126" s="690" t="n">
        <v>190</v>
      </c>
      <c r="M126" s="563" t="n">
        <v>800</v>
      </c>
      <c r="N126" s="568" t="n">
        <v>400</v>
      </c>
      <c r="O126" s="686" t="n">
        <v>0</v>
      </c>
      <c r="P126" s="686" t="n">
        <v>0</v>
      </c>
      <c r="Q126" s="699" t="n">
        <v>0</v>
      </c>
      <c r="R126" s="686" t="n"/>
      <c r="S126" s="686" t="n"/>
      <c r="T126" s="686" t="n"/>
      <c r="U126" s="690">
        <f>(12*27)+(5*4.5)+391</f>
        <v/>
      </c>
      <c r="V126" s="690" t="n">
        <v>12000</v>
      </c>
      <c r="W126" s="687">
        <f>'Raw Food Data (KG)'!Q87</f>
        <v/>
      </c>
      <c r="X126" s="690">
        <f>1000*7.803</f>
        <v/>
      </c>
      <c r="Y126" s="690" t="n">
        <v>15947</v>
      </c>
      <c r="Z126" s="692" t="n">
        <v>27.2</v>
      </c>
      <c r="AA126" s="676">
        <f>SUM(B126:C126)</f>
        <v/>
      </c>
      <c r="AB126" s="675">
        <f>SUM(AA115:AA126)</f>
        <v/>
      </c>
      <c r="AC126" s="675">
        <f>AB126/12</f>
        <v/>
      </c>
      <c r="AD126" s="675">
        <f>SUM(D126:Z126)</f>
        <v/>
      </c>
      <c r="AE126" s="675">
        <f>SUM(AD115:AD126)</f>
        <v/>
      </c>
      <c r="AF126" s="675">
        <f>AE126/12</f>
        <v/>
      </c>
      <c r="AG126" s="545" t="n"/>
      <c r="AH126" s="545" t="n"/>
      <c r="AL126" s="92" t="n"/>
      <c r="AM126" s="92" t="n"/>
      <c r="AN126" s="92" t="n"/>
      <c r="AO126" s="92" t="n"/>
      <c r="AP126" s="92" t="n"/>
      <c r="AQ126" s="92" t="n"/>
    </row>
    <row r="127" ht="17" customHeight="1">
      <c r="A127" s="689" t="n">
        <v>45261</v>
      </c>
      <c r="B127" s="690" t="n">
        <v>128818</v>
      </c>
      <c r="C127" s="690" t="n">
        <v>19890</v>
      </c>
      <c r="D127" s="690" t="inlineStr">
        <is>
          <t>-</t>
        </is>
      </c>
      <c r="E127" s="690">
        <f>9155+4287</f>
        <v/>
      </c>
      <c r="F127" s="690" t="n">
        <v>83</v>
      </c>
      <c r="G127" s="692" t="n">
        <v>259</v>
      </c>
      <c r="H127" s="690" t="n">
        <v>379</v>
      </c>
      <c r="I127" s="690" t="n">
        <v>17.8</v>
      </c>
      <c r="J127" s="699" t="n">
        <v>0</v>
      </c>
      <c r="K127" s="690" t="n">
        <v>856</v>
      </c>
      <c r="L127" s="690" t="n">
        <v>180</v>
      </c>
      <c r="M127" s="563" t="n">
        <v>1200</v>
      </c>
      <c r="N127" s="568" t="n">
        <v>600</v>
      </c>
      <c r="O127" s="686" t="n">
        <v>0</v>
      </c>
      <c r="P127" s="686" t="n">
        <v>0</v>
      </c>
      <c r="Q127" s="699" t="n">
        <v>0</v>
      </c>
      <c r="R127" s="686" t="n"/>
      <c r="S127" s="686" t="n"/>
      <c r="T127" s="686" t="n"/>
      <c r="U127" s="690">
        <f>838+447</f>
        <v/>
      </c>
      <c r="V127" s="690" t="n">
        <v>15000</v>
      </c>
      <c r="W127" s="687">
        <f>'Raw Food Data (KG)'!Q88</f>
        <v/>
      </c>
      <c r="X127" s="690">
        <f>19.833*1000</f>
        <v/>
      </c>
      <c r="Y127" s="690">
        <f>7885</f>
        <v/>
      </c>
      <c r="Z127" s="692" t="n">
        <v>0</v>
      </c>
      <c r="AA127" s="676">
        <f>SUM(B127:C127)</f>
        <v/>
      </c>
      <c r="AB127" s="675">
        <f>SUM(AA116:AA127)</f>
        <v/>
      </c>
      <c r="AC127" s="675">
        <f>AB127/12</f>
        <v/>
      </c>
      <c r="AD127" s="675">
        <f>SUM(D127:Z127)</f>
        <v/>
      </c>
      <c r="AE127" s="675">
        <f>SUM(AD116:AD127)</f>
        <v/>
      </c>
      <c r="AF127" s="675">
        <f>AE127/12</f>
        <v/>
      </c>
      <c r="AG127" s="545" t="n"/>
      <c r="AH127" s="545" t="n"/>
      <c r="AJ127" s="675">
        <f>AE133/AB133</f>
        <v/>
      </c>
      <c r="AL127" s="92" t="n"/>
      <c r="AM127" s="92" t="n"/>
      <c r="AN127" s="92" t="n"/>
      <c r="AO127" s="92" t="n"/>
      <c r="AP127" s="92" t="n"/>
      <c r="AQ127" s="92" t="n"/>
    </row>
    <row r="128" ht="17" customHeight="1">
      <c r="A128" s="689" t="n">
        <v>45292</v>
      </c>
      <c r="B128" s="690">
        <f>109960+48</f>
        <v/>
      </c>
      <c r="C128" s="690" t="n">
        <v>20330</v>
      </c>
      <c r="D128" s="690" t="inlineStr">
        <is>
          <t>-</t>
        </is>
      </c>
      <c r="E128" s="690" t="n">
        <v>13416</v>
      </c>
      <c r="F128" s="690" t="n">
        <v>75</v>
      </c>
      <c r="G128" s="692" t="n">
        <v>660</v>
      </c>
      <c r="H128" s="690" t="n">
        <v>359</v>
      </c>
      <c r="I128" s="690" t="n">
        <v>19.8</v>
      </c>
      <c r="J128" s="699" t="n">
        <v>0</v>
      </c>
      <c r="K128" s="690" t="n">
        <v>0</v>
      </c>
      <c r="L128" s="690" t="n">
        <v>200</v>
      </c>
      <c r="M128" s="563" t="n">
        <v>800</v>
      </c>
      <c r="N128" s="563" t="n">
        <v>400</v>
      </c>
      <c r="O128" s="700" t="n">
        <v>371</v>
      </c>
      <c r="P128" s="700" t="n">
        <v>128</v>
      </c>
      <c r="Q128" s="699" t="n">
        <v>0</v>
      </c>
      <c r="R128" s="690" t="n"/>
      <c r="S128" s="690" t="n"/>
      <c r="T128" s="690" t="n"/>
      <c r="U128" s="690">
        <f>435+482.5</f>
        <v/>
      </c>
      <c r="V128" s="690" t="n">
        <v>18000</v>
      </c>
      <c r="W128" s="687">
        <f>'Raw Food Data (KG)'!Q89</f>
        <v/>
      </c>
      <c r="X128" s="690" t="n">
        <v>21650</v>
      </c>
      <c r="Y128" s="690" t="n">
        <v>7650</v>
      </c>
      <c r="Z128" s="692" t="n">
        <v>6</v>
      </c>
      <c r="AA128" s="676">
        <f>SUM(B128:C128)</f>
        <v/>
      </c>
      <c r="AB128" s="675">
        <f>SUM(AA117:AA128)</f>
        <v/>
      </c>
      <c r="AC128" s="675">
        <f>AB128/12</f>
        <v/>
      </c>
      <c r="AD128" s="675">
        <f>SUM(D128:Z128)</f>
        <v/>
      </c>
      <c r="AE128" s="675">
        <f>SUM(AD117:AD128)</f>
        <v/>
      </c>
      <c r="AF128" s="675">
        <f>AE128/12</f>
        <v/>
      </c>
      <c r="AG128" s="545" t="n"/>
      <c r="AH128" s="545" t="n"/>
      <c r="AL128" s="92" t="n"/>
      <c r="AM128" s="92" t="n"/>
      <c r="AN128" s="92" t="n"/>
      <c r="AO128" s="92" t="n"/>
      <c r="AP128" s="92" t="n"/>
      <c r="AQ128" s="92" t="n"/>
    </row>
    <row r="129" ht="17" customHeight="1">
      <c r="A129" s="689" t="n">
        <v>45323</v>
      </c>
      <c r="B129" s="701">
        <f>107.19*1000+9.9</f>
        <v/>
      </c>
      <c r="C129" s="690">
        <f>15.82*1000</f>
        <v/>
      </c>
      <c r="D129" s="690" t="inlineStr">
        <is>
          <t>-</t>
        </is>
      </c>
      <c r="E129" s="690">
        <f>8541+4048</f>
        <v/>
      </c>
      <c r="F129" s="690" t="n">
        <v>75</v>
      </c>
      <c r="G129" s="692" t="n">
        <v>243</v>
      </c>
      <c r="H129" s="690" t="n">
        <v>356</v>
      </c>
      <c r="I129" s="690" t="n">
        <v>15.4</v>
      </c>
      <c r="J129" s="699" t="n">
        <v>0</v>
      </c>
      <c r="K129" s="690" t="n">
        <v>698</v>
      </c>
      <c r="L129" s="702" t="n">
        <v>160</v>
      </c>
      <c r="M129" s="564" t="n">
        <v>800</v>
      </c>
      <c r="N129" s="564" t="n">
        <v>200</v>
      </c>
      <c r="O129" s="700" t="n">
        <v>201</v>
      </c>
      <c r="P129" s="700" t="n">
        <v>115</v>
      </c>
      <c r="Q129" s="699" t="n">
        <v>0</v>
      </c>
      <c r="R129" s="690" t="n"/>
      <c r="S129" s="690" t="n"/>
      <c r="T129" s="690" t="n"/>
      <c r="U129" s="690">
        <f>218.1+135</f>
        <v/>
      </c>
      <c r="V129" s="690" t="n">
        <v>15000</v>
      </c>
      <c r="W129" s="687">
        <f>'Raw Food Data (KG)'!Q90</f>
        <v/>
      </c>
      <c r="X129" s="700" t="n">
        <v>15470</v>
      </c>
      <c r="Y129" s="700" t="n">
        <v>6340</v>
      </c>
      <c r="Z129" s="700" t="n">
        <v>4.7</v>
      </c>
      <c r="AA129" s="676">
        <f>SUM(B129:C129)</f>
        <v/>
      </c>
      <c r="AB129" s="675">
        <f>SUM(AA118:AA129)</f>
        <v/>
      </c>
      <c r="AC129" s="675">
        <f>AB129/12</f>
        <v/>
      </c>
      <c r="AD129" s="675">
        <f>SUM(D129:Z129)</f>
        <v/>
      </c>
      <c r="AE129" s="675">
        <f>SUM(AD118:AD129)</f>
        <v/>
      </c>
      <c r="AF129" s="675">
        <f>AE129/12</f>
        <v/>
      </c>
      <c r="AG129" s="545" t="n"/>
      <c r="AH129" s="545" t="n"/>
    </row>
    <row r="130" ht="17" customHeight="1">
      <c r="A130" s="689" t="n">
        <v>45352</v>
      </c>
      <c r="B130" s="690">
        <f>124360+49.7</f>
        <v/>
      </c>
      <c r="C130" s="690" t="n">
        <v>17340</v>
      </c>
      <c r="D130" s="690" t="inlineStr">
        <is>
          <t>-</t>
        </is>
      </c>
      <c r="E130" s="690" t="n">
        <v>13346</v>
      </c>
      <c r="F130" s="690" t="n">
        <v>78</v>
      </c>
      <c r="G130" s="692" t="n">
        <v>455</v>
      </c>
      <c r="H130" s="690" t="n">
        <v>393</v>
      </c>
      <c r="I130" s="690" t="n">
        <v>22.8</v>
      </c>
      <c r="J130" s="699" t="n">
        <v>0</v>
      </c>
      <c r="K130" s="690" t="n">
        <v>597</v>
      </c>
      <c r="L130" s="690" t="n">
        <v>130</v>
      </c>
      <c r="M130" s="562" t="n">
        <v>400</v>
      </c>
      <c r="N130" s="562" t="n">
        <v>400</v>
      </c>
      <c r="O130" s="702" t="n">
        <v>0</v>
      </c>
      <c r="P130" s="700" t="n">
        <v>0</v>
      </c>
      <c r="Q130" s="699" t="n">
        <v>0</v>
      </c>
      <c r="R130" s="690" t="n"/>
      <c r="S130" s="690" t="n"/>
      <c r="T130" s="690" t="n"/>
      <c r="U130" s="690">
        <f>425+360</f>
        <v/>
      </c>
      <c r="V130" s="690" t="n">
        <v>15000</v>
      </c>
      <c r="W130" s="687">
        <f>'Raw Food Data (KG)'!Q91</f>
        <v/>
      </c>
      <c r="X130" s="700" t="n">
        <v>17465</v>
      </c>
      <c r="Y130" s="700" t="n">
        <v>6740</v>
      </c>
      <c r="Z130" s="700" t="n">
        <v>32.6</v>
      </c>
      <c r="AA130" s="676">
        <f>SUM(B130:C130)</f>
        <v/>
      </c>
      <c r="AB130" s="675">
        <f>SUM(AA119:AA130)</f>
        <v/>
      </c>
      <c r="AC130" s="675">
        <f>AB130/12</f>
        <v/>
      </c>
      <c r="AD130" s="675">
        <f>SUM(D130:Z130)</f>
        <v/>
      </c>
      <c r="AE130" s="675">
        <f>SUM(AD119:AD130)</f>
        <v/>
      </c>
      <c r="AF130" s="675">
        <f>AE130/12</f>
        <v/>
      </c>
      <c r="AG130" s="545" t="n"/>
      <c r="AH130" s="545" t="n"/>
    </row>
    <row r="131" ht="17" customHeight="1">
      <c r="A131" s="689" t="n">
        <v>45383</v>
      </c>
      <c r="B131" s="690" t="n">
        <v>118019</v>
      </c>
      <c r="C131" s="690" t="n">
        <v>18260</v>
      </c>
      <c r="D131" s="690" t="inlineStr">
        <is>
          <t>-</t>
        </is>
      </c>
      <c r="E131" s="690" t="n">
        <v>12371</v>
      </c>
      <c r="F131" s="690" t="n">
        <v>79</v>
      </c>
      <c r="G131" s="692" t="n">
        <v>660</v>
      </c>
      <c r="H131" s="690" t="n">
        <v>413</v>
      </c>
      <c r="I131" s="690" t="n">
        <v>64.8</v>
      </c>
      <c r="J131" s="700" t="n">
        <v>0</v>
      </c>
      <c r="K131" s="690" t="n">
        <v>917</v>
      </c>
      <c r="L131" s="690" t="n">
        <v>200</v>
      </c>
      <c r="M131" s="562" t="n">
        <v>600</v>
      </c>
      <c r="N131" s="562" t="n">
        <v>200</v>
      </c>
      <c r="O131" s="700" t="n">
        <v>40</v>
      </c>
      <c r="P131" s="700" t="n">
        <v>210</v>
      </c>
      <c r="Q131" s="700" t="n">
        <v>0</v>
      </c>
      <c r="R131" s="690" t="n"/>
      <c r="S131" s="690" t="n"/>
      <c r="T131" s="690" t="n"/>
      <c r="U131" s="690">
        <f>242+198</f>
        <v/>
      </c>
      <c r="V131" s="690" t="n">
        <v>15000</v>
      </c>
      <c r="W131" s="687">
        <f>'Raw Food Data (KG)'!Q92</f>
        <v/>
      </c>
      <c r="X131" s="700" t="n">
        <v>6415</v>
      </c>
      <c r="Y131" s="700" t="n">
        <v>13000</v>
      </c>
      <c r="Z131" s="700" t="n">
        <v>22.8</v>
      </c>
      <c r="AA131" s="676">
        <f>SUM(B131:C131)</f>
        <v/>
      </c>
      <c r="AB131" s="675">
        <f>SUM(AA120:AA131)</f>
        <v/>
      </c>
      <c r="AC131" s="675">
        <f>AB131/12</f>
        <v/>
      </c>
      <c r="AD131" s="675">
        <f>SUM(D131:Z131)</f>
        <v/>
      </c>
      <c r="AE131" s="675">
        <f>SUM(AD120:AD131)</f>
        <v/>
      </c>
      <c r="AF131" s="675">
        <f>AE131/12</f>
        <v/>
      </c>
      <c r="AG131" s="545" t="n"/>
      <c r="AH131" s="545" t="n"/>
      <c r="AI131" s="406" t="n"/>
      <c r="AL131" s="675" t="n"/>
    </row>
    <row r="132" ht="17" customHeight="1">
      <c r="A132" s="689" t="n">
        <v>45413</v>
      </c>
      <c r="B132" s="690" t="n">
        <v>146460</v>
      </c>
      <c r="C132" s="690" t="n">
        <v>21780</v>
      </c>
      <c r="D132" s="690" t="inlineStr">
        <is>
          <t>-</t>
        </is>
      </c>
      <c r="E132" s="690" t="n">
        <v>13434</v>
      </c>
      <c r="F132" s="690" t="n">
        <v>83</v>
      </c>
      <c r="G132" s="692" t="n">
        <v>674</v>
      </c>
      <c r="H132" s="690" t="n">
        <v>396</v>
      </c>
      <c r="I132" s="686" t="n">
        <v>70.2</v>
      </c>
      <c r="J132" s="703" t="n">
        <v>0</v>
      </c>
      <c r="K132" s="690" t="n">
        <v>321</v>
      </c>
      <c r="L132" s="690" t="n">
        <v>150</v>
      </c>
      <c r="M132" s="562" t="n">
        <v>800</v>
      </c>
      <c r="N132" s="562" t="n">
        <v>400</v>
      </c>
      <c r="O132" s="700" t="n">
        <v>41</v>
      </c>
      <c r="P132" s="700" t="n">
        <v>74</v>
      </c>
      <c r="Q132" s="700" t="n">
        <v>0</v>
      </c>
      <c r="R132" s="690" t="n"/>
      <c r="S132" s="690" t="n"/>
      <c r="T132" s="690" t="n"/>
      <c r="U132" s="690" t="n">
        <v>359</v>
      </c>
      <c r="V132" s="690" t="n">
        <v>12000</v>
      </c>
      <c r="W132" s="687">
        <f>'Raw Food Data (KG)'!Q93</f>
        <v/>
      </c>
      <c r="X132" s="704" t="n">
        <v>7575</v>
      </c>
      <c r="Y132" s="704" t="n">
        <v>11695</v>
      </c>
      <c r="Z132" s="700" t="n">
        <v>35.7</v>
      </c>
      <c r="AA132" s="676">
        <f>SUM(B132:C132)</f>
        <v/>
      </c>
      <c r="AB132" s="675">
        <f>SUM(AA121:AA132)</f>
        <v/>
      </c>
      <c r="AC132" s="675">
        <f>AB132/12</f>
        <v/>
      </c>
      <c r="AD132" s="675">
        <f>SUM(D132:Z132)</f>
        <v/>
      </c>
      <c r="AE132" s="675">
        <f>SUM(AD121:AD132)</f>
        <v/>
      </c>
      <c r="AF132" s="675">
        <f>AE132/12</f>
        <v/>
      </c>
      <c r="AG132" s="545" t="n"/>
      <c r="AH132" s="545" t="n"/>
      <c r="AI132" s="406" t="n"/>
      <c r="AL132" s="675" t="n"/>
    </row>
    <row r="133" ht="17" customHeight="1">
      <c r="A133" s="689" t="n">
        <v>45444</v>
      </c>
      <c r="B133" s="690" t="n">
        <v>126612</v>
      </c>
      <c r="C133" s="690" t="n">
        <v>19770</v>
      </c>
      <c r="D133" s="690" t="inlineStr">
        <is>
          <t>-</t>
        </is>
      </c>
      <c r="E133" s="690" t="n">
        <v>12778</v>
      </c>
      <c r="F133" s="690" t="n">
        <v>84</v>
      </c>
      <c r="G133" s="692" t="n">
        <v>1003</v>
      </c>
      <c r="H133" s="690" t="n">
        <v>366</v>
      </c>
      <c r="I133" s="686" t="n">
        <v>81</v>
      </c>
      <c r="J133" s="700" t="n">
        <v>0</v>
      </c>
      <c r="K133" s="690" t="n">
        <v>612</v>
      </c>
      <c r="L133" s="690" t="n">
        <v>150</v>
      </c>
      <c r="M133" s="562" t="n">
        <v>400</v>
      </c>
      <c r="N133" s="562" t="n">
        <v>200</v>
      </c>
      <c r="O133" s="700" t="n">
        <v>0</v>
      </c>
      <c r="P133" s="700" t="n">
        <v>0</v>
      </c>
      <c r="Q133" s="700" t="n">
        <v>0</v>
      </c>
      <c r="R133" s="700" t="n"/>
      <c r="S133" s="700" t="n"/>
      <c r="T133" s="700" t="n"/>
      <c r="U133" s="690" t="n">
        <v>372.5</v>
      </c>
      <c r="V133" s="690" t="n">
        <v>18000</v>
      </c>
      <c r="W133" s="687">
        <f>'Raw Food Data (KG)'!Q94</f>
        <v/>
      </c>
      <c r="X133" s="700" t="n">
        <v>4565</v>
      </c>
      <c r="Y133" s="700" t="n">
        <v>14570</v>
      </c>
      <c r="Z133" s="700" t="n">
        <v>33.7</v>
      </c>
      <c r="AA133" s="676">
        <f>SUM(B133:C133)</f>
        <v/>
      </c>
      <c r="AB133" s="675">
        <f>SUM(AA122:AA133)</f>
        <v/>
      </c>
      <c r="AC133" s="675">
        <f>AB133/12</f>
        <v/>
      </c>
      <c r="AD133" s="675">
        <f>SUM(D133:Z133)</f>
        <v/>
      </c>
      <c r="AE133" s="675">
        <f>SUM(AD122:AD133)</f>
        <v/>
      </c>
      <c r="AF133" s="675">
        <f>AE133/12</f>
        <v/>
      </c>
      <c r="AG133" s="545" t="n"/>
      <c r="AH133" s="693">
        <f>AB133+AE133</f>
        <v/>
      </c>
      <c r="AK133" s="675" t="inlineStr">
        <is>
          <t>Recyclables</t>
        </is>
      </c>
      <c r="AL133" s="675" t="inlineStr">
        <is>
          <t>Trash</t>
        </is>
      </c>
    </row>
    <row r="134" ht="17" customHeight="1">
      <c r="A134" s="689" t="n">
        <v>45474</v>
      </c>
      <c r="B134" s="687">
        <f>137128.6+202</f>
        <v/>
      </c>
      <c r="C134" s="687" t="n">
        <v>23390</v>
      </c>
      <c r="D134" s="687" t="inlineStr">
        <is>
          <t>-</t>
        </is>
      </c>
      <c r="E134" s="687">
        <f>8765+3647</f>
        <v/>
      </c>
      <c r="F134" s="687" t="n">
        <v>86</v>
      </c>
      <c r="G134" s="687" t="n">
        <v>808</v>
      </c>
      <c r="H134" s="687" t="n">
        <v>361</v>
      </c>
      <c r="I134" s="687" t="n">
        <v>62</v>
      </c>
      <c r="J134" s="687" t="n">
        <v>0</v>
      </c>
      <c r="K134" s="687" t="n">
        <v>704</v>
      </c>
      <c r="L134" s="687" t="n">
        <v>210</v>
      </c>
      <c r="M134" s="565" t="n">
        <v>800</v>
      </c>
      <c r="N134" s="565" t="n">
        <v>400</v>
      </c>
      <c r="O134" s="687" t="n">
        <v>0</v>
      </c>
      <c r="P134" s="687" t="n">
        <v>0</v>
      </c>
      <c r="Q134" s="687" t="n">
        <v>0</v>
      </c>
      <c r="R134" s="687" t="n"/>
      <c r="S134" s="687" t="n"/>
      <c r="T134" s="687" t="n"/>
      <c r="U134" s="687">
        <f>1318+141.5</f>
        <v/>
      </c>
      <c r="V134" s="705" t="n">
        <v>18000</v>
      </c>
      <c r="W134" s="687">
        <f>'Raw Food Data (KG)'!Q95</f>
        <v/>
      </c>
      <c r="X134" s="687" t="n">
        <v>6540</v>
      </c>
      <c r="Y134" s="687" t="n">
        <v>13230</v>
      </c>
      <c r="Z134" s="687" t="n">
        <v>11.7</v>
      </c>
      <c r="AA134" s="676">
        <f>SUM(B134:C134)</f>
        <v/>
      </c>
      <c r="AB134" s="675">
        <f>SUM(AA123:AA134)</f>
        <v/>
      </c>
      <c r="AC134" s="675">
        <f>AB134/12</f>
        <v/>
      </c>
      <c r="AD134" s="675">
        <f>SUM(D134:Z134)</f>
        <v/>
      </c>
      <c r="AE134" s="675">
        <f>SUM(AD123:AD134)</f>
        <v/>
      </c>
      <c r="AF134" s="675">
        <f>AE134/12</f>
        <v/>
      </c>
      <c r="AG134" s="545" t="n"/>
      <c r="AH134" s="675" t="n"/>
      <c r="AJ134" s="675" t="inlineStr">
        <is>
          <t>2014/15</t>
        </is>
      </c>
      <c r="AK134" s="675" t="n">
        <v>9423.403416666666</v>
      </c>
      <c r="AL134" s="675" t="n">
        <v>276791.6666666667</v>
      </c>
      <c r="AM134" s="407">
        <f>AK134/AL134</f>
        <v/>
      </c>
    </row>
    <row r="135" ht="17" customHeight="1">
      <c r="A135" s="689" t="n">
        <v>45505</v>
      </c>
      <c r="B135" s="687">
        <f>120300+37</f>
        <v/>
      </c>
      <c r="C135" s="687" t="n">
        <v>19700</v>
      </c>
      <c r="D135" s="687" t="inlineStr">
        <is>
          <t>-</t>
        </is>
      </c>
      <c r="E135" s="687" t="n">
        <v>13553</v>
      </c>
      <c r="F135" s="687" t="n">
        <v>87</v>
      </c>
      <c r="G135" s="687" t="n">
        <v>300</v>
      </c>
      <c r="H135" s="687" t="n">
        <v>366</v>
      </c>
      <c r="I135" s="687" t="n">
        <v>65</v>
      </c>
      <c r="J135" s="687" t="n">
        <v>0</v>
      </c>
      <c r="K135" s="706" t="n">
        <v>479</v>
      </c>
      <c r="L135" s="706" t="n">
        <v>150</v>
      </c>
      <c r="M135" s="565" t="n">
        <v>800</v>
      </c>
      <c r="N135" s="565" t="n">
        <v>400</v>
      </c>
      <c r="O135" s="687" t="n">
        <v>26</v>
      </c>
      <c r="P135" s="687" t="n">
        <v>88</v>
      </c>
      <c r="Q135" s="687" t="n">
        <v>0</v>
      </c>
      <c r="R135" s="687" t="n"/>
      <c r="S135" s="687" t="n"/>
      <c r="T135" s="687" t="n"/>
      <c r="U135" s="687">
        <f>237+(27*4+35*5+4.5*6+27)</f>
        <v/>
      </c>
      <c r="V135" s="705" t="n">
        <v>21000</v>
      </c>
      <c r="W135" s="687">
        <f>'Raw Food Data (KG)'!Q96</f>
        <v/>
      </c>
      <c r="X135" s="687" t="n">
        <v>7880</v>
      </c>
      <c r="Y135" s="687" t="n">
        <v>16335</v>
      </c>
      <c r="Z135" s="687" t="n">
        <v>12.2</v>
      </c>
      <c r="AA135" s="676">
        <f>SUM(B135:C135)</f>
        <v/>
      </c>
      <c r="AB135" s="675">
        <f>SUM(AA124:AA135)</f>
        <v/>
      </c>
      <c r="AC135" s="675">
        <f>AB135/12</f>
        <v/>
      </c>
      <c r="AD135" s="675">
        <f>SUM(D135:Z135)</f>
        <v/>
      </c>
      <c r="AE135" s="675">
        <f>SUM(AD124:AD135)</f>
        <v/>
      </c>
      <c r="AF135" s="675">
        <f>AE135/12</f>
        <v/>
      </c>
      <c r="AG135" s="545" t="n"/>
      <c r="AH135" s="675" t="n"/>
      <c r="AJ135" s="675" t="inlineStr">
        <is>
          <t>2015/16</t>
        </is>
      </c>
      <c r="AK135" s="675" t="n">
        <v>10069.91849983334</v>
      </c>
      <c r="AL135" s="675" t="n">
        <v>265604.1666666667</v>
      </c>
      <c r="AM135" s="407">
        <f>AK135/AL135</f>
        <v/>
      </c>
    </row>
    <row r="136" ht="17" customHeight="1">
      <c r="A136" s="689" t="n">
        <v>45536</v>
      </c>
      <c r="B136" s="687">
        <f>134870+40</f>
        <v/>
      </c>
      <c r="C136" s="687" t="n">
        <v>19020</v>
      </c>
      <c r="D136" s="687" t="inlineStr">
        <is>
          <t>-</t>
        </is>
      </c>
      <c r="E136" s="687" t="n">
        <v>13355</v>
      </c>
      <c r="F136" s="687" t="n">
        <v>88</v>
      </c>
      <c r="G136" s="687" t="n">
        <v>520</v>
      </c>
      <c r="H136" s="687" t="n">
        <v>349</v>
      </c>
      <c r="I136" s="687" t="n">
        <v>79</v>
      </c>
      <c r="J136" s="687" t="n">
        <v>0</v>
      </c>
      <c r="K136" s="687" t="n">
        <v>432</v>
      </c>
      <c r="L136" s="687" t="n">
        <v>140</v>
      </c>
      <c r="M136" s="565" t="n">
        <v>400</v>
      </c>
      <c r="N136" s="565" t="n">
        <v>200</v>
      </c>
      <c r="O136" s="687" t="n">
        <v>27</v>
      </c>
      <c r="P136" s="687" t="n">
        <v>57</v>
      </c>
      <c r="Q136" s="687" t="n">
        <v>0</v>
      </c>
      <c r="R136" s="687" t="n"/>
      <c r="S136" s="687" t="n"/>
      <c r="T136" s="687" t="n"/>
      <c r="U136" s="687">
        <f>229+7+(27*3+35*6+35*7+27*44)</f>
        <v/>
      </c>
      <c r="V136" s="687" t="n">
        <v>12000</v>
      </c>
      <c r="W136" s="687">
        <f>'Raw Food Data (KG)'!Q97</f>
        <v/>
      </c>
      <c r="X136" s="687" t="n">
        <v>6620</v>
      </c>
      <c r="Y136" s="687" t="n">
        <v>17160</v>
      </c>
      <c r="Z136" s="687" t="n">
        <v>14.6</v>
      </c>
      <c r="AA136" s="676">
        <f>SUM(B136:C136)</f>
        <v/>
      </c>
      <c r="AB136" s="675">
        <f>SUM(AA125:AA136)</f>
        <v/>
      </c>
      <c r="AC136" s="675">
        <f>AB136/12</f>
        <v/>
      </c>
      <c r="AD136" s="675">
        <f>SUM(D136:Z136)</f>
        <v/>
      </c>
      <c r="AE136" s="675">
        <f>SUM(AD125:AD136)</f>
        <v/>
      </c>
      <c r="AF136" s="675">
        <f>AE136/12</f>
        <v/>
      </c>
      <c r="AG136" s="545" t="n"/>
      <c r="AH136" s="675" t="n"/>
      <c r="AJ136" s="675" t="inlineStr">
        <is>
          <t>2016/17</t>
        </is>
      </c>
      <c r="AK136" s="675" t="n">
        <v>32198.02024991667</v>
      </c>
      <c r="AL136" s="675" t="n">
        <v>246776.6666666667</v>
      </c>
      <c r="AM136" s="407">
        <f>AK136/AL136</f>
        <v/>
      </c>
    </row>
    <row r="137" ht="17" customHeight="1">
      <c r="A137" s="689" t="n">
        <v>45566</v>
      </c>
      <c r="B137" s="687" t="n">
        <v>139170</v>
      </c>
      <c r="C137" s="687" t="n">
        <v>17510</v>
      </c>
      <c r="D137" s="687" t="inlineStr">
        <is>
          <t>-</t>
        </is>
      </c>
      <c r="E137" s="687">
        <f>10104+4291</f>
        <v/>
      </c>
      <c r="F137" s="687" t="n">
        <v>110</v>
      </c>
      <c r="G137" s="687" t="n">
        <v>621</v>
      </c>
      <c r="H137" s="687" t="n">
        <v>394</v>
      </c>
      <c r="I137" s="687" t="n">
        <v>85</v>
      </c>
      <c r="J137" s="687" t="n">
        <v>0</v>
      </c>
      <c r="K137" s="687" t="n">
        <v>483.3</v>
      </c>
      <c r="L137" s="687" t="n">
        <v>140</v>
      </c>
      <c r="M137" s="565" t="n">
        <v>800</v>
      </c>
      <c r="N137" s="565" t="n">
        <v>400</v>
      </c>
      <c r="O137" s="687" t="n">
        <v>99</v>
      </c>
      <c r="P137" s="687" t="n">
        <v>40</v>
      </c>
      <c r="Q137" s="687" t="n">
        <v>0</v>
      </c>
      <c r="R137" s="687" t="n"/>
      <c r="S137" s="687" t="n"/>
      <c r="T137" s="687" t="n"/>
      <c r="U137" s="675">
        <f>34*27+5*4.5+4.5</f>
        <v/>
      </c>
      <c r="V137" s="705" t="n">
        <v>12000</v>
      </c>
      <c r="W137" s="687">
        <f>'Raw Food Data (KG)'!Q98</f>
        <v/>
      </c>
      <c r="X137" s="687" t="n">
        <v>6395</v>
      </c>
      <c r="Y137" s="687" t="n">
        <v>16830</v>
      </c>
      <c r="Z137" s="687" t="n">
        <v>10.6</v>
      </c>
      <c r="AA137" s="676">
        <f>SUM(B137:C137)</f>
        <v/>
      </c>
      <c r="AB137" s="675">
        <f>SUM(AA126:AA137)</f>
        <v/>
      </c>
      <c r="AC137" s="675">
        <f>AB137/12</f>
        <v/>
      </c>
      <c r="AD137" s="675">
        <f>SUM(D137:Z137)</f>
        <v/>
      </c>
      <c r="AE137" s="675">
        <f>SUM(AD126:AD137)</f>
        <v/>
      </c>
      <c r="AF137" s="675">
        <f>AE137/12</f>
        <v/>
      </c>
      <c r="AG137" s="545" t="n"/>
      <c r="AH137" s="675" t="n"/>
      <c r="AJ137" s="675" t="inlineStr">
        <is>
          <t>2017/18</t>
        </is>
      </c>
      <c r="AK137" s="675" t="n">
        <v>47478.8795</v>
      </c>
      <c r="AL137" s="675" t="n">
        <v>241889.1666666667</v>
      </c>
      <c r="AM137" s="407">
        <f>AK137/AL137</f>
        <v/>
      </c>
    </row>
    <row r="138" ht="17" customHeight="1">
      <c r="A138" s="689" t="n">
        <v>45597</v>
      </c>
      <c r="B138" s="687" t="n">
        <v>140950</v>
      </c>
      <c r="C138" s="687" t="n">
        <v>16470</v>
      </c>
      <c r="D138" s="687" t="inlineStr">
        <is>
          <t>-</t>
        </is>
      </c>
      <c r="E138" s="687">
        <f>9802+4178</f>
        <v/>
      </c>
      <c r="F138" s="687" t="n">
        <v>101</v>
      </c>
      <c r="G138" s="687" t="n">
        <v>979</v>
      </c>
      <c r="H138" s="687" t="n">
        <v>374</v>
      </c>
      <c r="I138" s="687" t="n">
        <v>77</v>
      </c>
      <c r="J138" s="687" t="n">
        <v>0</v>
      </c>
      <c r="K138" s="687" t="n">
        <v>597</v>
      </c>
      <c r="L138" s="687" t="inlineStr">
        <is>
          <t>-</t>
        </is>
      </c>
      <c r="M138" s="565" t="n">
        <v>800</v>
      </c>
      <c r="N138" s="565" t="n">
        <v>200</v>
      </c>
      <c r="O138" s="687" t="n">
        <v>11</v>
      </c>
      <c r="P138" s="675" t="n">
        <v>30</v>
      </c>
      <c r="Q138" s="687" t="n">
        <v>0</v>
      </c>
      <c r="R138" s="687" t="n"/>
      <c r="S138" s="687" t="n"/>
      <c r="T138" s="687" t="n"/>
      <c r="U138" s="687" t="n">
        <v>252</v>
      </c>
      <c r="V138" s="705" t="n">
        <v>18000</v>
      </c>
      <c r="W138" s="687">
        <f>'Raw Food Data (KG)'!Q99</f>
        <v/>
      </c>
      <c r="X138" s="687" t="n">
        <v>6575</v>
      </c>
      <c r="Y138" s="687" t="n">
        <v>12345</v>
      </c>
      <c r="Z138" s="687" t="n">
        <v>6.7</v>
      </c>
      <c r="AA138" s="676">
        <f>SUM(B138:C138)</f>
        <v/>
      </c>
      <c r="AB138" s="675">
        <f>SUM(AA127:AA138)</f>
        <v/>
      </c>
      <c r="AC138" s="675">
        <f>AB138/12</f>
        <v/>
      </c>
      <c r="AD138" s="675">
        <f>SUM(D138:Z138)</f>
        <v/>
      </c>
      <c r="AE138" s="675">
        <f>SUM(AD127:AD138)</f>
        <v/>
      </c>
      <c r="AF138" s="675">
        <f>AE138/12</f>
        <v/>
      </c>
      <c r="AG138" s="545" t="n"/>
      <c r="AH138" s="675" t="n"/>
      <c r="AJ138" s="675" t="inlineStr">
        <is>
          <t>2018/19</t>
        </is>
      </c>
      <c r="AK138" s="675" t="n">
        <v>63529.37308333334</v>
      </c>
      <c r="AL138" s="675" t="n">
        <v>193603.8910833333</v>
      </c>
      <c r="AM138" s="407">
        <f>AK138/AL138</f>
        <v/>
      </c>
    </row>
    <row r="139" ht="17" customHeight="1">
      <c r="A139" s="689" t="n">
        <v>45627</v>
      </c>
      <c r="B139" s="687" t="n">
        <v>125300</v>
      </c>
      <c r="C139" s="687" t="n">
        <v>18200</v>
      </c>
      <c r="D139" s="687" t="inlineStr">
        <is>
          <t>-</t>
        </is>
      </c>
      <c r="E139" s="687">
        <f>9342+3734</f>
        <v/>
      </c>
      <c r="F139" s="687" t="n">
        <v>89</v>
      </c>
      <c r="G139" s="687" t="n">
        <v>786</v>
      </c>
      <c r="H139" s="687" t="n">
        <v>327</v>
      </c>
      <c r="I139" s="687" t="n">
        <v>69</v>
      </c>
      <c r="J139" s="687" t="n">
        <v>0</v>
      </c>
      <c r="K139" s="687" t="n">
        <v>500.3</v>
      </c>
      <c r="L139" s="687" t="n">
        <v>130</v>
      </c>
      <c r="M139" s="565" t="n">
        <v>800</v>
      </c>
      <c r="N139" s="565" t="n">
        <v>400</v>
      </c>
      <c r="O139" s="687" t="n">
        <v>15</v>
      </c>
      <c r="P139" s="687" t="n">
        <v>76</v>
      </c>
      <c r="Q139" s="687" t="n">
        <v>0</v>
      </c>
      <c r="R139" s="687" t="n"/>
      <c r="S139" s="687" t="n"/>
      <c r="T139" s="687" t="n"/>
      <c r="U139" s="687" t="n">
        <v>324</v>
      </c>
      <c r="V139" s="705" t="n">
        <v>12000</v>
      </c>
      <c r="W139" s="687">
        <f>'Raw Food Data (KG)'!Q100</f>
        <v/>
      </c>
      <c r="X139" s="687" t="n">
        <v>4805</v>
      </c>
      <c r="Y139" s="687" t="n">
        <v>10635</v>
      </c>
      <c r="Z139" s="687" t="n">
        <v>13.4</v>
      </c>
      <c r="AA139" s="676">
        <f>SUM(B139:C139)</f>
        <v/>
      </c>
      <c r="AB139" s="675">
        <f>SUM(AA128:AA139)</f>
        <v/>
      </c>
      <c r="AC139" s="675">
        <f>AB139/12</f>
        <v/>
      </c>
      <c r="AD139" s="675">
        <f>SUM(D139:Z139)</f>
        <v/>
      </c>
      <c r="AE139" s="675">
        <f>SUM(AD128:AD139)</f>
        <v/>
      </c>
      <c r="AF139" s="675">
        <f>AE139/12</f>
        <v/>
      </c>
      <c r="AG139" s="545" t="n"/>
      <c r="AH139" s="675" t="n"/>
      <c r="AJ139" s="675" t="inlineStr">
        <is>
          <t>2019/20</t>
        </is>
      </c>
      <c r="AK139" s="675" t="n">
        <v>75551.92791666667</v>
      </c>
      <c r="AL139" s="675" t="n">
        <v>149170</v>
      </c>
      <c r="AM139" s="407">
        <f>AK139/AL139</f>
        <v/>
      </c>
    </row>
    <row r="140" ht="17" customHeight="1">
      <c r="A140" s="689" t="n">
        <v>45658</v>
      </c>
      <c r="B140" s="687" t="n">
        <v>110380</v>
      </c>
      <c r="C140" s="687" t="n">
        <v>13520</v>
      </c>
      <c r="D140" s="687" t="inlineStr">
        <is>
          <t>-</t>
        </is>
      </c>
      <c r="E140" s="687">
        <f>8584+3596</f>
        <v/>
      </c>
      <c r="F140" s="687" t="n">
        <v>85</v>
      </c>
      <c r="G140" s="687" t="n">
        <v>252</v>
      </c>
      <c r="H140" s="687" t="n">
        <v>306</v>
      </c>
      <c r="I140" s="687" t="n">
        <v>82</v>
      </c>
      <c r="J140" s="687" t="n">
        <v>0</v>
      </c>
      <c r="K140" s="687" t="n">
        <v>535.7</v>
      </c>
      <c r="L140" s="687" t="n">
        <v>140</v>
      </c>
      <c r="M140" s="567" t="n">
        <v>400</v>
      </c>
      <c r="N140" s="567" t="n">
        <v>200</v>
      </c>
      <c r="O140" s="687" t="n">
        <v>0</v>
      </c>
      <c r="P140" s="687" t="n">
        <v>0</v>
      </c>
      <c r="Q140" s="687" t="n">
        <v>0</v>
      </c>
      <c r="R140" s="687" t="n"/>
      <c r="S140" s="687" t="n"/>
      <c r="T140" s="687" t="n"/>
      <c r="U140" s="687">
        <f>432+270</f>
        <v/>
      </c>
      <c r="V140" s="705" t="n">
        <v>15000</v>
      </c>
      <c r="W140" s="687">
        <f>'Raw Food Data (KG)'!Q101</f>
        <v/>
      </c>
      <c r="X140" s="687" t="n">
        <v>6125</v>
      </c>
      <c r="Y140" s="687" t="n">
        <v>14663</v>
      </c>
      <c r="Z140" s="687" t="n">
        <v>8.5</v>
      </c>
      <c r="AA140" s="676">
        <f>SUM(B140:C140)</f>
        <v/>
      </c>
      <c r="AB140" s="675">
        <f>SUM(AA129:AA140)</f>
        <v/>
      </c>
      <c r="AC140" s="675">
        <f>AB140/12</f>
        <v/>
      </c>
      <c r="AD140" s="675">
        <f>SUM(D140:Z140)</f>
        <v/>
      </c>
      <c r="AE140" s="675">
        <f>SUM(AD129:AD140)</f>
        <v/>
      </c>
      <c r="AF140" s="675">
        <f>AE140/12</f>
        <v/>
      </c>
      <c r="AG140" s="545" t="n"/>
      <c r="AH140" s="675" t="n"/>
      <c r="AJ140" s="675" t="inlineStr">
        <is>
          <t>2020/21</t>
        </is>
      </c>
      <c r="AK140" s="675" t="n">
        <v>86727.12541666666</v>
      </c>
      <c r="AL140" s="675" t="n">
        <v>119968.3333333333</v>
      </c>
      <c r="AM140" s="407">
        <f>AK140/AL140</f>
        <v/>
      </c>
    </row>
    <row r="141" ht="17" customHeight="1">
      <c r="A141" s="689" t="n">
        <v>45689</v>
      </c>
      <c r="B141" s="687" t="n">
        <v>125120</v>
      </c>
      <c r="C141" s="687" t="n">
        <v>14790</v>
      </c>
      <c r="D141" s="687" t="inlineStr">
        <is>
          <t>-</t>
        </is>
      </c>
      <c r="E141" s="687">
        <f>9026+3793</f>
        <v/>
      </c>
      <c r="F141" s="687" t="n">
        <v>99</v>
      </c>
      <c r="G141" s="687" t="n">
        <v>755</v>
      </c>
      <c r="H141" s="687" t="n">
        <v>340</v>
      </c>
      <c r="I141" s="687" t="n">
        <v>98</v>
      </c>
      <c r="J141" s="687" t="n">
        <v>0</v>
      </c>
      <c r="K141" s="687" t="n">
        <v>307.5</v>
      </c>
      <c r="L141" s="687" t="n">
        <v>150</v>
      </c>
      <c r="M141" s="565" t="n">
        <v>200</v>
      </c>
      <c r="N141" s="565" t="n">
        <v>200</v>
      </c>
      <c r="O141" s="687" t="n">
        <v>70</v>
      </c>
      <c r="P141" s="687" t="n">
        <v>53</v>
      </c>
      <c r="Q141" s="687" t="n">
        <v>0</v>
      </c>
      <c r="R141" s="687" t="n"/>
      <c r="S141" s="687" t="n"/>
      <c r="T141" s="687" t="n"/>
      <c r="U141" s="687" t="n">
        <v>403</v>
      </c>
      <c r="V141" s="705" t="n">
        <v>12000</v>
      </c>
      <c r="W141" s="687">
        <f>'Raw Food Data (KG)'!Q102</f>
        <v/>
      </c>
      <c r="X141" s="687" t="n">
        <v>6455</v>
      </c>
      <c r="Y141" s="687" t="n">
        <v>10741</v>
      </c>
      <c r="Z141" s="687" t="n">
        <v>21</v>
      </c>
      <c r="AA141" s="676">
        <f>SUM(B141:C141)</f>
        <v/>
      </c>
      <c r="AB141" s="675">
        <f>SUM(AA130:AA141)</f>
        <v/>
      </c>
      <c r="AC141" s="675">
        <f>AB141/12</f>
        <v/>
      </c>
      <c r="AD141" s="675">
        <f>SUM(D141:Z141)</f>
        <v/>
      </c>
      <c r="AE141" s="675">
        <f>SUM(AD130:AD141)</f>
        <v/>
      </c>
      <c r="AF141" s="675">
        <f>AE141/12</f>
        <v/>
      </c>
      <c r="AG141" s="545" t="n"/>
      <c r="AH141" s="675" t="n"/>
      <c r="AJ141" s="675" t="inlineStr">
        <is>
          <t>2021/22</t>
        </is>
      </c>
      <c r="AK141" s="675" t="n">
        <v>94779.712</v>
      </c>
      <c r="AL141" s="675" t="n">
        <v>131232.25</v>
      </c>
      <c r="AM141" s="407">
        <f>AK141/AL141</f>
        <v/>
      </c>
    </row>
    <row r="142" ht="17" customHeight="1">
      <c r="A142" s="689" t="n">
        <v>45717</v>
      </c>
      <c r="B142" s="687" t="n">
        <v>139600</v>
      </c>
      <c r="C142" s="687" t="n">
        <v>19610</v>
      </c>
      <c r="D142" s="687" t="inlineStr">
        <is>
          <t>-</t>
        </is>
      </c>
      <c r="E142" s="687">
        <f>9687+4115</f>
        <v/>
      </c>
      <c r="F142" s="687" t="n">
        <v>111</v>
      </c>
      <c r="G142" s="687" t="n">
        <v>922</v>
      </c>
      <c r="H142" s="687">
        <f>385+149</f>
        <v/>
      </c>
      <c r="I142" s="687" t="n">
        <v>92</v>
      </c>
      <c r="J142" s="687" t="n">
        <v>0</v>
      </c>
      <c r="K142" s="687" t="n">
        <v>913</v>
      </c>
      <c r="L142" s="687" t="n">
        <v>110</v>
      </c>
      <c r="M142" s="567" t="n">
        <v>800</v>
      </c>
      <c r="N142" s="567" t="n">
        <v>400</v>
      </c>
      <c r="O142" s="687" t="n">
        <v>140</v>
      </c>
      <c r="P142" s="687" t="n">
        <v>27</v>
      </c>
      <c r="Q142" s="687" t="n">
        <v>0</v>
      </c>
      <c r="R142" s="687" t="n"/>
      <c r="S142" s="687" t="n"/>
      <c r="T142" s="687" t="n"/>
      <c r="U142" s="687" t="n">
        <v>779.5</v>
      </c>
      <c r="V142" s="687" t="n">
        <v>18000</v>
      </c>
      <c r="W142" s="687">
        <f>'Raw Food Data (KG)'!Q103</f>
        <v/>
      </c>
      <c r="X142" s="687" t="n">
        <v>5720</v>
      </c>
      <c r="Y142" s="687" t="n">
        <v>10890</v>
      </c>
      <c r="Z142" s="687" t="n">
        <v>25</v>
      </c>
      <c r="AA142" s="676">
        <f>SUM(B142:C142)</f>
        <v/>
      </c>
      <c r="AB142" s="675">
        <f>SUM(AA131:AA142)</f>
        <v/>
      </c>
      <c r="AC142" s="675">
        <f>AB142/12</f>
        <v/>
      </c>
      <c r="AD142" s="675">
        <f>SUM(D142:Z142)</f>
        <v/>
      </c>
      <c r="AE142" s="675">
        <f>SUM(AD131:AD142)</f>
        <v/>
      </c>
      <c r="AF142" s="675">
        <f>AE142/12</f>
        <v/>
      </c>
      <c r="AG142" s="545" t="n"/>
      <c r="AH142" s="675" t="n"/>
      <c r="AI142" s="675" t="n"/>
      <c r="AJ142" s="675" t="inlineStr">
        <is>
          <t>2022/23</t>
        </is>
      </c>
      <c r="AK142" s="675" t="n">
        <v>96835.15000000002</v>
      </c>
      <c r="AL142" s="675" t="n">
        <v>152359.1666666667</v>
      </c>
      <c r="AM142" s="407">
        <f>AK142/AL142</f>
        <v/>
      </c>
    </row>
    <row r="143" ht="17" customHeight="1">
      <c r="A143" s="689" t="n">
        <v>45748</v>
      </c>
      <c r="B143" s="687" t="n">
        <v>125070</v>
      </c>
      <c r="C143" s="687" t="n">
        <v>21290</v>
      </c>
      <c r="D143" s="687" t="inlineStr">
        <is>
          <t>-</t>
        </is>
      </c>
      <c r="E143" s="687">
        <f>9913+3880</f>
        <v/>
      </c>
      <c r="F143" s="687" t="n">
        <v>102</v>
      </c>
      <c r="G143" s="687" t="n">
        <v>1256</v>
      </c>
      <c r="H143" s="687" t="n">
        <v>393</v>
      </c>
      <c r="I143" s="687" t="n">
        <v>79</v>
      </c>
      <c r="J143" s="687" t="n">
        <v>0</v>
      </c>
      <c r="K143" s="687" t="n">
        <v>0</v>
      </c>
      <c r="L143" s="687" t="n">
        <v>130</v>
      </c>
      <c r="M143" s="565" t="n">
        <v>800</v>
      </c>
      <c r="N143" s="565" t="n">
        <v>400</v>
      </c>
      <c r="O143" s="687" t="n">
        <v>153</v>
      </c>
      <c r="P143" s="687" t="n">
        <v>51</v>
      </c>
      <c r="Q143" s="687" t="n">
        <v>0</v>
      </c>
      <c r="R143" s="687" t="n"/>
      <c r="S143" s="687" t="n"/>
      <c r="T143" s="687" t="n"/>
      <c r="U143" s="687" t="n">
        <v>108.5</v>
      </c>
      <c r="V143" s="705" t="n">
        <v>15000</v>
      </c>
      <c r="W143" s="687">
        <f>'Raw Food Data (KG)'!Q104</f>
        <v/>
      </c>
      <c r="X143" s="687" t="n">
        <v>5518</v>
      </c>
      <c r="Y143" s="687" t="n">
        <v>13267</v>
      </c>
      <c r="Z143" s="687" t="n">
        <v>7</v>
      </c>
      <c r="AA143" s="676">
        <f>SUM(B143:C143)</f>
        <v/>
      </c>
      <c r="AB143" s="675">
        <f>SUM(AA132:AA143)</f>
        <v/>
      </c>
      <c r="AC143" s="675">
        <f>AB143/12</f>
        <v/>
      </c>
      <c r="AD143" s="675">
        <f>SUM(D143:Z143)</f>
        <v/>
      </c>
      <c r="AE143" s="675">
        <f>SUM(AD132:AD143)</f>
        <v/>
      </c>
      <c r="AF143" s="675">
        <f>AE143/12</f>
        <v/>
      </c>
      <c r="AG143" s="545" t="n"/>
      <c r="AH143" s="675" t="n"/>
      <c r="AJ143" s="675" t="inlineStr">
        <is>
          <t>2023/24</t>
        </is>
      </c>
      <c r="AK143" s="675" t="n">
        <v>90505.82916666668</v>
      </c>
      <c r="AL143" s="675" t="n">
        <v>146027.3833333333</v>
      </c>
      <c r="AM143" s="407">
        <f>AK143/AL143</f>
        <v/>
      </c>
    </row>
    <row r="144" ht="17" customHeight="1">
      <c r="A144" s="689" t="n">
        <v>45778</v>
      </c>
      <c r="B144" s="687" t="n">
        <v>140130</v>
      </c>
      <c r="C144" s="687" t="n">
        <v>19990</v>
      </c>
      <c r="D144" s="687" t="inlineStr">
        <is>
          <t>-</t>
        </is>
      </c>
      <c r="E144" s="687">
        <f>9879+3720</f>
        <v/>
      </c>
      <c r="F144" s="687" t="n">
        <v>111</v>
      </c>
      <c r="G144" s="687" t="n">
        <v>1084</v>
      </c>
      <c r="H144" s="687">
        <f>418+30</f>
        <v/>
      </c>
      <c r="I144" s="687" t="n">
        <v>95</v>
      </c>
      <c r="J144" s="687" t="n">
        <v>0</v>
      </c>
      <c r="K144" s="687" t="n">
        <v>774.4</v>
      </c>
      <c r="L144" s="687" t="n">
        <v>150</v>
      </c>
      <c r="M144" s="565" t="n">
        <v>800</v>
      </c>
      <c r="N144" s="565" t="n">
        <v>400</v>
      </c>
      <c r="O144" s="687" t="n">
        <v>128</v>
      </c>
      <c r="P144" s="687" t="n">
        <v>58</v>
      </c>
      <c r="Q144" s="687" t="n">
        <v>0</v>
      </c>
      <c r="R144" s="687" t="n"/>
      <c r="S144" s="687" t="n"/>
      <c r="T144" s="687" t="n"/>
      <c r="U144" s="687" t="n">
        <v>475.5</v>
      </c>
      <c r="V144" s="705" t="n">
        <v>18000</v>
      </c>
      <c r="W144" s="687">
        <f>'Raw Food Data (KG)'!Q105</f>
        <v/>
      </c>
      <c r="X144" s="690" t="n">
        <v>5925</v>
      </c>
      <c r="Y144" s="690" t="n">
        <v>9595</v>
      </c>
      <c r="Z144" s="687" t="n">
        <v>10.1</v>
      </c>
      <c r="AA144" s="676">
        <f>SUM(B144:C144)</f>
        <v/>
      </c>
      <c r="AB144" s="675">
        <f>SUM(AA133:AA144)</f>
        <v/>
      </c>
      <c r="AC144" s="675">
        <f>AB144/12</f>
        <v/>
      </c>
      <c r="AD144" s="675">
        <f>SUM(D144:Z144)</f>
        <v/>
      </c>
      <c r="AE144" s="675">
        <f>SUM(AD133:AD144)</f>
        <v/>
      </c>
      <c r="AF144" s="675">
        <f>AE144/12</f>
        <v/>
      </c>
      <c r="AG144" s="545" t="n"/>
      <c r="AH144" s="675" t="n"/>
      <c r="AJ144" s="675" t="inlineStr">
        <is>
          <t>2024/25</t>
        </is>
      </c>
      <c r="AL144" s="675" t="n"/>
    </row>
    <row r="145" ht="17" customHeight="1">
      <c r="A145" s="689" t="n">
        <v>45809</v>
      </c>
      <c r="B145" s="687" t="n">
        <v>128640</v>
      </c>
      <c r="C145" s="687" t="n">
        <v>23570</v>
      </c>
      <c r="D145" s="687" t="inlineStr">
        <is>
          <t>-</t>
        </is>
      </c>
      <c r="E145" s="687">
        <f>8950+3936</f>
        <v/>
      </c>
      <c r="F145" s="687" t="n">
        <v>115</v>
      </c>
      <c r="G145" s="687" t="n">
        <v>864</v>
      </c>
      <c r="H145" s="687" t="n">
        <v>393</v>
      </c>
      <c r="I145" s="687" t="n">
        <v>83</v>
      </c>
      <c r="J145" s="687" t="n">
        <v>0</v>
      </c>
      <c r="K145" s="687" t="n">
        <v>314.6</v>
      </c>
      <c r="L145" s="687" t="n">
        <v>100</v>
      </c>
      <c r="M145" s="565" t="n">
        <v>800</v>
      </c>
      <c r="N145" s="565" t="n">
        <v>400</v>
      </c>
      <c r="O145" s="687" t="n">
        <v>163</v>
      </c>
      <c r="P145" s="687" t="n">
        <v>28</v>
      </c>
      <c r="Q145" s="687" t="n">
        <v>0</v>
      </c>
      <c r="R145" s="687" t="n"/>
      <c r="S145" s="687" t="n"/>
      <c r="T145" s="687" t="n"/>
      <c r="U145" s="687" t="n">
        <v>671.5</v>
      </c>
      <c r="V145" s="705" t="n">
        <v>18000</v>
      </c>
      <c r="W145" s="687">
        <f>'Raw Food Data (KG)'!Q106</f>
        <v/>
      </c>
      <c r="X145" s="690" t="n">
        <v>5780</v>
      </c>
      <c r="Y145" s="690" t="n">
        <v>18235</v>
      </c>
      <c r="Z145" s="687">
        <f>AVERAGE(Z134:Z144)</f>
        <v/>
      </c>
      <c r="AA145" s="676">
        <f>SUM(B145:C145)</f>
        <v/>
      </c>
      <c r="AB145" s="707">
        <f>SUM(AA134:AA145)</f>
        <v/>
      </c>
      <c r="AC145" s="675">
        <f>AB145/12</f>
        <v/>
      </c>
      <c r="AD145" s="675">
        <f>SUM(D145:Z145)</f>
        <v/>
      </c>
      <c r="AE145" s="707">
        <f>SUM(AD134:AD145)</f>
        <v/>
      </c>
      <c r="AF145" s="675">
        <f>AE145/12</f>
        <v/>
      </c>
      <c r="AG145" s="545" t="n"/>
      <c r="AH145" s="693">
        <f>AB145+AE145</f>
        <v/>
      </c>
      <c r="AJ145" s="407">
        <f>AE145/AH145</f>
        <v/>
      </c>
      <c r="AL145" s="675" t="n"/>
    </row>
    <row r="146">
      <c r="A146" s="689" t="n">
        <v>45839</v>
      </c>
      <c r="B146" s="690" t="n">
        <v>121260</v>
      </c>
      <c r="C146" s="690" t="n">
        <v>22800</v>
      </c>
      <c r="D146" s="690" t="n"/>
      <c r="E146" s="690">
        <f>9078+4024+657+385</f>
        <v/>
      </c>
      <c r="F146" s="690">
        <f>92+17</f>
        <v/>
      </c>
      <c r="G146" s="690" t="n">
        <v>953</v>
      </c>
      <c r="H146" s="690">
        <f>326+66+41</f>
        <v/>
      </c>
      <c r="I146" s="690" t="n">
        <v>83</v>
      </c>
      <c r="J146" s="690" t="n"/>
      <c r="K146" s="690" t="n">
        <v>0</v>
      </c>
      <c r="L146" s="690" t="n"/>
      <c r="M146" s="564" t="n">
        <v>800</v>
      </c>
      <c r="N146" s="564" t="n">
        <v>400</v>
      </c>
      <c r="O146" s="690" t="n">
        <v>135</v>
      </c>
      <c r="P146" s="690" t="n">
        <v>43</v>
      </c>
      <c r="Q146" s="690" t="n"/>
      <c r="R146" s="690" t="n"/>
      <c r="S146" s="690" t="n"/>
      <c r="T146" s="690" t="n"/>
      <c r="U146" s="690" t="n"/>
      <c r="V146" s="690" t="n">
        <v>13120</v>
      </c>
      <c r="W146" s="690">
        <f>'Raw Food Data (KG)'!Q107</f>
        <v/>
      </c>
      <c r="X146" s="690" t="n">
        <v>6740</v>
      </c>
      <c r="Y146" s="690" t="n">
        <v>13345</v>
      </c>
      <c r="Z146" s="690" t="n">
        <v>6</v>
      </c>
      <c r="AA146" s="676">
        <f>SUM(B146:C146)</f>
        <v/>
      </c>
      <c r="AB146" s="545" t="n"/>
      <c r="AC146" s="545" t="n"/>
      <c r="AG146" s="674" t="n"/>
      <c r="AH146" s="674" t="n"/>
      <c r="AI146" s="674" t="n"/>
      <c r="AJ146" s="674" t="n"/>
      <c r="AK146" s="674" t="n"/>
    </row>
    <row r="147">
      <c r="A147" s="689" t="n">
        <v>45870</v>
      </c>
      <c r="B147" s="690" t="n">
        <v>130380</v>
      </c>
      <c r="C147" s="690" t="n">
        <v>25120</v>
      </c>
      <c r="D147" s="690" t="n"/>
      <c r="E147" s="690">
        <f>9424+3980+714+395</f>
        <v/>
      </c>
      <c r="F147" s="690">
        <f>93+17</f>
        <v/>
      </c>
      <c r="G147" s="690" t="n">
        <v>780</v>
      </c>
      <c r="H147" s="690">
        <f>341+65+48</f>
        <v/>
      </c>
      <c r="I147" s="690" t="n">
        <v>91</v>
      </c>
      <c r="J147" s="690" t="n"/>
      <c r="K147" s="690" t="n">
        <v>893</v>
      </c>
      <c r="L147" s="690" t="n"/>
      <c r="M147" s="564" t="n">
        <v>800</v>
      </c>
      <c r="N147" s="564" t="n">
        <v>400</v>
      </c>
      <c r="O147" s="690" t="n">
        <v>125</v>
      </c>
      <c r="P147" s="690" t="n">
        <v>46</v>
      </c>
      <c r="Q147" s="690" t="n"/>
      <c r="R147" s="690" t="n"/>
      <c r="S147" s="690" t="n"/>
      <c r="T147" s="690" t="n"/>
      <c r="U147" s="690" t="n"/>
      <c r="V147" s="690" t="n">
        <v>15150</v>
      </c>
      <c r="W147" s="690">
        <f>'Raw Food Data (KG)'!Q108</f>
        <v/>
      </c>
      <c r="X147" s="690" t="n">
        <v>8680</v>
      </c>
      <c r="Y147" s="690" t="n">
        <v>20840</v>
      </c>
      <c r="Z147" s="690" t="n">
        <v>0</v>
      </c>
      <c r="AA147" s="676">
        <f>SUM(B147:C147)</f>
        <v/>
      </c>
      <c r="AB147" s="545" t="n"/>
      <c r="AC147" s="545" t="n"/>
      <c r="AE147" s="675" t="inlineStr">
        <is>
          <t>Appliances</t>
        </is>
      </c>
      <c r="AF147" s="675" t="inlineStr">
        <is>
          <t>Weight per pax</t>
        </is>
      </c>
      <c r="AG147" s="675" t="inlineStr">
        <is>
          <t>Quantity</t>
        </is>
      </c>
      <c r="AH147" s="675" t="inlineStr">
        <is>
          <t>total weight</t>
        </is>
      </c>
      <c r="AI147" s="674" t="n"/>
      <c r="AJ147" s="674" t="n"/>
      <c r="AK147" s="674" t="n"/>
    </row>
    <row r="148" ht="17" customHeight="1">
      <c r="A148" s="689" t="n">
        <v>45901</v>
      </c>
      <c r="B148" s="690" t="n">
        <v>141660</v>
      </c>
      <c r="C148" s="690" t="n">
        <v>24780</v>
      </c>
      <c r="D148" s="690" t="n"/>
      <c r="E148" s="690">
        <f>9017+3930+760+409</f>
        <v/>
      </c>
      <c r="F148" s="690">
        <f>94+15</f>
        <v/>
      </c>
      <c r="G148" s="690" t="n">
        <v>1806</v>
      </c>
      <c r="H148" s="690">
        <f>327+74</f>
        <v/>
      </c>
      <c r="I148" s="690" t="n">
        <v>117</v>
      </c>
      <c r="J148" s="690" t="n"/>
      <c r="K148" s="690" t="inlineStr">
        <is>
          <t>-</t>
        </is>
      </c>
      <c r="L148" s="690" t="n"/>
      <c r="M148" s="564" t="n">
        <v>800</v>
      </c>
      <c r="N148" s="564" t="n">
        <v>400</v>
      </c>
      <c r="O148" s="690" t="n">
        <v>0</v>
      </c>
      <c r="P148" s="690" t="n">
        <v>0</v>
      </c>
      <c r="Q148" s="690" t="n"/>
      <c r="R148" s="690" t="n"/>
      <c r="S148" s="690" t="n"/>
      <c r="T148" s="690" t="n"/>
      <c r="U148" s="690" t="n"/>
      <c r="V148" s="690" t="n">
        <v>14305</v>
      </c>
      <c r="W148" s="690">
        <f>'Raw Food Data (KG)'!Q109</f>
        <v/>
      </c>
      <c r="X148" s="690" t="n">
        <v>11010</v>
      </c>
      <c r="Y148" s="690" t="n">
        <v>13360</v>
      </c>
      <c r="Z148" s="690" t="n">
        <v>5</v>
      </c>
      <c r="AA148" s="675">
        <f>SUM(B148:C148)</f>
        <v/>
      </c>
      <c r="AB148" s="545" t="n"/>
      <c r="AC148" s="545" t="n"/>
      <c r="AE148" s="675" t="inlineStr">
        <is>
          <t>Refri</t>
        </is>
      </c>
      <c r="AG148" s="675" t="n"/>
      <c r="AH148" s="675" t="n"/>
      <c r="AI148" s="674" t="n"/>
      <c r="AJ148" s="674" t="n"/>
      <c r="AK148" s="674" t="n"/>
    </row>
    <row r="149">
      <c r="A149" s="689" t="n">
        <v>45931</v>
      </c>
      <c r="B149" s="690" t="n">
        <v>145450</v>
      </c>
      <c r="C149" s="690" t="n">
        <v>23010</v>
      </c>
      <c r="D149" s="546" t="n"/>
      <c r="E149" s="690">
        <f>8982+3900+681+389</f>
        <v/>
      </c>
      <c r="F149" s="690">
        <f>14+90</f>
        <v/>
      </c>
      <c r="G149" s="690" t="n">
        <v>1060</v>
      </c>
      <c r="H149" s="690">
        <f>310+69+13</f>
        <v/>
      </c>
      <c r="I149" s="690" t="n">
        <v>108</v>
      </c>
      <c r="J149" s="690" t="n"/>
      <c r="K149" s="690" t="n">
        <v>191.2</v>
      </c>
      <c r="L149" s="690" t="n"/>
      <c r="M149" s="564" t="n">
        <v>400</v>
      </c>
      <c r="N149" s="564" t="n">
        <v>200</v>
      </c>
      <c r="O149" s="690" t="n">
        <v>0</v>
      </c>
      <c r="P149" s="690" t="n">
        <v>42</v>
      </c>
      <c r="Q149" s="690" t="n"/>
      <c r="R149" s="690" t="n"/>
      <c r="S149" s="690" t="n"/>
      <c r="T149" s="690" t="n"/>
      <c r="U149" s="690" t="n"/>
      <c r="V149" s="690" t="n">
        <v>9655</v>
      </c>
      <c r="W149" s="690">
        <f>'Raw Food Data (KG)'!Q110</f>
        <v/>
      </c>
      <c r="X149" s="690" t="n">
        <v>10020</v>
      </c>
      <c r="Y149" s="690" t="n">
        <v>19145</v>
      </c>
      <c r="Z149" s="690" t="n">
        <v>11.5</v>
      </c>
      <c r="AA149" s="675" t="n"/>
      <c r="AB149" s="708" t="n"/>
      <c r="AC149" s="545" t="n"/>
      <c r="AE149" s="675" t="inlineStr">
        <is>
          <t>Washing</t>
        </is>
      </c>
      <c r="AG149" s="675" t="n"/>
      <c r="AH149" s="675" t="n"/>
      <c r="AI149" s="674" t="n"/>
      <c r="AJ149" s="674" t="n"/>
      <c r="AK149" s="674" t="n"/>
    </row>
    <row r="150">
      <c r="A150" s="689" t="n">
        <v>45962</v>
      </c>
      <c r="B150" s="690" t="n">
        <v>150840</v>
      </c>
      <c r="C150" s="690" t="n">
        <v>23410</v>
      </c>
      <c r="D150" s="690" t="n"/>
      <c r="E150" s="690" t="n">
        <v>14700</v>
      </c>
      <c r="F150" s="690" t="n">
        <v>120</v>
      </c>
      <c r="G150" s="690" t="n">
        <v>1382</v>
      </c>
      <c r="H150" s="690" t="n">
        <v>469</v>
      </c>
      <c r="I150" s="690" t="n">
        <v>135</v>
      </c>
      <c r="J150" s="690" t="n"/>
      <c r="K150" s="690" t="n">
        <v>946</v>
      </c>
      <c r="L150" s="690" t="n"/>
      <c r="M150" s="564" t="n">
        <v>800</v>
      </c>
      <c r="N150" s="564" t="n">
        <v>400</v>
      </c>
      <c r="O150" s="690" t="n">
        <v>24</v>
      </c>
      <c r="P150" s="690" t="n">
        <v>26</v>
      </c>
      <c r="Q150" s="690" t="n"/>
      <c r="R150" s="690" t="n"/>
      <c r="S150" s="690" t="n"/>
      <c r="T150" s="690" t="n"/>
      <c r="U150" s="690" t="n"/>
      <c r="V150" s="690" t="n">
        <v>9530</v>
      </c>
      <c r="W150" s="690">
        <f>'Raw Food Data (KG)'!Q111</f>
        <v/>
      </c>
      <c r="X150" s="690" t="n">
        <v>8905</v>
      </c>
      <c r="Y150" s="690" t="n">
        <v>15420</v>
      </c>
      <c r="Z150" s="690" t="n">
        <v>7</v>
      </c>
      <c r="AA150" s="675" t="n"/>
      <c r="AB150" s="545" t="n"/>
      <c r="AC150" s="545" t="n"/>
      <c r="AE150" s="675" t="inlineStr">
        <is>
          <t>Flat TV</t>
        </is>
      </c>
      <c r="AG150" s="675" t="n"/>
      <c r="AH150" s="675" t="n"/>
      <c r="AI150" s="674" t="n"/>
      <c r="AJ150" s="674" t="n"/>
      <c r="AK150" s="674" t="n"/>
    </row>
    <row r="151">
      <c r="A151" s="689" t="n">
        <v>45992</v>
      </c>
      <c r="B151" s="690" t="n">
        <v>133710</v>
      </c>
      <c r="C151" s="690" t="n">
        <v>25150</v>
      </c>
      <c r="D151" s="690" t="n"/>
      <c r="E151" s="690" t="n">
        <v>12838</v>
      </c>
      <c r="F151" s="690" t="n">
        <v>117</v>
      </c>
      <c r="G151" s="690" t="n">
        <v>280</v>
      </c>
      <c r="H151" s="690" t="n">
        <v>431</v>
      </c>
      <c r="I151" s="690" t="n">
        <v>96</v>
      </c>
      <c r="J151" s="690" t="n"/>
      <c r="K151" s="690" t="n">
        <v>0</v>
      </c>
      <c r="L151" s="690" t="n"/>
      <c r="M151" s="564" t="n">
        <v>800</v>
      </c>
      <c r="N151" s="564" t="n">
        <v>400</v>
      </c>
      <c r="O151" s="690" t="n">
        <v>0</v>
      </c>
      <c r="P151" s="690" t="n">
        <v>68</v>
      </c>
      <c r="Q151" s="690" t="n"/>
      <c r="R151" s="690" t="n"/>
      <c r="S151" s="690" t="n"/>
      <c r="T151" s="690" t="n"/>
      <c r="U151" s="690" t="n"/>
      <c r="V151" s="690" t="n">
        <v>11380</v>
      </c>
      <c r="W151" s="690">
        <f>'Raw Food Data (KG)'!Q112</f>
        <v/>
      </c>
      <c r="X151" s="690" t="n">
        <v>10775</v>
      </c>
      <c r="Y151" s="690" t="n">
        <v>11475</v>
      </c>
      <c r="Z151" s="690" t="n">
        <v>5</v>
      </c>
      <c r="AA151" s="675" t="n"/>
      <c r="AB151" s="545" t="n"/>
      <c r="AC151" s="545" t="n"/>
      <c r="AE151" s="675" t="inlineStr">
        <is>
          <t>Cathode-ray TV</t>
        </is>
      </c>
      <c r="AG151" s="675" t="n"/>
      <c r="AH151" s="675" t="n"/>
      <c r="AI151" s="674" t="n"/>
      <c r="AJ151" s="674" t="n"/>
      <c r="AK151" s="674" t="n"/>
    </row>
    <row r="152">
      <c r="A152" s="689" t="n">
        <v>46023</v>
      </c>
      <c r="B152" s="690" t="n">
        <v>114050</v>
      </c>
      <c r="C152" s="690" t="n">
        <v>23100</v>
      </c>
      <c r="D152" s="690" t="n"/>
      <c r="E152" s="690" t="n">
        <v>13661</v>
      </c>
      <c r="F152" s="690" t="n">
        <v>115</v>
      </c>
      <c r="G152" s="690" t="n">
        <v>882</v>
      </c>
      <c r="H152" s="690" t="n">
        <v>390</v>
      </c>
      <c r="I152" s="690" t="n"/>
      <c r="J152" s="690" t="n"/>
      <c r="K152" s="690" t="n">
        <v>1116</v>
      </c>
      <c r="L152" s="690" t="n"/>
      <c r="M152" s="564" t="n">
        <v>800</v>
      </c>
      <c r="N152" s="564" t="n">
        <v>400</v>
      </c>
      <c r="O152" s="690" t="n">
        <v>26</v>
      </c>
      <c r="P152" s="690" t="n">
        <v>23</v>
      </c>
      <c r="Q152" s="690" t="n"/>
      <c r="R152" s="690" t="n"/>
      <c r="S152" s="690" t="n"/>
      <c r="T152" s="690" t="n"/>
      <c r="U152" s="690" t="n"/>
      <c r="V152" s="690" t="n">
        <v>10865</v>
      </c>
      <c r="W152" s="690">
        <f>'Raw Food Data (KG)'!Q113</f>
        <v/>
      </c>
      <c r="X152" s="690" t="n">
        <v>11975</v>
      </c>
      <c r="Y152" s="690" t="n">
        <v>8510</v>
      </c>
      <c r="Z152" s="690" t="n">
        <v>12</v>
      </c>
      <c r="AA152" s="675" t="n"/>
      <c r="AB152" s="545" t="n"/>
      <c r="AC152" s="545" t="n"/>
      <c r="AE152" s="675" t="inlineStr">
        <is>
          <t>Cathode-ray monitors</t>
        </is>
      </c>
      <c r="AG152" s="675" t="n"/>
      <c r="AH152" s="675" t="n"/>
      <c r="AI152" s="674" t="n"/>
      <c r="AJ152" s="674" t="n"/>
      <c r="AK152" s="674" t="n"/>
    </row>
    <row r="153">
      <c r="A153" s="689" t="n">
        <v>46054</v>
      </c>
      <c r="B153" s="690" t="n">
        <v>123400</v>
      </c>
      <c r="C153" s="690" t="n">
        <v>16820</v>
      </c>
      <c r="D153" s="690" t="n"/>
      <c r="E153" s="690" t="n">
        <v>11648</v>
      </c>
      <c r="F153" s="690" t="n">
        <v>102</v>
      </c>
      <c r="G153" s="690" t="n">
        <v>507</v>
      </c>
      <c r="H153" s="690" t="n">
        <v>302</v>
      </c>
      <c r="I153" s="690" t="n"/>
      <c r="J153" s="690" t="n"/>
      <c r="K153" s="690" t="n">
        <v>0</v>
      </c>
      <c r="L153" s="690" t="n"/>
      <c r="M153" s="564" t="n">
        <v>800</v>
      </c>
      <c r="N153" s="564" t="n">
        <v>400</v>
      </c>
      <c r="O153" s="690" t="n">
        <v>0</v>
      </c>
      <c r="P153" s="690" t="n">
        <v>0</v>
      </c>
      <c r="Q153" s="690" t="n"/>
      <c r="R153" s="690" t="n"/>
      <c r="S153" s="690" t="n"/>
      <c r="T153" s="690" t="n"/>
      <c r="U153" s="690" t="n"/>
      <c r="V153" s="690" t="n">
        <v>20659</v>
      </c>
      <c r="W153" s="690">
        <f>'Raw Food Data (KG)'!Q114</f>
        <v/>
      </c>
      <c r="X153" s="690" t="n">
        <v>12319</v>
      </c>
      <c r="Y153" s="690" t="n">
        <v>8672</v>
      </c>
      <c r="Z153" s="690" t="n">
        <v>0</v>
      </c>
      <c r="AA153" s="675" t="n"/>
      <c r="AB153" s="545" t="n"/>
      <c r="AC153" s="545" t="n"/>
      <c r="AE153" s="675" t="inlineStr">
        <is>
          <t>printer</t>
        </is>
      </c>
      <c r="AG153" s="675" t="n"/>
      <c r="AH153" s="675" t="n"/>
      <c r="AI153" s="674" t="n"/>
      <c r="AJ153" s="674" t="n"/>
      <c r="AK153" s="674" t="n"/>
    </row>
    <row r="154">
      <c r="A154" s="689" t="n">
        <v>46082</v>
      </c>
      <c r="B154" s="690" t="n">
        <v>164450</v>
      </c>
      <c r="C154" s="690" t="n">
        <v>22110</v>
      </c>
      <c r="D154" s="690" t="n"/>
      <c r="E154" s="690" t="n">
        <v>13565</v>
      </c>
      <c r="F154" s="690" t="n">
        <v>116</v>
      </c>
      <c r="G154" s="690" t="n">
        <v>1571</v>
      </c>
      <c r="H154" s="690" t="n">
        <v>432</v>
      </c>
      <c r="I154" s="690" t="n"/>
      <c r="J154" s="690" t="n"/>
      <c r="K154" s="690" t="n">
        <v>672.9</v>
      </c>
      <c r="L154" s="690" t="n"/>
      <c r="M154" s="564" t="n">
        <v>800</v>
      </c>
      <c r="N154" s="564" t="n">
        <v>400</v>
      </c>
      <c r="O154" s="690" t="n">
        <v>18</v>
      </c>
      <c r="P154" s="690" t="n">
        <v>32</v>
      </c>
      <c r="Q154" s="690" t="n"/>
      <c r="R154" s="690" t="n"/>
      <c r="S154" s="690" t="n"/>
      <c r="T154" s="690" t="n"/>
      <c r="U154" s="690" t="n"/>
      <c r="V154" s="690" t="n">
        <v>10009</v>
      </c>
      <c r="W154" s="690">
        <f>'Raw Food Data (KG)'!Q115</f>
        <v/>
      </c>
      <c r="X154" s="690" t="n">
        <v>12478</v>
      </c>
      <c r="Y154" s="690" t="n">
        <v>12330</v>
      </c>
      <c r="Z154" s="690" t="n">
        <v>9.5</v>
      </c>
      <c r="AA154" s="675" t="n"/>
      <c r="AB154" s="545" t="n"/>
      <c r="AC154" s="545" t="n"/>
      <c r="AE154" s="675" t="inlineStr">
        <is>
          <t>air-conditioner</t>
        </is>
      </c>
      <c r="AG154" s="675" t="n"/>
      <c r="AH154" s="675" t="n"/>
      <c r="AI154" s="674" t="n"/>
      <c r="AJ154" s="674" t="n"/>
      <c r="AK154" s="674" t="n"/>
    </row>
    <row r="155">
      <c r="A155" s="689" t="n">
        <v>46113</v>
      </c>
      <c r="B155" s="690" t="n">
        <v>146340</v>
      </c>
      <c r="C155" s="690" t="n">
        <v>15730</v>
      </c>
      <c r="D155" s="690" t="n"/>
      <c r="E155" s="690" t="n">
        <v>12906</v>
      </c>
      <c r="F155" s="690" t="n">
        <v>103</v>
      </c>
      <c r="G155" s="690" t="n">
        <v>237</v>
      </c>
      <c r="H155" s="690" t="n">
        <v>377</v>
      </c>
      <c r="I155" s="690" t="n"/>
      <c r="J155" s="690" t="n"/>
      <c r="K155" s="690" t="n">
        <v>0</v>
      </c>
      <c r="L155" s="690" t="n"/>
      <c r="M155" s="564" t="n">
        <v>600</v>
      </c>
      <c r="N155" s="690" t="n">
        <v>0</v>
      </c>
      <c r="O155" s="690" t="n">
        <v>20</v>
      </c>
      <c r="P155" s="690" t="n">
        <v>0</v>
      </c>
      <c r="Q155" s="690" t="n"/>
      <c r="R155" s="690" t="n"/>
      <c r="S155" s="690" t="n"/>
      <c r="T155" s="690" t="n"/>
      <c r="U155" s="690" t="n"/>
      <c r="V155" s="690" t="n">
        <v>6591</v>
      </c>
      <c r="W155" s="690">
        <f>'Raw Food Data (KG)'!Q116</f>
        <v/>
      </c>
      <c r="X155" s="690" t="n">
        <v>11114</v>
      </c>
      <c r="Y155" s="690" t="n">
        <v>9640</v>
      </c>
      <c r="Z155" s="690" t="n">
        <v>6</v>
      </c>
      <c r="AA155" s="675" t="n"/>
      <c r="AB155" s="545" t="n"/>
      <c r="AC155" s="545" t="n"/>
      <c r="AE155" s="675" t="inlineStr">
        <is>
          <t>dehumidifier</t>
        </is>
      </c>
      <c r="AG155" s="675" t="n"/>
      <c r="AH155" s="675" t="n"/>
      <c r="AI155" s="674" t="n"/>
      <c r="AJ155" s="674" t="n"/>
      <c r="AK155" s="674" t="n"/>
    </row>
    <row r="156">
      <c r="A156" s="689" t="n">
        <v>46143</v>
      </c>
      <c r="B156" s="690" t="n">
        <v>163797.1</v>
      </c>
      <c r="C156" s="690" t="n">
        <v>20790</v>
      </c>
      <c r="D156" s="690" t="n"/>
      <c r="E156" s="690" t="n">
        <v>13759</v>
      </c>
      <c r="F156" s="690" t="n">
        <v>128</v>
      </c>
      <c r="G156" s="690" t="n">
        <v>908</v>
      </c>
      <c r="H156" s="690" t="n">
        <v>418</v>
      </c>
      <c r="I156" s="690" t="n"/>
      <c r="J156" s="690" t="n"/>
      <c r="K156" s="690" t="n">
        <v>1073.5</v>
      </c>
      <c r="L156" s="690" t="n"/>
      <c r="M156" s="690" t="n">
        <v>400</v>
      </c>
      <c r="N156" s="690" t="n">
        <v>200</v>
      </c>
      <c r="O156" s="690" t="n">
        <v>0</v>
      </c>
      <c r="P156" s="690" t="n">
        <v>0</v>
      </c>
      <c r="Q156" s="690" t="n"/>
      <c r="R156" s="690" t="n"/>
      <c r="S156" s="690" t="n"/>
      <c r="T156" s="690" t="n"/>
      <c r="U156" s="690" t="n"/>
      <c r="V156" s="690" t="n">
        <v>12012</v>
      </c>
      <c r="W156" s="690">
        <f>'Raw Food Data (KG)'!Q117</f>
        <v/>
      </c>
      <c r="X156" s="690" t="n">
        <v>10244</v>
      </c>
      <c r="Y156" s="690" t="n">
        <v>11378</v>
      </c>
      <c r="Z156" s="690" t="n">
        <v>0</v>
      </c>
      <c r="AA156" s="675" t="n"/>
      <c r="AB156" s="545" t="n"/>
      <c r="AC156" s="545" t="n"/>
      <c r="AG156" s="675" t="n"/>
      <c r="AH156" s="675">
        <f>SUM(AH148:AH155)</f>
        <v/>
      </c>
      <c r="AI156" s="674" t="n"/>
      <c r="AJ156" s="674" t="n"/>
      <c r="AK156" s="674" t="n"/>
    </row>
    <row r="157">
      <c r="A157" s="689" t="n">
        <v>46174</v>
      </c>
      <c r="B157" s="690" t="n"/>
      <c r="C157" s="690" t="n"/>
      <c r="D157" s="690" t="n"/>
      <c r="E157" s="690" t="n"/>
      <c r="F157" s="690" t="n"/>
      <c r="G157" s="690" t="n"/>
      <c r="H157" s="690" t="n"/>
      <c r="I157" s="690" t="n"/>
      <c r="J157" s="690" t="n"/>
      <c r="K157" s="690" t="n"/>
      <c r="L157" s="690" t="n"/>
      <c r="M157" s="690" t="n"/>
      <c r="N157" s="690" t="n"/>
      <c r="O157" s="690" t="n"/>
      <c r="P157" s="690" t="n"/>
      <c r="Q157" s="690" t="n"/>
      <c r="R157" s="690" t="n"/>
      <c r="S157" s="690" t="n"/>
      <c r="T157" s="690" t="n"/>
      <c r="U157" s="690" t="n"/>
      <c r="V157" s="690" t="n"/>
      <c r="W157" s="690">
        <f>'Raw Food Data (KG)'!Q118</f>
        <v/>
      </c>
      <c r="X157" s="690" t="n"/>
      <c r="Y157" s="690" t="n"/>
      <c r="Z157" s="690" t="n"/>
      <c r="AA157" s="675" t="n"/>
      <c r="AB157" s="545" t="n"/>
      <c r="AC157" s="545" t="n"/>
      <c r="AG157" s="674" t="n"/>
      <c r="AH157" s="674" t="n"/>
      <c r="AI157" s="674" t="n"/>
      <c r="AJ157" s="674" t="n"/>
      <c r="AK157" s="674" t="n"/>
    </row>
    <row r="158">
      <c r="A158" s="59" t="n"/>
      <c r="B158" s="676" t="n"/>
      <c r="D158" s="675" t="n"/>
      <c r="G158" s="676" t="n"/>
      <c r="H158" s="676" t="n"/>
      <c r="L158" s="674" t="n"/>
      <c r="M158" s="674" t="n"/>
      <c r="N158" s="674" t="n"/>
      <c r="O158" s="674" t="n"/>
      <c r="P158" s="674" t="n"/>
      <c r="Q158" s="674" t="n"/>
      <c r="R158" s="674" t="n"/>
      <c r="S158" s="674" t="n"/>
      <c r="T158" s="674" t="n"/>
      <c r="U158" s="674" t="n"/>
      <c r="V158" s="674" t="n"/>
      <c r="W158" s="674" t="n"/>
      <c r="X158" s="674" t="n"/>
      <c r="Z158" s="676" t="n"/>
      <c r="AA158" s="675" t="n"/>
      <c r="AB158" s="545" t="n"/>
      <c r="AC158" s="545" t="n"/>
      <c r="AG158" s="674" t="n"/>
      <c r="AH158" s="674" t="n"/>
      <c r="AI158" s="674" t="n"/>
      <c r="AJ158" s="674" t="n"/>
      <c r="AK158" s="674" t="n"/>
    </row>
    <row r="159">
      <c r="A159" s="59" t="n"/>
      <c r="B159" s="676" t="n"/>
      <c r="D159" s="675" t="n"/>
      <c r="G159" s="676" t="n"/>
      <c r="H159" s="676" t="n"/>
      <c r="L159" s="674" t="n"/>
      <c r="M159" s="674" t="n"/>
      <c r="N159" s="674" t="n"/>
      <c r="O159" s="674" t="n"/>
      <c r="P159" s="674" t="n"/>
      <c r="Q159" s="674" t="n"/>
      <c r="R159" s="674" t="n"/>
      <c r="S159" s="674" t="n"/>
      <c r="T159" s="674" t="n"/>
      <c r="U159" s="674" t="n"/>
      <c r="V159" s="674" t="n"/>
      <c r="W159" s="674" t="n"/>
      <c r="X159" s="674" t="n"/>
      <c r="Z159" s="676" t="n"/>
      <c r="AA159" s="675" t="n"/>
      <c r="AB159" s="545" t="n"/>
      <c r="AC159" s="545" t="n"/>
      <c r="AG159" s="674" t="n"/>
      <c r="AH159" s="674" t="n"/>
      <c r="AI159" s="674" t="n"/>
      <c r="AJ159" s="674" t="n"/>
      <c r="AK159" s="674" t="n"/>
    </row>
    <row r="160">
      <c r="A160" s="59" t="n"/>
      <c r="B160" s="676" t="n"/>
      <c r="D160" s="675" t="n"/>
      <c r="G160" s="676" t="n"/>
      <c r="H160" s="676" t="n"/>
      <c r="L160" s="674" t="n"/>
      <c r="M160" s="674" t="n"/>
      <c r="N160" s="674" t="n"/>
      <c r="O160" s="674" t="n"/>
      <c r="P160" s="674" t="n"/>
      <c r="Q160" s="674" t="n"/>
      <c r="R160" s="674" t="n"/>
      <c r="S160" s="674" t="n"/>
      <c r="T160" s="674" t="n"/>
      <c r="U160" s="674" t="n"/>
      <c r="V160" s="674" t="n"/>
      <c r="W160" s="674" t="n"/>
      <c r="X160" s="674" t="n"/>
      <c r="Z160" s="676" t="n"/>
      <c r="AA160" s="675" t="n"/>
      <c r="AB160" s="545" t="n"/>
      <c r="AC160" s="545" t="n"/>
      <c r="AG160" s="674" t="n"/>
      <c r="AH160" s="674" t="n"/>
      <c r="AI160" s="674" t="n"/>
      <c r="AJ160" s="674" t="n"/>
      <c r="AK160" s="674" t="n"/>
    </row>
    <row r="161">
      <c r="A161" s="59" t="n"/>
      <c r="B161" s="676" t="n"/>
      <c r="D161" s="675" t="n"/>
      <c r="G161" s="676" t="n"/>
      <c r="H161" s="676" t="n"/>
      <c r="L161" s="674" t="n"/>
      <c r="M161" s="674" t="n"/>
      <c r="N161" s="674" t="n"/>
      <c r="O161" s="674" t="n"/>
      <c r="P161" s="674" t="n"/>
      <c r="Q161" s="674" t="n"/>
      <c r="R161" s="674" t="n"/>
      <c r="S161" s="674" t="n"/>
      <c r="T161" s="674" t="n"/>
      <c r="U161" s="674" t="n"/>
      <c r="V161" s="674" t="n"/>
      <c r="W161" s="674" t="n"/>
      <c r="X161" s="674" t="n"/>
      <c r="Z161" s="676" t="n"/>
      <c r="AA161" s="675" t="n"/>
      <c r="AB161" s="545" t="n"/>
      <c r="AC161" s="545" t="n"/>
      <c r="AG161" s="674" t="n"/>
      <c r="AH161" s="674" t="n"/>
      <c r="AI161" s="674" t="n"/>
      <c r="AJ161" s="674" t="n"/>
      <c r="AK161" s="674" t="n"/>
    </row>
    <row r="162">
      <c r="A162" s="59" t="n"/>
      <c r="B162" s="676" t="n"/>
      <c r="D162" s="675" t="n"/>
      <c r="G162" s="676" t="n"/>
      <c r="H162" s="676" t="n"/>
      <c r="L162" s="674" t="n"/>
      <c r="M162" s="674" t="n"/>
      <c r="N162" s="674" t="n"/>
      <c r="O162" s="674" t="n"/>
      <c r="P162" s="674" t="n"/>
      <c r="Q162" s="674" t="n"/>
      <c r="R162" s="674" t="n"/>
      <c r="S162" s="674" t="n"/>
      <c r="T162" s="674" t="n"/>
      <c r="U162" s="674" t="n"/>
      <c r="V162" s="674" t="n"/>
      <c r="W162" s="674" t="n"/>
      <c r="X162" s="674" t="n"/>
      <c r="Z162" s="676" t="n"/>
      <c r="AA162" s="675" t="n"/>
      <c r="AB162" s="545" t="n"/>
      <c r="AC162" s="545" t="n"/>
      <c r="AG162" s="674" t="n"/>
      <c r="AH162" s="674" t="n"/>
      <c r="AI162" s="674" t="n"/>
      <c r="AJ162" s="674" t="n"/>
      <c r="AK162" s="674" t="n"/>
    </row>
    <row r="163">
      <c r="B163" s="676" t="n"/>
      <c r="D163" s="675" t="n"/>
      <c r="G163" s="676" t="n"/>
      <c r="H163" s="676" t="n"/>
      <c r="L163" s="674" t="n"/>
      <c r="M163" s="674" t="n"/>
      <c r="N163" s="674" t="n"/>
      <c r="O163" s="674" t="n"/>
      <c r="P163" s="674" t="n"/>
      <c r="Q163" s="674" t="n"/>
      <c r="R163" s="674" t="n"/>
      <c r="S163" s="674" t="n"/>
      <c r="T163" s="674" t="n"/>
      <c r="U163" s="674" t="n"/>
      <c r="V163" s="674" t="n"/>
      <c r="W163" s="674" t="n"/>
      <c r="X163" s="674" t="n"/>
      <c r="Z163" s="676" t="n"/>
      <c r="AA163" s="675" t="n"/>
      <c r="AB163" s="676" t="n"/>
      <c r="AC163" s="676" t="n"/>
      <c r="AG163" s="674" t="n"/>
      <c r="AH163" s="674" t="n"/>
      <c r="AI163" s="674" t="n"/>
      <c r="AJ163" s="674" t="n"/>
      <c r="AK163" s="674" t="n"/>
    </row>
    <row r="164">
      <c r="B164" s="676" t="n"/>
      <c r="D164" s="675" t="n"/>
      <c r="G164" s="676" t="n"/>
      <c r="H164" s="676" t="n"/>
      <c r="L164" s="674" t="n"/>
      <c r="M164" s="674" t="n"/>
      <c r="N164" s="674" t="n"/>
      <c r="O164" s="674" t="n"/>
      <c r="P164" s="674" t="n"/>
      <c r="Q164" s="674" t="n"/>
      <c r="R164" s="674" t="n"/>
      <c r="S164" s="674" t="n"/>
      <c r="T164" s="674" t="n"/>
      <c r="U164" s="674" t="n"/>
      <c r="V164" s="674" t="n"/>
      <c r="W164" s="674" t="n"/>
      <c r="X164" s="674" t="n"/>
      <c r="Z164" s="676" t="n"/>
      <c r="AA164" s="675" t="n"/>
      <c r="AB164" s="676" t="n"/>
      <c r="AC164" s="676" t="n"/>
      <c r="AG164" s="674" t="n"/>
      <c r="AH164" s="674" t="n"/>
      <c r="AI164" s="674" t="n"/>
      <c r="AJ164" s="674" t="n"/>
      <c r="AK164" s="674" t="n"/>
    </row>
    <row r="165">
      <c r="B165" s="676" t="n"/>
      <c r="D165" s="675" t="n"/>
      <c r="G165" s="676" t="n"/>
      <c r="H165" s="676" t="n"/>
      <c r="L165" s="674" t="n"/>
      <c r="M165" s="674" t="n"/>
      <c r="N165" s="674" t="n"/>
      <c r="O165" s="674" t="n"/>
      <c r="P165" s="674" t="n"/>
      <c r="Q165" s="674" t="n"/>
      <c r="R165" s="674" t="n"/>
      <c r="S165" s="674" t="n"/>
      <c r="T165" s="674" t="n"/>
      <c r="U165" s="674" t="n"/>
      <c r="V165" s="674" t="n"/>
      <c r="W165" s="674" t="n"/>
      <c r="X165" s="674" t="n"/>
      <c r="Z165" s="676" t="n"/>
      <c r="AA165" s="675" t="n"/>
      <c r="AB165" s="676" t="n"/>
      <c r="AC165" s="676" t="n"/>
      <c r="AG165" s="674" t="n"/>
      <c r="AH165" s="674" t="n"/>
      <c r="AI165" s="674" t="n"/>
      <c r="AJ165" s="674" t="n"/>
      <c r="AK165" s="674" t="n"/>
    </row>
    <row r="166">
      <c r="B166" s="676" t="n"/>
      <c r="D166" s="675" t="n"/>
      <c r="G166" s="676" t="n"/>
      <c r="H166" s="676" t="n"/>
      <c r="L166" s="674" t="n"/>
      <c r="M166" s="674" t="n"/>
      <c r="N166" s="674" t="n"/>
      <c r="O166" s="674" t="n"/>
      <c r="P166" s="674" t="n"/>
      <c r="Q166" s="674" t="n"/>
      <c r="R166" s="674" t="n"/>
      <c r="S166" s="674" t="n"/>
      <c r="T166" s="674" t="n"/>
      <c r="U166" s="674" t="n"/>
      <c r="V166" s="674" t="n"/>
      <c r="W166" s="674" t="n"/>
      <c r="X166" s="674" t="n"/>
      <c r="Z166" s="676" t="n"/>
      <c r="AA166" s="675" t="n"/>
      <c r="AB166" s="676" t="n"/>
      <c r="AC166" s="676" t="n"/>
      <c r="AG166" s="674" t="n"/>
      <c r="AH166" s="674" t="n"/>
      <c r="AI166" s="674" t="n"/>
      <c r="AJ166" s="674" t="n"/>
      <c r="AK166" s="674" t="n"/>
    </row>
    <row r="167">
      <c r="B167" s="676" t="n"/>
      <c r="D167" s="675" t="n"/>
      <c r="G167" s="676" t="n"/>
      <c r="H167" s="676" t="n"/>
      <c r="L167" s="674" t="n"/>
      <c r="M167" s="674" t="n"/>
      <c r="N167" s="674" t="n"/>
      <c r="O167" s="674" t="n"/>
      <c r="P167" s="674" t="n"/>
      <c r="Q167" s="674" t="n"/>
      <c r="R167" s="674" t="n"/>
      <c r="S167" s="674" t="n"/>
      <c r="T167" s="674" t="n"/>
      <c r="U167" s="674" t="n"/>
      <c r="V167" s="674" t="n"/>
      <c r="W167" s="674" t="n"/>
      <c r="X167" s="674" t="n"/>
      <c r="Z167" s="676" t="n"/>
      <c r="AA167" s="675" t="n"/>
      <c r="AB167" s="676" t="n"/>
      <c r="AC167" s="676" t="n"/>
      <c r="AG167" s="674" t="n"/>
      <c r="AH167" s="674" t="n"/>
      <c r="AI167" s="674" t="n"/>
      <c r="AJ167" s="674" t="n"/>
      <c r="AK167" s="674" t="n"/>
    </row>
    <row r="168">
      <c r="B168" s="676" t="n"/>
      <c r="D168" s="675" t="n"/>
      <c r="G168" s="676" t="n"/>
      <c r="H168" s="676" t="n"/>
      <c r="L168" s="674" t="n"/>
      <c r="M168" s="674" t="n"/>
      <c r="N168" s="674" t="n"/>
      <c r="O168" s="674" t="n"/>
      <c r="P168" s="674" t="n"/>
      <c r="Q168" s="674" t="n"/>
      <c r="R168" s="674" t="n"/>
      <c r="S168" s="674" t="n"/>
      <c r="T168" s="674" t="n"/>
      <c r="U168" s="674" t="n"/>
      <c r="V168" s="674" t="n"/>
      <c r="W168" s="674" t="n"/>
      <c r="X168" s="674" t="n"/>
      <c r="Z168" s="676" t="n"/>
      <c r="AA168" s="675" t="n"/>
      <c r="AB168" s="676" t="n"/>
      <c r="AC168" s="676" t="n"/>
      <c r="AG168" s="674" t="n"/>
      <c r="AH168" s="674" t="n"/>
      <c r="AI168" s="674" t="n"/>
      <c r="AJ168" s="674" t="n"/>
      <c r="AK168" s="674" t="n"/>
    </row>
    <row r="169">
      <c r="B169" s="676" t="n"/>
      <c r="D169" s="675" t="n"/>
      <c r="G169" s="676" t="n"/>
      <c r="H169" s="676" t="n"/>
      <c r="L169" s="674" t="n"/>
      <c r="M169" s="674" t="n"/>
      <c r="N169" s="674" t="n"/>
      <c r="O169" s="674" t="n"/>
      <c r="P169" s="674" t="n"/>
      <c r="Q169" s="674" t="n"/>
      <c r="R169" s="674" t="n"/>
      <c r="S169" s="674" t="n"/>
      <c r="T169" s="674" t="n"/>
      <c r="U169" s="674" t="n"/>
      <c r="V169" s="674" t="n"/>
      <c r="W169" s="674" t="n"/>
      <c r="X169" s="674" t="n"/>
      <c r="Y169" s="674" t="n"/>
      <c r="Z169" s="674" t="n"/>
      <c r="AA169" s="674" t="n"/>
      <c r="AB169" s="674" t="n"/>
      <c r="AC169" s="674" t="n"/>
      <c r="AD169" s="674" t="n"/>
      <c r="AE169" s="674" t="n"/>
      <c r="AF169" s="674" t="n"/>
      <c r="AG169" s="674" t="n"/>
      <c r="AH169" s="674" t="n"/>
      <c r="AI169" s="674" t="n"/>
      <c r="AJ169" s="674" t="n"/>
      <c r="AK169" s="674" t="n"/>
    </row>
    <row r="170">
      <c r="B170" s="676" t="n"/>
      <c r="D170" s="675" t="n"/>
      <c r="G170" s="676" t="n"/>
      <c r="H170" s="676" t="n"/>
      <c r="L170" s="674" t="n"/>
      <c r="M170" s="674" t="n"/>
      <c r="N170" s="674" t="n"/>
      <c r="O170" s="674" t="n"/>
      <c r="P170" s="674" t="n"/>
      <c r="Q170" s="674" t="n"/>
      <c r="R170" s="674" t="n"/>
      <c r="S170" s="674" t="n"/>
      <c r="T170" s="674" t="n"/>
      <c r="U170" s="674" t="n"/>
      <c r="V170" s="674" t="n"/>
      <c r="W170" s="674" t="n"/>
      <c r="X170" s="674" t="n"/>
      <c r="Y170" s="674" t="n"/>
      <c r="Z170" s="674" t="n"/>
      <c r="AA170" s="674" t="n"/>
      <c r="AB170" s="674" t="n"/>
      <c r="AC170" s="674" t="n"/>
      <c r="AD170" s="674" t="n"/>
      <c r="AE170" s="674" t="n"/>
      <c r="AF170" s="674" t="n"/>
      <c r="AG170" s="674" t="n"/>
      <c r="AH170" s="674" t="n"/>
      <c r="AI170" s="674" t="n"/>
      <c r="AJ170" s="674" t="n"/>
      <c r="AK170" s="674" t="n"/>
    </row>
    <row r="171">
      <c r="B171" s="676" t="n"/>
      <c r="D171" s="675" t="n"/>
      <c r="G171" s="676" t="n"/>
      <c r="H171" s="676" t="n"/>
      <c r="L171" s="674" t="n"/>
      <c r="M171" s="674" t="n"/>
      <c r="N171" s="674" t="n"/>
      <c r="O171" s="674" t="n"/>
      <c r="P171" s="674" t="n"/>
      <c r="Q171" s="674" t="n"/>
      <c r="R171" s="674" t="n"/>
      <c r="S171" s="674" t="n"/>
      <c r="T171" s="674" t="n"/>
      <c r="U171" s="674" t="n"/>
      <c r="V171" s="674" t="n"/>
      <c r="W171" s="674" t="n"/>
      <c r="X171" s="674" t="n"/>
      <c r="Y171" s="674" t="n"/>
      <c r="Z171" s="674" t="n"/>
      <c r="AA171" s="674" t="n"/>
      <c r="AB171" s="674" t="n"/>
      <c r="AC171" s="674" t="n"/>
      <c r="AD171" s="674" t="n"/>
      <c r="AE171" s="674" t="n"/>
      <c r="AF171" s="674" t="n"/>
      <c r="AG171" s="674" t="n"/>
      <c r="AH171" s="674" t="n"/>
      <c r="AI171" s="674" t="n"/>
      <c r="AJ171" s="674" t="n"/>
      <c r="AK171" s="674" t="n"/>
    </row>
    <row r="172">
      <c r="B172" s="676" t="n"/>
      <c r="D172" s="675" t="n"/>
      <c r="G172" s="676" t="n"/>
      <c r="H172" s="676" t="n"/>
      <c r="L172" s="674" t="n"/>
      <c r="M172" s="674" t="n"/>
      <c r="N172" s="674" t="n"/>
      <c r="O172" s="674" t="n"/>
      <c r="P172" s="674" t="n"/>
      <c r="Q172" s="674" t="n"/>
      <c r="R172" s="674" t="n"/>
      <c r="S172" s="674" t="n"/>
      <c r="T172" s="674" t="n"/>
      <c r="U172" s="674" t="n"/>
      <c r="V172" s="674" t="n"/>
      <c r="W172" s="674" t="n"/>
      <c r="X172" s="674" t="n"/>
      <c r="Y172" s="674" t="n"/>
      <c r="Z172" s="674" t="n"/>
      <c r="AA172" s="674" t="n"/>
      <c r="AB172" s="674" t="n"/>
      <c r="AC172" s="674" t="n"/>
      <c r="AD172" s="674" t="n"/>
      <c r="AE172" s="674" t="n"/>
      <c r="AF172" s="674" t="n"/>
      <c r="AG172" s="674" t="n"/>
      <c r="AH172" s="674" t="n"/>
      <c r="AI172" s="674" t="n"/>
      <c r="AJ172" s="674" t="n"/>
      <c r="AK172" s="674" t="n"/>
    </row>
    <row r="173">
      <c r="B173" s="676" t="n"/>
      <c r="D173" s="675" t="n"/>
      <c r="G173" s="676" t="n"/>
      <c r="H173" s="676" t="n"/>
      <c r="L173" s="674" t="n"/>
      <c r="M173" s="674" t="n"/>
      <c r="N173" s="674" t="n"/>
      <c r="O173" s="674" t="n"/>
      <c r="P173" s="674" t="n"/>
      <c r="Q173" s="674" t="n"/>
      <c r="R173" s="674" t="n"/>
      <c r="S173" s="674" t="n"/>
      <c r="T173" s="674" t="n"/>
      <c r="U173" s="674" t="n"/>
      <c r="V173" s="674" t="n"/>
      <c r="W173" s="674" t="n"/>
      <c r="X173" s="674" t="n"/>
      <c r="Y173" s="674" t="n"/>
      <c r="Z173" s="674" t="n"/>
      <c r="AA173" s="674" t="n"/>
      <c r="AB173" s="674" t="n"/>
      <c r="AC173" s="674" t="n"/>
      <c r="AD173" s="674" t="n"/>
      <c r="AE173" s="674" t="n"/>
      <c r="AF173" s="674" t="n"/>
      <c r="AG173" s="674" t="n"/>
      <c r="AH173" s="674" t="n"/>
      <c r="AI173" s="674" t="n"/>
      <c r="AJ173" s="674" t="n"/>
      <c r="AK173" s="674" t="n"/>
    </row>
    <row r="174">
      <c r="B174" s="676" t="n"/>
      <c r="D174" s="675" t="n"/>
      <c r="G174" s="676" t="n"/>
      <c r="H174" s="676" t="n"/>
      <c r="L174" s="674" t="n"/>
      <c r="M174" s="674" t="n"/>
      <c r="N174" s="674" t="n"/>
      <c r="O174" s="674" t="n"/>
      <c r="P174" s="674" t="n"/>
      <c r="Q174" s="674" t="n"/>
      <c r="R174" s="674" t="n"/>
      <c r="S174" s="674" t="n"/>
      <c r="T174" s="674" t="n"/>
      <c r="U174" s="674" t="n"/>
      <c r="V174" s="674" t="n"/>
      <c r="W174" s="674" t="n"/>
      <c r="X174" s="674" t="n"/>
      <c r="Y174" s="674" t="n"/>
      <c r="Z174" s="674" t="n"/>
      <c r="AA174" s="674" t="n"/>
      <c r="AB174" s="674" t="n"/>
      <c r="AC174" s="674" t="n"/>
      <c r="AD174" s="674" t="n"/>
      <c r="AE174" s="674" t="n"/>
      <c r="AF174" s="674" t="n"/>
      <c r="AG174" s="674" t="n"/>
      <c r="AH174" s="674" t="n"/>
      <c r="AI174" s="674" t="n"/>
      <c r="AJ174" s="674" t="n"/>
      <c r="AK174" s="674" t="n"/>
    </row>
    <row r="175">
      <c r="B175" s="676" t="n"/>
      <c r="D175" s="675" t="n"/>
      <c r="G175" s="676" t="n"/>
      <c r="H175" s="676" t="n"/>
      <c r="L175" s="674" t="n"/>
      <c r="M175" s="674" t="n"/>
      <c r="N175" s="674" t="n"/>
      <c r="O175" s="674" t="n"/>
      <c r="P175" s="674" t="n"/>
      <c r="Q175" s="674" t="n"/>
      <c r="R175" s="674" t="n"/>
      <c r="S175" s="674" t="n"/>
      <c r="T175" s="674" t="n"/>
      <c r="U175" s="674" t="n"/>
      <c r="V175" s="674" t="n"/>
      <c r="W175" s="674" t="n"/>
      <c r="X175" s="674" t="n"/>
      <c r="Y175" s="674" t="n"/>
      <c r="Z175" s="674" t="n"/>
      <c r="AA175" s="674" t="n"/>
      <c r="AB175" s="674" t="n"/>
      <c r="AC175" s="674" t="n"/>
      <c r="AD175" s="674" t="n"/>
      <c r="AE175" s="674" t="n"/>
      <c r="AF175" s="674" t="n"/>
      <c r="AG175" s="674" t="n"/>
      <c r="AH175" s="674" t="n"/>
      <c r="AI175" s="674" t="n"/>
      <c r="AJ175" s="674" t="n"/>
      <c r="AK175" s="674" t="n"/>
    </row>
    <row r="176">
      <c r="B176" s="676" t="n"/>
      <c r="D176" s="675" t="n"/>
      <c r="G176" s="676" t="n"/>
      <c r="H176" s="676" t="n"/>
      <c r="L176" s="674" t="n"/>
      <c r="M176" s="674" t="n"/>
      <c r="N176" s="674" t="n"/>
      <c r="O176" s="674" t="n"/>
      <c r="P176" s="674" t="n"/>
      <c r="Q176" s="674" t="n"/>
      <c r="R176" s="674" t="n"/>
      <c r="S176" s="674" t="n"/>
      <c r="T176" s="674" t="n"/>
      <c r="U176" s="674" t="n"/>
      <c r="V176" s="674" t="n"/>
      <c r="W176" s="674" t="n"/>
      <c r="X176" s="674" t="n"/>
      <c r="Y176" s="674" t="n"/>
      <c r="Z176" s="674" t="n"/>
      <c r="AA176" s="674" t="n"/>
      <c r="AB176" s="674" t="n"/>
      <c r="AC176" s="674" t="n"/>
      <c r="AD176" s="674" t="n"/>
      <c r="AE176" s="674" t="n"/>
      <c r="AF176" s="674" t="n"/>
      <c r="AG176" s="674" t="n"/>
      <c r="AH176" s="674" t="n"/>
      <c r="AI176" s="674" t="n"/>
      <c r="AJ176" s="674" t="n"/>
      <c r="AK176" s="674" t="n"/>
    </row>
    <row r="177">
      <c r="B177" s="676" t="n"/>
      <c r="D177" s="675" t="n"/>
      <c r="G177" s="676" t="n"/>
      <c r="H177" s="676" t="n"/>
      <c r="L177" s="674" t="n"/>
      <c r="M177" s="674" t="n"/>
      <c r="N177" s="674" t="n"/>
      <c r="O177" s="674" t="n"/>
      <c r="P177" s="674" t="n"/>
      <c r="Q177" s="674" t="n"/>
      <c r="R177" s="674" t="n"/>
      <c r="S177" s="674" t="n"/>
      <c r="T177" s="674" t="n"/>
      <c r="U177" s="674" t="n"/>
      <c r="V177" s="674" t="n"/>
      <c r="W177" s="674" t="n"/>
      <c r="X177" s="674" t="n"/>
      <c r="Y177" s="674" t="n"/>
      <c r="Z177" s="674" t="n"/>
      <c r="AA177" s="674" t="n"/>
      <c r="AB177" s="674" t="n"/>
      <c r="AC177" s="674" t="n"/>
      <c r="AD177" s="674" t="n"/>
      <c r="AE177" s="674" t="n"/>
      <c r="AF177" s="674" t="n"/>
      <c r="AG177" s="674" t="n"/>
      <c r="AH177" s="674" t="n"/>
      <c r="AI177" s="674" t="n"/>
      <c r="AJ177" s="674" t="n"/>
      <c r="AK177" s="674" t="n"/>
    </row>
    <row r="178">
      <c r="B178" s="676" t="n"/>
      <c r="D178" s="675" t="n"/>
      <c r="G178" s="676" t="n"/>
      <c r="H178" s="676" t="n"/>
      <c r="L178" s="674" t="n"/>
      <c r="M178" s="674" t="n"/>
      <c r="N178" s="674" t="n"/>
      <c r="O178" s="674" t="n"/>
      <c r="P178" s="674" t="n"/>
      <c r="Q178" s="674" t="n"/>
      <c r="R178" s="674" t="n"/>
      <c r="S178" s="674" t="n"/>
      <c r="T178" s="674" t="n"/>
      <c r="U178" s="674" t="n"/>
      <c r="V178" s="674" t="n"/>
      <c r="W178" s="674" t="n"/>
      <c r="X178" s="674" t="n"/>
      <c r="Y178" s="674" t="n"/>
      <c r="Z178" s="674" t="n"/>
      <c r="AA178" s="674" t="n"/>
      <c r="AB178" s="674" t="n"/>
      <c r="AC178" s="674" t="n"/>
      <c r="AD178" s="674" t="n"/>
      <c r="AE178" s="674" t="n"/>
      <c r="AF178" s="674" t="n"/>
      <c r="AG178" s="674" t="n"/>
      <c r="AH178" s="674" t="n"/>
      <c r="AI178" s="674" t="n"/>
      <c r="AJ178" s="674" t="n"/>
      <c r="AK178" s="674" t="n"/>
    </row>
    <row r="179">
      <c r="B179" s="676" t="n"/>
      <c r="D179" s="675" t="n"/>
      <c r="G179" s="676" t="n"/>
      <c r="H179" s="676" t="n"/>
      <c r="L179" s="674" t="n"/>
      <c r="M179" s="674" t="n"/>
      <c r="N179" s="674" t="n"/>
      <c r="O179" s="674" t="n"/>
      <c r="P179" s="674" t="n"/>
      <c r="Q179" s="674" t="n"/>
      <c r="R179" s="674" t="n"/>
      <c r="S179" s="674" t="n"/>
      <c r="T179" s="674" t="n"/>
      <c r="U179" s="674" t="n"/>
      <c r="V179" s="674" t="n"/>
      <c r="W179" s="674" t="n"/>
      <c r="X179" s="674" t="n"/>
      <c r="Y179" s="674" t="n"/>
      <c r="Z179" s="674" t="n"/>
      <c r="AA179" s="674" t="n"/>
      <c r="AB179" s="674" t="n"/>
      <c r="AC179" s="674" t="n"/>
      <c r="AD179" s="674" t="n"/>
      <c r="AE179" s="674" t="n"/>
      <c r="AF179" s="674" t="n"/>
      <c r="AG179" s="674" t="n"/>
      <c r="AH179" s="674" t="n"/>
      <c r="AI179" s="674" t="n"/>
      <c r="AJ179" s="674" t="n"/>
      <c r="AK179" s="674" t="n"/>
    </row>
    <row r="180">
      <c r="B180" s="676" t="n"/>
      <c r="D180" s="675" t="n"/>
      <c r="G180" s="676" t="n"/>
      <c r="H180" s="676" t="n"/>
      <c r="L180" s="674" t="n"/>
      <c r="M180" s="674" t="n"/>
      <c r="N180" s="674" t="n"/>
      <c r="O180" s="674" t="n"/>
      <c r="P180" s="674" t="n"/>
      <c r="Q180" s="674" t="n"/>
      <c r="R180" s="674" t="n"/>
      <c r="S180" s="674" t="n"/>
      <c r="T180" s="674" t="n"/>
      <c r="U180" s="674" t="n"/>
      <c r="V180" s="674" t="n"/>
      <c r="W180" s="674" t="n"/>
      <c r="X180" s="674" t="n"/>
      <c r="Y180" s="674" t="n"/>
      <c r="Z180" s="674" t="n"/>
      <c r="AA180" s="674" t="n"/>
      <c r="AB180" s="674" t="n"/>
      <c r="AC180" s="674" t="n"/>
      <c r="AD180" s="674" t="n"/>
      <c r="AE180" s="674" t="n"/>
      <c r="AF180" s="674" t="n"/>
      <c r="AG180" s="674" t="n"/>
      <c r="AH180" s="674" t="n"/>
      <c r="AI180" s="674" t="n"/>
      <c r="AJ180" s="674" t="n"/>
      <c r="AK180" s="674" t="n"/>
    </row>
    <row r="181">
      <c r="B181" s="676" t="n"/>
      <c r="D181" s="675" t="n"/>
      <c r="G181" s="676" t="n"/>
      <c r="H181" s="676" t="n"/>
      <c r="L181" s="674" t="n"/>
      <c r="M181" s="674" t="n"/>
      <c r="N181" s="674" t="n"/>
      <c r="O181" s="674" t="n"/>
      <c r="P181" s="674" t="n"/>
      <c r="Q181" s="674" t="n"/>
      <c r="R181" s="674" t="n"/>
      <c r="S181" s="674" t="n"/>
      <c r="T181" s="674" t="n"/>
      <c r="U181" s="674" t="n"/>
      <c r="V181" s="674" t="n"/>
      <c r="W181" s="674" t="n"/>
      <c r="X181" s="674" t="n"/>
      <c r="Y181" s="674" t="n"/>
      <c r="Z181" s="674" t="n"/>
      <c r="AA181" s="674" t="n"/>
      <c r="AB181" s="674" t="n"/>
      <c r="AC181" s="674" t="n"/>
      <c r="AD181" s="674" t="n"/>
      <c r="AE181" s="674" t="n"/>
      <c r="AF181" s="674" t="n"/>
      <c r="AG181" s="674" t="n"/>
      <c r="AH181" s="674" t="n"/>
      <c r="AI181" s="674" t="n"/>
      <c r="AJ181" s="674" t="n"/>
      <c r="AK181" s="674" t="n"/>
    </row>
    <row r="182">
      <c r="B182" s="676" t="n"/>
      <c r="D182" s="675" t="n"/>
      <c r="G182" s="676" t="n"/>
      <c r="H182" s="676" t="n"/>
      <c r="L182" s="674" t="n"/>
      <c r="M182" s="674" t="n"/>
      <c r="N182" s="674" t="n"/>
      <c r="O182" s="674" t="n"/>
      <c r="P182" s="674" t="n"/>
      <c r="Q182" s="674" t="n"/>
      <c r="R182" s="674" t="n"/>
      <c r="S182" s="674" t="n"/>
      <c r="T182" s="674" t="n"/>
      <c r="U182" s="674" t="n"/>
      <c r="V182" s="674" t="n"/>
      <c r="W182" s="674" t="n"/>
      <c r="X182" s="674" t="n"/>
      <c r="Y182" s="674" t="n"/>
      <c r="Z182" s="674" t="n"/>
      <c r="AA182" s="674" t="n"/>
      <c r="AB182" s="674" t="n"/>
      <c r="AC182" s="674" t="n"/>
      <c r="AD182" s="674" t="n"/>
      <c r="AE182" s="674" t="n"/>
      <c r="AF182" s="674" t="n"/>
      <c r="AG182" s="674" t="n"/>
      <c r="AH182" s="674" t="n"/>
      <c r="AI182" s="674" t="n"/>
      <c r="AJ182" s="674" t="n"/>
      <c r="AK182" s="674" t="n"/>
    </row>
    <row r="183">
      <c r="B183" s="676" t="n"/>
      <c r="D183" s="675" t="n"/>
      <c r="G183" s="676" t="n"/>
      <c r="H183" s="676" t="n"/>
      <c r="L183" s="674" t="n"/>
      <c r="M183" s="674" t="n"/>
      <c r="N183" s="674" t="n"/>
      <c r="O183" s="674" t="n"/>
      <c r="P183" s="674" t="n"/>
      <c r="Q183" s="674" t="n"/>
      <c r="R183" s="674" t="n"/>
      <c r="S183" s="674" t="n"/>
      <c r="T183" s="674" t="n"/>
      <c r="U183" s="674" t="n"/>
      <c r="V183" s="674" t="n"/>
      <c r="W183" s="674" t="n"/>
      <c r="X183" s="674" t="n"/>
      <c r="Y183" s="674" t="n"/>
      <c r="Z183" s="674" t="n"/>
      <c r="AA183" s="674" t="n"/>
      <c r="AB183" s="674" t="n"/>
      <c r="AC183" s="674" t="n"/>
      <c r="AD183" s="674" t="n"/>
      <c r="AE183" s="674" t="n"/>
      <c r="AF183" s="674" t="n"/>
      <c r="AG183" s="674" t="n"/>
      <c r="AH183" s="674" t="n"/>
      <c r="AI183" s="674" t="n"/>
      <c r="AJ183" s="674" t="n"/>
      <c r="AK183" s="674" t="n"/>
    </row>
    <row r="184">
      <c r="B184" s="676" t="n"/>
      <c r="D184" s="675" t="n"/>
      <c r="G184" s="676" t="n"/>
      <c r="H184" s="676" t="n"/>
      <c r="L184" s="674" t="n"/>
      <c r="M184" s="674" t="n"/>
      <c r="N184" s="674" t="n"/>
      <c r="O184" s="674" t="n"/>
      <c r="P184" s="674" t="n"/>
      <c r="Q184" s="674" t="n"/>
      <c r="R184" s="674" t="n"/>
      <c r="S184" s="674" t="n"/>
      <c r="T184" s="674" t="n"/>
      <c r="U184" s="674" t="n"/>
      <c r="V184" s="674" t="n"/>
      <c r="W184" s="674" t="n"/>
      <c r="X184" s="674" t="n"/>
      <c r="Y184" s="674" t="n"/>
      <c r="Z184" s="674" t="n"/>
      <c r="AA184" s="674" t="n"/>
      <c r="AB184" s="674" t="n"/>
      <c r="AC184" s="674" t="n"/>
      <c r="AD184" s="674" t="n"/>
      <c r="AE184" s="674" t="n"/>
      <c r="AF184" s="674" t="n"/>
      <c r="AG184" s="674" t="n"/>
      <c r="AH184" s="674" t="n"/>
      <c r="AI184" s="674" t="n"/>
      <c r="AJ184" s="674" t="n"/>
      <c r="AK184" s="674" t="n"/>
    </row>
    <row r="185">
      <c r="B185" s="676" t="n"/>
      <c r="D185" s="675" t="n"/>
      <c r="G185" s="676" t="n"/>
      <c r="H185" s="676" t="n"/>
      <c r="L185" s="674" t="n"/>
      <c r="M185" s="674" t="n"/>
      <c r="N185" s="674" t="n"/>
      <c r="O185" s="674" t="n"/>
      <c r="P185" s="674" t="n"/>
      <c r="Q185" s="674" t="n"/>
      <c r="R185" s="674" t="n"/>
      <c r="S185" s="674" t="n"/>
      <c r="T185" s="674" t="n"/>
      <c r="U185" s="674" t="n"/>
      <c r="V185" s="674" t="n"/>
      <c r="W185" s="674" t="n"/>
      <c r="X185" s="674" t="n"/>
      <c r="Y185" s="674" t="n"/>
      <c r="Z185" s="674" t="n"/>
      <c r="AA185" s="674" t="n"/>
      <c r="AB185" s="674" t="n"/>
      <c r="AC185" s="674" t="n"/>
      <c r="AD185" s="674" t="n"/>
      <c r="AE185" s="674" t="n"/>
      <c r="AF185" s="674" t="n"/>
      <c r="AG185" s="674" t="n"/>
      <c r="AH185" s="674" t="n"/>
      <c r="AI185" s="674" t="n"/>
      <c r="AJ185" s="674" t="n"/>
      <c r="AK185" s="674" t="n"/>
    </row>
    <row r="186">
      <c r="B186" s="676" t="n"/>
      <c r="D186" s="675" t="n"/>
      <c r="G186" s="676" t="n"/>
      <c r="H186" s="676" t="n"/>
      <c r="L186" s="674" t="n"/>
      <c r="M186" s="674" t="n"/>
      <c r="N186" s="674" t="n"/>
      <c r="O186" s="674" t="n"/>
      <c r="P186" s="674" t="n"/>
      <c r="Q186" s="674" t="n"/>
      <c r="R186" s="674" t="n"/>
      <c r="S186" s="674" t="n"/>
      <c r="T186" s="674" t="n"/>
      <c r="U186" s="674" t="n"/>
      <c r="V186" s="674" t="n"/>
      <c r="W186" s="674" t="n"/>
      <c r="X186" s="674" t="n"/>
      <c r="Y186" s="674" t="n"/>
      <c r="Z186" s="674" t="n"/>
      <c r="AA186" s="674" t="n"/>
      <c r="AB186" s="674" t="n"/>
      <c r="AC186" s="674" t="n"/>
      <c r="AD186" s="674" t="n"/>
      <c r="AE186" s="674" t="n"/>
      <c r="AF186" s="674" t="n"/>
      <c r="AG186" s="674" t="n"/>
      <c r="AH186" s="674" t="n"/>
      <c r="AI186" s="674" t="n"/>
      <c r="AJ186" s="674" t="n"/>
      <c r="AK186" s="674" t="n"/>
    </row>
    <row r="187">
      <c r="B187" s="676" t="n"/>
      <c r="D187" s="675" t="n"/>
      <c r="G187" s="676" t="n"/>
      <c r="H187" s="676" t="n"/>
      <c r="L187" s="674" t="n"/>
      <c r="M187" s="674" t="n"/>
      <c r="N187" s="674" t="n"/>
      <c r="O187" s="674" t="n"/>
      <c r="P187" s="674" t="n"/>
      <c r="Q187" s="674" t="n"/>
      <c r="R187" s="674" t="n"/>
      <c r="S187" s="674" t="n"/>
      <c r="T187" s="674" t="n"/>
      <c r="U187" s="674" t="n"/>
      <c r="V187" s="674" t="n"/>
      <c r="W187" s="674" t="n"/>
      <c r="X187" s="674" t="n"/>
      <c r="Y187" s="674" t="n"/>
      <c r="Z187" s="674" t="n"/>
      <c r="AA187" s="674" t="n"/>
      <c r="AB187" s="674" t="n"/>
      <c r="AC187" s="674" t="n"/>
      <c r="AD187" s="674" t="n"/>
      <c r="AE187" s="674" t="n"/>
      <c r="AF187" s="674" t="n"/>
      <c r="AG187" s="674" t="n"/>
      <c r="AH187" s="674" t="n"/>
      <c r="AI187" s="674" t="n"/>
      <c r="AJ187" s="674" t="n"/>
      <c r="AK187" s="674" t="n"/>
    </row>
    <row r="188">
      <c r="B188" s="676" t="n"/>
      <c r="D188" s="675" t="n"/>
      <c r="G188" s="676" t="n"/>
      <c r="H188" s="676" t="n"/>
      <c r="L188" s="674" t="n"/>
      <c r="M188" s="674" t="n"/>
      <c r="N188" s="674" t="n"/>
      <c r="O188" s="674" t="n"/>
      <c r="P188" s="674" t="n"/>
      <c r="Q188" s="674" t="n"/>
      <c r="R188" s="674" t="n"/>
      <c r="S188" s="674" t="n"/>
      <c r="T188" s="674" t="n"/>
      <c r="U188" s="674" t="n"/>
      <c r="V188" s="674" t="n"/>
      <c r="W188" s="674" t="n"/>
      <c r="X188" s="674" t="n"/>
      <c r="Y188" s="674" t="n"/>
      <c r="Z188" s="674" t="n"/>
      <c r="AA188" s="674" t="n"/>
      <c r="AB188" s="674" t="n"/>
      <c r="AC188" s="674" t="n"/>
      <c r="AD188" s="674" t="n"/>
      <c r="AE188" s="674" t="n"/>
      <c r="AF188" s="674" t="n"/>
      <c r="AG188" s="674" t="n"/>
      <c r="AH188" s="674" t="n"/>
      <c r="AI188" s="674" t="n"/>
      <c r="AJ188" s="674" t="n"/>
      <c r="AK188" s="674" t="n"/>
    </row>
    <row r="189" ht="17" customHeight="1">
      <c r="B189" s="676" t="n"/>
      <c r="D189" s="675" t="n"/>
      <c r="G189" s="676" t="n"/>
      <c r="H189" s="676" t="n"/>
      <c r="L189" s="674" t="n"/>
      <c r="M189" s="674" t="n"/>
      <c r="N189" s="674" t="n"/>
      <c r="O189" s="674" t="n"/>
      <c r="P189" s="674" t="n"/>
      <c r="Q189" s="674" t="n"/>
      <c r="R189" s="674" t="n"/>
      <c r="S189" s="674" t="n"/>
      <c r="T189" s="674" t="n"/>
      <c r="U189" s="674" t="n"/>
      <c r="V189" s="674" t="n"/>
      <c r="W189" s="674" t="n"/>
      <c r="X189" s="674" t="n"/>
      <c r="Y189" s="674" t="n"/>
      <c r="Z189" s="674" t="n"/>
      <c r="AA189" s="674" t="n"/>
      <c r="AB189" s="674" t="n"/>
      <c r="AC189" s="674" t="n"/>
      <c r="AD189" s="674" t="n"/>
      <c r="AE189" s="674" t="n"/>
      <c r="AF189" s="674" t="n"/>
      <c r="AG189" s="674" t="n"/>
      <c r="AH189" s="674" t="n"/>
      <c r="AI189" s="674" t="n"/>
      <c r="AJ189" s="60" t="inlineStr">
        <is>
          <t>Remarks</t>
        </is>
      </c>
      <c r="AK189" s="709" t="n"/>
      <c r="AL189" s="709" t="n"/>
      <c r="AM189" s="709" t="n"/>
      <c r="AN189" s="709" t="n"/>
      <c r="AO189" s="709" t="n"/>
      <c r="AP189" s="709" t="n"/>
      <c r="AQ189" s="709" t="n"/>
      <c r="AR189" s="709" t="n"/>
      <c r="AS189" s="675" t="n"/>
      <c r="AT189" s="709" t="n"/>
      <c r="AU189" s="710" t="n"/>
    </row>
    <row r="190">
      <c r="B190" s="676" t="n"/>
      <c r="D190" s="675" t="n"/>
      <c r="G190" s="676" t="n"/>
      <c r="H190" s="676" t="n"/>
      <c r="L190" s="674" t="n"/>
      <c r="M190" s="674" t="n"/>
      <c r="N190" s="674" t="n"/>
      <c r="O190" s="674" t="n"/>
      <c r="P190" s="674" t="n"/>
      <c r="Q190" s="674" t="n"/>
      <c r="R190" s="674" t="n"/>
      <c r="S190" s="674" t="n"/>
      <c r="T190" s="674" t="n"/>
      <c r="U190" s="674" t="n"/>
      <c r="V190" s="674" t="n"/>
      <c r="W190" s="674" t="n"/>
      <c r="X190" s="674" t="n"/>
      <c r="Y190" s="674" t="n"/>
      <c r="Z190" s="674" t="n"/>
      <c r="AA190" s="674" t="n"/>
      <c r="AB190" s="674" t="n"/>
      <c r="AC190" s="674" t="n"/>
      <c r="AD190" s="674" t="n"/>
      <c r="AE190" s="674" t="n"/>
      <c r="AF190" s="674" t="n"/>
      <c r="AG190" s="674" t="n"/>
      <c r="AH190" s="674" t="n"/>
      <c r="AI190" s="674" t="n"/>
      <c r="AJ190" s="59" t="n"/>
      <c r="AK190" s="711" t="inlineStr">
        <is>
          <t>1) Glass recycling programme launched in Aug 14.</t>
        </is>
      </c>
      <c r="AO190" s="711" t="n"/>
      <c r="AP190" s="711" t="n"/>
      <c r="AQ190" s="711" t="n"/>
      <c r="AR190" s="711" t="n"/>
      <c r="AS190" s="675" t="n"/>
      <c r="AT190" s="711" t="n"/>
      <c r="AU190" s="711" t="n"/>
    </row>
    <row r="191">
      <c r="B191" s="676" t="n"/>
      <c r="D191" s="675" t="n"/>
      <c r="G191" s="676" t="n"/>
      <c r="H191" s="676" t="n"/>
      <c r="L191" s="674" t="n"/>
      <c r="M191" s="674" t="n"/>
      <c r="N191" s="674" t="n"/>
      <c r="O191" s="674" t="n"/>
      <c r="P191" s="674" t="n"/>
      <c r="Q191" s="674" t="n"/>
      <c r="R191" s="674" t="n"/>
      <c r="S191" s="674" t="n"/>
      <c r="T191" s="674" t="n"/>
      <c r="U191" s="674" t="n"/>
      <c r="V191" s="674" t="n"/>
      <c r="W191" s="674" t="n"/>
      <c r="X191" s="674" t="n"/>
      <c r="Y191" s="674" t="n"/>
      <c r="Z191" s="674" t="n"/>
      <c r="AA191" s="674" t="n"/>
      <c r="AB191" s="674" t="n"/>
      <c r="AC191" s="674" t="n"/>
      <c r="AD191" s="674" t="n"/>
      <c r="AE191" s="674" t="n"/>
      <c r="AF191" s="674" t="n"/>
      <c r="AG191" s="674" t="n"/>
      <c r="AH191" s="674" t="n"/>
      <c r="AI191" s="674" t="n"/>
      <c r="AJ191" s="59" t="n"/>
      <c r="AK191" s="711" t="inlineStr">
        <is>
          <t>2) Clothes recycling programme launched in Oct 14.</t>
        </is>
      </c>
      <c r="AO191" s="711" t="n"/>
      <c r="AP191" s="711" t="n"/>
      <c r="AQ191" s="711" t="n"/>
      <c r="AR191" s="711" t="n"/>
      <c r="AS191" s="675" t="n"/>
      <c r="AT191" s="711" t="n"/>
      <c r="AU191" s="711" t="n"/>
    </row>
    <row r="192">
      <c r="B192" s="676" t="n"/>
      <c r="D192" s="675" t="n"/>
      <c r="G192" s="676" t="n"/>
      <c r="H192" s="676" t="n"/>
      <c r="L192" s="674" t="n"/>
      <c r="M192" s="674" t="n"/>
      <c r="N192" s="674" t="n"/>
      <c r="O192" s="674" t="n"/>
      <c r="P192" s="674" t="n"/>
      <c r="Q192" s="674" t="n"/>
      <c r="R192" s="674" t="n"/>
      <c r="S192" s="674" t="n"/>
      <c r="T192" s="674" t="n"/>
      <c r="U192" s="674" t="n"/>
      <c r="V192" s="674" t="n"/>
      <c r="W192" s="674" t="n"/>
      <c r="X192" s="674" t="n"/>
      <c r="Y192" s="674" t="n"/>
      <c r="Z192" s="674" t="n"/>
      <c r="AA192" s="674" t="n"/>
      <c r="AB192" s="674" t="n"/>
      <c r="AC192" s="674" t="n"/>
      <c r="AD192" s="674" t="n"/>
      <c r="AE192" s="674" t="n"/>
      <c r="AF192" s="674" t="n"/>
      <c r="AG192" s="674" t="n"/>
      <c r="AH192" s="674" t="n"/>
      <c r="AI192" s="674" t="n"/>
      <c r="AJ192" s="59" t="n"/>
      <c r="AK192" s="711" t="inlineStr">
        <is>
          <t>3) Electrical appliance collection record started in Oct 14.</t>
        </is>
      </c>
      <c r="AO192" s="711" t="n"/>
      <c r="AP192" s="711" t="n"/>
      <c r="AQ192" s="711" t="n"/>
      <c r="AR192" s="711" t="n"/>
      <c r="AS192" s="675" t="n"/>
      <c r="AT192" s="711" t="n"/>
      <c r="AU192" s="711" t="n"/>
    </row>
    <row r="193">
      <c r="B193" s="676" t="n"/>
      <c r="D193" s="675" t="n"/>
      <c r="G193" s="676" t="n"/>
      <c r="H193" s="676" t="n"/>
      <c r="L193" s="674" t="n"/>
      <c r="M193" s="674" t="n"/>
      <c r="N193" s="674" t="n"/>
      <c r="O193" s="674" t="n"/>
      <c r="P193" s="674" t="n"/>
      <c r="Q193" s="674" t="n"/>
      <c r="R193" s="674" t="n"/>
      <c r="S193" s="674" t="n"/>
      <c r="T193" s="674" t="n"/>
      <c r="U193" s="674" t="n"/>
      <c r="V193" s="674" t="n"/>
      <c r="W193" s="674" t="n"/>
      <c r="X193" s="674" t="n"/>
      <c r="Y193" s="674" t="n"/>
      <c r="Z193" s="674" t="n"/>
      <c r="AA193" s="674" t="n"/>
      <c r="AB193" s="674" t="n"/>
      <c r="AC193" s="674" t="n"/>
      <c r="AD193" s="674" t="n"/>
      <c r="AE193" s="674" t="n"/>
      <c r="AF193" s="674" t="n"/>
      <c r="AG193" s="674" t="n"/>
      <c r="AH193" s="674" t="n"/>
      <c r="AI193" s="674" t="n"/>
      <c r="AJ193" s="59" t="n"/>
      <c r="AK193" s="711" t="inlineStr">
        <is>
          <t>3) Trash record started in Jul 15.</t>
        </is>
      </c>
      <c r="AN193" s="711" t="n"/>
      <c r="AO193" s="711" t="n"/>
      <c r="AP193" s="711" t="n"/>
      <c r="AQ193" s="711" t="n"/>
      <c r="AR193" s="711" t="n"/>
      <c r="AS193" s="675" t="n"/>
      <c r="AT193" s="711" t="n"/>
      <c r="AU193" s="711" t="n"/>
    </row>
    <row r="194">
      <c r="B194" s="676" t="n"/>
      <c r="D194" s="675" t="n"/>
      <c r="G194" s="676" t="n"/>
      <c r="H194" s="676" t="n"/>
      <c r="L194" s="674" t="n"/>
      <c r="M194" s="674" t="n"/>
      <c r="N194" s="674" t="n"/>
      <c r="O194" s="674" t="n"/>
      <c r="P194" s="674" t="n"/>
      <c r="Q194" s="674" t="n"/>
      <c r="R194" s="674" t="n"/>
      <c r="S194" s="674" t="n"/>
      <c r="T194" s="674" t="n"/>
      <c r="U194" s="674" t="n"/>
      <c r="V194" s="674" t="n"/>
      <c r="W194" s="674" t="n"/>
      <c r="X194" s="674" t="n"/>
      <c r="Y194" s="674" t="n"/>
      <c r="Z194" s="674" t="n"/>
      <c r="AA194" s="674" t="n"/>
      <c r="AB194" s="674" t="n"/>
      <c r="AC194" s="674" t="n"/>
      <c r="AD194" s="674" t="n"/>
      <c r="AE194" s="674" t="n"/>
      <c r="AF194" s="674" t="n"/>
      <c r="AG194" s="674" t="n"/>
      <c r="AH194" s="674" t="n"/>
      <c r="AI194" s="674" t="n"/>
      <c r="AJ194" s="59" t="n"/>
      <c r="AK194" s="711" t="inlineStr">
        <is>
          <t>4) The estimated trash was 9.71tons per day from Jul 13 to Jun 15.</t>
        </is>
      </c>
      <c r="AP194" s="711" t="n"/>
      <c r="AQ194" s="711" t="n"/>
      <c r="AR194" s="711" t="n"/>
      <c r="AS194" s="675" t="n"/>
      <c r="AT194" s="711" t="n"/>
      <c r="AU194" s="711" t="n"/>
    </row>
    <row r="195">
      <c r="B195" s="676" t="n"/>
      <c r="D195" s="675" t="n"/>
      <c r="G195" s="676" t="n"/>
      <c r="H195" s="676" t="n"/>
      <c r="L195" s="674" t="n"/>
      <c r="M195" s="674" t="n"/>
      <c r="N195" s="674" t="n"/>
      <c r="O195" s="674" t="n"/>
      <c r="P195" s="674" t="n"/>
      <c r="Q195" s="674" t="n"/>
      <c r="R195" s="674" t="n"/>
      <c r="S195" s="674" t="n"/>
      <c r="T195" s="674" t="n"/>
      <c r="U195" s="674" t="n"/>
      <c r="V195" s="674" t="n"/>
      <c r="W195" s="674" t="n"/>
      <c r="X195" s="674" t="n"/>
      <c r="Y195" s="674" t="n"/>
      <c r="Z195" s="674" t="n"/>
      <c r="AA195" s="674" t="n"/>
      <c r="AB195" s="674" t="n"/>
      <c r="AC195" s="674" t="n"/>
      <c r="AD195" s="674" t="n"/>
      <c r="AE195" s="674" t="n"/>
      <c r="AF195" s="674" t="n"/>
      <c r="AG195" s="674" t="n"/>
      <c r="AH195" s="674" t="n"/>
      <c r="AI195" s="674" t="n"/>
      <c r="AJ195" s="59" t="n"/>
      <c r="AK195" s="711" t="inlineStr">
        <is>
          <t>5) From Jul 13, 2000 kg per month has been added for the contractor of PARKnSHOP.</t>
        </is>
      </c>
      <c r="AR195" s="711" t="n"/>
      <c r="AS195" s="675" t="n"/>
      <c r="AT195" s="711" t="n"/>
      <c r="AU195" s="711" t="n"/>
    </row>
    <row r="196">
      <c r="B196" s="676" t="n"/>
      <c r="D196" s="675" t="n"/>
      <c r="G196" s="676" t="n"/>
      <c r="H196" s="676" t="n"/>
      <c r="L196" s="674" t="n"/>
      <c r="M196" s="674" t="n"/>
      <c r="N196" s="674" t="n"/>
      <c r="O196" s="674" t="n"/>
      <c r="P196" s="674" t="n"/>
      <c r="Q196" s="674" t="n"/>
      <c r="R196" s="674" t="n"/>
      <c r="S196" s="674" t="n"/>
      <c r="T196" s="674" t="n"/>
      <c r="U196" s="674" t="n"/>
      <c r="V196" s="674" t="n"/>
      <c r="W196" s="674" t="n"/>
      <c r="X196" s="674" t="n"/>
      <c r="Y196" s="674" t="n"/>
      <c r="Z196" s="674" t="n"/>
      <c r="AA196" s="674" t="n"/>
      <c r="AB196" s="674" t="n"/>
      <c r="AC196" s="674" t="n"/>
      <c r="AD196" s="674" t="n"/>
      <c r="AE196" s="674" t="n"/>
      <c r="AF196" s="674" t="n"/>
      <c r="AG196" s="674" t="n"/>
      <c r="AH196" s="674" t="n"/>
      <c r="AI196" s="674" t="n"/>
      <c r="AJ196" s="59" t="n"/>
      <c r="AK196" s="711" t="inlineStr">
        <is>
          <t>6) Food waste collection started on 20 Sep 16.</t>
        </is>
      </c>
      <c r="AO196" s="711" t="n"/>
      <c r="AP196" s="711" t="n"/>
      <c r="AQ196" s="711" t="n"/>
      <c r="AR196" s="711" t="n"/>
      <c r="AS196" s="675" t="n"/>
      <c r="AT196" s="711" t="n"/>
      <c r="AU196" s="711" t="n"/>
    </row>
    <row r="197">
      <c r="B197" s="676" t="n"/>
      <c r="D197" s="675" t="n"/>
      <c r="G197" s="676" t="n"/>
      <c r="H197" s="676" t="n"/>
      <c r="L197" s="674" t="n"/>
      <c r="M197" s="674" t="n"/>
      <c r="N197" s="674" t="n"/>
      <c r="O197" s="674" t="n"/>
      <c r="P197" s="674" t="n"/>
      <c r="Q197" s="674" t="n"/>
      <c r="R197" s="674" t="n"/>
      <c r="S197" s="674" t="n"/>
      <c r="T197" s="674" t="n"/>
      <c r="U197" s="674" t="n"/>
      <c r="V197" s="674" t="n"/>
      <c r="W197" s="674" t="n"/>
      <c r="X197" s="674" t="n"/>
      <c r="Y197" s="674" t="n"/>
      <c r="Z197" s="674" t="n"/>
      <c r="AA197" s="674" t="n"/>
      <c r="AB197" s="674" t="n"/>
      <c r="AC197" s="674" t="n"/>
      <c r="AD197" s="674" t="n"/>
      <c r="AE197" s="674" t="n"/>
      <c r="AF197" s="674" t="n"/>
      <c r="AG197" s="674" t="n"/>
      <c r="AH197" s="674" t="n"/>
      <c r="AI197" s="674" t="n"/>
      <c r="AJ197" s="59" t="n"/>
      <c r="AK197" s="711" t="inlineStr">
        <is>
          <t>7) E-waste was counted as 100kg per item from Jul 13 to Jun 18.</t>
        </is>
      </c>
      <c r="AP197" s="711" t="n"/>
      <c r="AQ197" s="711" t="n"/>
      <c r="AR197" s="711" t="n"/>
      <c r="AS197" s="675" t="n"/>
      <c r="AT197" s="711" t="n"/>
      <c r="AU197" s="711" t="n"/>
    </row>
    <row r="198">
      <c r="B198" s="676" t="n"/>
      <c r="D198" s="675" t="n"/>
      <c r="G198" s="676" t="n"/>
      <c r="H198" s="676" t="n"/>
      <c r="L198" s="674" t="n"/>
      <c r="M198" s="674" t="n"/>
      <c r="N198" s="674" t="n"/>
      <c r="O198" s="674" t="n"/>
      <c r="P198" s="674" t="n"/>
      <c r="Q198" s="674" t="n"/>
      <c r="R198" s="674" t="n"/>
      <c r="S198" s="674" t="n"/>
      <c r="T198" s="674" t="n"/>
      <c r="U198" s="674" t="n"/>
      <c r="V198" s="674" t="n"/>
      <c r="W198" s="674" t="n"/>
      <c r="X198" s="674" t="n"/>
      <c r="Y198" s="674" t="n"/>
      <c r="Z198" s="674" t="n"/>
      <c r="AA198" s="674" t="n"/>
      <c r="AB198" s="674" t="n"/>
      <c r="AC198" s="674" t="n"/>
      <c r="AD198" s="674" t="n"/>
      <c r="AE198" s="674" t="n"/>
      <c r="AF198" s="674" t="n"/>
      <c r="AG198" s="674" t="n"/>
      <c r="AH198" s="674" t="n"/>
      <c r="AI198" s="674" t="n"/>
      <c r="AJ198" s="674" t="n"/>
      <c r="AK198" s="674" t="n"/>
      <c r="AV198" s="675" t="n"/>
      <c r="AW198" s="675" t="n"/>
      <c r="AX198" s="675" t="n"/>
      <c r="AY198" s="675" t="n"/>
      <c r="AZ198" s="675" t="n"/>
      <c r="BA198" s="676" t="n"/>
      <c r="BB198" s="709" t="n"/>
    </row>
    <row r="199">
      <c r="B199" s="676" t="n"/>
      <c r="D199" s="675" t="n"/>
      <c r="G199" s="676" t="n"/>
      <c r="H199" s="676" t="n"/>
      <c r="L199" s="674" t="n"/>
      <c r="M199" s="674" t="n"/>
      <c r="N199" s="674" t="n"/>
      <c r="O199" s="674" t="n"/>
      <c r="P199" s="674" t="n"/>
      <c r="Q199" s="674" t="n"/>
      <c r="R199" s="674" t="n"/>
      <c r="S199" s="674" t="n"/>
      <c r="T199" s="674" t="n"/>
      <c r="U199" s="674" t="n"/>
      <c r="V199" s="674" t="n"/>
      <c r="W199" s="674" t="n"/>
      <c r="X199" s="674" t="n"/>
      <c r="Y199" s="674" t="n"/>
      <c r="Z199" s="674" t="n"/>
      <c r="AA199" s="674" t="n"/>
      <c r="AB199" s="674" t="n"/>
      <c r="AC199" s="674" t="n"/>
      <c r="AD199" s="674" t="n"/>
      <c r="AE199" s="674" t="n"/>
      <c r="AF199" s="674" t="n"/>
      <c r="AG199" s="674" t="n"/>
      <c r="AH199" s="674" t="n"/>
      <c r="AI199" s="674" t="n"/>
      <c r="AJ199" s="674" t="n"/>
      <c r="AK199" s="674" t="n"/>
      <c r="AV199" s="675" t="n"/>
      <c r="AW199" s="675" t="n"/>
      <c r="AX199" s="675" t="n"/>
      <c r="AY199" s="675" t="n"/>
      <c r="AZ199" s="675" t="n"/>
      <c r="BA199" s="711" t="n"/>
      <c r="BB199" s="711" t="n"/>
    </row>
    <row r="200">
      <c r="B200" s="676" t="n"/>
      <c r="D200" s="675" t="n"/>
      <c r="G200" s="676" t="n"/>
      <c r="H200" s="676" t="n"/>
      <c r="L200" s="674" t="n"/>
      <c r="M200" s="674" t="n"/>
      <c r="N200" s="674" t="n"/>
      <c r="O200" s="674" t="n"/>
      <c r="P200" s="674" t="n"/>
      <c r="Q200" s="674" t="n"/>
      <c r="R200" s="674" t="n"/>
      <c r="S200" s="674" t="n"/>
      <c r="T200" s="674" t="n"/>
      <c r="U200" s="674" t="n"/>
      <c r="V200" s="674" t="n"/>
      <c r="W200" s="674" t="n"/>
      <c r="X200" s="674" t="n"/>
      <c r="Y200" s="674" t="n"/>
      <c r="Z200" s="674" t="n"/>
      <c r="AA200" s="674" t="n"/>
      <c r="AB200" s="674" t="n"/>
      <c r="AC200" s="674" t="n"/>
      <c r="AD200" s="674" t="n"/>
      <c r="AE200" s="674" t="n"/>
      <c r="AF200" s="674" t="n"/>
      <c r="AG200" s="674" t="n"/>
      <c r="AH200" s="674" t="n"/>
      <c r="AI200" s="674" t="n"/>
      <c r="AJ200" s="674" t="n"/>
      <c r="AK200" s="674" t="n"/>
      <c r="AV200" s="675" t="n"/>
      <c r="AW200" s="675" t="n"/>
      <c r="AX200" s="675" t="n"/>
      <c r="AY200" s="675" t="n"/>
      <c r="AZ200" s="675" t="n"/>
      <c r="BA200" s="711" t="n"/>
      <c r="BB200" s="711" t="n"/>
    </row>
    <row r="201">
      <c r="B201" s="676" t="n"/>
      <c r="D201" s="675" t="n"/>
      <c r="G201" s="676" t="n"/>
      <c r="H201" s="676" t="n"/>
      <c r="L201" s="674" t="n"/>
      <c r="M201" s="674" t="n"/>
      <c r="N201" s="674" t="n"/>
      <c r="O201" s="674" t="n"/>
      <c r="P201" s="674" t="n"/>
      <c r="Q201" s="674" t="n"/>
      <c r="R201" s="674" t="n"/>
      <c r="S201" s="674" t="n"/>
      <c r="T201" s="674" t="n"/>
      <c r="U201" s="674" t="n"/>
      <c r="V201" s="674" t="n"/>
      <c r="W201" s="674" t="n"/>
      <c r="X201" s="674" t="n"/>
      <c r="Y201" s="674" t="n"/>
      <c r="Z201" s="674" t="n"/>
      <c r="AA201" s="674" t="n"/>
      <c r="AB201" s="674" t="n"/>
      <c r="AC201" s="674" t="n"/>
      <c r="AD201" s="674" t="n"/>
      <c r="AE201" s="674" t="n"/>
      <c r="AF201" s="674" t="n"/>
      <c r="AG201" s="674" t="n"/>
      <c r="AH201" s="674" t="n"/>
      <c r="AI201" s="674" t="n"/>
      <c r="AJ201" s="674" t="n"/>
      <c r="AK201" s="674" t="n"/>
      <c r="AV201" s="675" t="n"/>
      <c r="AW201" s="675" t="n"/>
      <c r="AX201" s="675" t="n"/>
      <c r="AY201" s="675" t="n"/>
      <c r="AZ201" s="675" t="n"/>
      <c r="BA201" s="711" t="n"/>
      <c r="BB201" s="711" t="n"/>
    </row>
    <row r="202">
      <c r="B202" s="676" t="n"/>
      <c r="D202" s="675" t="n"/>
      <c r="G202" s="676" t="n"/>
      <c r="H202" s="676" t="n"/>
      <c r="L202" s="674" t="n"/>
      <c r="M202" s="674" t="n"/>
      <c r="N202" s="674" t="n"/>
      <c r="O202" s="674" t="n"/>
      <c r="P202" s="674" t="n"/>
      <c r="Q202" s="674" t="n"/>
      <c r="R202" s="674" t="n"/>
      <c r="S202" s="674" t="n"/>
      <c r="T202" s="674" t="n"/>
      <c r="U202" s="674" t="n"/>
      <c r="V202" s="674" t="n"/>
      <c r="W202" s="674" t="n"/>
      <c r="X202" s="674" t="n"/>
      <c r="Y202" s="674" t="n"/>
      <c r="Z202" s="674" t="n"/>
      <c r="AA202" s="674" t="n"/>
      <c r="AB202" s="674" t="n"/>
      <c r="AC202" s="674" t="n"/>
      <c r="AD202" s="674" t="n"/>
      <c r="AE202" s="674" t="n"/>
      <c r="AF202" s="674" t="n"/>
      <c r="AG202" s="674" t="n"/>
      <c r="AH202" s="674" t="n"/>
      <c r="AI202" s="674" t="n"/>
      <c r="AJ202" s="674" t="n"/>
      <c r="AK202" s="674" t="n"/>
      <c r="AV202" s="675" t="n"/>
      <c r="AW202" s="675" t="n"/>
      <c r="AX202" s="675" t="n"/>
      <c r="AY202" s="675" t="n"/>
      <c r="AZ202" s="675" t="n"/>
      <c r="BA202" s="711" t="n"/>
      <c r="BB202" s="711" t="n"/>
    </row>
    <row r="203">
      <c r="B203" s="676" t="n"/>
      <c r="D203" s="675" t="n"/>
      <c r="G203" s="676" t="n"/>
      <c r="H203" s="676" t="n"/>
      <c r="L203" s="674" t="n"/>
      <c r="M203" s="674" t="n"/>
      <c r="N203" s="674" t="n"/>
      <c r="O203" s="674" t="n"/>
      <c r="P203" s="674" t="n"/>
      <c r="Q203" s="674" t="n"/>
      <c r="R203" s="674" t="n"/>
      <c r="S203" s="674" t="n"/>
      <c r="T203" s="674" t="n"/>
      <c r="U203" s="674" t="n"/>
      <c r="V203" s="674" t="n"/>
      <c r="W203" s="674" t="n"/>
      <c r="X203" s="674" t="n"/>
      <c r="Y203" s="674" t="n"/>
      <c r="Z203" s="674" t="n"/>
      <c r="AA203" s="674" t="n"/>
      <c r="AB203" s="674" t="n"/>
      <c r="AC203" s="674" t="n"/>
      <c r="AD203" s="674" t="n"/>
      <c r="AE203" s="674" t="n"/>
      <c r="AF203" s="674" t="n"/>
      <c r="AG203" s="674" t="n"/>
      <c r="AH203" s="674" t="n"/>
      <c r="AI203" s="674" t="n"/>
      <c r="AJ203" s="674" t="n"/>
      <c r="AK203" s="674" t="n"/>
      <c r="AV203" s="675" t="n"/>
      <c r="AW203" s="675" t="n"/>
      <c r="AX203" s="675" t="n"/>
      <c r="AY203" s="675" t="n"/>
      <c r="AZ203" s="675" t="n"/>
      <c r="BA203" s="711" t="n"/>
      <c r="BB203" s="711" t="n"/>
    </row>
    <row r="204">
      <c r="B204" s="676" t="n"/>
      <c r="D204" s="675" t="n"/>
      <c r="G204" s="676" t="n"/>
      <c r="H204" s="676" t="n"/>
      <c r="L204" s="674" t="n"/>
      <c r="M204" s="674" t="n"/>
      <c r="N204" s="674" t="n"/>
      <c r="O204" s="674" t="n"/>
      <c r="P204" s="674" t="n"/>
      <c r="Q204" s="674" t="n"/>
      <c r="R204" s="674" t="n"/>
      <c r="S204" s="674" t="n"/>
      <c r="T204" s="674" t="n"/>
      <c r="U204" s="674" t="n"/>
      <c r="V204" s="674" t="n"/>
      <c r="W204" s="674" t="n"/>
      <c r="X204" s="674" t="n"/>
      <c r="Y204" s="674" t="n"/>
      <c r="Z204" s="674" t="n"/>
      <c r="AA204" s="674" t="n"/>
      <c r="AB204" s="674" t="n"/>
      <c r="AC204" s="674" t="n"/>
      <c r="AD204" s="674" t="n"/>
      <c r="AE204" s="674" t="n"/>
      <c r="AF204" s="674" t="n"/>
      <c r="AG204" s="674" t="n"/>
      <c r="AH204" s="674" t="n"/>
      <c r="AI204" s="674" t="n"/>
      <c r="AJ204" s="674" t="n"/>
      <c r="AK204" s="674" t="n"/>
      <c r="AV204" s="675" t="n"/>
      <c r="AW204" s="675" t="n"/>
      <c r="AX204" s="675" t="n"/>
      <c r="AY204" s="675" t="n"/>
      <c r="AZ204" s="675" t="n"/>
      <c r="BA204" s="711" t="n"/>
      <c r="BB204" s="711" t="n"/>
    </row>
    <row r="205">
      <c r="B205" s="676" t="n"/>
      <c r="D205" s="675" t="n"/>
      <c r="G205" s="676" t="n"/>
      <c r="H205" s="676" t="n"/>
      <c r="L205" s="674" t="n"/>
      <c r="M205" s="674" t="n"/>
      <c r="N205" s="674" t="n"/>
      <c r="O205" s="674" t="n"/>
      <c r="P205" s="674" t="n"/>
      <c r="Q205" s="674" t="n"/>
      <c r="R205" s="674" t="n"/>
      <c r="S205" s="674" t="n"/>
      <c r="T205" s="674" t="n"/>
      <c r="U205" s="674" t="n"/>
      <c r="V205" s="674" t="n"/>
      <c r="W205" s="674" t="n"/>
      <c r="X205" s="674" t="n"/>
      <c r="Y205" s="674" t="n"/>
      <c r="Z205" s="674" t="n"/>
      <c r="AA205" s="674" t="n"/>
      <c r="AB205" s="674" t="n"/>
      <c r="AC205" s="674" t="n"/>
      <c r="AD205" s="674" t="n"/>
      <c r="AE205" s="674" t="n"/>
      <c r="AF205" s="674" t="n"/>
      <c r="AG205" s="674" t="n"/>
      <c r="AH205" s="674" t="n"/>
      <c r="AI205" s="674" t="n"/>
      <c r="AJ205" s="674" t="n"/>
      <c r="AK205" s="674" t="n"/>
      <c r="AV205" s="675" t="n"/>
      <c r="AW205" s="675" t="n"/>
      <c r="AX205" s="675" t="n"/>
      <c r="AY205" s="675" t="n"/>
      <c r="AZ205" s="675" t="n"/>
      <c r="BA205" s="711" t="n"/>
      <c r="BB205" s="711" t="n"/>
    </row>
    <row r="206">
      <c r="B206" s="676" t="n"/>
      <c r="D206" s="675" t="n"/>
      <c r="G206" s="676" t="n"/>
      <c r="H206" s="676" t="n"/>
      <c r="L206" s="674" t="n"/>
      <c r="M206" s="674" t="n"/>
      <c r="N206" s="674" t="n"/>
      <c r="O206" s="674" t="n"/>
      <c r="P206" s="674" t="n"/>
      <c r="Q206" s="674" t="n"/>
      <c r="R206" s="674" t="n"/>
      <c r="S206" s="674" t="n"/>
      <c r="T206" s="674" t="n"/>
      <c r="U206" s="674" t="n"/>
      <c r="V206" s="674" t="n"/>
      <c r="W206" s="674" t="n"/>
      <c r="X206" s="674" t="n"/>
      <c r="Y206" s="674" t="n"/>
      <c r="Z206" s="674" t="n"/>
      <c r="AA206" s="674" t="n"/>
      <c r="AB206" s="674" t="n"/>
      <c r="AC206" s="674" t="n"/>
      <c r="AD206" s="674" t="n"/>
      <c r="AE206" s="674" t="n"/>
      <c r="AF206" s="674" t="n"/>
      <c r="AG206" s="674" t="n"/>
      <c r="AH206" s="674" t="n"/>
      <c r="AI206" s="674" t="n"/>
      <c r="AJ206" s="674" t="n"/>
      <c r="AK206" s="674" t="n"/>
      <c r="AV206" s="675" t="n"/>
      <c r="AW206" s="675" t="n"/>
      <c r="AX206" s="675" t="n"/>
      <c r="AY206" s="675" t="n"/>
      <c r="AZ206" s="675" t="n"/>
      <c r="BA206" s="711" t="n"/>
      <c r="BB206" s="711" t="n"/>
    </row>
    <row r="207" ht="16.25" customHeight="1">
      <c r="B207" s="676" t="n"/>
      <c r="D207" s="675" t="n"/>
      <c r="G207" s="676" t="n"/>
      <c r="H207" s="676" t="n"/>
      <c r="L207" s="674" t="n"/>
      <c r="M207" s="674" t="n"/>
      <c r="N207" s="674" t="n"/>
      <c r="O207" s="674" t="n"/>
      <c r="P207" s="674" t="n"/>
      <c r="Q207" s="674" t="n"/>
      <c r="R207" s="674" t="n"/>
      <c r="S207" s="674" t="n"/>
      <c r="T207" s="674" t="n"/>
      <c r="U207" s="674" t="n"/>
      <c r="V207" s="674" t="n"/>
      <c r="W207" s="674" t="n"/>
      <c r="X207" s="674" t="n"/>
      <c r="Y207" s="674" t="n"/>
      <c r="Z207" s="674" t="n"/>
      <c r="AA207" s="674" t="n"/>
      <c r="AB207" s="674" t="n"/>
      <c r="AC207" s="674" t="n"/>
      <c r="AD207" s="674" t="n"/>
      <c r="AE207" s="674" t="n"/>
      <c r="AF207" s="674" t="n"/>
      <c r="AG207" s="674" t="n"/>
      <c r="AH207" s="674" t="n"/>
      <c r="AI207" s="674" t="n"/>
      <c r="AJ207" s="674" t="n"/>
      <c r="AK207" s="674" t="n"/>
      <c r="AV207" s="711" t="n"/>
      <c r="AW207" s="711" t="n"/>
      <c r="AX207" s="711" t="n"/>
      <c r="AY207" s="711" t="n"/>
      <c r="AZ207" s="711" t="n"/>
      <c r="BA207" s="711" t="n"/>
      <c r="BB207" s="711" t="n"/>
    </row>
    <row r="208">
      <c r="B208" s="676" t="n"/>
      <c r="D208" s="675" t="n"/>
      <c r="G208" s="676" t="n"/>
      <c r="H208" s="676" t="n"/>
      <c r="L208" s="674" t="n"/>
      <c r="M208" s="674" t="n"/>
      <c r="N208" s="674" t="n"/>
      <c r="O208" s="674" t="n"/>
      <c r="P208" s="674" t="n"/>
      <c r="Q208" s="674" t="n"/>
      <c r="R208" s="674" t="n"/>
      <c r="S208" s="674" t="n"/>
      <c r="T208" s="674" t="n"/>
      <c r="U208" s="674" t="n"/>
      <c r="V208" s="674" t="n"/>
      <c r="W208" s="674" t="n"/>
      <c r="X208" s="674" t="n"/>
      <c r="Y208" s="674" t="n"/>
      <c r="Z208" s="674" t="n"/>
      <c r="AA208" s="674" t="n"/>
      <c r="AB208" s="674" t="n"/>
      <c r="AC208" s="674" t="n"/>
      <c r="AD208" s="674" t="n"/>
      <c r="AE208" s="674" t="n"/>
      <c r="AF208" s="674" t="n"/>
      <c r="AG208" s="674" t="n"/>
      <c r="AH208" s="674" t="n"/>
      <c r="AI208" s="674" t="n"/>
      <c r="AJ208" s="674" t="n"/>
      <c r="AK208" s="674" t="n"/>
    </row>
    <row r="209">
      <c r="B209" s="676" t="n"/>
      <c r="D209" s="675" t="n"/>
      <c r="G209" s="676" t="n"/>
      <c r="H209" s="676" t="n"/>
      <c r="L209" s="674" t="n"/>
      <c r="M209" s="674" t="n"/>
      <c r="N209" s="674" t="n"/>
      <c r="O209" s="674" t="n"/>
      <c r="P209" s="674" t="n"/>
      <c r="Q209" s="674" t="n"/>
      <c r="R209" s="674" t="n"/>
      <c r="S209" s="674" t="n"/>
      <c r="T209" s="674" t="n"/>
      <c r="U209" s="674" t="n"/>
      <c r="V209" s="674" t="n"/>
      <c r="W209" s="674" t="n"/>
      <c r="X209" s="674" t="n"/>
      <c r="Y209" s="674" t="n"/>
      <c r="Z209" s="674" t="n"/>
      <c r="AA209" s="674" t="n"/>
      <c r="AB209" s="674" t="n"/>
      <c r="AC209" s="674" t="n"/>
      <c r="AD209" s="674" t="n"/>
      <c r="AE209" s="674" t="n"/>
      <c r="AF209" s="674" t="n"/>
      <c r="AG209" s="674" t="n"/>
      <c r="AH209" s="674" t="n"/>
      <c r="AI209" s="674" t="n"/>
      <c r="AJ209" s="674" t="n"/>
      <c r="AK209" s="674" t="n"/>
    </row>
    <row r="210">
      <c r="B210" s="676" t="n"/>
      <c r="D210" s="675" t="n"/>
      <c r="G210" s="676" t="n"/>
      <c r="H210" s="676" t="n"/>
      <c r="L210" s="674" t="n"/>
      <c r="M210" s="674" t="n"/>
      <c r="N210" s="674" t="n"/>
      <c r="O210" s="674" t="n"/>
      <c r="P210" s="674" t="n"/>
      <c r="Q210" s="674" t="n"/>
      <c r="R210" s="674" t="n"/>
      <c r="S210" s="674" t="n"/>
      <c r="T210" s="674" t="n"/>
      <c r="U210" s="674" t="n"/>
      <c r="V210" s="674" t="n"/>
      <c r="W210" s="674" t="n"/>
      <c r="X210" s="674" t="n"/>
      <c r="Y210" s="674" t="n"/>
      <c r="Z210" s="674" t="n"/>
      <c r="AA210" s="674" t="n"/>
      <c r="AB210" s="674" t="n"/>
      <c r="AC210" s="674" t="n"/>
      <c r="AD210" s="674" t="n"/>
      <c r="AE210" s="674" t="n"/>
      <c r="AF210" s="674" t="n"/>
      <c r="AG210" s="674" t="n"/>
      <c r="AH210" s="674" t="n"/>
      <c r="AI210" s="674" t="n"/>
      <c r="AJ210" s="674" t="n"/>
      <c r="AK210" s="674" t="n"/>
    </row>
    <row r="211">
      <c r="B211" s="676" t="n"/>
      <c r="D211" s="675" t="n"/>
      <c r="G211" s="676" t="n"/>
      <c r="H211" s="676" t="n"/>
      <c r="L211" s="674" t="n"/>
      <c r="M211" s="674" t="n"/>
      <c r="N211" s="674" t="n"/>
      <c r="O211" s="674" t="n"/>
      <c r="P211" s="674" t="n"/>
      <c r="Q211" s="674" t="n"/>
      <c r="R211" s="674" t="n"/>
      <c r="S211" s="674" t="n"/>
      <c r="T211" s="674" t="n"/>
      <c r="U211" s="674" t="n"/>
      <c r="V211" s="674" t="n"/>
      <c r="W211" s="674" t="n"/>
      <c r="X211" s="674" t="n"/>
      <c r="Y211" s="674" t="n"/>
      <c r="Z211" s="674" t="n"/>
      <c r="AA211" s="674" t="n"/>
      <c r="AB211" s="674" t="n"/>
      <c r="AC211" s="674" t="n"/>
      <c r="AD211" s="674" t="n"/>
      <c r="AE211" s="674" t="n"/>
      <c r="AF211" s="674" t="n"/>
      <c r="AG211" s="674" t="n"/>
      <c r="AH211" s="674" t="n"/>
      <c r="AI211" s="674" t="n"/>
      <c r="AJ211" s="674" t="n"/>
      <c r="AK211" s="674" t="n"/>
    </row>
    <row r="212">
      <c r="D212" s="675" t="n"/>
      <c r="Z212" s="674" t="n"/>
      <c r="AA212" s="674" t="n"/>
      <c r="AB212" s="674" t="n"/>
      <c r="AC212" s="674" t="n"/>
      <c r="AD212" s="674" t="n"/>
      <c r="AE212" s="674" t="n"/>
      <c r="AF212" s="674" t="n"/>
      <c r="AG212" s="674" t="n"/>
      <c r="AH212" s="674" t="n"/>
      <c r="AI212" s="674" t="n"/>
      <c r="AJ212" s="674" t="n"/>
      <c r="AK212" s="674" t="n"/>
    </row>
    <row r="213">
      <c r="Z213" s="674" t="n"/>
      <c r="AA213" s="674" t="n"/>
      <c r="AB213" s="674" t="n"/>
      <c r="AC213" s="674" t="n"/>
      <c r="AD213" s="674" t="n"/>
      <c r="AE213" s="674" t="n"/>
      <c r="AF213" s="674" t="n"/>
      <c r="AG213" s="674" t="n"/>
      <c r="AH213" s="674" t="n"/>
      <c r="AI213" s="674" t="n"/>
      <c r="AJ213" s="674" t="n"/>
      <c r="AK213" s="674" t="n"/>
    </row>
    <row r="214">
      <c r="Z214" s="674" t="n"/>
      <c r="AA214" s="674" t="n"/>
      <c r="AB214" s="674" t="n"/>
      <c r="AC214" s="674" t="n"/>
      <c r="AD214" s="674" t="n"/>
      <c r="AE214" s="674" t="n"/>
      <c r="AF214" s="674" t="n"/>
      <c r="AG214" s="674" t="n"/>
      <c r="AH214" s="674" t="n"/>
      <c r="AI214" s="674" t="n"/>
      <c r="AJ214" s="674" t="n"/>
      <c r="AK214" s="674" t="n"/>
    </row>
    <row r="215">
      <c r="Z215" s="674" t="n"/>
      <c r="AA215" s="674" t="n"/>
      <c r="AB215" s="674" t="n"/>
      <c r="AC215" s="674" t="n"/>
      <c r="AD215" s="674" t="n"/>
      <c r="AE215" s="674" t="n"/>
      <c r="AF215" s="674" t="n"/>
      <c r="AG215" s="674" t="n"/>
      <c r="AH215" s="674" t="n"/>
      <c r="AI215" s="674" t="n"/>
      <c r="AJ215" s="674" t="n"/>
      <c r="AK215" s="674" t="n"/>
    </row>
    <row r="216">
      <c r="Z216" s="674" t="n"/>
      <c r="AA216" s="674" t="n"/>
      <c r="AB216" s="674" t="n"/>
      <c r="AC216" s="674" t="n"/>
      <c r="AD216" s="674" t="n"/>
      <c r="AE216" s="674" t="n"/>
      <c r="AF216" s="674" t="n"/>
      <c r="AG216" s="674" t="n"/>
      <c r="AH216" s="674" t="n"/>
      <c r="AI216" s="674" t="n"/>
      <c r="AJ216" s="674" t="n"/>
      <c r="AK216" s="674" t="n"/>
    </row>
    <row r="217">
      <c r="Z217" s="674" t="n"/>
      <c r="AA217" s="674" t="n"/>
      <c r="AB217" s="674" t="n"/>
      <c r="AC217" s="674" t="n"/>
      <c r="AD217" s="674" t="n"/>
      <c r="AE217" s="674" t="n"/>
      <c r="AF217" s="674" t="n"/>
      <c r="AG217" s="674" t="n"/>
      <c r="AH217" s="674" t="n"/>
      <c r="AI217" s="674" t="n"/>
      <c r="AJ217" s="674" t="n"/>
      <c r="AK217" s="674" t="n"/>
    </row>
    <row r="218">
      <c r="Z218" s="674" t="n"/>
      <c r="AA218" s="674" t="n"/>
      <c r="AB218" s="674" t="n"/>
      <c r="AC218" s="674" t="n"/>
      <c r="AD218" s="674" t="n"/>
      <c r="AE218" s="674" t="n"/>
      <c r="AF218" s="674" t="n"/>
      <c r="AG218" s="674" t="n"/>
      <c r="AH218" s="674" t="n"/>
      <c r="AI218" s="674" t="n"/>
      <c r="AJ218" s="674" t="n"/>
      <c r="AK218" s="674" t="n"/>
    </row>
    <row r="219">
      <c r="Z219" s="674" t="n"/>
      <c r="AA219" s="674" t="n"/>
      <c r="AB219" s="674" t="n"/>
      <c r="AC219" s="674" t="n"/>
      <c r="AD219" s="674" t="n"/>
      <c r="AE219" s="674" t="n"/>
      <c r="AF219" s="674" t="n"/>
      <c r="AG219" s="674" t="n"/>
      <c r="AH219" s="674" t="n"/>
      <c r="AI219" s="674" t="n"/>
      <c r="AJ219" s="674" t="n"/>
      <c r="AK219" s="674" t="n"/>
    </row>
    <row r="220">
      <c r="Z220" s="674" t="n"/>
      <c r="AA220" s="674" t="n"/>
      <c r="AB220" s="674" t="n"/>
      <c r="AC220" s="674" t="n"/>
      <c r="AD220" s="674" t="n"/>
      <c r="AE220" s="674" t="n"/>
      <c r="AF220" s="674" t="n"/>
      <c r="AG220" s="674" t="n"/>
      <c r="AH220" s="674" t="n"/>
      <c r="AI220" s="674" t="n"/>
      <c r="AJ220" s="674" t="n"/>
      <c r="AK220" s="674" t="n"/>
    </row>
    <row r="221">
      <c r="Z221" s="674" t="n"/>
      <c r="AA221" s="674" t="n"/>
      <c r="AB221" s="674" t="n"/>
      <c r="AC221" s="674" t="n"/>
      <c r="AD221" s="674" t="n"/>
      <c r="AE221" s="674" t="n"/>
      <c r="AF221" s="674" t="n"/>
      <c r="AG221" s="674" t="n"/>
      <c r="AH221" s="674" t="n"/>
      <c r="AI221" s="674" t="n"/>
      <c r="AJ221" s="674" t="n"/>
      <c r="AK221" s="674" t="n"/>
    </row>
    <row r="222">
      <c r="Z222" s="674" t="n"/>
      <c r="AA222" s="674" t="n"/>
      <c r="AB222" s="674" t="n"/>
      <c r="AC222" s="674" t="n"/>
      <c r="AD222" s="674" t="n"/>
      <c r="AE222" s="674" t="n"/>
      <c r="AF222" s="674" t="n"/>
      <c r="AG222" s="674" t="n"/>
      <c r="AH222" s="674" t="n"/>
      <c r="AI222" s="674" t="n"/>
      <c r="AJ222" s="674" t="n"/>
      <c r="AK222" s="674" t="n"/>
    </row>
    <row r="223">
      <c r="Z223" s="674" t="n"/>
      <c r="AA223" s="674" t="n"/>
      <c r="AB223" s="674" t="n"/>
      <c r="AC223" s="674" t="n"/>
    </row>
    <row r="224">
      <c r="Z224" s="674" t="n"/>
      <c r="AA224" s="674" t="n"/>
      <c r="AB224" s="674" t="n"/>
      <c r="AC224" s="674" t="n"/>
    </row>
    <row r="225">
      <c r="Z225" s="674" t="n"/>
      <c r="AA225" s="674" t="n"/>
      <c r="AB225" s="674" t="n"/>
      <c r="AC225" s="674" t="n"/>
    </row>
    <row r="226">
      <c r="Z226" s="674" t="n"/>
      <c r="AA226" s="674" t="n"/>
      <c r="AB226" s="674" t="n"/>
      <c r="AC226" s="674" t="n"/>
    </row>
    <row r="227">
      <c r="Z227" s="674" t="n"/>
      <c r="AA227" s="674" t="n"/>
      <c r="AB227" s="674" t="n"/>
      <c r="AC227" s="674" t="n"/>
    </row>
    <row r="228">
      <c r="Z228" s="674" t="n"/>
      <c r="AA228" s="674" t="n"/>
      <c r="AB228" s="674" t="n"/>
      <c r="AC228" s="674" t="n"/>
    </row>
    <row r="229">
      <c r="Z229" s="674" t="n"/>
      <c r="AA229" s="674" t="n"/>
      <c r="AB229" s="674" t="n"/>
      <c r="AC229" s="674" t="n"/>
    </row>
    <row r="230">
      <c r="Z230" s="674" t="n"/>
      <c r="AA230" s="674" t="n"/>
      <c r="AB230" s="674" t="n"/>
      <c r="AC230" s="674" t="n"/>
    </row>
    <row r="231">
      <c r="Z231" s="674" t="n"/>
      <c r="AA231" s="674" t="n"/>
      <c r="AB231" s="674" t="n"/>
      <c r="AC231" s="674" t="n"/>
    </row>
    <row r="232">
      <c r="Z232" s="674" t="n"/>
      <c r="AA232" s="674" t="n"/>
      <c r="AB232" s="674" t="n"/>
      <c r="AC232" s="674" t="n"/>
    </row>
  </sheetData>
  <mergeCells count="8">
    <mergeCell ref="AK194:AO194"/>
    <mergeCell ref="AK196:AN196"/>
    <mergeCell ref="AK191:AN191"/>
    <mergeCell ref="AK193:AM193"/>
    <mergeCell ref="AK197:AO197"/>
    <mergeCell ref="AK192:AN192"/>
    <mergeCell ref="AK190:AN190"/>
    <mergeCell ref="AK195:AQ195"/>
  </mergeCells>
  <pageMargins left="0.7" right="0.7" top="0.75" bottom="0.75" header="0.3" footer="0.3"/>
  <pageSetup orientation="portrait" paperSize="9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8"/>
  <sheetViews>
    <sheetView zoomScale="125" workbookViewId="0">
      <pane xSplit="1" ySplit="1" topLeftCell="B97" activePane="bottomRight" state="frozen"/>
      <selection pane="topRight" activeCell="A1" sqref="A1"/>
      <selection pane="bottomLeft" activeCell="A1" sqref="A1"/>
      <selection pane="bottomRight" activeCell="B115" sqref="B115"/>
    </sheetView>
  </sheetViews>
  <sheetFormatPr baseColWidth="10" defaultColWidth="10.33203125" defaultRowHeight="15" customHeight="1"/>
  <cols>
    <col width="21.33203125" customWidth="1" style="5" min="1" max="1"/>
    <col width="16.1640625" customWidth="1" style="712" min="2" max="2"/>
    <col hidden="1" width="11.6640625" customWidth="1" style="712" min="3" max="3"/>
    <col hidden="1" width="2.6640625" customWidth="1" style="712" min="4" max="4"/>
    <col width="17.1640625" customWidth="1" style="712" min="5" max="5"/>
    <col width="10.33203125" customWidth="1" style="712" min="6" max="6"/>
    <col width="12.33203125" customWidth="1" style="712" min="7" max="8"/>
    <col width="10.5" bestFit="1" customWidth="1" style="712" min="9" max="9"/>
    <col hidden="1" width="21.6640625" customWidth="1" style="712" min="10" max="10"/>
    <col hidden="1" width="10.33203125" customWidth="1" style="712" min="11" max="11"/>
    <col width="21.6640625" customWidth="1" style="712" min="12" max="12"/>
    <col width="13.5" customWidth="1" style="712" min="13" max="13"/>
    <col hidden="1" width="12.33203125" customWidth="1" style="712" min="14" max="14"/>
    <col hidden="1" width="11.1640625" customWidth="1" style="712" min="15" max="15"/>
    <col width="11.1640625" customWidth="1" style="712" min="16" max="16"/>
    <col width="11.6640625" customWidth="1" style="712" min="17" max="17"/>
    <col width="11.5" customWidth="1" style="5" min="18" max="18"/>
    <col width="13.6640625" bestFit="1" customWidth="1" style="5" min="19" max="19"/>
    <col width="11.6640625" bestFit="1" customWidth="1" style="5" min="20" max="20"/>
    <col width="10.33203125" customWidth="1" style="5" min="21" max="16384"/>
  </cols>
  <sheetData>
    <row r="1" ht="50" customFormat="1" customHeight="1" s="3">
      <c r="A1" s="2" t="inlineStr">
        <is>
          <t>Date</t>
        </is>
      </c>
      <c r="B1" s="713" t="inlineStr">
        <is>
          <t>LG1 Canteen and China Garden</t>
        </is>
      </c>
      <c r="C1" s="713" t="inlineStr">
        <is>
          <t>LG7 Canteens</t>
        </is>
      </c>
      <c r="D1" s="713" t="inlineStr">
        <is>
          <t>McDonald's</t>
        </is>
      </c>
      <c r="E1" s="713" t="inlineStr">
        <is>
          <t>LG7 Canteen + McDonald's</t>
        </is>
      </c>
      <c r="F1" s="713" t="inlineStr">
        <is>
          <t>LG7 Fusion</t>
        </is>
      </c>
      <c r="G1" s="713" t="inlineStr">
        <is>
          <t>Courtyard (Lift 25)</t>
        </is>
      </c>
      <c r="H1" s="713" t="inlineStr">
        <is>
          <t>UC Bistro (Tower C)</t>
        </is>
      </c>
      <c r="I1" s="713" t="inlineStr">
        <is>
          <t>LSK Campus</t>
        </is>
      </c>
      <c r="J1" s="713" t="inlineStr">
        <is>
          <t>Seafront Cafeteria (now collected at UG6 starting July 23)</t>
        </is>
      </c>
      <c r="K1" s="713" t="inlineStr">
        <is>
          <t>UG Halls</t>
        </is>
      </c>
      <c r="L1" s="713" t="inlineStr">
        <is>
          <t xml:space="preserve">UG Halls + Seafront Cafeteria </t>
        </is>
      </c>
      <c r="M1" s="713" t="inlineStr">
        <is>
          <t>Conference Lodge</t>
        </is>
      </c>
      <c r="N1" s="713" t="inlineStr">
        <is>
          <t>Staff Quarters</t>
        </is>
      </c>
      <c r="O1" s="713" t="inlineStr">
        <is>
          <t>Junior Staff Quarters</t>
        </is>
      </c>
      <c r="P1" s="713" t="inlineStr">
        <is>
          <t>Staff Quarters (All)</t>
        </is>
      </c>
      <c r="Q1" s="713" t="inlineStr">
        <is>
          <t>Total (kg)</t>
        </is>
      </c>
      <c r="R1" s="498" t="inlineStr">
        <is>
          <t>Yearly Total (kg)</t>
        </is>
      </c>
    </row>
    <row r="2" ht="16" customHeight="1">
      <c r="A2" s="714" t="n">
        <v>42644</v>
      </c>
      <c r="B2" s="338" t="n">
        <v>4750</v>
      </c>
      <c r="C2" s="338" t="n">
        <v>11825</v>
      </c>
      <c r="D2" s="338" t="n"/>
      <c r="E2" s="338">
        <f>(C2+D2)</f>
        <v/>
      </c>
      <c r="F2" s="338" t="n"/>
      <c r="G2" s="338" t="n">
        <v>2000</v>
      </c>
      <c r="H2" s="338" t="n">
        <v>1050</v>
      </c>
      <c r="I2" s="338" t="n">
        <v>250</v>
      </c>
      <c r="J2" s="338" t="n">
        <v>1075</v>
      </c>
      <c r="K2" s="338" t="n"/>
      <c r="L2" s="338">
        <f>J2+K2</f>
        <v/>
      </c>
      <c r="M2" s="338" t="n">
        <v>850</v>
      </c>
      <c r="N2" s="338" t="n"/>
      <c r="O2" s="338" t="n"/>
      <c r="P2" s="338">
        <f>N2+O2</f>
        <v/>
      </c>
      <c r="Q2" s="338">
        <f>B2+SUM(E2:I2)+SUM(L2:M2)+P2</f>
        <v/>
      </c>
      <c r="R2" s="712" t="n"/>
    </row>
    <row r="3" ht="16" customHeight="1">
      <c r="A3" s="714" t="n">
        <v>42675</v>
      </c>
      <c r="B3" s="338" t="n">
        <v>4350</v>
      </c>
      <c r="C3" s="338" t="n">
        <v>9850</v>
      </c>
      <c r="D3" s="338" t="n"/>
      <c r="E3" s="338">
        <f>(C3+D3)</f>
        <v/>
      </c>
      <c r="F3" s="338" t="n"/>
      <c r="G3" s="338" t="n">
        <v>2375</v>
      </c>
      <c r="H3" s="338" t="n">
        <v>875</v>
      </c>
      <c r="I3" s="338" t="n">
        <v>100</v>
      </c>
      <c r="J3" s="338" t="n">
        <v>775</v>
      </c>
      <c r="K3" s="338" t="n"/>
      <c r="L3" s="338">
        <f>J3+K3</f>
        <v/>
      </c>
      <c r="M3" s="338" t="n">
        <v>925</v>
      </c>
      <c r="N3" s="338" t="n"/>
      <c r="O3" s="338" t="n"/>
      <c r="P3" s="338">
        <f>N3+O3</f>
        <v/>
      </c>
      <c r="Q3" s="338">
        <f>B3+SUM(E3:I3)+SUM(L3:M3)+P3</f>
        <v/>
      </c>
      <c r="R3" s="712" t="n"/>
    </row>
    <row r="4" ht="16" customHeight="1">
      <c r="A4" s="714" t="n">
        <v>42705</v>
      </c>
      <c r="B4" s="338" t="n">
        <v>4600</v>
      </c>
      <c r="C4" s="338" t="n">
        <v>7300</v>
      </c>
      <c r="D4" s="338" t="n"/>
      <c r="E4" s="338">
        <f>(C4+D4)</f>
        <v/>
      </c>
      <c r="F4" s="338" t="n"/>
      <c r="G4" s="338" t="n">
        <v>1650</v>
      </c>
      <c r="H4" s="338" t="n">
        <v>900</v>
      </c>
      <c r="I4" s="338" t="n">
        <v>975</v>
      </c>
      <c r="J4" s="338" t="n">
        <v>625</v>
      </c>
      <c r="K4" s="338" t="n"/>
      <c r="L4" s="338">
        <f>J4+K4</f>
        <v/>
      </c>
      <c r="M4" s="338" t="n">
        <v>850</v>
      </c>
      <c r="N4" s="338" t="n"/>
      <c r="O4" s="338" t="n"/>
      <c r="P4" s="338">
        <f>N4+O4</f>
        <v/>
      </c>
      <c r="Q4" s="338">
        <f>B4+SUM(E4:I4)+SUM(L4:M4)+P4</f>
        <v/>
      </c>
      <c r="R4" s="712" t="n"/>
    </row>
    <row r="5" ht="16" customHeight="1">
      <c r="A5" s="714" t="n">
        <v>42736</v>
      </c>
      <c r="B5" s="338" t="n">
        <v>4025</v>
      </c>
      <c r="C5" s="338" t="n">
        <v>5700</v>
      </c>
      <c r="D5" s="338" t="n"/>
      <c r="E5" s="338">
        <f>(C5+D5)</f>
        <v/>
      </c>
      <c r="F5" s="338" t="n"/>
      <c r="G5" s="338" t="n">
        <v>1325</v>
      </c>
      <c r="H5" s="338" t="n">
        <v>825</v>
      </c>
      <c r="I5" s="338" t="n">
        <v>875</v>
      </c>
      <c r="J5" s="338" t="n">
        <v>100</v>
      </c>
      <c r="K5" s="338" t="n"/>
      <c r="L5" s="338">
        <f>J5+K5</f>
        <v/>
      </c>
      <c r="M5" s="338" t="n">
        <v>900</v>
      </c>
      <c r="N5" s="338" t="n"/>
      <c r="O5" s="338" t="n"/>
      <c r="P5" s="338">
        <f>N5+O5</f>
        <v/>
      </c>
      <c r="Q5" s="338">
        <f>B5+SUM(E5:I5)+SUM(L5:M5)+P5</f>
        <v/>
      </c>
      <c r="R5" s="712" t="n"/>
    </row>
    <row r="6" ht="16" customHeight="1">
      <c r="A6" s="714" t="n">
        <v>42767</v>
      </c>
      <c r="B6" s="338" t="n">
        <v>5175</v>
      </c>
      <c r="C6" s="338" t="n">
        <v>7725</v>
      </c>
      <c r="D6" s="338" t="n"/>
      <c r="E6" s="338">
        <f>(C6+D6)</f>
        <v/>
      </c>
      <c r="F6" s="338" t="n"/>
      <c r="G6" s="338" t="n">
        <v>2125</v>
      </c>
      <c r="H6" s="338" t="n">
        <v>875</v>
      </c>
      <c r="I6" s="338" t="n">
        <v>1925</v>
      </c>
      <c r="J6" s="338" t="n">
        <v>750</v>
      </c>
      <c r="K6" s="338" t="n"/>
      <c r="L6" s="338">
        <f>J6+K6</f>
        <v/>
      </c>
      <c r="M6" s="338" t="n">
        <v>250</v>
      </c>
      <c r="N6" s="338" t="n"/>
      <c r="O6" s="338" t="n"/>
      <c r="P6" s="338">
        <f>N6+O6</f>
        <v/>
      </c>
      <c r="Q6" s="338">
        <f>B6+SUM(E6:I6)+SUM(L6:M6)+P6</f>
        <v/>
      </c>
      <c r="R6" s="712" t="n"/>
    </row>
    <row r="7" ht="16" customHeight="1">
      <c r="A7" s="714" t="n">
        <v>42795</v>
      </c>
      <c r="B7" s="338" t="n">
        <v>5850</v>
      </c>
      <c r="C7" s="338" t="n">
        <v>8200</v>
      </c>
      <c r="D7" s="338" t="n"/>
      <c r="E7" s="338">
        <f>(C7+D7)</f>
        <v/>
      </c>
      <c r="F7" s="338" t="n"/>
      <c r="G7" s="338" t="n">
        <v>2500</v>
      </c>
      <c r="H7" s="338" t="n">
        <v>825</v>
      </c>
      <c r="I7" s="338" t="n">
        <v>3350</v>
      </c>
      <c r="J7" s="338" t="n">
        <v>825</v>
      </c>
      <c r="K7" s="338" t="n"/>
      <c r="L7" s="338">
        <f>J7+K7</f>
        <v/>
      </c>
      <c r="M7" s="338" t="n">
        <v>100</v>
      </c>
      <c r="N7" s="338" t="n"/>
      <c r="O7" s="338" t="n">
        <v>325</v>
      </c>
      <c r="P7" s="338">
        <f>N7+O7</f>
        <v/>
      </c>
      <c r="Q7" s="338">
        <f>B7+SUM(E7:I7)+SUM(L7:M7)+P7</f>
        <v/>
      </c>
      <c r="R7" s="712" t="n"/>
    </row>
    <row r="8" ht="16" customHeight="1">
      <c r="A8" s="714" t="n">
        <v>42826</v>
      </c>
      <c r="B8" s="338" t="n">
        <v>4750</v>
      </c>
      <c r="C8" s="338" t="n">
        <v>6475</v>
      </c>
      <c r="D8" s="338" t="n"/>
      <c r="E8" s="338">
        <f>(C8+D8)</f>
        <v/>
      </c>
      <c r="F8" s="338" t="n"/>
      <c r="G8" s="338" t="n">
        <v>1850</v>
      </c>
      <c r="H8" s="338" t="n">
        <v>1200</v>
      </c>
      <c r="I8" s="338" t="n">
        <v>2625</v>
      </c>
      <c r="J8" s="338" t="n">
        <v>975</v>
      </c>
      <c r="K8" s="338" t="n"/>
      <c r="L8" s="338">
        <f>J8+K8</f>
        <v/>
      </c>
      <c r="M8" s="338" t="n">
        <v>25</v>
      </c>
      <c r="N8" s="338" t="n"/>
      <c r="O8" s="338" t="n">
        <v>950</v>
      </c>
      <c r="P8" s="338">
        <f>N8+O8</f>
        <v/>
      </c>
      <c r="Q8" s="338">
        <f>B8+SUM(E8:I8)+SUM(L8:M8)+P8</f>
        <v/>
      </c>
      <c r="R8" s="712" t="n"/>
    </row>
    <row r="9" ht="16" customHeight="1">
      <c r="A9" s="714" t="n">
        <v>42856</v>
      </c>
      <c r="B9" s="338" t="n">
        <v>7225</v>
      </c>
      <c r="C9" s="338" t="n">
        <v>6250</v>
      </c>
      <c r="D9" s="338" t="n"/>
      <c r="E9" s="338">
        <f>(C9+D9)</f>
        <v/>
      </c>
      <c r="F9" s="338" t="n"/>
      <c r="G9" s="338" t="n">
        <v>1575</v>
      </c>
      <c r="H9" s="338" t="n">
        <v>850</v>
      </c>
      <c r="I9" s="338" t="n">
        <v>2675</v>
      </c>
      <c r="J9" s="338" t="n">
        <v>750</v>
      </c>
      <c r="K9" s="338" t="n"/>
      <c r="L9" s="338">
        <f>J9+K9</f>
        <v/>
      </c>
      <c r="M9" s="338" t="n">
        <v>175</v>
      </c>
      <c r="N9" s="338" t="n"/>
      <c r="O9" s="338" t="n">
        <v>775</v>
      </c>
      <c r="P9" s="338">
        <f>N9+O9</f>
        <v/>
      </c>
      <c r="Q9" s="338">
        <f>B9+SUM(E9:I9)+SUM(L9:M9)+P9</f>
        <v/>
      </c>
      <c r="R9" s="712" t="n"/>
    </row>
    <row r="10" ht="16" customHeight="1">
      <c r="A10" s="714" t="n">
        <v>42887</v>
      </c>
      <c r="B10" s="338" t="n">
        <v>8300</v>
      </c>
      <c r="C10" s="338" t="n">
        <v>6200</v>
      </c>
      <c r="D10" s="338" t="n"/>
      <c r="E10" s="338">
        <f>(C10+D10)</f>
        <v/>
      </c>
      <c r="F10" s="338" t="n"/>
      <c r="G10" s="338" t="n">
        <v>1375</v>
      </c>
      <c r="H10" s="338" t="n">
        <v>925</v>
      </c>
      <c r="I10" s="338" t="n">
        <v>2250</v>
      </c>
      <c r="J10" s="338" t="n">
        <v>300</v>
      </c>
      <c r="K10" s="338" t="n"/>
      <c r="L10" s="338">
        <f>J10+K10</f>
        <v/>
      </c>
      <c r="M10" s="338" t="n">
        <v>950</v>
      </c>
      <c r="N10" s="338" t="n"/>
      <c r="O10" s="338" t="n">
        <v>725</v>
      </c>
      <c r="P10" s="338">
        <f>N10+O10</f>
        <v/>
      </c>
      <c r="Q10" s="338">
        <f>B10+SUM(E10:I10)+SUM(L10:M10)+P10</f>
        <v/>
      </c>
      <c r="R10" s="712" t="n"/>
    </row>
    <row r="11" ht="16" customHeight="1">
      <c r="A11" s="714" t="n">
        <v>42917</v>
      </c>
      <c r="B11" s="338" t="n">
        <v>0</v>
      </c>
      <c r="C11" s="338" t="n">
        <v>6425</v>
      </c>
      <c r="D11" s="338" t="n"/>
      <c r="E11" s="338">
        <f>(C11+D11)</f>
        <v/>
      </c>
      <c r="F11" s="338" t="n"/>
      <c r="G11" s="338" t="n">
        <v>1625</v>
      </c>
      <c r="H11" s="338" t="n">
        <v>0</v>
      </c>
      <c r="I11" s="338" t="n">
        <v>2500</v>
      </c>
      <c r="J11" s="338" t="n">
        <v>200</v>
      </c>
      <c r="K11" s="338" t="n"/>
      <c r="L11" s="338">
        <f>J11+K11</f>
        <v/>
      </c>
      <c r="M11" s="338" t="n">
        <v>1750</v>
      </c>
      <c r="N11" s="338" t="n"/>
      <c r="O11" s="338" t="n">
        <v>775</v>
      </c>
      <c r="P11" s="338">
        <f>N11+O11</f>
        <v/>
      </c>
      <c r="Q11" s="338">
        <f>B11+SUM(E11:I11)+SUM(L11:M11)+P11</f>
        <v/>
      </c>
      <c r="R11" s="712" t="n"/>
    </row>
    <row r="12" ht="16" customHeight="1">
      <c r="A12" s="714" t="n">
        <v>42948</v>
      </c>
      <c r="B12" s="338" t="n">
        <v>0</v>
      </c>
      <c r="C12" s="338" t="n">
        <v>7525</v>
      </c>
      <c r="D12" s="338" t="n"/>
      <c r="E12" s="338">
        <f>(C12+D12)</f>
        <v/>
      </c>
      <c r="F12" s="338" t="n"/>
      <c r="G12" s="338" t="n">
        <v>1950</v>
      </c>
      <c r="H12" s="338" t="n">
        <v>0</v>
      </c>
      <c r="I12" s="338" t="n">
        <v>2600</v>
      </c>
      <c r="J12" s="338" t="n">
        <v>25</v>
      </c>
      <c r="K12" s="338" t="n"/>
      <c r="L12" s="338">
        <f>J12+K12</f>
        <v/>
      </c>
      <c r="M12" s="338" t="n">
        <v>2450</v>
      </c>
      <c r="N12" s="338" t="n"/>
      <c r="O12" s="338" t="n">
        <v>975</v>
      </c>
      <c r="P12" s="338">
        <f>N12+O12</f>
        <v/>
      </c>
      <c r="Q12" s="338">
        <f>B12+SUM(E12:I12)+SUM(L12:M12)+P12</f>
        <v/>
      </c>
      <c r="R12" s="712" t="n"/>
    </row>
    <row r="13" ht="16" customHeight="1">
      <c r="A13" s="714" t="n">
        <v>42979</v>
      </c>
      <c r="B13" s="338" t="n">
        <v>0</v>
      </c>
      <c r="C13" s="338" t="n">
        <v>12775</v>
      </c>
      <c r="D13" s="338" t="n"/>
      <c r="E13" s="338">
        <f>(C13+D13)</f>
        <v/>
      </c>
      <c r="F13" s="338" t="n"/>
      <c r="G13" s="338" t="n">
        <v>3975</v>
      </c>
      <c r="H13" s="338" t="n">
        <v>0</v>
      </c>
      <c r="I13" s="338" t="n">
        <v>3650</v>
      </c>
      <c r="J13" s="338" t="n">
        <v>950</v>
      </c>
      <c r="K13" s="338" t="n"/>
      <c r="L13" s="338">
        <f>J13+K13</f>
        <v/>
      </c>
      <c r="M13" s="338" t="n">
        <v>2825</v>
      </c>
      <c r="N13" s="338" t="n"/>
      <c r="O13" s="338" t="n">
        <v>875</v>
      </c>
      <c r="P13" s="338">
        <f>N13+O13</f>
        <v/>
      </c>
      <c r="Q13" s="338">
        <f>B13+SUM(E13:I13)+SUM(L13:M13)+P13</f>
        <v/>
      </c>
      <c r="R13" s="712" t="n"/>
    </row>
    <row r="14" ht="16" customHeight="1">
      <c r="A14" s="714" t="n">
        <v>43009</v>
      </c>
      <c r="B14" s="338" t="n">
        <v>0</v>
      </c>
      <c r="C14" s="338" t="n">
        <v>13875</v>
      </c>
      <c r="D14" s="338" t="n"/>
      <c r="E14" s="338">
        <f>(C14+D14)</f>
        <v/>
      </c>
      <c r="F14" s="338" t="n"/>
      <c r="G14" s="338" t="n">
        <v>3825</v>
      </c>
      <c r="H14" s="338" t="n">
        <v>0</v>
      </c>
      <c r="I14" s="338" t="n">
        <v>3000</v>
      </c>
      <c r="J14" s="338" t="n">
        <v>675</v>
      </c>
      <c r="K14" s="338" t="n"/>
      <c r="L14" s="338">
        <f>J14+K14</f>
        <v/>
      </c>
      <c r="M14" s="338" t="n">
        <v>3025</v>
      </c>
      <c r="N14" s="338" t="n"/>
      <c r="O14" s="338" t="n">
        <v>775</v>
      </c>
      <c r="P14" s="338">
        <f>N14+O14</f>
        <v/>
      </c>
      <c r="Q14" s="338">
        <f>B14+SUM(E14:I14)+SUM(L14:M14)+P14</f>
        <v/>
      </c>
      <c r="R14" s="712" t="n"/>
    </row>
    <row r="15" ht="16" customHeight="1">
      <c r="A15" s="714" t="n">
        <v>43040</v>
      </c>
      <c r="B15" s="338" t="n">
        <v>0</v>
      </c>
      <c r="C15" s="338" t="n">
        <v>16550</v>
      </c>
      <c r="D15" s="338" t="n"/>
      <c r="E15" s="338">
        <f>(C15+D15)</f>
        <v/>
      </c>
      <c r="F15" s="338" t="n"/>
      <c r="G15" s="338" t="n">
        <v>4600</v>
      </c>
      <c r="H15" s="338" t="n">
        <v>675</v>
      </c>
      <c r="I15" s="338" t="n">
        <v>3300</v>
      </c>
      <c r="J15" s="338" t="n">
        <v>875</v>
      </c>
      <c r="K15" s="338" t="n"/>
      <c r="L15" s="338">
        <f>J15+K15</f>
        <v/>
      </c>
      <c r="M15" s="338" t="n">
        <v>3900</v>
      </c>
      <c r="N15" s="338" t="n"/>
      <c r="O15" s="338" t="n">
        <v>200</v>
      </c>
      <c r="P15" s="338">
        <f>N15+O15</f>
        <v/>
      </c>
      <c r="Q15" s="338">
        <f>B15+SUM(E15:I15)+SUM(L15:M15)+P15</f>
        <v/>
      </c>
      <c r="R15" s="712" t="n"/>
    </row>
    <row r="16" ht="16" customHeight="1">
      <c r="A16" s="714" t="n">
        <v>43070</v>
      </c>
      <c r="B16" s="338" t="n">
        <v>0</v>
      </c>
      <c r="C16" s="338" t="n">
        <v>17675</v>
      </c>
      <c r="D16" s="338" t="n"/>
      <c r="E16" s="338">
        <f>(C16+D16)</f>
        <v/>
      </c>
      <c r="F16" s="338" t="n"/>
      <c r="G16" s="338" t="n">
        <v>3400</v>
      </c>
      <c r="H16" s="338" t="n">
        <v>675</v>
      </c>
      <c r="I16" s="338" t="n">
        <v>2500</v>
      </c>
      <c r="J16" s="338" t="n">
        <v>675</v>
      </c>
      <c r="K16" s="338" t="n"/>
      <c r="L16" s="338">
        <f>J16+K16</f>
        <v/>
      </c>
      <c r="M16" s="338" t="n">
        <v>4525</v>
      </c>
      <c r="N16" s="338" t="n"/>
      <c r="O16" s="338" t="n">
        <v>750</v>
      </c>
      <c r="P16" s="338">
        <f>N16+O16</f>
        <v/>
      </c>
      <c r="Q16" s="338">
        <f>B16+SUM(E16:I16)+SUM(L16:M16)+P16</f>
        <v/>
      </c>
      <c r="R16" s="712" t="n"/>
    </row>
    <row r="17" ht="16" customHeight="1">
      <c r="A17" s="714" t="n">
        <v>43101</v>
      </c>
      <c r="B17" s="338" t="n">
        <v>2825</v>
      </c>
      <c r="C17" s="338" t="n">
        <v>15750</v>
      </c>
      <c r="D17" s="338" t="n"/>
      <c r="E17" s="338">
        <f>(C17+D17)</f>
        <v/>
      </c>
      <c r="F17" s="338" t="n"/>
      <c r="G17" s="338" t="n">
        <v>1975</v>
      </c>
      <c r="H17" s="338" t="n">
        <v>1200</v>
      </c>
      <c r="I17" s="338" t="n">
        <v>2075</v>
      </c>
      <c r="J17" s="338" t="n">
        <v>875</v>
      </c>
      <c r="K17" s="338" t="n"/>
      <c r="L17" s="338">
        <f>J17+K17</f>
        <v/>
      </c>
      <c r="M17" s="338" t="n">
        <v>2450</v>
      </c>
      <c r="N17" s="338" t="n"/>
      <c r="O17" s="338" t="n">
        <v>825</v>
      </c>
      <c r="P17" s="338">
        <f>N17+O17</f>
        <v/>
      </c>
      <c r="Q17" s="338">
        <f>B17+SUM(E17:I17)+SUM(L17:M17)+P17</f>
        <v/>
      </c>
      <c r="R17" s="712" t="n"/>
    </row>
    <row r="18" ht="16" customHeight="1">
      <c r="A18" s="714" t="n">
        <v>43132</v>
      </c>
      <c r="B18" s="338" t="n">
        <v>6300</v>
      </c>
      <c r="C18" s="338" t="n">
        <v>7950</v>
      </c>
      <c r="D18" s="338" t="n"/>
      <c r="E18" s="338">
        <f>(C18+D18)</f>
        <v/>
      </c>
      <c r="F18" s="338" t="n"/>
      <c r="G18" s="338" t="n">
        <v>1900</v>
      </c>
      <c r="H18" s="338" t="n">
        <v>625</v>
      </c>
      <c r="I18" s="338" t="n">
        <v>1700</v>
      </c>
      <c r="J18" s="338" t="n">
        <v>525</v>
      </c>
      <c r="K18" s="338" t="n"/>
      <c r="L18" s="338">
        <f>J18+K18</f>
        <v/>
      </c>
      <c r="M18" s="338" t="n">
        <v>2125</v>
      </c>
      <c r="N18" s="338" t="n"/>
      <c r="O18" s="338" t="n">
        <v>700</v>
      </c>
      <c r="P18" s="338">
        <f>N18+O18</f>
        <v/>
      </c>
      <c r="Q18" s="338">
        <f>B18+SUM(E18:I18)+SUM(L18:M18)+P18</f>
        <v/>
      </c>
      <c r="R18" s="712" t="n"/>
    </row>
    <row r="19" ht="16" customHeight="1">
      <c r="A19" s="714" t="n">
        <v>43160</v>
      </c>
      <c r="B19" s="338" t="n">
        <v>6100</v>
      </c>
      <c r="C19" s="338" t="n">
        <v>9275</v>
      </c>
      <c r="D19" s="338" t="n"/>
      <c r="E19" s="338">
        <f>(C19+D19)</f>
        <v/>
      </c>
      <c r="F19" s="338" t="n"/>
      <c r="G19" s="338" t="n">
        <v>2150</v>
      </c>
      <c r="H19" s="338" t="n">
        <v>875</v>
      </c>
      <c r="I19" s="338" t="n">
        <v>2550</v>
      </c>
      <c r="J19" s="338" t="n">
        <v>900</v>
      </c>
      <c r="K19" s="338" t="n"/>
      <c r="L19" s="338">
        <f>J19+K19</f>
        <v/>
      </c>
      <c r="M19" s="338" t="n">
        <v>2725</v>
      </c>
      <c r="N19" s="338" t="n"/>
      <c r="O19" s="338" t="n">
        <v>725</v>
      </c>
      <c r="P19" s="338">
        <f>N19+O19</f>
        <v/>
      </c>
      <c r="Q19" s="338">
        <f>B19+SUM(E19:I19)+SUM(L19:M19)+P19</f>
        <v/>
      </c>
      <c r="R19" s="712" t="n"/>
    </row>
    <row r="20" ht="16" customHeight="1">
      <c r="A20" s="714" t="n">
        <v>43191</v>
      </c>
      <c r="B20" s="338" t="n">
        <v>4950</v>
      </c>
      <c r="C20" s="338" t="n">
        <v>10850</v>
      </c>
      <c r="D20" s="338" t="n"/>
      <c r="E20" s="338">
        <f>(C20+D20)</f>
        <v/>
      </c>
      <c r="F20" s="338" t="n"/>
      <c r="G20" s="338" t="n">
        <v>1875</v>
      </c>
      <c r="H20" s="338" t="n">
        <v>900</v>
      </c>
      <c r="I20" s="338" t="n">
        <v>2525</v>
      </c>
      <c r="J20" s="338" t="n">
        <v>900</v>
      </c>
      <c r="K20" s="338" t="n"/>
      <c r="L20" s="338">
        <f>J20+K20</f>
        <v/>
      </c>
      <c r="M20" s="338" t="n">
        <v>2475</v>
      </c>
      <c r="N20" s="338" t="n"/>
      <c r="O20" s="338" t="n">
        <v>750</v>
      </c>
      <c r="P20" s="338">
        <f>N20+O20</f>
        <v/>
      </c>
      <c r="Q20" s="338">
        <f>B20+SUM(E20:I20)+SUM(L20:M20)+P20</f>
        <v/>
      </c>
      <c r="R20" s="712" t="n"/>
    </row>
    <row r="21" ht="16" customHeight="1">
      <c r="A21" s="714" t="n">
        <v>43221</v>
      </c>
      <c r="B21" s="338" t="n">
        <v>5850</v>
      </c>
      <c r="C21" s="338" t="n">
        <v>18650</v>
      </c>
      <c r="D21" s="338" t="n"/>
      <c r="E21" s="338">
        <f>(C21+D21)</f>
        <v/>
      </c>
      <c r="F21" s="338" t="n"/>
      <c r="G21" s="338" t="n">
        <v>1350</v>
      </c>
      <c r="H21" s="338" t="n">
        <v>1625</v>
      </c>
      <c r="I21" s="338" t="n">
        <v>3000</v>
      </c>
      <c r="J21" s="338" t="n">
        <v>1025</v>
      </c>
      <c r="K21" s="338" t="n"/>
      <c r="L21" s="338">
        <f>J21+K21</f>
        <v/>
      </c>
      <c r="M21" s="338" t="n">
        <v>4875</v>
      </c>
      <c r="N21" s="338" t="n"/>
      <c r="O21" s="338" t="n">
        <v>825</v>
      </c>
      <c r="P21" s="338">
        <f>N21+O21</f>
        <v/>
      </c>
      <c r="Q21" s="338">
        <f>B21+SUM(E21:I21)+SUM(L21:M21)+P21</f>
        <v/>
      </c>
      <c r="R21" s="712" t="n"/>
    </row>
    <row r="22" ht="16" customHeight="1">
      <c r="A22" s="714" t="n">
        <v>43252</v>
      </c>
      <c r="B22" s="338" t="n">
        <v>6150</v>
      </c>
      <c r="C22" s="338" t="n">
        <v>13025</v>
      </c>
      <c r="D22" s="338" t="n"/>
      <c r="E22" s="338">
        <f>(C22+D22)</f>
        <v/>
      </c>
      <c r="F22" s="338" t="n"/>
      <c r="G22" s="338" t="n">
        <v>0</v>
      </c>
      <c r="H22" s="338" t="n">
        <v>725</v>
      </c>
      <c r="I22" s="338" t="n">
        <v>1725</v>
      </c>
      <c r="J22" s="338" t="n">
        <v>725</v>
      </c>
      <c r="K22" s="338" t="n"/>
      <c r="L22" s="338">
        <f>J22+K22</f>
        <v/>
      </c>
      <c r="M22" s="338" t="n">
        <v>4775</v>
      </c>
      <c r="N22" s="338" t="n"/>
      <c r="O22" s="338" t="n">
        <v>775</v>
      </c>
      <c r="P22" s="338">
        <f>N22+O22</f>
        <v/>
      </c>
      <c r="Q22" s="338">
        <f>B22+SUM(E22:I22)+SUM(L22:M22)+P22</f>
        <v/>
      </c>
      <c r="R22" s="712" t="n"/>
    </row>
    <row r="23" ht="16" customHeight="1">
      <c r="A23" s="714" t="n">
        <v>43282</v>
      </c>
      <c r="B23" s="337" t="n">
        <v>6675</v>
      </c>
      <c r="C23" s="337" t="n">
        <v>11525</v>
      </c>
      <c r="D23" s="337" t="n"/>
      <c r="E23" s="338">
        <f>(C23+D23)</f>
        <v/>
      </c>
      <c r="F23" s="337" t="n"/>
      <c r="G23" s="337" t="n">
        <v>0</v>
      </c>
      <c r="H23" s="337" t="n">
        <v>825</v>
      </c>
      <c r="I23" s="337" t="n">
        <v>100</v>
      </c>
      <c r="J23" s="337" t="n">
        <v>800</v>
      </c>
      <c r="K23" s="337" t="n"/>
      <c r="L23" s="338">
        <f>J23+K23</f>
        <v/>
      </c>
      <c r="M23" s="337" t="n">
        <v>4900</v>
      </c>
      <c r="N23" s="337" t="n"/>
      <c r="O23" s="337" t="n">
        <v>850</v>
      </c>
      <c r="P23" s="338">
        <f>N23+O23</f>
        <v/>
      </c>
      <c r="Q23" s="338">
        <f>B23+SUM(E23:I23)+SUM(L23:M23)+P23</f>
        <v/>
      </c>
      <c r="R23" s="712" t="n"/>
    </row>
    <row r="24" ht="16" customHeight="1">
      <c r="A24" s="714" t="n">
        <v>43313</v>
      </c>
      <c r="B24" s="337" t="n">
        <v>4449</v>
      </c>
      <c r="C24" s="337" t="n">
        <v>8041.3</v>
      </c>
      <c r="D24" s="337" t="n"/>
      <c r="E24" s="338">
        <f>(C24+D24)</f>
        <v/>
      </c>
      <c r="F24" s="337" t="n">
        <v>106</v>
      </c>
      <c r="G24" s="337" t="n">
        <v>0</v>
      </c>
      <c r="H24" s="337" t="n">
        <v>402.3</v>
      </c>
      <c r="I24" s="337" t="n">
        <v>596.5</v>
      </c>
      <c r="J24" s="337" t="n">
        <v>1049.5</v>
      </c>
      <c r="K24" s="337" t="n">
        <v>79.5</v>
      </c>
      <c r="L24" s="338">
        <f>J24+K24</f>
        <v/>
      </c>
      <c r="M24" s="337" t="n">
        <v>698</v>
      </c>
      <c r="N24" s="337" t="n">
        <v>410</v>
      </c>
      <c r="O24" s="337" t="n">
        <v>801.8</v>
      </c>
      <c r="P24" s="338">
        <f>N24+O24</f>
        <v/>
      </c>
      <c r="Q24" s="338">
        <f>B24+SUM(E24:I24)+SUM(L24:M24)+P24</f>
        <v/>
      </c>
      <c r="R24" s="712" t="n"/>
    </row>
    <row r="25" ht="16" customHeight="1">
      <c r="A25" s="714" t="n">
        <v>43344</v>
      </c>
      <c r="B25" s="337" t="n">
        <v>4678</v>
      </c>
      <c r="C25" s="337" t="n">
        <v>7819.5</v>
      </c>
      <c r="D25" s="337" t="n"/>
      <c r="E25" s="338">
        <f>(C25+D25)</f>
        <v/>
      </c>
      <c r="F25" s="337" t="n">
        <v>92</v>
      </c>
      <c r="G25" s="337" t="n">
        <v>0</v>
      </c>
      <c r="H25" s="337" t="n">
        <v>623</v>
      </c>
      <c r="I25" s="337" t="n">
        <v>1688.05</v>
      </c>
      <c r="J25" s="337" t="n">
        <v>542</v>
      </c>
      <c r="K25" s="337" t="n">
        <v>427</v>
      </c>
      <c r="L25" s="338">
        <f>J25+K25</f>
        <v/>
      </c>
      <c r="M25" s="337" t="n">
        <v>1428.5</v>
      </c>
      <c r="N25" s="337" t="n">
        <v>464</v>
      </c>
      <c r="O25" s="337" t="n">
        <v>432</v>
      </c>
      <c r="P25" s="338">
        <f>N25+O25</f>
        <v/>
      </c>
      <c r="Q25" s="338">
        <f>B25+SUM(E25:I25)+SUM(L25:M25)+P25</f>
        <v/>
      </c>
      <c r="R25" s="712" t="n"/>
    </row>
    <row r="26" ht="16" customHeight="1">
      <c r="A26" s="714" t="n">
        <v>43374</v>
      </c>
      <c r="B26" s="337" t="n">
        <v>7165.5</v>
      </c>
      <c r="C26" s="337" t="n">
        <v>10113</v>
      </c>
      <c r="D26" s="337" t="n"/>
      <c r="E26" s="338">
        <f>(C26+D26)</f>
        <v/>
      </c>
      <c r="F26" s="337" t="n">
        <v>147.5</v>
      </c>
      <c r="G26" s="337" t="n">
        <v>61.5</v>
      </c>
      <c r="H26" s="337" t="n">
        <v>993.5</v>
      </c>
      <c r="I26" s="337" t="n">
        <v>3076.5</v>
      </c>
      <c r="J26" s="337" t="n">
        <v>518.5</v>
      </c>
      <c r="K26" s="337" t="n">
        <v>866.5</v>
      </c>
      <c r="L26" s="338">
        <f>J26+K26</f>
        <v/>
      </c>
      <c r="M26" s="337" t="n">
        <v>1943</v>
      </c>
      <c r="N26" s="337" t="n">
        <v>771</v>
      </c>
      <c r="O26" s="337" t="n">
        <v>401.5</v>
      </c>
      <c r="P26" s="338">
        <f>N26+O26</f>
        <v/>
      </c>
      <c r="Q26" s="338">
        <f>B26+SUM(E26:I26)+SUM(L26:M26)+P26</f>
        <v/>
      </c>
      <c r="R26" s="712" t="n"/>
    </row>
    <row r="27" ht="16" customHeight="1">
      <c r="A27" s="714" t="n">
        <v>43405</v>
      </c>
      <c r="B27" s="337" t="n">
        <v>9863.5</v>
      </c>
      <c r="C27" s="337" t="n">
        <v>10139</v>
      </c>
      <c r="D27" s="337" t="n"/>
      <c r="E27" s="338">
        <f>(C27+D27)</f>
        <v/>
      </c>
      <c r="F27" s="337" t="n">
        <v>311</v>
      </c>
      <c r="G27" s="337" t="n">
        <v>757</v>
      </c>
      <c r="H27" s="337" t="n">
        <v>737</v>
      </c>
      <c r="I27" s="337" t="n">
        <v>3278</v>
      </c>
      <c r="J27" s="337" t="n">
        <v>148</v>
      </c>
      <c r="K27" s="337" t="n">
        <v>744</v>
      </c>
      <c r="L27" s="338">
        <f>J27+K27</f>
        <v/>
      </c>
      <c r="M27" s="337" t="n">
        <v>1859</v>
      </c>
      <c r="N27" s="337" t="n">
        <v>701</v>
      </c>
      <c r="O27" s="337" t="n">
        <v>355</v>
      </c>
      <c r="P27" s="338">
        <f>N27+O27</f>
        <v/>
      </c>
      <c r="Q27" s="338">
        <f>B27+SUM(E27:I27)+SUM(L27:M27)+P27</f>
        <v/>
      </c>
      <c r="R27" s="712" t="n"/>
    </row>
    <row r="28" ht="16" customHeight="1">
      <c r="A28" s="714" t="n">
        <v>43435</v>
      </c>
      <c r="B28" s="337" t="n">
        <v>6931</v>
      </c>
      <c r="C28" s="337" t="n">
        <v>7915</v>
      </c>
      <c r="D28" s="337" t="n"/>
      <c r="E28" s="338">
        <f>(C28+D28)</f>
        <v/>
      </c>
      <c r="F28" s="337" t="n">
        <v>328.5</v>
      </c>
      <c r="G28" s="337" t="n">
        <v>877</v>
      </c>
      <c r="H28" s="337" t="n">
        <v>794.5</v>
      </c>
      <c r="I28" s="337" t="n">
        <v>2441</v>
      </c>
      <c r="J28" s="337" t="n">
        <v>384.5</v>
      </c>
      <c r="K28" s="337" t="n">
        <v>628.5</v>
      </c>
      <c r="L28" s="338">
        <f>J28+K28</f>
        <v/>
      </c>
      <c r="M28" s="337" t="n">
        <v>2771</v>
      </c>
      <c r="N28" s="337" t="n">
        <v>873</v>
      </c>
      <c r="O28" s="337" t="n">
        <v>590.5</v>
      </c>
      <c r="P28" s="338">
        <f>N28+O28</f>
        <v/>
      </c>
      <c r="Q28" s="338">
        <f>B28+SUM(E28:I28)+SUM(L28:M28)+P28</f>
        <v/>
      </c>
      <c r="R28" s="712" t="n"/>
    </row>
    <row r="29" ht="16" customHeight="1">
      <c r="A29" s="714" t="n">
        <v>43466</v>
      </c>
      <c r="B29" s="337" t="n">
        <v>6138</v>
      </c>
      <c r="C29" s="337" t="n">
        <v>6203</v>
      </c>
      <c r="D29" s="337" t="n"/>
      <c r="E29" s="338">
        <f>(C29+D29)</f>
        <v/>
      </c>
      <c r="F29" s="337" t="n">
        <v>519</v>
      </c>
      <c r="G29" s="337" t="n">
        <v>642</v>
      </c>
      <c r="H29" s="337" t="n">
        <v>702</v>
      </c>
      <c r="I29" s="337" t="n">
        <v>2362.5</v>
      </c>
      <c r="J29" s="337" t="n">
        <v>538.5</v>
      </c>
      <c r="K29" s="337" t="n">
        <v>464</v>
      </c>
      <c r="L29" s="338">
        <f>J29+K29</f>
        <v/>
      </c>
      <c r="M29" s="337" t="n">
        <v>2805</v>
      </c>
      <c r="N29" s="337" t="n">
        <v>722.5</v>
      </c>
      <c r="O29" s="337" t="n">
        <v>661</v>
      </c>
      <c r="P29" s="338">
        <f>N29+O29</f>
        <v/>
      </c>
      <c r="Q29" s="338">
        <f>B29+SUM(E29:I29)+SUM(L29:M29)+P29</f>
        <v/>
      </c>
      <c r="R29" s="712" t="n"/>
    </row>
    <row r="30" ht="16" customHeight="1">
      <c r="A30" s="714" t="n">
        <v>43497</v>
      </c>
      <c r="B30" s="337" t="n">
        <v>8182.5</v>
      </c>
      <c r="C30" s="337" t="n">
        <v>7480</v>
      </c>
      <c r="D30" s="337" t="n"/>
      <c r="E30" s="338">
        <f>(C30+D30)</f>
        <v/>
      </c>
      <c r="F30" s="337" t="n">
        <v>436</v>
      </c>
      <c r="G30" s="337" t="n">
        <v>550</v>
      </c>
      <c r="H30" s="337" t="n">
        <v>788</v>
      </c>
      <c r="I30" s="337" t="n">
        <v>2829</v>
      </c>
      <c r="J30" s="337" t="n">
        <v>573</v>
      </c>
      <c r="K30" s="337" t="n">
        <v>391</v>
      </c>
      <c r="L30" s="338">
        <f>J30+K30</f>
        <v/>
      </c>
      <c r="M30" s="337" t="n">
        <v>2159.5</v>
      </c>
      <c r="N30" s="337" t="n">
        <v>572.5</v>
      </c>
      <c r="O30" s="337" t="n">
        <v>623</v>
      </c>
      <c r="P30" s="338">
        <f>N30+O30</f>
        <v/>
      </c>
      <c r="Q30" s="338">
        <f>B30+SUM(E30:I30)+SUM(L30:M30)+P30</f>
        <v/>
      </c>
      <c r="R30" s="712" t="n"/>
    </row>
    <row r="31" ht="16" customHeight="1">
      <c r="A31" s="714" t="n">
        <v>43525</v>
      </c>
      <c r="B31" s="337" t="n">
        <v>10408</v>
      </c>
      <c r="C31" s="337" t="n">
        <v>8673.5</v>
      </c>
      <c r="D31" s="337" t="n"/>
      <c r="E31" s="338">
        <f>(C31+D31)</f>
        <v/>
      </c>
      <c r="F31" s="337" t="n">
        <v>810</v>
      </c>
      <c r="G31" s="337" t="n">
        <v>797.5</v>
      </c>
      <c r="H31" s="337" t="n">
        <v>818.5</v>
      </c>
      <c r="I31" s="337" t="n">
        <v>3365.5</v>
      </c>
      <c r="J31" s="337" t="n">
        <v>1174</v>
      </c>
      <c r="K31" s="337" t="n">
        <v>720.5</v>
      </c>
      <c r="L31" s="338">
        <f>J31+K31</f>
        <v/>
      </c>
      <c r="M31" s="337" t="n">
        <v>2328.5</v>
      </c>
      <c r="N31" s="337" t="n">
        <v>1050</v>
      </c>
      <c r="O31" s="337" t="n">
        <v>784.5</v>
      </c>
      <c r="P31" s="338">
        <f>N31+O31</f>
        <v/>
      </c>
      <c r="Q31" s="338">
        <f>B31+SUM(E31:I31)+SUM(L31:M31)+P31</f>
        <v/>
      </c>
      <c r="R31" s="712" t="n"/>
    </row>
    <row r="32" ht="16" customHeight="1">
      <c r="A32" s="714" t="n">
        <v>43556</v>
      </c>
      <c r="B32" s="337" t="n">
        <v>9209.5</v>
      </c>
      <c r="C32" s="337" t="n">
        <v>11363</v>
      </c>
      <c r="D32" s="337" t="n"/>
      <c r="E32" s="338">
        <f>(C32+D32)</f>
        <v/>
      </c>
      <c r="F32" s="337" t="n">
        <v>329</v>
      </c>
      <c r="G32" s="337" t="n">
        <v>864</v>
      </c>
      <c r="H32" s="337" t="n">
        <v>815.5</v>
      </c>
      <c r="I32" s="337" t="n">
        <v>3463</v>
      </c>
      <c r="J32" s="337" t="n">
        <v>1044.5</v>
      </c>
      <c r="K32" s="337" t="n">
        <v>470.5</v>
      </c>
      <c r="L32" s="338">
        <f>J32+K32</f>
        <v/>
      </c>
      <c r="M32" s="337" t="n">
        <v>2543</v>
      </c>
      <c r="N32" s="337" t="n">
        <v>1346.5</v>
      </c>
      <c r="O32" s="337" t="n">
        <v>1086</v>
      </c>
      <c r="P32" s="338">
        <f>N32+O32</f>
        <v/>
      </c>
      <c r="Q32" s="338">
        <f>B32+SUM(E32:I32)+SUM(L32:M32)+P32</f>
        <v/>
      </c>
      <c r="R32" s="712" t="n"/>
    </row>
    <row r="33" ht="16" customHeight="1">
      <c r="A33" s="714" t="n">
        <v>43586</v>
      </c>
      <c r="B33" s="337" t="n">
        <v>11016.5</v>
      </c>
      <c r="C33" s="337" t="n">
        <v>9187</v>
      </c>
      <c r="D33" s="337" t="n"/>
      <c r="E33" s="338">
        <f>(C33+D33)</f>
        <v/>
      </c>
      <c r="F33" s="337" t="n">
        <v>0</v>
      </c>
      <c r="G33" s="337" t="n">
        <v>552.5</v>
      </c>
      <c r="H33" s="337" t="n">
        <v>919</v>
      </c>
      <c r="I33" s="337" t="n">
        <v>3833</v>
      </c>
      <c r="J33" s="337" t="n">
        <v>1153.5</v>
      </c>
      <c r="K33" s="337" t="n">
        <v>177</v>
      </c>
      <c r="L33" s="338">
        <f>J33+K33</f>
        <v/>
      </c>
      <c r="M33" s="337" t="n">
        <v>2498</v>
      </c>
      <c r="N33" s="337" t="n">
        <v>1177</v>
      </c>
      <c r="O33" s="337" t="n">
        <v>1150.5</v>
      </c>
      <c r="P33" s="338">
        <f>N33+O33</f>
        <v/>
      </c>
      <c r="Q33" s="338">
        <f>B33+SUM(E33:I33)+SUM(L33:M33)+P33</f>
        <v/>
      </c>
      <c r="R33" s="712" t="n"/>
    </row>
    <row r="34" ht="16" customHeight="1">
      <c r="A34" s="714" t="n">
        <v>43617</v>
      </c>
      <c r="B34" s="337" t="n">
        <v>10993.5</v>
      </c>
      <c r="C34" s="337" t="n">
        <v>2631</v>
      </c>
      <c r="D34" s="337" t="n"/>
      <c r="E34" s="338">
        <f>(C34+D34)</f>
        <v/>
      </c>
      <c r="F34" s="337" t="n">
        <v>155.5</v>
      </c>
      <c r="G34" s="337" t="n">
        <v>1099</v>
      </c>
      <c r="H34" s="337" t="n">
        <v>0</v>
      </c>
      <c r="I34" s="337" t="n">
        <v>3305.5</v>
      </c>
      <c r="J34" s="337" t="n">
        <v>650</v>
      </c>
      <c r="K34" s="337" t="n">
        <v>201.5</v>
      </c>
      <c r="L34" s="338">
        <f>J34+K34</f>
        <v/>
      </c>
      <c r="M34" s="337" t="n">
        <v>2776.5</v>
      </c>
      <c r="N34" s="337" t="n">
        <v>522.5</v>
      </c>
      <c r="O34" s="337" t="n">
        <v>827.5</v>
      </c>
      <c r="P34" s="338">
        <f>N34+O34</f>
        <v/>
      </c>
      <c r="Q34" s="338">
        <f>B34+SUM(E34:I34)+SUM(L34:M34)+P34</f>
        <v/>
      </c>
      <c r="R34" s="712" t="n"/>
    </row>
    <row r="35" ht="16" customHeight="1">
      <c r="A35" s="714" t="n">
        <v>43647</v>
      </c>
      <c r="B35" s="338" t="n">
        <v>10186</v>
      </c>
      <c r="C35" s="338" t="n">
        <v>1470.5</v>
      </c>
      <c r="D35" s="338" t="n"/>
      <c r="E35" s="338">
        <f>(C35+D35)</f>
        <v/>
      </c>
      <c r="F35" s="338" t="n">
        <v>0</v>
      </c>
      <c r="G35" s="338" t="n">
        <v>1016</v>
      </c>
      <c r="H35" s="338" t="n">
        <v>44.5</v>
      </c>
      <c r="I35" s="338" t="n">
        <v>3162</v>
      </c>
      <c r="J35" s="338" t="n">
        <v>854</v>
      </c>
      <c r="K35" s="338" t="n">
        <v>26</v>
      </c>
      <c r="L35" s="338">
        <f>J35+K35</f>
        <v/>
      </c>
      <c r="M35" s="338" t="n">
        <v>2117</v>
      </c>
      <c r="N35" s="338" t="n">
        <v>0</v>
      </c>
      <c r="O35" s="338" t="n">
        <v>690</v>
      </c>
      <c r="P35" s="338">
        <f>N35+O35</f>
        <v/>
      </c>
      <c r="Q35" s="338">
        <f>B35+SUM(E35:I35)+SUM(L35:M35)+P35</f>
        <v/>
      </c>
      <c r="R35" s="712" t="n"/>
    </row>
    <row r="36" ht="16" customHeight="1">
      <c r="A36" s="714" t="n">
        <v>43678</v>
      </c>
      <c r="B36" s="338" t="n">
        <v>10046.5</v>
      </c>
      <c r="C36" s="338" t="n">
        <v>2820.5</v>
      </c>
      <c r="D36" s="338" t="n"/>
      <c r="E36" s="338">
        <f>(C36+D36)</f>
        <v/>
      </c>
      <c r="F36" s="338" t="n">
        <v>0</v>
      </c>
      <c r="G36" s="338" t="n">
        <v>1861</v>
      </c>
      <c r="H36" s="338" t="n">
        <v>0</v>
      </c>
      <c r="I36" s="338" t="n">
        <v>4044</v>
      </c>
      <c r="J36" s="338" t="n">
        <v>892.5</v>
      </c>
      <c r="K36" s="338" t="n">
        <v>115.5</v>
      </c>
      <c r="L36" s="338">
        <f>J36+K36</f>
        <v/>
      </c>
      <c r="M36" s="338" t="n">
        <v>3266</v>
      </c>
      <c r="N36" s="338" t="n">
        <v>570</v>
      </c>
      <c r="O36" s="338" t="n">
        <v>982</v>
      </c>
      <c r="P36" s="338">
        <f>N36+O36</f>
        <v/>
      </c>
      <c r="Q36" s="338">
        <f>B36+SUM(E36:I36)+SUM(L36:M36)+P36</f>
        <v/>
      </c>
      <c r="R36" s="712" t="n"/>
    </row>
    <row r="37" ht="16" customHeight="1">
      <c r="A37" s="714" t="n">
        <v>43709</v>
      </c>
      <c r="B37" s="337" t="n">
        <v>10054.5</v>
      </c>
      <c r="C37" s="337" t="n">
        <v>12670</v>
      </c>
      <c r="D37" s="337" t="n"/>
      <c r="E37" s="338">
        <f>(C37+D37)</f>
        <v/>
      </c>
      <c r="F37" s="337" t="n">
        <v>0</v>
      </c>
      <c r="G37" s="337" t="n">
        <v>2183</v>
      </c>
      <c r="H37" s="337" t="n">
        <v>661.5</v>
      </c>
      <c r="I37" s="337" t="n">
        <v>3391</v>
      </c>
      <c r="J37" s="337" t="n">
        <v>1247.5</v>
      </c>
      <c r="K37" s="337" t="n">
        <v>270</v>
      </c>
      <c r="L37" s="338">
        <f>J37+K37</f>
        <v/>
      </c>
      <c r="M37" s="337" t="n">
        <v>2346</v>
      </c>
      <c r="N37" s="337" t="n">
        <v>1577.5</v>
      </c>
      <c r="O37" s="337" t="n">
        <v>478.5</v>
      </c>
      <c r="P37" s="338">
        <f>N37+O37</f>
        <v/>
      </c>
      <c r="Q37" s="338">
        <f>B37+SUM(E37:I37)+SUM(L37:M37)+P37</f>
        <v/>
      </c>
      <c r="R37" s="712" t="n"/>
    </row>
    <row r="38" ht="16" customHeight="1">
      <c r="A38" s="714" t="n">
        <v>43739</v>
      </c>
      <c r="B38" s="337" t="n">
        <v>9752</v>
      </c>
      <c r="C38" s="337" t="n">
        <v>15110</v>
      </c>
      <c r="D38" s="337" t="n"/>
      <c r="E38" s="338">
        <f>(C38+D38)</f>
        <v/>
      </c>
      <c r="F38" s="337" t="n">
        <v>1132</v>
      </c>
      <c r="G38" s="337" t="n">
        <v>2105</v>
      </c>
      <c r="H38" s="337" t="n">
        <v>459</v>
      </c>
      <c r="I38" s="337" t="n">
        <v>3258</v>
      </c>
      <c r="J38" s="337" t="n">
        <v>742</v>
      </c>
      <c r="K38" s="337" t="n">
        <v>65</v>
      </c>
      <c r="L38" s="338">
        <f>J38+K38</f>
        <v/>
      </c>
      <c r="M38" s="337" t="n">
        <v>3256</v>
      </c>
      <c r="N38" s="337" t="n">
        <v>1197</v>
      </c>
      <c r="O38" s="337" t="n">
        <v>648</v>
      </c>
      <c r="P38" s="338">
        <f>N38+O38</f>
        <v/>
      </c>
      <c r="Q38" s="338">
        <f>B38+SUM(E38:I38)+SUM(L38:M38)+P38</f>
        <v/>
      </c>
      <c r="R38" s="712" t="n"/>
    </row>
    <row r="39" ht="16" customHeight="1">
      <c r="A39" s="714" t="n">
        <v>43770</v>
      </c>
      <c r="B39" s="337" t="n">
        <v>7072</v>
      </c>
      <c r="C39" s="337" t="n">
        <v>9635</v>
      </c>
      <c r="D39" s="337" t="n"/>
      <c r="E39" s="338">
        <f>(C39+D39)</f>
        <v/>
      </c>
      <c r="F39" s="337" t="n">
        <v>1191</v>
      </c>
      <c r="G39" s="337" t="n">
        <v>1993.5</v>
      </c>
      <c r="H39" s="337" t="n">
        <v>727.5</v>
      </c>
      <c r="I39" s="337" t="n">
        <v>1252.5</v>
      </c>
      <c r="J39" s="337" t="n">
        <v>833.5</v>
      </c>
      <c r="K39" s="337" t="n">
        <v>200</v>
      </c>
      <c r="L39" s="338">
        <f>J39+K39</f>
        <v/>
      </c>
      <c r="M39" s="337" t="n">
        <v>2227</v>
      </c>
      <c r="N39" s="337" t="n">
        <v>1445</v>
      </c>
      <c r="O39" s="337" t="n">
        <v>688.5</v>
      </c>
      <c r="P39" s="338">
        <f>N39+O39</f>
        <v/>
      </c>
      <c r="Q39" s="338">
        <f>B39+SUM(E39:I39)+SUM(L39:M39)+P39</f>
        <v/>
      </c>
      <c r="R39" s="712" t="n"/>
    </row>
    <row r="40" ht="16" customHeight="1">
      <c r="A40" s="714" t="n">
        <v>43800</v>
      </c>
      <c r="B40" s="337" t="n">
        <v>8786.5</v>
      </c>
      <c r="C40" s="337" t="n">
        <v>10543</v>
      </c>
      <c r="D40" s="337" t="n"/>
      <c r="E40" s="338">
        <f>(C40+D40)</f>
        <v/>
      </c>
      <c r="F40" s="337" t="n">
        <v>169.5</v>
      </c>
      <c r="G40" s="337" t="n">
        <v>1681</v>
      </c>
      <c r="H40" s="337" t="n">
        <v>719.5</v>
      </c>
      <c r="I40" s="337" t="n">
        <v>0</v>
      </c>
      <c r="J40" s="337" t="n">
        <v>458</v>
      </c>
      <c r="K40" s="337" t="n">
        <v>0</v>
      </c>
      <c r="L40" s="338">
        <f>J40+K40</f>
        <v/>
      </c>
      <c r="M40" s="337" t="n">
        <v>3077</v>
      </c>
      <c r="N40" s="337" t="n">
        <v>2081</v>
      </c>
      <c r="O40" s="337" t="n">
        <v>556</v>
      </c>
      <c r="P40" s="338">
        <f>N40+O40</f>
        <v/>
      </c>
      <c r="Q40" s="338">
        <f>B40+SUM(E40:I40)+SUM(L40:M40)+P40</f>
        <v/>
      </c>
      <c r="R40" s="712" t="n"/>
    </row>
    <row r="41" ht="16" customHeight="1">
      <c r="A41" s="714" t="n">
        <v>43831</v>
      </c>
      <c r="B41" s="337" t="n">
        <v>7388</v>
      </c>
      <c r="C41" s="337" t="n">
        <v>9703.5</v>
      </c>
      <c r="D41" s="337" t="n"/>
      <c r="E41" s="338">
        <f>(C41+D41)</f>
        <v/>
      </c>
      <c r="F41" s="337" t="n">
        <v>385</v>
      </c>
      <c r="G41" s="337" t="n">
        <v>666.5</v>
      </c>
      <c r="H41" s="337" t="n">
        <v>194.5</v>
      </c>
      <c r="I41" s="337" t="n">
        <v>2182</v>
      </c>
      <c r="J41" s="337" t="n">
        <v>178</v>
      </c>
      <c r="K41" s="337" t="n">
        <v>140.5</v>
      </c>
      <c r="L41" s="338">
        <f>J41+K41</f>
        <v/>
      </c>
      <c r="M41" s="337" t="n">
        <v>2438</v>
      </c>
      <c r="N41" s="337" t="n">
        <v>331</v>
      </c>
      <c r="O41" s="337" t="n">
        <v>174.5</v>
      </c>
      <c r="P41" s="338">
        <f>N41+O41</f>
        <v/>
      </c>
      <c r="Q41" s="338">
        <f>B41+SUM(E41:I41)+SUM(L41:M41)+P41</f>
        <v/>
      </c>
      <c r="R41" s="712" t="n"/>
    </row>
    <row r="42" ht="16" customHeight="1">
      <c r="A42" s="714" t="n">
        <v>43862</v>
      </c>
      <c r="B42" s="337" t="n">
        <v>5697.5</v>
      </c>
      <c r="C42" s="337" t="n">
        <v>2906</v>
      </c>
      <c r="D42" s="337" t="n"/>
      <c r="E42" s="338">
        <f>(C42+D42)</f>
        <v/>
      </c>
      <c r="F42" s="337" t="n">
        <v>379.5</v>
      </c>
      <c r="G42" s="337" t="n">
        <v>430.5</v>
      </c>
      <c r="H42" s="337" t="n">
        <v>489</v>
      </c>
      <c r="I42" s="337" t="n">
        <v>66.5</v>
      </c>
      <c r="J42" s="337" t="n">
        <v>171</v>
      </c>
      <c r="K42" s="337" t="n">
        <v>252.5</v>
      </c>
      <c r="L42" s="338">
        <f>J42+K42</f>
        <v/>
      </c>
      <c r="M42" s="337" t="n">
        <v>163</v>
      </c>
      <c r="N42" s="337" t="n">
        <v>598</v>
      </c>
      <c r="O42" s="337" t="n">
        <v>480</v>
      </c>
      <c r="P42" s="338">
        <f>N42+O42</f>
        <v/>
      </c>
      <c r="Q42" s="338">
        <f>B42+SUM(E42:I42)+SUM(L42:M42)+P42</f>
        <v/>
      </c>
      <c r="R42" s="712" t="n"/>
    </row>
    <row r="43" ht="16" customHeight="1">
      <c r="A43" s="714" t="n">
        <v>43891</v>
      </c>
      <c r="B43" s="337" t="n">
        <v>4929</v>
      </c>
      <c r="C43" s="337" t="n">
        <v>4687.5</v>
      </c>
      <c r="D43" s="337" t="n"/>
      <c r="E43" s="338">
        <f>(C43+D43)</f>
        <v/>
      </c>
      <c r="F43" s="337" t="n">
        <v>704.5</v>
      </c>
      <c r="G43" s="337" t="n">
        <v>455.5</v>
      </c>
      <c r="H43" s="337" t="n">
        <v>436</v>
      </c>
      <c r="I43" s="337" t="n">
        <v>534</v>
      </c>
      <c r="J43" s="337" t="n">
        <v>597.5</v>
      </c>
      <c r="K43" s="337" t="n">
        <v>0</v>
      </c>
      <c r="L43" s="338">
        <f>J43+K43</f>
        <v/>
      </c>
      <c r="M43" s="337" t="n">
        <v>239.5</v>
      </c>
      <c r="N43" s="337" t="n">
        <v>719</v>
      </c>
      <c r="O43" s="337" t="n">
        <v>480</v>
      </c>
      <c r="P43" s="338">
        <f>N43+O43</f>
        <v/>
      </c>
      <c r="Q43" s="338">
        <f>B43+SUM(E43:I43)+SUM(L43:M43)+P43</f>
        <v/>
      </c>
      <c r="R43" s="712" t="n"/>
    </row>
    <row r="44" ht="16" customHeight="1">
      <c r="A44" s="714" t="n">
        <v>43922</v>
      </c>
      <c r="B44" s="337" t="n">
        <v>4545</v>
      </c>
      <c r="C44" s="337" t="n">
        <v>4585</v>
      </c>
      <c r="D44" s="337" t="n"/>
      <c r="E44" s="338">
        <f>(C44+D44)</f>
        <v/>
      </c>
      <c r="F44" s="337" t="n">
        <v>570</v>
      </c>
      <c r="G44" s="337" t="n">
        <v>497</v>
      </c>
      <c r="H44" s="337" t="n">
        <v>191</v>
      </c>
      <c r="I44" s="337" t="n">
        <v>0</v>
      </c>
      <c r="J44" s="337" t="n">
        <v>290</v>
      </c>
      <c r="K44" s="337" t="n">
        <v>0</v>
      </c>
      <c r="L44" s="338">
        <f>J44+K44</f>
        <v/>
      </c>
      <c r="M44" s="337" t="n">
        <v>0</v>
      </c>
      <c r="N44" s="337" t="n">
        <v>776</v>
      </c>
      <c r="O44" s="337" t="n">
        <v>325</v>
      </c>
      <c r="P44" s="338">
        <f>N44+O44</f>
        <v/>
      </c>
      <c r="Q44" s="338">
        <f>B44+SUM(E44:I44)+SUM(L44:M44)+P44</f>
        <v/>
      </c>
      <c r="R44" s="712" t="n"/>
    </row>
    <row r="45" ht="16" customHeight="1">
      <c r="A45" s="714" t="n">
        <v>43952</v>
      </c>
      <c r="B45" s="337" t="n">
        <v>5970.5</v>
      </c>
      <c r="C45" s="337" t="n">
        <v>6634</v>
      </c>
      <c r="D45" s="337" t="n"/>
      <c r="E45" s="338">
        <f>(C45+D45)</f>
        <v/>
      </c>
      <c r="F45" s="337" t="n">
        <v>672.5</v>
      </c>
      <c r="G45" s="337" t="n">
        <v>693.5</v>
      </c>
      <c r="H45" s="337" t="n">
        <v>378</v>
      </c>
      <c r="I45" s="337" t="n">
        <v>136.5</v>
      </c>
      <c r="J45" s="337" t="n">
        <v>377</v>
      </c>
      <c r="K45" s="337" t="n">
        <v>0</v>
      </c>
      <c r="L45" s="338">
        <f>J45+K45</f>
        <v/>
      </c>
      <c r="M45" s="337" t="n">
        <v>0</v>
      </c>
      <c r="N45" s="337" t="n">
        <v>569.5</v>
      </c>
      <c r="O45" s="337" t="n">
        <v>333.5</v>
      </c>
      <c r="P45" s="338">
        <f>N45+O45</f>
        <v/>
      </c>
      <c r="Q45" s="338">
        <f>B45+SUM(E45:I45)+SUM(L45:M45)+P45</f>
        <v/>
      </c>
      <c r="R45" s="712" t="n"/>
    </row>
    <row r="46" ht="16" customHeight="1">
      <c r="A46" s="714" t="n">
        <v>43983</v>
      </c>
      <c r="B46" s="338" t="n">
        <v>6952.610878528385</v>
      </c>
      <c r="C46" s="338" t="n">
        <v>8682.2847446876</v>
      </c>
      <c r="D46" s="338" t="n"/>
      <c r="E46" s="338">
        <f>(C46+D46)</f>
        <v/>
      </c>
      <c r="F46" s="338" t="n">
        <v>1208.259118300032</v>
      </c>
      <c r="G46" s="338" t="n">
        <v>1008.791373295274</v>
      </c>
      <c r="H46" s="338" t="n">
        <v>679.0805899143672</v>
      </c>
      <c r="I46" s="338" t="n">
        <v>590.4596574690771</v>
      </c>
      <c r="J46" s="338" t="n">
        <v>436.1266730098319</v>
      </c>
      <c r="K46" s="338" t="n">
        <v>0</v>
      </c>
      <c r="L46" s="338">
        <f>J46+K46</f>
        <v/>
      </c>
      <c r="M46" s="338" t="n">
        <v>0</v>
      </c>
      <c r="N46" s="338" t="n">
        <v>258.5056771328893</v>
      </c>
      <c r="O46" s="338" t="n">
        <v>185.8812876625436</v>
      </c>
      <c r="P46" s="338">
        <f>N46+O46</f>
        <v/>
      </c>
      <c r="Q46" s="338">
        <f>B46+SUM(E46:I46)+SUM(L46:M46)+P46</f>
        <v/>
      </c>
      <c r="R46" s="712" t="n"/>
    </row>
    <row r="47" ht="16" customHeight="1">
      <c r="A47" s="714" t="n">
        <v>44013</v>
      </c>
      <c r="B47" s="338" t="n">
        <v>8829.439613066919</v>
      </c>
      <c r="C47" s="338" t="n">
        <v>8887.778560101491</v>
      </c>
      <c r="D47" s="338" t="n"/>
      <c r="E47" s="338">
        <f>(C47+D47)</f>
        <v/>
      </c>
      <c r="F47" s="338" t="n">
        <v>1858.837139232477</v>
      </c>
      <c r="G47" s="338" t="n">
        <v>1114.666254360926</v>
      </c>
      <c r="H47" s="338" t="n">
        <v>499.9240723120837</v>
      </c>
      <c r="I47" s="338" t="n">
        <v>483.3892483349191</v>
      </c>
      <c r="J47" s="338" t="n">
        <v>739.3131620678719</v>
      </c>
      <c r="K47" s="338" t="n">
        <v>69</v>
      </c>
      <c r="L47" s="338">
        <f>J47+K47</f>
        <v/>
      </c>
      <c r="M47" s="338" t="n">
        <v>890</v>
      </c>
      <c r="N47" s="338" t="n">
        <v>947.9133840786553</v>
      </c>
      <c r="O47" s="338" t="n">
        <v>488.7385664446559</v>
      </c>
      <c r="P47" s="338">
        <f>N47+O47</f>
        <v/>
      </c>
      <c r="Q47" s="338">
        <f>B47+SUM(E47:I47)+SUM(L47:M47)+P47</f>
        <v/>
      </c>
      <c r="R47" s="712" t="n"/>
    </row>
    <row r="48" ht="16" customHeight="1">
      <c r="A48" s="714" t="n">
        <v>44044</v>
      </c>
      <c r="B48" s="338" t="n">
        <v>7495</v>
      </c>
      <c r="C48" s="338" t="n">
        <v>7263</v>
      </c>
      <c r="D48" s="338" t="n"/>
      <c r="E48" s="338">
        <f>(C48+D48)</f>
        <v/>
      </c>
      <c r="F48" s="338" t="n">
        <v>2792</v>
      </c>
      <c r="G48" s="338" t="n">
        <v>1329</v>
      </c>
      <c r="H48" s="338" t="n">
        <v>544</v>
      </c>
      <c r="I48" s="338" t="n">
        <v>0</v>
      </c>
      <c r="J48" s="338" t="n">
        <v>205</v>
      </c>
      <c r="K48" s="338" t="n">
        <v>639</v>
      </c>
      <c r="L48" s="338">
        <f>J48+K48</f>
        <v/>
      </c>
      <c r="M48" s="338" t="n">
        <v>939</v>
      </c>
      <c r="N48" s="338" t="n">
        <v>1200</v>
      </c>
      <c r="O48" s="338" t="n">
        <v>737</v>
      </c>
      <c r="P48" s="338">
        <f>N48+O48</f>
        <v/>
      </c>
      <c r="Q48" s="338">
        <f>B48+SUM(E48:I48)+SUM(L48:M48)+P48</f>
        <v/>
      </c>
      <c r="R48" s="712" t="n"/>
    </row>
    <row r="49" ht="16" customHeight="1">
      <c r="A49" s="714" t="n">
        <v>44075</v>
      </c>
      <c r="B49" s="338" t="n">
        <v>8103</v>
      </c>
      <c r="C49" s="338" t="n">
        <v>10089</v>
      </c>
      <c r="D49" s="338" t="n"/>
      <c r="E49" s="338">
        <f>(C49+D49)</f>
        <v/>
      </c>
      <c r="F49" s="338" t="n">
        <v>3099</v>
      </c>
      <c r="G49" s="338" t="n">
        <v>1187</v>
      </c>
      <c r="H49" s="338" t="n">
        <v>1248</v>
      </c>
      <c r="I49" s="338" t="n">
        <v>947</v>
      </c>
      <c r="J49" s="338" t="n">
        <v>586</v>
      </c>
      <c r="K49" s="338" t="n">
        <v>338</v>
      </c>
      <c r="L49" s="338">
        <f>J49+K49</f>
        <v/>
      </c>
      <c r="M49" s="338" t="n">
        <v>1363</v>
      </c>
      <c r="N49" s="338" t="n">
        <v>917</v>
      </c>
      <c r="O49" s="338" t="n">
        <v>734</v>
      </c>
      <c r="P49" s="338">
        <f>N49+O49</f>
        <v/>
      </c>
      <c r="Q49" s="338">
        <f>B49+SUM(E49:I49)+SUM(L49:M49)+P49</f>
        <v/>
      </c>
      <c r="R49" s="712" t="n"/>
    </row>
    <row r="50" ht="16" customHeight="1">
      <c r="A50" s="714" t="n">
        <v>44105</v>
      </c>
      <c r="B50" s="338" t="n">
        <v>9737</v>
      </c>
      <c r="C50" s="338" t="n">
        <v>10006</v>
      </c>
      <c r="D50" s="338" t="n"/>
      <c r="E50" s="338">
        <f>(C50+D50)</f>
        <v/>
      </c>
      <c r="F50" s="338" t="n">
        <v>3012</v>
      </c>
      <c r="G50" s="338" t="n">
        <v>1173</v>
      </c>
      <c r="H50" s="338" t="n">
        <v>1175</v>
      </c>
      <c r="I50" s="338" t="n">
        <v>1215</v>
      </c>
      <c r="J50" s="338" t="n">
        <v>782</v>
      </c>
      <c r="K50" s="338" t="n">
        <v>40</v>
      </c>
      <c r="L50" s="338">
        <f>J50+K50</f>
        <v/>
      </c>
      <c r="M50" s="338" t="n">
        <v>1157</v>
      </c>
      <c r="N50" s="338" t="n">
        <v>1958</v>
      </c>
      <c r="O50" s="338" t="n">
        <v>754</v>
      </c>
      <c r="P50" s="338">
        <f>N50+O50</f>
        <v/>
      </c>
      <c r="Q50" s="338">
        <f>B50+SUM(E50:I50)+SUM(L50:M50)+P50</f>
        <v/>
      </c>
      <c r="R50" s="712" t="n"/>
    </row>
    <row r="51" ht="16" customHeight="1">
      <c r="A51" s="714" t="n">
        <v>44136</v>
      </c>
      <c r="B51" s="338" t="n">
        <v>10105</v>
      </c>
      <c r="C51" s="338" t="n">
        <v>10887</v>
      </c>
      <c r="D51" s="338" t="n"/>
      <c r="E51" s="338">
        <f>(C51+D51)</f>
        <v/>
      </c>
      <c r="F51" s="338" t="n">
        <v>2985</v>
      </c>
      <c r="G51" s="338" t="n">
        <v>1480</v>
      </c>
      <c r="H51" s="338" t="n">
        <v>1564</v>
      </c>
      <c r="I51" s="338" t="n">
        <v>1514</v>
      </c>
      <c r="J51" s="338" t="n">
        <v>1480</v>
      </c>
      <c r="K51" s="338" t="n">
        <v>0</v>
      </c>
      <c r="L51" s="338">
        <f>J51+K51</f>
        <v/>
      </c>
      <c r="M51" s="338" t="n">
        <v>1802</v>
      </c>
      <c r="N51" s="338" t="n">
        <v>1465</v>
      </c>
      <c r="O51" s="338" t="n">
        <v>1007</v>
      </c>
      <c r="P51" s="338">
        <f>N51+O51</f>
        <v/>
      </c>
      <c r="Q51" s="338">
        <f>B51+SUM(E51:I51)+SUM(L51:M51)+P51</f>
        <v/>
      </c>
      <c r="R51" s="712" t="n"/>
    </row>
    <row r="52" ht="16" customHeight="1">
      <c r="A52" s="714" t="n">
        <v>44166</v>
      </c>
      <c r="B52" s="337" t="n">
        <v>10767</v>
      </c>
      <c r="C52" s="337" t="n">
        <v>11802</v>
      </c>
      <c r="D52" s="337" t="n"/>
      <c r="E52" s="338">
        <f>(C52+D52)</f>
        <v/>
      </c>
      <c r="F52" s="337" t="n">
        <v>3207</v>
      </c>
      <c r="G52" s="337" t="n">
        <v>1181</v>
      </c>
      <c r="H52" s="337" t="n">
        <v>1612</v>
      </c>
      <c r="I52" s="337" t="n">
        <v>415</v>
      </c>
      <c r="J52" s="337" t="n">
        <v>1224</v>
      </c>
      <c r="K52" s="337" t="n">
        <v>0</v>
      </c>
      <c r="L52" s="338">
        <f>J52+K52</f>
        <v/>
      </c>
      <c r="M52" s="337" t="n">
        <v>583</v>
      </c>
      <c r="N52" s="339" t="n">
        <v>1649</v>
      </c>
      <c r="O52" s="337" t="n">
        <v>920</v>
      </c>
      <c r="P52" s="338">
        <f>N52+O52</f>
        <v/>
      </c>
      <c r="Q52" s="338">
        <f>B52+SUM(E52:I52)+SUM(L52:M52)+P52</f>
        <v/>
      </c>
      <c r="R52" s="712" t="n"/>
    </row>
    <row r="53" ht="16" customHeight="1">
      <c r="A53" s="714" t="n">
        <v>44197</v>
      </c>
      <c r="B53" s="337" t="n">
        <v>10921</v>
      </c>
      <c r="C53" s="338" t="n">
        <v>14669</v>
      </c>
      <c r="D53" s="337" t="n"/>
      <c r="E53" s="338">
        <f>(C53+D53)</f>
        <v/>
      </c>
      <c r="F53" s="337" t="n">
        <v>3280</v>
      </c>
      <c r="G53" s="337" t="n">
        <v>1365</v>
      </c>
      <c r="H53" s="337" t="n">
        <v>1508</v>
      </c>
      <c r="I53" s="337" t="n">
        <v>0</v>
      </c>
      <c r="J53" s="337" t="n">
        <v>1338</v>
      </c>
      <c r="K53" s="337" t="n">
        <v>0</v>
      </c>
      <c r="L53" s="338">
        <f>J53+K53</f>
        <v/>
      </c>
      <c r="M53" s="340" t="n">
        <v>0</v>
      </c>
      <c r="N53" s="338" t="n">
        <v>152</v>
      </c>
      <c r="O53" s="341" t="n">
        <v>284</v>
      </c>
      <c r="P53" s="338">
        <f>N53+O53</f>
        <v/>
      </c>
      <c r="Q53" s="338">
        <f>B53+SUM(E53:I53)+SUM(L53:M53)+P53</f>
        <v/>
      </c>
      <c r="R53" s="712" t="n"/>
    </row>
    <row r="54" ht="16" customHeight="1">
      <c r="A54" s="714" t="n">
        <v>44228</v>
      </c>
      <c r="B54" s="338" t="n">
        <v>8722</v>
      </c>
      <c r="C54" s="338" t="n">
        <v>12242</v>
      </c>
      <c r="D54" s="338" t="n"/>
      <c r="E54" s="338">
        <f>(C54+D54)</f>
        <v/>
      </c>
      <c r="F54" s="338" t="n">
        <v>3032</v>
      </c>
      <c r="G54" s="338" t="n">
        <v>1523</v>
      </c>
      <c r="H54" s="338" t="n">
        <v>1538</v>
      </c>
      <c r="I54" s="338" t="n">
        <v>0</v>
      </c>
      <c r="J54" s="338" t="n">
        <v>1268</v>
      </c>
      <c r="K54" s="338" t="n">
        <v>0</v>
      </c>
      <c r="L54" s="338">
        <f>J54+K54</f>
        <v/>
      </c>
      <c r="M54" s="338" t="n">
        <v>0</v>
      </c>
      <c r="N54" s="342" t="n">
        <v>471</v>
      </c>
      <c r="O54" s="338" t="n">
        <v>672</v>
      </c>
      <c r="P54" s="338">
        <f>N54+O54</f>
        <v/>
      </c>
      <c r="Q54" s="338">
        <f>B54+SUM(E54:I54)+SUM(L54:M54)+P54</f>
        <v/>
      </c>
      <c r="R54" s="712" t="n"/>
    </row>
    <row r="55" ht="16" customHeight="1">
      <c r="A55" s="714" t="n">
        <v>44256</v>
      </c>
      <c r="B55" s="338" t="n">
        <v>10116</v>
      </c>
      <c r="C55" s="338" t="n">
        <v>14060</v>
      </c>
      <c r="D55" s="338" t="n"/>
      <c r="E55" s="338">
        <f>(C55+D55)</f>
        <v/>
      </c>
      <c r="F55" s="338" t="n">
        <v>2985</v>
      </c>
      <c r="G55" s="338" t="n">
        <v>1571</v>
      </c>
      <c r="H55" s="338" t="n">
        <v>1700</v>
      </c>
      <c r="I55" s="338" t="n">
        <v>647</v>
      </c>
      <c r="J55" s="338" t="n">
        <v>1542</v>
      </c>
      <c r="K55" s="338" t="n">
        <v>42</v>
      </c>
      <c r="L55" s="338">
        <f>J55+K55</f>
        <v/>
      </c>
      <c r="M55" s="338" t="n">
        <v>120</v>
      </c>
      <c r="N55" s="338" t="n">
        <v>1367</v>
      </c>
      <c r="O55" s="338" t="n">
        <v>1297</v>
      </c>
      <c r="P55" s="338">
        <f>N55+O55</f>
        <v/>
      </c>
      <c r="Q55" s="338">
        <f>B55+SUM(E55:I55)+SUM(L55:M55)+P55</f>
        <v/>
      </c>
      <c r="R55" s="712" t="n"/>
    </row>
    <row r="56" ht="16" customHeight="1">
      <c r="A56" s="714" t="n">
        <v>44287</v>
      </c>
      <c r="B56" s="338" t="n">
        <v>12627</v>
      </c>
      <c r="C56" s="338" t="n">
        <v>16149</v>
      </c>
      <c r="D56" s="338" t="n"/>
      <c r="E56" s="338">
        <f>(C56+D56)</f>
        <v/>
      </c>
      <c r="F56" s="338" t="n">
        <v>5447</v>
      </c>
      <c r="G56" s="338" t="n">
        <v>3213</v>
      </c>
      <c r="H56" s="338" t="n">
        <v>1811</v>
      </c>
      <c r="I56" s="338" t="n">
        <v>890</v>
      </c>
      <c r="J56" s="338" t="n">
        <v>1467</v>
      </c>
      <c r="K56" s="338" t="n">
        <v>126</v>
      </c>
      <c r="L56" s="338">
        <f>J56+K56</f>
        <v/>
      </c>
      <c r="M56" s="338" t="n">
        <v>80</v>
      </c>
      <c r="N56" s="338" t="n">
        <v>1465</v>
      </c>
      <c r="O56" s="338" t="n">
        <v>222</v>
      </c>
      <c r="P56" s="338">
        <f>N56+O56</f>
        <v/>
      </c>
      <c r="Q56" s="338">
        <f>B56+SUM(E56:I56)+SUM(L56:M56)+P56</f>
        <v/>
      </c>
      <c r="R56" s="712" t="n"/>
    </row>
    <row r="57" ht="16" customHeight="1">
      <c r="A57" s="714" t="n">
        <v>44317</v>
      </c>
      <c r="B57" s="338" t="n">
        <v>11557</v>
      </c>
      <c r="C57" s="338" t="n">
        <v>13985</v>
      </c>
      <c r="D57" s="338" t="n"/>
      <c r="E57" s="338">
        <f>(C57+D57)</f>
        <v/>
      </c>
      <c r="F57" s="338" t="n">
        <v>4974</v>
      </c>
      <c r="G57" s="338" t="n">
        <v>2960</v>
      </c>
      <c r="H57" s="338" t="n">
        <v>1867</v>
      </c>
      <c r="I57" s="338" t="n">
        <v>1243</v>
      </c>
      <c r="J57" s="338" t="n">
        <v>1575</v>
      </c>
      <c r="K57" s="338" t="n">
        <v>0</v>
      </c>
      <c r="L57" s="338">
        <f>J57+K57</f>
        <v/>
      </c>
      <c r="M57" s="338" t="n">
        <v>566</v>
      </c>
      <c r="N57" s="338" t="n">
        <v>1138</v>
      </c>
      <c r="O57" s="338" t="n">
        <v>323</v>
      </c>
      <c r="P57" s="338">
        <f>N57+O57</f>
        <v/>
      </c>
      <c r="Q57" s="338">
        <f>B57+SUM(E57:I57)+SUM(L57:M57)+P57</f>
        <v/>
      </c>
      <c r="R57" s="712" t="n"/>
    </row>
    <row r="58" ht="16" customHeight="1">
      <c r="A58" s="714" t="n">
        <v>44348</v>
      </c>
      <c r="B58" s="338" t="n">
        <v>9571</v>
      </c>
      <c r="C58" s="338" t="n">
        <v>11038</v>
      </c>
      <c r="D58" s="338" t="n"/>
      <c r="E58" s="338">
        <f>(C58+D58)</f>
        <v/>
      </c>
      <c r="F58" s="338" t="n">
        <v>4383</v>
      </c>
      <c r="G58" s="338" t="n">
        <v>2001</v>
      </c>
      <c r="H58" s="338" t="n">
        <v>1774</v>
      </c>
      <c r="I58" s="338" t="n">
        <v>1457</v>
      </c>
      <c r="J58" s="338" t="n">
        <v>1542</v>
      </c>
      <c r="K58" s="338" t="n">
        <v>0</v>
      </c>
      <c r="L58" s="338">
        <f>J58+K58</f>
        <v/>
      </c>
      <c r="M58" s="338" t="n">
        <v>2054</v>
      </c>
      <c r="N58" s="338" t="n">
        <v>1580</v>
      </c>
      <c r="O58" s="338" t="n">
        <v>183</v>
      </c>
      <c r="P58" s="338">
        <f>N58+O58</f>
        <v/>
      </c>
      <c r="Q58" s="338">
        <f>B58+SUM(E58:I58)+SUM(L58:M58)+P58</f>
        <v/>
      </c>
      <c r="R58" s="712" t="n"/>
    </row>
    <row r="59" ht="16" customHeight="1">
      <c r="A59" s="714" t="n">
        <v>44378</v>
      </c>
      <c r="B59" s="338" t="n">
        <v>9926</v>
      </c>
      <c r="C59" s="338" t="n">
        <v>12358</v>
      </c>
      <c r="D59" s="338" t="n"/>
      <c r="E59" s="338">
        <f>(C59+D59)</f>
        <v/>
      </c>
      <c r="F59" s="338" t="n">
        <v>4424</v>
      </c>
      <c r="G59" s="338" t="n">
        <v>1477</v>
      </c>
      <c r="H59" s="338" t="n">
        <v>1523</v>
      </c>
      <c r="I59" s="338" t="n">
        <v>856</v>
      </c>
      <c r="J59" s="338" t="n">
        <v>1305</v>
      </c>
      <c r="K59" s="338" t="n">
        <v>0</v>
      </c>
      <c r="L59" s="338">
        <f>J59+K59</f>
        <v/>
      </c>
      <c r="M59" s="338" t="n">
        <v>1877</v>
      </c>
      <c r="N59" s="338" t="n">
        <v>1597</v>
      </c>
      <c r="O59" s="338" t="n">
        <v>1094</v>
      </c>
      <c r="P59" s="338">
        <f>N59+O59</f>
        <v/>
      </c>
      <c r="Q59" s="338">
        <f>B59+SUM(E59:I59)+SUM(L59:M59)+P59</f>
        <v/>
      </c>
      <c r="R59" s="712" t="n"/>
    </row>
    <row r="60" ht="16" customHeight="1">
      <c r="A60" s="714" t="n">
        <v>44409</v>
      </c>
      <c r="B60" s="338" t="n">
        <v>10844</v>
      </c>
      <c r="C60" s="338" t="n">
        <v>9630</v>
      </c>
      <c r="D60" s="338" t="n"/>
      <c r="E60" s="338">
        <f>(C60+D60)</f>
        <v/>
      </c>
      <c r="F60" s="338" t="n">
        <v>4518</v>
      </c>
      <c r="G60" s="338" t="n">
        <v>1308</v>
      </c>
      <c r="H60" s="338" t="n">
        <v>1272</v>
      </c>
      <c r="I60" s="338" t="n">
        <v>821</v>
      </c>
      <c r="J60" s="338" t="n">
        <v>1290</v>
      </c>
      <c r="K60" s="338" t="n">
        <v>0</v>
      </c>
      <c r="L60" s="338">
        <f>J60+K60</f>
        <v/>
      </c>
      <c r="M60" s="338" t="n">
        <v>1489</v>
      </c>
      <c r="N60" s="338" t="n">
        <v>1183</v>
      </c>
      <c r="O60" s="338" t="n">
        <v>1229</v>
      </c>
      <c r="P60" s="338">
        <f>N60+O60</f>
        <v/>
      </c>
      <c r="Q60" s="338">
        <f>B60+SUM(E60:I60)+SUM(L60:M60)+P60</f>
        <v/>
      </c>
      <c r="R60" s="712" t="n"/>
    </row>
    <row r="61" ht="16" customHeight="1">
      <c r="A61" s="714" t="n">
        <v>44440</v>
      </c>
      <c r="B61" s="338" t="n">
        <v>10427</v>
      </c>
      <c r="C61" s="338" t="n">
        <v>12690</v>
      </c>
      <c r="D61" s="338" t="n"/>
      <c r="E61" s="338">
        <f>(C61+D61)</f>
        <v/>
      </c>
      <c r="F61" s="338" t="n">
        <v>4807</v>
      </c>
      <c r="G61" s="338" t="n">
        <v>996</v>
      </c>
      <c r="H61" s="338" t="n">
        <v>912</v>
      </c>
      <c r="I61" s="338" t="n">
        <v>640</v>
      </c>
      <c r="J61" s="338" t="n">
        <v>1146</v>
      </c>
      <c r="K61" s="338" t="n">
        <v>121</v>
      </c>
      <c r="L61" s="338">
        <f>J61+K61</f>
        <v/>
      </c>
      <c r="M61" s="338" t="n">
        <v>1101</v>
      </c>
      <c r="N61" s="338" t="n">
        <v>1239</v>
      </c>
      <c r="O61" s="338" t="n">
        <v>1297</v>
      </c>
      <c r="P61" s="338">
        <f>N61+O61</f>
        <v/>
      </c>
      <c r="Q61" s="338">
        <f>B61+SUM(E61:I61)+SUM(L61:M61)+P61</f>
        <v/>
      </c>
      <c r="R61" s="712" t="n"/>
    </row>
    <row r="62" ht="16" customHeight="1">
      <c r="A62" s="714" t="n">
        <v>44470</v>
      </c>
      <c r="B62" s="338" t="n">
        <v>13958</v>
      </c>
      <c r="C62" s="338" t="n">
        <v>13721</v>
      </c>
      <c r="D62" s="338" t="n">
        <v>708</v>
      </c>
      <c r="E62" s="338">
        <f>(C62+D62)</f>
        <v/>
      </c>
      <c r="F62" s="338" t="n">
        <v>5212</v>
      </c>
      <c r="G62" s="338" t="n">
        <v>1328</v>
      </c>
      <c r="H62" s="338" t="n">
        <v>1773</v>
      </c>
      <c r="I62" s="338" t="n">
        <v>1648</v>
      </c>
      <c r="J62" s="338" t="n">
        <v>1407</v>
      </c>
      <c r="K62" s="338" t="n">
        <v>976</v>
      </c>
      <c r="L62" s="338">
        <f>J62+K62</f>
        <v/>
      </c>
      <c r="M62" s="338" t="n">
        <v>1707</v>
      </c>
      <c r="N62" s="338" t="n">
        <v>1651</v>
      </c>
      <c r="O62" s="338" t="n">
        <v>1311</v>
      </c>
      <c r="P62" s="338">
        <f>N62+O62</f>
        <v/>
      </c>
      <c r="Q62" s="338">
        <f>B62+SUM(E62:I62)+SUM(L62:M62)+P62</f>
        <v/>
      </c>
      <c r="R62" s="712" t="n"/>
    </row>
    <row r="63" ht="16" customHeight="1">
      <c r="A63" s="714" t="n">
        <v>44501</v>
      </c>
      <c r="B63" s="338" t="n">
        <v>10607</v>
      </c>
      <c r="C63" s="338" t="n">
        <v>14354</v>
      </c>
      <c r="D63" s="338" t="n">
        <v>1740</v>
      </c>
      <c r="E63" s="338">
        <f>(C63+D63)</f>
        <v/>
      </c>
      <c r="F63" s="338" t="n">
        <v>4468</v>
      </c>
      <c r="G63" s="338" t="n">
        <v>1566</v>
      </c>
      <c r="H63" s="338" t="n">
        <v>1457</v>
      </c>
      <c r="I63" s="338" t="n">
        <v>1563</v>
      </c>
      <c r="J63" s="338" t="n">
        <v>1156</v>
      </c>
      <c r="K63" s="338" t="n">
        <v>842</v>
      </c>
      <c r="L63" s="338">
        <f>J63+K63</f>
        <v/>
      </c>
      <c r="M63" s="338" t="n">
        <v>1660</v>
      </c>
      <c r="N63" s="338" t="n">
        <v>1535</v>
      </c>
      <c r="O63" s="338" t="n">
        <v>1717</v>
      </c>
      <c r="P63" s="338">
        <f>N63+O63</f>
        <v/>
      </c>
      <c r="Q63" s="338">
        <f>B63+SUM(E63:I63)+SUM(L63:M63)+P63</f>
        <v/>
      </c>
      <c r="R63" s="712" t="n"/>
    </row>
    <row r="64" ht="16" customHeight="1">
      <c r="A64" s="714" t="n">
        <v>44531</v>
      </c>
      <c r="B64" s="338" t="n">
        <v>12824</v>
      </c>
      <c r="C64" s="338" t="n">
        <v>10146</v>
      </c>
      <c r="D64" s="338" t="n">
        <v>1844</v>
      </c>
      <c r="E64" s="338">
        <f>(C64+D64)</f>
        <v/>
      </c>
      <c r="F64" s="338" t="n">
        <v>5198</v>
      </c>
      <c r="G64" s="338" t="n">
        <v>1227</v>
      </c>
      <c r="H64" s="338" t="n">
        <v>1641</v>
      </c>
      <c r="I64" s="338" t="n">
        <v>1634</v>
      </c>
      <c r="J64" s="338" t="n">
        <v>1187</v>
      </c>
      <c r="K64" s="338" t="n">
        <v>660</v>
      </c>
      <c r="L64" s="338">
        <f>J64+K64</f>
        <v/>
      </c>
      <c r="M64" s="338" t="n">
        <v>1949</v>
      </c>
      <c r="N64" s="338" t="n">
        <v>1298</v>
      </c>
      <c r="O64" s="338" t="n">
        <v>1730</v>
      </c>
      <c r="P64" s="338">
        <f>N64+O64</f>
        <v/>
      </c>
      <c r="Q64" s="338">
        <f>B64+SUM(E64:I64)+SUM(L64:M64)+P64</f>
        <v/>
      </c>
      <c r="R64" s="712" t="n"/>
    </row>
    <row r="65" ht="16" customHeight="1">
      <c r="A65" s="714" t="n">
        <v>44562</v>
      </c>
      <c r="B65" s="338" t="n">
        <v>8566</v>
      </c>
      <c r="C65" s="338" t="n">
        <v>8810</v>
      </c>
      <c r="D65" s="338" t="n">
        <v>1919</v>
      </c>
      <c r="E65" s="338">
        <f>(C65+D65)</f>
        <v/>
      </c>
      <c r="F65" s="338" t="n">
        <v>4794</v>
      </c>
      <c r="G65" s="338" t="n">
        <v>929</v>
      </c>
      <c r="H65" s="338" t="n">
        <v>1354</v>
      </c>
      <c r="I65" s="338" t="n">
        <v>874</v>
      </c>
      <c r="J65" s="338" t="n">
        <v>1034</v>
      </c>
      <c r="K65" s="338" t="n">
        <v>686</v>
      </c>
      <c r="L65" s="338">
        <f>J65+K65</f>
        <v/>
      </c>
      <c r="M65" s="338" t="n">
        <v>1449</v>
      </c>
      <c r="N65" s="338" t="n">
        <v>1243</v>
      </c>
      <c r="O65" s="338" t="n">
        <v>1413</v>
      </c>
      <c r="P65" s="338">
        <f>N65+O65</f>
        <v/>
      </c>
      <c r="Q65" s="338">
        <f>B65+SUM(E65:I65)+SUM(L65:M65)+P65</f>
        <v/>
      </c>
      <c r="R65" s="712" t="n"/>
    </row>
    <row r="66" ht="16" customHeight="1">
      <c r="A66" s="714" t="n">
        <v>44593</v>
      </c>
      <c r="B66" s="338" t="n">
        <v>6686</v>
      </c>
      <c r="C66" s="338" t="n">
        <v>8256</v>
      </c>
      <c r="D66" s="338" t="n">
        <v>1206</v>
      </c>
      <c r="E66" s="338">
        <f>(C66+D66)</f>
        <v/>
      </c>
      <c r="F66" s="338" t="n">
        <v>3189</v>
      </c>
      <c r="G66" s="338" t="n">
        <v>778</v>
      </c>
      <c r="H66" s="338" t="n">
        <v>751</v>
      </c>
      <c r="I66" s="338" t="n">
        <v>430</v>
      </c>
      <c r="J66" s="338" t="n">
        <v>952</v>
      </c>
      <c r="K66" s="338" t="n">
        <v>541</v>
      </c>
      <c r="L66" s="338">
        <f>J66+K66</f>
        <v/>
      </c>
      <c r="M66" s="338" t="n">
        <v>614</v>
      </c>
      <c r="N66" s="338" t="n">
        <v>715</v>
      </c>
      <c r="O66" s="338" t="n">
        <v>829</v>
      </c>
      <c r="P66" s="338">
        <f>N66+O66</f>
        <v/>
      </c>
      <c r="Q66" s="338">
        <f>B66+SUM(E66:I66)+SUM(L66:M66)+P66</f>
        <v/>
      </c>
      <c r="R66" s="712" t="n"/>
    </row>
    <row r="67" ht="16" customHeight="1">
      <c r="A67" s="714" t="n">
        <v>44621</v>
      </c>
      <c r="B67" s="338" t="n">
        <v>4351</v>
      </c>
      <c r="C67" s="338" t="n">
        <v>5420</v>
      </c>
      <c r="D67" s="338" t="n">
        <v>1022</v>
      </c>
      <c r="E67" s="338">
        <f>(C67+D67)</f>
        <v/>
      </c>
      <c r="F67" s="338" t="n">
        <v>5829</v>
      </c>
      <c r="G67" s="338" t="n">
        <v>774</v>
      </c>
      <c r="H67" s="338" t="n">
        <v>809</v>
      </c>
      <c r="I67" s="338" t="n">
        <v>579</v>
      </c>
      <c r="J67" s="338" t="n">
        <v>848</v>
      </c>
      <c r="K67" s="338" t="n">
        <v>492</v>
      </c>
      <c r="L67" s="338">
        <f>J67+K67</f>
        <v/>
      </c>
      <c r="M67" s="338" t="n">
        <v>436</v>
      </c>
      <c r="N67" s="338" t="n">
        <v>719</v>
      </c>
      <c r="O67" s="338" t="n">
        <v>812</v>
      </c>
      <c r="P67" s="338">
        <f>N67+O67</f>
        <v/>
      </c>
      <c r="Q67" s="338">
        <f>B67+SUM(E67:I67)+SUM(L67:M67)+P67</f>
        <v/>
      </c>
      <c r="R67" s="712" t="n"/>
    </row>
    <row r="68" ht="16" customHeight="1">
      <c r="A68" s="714" t="n">
        <v>44652</v>
      </c>
      <c r="B68" s="338" t="n">
        <v>6373.3</v>
      </c>
      <c r="C68" s="338" t="n">
        <v>5682</v>
      </c>
      <c r="D68" s="338" t="n">
        <v>1561</v>
      </c>
      <c r="E68" s="338">
        <f>(C68+D68)</f>
        <v/>
      </c>
      <c r="F68" s="338" t="n">
        <v>4437.3</v>
      </c>
      <c r="G68" s="338" t="n">
        <v>965</v>
      </c>
      <c r="H68" s="338" t="n">
        <v>890</v>
      </c>
      <c r="I68" s="338" t="n">
        <v>224</v>
      </c>
      <c r="J68" s="338" t="n">
        <v>1273</v>
      </c>
      <c r="K68" s="338" t="n">
        <v>684</v>
      </c>
      <c r="L68" s="338">
        <f>J68+K68</f>
        <v/>
      </c>
      <c r="M68" s="338" t="n">
        <v>220</v>
      </c>
      <c r="N68" s="338" t="n">
        <v>1151</v>
      </c>
      <c r="O68" s="338" t="n">
        <v>1126</v>
      </c>
      <c r="P68" s="338">
        <f>N68+O68</f>
        <v/>
      </c>
      <c r="Q68" s="338">
        <f>B68+SUM(E68:I68)+SUM(L68:M68)+P68</f>
        <v/>
      </c>
      <c r="R68" s="712" t="n"/>
    </row>
    <row r="69" ht="16" customHeight="1">
      <c r="A69" s="714" t="n">
        <v>44682</v>
      </c>
      <c r="B69" s="338" t="n">
        <v>6973</v>
      </c>
      <c r="C69" s="338" t="n">
        <v>7170</v>
      </c>
      <c r="D69" s="338" t="n">
        <v>1769</v>
      </c>
      <c r="E69" s="338">
        <f>(C69+D69)</f>
        <v/>
      </c>
      <c r="F69" s="338" t="n">
        <v>4356</v>
      </c>
      <c r="G69" s="338" t="n">
        <v>1248</v>
      </c>
      <c r="H69" s="338" t="n">
        <v>1170</v>
      </c>
      <c r="I69" s="338" t="n">
        <v>476</v>
      </c>
      <c r="J69" s="338" t="n">
        <v>1026</v>
      </c>
      <c r="K69" s="338" t="n">
        <v>645</v>
      </c>
      <c r="L69" s="338">
        <f>J69+K69</f>
        <v/>
      </c>
      <c r="M69" s="338" t="n">
        <v>381</v>
      </c>
      <c r="N69" s="338" t="n">
        <v>1186</v>
      </c>
      <c r="O69" s="338" t="n">
        <v>1062</v>
      </c>
      <c r="P69" s="338">
        <f>N69+O69</f>
        <v/>
      </c>
      <c r="Q69" s="338">
        <f>B69+SUM(E69:I69)+SUM(L69:M69)+P69</f>
        <v/>
      </c>
      <c r="R69" s="712" t="n"/>
    </row>
    <row r="70" ht="17" customHeight="1" thickBot="1">
      <c r="A70" s="715" t="n">
        <v>44713</v>
      </c>
      <c r="B70" s="506" t="n">
        <v>3331</v>
      </c>
      <c r="C70" s="506" t="n">
        <v>7588</v>
      </c>
      <c r="D70" s="506" t="n">
        <v>1395</v>
      </c>
      <c r="E70" s="506">
        <f>(C70+D70)</f>
        <v/>
      </c>
      <c r="F70" s="506" t="n">
        <v>3488</v>
      </c>
      <c r="G70" s="506" t="n">
        <v>1308</v>
      </c>
      <c r="H70" s="506" t="n">
        <v>801</v>
      </c>
      <c r="I70" s="506" t="n">
        <v>582</v>
      </c>
      <c r="J70" s="506" t="n">
        <v>1023</v>
      </c>
      <c r="K70" s="506" t="n">
        <v>720</v>
      </c>
      <c r="L70" s="506">
        <f>J70+K70</f>
        <v/>
      </c>
      <c r="M70" s="506" t="n">
        <v>657</v>
      </c>
      <c r="N70" s="506" t="n">
        <v>1001</v>
      </c>
      <c r="O70" s="506" t="n">
        <v>972</v>
      </c>
      <c r="P70" s="506">
        <f>N70+O70</f>
        <v/>
      </c>
      <c r="Q70" s="506">
        <f>B70+SUM(E70:I70)+SUM(L70:M70)+P70</f>
        <v/>
      </c>
      <c r="R70" s="716">
        <f>SUM(Q59:Q70)</f>
        <v/>
      </c>
      <c r="S70" s="5">
        <f>R70/365</f>
        <v/>
      </c>
      <c r="T70" s="5">
        <f>S70*0.9</f>
        <v/>
      </c>
    </row>
    <row r="71" ht="16" customHeight="1">
      <c r="A71" s="717" t="n">
        <v>44743</v>
      </c>
      <c r="B71" s="342" t="n">
        <v>3449</v>
      </c>
      <c r="C71" s="342" t="n">
        <v>9430</v>
      </c>
      <c r="D71" s="342" t="n">
        <v>1463</v>
      </c>
      <c r="E71" s="342">
        <f>(C71+D71)</f>
        <v/>
      </c>
      <c r="F71" s="342" t="n">
        <v>3526</v>
      </c>
      <c r="G71" s="342" t="n">
        <v>1270</v>
      </c>
      <c r="H71" s="342" t="n">
        <v>810</v>
      </c>
      <c r="I71" s="342" t="n">
        <v>804</v>
      </c>
      <c r="J71" s="342" t="n">
        <v>841</v>
      </c>
      <c r="K71" s="342" t="n">
        <v>716</v>
      </c>
      <c r="L71" s="342">
        <f>J71+K71</f>
        <v/>
      </c>
      <c r="M71" s="342" t="n">
        <v>936</v>
      </c>
      <c r="N71" s="342" t="n">
        <v>970</v>
      </c>
      <c r="O71" s="342" t="n">
        <v>961</v>
      </c>
      <c r="P71" s="342">
        <f>N71+O71</f>
        <v/>
      </c>
      <c r="Q71" s="342">
        <f>B71+SUM(E71:I71)+SUM(L71:M71)+P71</f>
        <v/>
      </c>
      <c r="R71" s="712" t="n"/>
    </row>
    <row r="72" ht="16" customHeight="1">
      <c r="A72" s="714" t="n">
        <v>44774</v>
      </c>
      <c r="B72" s="338" t="n">
        <v>4836</v>
      </c>
      <c r="C72" s="338" t="n">
        <v>9262</v>
      </c>
      <c r="D72" s="338" t="n">
        <v>1815</v>
      </c>
      <c r="E72" s="338">
        <f>(C72+D72)</f>
        <v/>
      </c>
      <c r="F72" s="338" t="n">
        <v>2985</v>
      </c>
      <c r="G72" s="338" t="n">
        <v>1248</v>
      </c>
      <c r="H72" s="338" t="n">
        <v>937</v>
      </c>
      <c r="I72" s="338" t="n">
        <v>827</v>
      </c>
      <c r="J72" s="338" t="n">
        <v>1025</v>
      </c>
      <c r="K72" s="338" t="n">
        <v>713</v>
      </c>
      <c r="L72" s="338">
        <f>J72+K72</f>
        <v/>
      </c>
      <c r="M72" s="338" t="n">
        <v>1091</v>
      </c>
      <c r="N72" s="338" t="n">
        <v>979</v>
      </c>
      <c r="O72" s="338" t="n">
        <v>942</v>
      </c>
      <c r="P72" s="338">
        <f>N72+O72</f>
        <v/>
      </c>
      <c r="Q72" s="338">
        <f>B72+SUM(E72:I72)+SUM(L72:M72)+P72</f>
        <v/>
      </c>
      <c r="R72" s="712" t="n"/>
    </row>
    <row r="73" ht="16" customHeight="1">
      <c r="A73" s="714" t="n">
        <v>44805</v>
      </c>
      <c r="B73" s="338" t="n">
        <v>10816</v>
      </c>
      <c r="C73" s="338" t="n">
        <v>9754</v>
      </c>
      <c r="D73" s="338" t="n">
        <v>1769</v>
      </c>
      <c r="E73" s="338">
        <f>(C73+D73)</f>
        <v/>
      </c>
      <c r="F73" s="338" t="n">
        <v>2506</v>
      </c>
      <c r="G73" s="338" t="n">
        <v>1224</v>
      </c>
      <c r="H73" s="338" t="n">
        <v>1034</v>
      </c>
      <c r="I73" s="338" t="n">
        <v>2337</v>
      </c>
      <c r="J73" s="338" t="n">
        <v>1118</v>
      </c>
      <c r="K73" s="338" t="n">
        <v>775</v>
      </c>
      <c r="L73" s="338">
        <f>J73+K73</f>
        <v/>
      </c>
      <c r="M73" s="338" t="n">
        <v>1322</v>
      </c>
      <c r="N73" s="338" t="n">
        <v>1760</v>
      </c>
      <c r="O73" s="338" t="n">
        <v>1204</v>
      </c>
      <c r="P73" s="338">
        <f>N73+O73</f>
        <v/>
      </c>
      <c r="Q73" s="338">
        <f>B73+SUM(E73:I73)+SUM(L73:M73)+P73</f>
        <v/>
      </c>
      <c r="R73" s="712" t="n"/>
    </row>
    <row r="74" ht="16" customHeight="1">
      <c r="A74" s="714" t="n">
        <v>44835</v>
      </c>
      <c r="B74" s="338" t="n">
        <v>14257</v>
      </c>
      <c r="C74" s="338" t="n">
        <v>10807</v>
      </c>
      <c r="D74" s="338" t="n">
        <v>1792</v>
      </c>
      <c r="E74" s="338">
        <f>(C74+D74)</f>
        <v/>
      </c>
      <c r="F74" s="338" t="n">
        <v>3218</v>
      </c>
      <c r="G74" s="338" t="n">
        <v>1091</v>
      </c>
      <c r="H74" s="338" t="n">
        <v>1106</v>
      </c>
      <c r="I74" s="338" t="n">
        <v>2337</v>
      </c>
      <c r="J74" s="338" t="n">
        <v>1136</v>
      </c>
      <c r="K74" s="338" t="n">
        <v>741</v>
      </c>
      <c r="L74" s="338">
        <f>J74+K74</f>
        <v/>
      </c>
      <c r="M74" s="338" t="n">
        <v>1089</v>
      </c>
      <c r="N74" s="338" t="n">
        <v>1227</v>
      </c>
      <c r="O74" s="338" t="n">
        <v>1050</v>
      </c>
      <c r="P74" s="338">
        <f>N74+O74</f>
        <v/>
      </c>
      <c r="Q74" s="338">
        <f>B74+SUM(E74:I74)+SUM(L74:M74)+P74</f>
        <v/>
      </c>
      <c r="R74" s="712" t="n"/>
    </row>
    <row r="75" ht="16" customHeight="1">
      <c r="A75" s="714" t="n">
        <v>44866</v>
      </c>
      <c r="B75" s="338" t="n">
        <v>14456</v>
      </c>
      <c r="C75" s="338" t="n">
        <v>13505</v>
      </c>
      <c r="D75" s="338" t="n">
        <v>2002</v>
      </c>
      <c r="E75" s="338">
        <f>(C75+D75)</f>
        <v/>
      </c>
      <c r="F75" s="338" t="n">
        <v>1953</v>
      </c>
      <c r="G75" s="338" t="n">
        <v>1076</v>
      </c>
      <c r="H75" s="338" t="n">
        <v>941</v>
      </c>
      <c r="I75" s="338" t="n">
        <v>3507</v>
      </c>
      <c r="J75" s="338" t="n">
        <v>808</v>
      </c>
      <c r="K75" s="338" t="n">
        <v>743</v>
      </c>
      <c r="L75" s="338">
        <f>J75+K75</f>
        <v/>
      </c>
      <c r="M75" s="338" t="n">
        <v>1116</v>
      </c>
      <c r="N75" s="338" t="n">
        <v>1166</v>
      </c>
      <c r="O75" s="338" t="n">
        <v>955</v>
      </c>
      <c r="P75" s="338">
        <f>N75+O75</f>
        <v/>
      </c>
      <c r="Q75" s="338">
        <f>B75+SUM(E75:I75)+SUM(L75:M75)+P75</f>
        <v/>
      </c>
      <c r="R75" s="712" t="n"/>
    </row>
    <row r="76" ht="16" customHeight="1">
      <c r="A76" s="714" t="n">
        <v>44896</v>
      </c>
      <c r="B76" s="338" t="n">
        <v>15710</v>
      </c>
      <c r="C76" s="338" t="n">
        <v>13300</v>
      </c>
      <c r="D76" s="338" t="n">
        <v>2630</v>
      </c>
      <c r="E76" s="338">
        <f>(C76+D76)</f>
        <v/>
      </c>
      <c r="F76" s="338" t="n">
        <v>1843</v>
      </c>
      <c r="G76" s="338" t="n">
        <v>1366</v>
      </c>
      <c r="H76" s="338" t="n">
        <v>1069</v>
      </c>
      <c r="I76" s="338" t="n">
        <v>2089</v>
      </c>
      <c r="J76" s="338" t="n">
        <v>1227</v>
      </c>
      <c r="K76" s="338" t="n">
        <v>827</v>
      </c>
      <c r="L76" s="338">
        <f>J76+K76</f>
        <v/>
      </c>
      <c r="M76" s="338" t="n">
        <v>1484</v>
      </c>
      <c r="N76" s="338" t="n">
        <v>1563</v>
      </c>
      <c r="O76" s="338" t="n">
        <v>1230</v>
      </c>
      <c r="P76" s="338">
        <f>N76+O76</f>
        <v/>
      </c>
      <c r="Q76" s="338">
        <f>B76+SUM(E76:I76)+SUM(L76:M76)+P76</f>
        <v/>
      </c>
      <c r="R76" s="712" t="n"/>
    </row>
    <row r="77" ht="16" customHeight="1">
      <c r="A77" s="714" t="n">
        <v>44927</v>
      </c>
      <c r="B77" s="338" t="n">
        <v>13455</v>
      </c>
      <c r="C77" s="338" t="n">
        <v>7867</v>
      </c>
      <c r="D77" s="338" t="n">
        <v>1633</v>
      </c>
      <c r="E77" s="338">
        <f>(C77+D77)</f>
        <v/>
      </c>
      <c r="F77" s="338" t="n">
        <v>2893</v>
      </c>
      <c r="G77" s="338" t="n">
        <v>1291</v>
      </c>
      <c r="H77" s="338" t="n">
        <v>993</v>
      </c>
      <c r="I77" s="338" t="n">
        <v>1108</v>
      </c>
      <c r="J77" s="338" t="n">
        <v>812</v>
      </c>
      <c r="K77" s="338" t="n">
        <v>774</v>
      </c>
      <c r="L77" s="338">
        <f>J77+K77</f>
        <v/>
      </c>
      <c r="M77" s="338" t="n">
        <v>1144</v>
      </c>
      <c r="N77" s="338" t="n">
        <v>1287</v>
      </c>
      <c r="O77" s="338" t="n">
        <v>1150</v>
      </c>
      <c r="P77" s="338">
        <f>N77+O77</f>
        <v/>
      </c>
      <c r="Q77" s="338">
        <f>B77+SUM(E77:I77)+SUM(L77:M77)+P77</f>
        <v/>
      </c>
      <c r="R77" s="712" t="n"/>
    </row>
    <row r="78" ht="16" customHeight="1">
      <c r="A78" s="714" t="n">
        <v>44958</v>
      </c>
      <c r="B78" s="338" t="n">
        <v>8271</v>
      </c>
      <c r="C78" s="338" t="n">
        <v>6764</v>
      </c>
      <c r="D78" s="338" t="n">
        <v>2252</v>
      </c>
      <c r="E78" s="338">
        <f>(C78+D78)</f>
        <v/>
      </c>
      <c r="F78" s="338" t="n">
        <v>3334</v>
      </c>
      <c r="G78" s="338" t="n">
        <v>1219</v>
      </c>
      <c r="H78" s="338" t="n">
        <v>779</v>
      </c>
      <c r="I78" s="338" t="n">
        <v>1223</v>
      </c>
      <c r="J78" s="338" t="n">
        <v>773</v>
      </c>
      <c r="K78" s="338" t="n">
        <v>698</v>
      </c>
      <c r="L78" s="338">
        <f>J78+K78</f>
        <v/>
      </c>
      <c r="M78" s="338" t="n">
        <v>1292</v>
      </c>
      <c r="N78" s="338" t="n">
        <v>1024</v>
      </c>
      <c r="O78" s="338" t="n">
        <v>924</v>
      </c>
      <c r="P78" s="338">
        <f>N78+O78</f>
        <v/>
      </c>
      <c r="Q78" s="338">
        <f>B78+SUM(E78:I78)+SUM(L78:M78)+P78</f>
        <v/>
      </c>
      <c r="R78" s="712" t="n"/>
    </row>
    <row r="79" ht="16" customHeight="1">
      <c r="A79" s="714" t="n">
        <v>44986</v>
      </c>
      <c r="B79" s="338" t="n">
        <v>11401</v>
      </c>
      <c r="C79" s="338" t="n">
        <v>7565</v>
      </c>
      <c r="D79" s="338" t="n">
        <v>3044</v>
      </c>
      <c r="E79" s="338">
        <f>(C79+D79)</f>
        <v/>
      </c>
      <c r="F79" s="338" t="n">
        <v>3640</v>
      </c>
      <c r="G79" s="338" t="n">
        <v>1310</v>
      </c>
      <c r="H79" s="338" t="n">
        <v>892</v>
      </c>
      <c r="I79" s="338" t="n">
        <v>1465</v>
      </c>
      <c r="J79" s="338" t="n">
        <v>898</v>
      </c>
      <c r="K79" s="338" t="n">
        <v>783</v>
      </c>
      <c r="L79" s="338">
        <f>J79+K79</f>
        <v/>
      </c>
      <c r="M79" s="338" t="n">
        <v>1366</v>
      </c>
      <c r="N79" s="338" t="n">
        <v>1764</v>
      </c>
      <c r="O79" s="338" t="n">
        <v>1059</v>
      </c>
      <c r="P79" s="338">
        <f>N79+O79</f>
        <v/>
      </c>
      <c r="Q79" s="338">
        <f>B79+SUM(E79:I79)+SUM(L79:M79)+P79</f>
        <v/>
      </c>
      <c r="R79" s="712" t="n"/>
    </row>
    <row r="80" ht="16" customHeight="1">
      <c r="A80" s="714" t="n">
        <v>45017</v>
      </c>
      <c r="B80" s="338" t="n">
        <v>15479</v>
      </c>
      <c r="C80" s="338" t="n">
        <v>8123</v>
      </c>
      <c r="D80" s="338" t="n">
        <v>2949</v>
      </c>
      <c r="E80" s="338">
        <f>(C80+D80)</f>
        <v/>
      </c>
      <c r="F80" s="338" t="n">
        <v>3492</v>
      </c>
      <c r="G80" s="338" t="n">
        <v>1411</v>
      </c>
      <c r="H80" s="338" t="n">
        <v>1048</v>
      </c>
      <c r="I80" s="338" t="n">
        <v>1577</v>
      </c>
      <c r="J80" s="338" t="n">
        <v>1103</v>
      </c>
      <c r="K80" s="338" t="n">
        <v>684</v>
      </c>
      <c r="L80" s="338">
        <f>J80+K80</f>
        <v/>
      </c>
      <c r="M80" s="338" t="n">
        <v>1342</v>
      </c>
      <c r="N80" s="338" t="n">
        <v>1648.5</v>
      </c>
      <c r="O80" s="338" t="n">
        <v>954</v>
      </c>
      <c r="P80" s="338">
        <f>N80+O80</f>
        <v/>
      </c>
      <c r="Q80" s="338">
        <f>B80+SUM(E80:I80)+SUM(L80:M80)+P80</f>
        <v/>
      </c>
      <c r="R80" s="712" t="n"/>
    </row>
    <row r="81" ht="16" customHeight="1">
      <c r="A81" s="714" t="n">
        <v>45047</v>
      </c>
      <c r="B81" s="338" t="n">
        <v>14653</v>
      </c>
      <c r="C81" s="15" t="n">
        <v>8999</v>
      </c>
      <c r="D81" s="15" t="n">
        <v>2871</v>
      </c>
      <c r="E81" s="338">
        <f>(C81+D81)</f>
        <v/>
      </c>
      <c r="F81" s="338" t="n">
        <v>2166</v>
      </c>
      <c r="G81" s="338" t="n">
        <v>1636</v>
      </c>
      <c r="H81" s="338" t="n">
        <v>1127</v>
      </c>
      <c r="I81" s="338" t="n">
        <v>2063</v>
      </c>
      <c r="J81" s="338" t="n">
        <v>1068</v>
      </c>
      <c r="K81" s="338" t="n">
        <v>616</v>
      </c>
      <c r="L81" s="338">
        <f>J81+K81</f>
        <v/>
      </c>
      <c r="M81" s="338" t="n">
        <v>1642</v>
      </c>
      <c r="N81" s="338" t="n">
        <v>2110</v>
      </c>
      <c r="O81" s="338" t="n">
        <v>833</v>
      </c>
      <c r="P81" s="338">
        <f>N81+O81</f>
        <v/>
      </c>
      <c r="Q81" s="338">
        <f>B81+SUM(E81:I81)+SUM(L81:M81)+P81</f>
        <v/>
      </c>
      <c r="R81" s="712" t="n"/>
    </row>
    <row r="82" ht="17" customHeight="1" thickBot="1">
      <c r="A82" s="715" t="n">
        <v>45078</v>
      </c>
      <c r="B82" s="506">
        <f>4156+9925</f>
        <v/>
      </c>
      <c r="C82" s="506" t="n">
        <v>8465</v>
      </c>
      <c r="D82" s="506" t="n">
        <v>2788</v>
      </c>
      <c r="E82" s="506">
        <f>(C82+D82)</f>
        <v/>
      </c>
      <c r="F82" s="506" t="n">
        <v>2130</v>
      </c>
      <c r="G82" s="506" t="n">
        <v>1685</v>
      </c>
      <c r="H82" s="506" t="n">
        <v>1303</v>
      </c>
      <c r="I82" s="506" t="n">
        <v>2420</v>
      </c>
      <c r="J82" s="506" t="n">
        <v>1158</v>
      </c>
      <c r="K82" s="506" t="n">
        <v>591</v>
      </c>
      <c r="L82" s="506">
        <f>J82+K82</f>
        <v/>
      </c>
      <c r="M82" s="506" t="n">
        <v>1746</v>
      </c>
      <c r="N82" s="506" t="n">
        <v>2087.6</v>
      </c>
      <c r="O82" s="506">
        <f>798+897</f>
        <v/>
      </c>
      <c r="P82" s="506">
        <f>N82+O82</f>
        <v/>
      </c>
      <c r="Q82" s="506">
        <f>B82+SUM(E82:I82)+SUM(L82:M82)+P82</f>
        <v/>
      </c>
      <c r="R82" s="716">
        <f>SUM(Q71:Q82)</f>
        <v/>
      </c>
      <c r="S82" s="5">
        <f>R82/365</f>
        <v/>
      </c>
      <c r="T82" s="5">
        <f>S82*0.9</f>
        <v/>
      </c>
    </row>
    <row r="83" ht="16" customHeight="1">
      <c r="A83" s="717" t="n">
        <v>45108</v>
      </c>
      <c r="B83" s="503" t="n">
        <v>7456</v>
      </c>
      <c r="C83" s="503" t="n"/>
      <c r="D83" s="503" t="n"/>
      <c r="E83" s="459" t="n">
        <v>7333.6</v>
      </c>
      <c r="F83" s="503" t="n">
        <v>1940.5</v>
      </c>
      <c r="G83" s="503" t="n">
        <v>1322.5</v>
      </c>
      <c r="H83" s="503" t="n">
        <v>427.5</v>
      </c>
      <c r="I83" s="503" t="n">
        <v>1793.5</v>
      </c>
      <c r="J83" s="503" t="n"/>
      <c r="K83" s="503" t="n"/>
      <c r="L83" s="346" t="n">
        <v>0</v>
      </c>
      <c r="M83" s="503" t="n">
        <v>738.5</v>
      </c>
      <c r="N83" s="503" t="n">
        <v>2185.4</v>
      </c>
      <c r="O83" s="503" t="n"/>
      <c r="P83" s="342">
        <f>SUM(N83:O83)+99</f>
        <v/>
      </c>
      <c r="Q83" s="342">
        <f>B83+SUM(E83:I83)+SUM(L83:M83)+P83</f>
        <v/>
      </c>
      <c r="R83" s="712" t="n"/>
    </row>
    <row r="84" ht="16" customHeight="1">
      <c r="A84" s="714" t="n">
        <v>45139</v>
      </c>
      <c r="B84" s="343">
        <f>10135</f>
        <v/>
      </c>
      <c r="C84" s="343" t="n"/>
      <c r="D84" s="343" t="n"/>
      <c r="E84" s="344" t="n">
        <v>10227.8</v>
      </c>
      <c r="F84" s="343" t="n">
        <v>1272</v>
      </c>
      <c r="G84" s="343" t="n">
        <v>1102</v>
      </c>
      <c r="H84" s="343" t="n">
        <v>456</v>
      </c>
      <c r="I84" s="343" t="n">
        <v>2079</v>
      </c>
      <c r="J84" s="343" t="n"/>
      <c r="K84" s="343" t="n"/>
      <c r="L84" s="344" t="n">
        <v>123</v>
      </c>
      <c r="M84" s="343" t="n">
        <v>589.6</v>
      </c>
      <c r="N84" s="343" t="n">
        <v>2150.1</v>
      </c>
      <c r="O84" s="343" t="n"/>
      <c r="P84" s="338">
        <f>SUM(N84:O84)+56</f>
        <v/>
      </c>
      <c r="Q84" s="338">
        <f>B84+SUM(E84:I84)+SUM(L84:M84)+P84</f>
        <v/>
      </c>
      <c r="R84" s="712" t="n"/>
    </row>
    <row r="85" ht="16" customHeight="1">
      <c r="A85" s="714" t="n">
        <v>45192</v>
      </c>
      <c r="B85" s="343" t="n">
        <v>10338</v>
      </c>
      <c r="C85" s="343" t="n"/>
      <c r="D85" s="343" t="n"/>
      <c r="E85" s="344" t="n">
        <v>11338.2</v>
      </c>
      <c r="F85" s="343" t="n">
        <v>464.9</v>
      </c>
      <c r="G85" s="343" t="n">
        <v>1964.4</v>
      </c>
      <c r="H85" s="343" t="n">
        <v>628</v>
      </c>
      <c r="I85" s="343" t="n">
        <v>2438.7</v>
      </c>
      <c r="J85" s="343" t="n"/>
      <c r="K85" s="343" t="n"/>
      <c r="L85" s="344" t="n">
        <v>525.9</v>
      </c>
      <c r="M85" s="343" t="n">
        <v>530.6</v>
      </c>
      <c r="N85" s="343" t="n">
        <v>2013.8</v>
      </c>
      <c r="O85" s="343" t="n"/>
      <c r="P85" s="338">
        <f>SUM(N85:O85)+144.5</f>
        <v/>
      </c>
      <c r="Q85" s="338">
        <f>B85+SUM(E85:I85)+SUM(L85:M85)+P85</f>
        <v/>
      </c>
      <c r="R85" s="712" t="n"/>
    </row>
    <row r="86" ht="16" customHeight="1">
      <c r="A86" s="714" t="n">
        <v>45222</v>
      </c>
      <c r="B86" s="344" t="n">
        <v>10324.6</v>
      </c>
      <c r="C86" s="343" t="n"/>
      <c r="D86" s="343" t="n"/>
      <c r="E86" s="344" t="n">
        <v>10794.8</v>
      </c>
      <c r="F86" s="344" t="n">
        <v>1523</v>
      </c>
      <c r="G86" s="344" t="n">
        <v>1648.9</v>
      </c>
      <c r="H86" s="343" t="n">
        <v>410.9</v>
      </c>
      <c r="I86" s="343" t="n">
        <v>2014.9</v>
      </c>
      <c r="J86" s="343" t="n"/>
      <c r="K86" s="343" t="n"/>
      <c r="L86" s="343">
        <f>435.4+41.4</f>
        <v/>
      </c>
      <c r="M86" s="343" t="n">
        <v>564</v>
      </c>
      <c r="N86" s="343" t="n">
        <v>2241.6</v>
      </c>
      <c r="O86" s="343" t="n"/>
      <c r="P86" s="338">
        <f>SUM(N86:O86)+157</f>
        <v/>
      </c>
      <c r="Q86" s="338">
        <f>B86+SUM(E86:I86)+SUM(L86:M86)+P86</f>
        <v/>
      </c>
      <c r="R86" s="712" t="n"/>
    </row>
    <row r="87" ht="15" customHeight="1">
      <c r="A87" s="714" t="n">
        <v>45253</v>
      </c>
      <c r="B87" s="344" t="n">
        <v>14389.8</v>
      </c>
      <c r="C87" s="344" t="n"/>
      <c r="D87" s="344" t="n"/>
      <c r="E87" s="344" t="n">
        <v>17059.3</v>
      </c>
      <c r="F87" s="344" t="n">
        <v>797.5</v>
      </c>
      <c r="G87" s="344" t="n">
        <v>2422</v>
      </c>
      <c r="H87" s="344" t="n">
        <v>545.8</v>
      </c>
      <c r="I87" s="344" t="n">
        <v>3703.9</v>
      </c>
      <c r="J87" s="344" t="n"/>
      <c r="K87" s="344" t="n"/>
      <c r="L87" s="344" t="n">
        <v>770.6</v>
      </c>
      <c r="M87" s="344" t="n">
        <v>650.6</v>
      </c>
      <c r="N87" s="344" t="n">
        <v>2147.6</v>
      </c>
      <c r="O87" s="344" t="n"/>
      <c r="P87" s="344" t="n">
        <v>2276.4</v>
      </c>
      <c r="Q87" s="338">
        <f>B87+SUM(E87:I87)+SUM(L87:M87)+P87</f>
        <v/>
      </c>
      <c r="R87" s="712" t="n"/>
    </row>
    <row r="88" ht="15" customHeight="1">
      <c r="A88" s="714" t="n">
        <v>45283</v>
      </c>
      <c r="B88" s="344" t="n">
        <v>13139.5</v>
      </c>
      <c r="C88" s="344" t="n"/>
      <c r="D88" s="344" t="n"/>
      <c r="E88" s="344" t="n">
        <v>12822.3</v>
      </c>
      <c r="F88" s="344" t="n">
        <v>714.5</v>
      </c>
      <c r="G88" s="344" t="n">
        <v>1756.1</v>
      </c>
      <c r="H88" s="344" t="n">
        <v>746.4</v>
      </c>
      <c r="I88" s="344" t="n">
        <v>2987.4</v>
      </c>
      <c r="J88" s="344" t="n"/>
      <c r="K88" s="344" t="n"/>
      <c r="L88" s="344" t="n">
        <v>490.1</v>
      </c>
      <c r="M88" s="344" t="n">
        <v>796.8</v>
      </c>
      <c r="N88" s="344" t="n">
        <v>2069.9</v>
      </c>
      <c r="O88" s="344" t="n"/>
      <c r="P88" s="344" t="n">
        <v>2240.2</v>
      </c>
      <c r="Q88" s="338">
        <f>B88+SUM(E88:I88)+SUM(L88:M88)+P88</f>
        <v/>
      </c>
      <c r="R88" s="712" t="n"/>
    </row>
    <row r="89" ht="15" customHeight="1">
      <c r="A89" s="714" t="n">
        <v>45314</v>
      </c>
      <c r="B89" s="344" t="n">
        <v>10440.2</v>
      </c>
      <c r="C89" s="344" t="n"/>
      <c r="D89" s="344" t="n"/>
      <c r="E89" s="344" t="n">
        <v>10518.7</v>
      </c>
      <c r="F89" s="344" t="n">
        <v>549.9</v>
      </c>
      <c r="G89" s="344" t="n">
        <v>1402.4</v>
      </c>
      <c r="H89" s="344" t="n">
        <v>413.5</v>
      </c>
      <c r="I89" s="344" t="n">
        <v>2540.4</v>
      </c>
      <c r="J89" s="344" t="n"/>
      <c r="K89" s="344" t="n"/>
      <c r="L89" s="344" t="n">
        <v>221.8</v>
      </c>
      <c r="M89" s="344" t="n">
        <v>870.1</v>
      </c>
      <c r="N89" s="344" t="n"/>
      <c r="O89" s="344" t="n"/>
      <c r="P89" s="344" t="n">
        <v>2420.9</v>
      </c>
      <c r="Q89" s="338">
        <f>B89+SUM(E89:I89)+SUM(L89:M89)+P89</f>
        <v/>
      </c>
      <c r="R89" s="712" t="n"/>
    </row>
    <row r="90" ht="15" customHeight="1">
      <c r="A90" s="714" t="n">
        <v>45345</v>
      </c>
      <c r="B90" s="344" t="n">
        <v>13343</v>
      </c>
      <c r="C90" s="344" t="n"/>
      <c r="D90" s="344" t="n"/>
      <c r="E90" s="344" t="n">
        <v>12271.5</v>
      </c>
      <c r="F90" s="344" t="n">
        <v>372.5</v>
      </c>
      <c r="G90" s="344" t="n">
        <v>2301.4</v>
      </c>
      <c r="H90" s="344" t="n">
        <v>438.2</v>
      </c>
      <c r="I90" s="344" t="n">
        <v>2848.4</v>
      </c>
      <c r="J90" s="344" t="n"/>
      <c r="K90" s="344" t="n"/>
      <c r="L90" s="344" t="n">
        <v>612</v>
      </c>
      <c r="M90" s="344" t="n">
        <v>790.2</v>
      </c>
      <c r="N90" s="344" t="n"/>
      <c r="O90" s="344" t="n"/>
      <c r="P90" s="344" t="n">
        <v>2675.4</v>
      </c>
      <c r="Q90" s="338">
        <f>B90+SUM(E90:I90)+SUM(L90:M90)+P90</f>
        <v/>
      </c>
      <c r="R90" s="712" t="n"/>
    </row>
    <row r="91" ht="15" customHeight="1">
      <c r="A91" s="714" t="n">
        <v>45374</v>
      </c>
      <c r="B91" s="344" t="n">
        <v>16211.6</v>
      </c>
      <c r="C91" s="344" t="n"/>
      <c r="D91" s="344" t="n"/>
      <c r="E91" s="344" t="n">
        <v>15475.8</v>
      </c>
      <c r="F91" s="344" t="n">
        <v>384.1</v>
      </c>
      <c r="G91" s="344" t="n">
        <v>2645.1</v>
      </c>
      <c r="H91" s="344" t="n">
        <v>504.3</v>
      </c>
      <c r="I91" s="344" t="n">
        <v>3490.9</v>
      </c>
      <c r="J91" s="344" t="n"/>
      <c r="K91" s="344" t="n"/>
      <c r="L91" s="344" t="n">
        <v>733.1</v>
      </c>
      <c r="M91" s="344" t="n">
        <v>947</v>
      </c>
      <c r="N91" s="344" t="n"/>
      <c r="O91" s="344" t="n"/>
      <c r="P91" s="344" t="n">
        <v>3118.9</v>
      </c>
      <c r="Q91" s="338">
        <f>B91+SUM(E91:I91)+SUM(L91:M91)+P91</f>
        <v/>
      </c>
      <c r="R91" s="712" t="n"/>
    </row>
    <row r="92" ht="15" customHeight="1">
      <c r="A92" s="714" t="n">
        <v>45405</v>
      </c>
      <c r="B92" s="344" t="n">
        <v>14442.9</v>
      </c>
      <c r="C92" s="344" t="n"/>
      <c r="D92" s="344" t="n"/>
      <c r="E92" s="344" t="n">
        <v>14528.1</v>
      </c>
      <c r="F92" s="344" t="n">
        <v>462.4</v>
      </c>
      <c r="G92" s="344" t="n">
        <v>2136.4</v>
      </c>
      <c r="H92" s="344" t="n">
        <v>361.5</v>
      </c>
      <c r="I92" s="344" t="n">
        <v>3084.1</v>
      </c>
      <c r="J92" s="344" t="n"/>
      <c r="K92" s="344" t="n"/>
      <c r="L92" s="344" t="n">
        <v>601.2</v>
      </c>
      <c r="M92" s="344" t="n">
        <v>744.9</v>
      </c>
      <c r="N92" s="344" t="n"/>
      <c r="O92" s="344" t="n"/>
      <c r="P92" s="344" t="n">
        <v>3239.5</v>
      </c>
      <c r="Q92" s="338">
        <f>B92+SUM(E92:I92)+SUM(L92:M92)+P92</f>
        <v/>
      </c>
      <c r="R92" s="712" t="n"/>
    </row>
    <row r="93" ht="15" customHeight="1">
      <c r="A93" s="714" t="n">
        <v>45435</v>
      </c>
      <c r="B93" s="344" t="n">
        <v>15427.9</v>
      </c>
      <c r="C93" s="344" t="n"/>
      <c r="D93" s="344" t="n"/>
      <c r="E93" s="344" t="n">
        <v>14693.7</v>
      </c>
      <c r="F93" s="344" t="n">
        <v>495.5</v>
      </c>
      <c r="G93" s="344" t="n">
        <v>2215.9</v>
      </c>
      <c r="H93" s="344" t="n">
        <v>576.4</v>
      </c>
      <c r="I93" s="344" t="n">
        <v>2978.3</v>
      </c>
      <c r="J93" s="344" t="n"/>
      <c r="K93" s="344" t="n"/>
      <c r="L93" s="344" t="n">
        <v>590</v>
      </c>
      <c r="M93" s="344" t="n">
        <v>894</v>
      </c>
      <c r="N93" s="344" t="n"/>
      <c r="O93" s="344" t="n"/>
      <c r="P93" s="344" t="n">
        <v>3033.6</v>
      </c>
      <c r="Q93" s="338">
        <f>B93+SUM(E93:I93)+SUM(L93:M93)+P93</f>
        <v/>
      </c>
      <c r="R93" s="712" t="n"/>
    </row>
    <row r="94" ht="15" customHeight="1" thickBot="1">
      <c r="A94" s="715" t="n">
        <v>45466</v>
      </c>
      <c r="B94" s="508" t="n">
        <v>11557.2</v>
      </c>
      <c r="C94" s="508" t="n"/>
      <c r="D94" s="508" t="n"/>
      <c r="E94" s="508" t="n">
        <v>9417.700000000001</v>
      </c>
      <c r="F94" s="508" t="n">
        <v>586</v>
      </c>
      <c r="G94" s="508" t="n">
        <v>1702.6</v>
      </c>
      <c r="H94" s="508" t="n">
        <v>503.8</v>
      </c>
      <c r="I94" s="508" t="n">
        <v>2130.4</v>
      </c>
      <c r="J94" s="508" t="n"/>
      <c r="K94" s="508" t="n"/>
      <c r="L94" s="508" t="n">
        <v>208.2</v>
      </c>
      <c r="M94" s="508" t="n">
        <v>920</v>
      </c>
      <c r="N94" s="508" t="n"/>
      <c r="O94" s="508" t="n"/>
      <c r="P94" s="508" t="n">
        <v>3034.1</v>
      </c>
      <c r="Q94" s="506">
        <f>B94+SUM(E94:I94)+SUM(L94:M94)+P94</f>
        <v/>
      </c>
      <c r="R94" s="716">
        <f>SUM(Q83:Q94)</f>
        <v/>
      </c>
      <c r="S94" s="5">
        <f>R94/365</f>
        <v/>
      </c>
      <c r="T94" s="5">
        <f>S94*0.9</f>
        <v/>
      </c>
    </row>
    <row r="95" ht="15" customHeight="1">
      <c r="A95" s="717" t="n">
        <v>45496</v>
      </c>
      <c r="B95" s="459" t="n">
        <v>12616.3</v>
      </c>
      <c r="C95" s="459" t="n"/>
      <c r="D95" s="459" t="n"/>
      <c r="E95" s="459" t="n">
        <v>12850.5</v>
      </c>
      <c r="F95" s="459" t="n">
        <v>644.6</v>
      </c>
      <c r="G95" s="459" t="n">
        <v>1284.7</v>
      </c>
      <c r="H95" s="459" t="n">
        <v>425.3</v>
      </c>
      <c r="I95" s="459" t="n">
        <v>2178.2</v>
      </c>
      <c r="J95" s="459" t="n"/>
      <c r="K95" s="459" t="n"/>
      <c r="L95" s="459" t="n">
        <v>239.8</v>
      </c>
      <c r="M95" s="459" t="n">
        <v>734.1</v>
      </c>
      <c r="N95" s="459" t="n"/>
      <c r="O95" s="459" t="n"/>
      <c r="P95" s="459" t="n">
        <v>3135.3</v>
      </c>
      <c r="Q95" s="459">
        <f>B95+SUM(E95:I95)+SUM(L95:M95)+P95</f>
        <v/>
      </c>
      <c r="R95" s="712" t="n"/>
      <c r="S95" s="718" t="n"/>
    </row>
    <row r="96" ht="15" customHeight="1">
      <c r="A96" s="714" t="n">
        <v>45527</v>
      </c>
      <c r="B96" s="15" t="n">
        <v>13470.8</v>
      </c>
      <c r="C96" s="345" t="n"/>
      <c r="D96" s="345" t="n"/>
      <c r="E96" s="15" t="n">
        <v>13539.6</v>
      </c>
      <c r="F96" s="15" t="n">
        <v>406.6</v>
      </c>
      <c r="G96" s="15" t="n">
        <v>1969.5</v>
      </c>
      <c r="H96" s="15" t="n">
        <v>430.9</v>
      </c>
      <c r="I96" s="15" t="n">
        <v>2499.5</v>
      </c>
      <c r="J96" s="345" t="n"/>
      <c r="K96" s="345" t="n"/>
      <c r="L96" s="15" t="n">
        <v>309.3</v>
      </c>
      <c r="M96" s="15" t="n">
        <v>749.4</v>
      </c>
      <c r="N96" s="345" t="n"/>
      <c r="O96" s="345" t="n"/>
      <c r="P96" s="344" t="n">
        <v>3219.9</v>
      </c>
      <c r="Q96" s="344">
        <f>B96+SUM(E96:I96)+SUM(L96:M96)+P96</f>
        <v/>
      </c>
      <c r="R96" s="712" t="n"/>
    </row>
    <row r="97" ht="15" customHeight="1">
      <c r="A97" s="714" t="n">
        <v>45558</v>
      </c>
      <c r="B97" s="344" t="n">
        <v>15432.9</v>
      </c>
      <c r="C97" s="344" t="n"/>
      <c r="D97" s="344" t="n"/>
      <c r="E97" s="344" t="n">
        <v>19435.4</v>
      </c>
      <c r="F97" s="344" t="n">
        <v>414.7</v>
      </c>
      <c r="G97" s="344" t="n">
        <v>2528.6</v>
      </c>
      <c r="H97" s="344" t="n">
        <v>437.8</v>
      </c>
      <c r="I97" s="344" t="n">
        <v>3537.8</v>
      </c>
      <c r="J97" s="344" t="n"/>
      <c r="K97" s="344" t="n"/>
      <c r="L97" s="344" t="n">
        <v>568.1</v>
      </c>
      <c r="M97" s="344" t="n">
        <v>843.4</v>
      </c>
      <c r="N97" s="344" t="n"/>
      <c r="O97" s="344" t="n"/>
      <c r="P97" s="344" t="n">
        <v>2913</v>
      </c>
      <c r="Q97" s="344">
        <f>B97+SUM(E97:I97)+SUM(L97:M97)+P97</f>
        <v/>
      </c>
      <c r="R97" s="712" t="n"/>
    </row>
    <row r="98" ht="15" customHeight="1">
      <c r="A98" s="714" t="n">
        <v>45588</v>
      </c>
      <c r="B98" s="344" t="n">
        <v>17066.9</v>
      </c>
      <c r="C98" s="344" t="n"/>
      <c r="D98" s="344" t="n"/>
      <c r="E98" s="344" t="n">
        <v>21511.2</v>
      </c>
      <c r="F98" s="344" t="n">
        <v>340.3</v>
      </c>
      <c r="G98" s="344" t="n">
        <v>3013.3</v>
      </c>
      <c r="H98" s="344" t="n">
        <v>339.2</v>
      </c>
      <c r="I98" s="344" t="n">
        <v>3904.1</v>
      </c>
      <c r="J98" s="344" t="n"/>
      <c r="K98" s="344" t="n"/>
      <c r="L98" s="344" t="n">
        <v>672.3</v>
      </c>
      <c r="M98" s="344" t="n">
        <v>996.4</v>
      </c>
      <c r="N98" s="344" t="n"/>
      <c r="O98" s="344" t="n"/>
      <c r="P98" s="344" t="n">
        <v>2698.5</v>
      </c>
      <c r="Q98" s="344">
        <f>B98+SUM(E98:I98)+SUM(L98:M98)+P98</f>
        <v/>
      </c>
    </row>
    <row r="99" ht="15" customHeight="1">
      <c r="A99" s="714" t="n">
        <v>45619</v>
      </c>
      <c r="B99" s="344" t="n">
        <v>17036.9</v>
      </c>
      <c r="C99" s="344" t="n"/>
      <c r="D99" s="344" t="n"/>
      <c r="E99" s="344" t="n">
        <v>21337.2</v>
      </c>
      <c r="F99" s="344" t="n">
        <v>276.4</v>
      </c>
      <c r="G99" s="344" t="n">
        <v>3075.9</v>
      </c>
      <c r="H99" s="344" t="n">
        <v>597.3</v>
      </c>
      <c r="I99" s="344" t="n">
        <v>3829.2</v>
      </c>
      <c r="J99" s="344" t="n"/>
      <c r="K99" s="344" t="n"/>
      <c r="L99" s="344" t="n">
        <v>640</v>
      </c>
      <c r="M99" s="344" t="n">
        <v>1211.5</v>
      </c>
      <c r="N99" s="344" t="n"/>
      <c r="O99" s="344" t="n"/>
      <c r="P99" s="344" t="n">
        <v>2738</v>
      </c>
      <c r="Q99" s="344">
        <f>B99+SUM(E99:I99)+SUM(L99:M99)+P99</f>
        <v/>
      </c>
    </row>
    <row r="100" ht="15" customHeight="1">
      <c r="A100" s="714" t="n">
        <v>45649</v>
      </c>
      <c r="B100" s="344" t="n">
        <v>14307.6</v>
      </c>
      <c r="C100" s="344" t="n"/>
      <c r="D100" s="344" t="n"/>
      <c r="E100" s="344" t="n">
        <v>18821.3</v>
      </c>
      <c r="F100" s="344" t="n">
        <v>409.8</v>
      </c>
      <c r="G100" s="344" t="n">
        <v>1746.9</v>
      </c>
      <c r="H100" s="344" t="n">
        <v>558.5</v>
      </c>
      <c r="I100" s="344" t="n">
        <v>2897</v>
      </c>
      <c r="J100" s="344" t="n"/>
      <c r="K100" s="344" t="n"/>
      <c r="L100" s="712" t="n">
        <v>435.6</v>
      </c>
      <c r="M100" s="344" t="n">
        <v>1199.3</v>
      </c>
      <c r="N100" s="344" t="n"/>
      <c r="O100" s="344" t="n"/>
      <c r="P100" s="344" t="n">
        <v>2401</v>
      </c>
      <c r="Q100" s="344">
        <f>B100+SUM(E100:I100)+SUM(L100:M100)+P100</f>
        <v/>
      </c>
    </row>
    <row r="101" ht="15" customHeight="1">
      <c r="A101" s="714" t="n">
        <v>45680</v>
      </c>
      <c r="B101" s="344" t="n">
        <v>11380</v>
      </c>
      <c r="C101" s="344" t="n"/>
      <c r="D101" s="344" t="n"/>
      <c r="E101" s="344" t="n">
        <v>12982.1</v>
      </c>
      <c r="F101" s="344" t="n">
        <v>422.8</v>
      </c>
      <c r="G101" s="344" t="n">
        <v>1253</v>
      </c>
      <c r="H101" s="344" t="n">
        <v>292.3</v>
      </c>
      <c r="I101" s="344" t="n">
        <v>2142.1</v>
      </c>
      <c r="J101" s="344" t="n"/>
      <c r="K101" s="344" t="n"/>
      <c r="L101" s="344" t="n">
        <v>193.4</v>
      </c>
      <c r="M101" s="344" t="n">
        <v>871.4</v>
      </c>
      <c r="N101" s="344" t="n"/>
      <c r="O101" s="344" t="n"/>
      <c r="P101" s="344" t="n">
        <v>2517.9</v>
      </c>
      <c r="Q101" s="344">
        <f>B101+SUM(E101:I101)+SUM(L101:M101)+P101</f>
        <v/>
      </c>
    </row>
    <row r="102" ht="15" customHeight="1">
      <c r="A102" s="714" t="n">
        <v>45711</v>
      </c>
      <c r="B102" s="344" t="n">
        <v>14291.7</v>
      </c>
      <c r="C102" s="344" t="n"/>
      <c r="D102" s="344" t="n"/>
      <c r="E102" s="344" t="n">
        <v>17364</v>
      </c>
      <c r="F102" s="344" t="n">
        <v>291</v>
      </c>
      <c r="G102" s="344" t="n">
        <v>2200.1</v>
      </c>
      <c r="H102" s="344" t="n">
        <v>521.3</v>
      </c>
      <c r="I102" s="344" t="n">
        <v>3128.6</v>
      </c>
      <c r="J102" s="344" t="n"/>
      <c r="K102" s="344" t="n"/>
      <c r="L102" s="344" t="n">
        <v>533.9</v>
      </c>
      <c r="M102" s="344" t="n">
        <v>820.9</v>
      </c>
      <c r="N102" s="344" t="n"/>
      <c r="O102" s="344" t="n"/>
      <c r="P102" s="344" t="n">
        <v>2421.8</v>
      </c>
      <c r="Q102" s="344">
        <f>B102+SUM(E102:I102)+SUM(L102:M102)+P102</f>
        <v/>
      </c>
    </row>
    <row r="103" ht="15" customHeight="1">
      <c r="A103" s="714" t="n">
        <v>45739</v>
      </c>
      <c r="B103" s="344" t="n">
        <v>16689.5</v>
      </c>
      <c r="C103" s="344" t="n"/>
      <c r="D103" s="344" t="n"/>
      <c r="E103" s="344" t="n">
        <v>20873.5</v>
      </c>
      <c r="F103" s="344" t="n">
        <v>217.9</v>
      </c>
      <c r="G103" s="344" t="n">
        <v>3040.7</v>
      </c>
      <c r="H103" s="344" t="n">
        <v>543.6</v>
      </c>
      <c r="I103" s="344" t="n">
        <v>4006.5</v>
      </c>
      <c r="J103" s="344" t="n"/>
      <c r="K103" s="344" t="n"/>
      <c r="L103" s="344" t="n">
        <v>707.7</v>
      </c>
      <c r="M103" s="344" t="n">
        <v>839.6</v>
      </c>
      <c r="N103" s="344" t="n"/>
      <c r="O103" s="344" t="n"/>
      <c r="P103" s="344" t="n">
        <v>2500.1</v>
      </c>
      <c r="Q103" s="344">
        <f>B103+SUM(E103:I103)+SUM(L103:M103)+P103</f>
        <v/>
      </c>
    </row>
    <row r="104" ht="15" customHeight="1">
      <c r="A104" s="714" t="n">
        <v>45770</v>
      </c>
      <c r="B104" s="344" t="n">
        <v>14808.3</v>
      </c>
      <c r="C104" s="344" t="n"/>
      <c r="D104" s="344" t="n"/>
      <c r="E104" s="344" t="n">
        <v>17587.2</v>
      </c>
      <c r="F104" s="344" t="n">
        <v>180.9</v>
      </c>
      <c r="G104" s="344" t="n">
        <v>2598.6</v>
      </c>
      <c r="H104" s="344" t="n">
        <v>395.5</v>
      </c>
      <c r="I104" s="344" t="n">
        <v>3247.9</v>
      </c>
      <c r="J104" s="344" t="n"/>
      <c r="K104" s="344" t="n"/>
      <c r="L104" s="344" t="n">
        <v>543.1</v>
      </c>
      <c r="M104" s="344" t="n">
        <v>904.8</v>
      </c>
      <c r="N104" s="344" t="n"/>
      <c r="O104" s="344" t="n"/>
      <c r="P104" s="344" t="n">
        <v>2026.8</v>
      </c>
      <c r="Q104" s="344">
        <f>B104+SUM(E104:I104)+SUM(L104:M104)+P104</f>
        <v/>
      </c>
    </row>
    <row r="105" ht="15" customHeight="1">
      <c r="A105" s="714" t="n">
        <v>45800</v>
      </c>
      <c r="B105" s="344" t="n">
        <v>14697.1</v>
      </c>
      <c r="C105" s="344" t="n"/>
      <c r="D105" s="344" t="n"/>
      <c r="E105" s="344" t="n">
        <v>19797.9</v>
      </c>
      <c r="F105" s="344" t="n">
        <v>201.9</v>
      </c>
      <c r="G105" s="344" t="n">
        <v>2501</v>
      </c>
      <c r="H105" s="344" t="n">
        <v>563</v>
      </c>
      <c r="I105" s="344" t="n">
        <v>3505.2</v>
      </c>
      <c r="J105" s="344" t="n"/>
      <c r="K105" s="344" t="n"/>
      <c r="L105" s="344" t="n">
        <v>486.6</v>
      </c>
      <c r="M105" s="344" t="n">
        <v>923.2</v>
      </c>
      <c r="N105" s="344" t="n"/>
      <c r="O105" s="344" t="n"/>
      <c r="P105" s="344" t="n">
        <v>2102.5</v>
      </c>
      <c r="Q105" s="344">
        <f>B105+SUM(E105:I105)+SUM(L105:M105)+P105</f>
        <v/>
      </c>
    </row>
    <row r="106" ht="15" customHeight="1" thickBot="1">
      <c r="A106" s="715" t="n">
        <v>45831</v>
      </c>
      <c r="B106" s="508" t="n">
        <v>11953.9</v>
      </c>
      <c r="C106" s="508" t="n"/>
      <c r="D106" s="508" t="n"/>
      <c r="E106" s="508" t="n">
        <v>12025.4</v>
      </c>
      <c r="F106" s="508" t="n">
        <v>275.8</v>
      </c>
      <c r="G106" s="508" t="n">
        <v>1250.6</v>
      </c>
      <c r="H106" s="508" t="n">
        <v>445.6</v>
      </c>
      <c r="I106" s="508" t="n">
        <v>2717.6</v>
      </c>
      <c r="J106" s="508" t="n"/>
      <c r="K106" s="508" t="n"/>
      <c r="L106" s="508" t="n">
        <v>195.1</v>
      </c>
      <c r="M106" s="508" t="n">
        <v>718.4</v>
      </c>
      <c r="N106" s="508" t="n"/>
      <c r="O106" s="508" t="n"/>
      <c r="P106" s="508" t="n">
        <v>1952</v>
      </c>
      <c r="Q106" s="508">
        <f>B106+SUM(E106:I106)+SUM(L106:M106)+P106</f>
        <v/>
      </c>
      <c r="R106" s="540">
        <f>SUM(Q95:Q106)</f>
        <v/>
      </c>
      <c r="S106" s="5">
        <f>R106/365</f>
        <v/>
      </c>
      <c r="T106" s="5">
        <f>S106*0.9</f>
        <v/>
      </c>
    </row>
    <row r="107" ht="15" customHeight="1">
      <c r="A107" s="717" t="n">
        <v>45861</v>
      </c>
      <c r="B107" s="459" t="n">
        <v>12164</v>
      </c>
      <c r="C107" s="459" t="n"/>
      <c r="D107" s="459" t="n"/>
      <c r="E107" s="459" t="n">
        <v>12435.9</v>
      </c>
      <c r="F107" s="459" t="n">
        <v>245.8</v>
      </c>
      <c r="G107" s="459" t="n">
        <v>1259.9</v>
      </c>
      <c r="H107" s="459" t="n">
        <v>377.9</v>
      </c>
      <c r="I107" s="459" t="n">
        <v>3060.2</v>
      </c>
      <c r="J107" s="459" t="n"/>
      <c r="K107" s="459" t="n"/>
      <c r="L107" s="459" t="n">
        <v>199.8</v>
      </c>
      <c r="M107" s="459" t="n">
        <v>658.3</v>
      </c>
      <c r="N107" s="459" t="n"/>
      <c r="O107" s="459" t="n"/>
      <c r="P107" s="459" t="n">
        <v>358</v>
      </c>
      <c r="Q107" s="459">
        <f>B107+SUM(E107:I107)+SUM(L107:M107)+P107</f>
        <v/>
      </c>
      <c r="R107" s="62" t="n"/>
    </row>
    <row r="108" ht="15" customHeight="1">
      <c r="A108" s="714" t="n">
        <v>45892</v>
      </c>
      <c r="B108" s="344" t="n">
        <v>11616.2</v>
      </c>
      <c r="C108" s="344" t="n"/>
      <c r="D108" s="344" t="n"/>
      <c r="E108" s="344" t="n">
        <v>13524.2</v>
      </c>
      <c r="F108" s="344" t="n">
        <v>337</v>
      </c>
      <c r="G108" s="344" t="n">
        <v>1333.9</v>
      </c>
      <c r="H108" s="344" t="n">
        <v>438.9</v>
      </c>
      <c r="I108" s="344" t="n">
        <v>3236.6</v>
      </c>
      <c r="J108" s="344" t="n"/>
      <c r="K108" s="344" t="n"/>
      <c r="L108" s="344" t="n">
        <v>303.5</v>
      </c>
      <c r="M108" s="344" t="n">
        <v>869</v>
      </c>
      <c r="N108" s="344" t="n"/>
      <c r="O108" s="344" t="n"/>
      <c r="P108" s="344" t="n">
        <v>334.9</v>
      </c>
      <c r="Q108" s="344">
        <f>B108+SUM(E108:I108)+SUM(L108:M108)+P108</f>
        <v/>
      </c>
      <c r="R108" s="62" t="n"/>
    </row>
    <row r="109" ht="15" customHeight="1">
      <c r="A109" s="714" t="n">
        <v>45923</v>
      </c>
      <c r="B109" s="344" t="n">
        <v>15126.3</v>
      </c>
      <c r="C109" s="344" t="n"/>
      <c r="D109" s="344" t="n"/>
      <c r="E109" s="344" t="n">
        <v>18651.7</v>
      </c>
      <c r="F109" s="344" t="n">
        <v>164.2</v>
      </c>
      <c r="G109" s="344" t="n">
        <v>2538.5</v>
      </c>
      <c r="H109" s="344" t="n">
        <v>431.2</v>
      </c>
      <c r="I109" s="344" t="n">
        <v>3636.8</v>
      </c>
      <c r="J109" s="344" t="n"/>
      <c r="K109" s="344" t="n"/>
      <c r="L109" s="344" t="n">
        <v>547.6</v>
      </c>
      <c r="M109" s="344" t="n">
        <v>991.9</v>
      </c>
      <c r="N109" s="344" t="n"/>
      <c r="O109" s="344" t="n"/>
      <c r="P109" s="344" t="n">
        <v>315.2</v>
      </c>
      <c r="Q109" s="344">
        <f>B109+SUM(E109:I109)+SUM(L109:M109)+P109</f>
        <v/>
      </c>
      <c r="R109" s="62" t="n"/>
    </row>
    <row r="110" ht="15" customHeight="1">
      <c r="A110" s="714" t="n">
        <v>45953</v>
      </c>
      <c r="B110" s="344" t="n">
        <v>17448.3</v>
      </c>
      <c r="C110" s="344" t="n"/>
      <c r="D110" s="344" t="n"/>
      <c r="E110" s="344" t="n">
        <v>19123.1</v>
      </c>
      <c r="F110" s="344" t="n">
        <v>522.6</v>
      </c>
      <c r="G110" s="344" t="n">
        <v>2591</v>
      </c>
      <c r="H110" s="344" t="n">
        <v>822.7</v>
      </c>
      <c r="I110" s="344" t="n">
        <v>3797.6</v>
      </c>
      <c r="J110" s="344" t="n"/>
      <c r="K110" s="344" t="n"/>
      <c r="L110" s="344" t="n">
        <v>819.4</v>
      </c>
      <c r="M110" s="344" t="n">
        <v>1389.2</v>
      </c>
      <c r="N110" s="344" t="n"/>
      <c r="O110" s="344" t="n"/>
      <c r="P110" s="344" t="n">
        <v>541.9</v>
      </c>
      <c r="Q110" s="344">
        <f>B110+SUM(E110:I110)+SUM(L110:M110)+P110</f>
        <v/>
      </c>
      <c r="R110" s="62" t="n"/>
    </row>
    <row r="111" ht="15" customHeight="1">
      <c r="A111" s="714" t="n">
        <v>45984</v>
      </c>
      <c r="B111" s="344" t="n">
        <v>15747.5</v>
      </c>
      <c r="C111" s="344" t="n"/>
      <c r="D111" s="344" t="n"/>
      <c r="E111" s="344" t="n">
        <v>21167.5</v>
      </c>
      <c r="F111" s="344" t="n">
        <v>831.4</v>
      </c>
      <c r="G111" s="344" t="n">
        <v>3449.9</v>
      </c>
      <c r="H111" s="344" t="n">
        <v>1225.2</v>
      </c>
      <c r="I111" s="344" t="n">
        <v>4746.5</v>
      </c>
      <c r="J111" s="344" t="n"/>
      <c r="K111" s="344" t="n"/>
      <c r="L111" s="344">
        <f>1119.8+21.3</f>
        <v/>
      </c>
      <c r="M111" s="344" t="n">
        <v>1982.6</v>
      </c>
      <c r="N111" s="344" t="n"/>
      <c r="O111" s="344" t="n"/>
      <c r="P111" s="344" t="n">
        <v>1228.7</v>
      </c>
      <c r="Q111" s="344">
        <f>B111+SUM(E111:I111)+SUM(L111:M111)+P111</f>
        <v/>
      </c>
      <c r="R111" s="62" t="n"/>
    </row>
    <row r="112" ht="15" customHeight="1">
      <c r="A112" s="714" t="n">
        <v>46014</v>
      </c>
      <c r="B112" s="344" t="n">
        <v>13671.4</v>
      </c>
      <c r="C112" s="344" t="n"/>
      <c r="D112" s="344" t="n"/>
      <c r="E112" s="344" t="n">
        <v>15857.9</v>
      </c>
      <c r="F112" s="344" t="n">
        <v>860.3</v>
      </c>
      <c r="G112" s="344" t="n">
        <v>2087.9</v>
      </c>
      <c r="H112" s="344" t="n">
        <v>1071.6</v>
      </c>
      <c r="I112" s="344" t="n">
        <v>3241.6</v>
      </c>
      <c r="J112" s="344" t="n"/>
      <c r="K112" s="344" t="n"/>
      <c r="L112" s="344">
        <f>985.2+47.4</f>
        <v/>
      </c>
      <c r="M112" s="344" t="n">
        <v>1551.3</v>
      </c>
      <c r="N112" s="344" t="n"/>
      <c r="O112" s="344" t="n"/>
      <c r="P112" s="344" t="n">
        <v>730.5</v>
      </c>
      <c r="Q112" s="344">
        <f>B112+SUM(E112:I112)+SUM(L112:M112)+P112</f>
        <v/>
      </c>
      <c r="R112" s="62" t="n"/>
    </row>
    <row r="113" ht="15" customHeight="1">
      <c r="A113" s="714" t="n">
        <v>46045</v>
      </c>
      <c r="B113" s="344" t="n">
        <v>9607.6</v>
      </c>
      <c r="C113" s="344" t="n"/>
      <c r="D113" s="344" t="n"/>
      <c r="E113" s="344" t="n">
        <v>12785.8</v>
      </c>
      <c r="F113" s="344" t="n">
        <v>668.9</v>
      </c>
      <c r="G113" s="344" t="n">
        <v>1340.2</v>
      </c>
      <c r="H113" s="344" t="n">
        <v>579.8</v>
      </c>
      <c r="I113" s="344" t="n">
        <v>3706</v>
      </c>
      <c r="J113" s="344" t="n"/>
      <c r="K113" s="344" t="n"/>
      <c r="L113" s="344" t="n">
        <v>371.9</v>
      </c>
      <c r="M113" s="344" t="n">
        <v>895.6</v>
      </c>
      <c r="N113" s="344" t="n"/>
      <c r="O113" s="344" t="n"/>
      <c r="P113" s="344" t="n">
        <v>533.2</v>
      </c>
      <c r="Q113" s="344">
        <f>B113+SUM(E113:I113)+SUM(L113:M113)+P113</f>
        <v/>
      </c>
      <c r="R113" s="62" t="n"/>
    </row>
    <row r="114" ht="15" customHeight="1">
      <c r="A114" s="714" t="n">
        <v>46076</v>
      </c>
      <c r="B114" s="344" t="n">
        <v>8779.200000000001</v>
      </c>
      <c r="C114" s="344" t="n"/>
      <c r="D114" s="344" t="n"/>
      <c r="E114" s="344" t="n">
        <v>10947</v>
      </c>
      <c r="F114" s="344" t="n">
        <v>986.1</v>
      </c>
      <c r="G114" s="344" t="n">
        <v>1427.9</v>
      </c>
      <c r="H114" s="344" t="n">
        <v>627.3</v>
      </c>
      <c r="I114" s="344" t="n">
        <v>2677.2</v>
      </c>
      <c r="J114" s="344" t="n"/>
      <c r="K114" s="344" t="n"/>
      <c r="L114" s="344">
        <f>531.5+22.8</f>
        <v/>
      </c>
      <c r="M114" s="344" t="n">
        <v>1019.6</v>
      </c>
      <c r="N114" s="344" t="n"/>
      <c r="O114" s="344" t="n"/>
      <c r="P114" s="344" t="n">
        <v>470.4</v>
      </c>
      <c r="Q114" s="344">
        <f>B114+SUM(E114:I114)+SUM(L114:M114)+P114</f>
        <v/>
      </c>
      <c r="S114" s="5" t="inlineStr">
        <is>
          <t xml:space="preserve"> </t>
        </is>
      </c>
    </row>
    <row r="115" ht="15" customHeight="1">
      <c r="A115" s="714" t="n">
        <v>46104</v>
      </c>
      <c r="B115" s="62" t="n"/>
      <c r="C115" s="62" t="n"/>
      <c r="D115" s="62" t="n"/>
      <c r="E115" s="62" t="n"/>
      <c r="F115" s="62" t="n"/>
      <c r="G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</row>
    <row r="116" ht="15" customHeight="1">
      <c r="A116" s="714" t="n">
        <v>46135</v>
      </c>
      <c r="B116" s="62" t="n"/>
      <c r="C116" s="62" t="n"/>
      <c r="D116" s="62" t="n"/>
      <c r="E116" s="62" t="n"/>
      <c r="F116" s="62" t="n"/>
      <c r="G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</row>
    <row r="117" ht="15" customHeight="1">
      <c r="A117" s="714" t="n">
        <v>46165</v>
      </c>
      <c r="B117" s="62" t="n"/>
      <c r="C117" s="62" t="n"/>
      <c r="D117" s="62" t="n"/>
      <c r="E117" s="62" t="n"/>
      <c r="F117" s="62" t="n"/>
      <c r="G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</row>
    <row r="118" ht="15" customHeight="1">
      <c r="A118" s="714" t="n">
        <v>46196</v>
      </c>
      <c r="B118" s="62" t="n"/>
      <c r="C118" s="62" t="n"/>
      <c r="D118" s="62" t="n"/>
      <c r="E118" s="62" t="n"/>
      <c r="F118" s="62" t="n"/>
      <c r="G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</row>
  </sheetData>
  <pageMargins left="0.7" right="0.7" top="0.75" bottom="0.75" header="0.3" footer="0.3"/>
  <pageSetup orientation="portrait" paperSize="9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Louis Law</dc:creator>
  <dcterms:created xmlns:dcterms="http://purl.org/dc/terms/" xmlns:xsi="http://www.w3.org/2001/XMLSchema-instance" xsi:type="dcterms:W3CDTF">2024-02-01T23:41:14Z</dcterms:created>
  <dcterms:modified xmlns:dcterms="http://purl.org/dc/terms/" xmlns:xsi="http://www.w3.org/2001/XMLSchema-instance" xsi:type="dcterms:W3CDTF">2026-07-07T07:48:03Z</dcterms:modified>
  <cp:lastModifiedBy>Chen Kai Xin Tiffany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0x010100A29A70560454A24D9B372805159B7667</vt:lpwstr>
  </property>
  <property name="MediaServiceImageTags" fmtid="{D5CDD505-2E9C-101B-9397-08002B2CF9AE}" pid="3">
    <vt:lpwstr xmlns:vt="http://schemas.openxmlformats.org/officeDocument/2006/docPropsVTypes"/>
  </property>
</Properties>
</file>