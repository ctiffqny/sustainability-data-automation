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K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yyyy-mm-dd h:mm:ss"/>
    <numFmt numFmtId="166" formatCode="[$-409]mmm\-yy;@"/>
    <numFmt numFmtId="167" formatCode="0.000"/>
  </numFmts>
  <fonts count="8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FF0000"/>
      <sz val="12"/>
    </font>
    <font>
      <name val="Arial"/>
      <family val="2"/>
      <color rgb="FF000000"/>
      <sz val="12"/>
    </font>
    <font>
      <name val="Calibri"/>
      <charset val="136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1" fillId="2" borderId="3" applyAlignment="1" pivotButton="0" quotePrefix="0" xfId="0">
      <alignment horizontal="right" vertical="center" wrapText="1"/>
    </xf>
    <xf numFmtId="164" fontId="4" fillId="4" borderId="3" applyAlignment="1" pivotButton="0" quotePrefix="0" xfId="0">
      <alignment horizontal="right" vertical="center" wrapText="1"/>
    </xf>
    <xf numFmtId="164" fontId="5" fillId="4" borderId="3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/>
    </xf>
    <xf numFmtId="164" fontId="4" fillId="4" borderId="4" applyAlignment="1" pivotButton="0" quotePrefix="0" xfId="0">
      <alignment horizontal="right" vertical="center"/>
    </xf>
    <xf numFmtId="164" fontId="4" fillId="0" borderId="4" applyAlignment="1" pivotButton="0" quotePrefix="0" xfId="0">
      <alignment horizontal="right" vertical="center" wrapText="1"/>
    </xf>
    <xf numFmtId="164" fontId="1" fillId="4" borderId="3" applyAlignment="1" pivotButton="0" quotePrefix="0" xfId="0">
      <alignment horizontal="right"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  <xf numFmtId="166" fontId="1" fillId="2" borderId="4" applyAlignment="1" pivotButton="0" quotePrefix="0" xfId="0">
      <alignment horizontal="right" vertical="center" wrapText="1"/>
    </xf>
    <xf numFmtId="164" fontId="4" fillId="4" borderId="4" applyAlignment="1" pivotButton="0" quotePrefix="0" xfId="0">
      <alignment horizontal="right" vertical="center" wrapText="1"/>
    </xf>
    <xf numFmtId="164" fontId="5" fillId="4" borderId="4" applyAlignment="1" pivotButton="0" quotePrefix="0" xfId="0">
      <alignment horizontal="right" vertical="center" wrapText="1"/>
    </xf>
    <xf numFmtId="164" fontId="3" fillId="4" borderId="4" applyAlignment="1" pivotButton="0" quotePrefix="0" xfId="0">
      <alignment vertical="center" wrapText="1"/>
    </xf>
    <xf numFmtId="10" fontId="3" fillId="0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4" fontId="6" fillId="5" borderId="0" applyAlignment="1" pivotButton="0" quotePrefix="0" xfId="0">
      <alignment vertical="center"/>
    </xf>
    <xf numFmtId="164" fontId="5" fillId="0" borderId="4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/>
    </xf>
    <xf numFmtId="164" fontId="4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4" fontId="6" fillId="0" borderId="0" applyAlignment="1" pivotButton="0" quotePrefix="0" xfId="0">
      <alignment vertical="center" wrapText="1"/>
    </xf>
    <xf numFmtId="167" fontId="3" fillId="0" borderId="0" applyAlignment="1" pivotButton="0" quotePrefix="0" xfId="0">
      <alignment vertical="center"/>
    </xf>
    <xf numFmtId="3" fontId="4" fillId="0" borderId="4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3" fontId="3" fillId="4" borderId="4" applyAlignment="1" pivotButton="0" quotePrefix="0" xfId="0">
      <alignment vertical="center"/>
    </xf>
    <xf numFmtId="3" fontId="4" fillId="4" borderId="4" applyAlignment="1" pivotButton="0" quotePrefix="0" xfId="0">
      <alignment horizontal="right" vertical="center"/>
    </xf>
    <xf numFmtId="9" fontId="6" fillId="0" borderId="0" applyAlignment="1" pivotButton="0" quotePrefix="0" xfId="0">
      <alignment vertical="center" wrapText="1"/>
    </xf>
    <xf numFmtId="3" fontId="4" fillId="4" borderId="5" applyAlignment="1" pivotButton="0" quotePrefix="0" xfId="0">
      <alignment horizontal="right" vertical="center"/>
    </xf>
    <xf numFmtId="164" fontId="3" fillId="4" borderId="4" applyAlignment="1" pivotButton="0" quotePrefix="0" xfId="0">
      <alignment vertical="center"/>
    </xf>
    <xf numFmtId="164" fontId="3" fillId="4" borderId="4" applyAlignment="1" pivotButton="0" quotePrefix="0" xfId="0">
      <alignment horizontal="right" vertical="center" wrapText="1"/>
    </xf>
    <xf numFmtId="164" fontId="3" fillId="4" borderId="0" applyAlignment="1" pivotButton="0" quotePrefix="0" xfId="0">
      <alignment vertical="center"/>
    </xf>
    <xf numFmtId="3" fontId="4" fillId="4" borderId="4" applyAlignment="1" pivotButton="0" quotePrefix="0" xfId="0">
      <alignment horizontal="right" vertical="center" wrapText="1"/>
    </xf>
    <xf numFmtId="9" fontId="6" fillId="0" borderId="0" applyAlignment="1" pivotButton="0" quotePrefix="0" xfId="0">
      <alignment vertical="center"/>
    </xf>
    <xf numFmtId="164" fontId="7" fillId="4" borderId="4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3" fontId="4" fillId="0" borderId="4" applyAlignment="1" pivotButton="0" quotePrefix="0" xfId="0">
      <alignment horizontal="right" vertical="center" wrapText="1"/>
    </xf>
    <xf numFmtId="164" fontId="4" fillId="6" borderId="4" applyAlignment="1" pivotButton="0" quotePrefix="0" xfId="0">
      <alignment horizontal="right" vertical="center" wrapText="1"/>
    </xf>
    <xf numFmtId="9" fontId="3" fillId="0" borderId="0" applyAlignment="1" pivotButton="0" quotePrefix="0" xfId="0">
      <alignment vertical="center"/>
    </xf>
    <xf numFmtId="164" fontId="3" fillId="0" borderId="0" pivotButton="0" quotePrefix="0" xfId="0"/>
    <xf numFmtId="3" fontId="3" fillId="0" borderId="0" applyAlignment="1" pivotButton="0" quotePrefix="0" xfId="0">
      <alignment vertical="center"/>
    </xf>
    <xf numFmtId="164" fontId="3" fillId="5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4" fillId="4" borderId="4" applyAlignment="1" pivotButton="0" quotePrefix="0" xfId="0">
      <alignment horizontal="right" vertical="center" wrapText="1"/>
    </xf>
    <xf numFmtId="0" fontId="3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32"/>
  <sheetViews>
    <sheetView workbookViewId="0">
      <selection activeCell="A1" sqref="A1"/>
    </sheetView>
  </sheetViews>
  <sheetFormatPr baseColWidth="8" defaultRowHeight="15"/>
  <cols>
    <col width="11.1640625" customWidth="1" min="1" max="1"/>
    <col width="15.6640625" customWidth="1" min="2" max="2"/>
    <col width="20.6640625" customWidth="1" min="5" max="5"/>
    <col width="15.6640625" customWidth="1" min="6" max="6"/>
    <col width="13.1640625" customWidth="1" min="10" max="10"/>
    <col width="15.6640625" customWidth="1" min="11" max="11"/>
    <col width="13.6640625" customWidth="1" min="13" max="13"/>
    <col width="15.5" customWidth="1" min="14" max="14"/>
    <col width="14.33203125" customWidth="1" min="15" max="15"/>
    <col width="13.1640625" customWidth="1" min="16" max="16"/>
    <col width="15.6640625" customWidth="1" min="17" max="17"/>
    <col width="18.33203125" customWidth="1" min="18" max="18"/>
    <col width="15.6640625" customWidth="1" min="21" max="21"/>
    <col width="12.33203125" customWidth="1" min="24" max="24"/>
    <col width="13" customWidth="1" min="25" max="25"/>
    <col width="13.33203125" customWidth="1" min="26" max="26"/>
    <col width="13.1640625" customWidth="1" min="27" max="27"/>
    <col width="16" customWidth="1" min="28" max="28"/>
    <col width="13.1640625" customWidth="1" min="29" max="29"/>
    <col width="15.1640625" customWidth="1" min="30" max="30"/>
    <col width="15" customWidth="1" min="32" max="32"/>
    <col width="10.6640625" customWidth="1" min="33" max="33"/>
    <col width="12.6640625" customWidth="1" min="34" max="34"/>
    <col width="14.33203125" customWidth="1" min="35" max="35"/>
    <col width="13.6640625" customWidth="1" min="36" max="36"/>
    <col width="16.5" customWidth="1" min="37" max="37"/>
    <col width="13.6640625" customWidth="1" min="38" max="38"/>
    <col width="14.6640625" customWidth="1" min="39" max="39"/>
    <col width="16.1640625" customWidth="1" min="42" max="42"/>
    <col width="14" customWidth="1" min="44" max="44"/>
    <col width="10.6640625" customWidth="1" min="45" max="45"/>
  </cols>
  <sheetData>
    <row r="1" ht="68" customHeight="1">
      <c r="A1" s="1" t="n"/>
      <c r="B1" s="2" t="inlineStr">
        <is>
          <t>Trash</t>
        </is>
      </c>
      <c r="C1" s="2" t="inlineStr">
        <is>
          <t>Yellow Skip</t>
        </is>
      </c>
      <c r="D1" s="2" t="inlineStr">
        <is>
          <t>Paper (LG7/SSID)</t>
        </is>
      </c>
      <c r="E1" s="2" t="inlineStr">
        <is>
          <t>Paper (corrugated containers+office paper+ newspapers)</t>
        </is>
      </c>
      <c r="F1" s="2" t="inlineStr">
        <is>
          <t>Metal (Aluminium)</t>
        </is>
      </c>
      <c r="G1" s="2" t="inlineStr">
        <is>
          <t>Metal Skip (Metal)</t>
        </is>
      </c>
      <c r="H1" s="2" t="inlineStr">
        <is>
          <t>Plastic (waste plastic bottles + plastic bag)</t>
        </is>
      </c>
      <c r="I1" s="2" t="inlineStr">
        <is>
          <t>Expanded Polystyrene</t>
        </is>
      </c>
      <c r="J1" s="3" t="inlineStr">
        <is>
          <t>CD @0.154kg</t>
        </is>
      </c>
      <c r="K1" s="2" t="inlineStr">
        <is>
          <t>Glass</t>
        </is>
      </c>
      <c r="L1" s="2" t="inlineStr">
        <is>
          <t>Clothes</t>
        </is>
      </c>
      <c r="M1" s="3" t="inlineStr">
        <is>
          <t>Fluorescent Tube @ 0.3kg</t>
        </is>
      </c>
      <c r="N1" s="4" t="inlineStr">
        <is>
          <t>Lamp @ 0.07kg</t>
        </is>
      </c>
      <c r="O1" s="3" t="inlineStr">
        <is>
          <t>Rechargeable Battery</t>
        </is>
      </c>
      <c r="P1" s="3" t="inlineStr">
        <is>
          <t>Toner</t>
        </is>
      </c>
      <c r="Q1" s="3" t="inlineStr">
        <is>
          <t>Ink Cartridge (expressed in PIECES)</t>
        </is>
      </c>
      <c r="R1" s="5" t="inlineStr">
        <is>
          <t>Electronic Ballast (2x32W) @0.34kg</t>
        </is>
      </c>
      <c r="S1" s="5" t="inlineStr">
        <is>
          <t>Electronic Ballast (2x36W) @0.13</t>
        </is>
      </c>
      <c r="T1" s="5" t="inlineStr">
        <is>
          <t>Electronic Ballast (1x36W) @0.15</t>
        </is>
      </c>
      <c r="U1" s="2" t="inlineStr">
        <is>
          <t>Electrical Appliance</t>
        </is>
      </c>
      <c r="V1" s="2" t="inlineStr">
        <is>
          <t>Wood</t>
        </is>
      </c>
      <c r="W1" s="2" t="inlineStr">
        <is>
          <t>Food Waste (Contractor)</t>
        </is>
      </c>
      <c r="X1" s="2" t="inlineStr">
        <is>
          <t>Animal Bedding</t>
        </is>
      </c>
      <c r="Y1" s="2" t="inlineStr">
        <is>
          <t>Landscape</t>
        </is>
      </c>
      <c r="Z1" s="2" t="inlineStr">
        <is>
          <t>Tetra Packs</t>
        </is>
      </c>
      <c r="AA1" s="6" t="inlineStr">
        <is>
          <t xml:space="preserve">Monthly Total of Waste to Landfill </t>
        </is>
      </c>
      <c r="AB1" s="6" t="inlineStr">
        <is>
          <t xml:space="preserve">Waste to Landfill 12 month rolling sum </t>
        </is>
      </c>
      <c r="AC1" s="7" t="inlineStr">
        <is>
          <t>Waste to Landfill 12 month rolling average</t>
        </is>
      </c>
      <c r="AD1" s="6" t="inlineStr">
        <is>
          <t>Monthly Total of Recycling</t>
        </is>
      </c>
      <c r="AE1" s="6" t="inlineStr">
        <is>
          <t xml:space="preserve">Recycling 12 month rolling sum </t>
        </is>
      </c>
      <c r="AF1" s="7" t="inlineStr">
        <is>
          <t>Recycling 12 month rolling average</t>
        </is>
      </c>
      <c r="AG1" s="6" t="n"/>
      <c r="AH1" s="6" t="inlineStr">
        <is>
          <t>Total Waste Generate</t>
        </is>
      </c>
      <c r="AI1" s="6" t="inlineStr">
        <is>
          <t>Total Waste (12month rolling sum)</t>
        </is>
      </c>
      <c r="AJ1" s="8" t="n"/>
      <c r="AK1" s="8" t="n"/>
    </row>
    <row r="2">
      <c r="A2" s="9" t="n">
        <v>41456</v>
      </c>
      <c r="B2" s="10" t="n">
        <v>282100</v>
      </c>
      <c r="C2" s="10" t="n"/>
      <c r="D2" s="11" t="n">
        <v>2000</v>
      </c>
      <c r="E2" s="10">
        <f>5120</f>
        <v/>
      </c>
      <c r="F2" s="10" t="n">
        <v>108</v>
      </c>
      <c r="G2" s="10" t="n"/>
      <c r="H2" s="10" t="n">
        <v>240</v>
      </c>
      <c r="I2" s="10" t="n"/>
      <c r="J2" s="12" t="n">
        <v>3.25</v>
      </c>
      <c r="K2" s="10" t="n"/>
      <c r="L2" s="10" t="n"/>
      <c r="M2" s="12" t="n">
        <v>217</v>
      </c>
      <c r="N2" s="12" t="n">
        <v>23</v>
      </c>
      <c r="O2" s="13" t="inlineStr">
        <is>
          <t>-</t>
        </is>
      </c>
      <c r="P2" s="13">
        <f>0.67*172</f>
        <v/>
      </c>
      <c r="Q2" s="12" t="n">
        <v>0</v>
      </c>
      <c r="R2" s="13" t="n"/>
      <c r="S2" s="13" t="n"/>
      <c r="T2" s="13" t="n"/>
      <c r="U2" s="10" t="n"/>
      <c r="V2" s="10" t="n"/>
      <c r="W2" s="14" t="n"/>
      <c r="X2" s="10" t="n"/>
      <c r="Y2" s="10" t="n"/>
      <c r="Z2" s="15" t="n"/>
      <c r="AA2" s="16">
        <f>SUM(B2:C2)</f>
        <v/>
      </c>
      <c r="AD2" s="17">
        <f>SUM(D2:Z2)</f>
        <v/>
      </c>
    </row>
    <row r="3">
      <c r="A3" s="18" t="n">
        <v>41487</v>
      </c>
      <c r="B3" s="19" t="n">
        <v>282100</v>
      </c>
      <c r="C3" s="19" t="n"/>
      <c r="D3" s="20" t="n">
        <v>2000</v>
      </c>
      <c r="E3" s="19">
        <f>4100</f>
        <v/>
      </c>
      <c r="F3" s="19" t="n">
        <v>300</v>
      </c>
      <c r="G3" s="19" t="n"/>
      <c r="H3" s="19" t="n">
        <v>250</v>
      </c>
      <c r="I3" s="19" t="n"/>
      <c r="J3" s="12" t="n">
        <v>1.16</v>
      </c>
      <c r="K3" s="19" t="n"/>
      <c r="L3" s="19" t="n"/>
      <c r="M3" s="12" t="n">
        <v>203</v>
      </c>
      <c r="N3" s="12" t="n">
        <v>22</v>
      </c>
      <c r="O3" s="13" t="inlineStr">
        <is>
          <t>-</t>
        </is>
      </c>
      <c r="P3" s="13">
        <f>0.67*177</f>
        <v/>
      </c>
      <c r="Q3" s="12" t="n">
        <v>0</v>
      </c>
      <c r="R3" s="13" t="n"/>
      <c r="S3" s="13" t="n"/>
      <c r="T3" s="13" t="n"/>
      <c r="U3" s="19" t="n"/>
      <c r="V3" s="19" t="n"/>
      <c r="W3" s="14" t="n"/>
      <c r="X3" s="19" t="n"/>
      <c r="Y3" s="19" t="n"/>
      <c r="Z3" s="21" t="n"/>
      <c r="AA3" s="16">
        <f>SUM(B3:C3)</f>
        <v/>
      </c>
      <c r="AD3" s="17">
        <f>SUM(D3:Z3)</f>
        <v/>
      </c>
    </row>
    <row r="4">
      <c r="A4" s="18" t="n">
        <v>41518</v>
      </c>
      <c r="B4" s="19" t="n">
        <v>273000.0000000001</v>
      </c>
      <c r="C4" s="19" t="n"/>
      <c r="D4" s="20" t="n">
        <v>2000</v>
      </c>
      <c r="E4" s="19">
        <f>4900</f>
        <v/>
      </c>
      <c r="F4" s="19" t="n">
        <v>320</v>
      </c>
      <c r="G4" s="19" t="n"/>
      <c r="H4" s="19" t="n">
        <v>310</v>
      </c>
      <c r="I4" s="19" t="n"/>
      <c r="J4" s="12" t="n">
        <v>0.696</v>
      </c>
      <c r="K4" s="19" t="n"/>
      <c r="L4" s="19" t="n"/>
      <c r="M4" s="12" t="n">
        <v>223</v>
      </c>
      <c r="N4" s="12" t="n">
        <v>24</v>
      </c>
      <c r="O4" s="13" t="inlineStr">
        <is>
          <t>-</t>
        </is>
      </c>
      <c r="P4" s="13">
        <f>0.67*134</f>
        <v/>
      </c>
      <c r="Q4" s="12" t="n">
        <v>58</v>
      </c>
      <c r="R4" s="13" t="n"/>
      <c r="S4" s="13" t="n"/>
      <c r="T4" s="13" t="n"/>
      <c r="U4" s="19" t="n"/>
      <c r="V4" s="19" t="n"/>
      <c r="W4" s="14" t="n"/>
      <c r="X4" s="19" t="n"/>
      <c r="Y4" s="19" t="n"/>
      <c r="Z4" s="21" t="n"/>
      <c r="AA4" s="16">
        <f>SUM(B4:C4)</f>
        <v/>
      </c>
      <c r="AD4" s="17">
        <f>SUM(D4:Z4)</f>
        <v/>
      </c>
      <c r="AL4" s="22" t="n"/>
    </row>
    <row r="5">
      <c r="A5" s="18" t="n">
        <v>41548</v>
      </c>
      <c r="B5" s="19" t="n">
        <v>282100</v>
      </c>
      <c r="C5" s="19" t="n"/>
      <c r="D5" s="20" t="n">
        <v>2000</v>
      </c>
      <c r="E5" s="19">
        <f>4700</f>
        <v/>
      </c>
      <c r="F5" s="19" t="n">
        <v>150</v>
      </c>
      <c r="G5" s="19" t="n"/>
      <c r="H5" s="19" t="n">
        <v>440</v>
      </c>
      <c r="I5" s="19" t="n"/>
      <c r="J5" s="12" t="n">
        <v>0.155</v>
      </c>
      <c r="K5" s="19" t="n"/>
      <c r="L5" s="19" t="n"/>
      <c r="M5" s="12" t="n">
        <v>400</v>
      </c>
      <c r="N5" s="12" t="n">
        <v>200</v>
      </c>
      <c r="O5" s="13" t="inlineStr">
        <is>
          <t>-</t>
        </is>
      </c>
      <c r="P5" s="13">
        <f>0.67*221</f>
        <v/>
      </c>
      <c r="Q5" s="12" t="n">
        <v>0</v>
      </c>
      <c r="R5" s="13" t="n"/>
      <c r="S5" s="13" t="n"/>
      <c r="T5" s="13" t="n"/>
      <c r="U5" s="19" t="n"/>
      <c r="V5" s="19" t="n"/>
      <c r="W5" s="14" t="n"/>
      <c r="X5" s="19" t="n"/>
      <c r="Y5" s="19" t="n"/>
      <c r="Z5" s="21" t="n"/>
      <c r="AA5" s="16">
        <f>SUM(B5:C5)</f>
        <v/>
      </c>
      <c r="AD5" s="17">
        <f>SUM(D5:Z5)</f>
        <v/>
      </c>
      <c r="AL5" s="22" t="n"/>
      <c r="AM5" s="22" t="n"/>
      <c r="AN5" s="22" t="n"/>
    </row>
    <row r="6">
      <c r="A6" s="18" t="n">
        <v>41579</v>
      </c>
      <c r="B6" s="19" t="n">
        <v>273000.0000000001</v>
      </c>
      <c r="C6" s="19" t="n"/>
      <c r="D6" s="20" t="n">
        <v>2000</v>
      </c>
      <c r="E6" s="19">
        <f>4450</f>
        <v/>
      </c>
      <c r="F6" s="19" t="n">
        <v>11</v>
      </c>
      <c r="G6" s="19" t="n"/>
      <c r="H6" s="19" t="n">
        <v>570</v>
      </c>
      <c r="I6" s="19" t="n"/>
      <c r="J6" s="12" t="n">
        <v>2.413</v>
      </c>
      <c r="K6" s="19" t="n"/>
      <c r="L6" s="19" t="n"/>
      <c r="M6" s="12" t="n">
        <v>800</v>
      </c>
      <c r="N6" s="12" t="n">
        <v>400</v>
      </c>
      <c r="O6" s="13" t="inlineStr">
        <is>
          <t>-</t>
        </is>
      </c>
      <c r="P6" s="13">
        <f>0.67*142</f>
        <v/>
      </c>
      <c r="Q6" s="12" t="n">
        <v>8</v>
      </c>
      <c r="R6" s="13" t="n"/>
      <c r="S6" s="13" t="n"/>
      <c r="T6" s="13" t="n"/>
      <c r="U6" s="19" t="n"/>
      <c r="V6" s="19" t="n"/>
      <c r="W6" s="14" t="n"/>
      <c r="X6" s="19" t="n"/>
      <c r="Y6" s="19" t="n"/>
      <c r="Z6" s="21" t="n"/>
      <c r="AA6" s="16">
        <f>SUM(B6:C6)</f>
        <v/>
      </c>
      <c r="AD6" s="17">
        <f>SUM(D6:Z6)</f>
        <v/>
      </c>
      <c r="AL6" s="22" t="n"/>
      <c r="AM6" s="22" t="n"/>
      <c r="AN6" s="22" t="n"/>
    </row>
    <row r="7">
      <c r="A7" s="18" t="n">
        <v>41609</v>
      </c>
      <c r="B7" s="19" t="n">
        <v>282100</v>
      </c>
      <c r="C7" s="19" t="n"/>
      <c r="D7" s="20" t="n">
        <v>2000</v>
      </c>
      <c r="E7" s="19">
        <f>4150</f>
        <v/>
      </c>
      <c r="F7" s="19" t="n">
        <v>90</v>
      </c>
      <c r="G7" s="19" t="n"/>
      <c r="H7" s="19" t="n">
        <v>600</v>
      </c>
      <c r="I7" s="19" t="n"/>
      <c r="J7" s="12" t="n">
        <v>1.748</v>
      </c>
      <c r="K7" s="19" t="n"/>
      <c r="L7" s="19" t="n"/>
      <c r="M7" s="12" t="n">
        <v>600</v>
      </c>
      <c r="N7" s="12" t="n">
        <v>400</v>
      </c>
      <c r="O7" s="13">
        <f>0.05*68</f>
        <v/>
      </c>
      <c r="P7" s="13">
        <f>0.67*112</f>
        <v/>
      </c>
      <c r="Q7" s="12" t="n">
        <v>46</v>
      </c>
      <c r="R7" s="13" t="n"/>
      <c r="S7" s="13" t="n"/>
      <c r="T7" s="13" t="n"/>
      <c r="U7" s="19" t="n"/>
      <c r="V7" s="19" t="n"/>
      <c r="W7" s="14" t="n"/>
      <c r="X7" s="19" t="n"/>
      <c r="Y7" s="19" t="n"/>
      <c r="Z7" s="21" t="n"/>
      <c r="AA7" s="16">
        <f>SUM(B7:C7)</f>
        <v/>
      </c>
      <c r="AD7" s="17">
        <f>SUM(D7:Z7)</f>
        <v/>
      </c>
      <c r="AL7" s="22" t="n"/>
      <c r="AM7" s="22" t="n"/>
      <c r="AN7" s="22" t="n"/>
    </row>
    <row r="8">
      <c r="A8" s="18" t="n">
        <v>41640</v>
      </c>
      <c r="B8" s="19" t="n">
        <v>282100</v>
      </c>
      <c r="C8" s="19" t="n"/>
      <c r="D8" s="20" t="n">
        <v>2000</v>
      </c>
      <c r="E8" s="19">
        <f>4360</f>
        <v/>
      </c>
      <c r="F8" s="19" t="n">
        <v>70</v>
      </c>
      <c r="G8" s="19" t="n"/>
      <c r="H8" s="19" t="n">
        <v>520</v>
      </c>
      <c r="I8" s="19" t="n"/>
      <c r="J8" s="12" t="n">
        <v>1.779</v>
      </c>
      <c r="K8" s="19" t="n"/>
      <c r="L8" s="19" t="n"/>
      <c r="M8" s="12" t="n">
        <v>600</v>
      </c>
      <c r="N8" s="12" t="n">
        <v>200</v>
      </c>
      <c r="O8" s="13" t="inlineStr">
        <is>
          <t>-</t>
        </is>
      </c>
      <c r="P8" s="13">
        <f>0.67*95</f>
        <v/>
      </c>
      <c r="Q8" s="12" t="n">
        <v>0</v>
      </c>
      <c r="R8" s="13" t="n"/>
      <c r="S8" s="13" t="n"/>
      <c r="T8" s="13" t="n"/>
      <c r="U8" s="19" t="n"/>
      <c r="V8" s="19" t="n"/>
      <c r="W8" s="14" t="n"/>
      <c r="X8" s="19" t="n"/>
      <c r="Y8" s="19" t="n"/>
      <c r="Z8" s="21" t="n"/>
      <c r="AA8" s="16">
        <f>SUM(B8:C8)</f>
        <v/>
      </c>
      <c r="AD8" s="17">
        <f>SUM(D8:Z8)</f>
        <v/>
      </c>
      <c r="AL8" s="22" t="n"/>
      <c r="AM8" s="22" t="n"/>
      <c r="AN8" s="22" t="n"/>
    </row>
    <row r="9">
      <c r="A9" s="18" t="n">
        <v>41671</v>
      </c>
      <c r="B9" s="19" t="n">
        <v>254800</v>
      </c>
      <c r="C9" s="19" t="n"/>
      <c r="D9" s="20" t="n">
        <v>2000</v>
      </c>
      <c r="E9" s="19">
        <f>4400</f>
        <v/>
      </c>
      <c r="F9" s="19" t="n">
        <v>200</v>
      </c>
      <c r="G9" s="19" t="n"/>
      <c r="H9" s="19" t="n">
        <v>410</v>
      </c>
      <c r="I9" s="19" t="n"/>
      <c r="J9" s="12" t="n">
        <v>3.604</v>
      </c>
      <c r="K9" s="19" t="n"/>
      <c r="L9" s="19" t="n"/>
      <c r="M9" s="12" t="n">
        <v>800</v>
      </c>
      <c r="N9" s="12" t="n">
        <v>200</v>
      </c>
      <c r="O9" s="13" t="inlineStr">
        <is>
          <t>-</t>
        </is>
      </c>
      <c r="P9" s="13">
        <f>0.67*154</f>
        <v/>
      </c>
      <c r="Q9" s="12" t="n">
        <v>0</v>
      </c>
      <c r="R9" s="13" t="n"/>
      <c r="S9" s="13" t="n"/>
      <c r="T9" s="13" t="n"/>
      <c r="U9" s="19" t="n"/>
      <c r="V9" s="19" t="n"/>
      <c r="W9" s="14" t="n"/>
      <c r="X9" s="19" t="n"/>
      <c r="Y9" s="19" t="n"/>
      <c r="Z9" s="21" t="n"/>
      <c r="AA9" s="16">
        <f>SUM(B9:C9)</f>
        <v/>
      </c>
      <c r="AD9" s="17">
        <f>SUM(D9:Z9)</f>
        <v/>
      </c>
      <c r="AL9" s="22" t="n"/>
      <c r="AM9" s="22" t="n"/>
      <c r="AN9" s="22" t="n"/>
    </row>
    <row r="10">
      <c r="A10" s="18" t="n">
        <v>41699</v>
      </c>
      <c r="B10" s="19" t="n">
        <v>282100</v>
      </c>
      <c r="C10" s="19" t="n"/>
      <c r="D10" s="20" t="n">
        <v>2000</v>
      </c>
      <c r="E10" s="19">
        <f>4800</f>
        <v/>
      </c>
      <c r="F10" s="19" t="n">
        <v>150</v>
      </c>
      <c r="G10" s="19" t="n"/>
      <c r="H10" s="19" t="n">
        <v>390</v>
      </c>
      <c r="I10" s="19" t="n"/>
      <c r="J10" s="12" t="n">
        <v>0.263</v>
      </c>
      <c r="K10" s="19" t="n"/>
      <c r="L10" s="19" t="n"/>
      <c r="M10" s="12" t="n">
        <v>800</v>
      </c>
      <c r="N10" s="12" t="n">
        <v>400</v>
      </c>
      <c r="O10" s="13" t="inlineStr">
        <is>
          <t>-</t>
        </is>
      </c>
      <c r="P10" s="13">
        <f>0.67*170</f>
        <v/>
      </c>
      <c r="Q10" s="12" t="n">
        <v>0</v>
      </c>
      <c r="R10" s="13" t="n"/>
      <c r="S10" s="13" t="n"/>
      <c r="T10" s="13" t="n"/>
      <c r="U10" s="19" t="n"/>
      <c r="V10" s="19" t="n"/>
      <c r="W10" s="14" t="n"/>
      <c r="X10" s="19" t="n"/>
      <c r="Y10" s="19" t="n"/>
      <c r="Z10" s="21" t="n"/>
      <c r="AA10" s="16">
        <f>SUM(B10:C10)</f>
        <v/>
      </c>
      <c r="AD10" s="17">
        <f>SUM(D10:Z10)</f>
        <v/>
      </c>
      <c r="AL10" s="22" t="n"/>
      <c r="AM10" s="22" t="n"/>
      <c r="AN10" s="22" t="n"/>
    </row>
    <row r="11">
      <c r="A11" s="18" t="n">
        <v>41730</v>
      </c>
      <c r="B11" s="19" t="n">
        <v>273000.0000000001</v>
      </c>
      <c r="C11" s="19" t="n"/>
      <c r="D11" s="20" t="n">
        <v>2000</v>
      </c>
      <c r="E11" s="19">
        <f>4620</f>
        <v/>
      </c>
      <c r="F11" s="19" t="n">
        <v>110</v>
      </c>
      <c r="G11" s="19" t="n"/>
      <c r="H11" s="19" t="n">
        <v>510</v>
      </c>
      <c r="I11" s="19" t="n"/>
      <c r="J11" s="12" t="n">
        <v>8.398999999999999</v>
      </c>
      <c r="K11" s="19" t="n"/>
      <c r="L11" s="19" t="n"/>
      <c r="M11" s="12" t="n">
        <v>800</v>
      </c>
      <c r="N11" s="12" t="n">
        <v>400</v>
      </c>
      <c r="O11" s="13" t="inlineStr">
        <is>
          <t>-</t>
        </is>
      </c>
      <c r="P11" s="13">
        <f>0.67*174</f>
        <v/>
      </c>
      <c r="Q11" s="12" t="n">
        <v>0</v>
      </c>
      <c r="R11" s="13" t="n"/>
      <c r="S11" s="13" t="n"/>
      <c r="T11" s="13" t="n"/>
      <c r="U11" s="19" t="n"/>
      <c r="V11" s="19" t="n"/>
      <c r="W11" s="14" t="n"/>
      <c r="X11" s="19" t="n"/>
      <c r="Y11" s="19" t="n"/>
      <c r="Z11" s="21" t="n"/>
      <c r="AA11" s="16">
        <f>SUM(B11:C11)</f>
        <v/>
      </c>
      <c r="AD11" s="17">
        <f>SUM(D11:Z11)</f>
        <v/>
      </c>
      <c r="AL11" s="22" t="n"/>
      <c r="AM11" s="22" t="n"/>
      <c r="AN11" s="22" t="n"/>
    </row>
    <row r="12">
      <c r="A12" s="18" t="n">
        <v>41760</v>
      </c>
      <c r="B12" s="19" t="n">
        <v>282100</v>
      </c>
      <c r="C12" s="19" t="n"/>
      <c r="D12" s="20" t="n">
        <v>2000</v>
      </c>
      <c r="E12" s="19">
        <f>4900</f>
        <v/>
      </c>
      <c r="F12" s="19" t="n">
        <v>350</v>
      </c>
      <c r="G12" s="19" t="n"/>
      <c r="H12" s="19" t="n">
        <v>470</v>
      </c>
      <c r="I12" s="19" t="n"/>
      <c r="J12" s="12" t="n">
        <v>22.335</v>
      </c>
      <c r="K12" s="19" t="n"/>
      <c r="L12" s="19" t="n"/>
      <c r="M12" s="12" t="n">
        <v>800</v>
      </c>
      <c r="N12" s="12" t="n">
        <v>400</v>
      </c>
      <c r="O12" s="13" t="inlineStr">
        <is>
          <t>-</t>
        </is>
      </c>
      <c r="P12" s="13">
        <f>0.67*120</f>
        <v/>
      </c>
      <c r="Q12" s="12" t="n">
        <v>30</v>
      </c>
      <c r="R12" s="13" t="n"/>
      <c r="S12" s="13" t="n"/>
      <c r="T12" s="13" t="n"/>
      <c r="U12" s="19" t="n"/>
      <c r="V12" s="19" t="n"/>
      <c r="W12" s="14" t="n"/>
      <c r="X12" s="19" t="n"/>
      <c r="Y12" s="19" t="n"/>
      <c r="Z12" s="21" t="n"/>
      <c r="AA12" s="16">
        <f>SUM(B12:C12)</f>
        <v/>
      </c>
      <c r="AD12" s="17">
        <f>SUM(D12:Z12)</f>
        <v/>
      </c>
      <c r="AL12" s="22" t="n"/>
      <c r="AM12" s="22" t="n"/>
      <c r="AN12" s="22" t="n"/>
    </row>
    <row r="13">
      <c r="A13" s="18" t="n">
        <v>41791</v>
      </c>
      <c r="B13" s="19" t="n">
        <v>273000.0000000001</v>
      </c>
      <c r="C13" s="19" t="n"/>
      <c r="D13" s="20" t="n">
        <v>2000</v>
      </c>
      <c r="E13" s="19">
        <f>4700</f>
        <v/>
      </c>
      <c r="F13" s="19" t="n">
        <v>450</v>
      </c>
      <c r="G13" s="19" t="n"/>
      <c r="H13" s="19" t="n">
        <v>400</v>
      </c>
      <c r="I13" s="19" t="n"/>
      <c r="J13" s="12" t="n">
        <v>14.836</v>
      </c>
      <c r="K13" s="19" t="n"/>
      <c r="L13" s="19" t="n"/>
      <c r="M13" s="12" t="n">
        <v>800</v>
      </c>
      <c r="N13" s="12" t="n">
        <v>400</v>
      </c>
      <c r="O13" s="13" t="inlineStr">
        <is>
          <t>-</t>
        </is>
      </c>
      <c r="P13" s="13">
        <f>0.67*112</f>
        <v/>
      </c>
      <c r="Q13" s="12" t="n">
        <v>0</v>
      </c>
      <c r="R13" s="13" t="n"/>
      <c r="S13" s="13" t="n"/>
      <c r="T13" s="13" t="n"/>
      <c r="U13" s="19" t="n"/>
      <c r="V13" s="19" t="n"/>
      <c r="W13" s="14" t="n"/>
      <c r="X13" s="19" t="n"/>
      <c r="Y13" s="19" t="n"/>
      <c r="Z13" s="21" t="n"/>
      <c r="AA13" s="16">
        <f>SUM(B13:C13)</f>
        <v/>
      </c>
      <c r="AB13" s="17">
        <f>SUM(AA2:AA13)</f>
        <v/>
      </c>
      <c r="AC13" s="23">
        <f>AB13/12</f>
        <v/>
      </c>
      <c r="AD13" s="17">
        <f>SUM(D13:Z13)</f>
        <v/>
      </c>
      <c r="AE13" s="17">
        <f>SUM(AD2:AD13)</f>
        <v/>
      </c>
      <c r="AF13" s="23">
        <f>AE13/12</f>
        <v/>
      </c>
      <c r="AH13" s="24">
        <f>AB13+AE13</f>
        <v/>
      </c>
      <c r="AL13" s="22" t="n"/>
      <c r="AM13" s="22" t="n"/>
      <c r="AN13" s="22" t="n"/>
    </row>
    <row r="14">
      <c r="A14" s="18" t="n">
        <v>41821</v>
      </c>
      <c r="B14" s="14" t="n">
        <v>282100</v>
      </c>
      <c r="C14" s="14" t="n"/>
      <c r="D14" s="25" t="n">
        <v>2000</v>
      </c>
      <c r="E14" s="14">
        <f>4520</f>
        <v/>
      </c>
      <c r="F14" s="14" t="n">
        <v>150</v>
      </c>
      <c r="G14" s="14" t="n"/>
      <c r="H14" s="14" t="n">
        <v>370</v>
      </c>
      <c r="I14" s="14" t="n"/>
      <c r="J14" s="26" t="n">
        <v>27.087</v>
      </c>
      <c r="K14" s="14" t="n"/>
      <c r="L14" s="14" t="n"/>
      <c r="M14" s="26" t="n">
        <v>1000</v>
      </c>
      <c r="N14" s="26" t="n">
        <v>600</v>
      </c>
      <c r="O14" s="27" t="inlineStr">
        <is>
          <t>-</t>
        </is>
      </c>
      <c r="P14" s="27">
        <f>0.67*114</f>
        <v/>
      </c>
      <c r="Q14" s="26" t="n">
        <v>0</v>
      </c>
      <c r="R14" s="27" t="n"/>
      <c r="S14" s="27" t="n"/>
      <c r="T14" s="27" t="n"/>
      <c r="U14" s="14" t="n"/>
      <c r="V14" s="14" t="n"/>
      <c r="W14" s="14" t="n"/>
      <c r="X14" s="14" t="n"/>
      <c r="Y14" s="14" t="n"/>
      <c r="Z14" s="28" t="n"/>
      <c r="AA14" s="16">
        <f>SUM(B14:C14)</f>
        <v/>
      </c>
      <c r="AB14" s="17">
        <f>SUM(AA3:AA14)</f>
        <v/>
      </c>
      <c r="AC14" s="23">
        <f>AB14/12</f>
        <v/>
      </c>
      <c r="AD14" s="17">
        <f>SUM(D14:Z14)</f>
        <v/>
      </c>
      <c r="AE14" s="17">
        <f>SUM(AD3:AD14)</f>
        <v/>
      </c>
      <c r="AF14" s="23">
        <f>AE14/12</f>
        <v/>
      </c>
      <c r="AL14" s="22" t="n"/>
      <c r="AM14" s="22" t="n"/>
      <c r="AN14" s="22" t="n"/>
    </row>
    <row r="15">
      <c r="A15" s="18" t="n">
        <v>41852</v>
      </c>
      <c r="B15" s="14" t="n">
        <v>282100</v>
      </c>
      <c r="C15" s="14" t="n"/>
      <c r="D15" s="25" t="n">
        <v>2000</v>
      </c>
      <c r="E15" s="14">
        <f>4610</f>
        <v/>
      </c>
      <c r="F15" s="14" t="n">
        <v>140</v>
      </c>
      <c r="G15" s="14" t="n"/>
      <c r="H15" s="14" t="n">
        <v>400</v>
      </c>
      <c r="I15" s="14" t="n"/>
      <c r="J15" s="26" t="n">
        <v>16.097</v>
      </c>
      <c r="K15" s="14" t="n">
        <v>626</v>
      </c>
      <c r="L15" s="14" t="n"/>
      <c r="M15" s="26" t="n">
        <v>800</v>
      </c>
      <c r="N15" s="26" t="n">
        <v>400</v>
      </c>
      <c r="O15" s="27" t="inlineStr">
        <is>
          <t>-</t>
        </is>
      </c>
      <c r="P15" s="27">
        <f>0.67*86</f>
        <v/>
      </c>
      <c r="Q15" s="26" t="n">
        <v>0</v>
      </c>
      <c r="R15" s="27" t="n"/>
      <c r="S15" s="27" t="n"/>
      <c r="T15" s="27" t="n"/>
      <c r="U15" s="14" t="n"/>
      <c r="V15" s="14" t="n"/>
      <c r="W15" s="14" t="n"/>
      <c r="X15" s="14" t="n"/>
      <c r="Y15" s="14" t="n"/>
      <c r="Z15" s="28" t="n"/>
      <c r="AA15" s="16">
        <f>SUM(B15:C15)</f>
        <v/>
      </c>
      <c r="AB15" s="17">
        <f>SUM(AA4:AA15)</f>
        <v/>
      </c>
      <c r="AC15" s="23">
        <f>AB15/12</f>
        <v/>
      </c>
      <c r="AD15" s="17">
        <f>SUM(D15:Z15)</f>
        <v/>
      </c>
      <c r="AE15" s="17">
        <f>SUM(AD4:AD15)</f>
        <v/>
      </c>
      <c r="AF15" s="23">
        <f>AE15/12</f>
        <v/>
      </c>
    </row>
    <row r="16">
      <c r="A16" s="18" t="n">
        <v>41883</v>
      </c>
      <c r="B16" s="14" t="n">
        <v>273000.0000000001</v>
      </c>
      <c r="C16" s="14" t="n"/>
      <c r="D16" s="25" t="n">
        <v>2000</v>
      </c>
      <c r="E16" s="14">
        <f>4500</f>
        <v/>
      </c>
      <c r="F16" s="14" t="n">
        <v>350</v>
      </c>
      <c r="G16" s="14" t="n"/>
      <c r="H16" s="14" t="n">
        <v>390</v>
      </c>
      <c r="I16" s="14" t="n"/>
      <c r="J16" s="26" t="n">
        <v>4.022</v>
      </c>
      <c r="K16" s="14" t="n">
        <v>827</v>
      </c>
      <c r="L16" s="14" t="n"/>
      <c r="M16" s="26" t="n">
        <v>800</v>
      </c>
      <c r="N16" s="26" t="n">
        <v>400</v>
      </c>
      <c r="O16" s="27" t="inlineStr">
        <is>
          <t>-</t>
        </is>
      </c>
      <c r="P16" s="27">
        <f>0.67*139</f>
        <v/>
      </c>
      <c r="Q16" s="26" t="n">
        <v>0</v>
      </c>
      <c r="R16" s="27" t="n"/>
      <c r="S16" s="27" t="n"/>
      <c r="T16" s="27" t="n"/>
      <c r="U16" s="14" t="n"/>
      <c r="V16" s="14" t="n"/>
      <c r="W16" s="14" t="n"/>
      <c r="X16" s="14" t="n"/>
      <c r="Y16" s="14" t="n"/>
      <c r="Z16" s="28" t="n"/>
      <c r="AA16" s="16">
        <f>SUM(B16:C16)</f>
        <v/>
      </c>
      <c r="AB16" s="17">
        <f>SUM(AA5:AA16)</f>
        <v/>
      </c>
      <c r="AC16" s="23">
        <f>AB16/12</f>
        <v/>
      </c>
      <c r="AD16" s="17">
        <f>SUM(D16:Z16)</f>
        <v/>
      </c>
      <c r="AE16" s="17">
        <f>SUM(AD5:AD16)</f>
        <v/>
      </c>
      <c r="AF16" s="23">
        <f>AE16/12</f>
        <v/>
      </c>
    </row>
    <row r="17">
      <c r="A17" s="18" t="n">
        <v>41913</v>
      </c>
      <c r="B17" s="14" t="n">
        <v>282100</v>
      </c>
      <c r="C17" s="14" t="n"/>
      <c r="D17" s="25" t="n">
        <v>2000</v>
      </c>
      <c r="E17" s="14">
        <f>4100</f>
        <v/>
      </c>
      <c r="F17" s="14" t="n">
        <v>90</v>
      </c>
      <c r="G17" s="14" t="n"/>
      <c r="H17" s="14" t="n">
        <v>420</v>
      </c>
      <c r="I17" s="14" t="n"/>
      <c r="J17" s="26" t="n">
        <v>0.526</v>
      </c>
      <c r="K17" s="14" t="n">
        <v>728</v>
      </c>
      <c r="L17" s="14" t="n">
        <v>0</v>
      </c>
      <c r="M17" s="26" t="n">
        <v>800</v>
      </c>
      <c r="N17" s="26" t="n">
        <v>400</v>
      </c>
      <c r="O17" s="27" t="inlineStr">
        <is>
          <t>-</t>
        </is>
      </c>
      <c r="P17" s="27">
        <f>0.67*100</f>
        <v/>
      </c>
      <c r="Q17" s="26" t="n">
        <v>25</v>
      </c>
      <c r="R17" s="27" t="n"/>
      <c r="S17" s="27" t="n"/>
      <c r="T17" s="27" t="n"/>
      <c r="U17" s="14" t="n"/>
      <c r="V17" s="14" t="n"/>
      <c r="W17" s="14" t="n"/>
      <c r="X17" s="14" t="n"/>
      <c r="Y17" s="14" t="n"/>
      <c r="Z17" s="28" t="n"/>
      <c r="AA17" s="16">
        <f>SUM(B17:C17)</f>
        <v/>
      </c>
      <c r="AB17" s="17">
        <f>SUM(AA6:AA17)</f>
        <v/>
      </c>
      <c r="AC17" s="23">
        <f>AB17/12</f>
        <v/>
      </c>
      <c r="AD17" s="17">
        <f>SUM(D17:Z17)</f>
        <v/>
      </c>
      <c r="AE17" s="17">
        <f>SUM(AD6:AD17)</f>
        <v/>
      </c>
      <c r="AF17" s="23">
        <f>AE17/12</f>
        <v/>
      </c>
    </row>
    <row r="18">
      <c r="A18" s="18" t="n">
        <v>41944</v>
      </c>
      <c r="B18" s="14" t="n">
        <v>273000.0000000001</v>
      </c>
      <c r="C18" s="14" t="n"/>
      <c r="D18" s="25" t="n">
        <v>2000</v>
      </c>
      <c r="E18" s="14">
        <f>4900</f>
        <v/>
      </c>
      <c r="F18" s="14" t="n">
        <v>110</v>
      </c>
      <c r="G18" s="14" t="n"/>
      <c r="H18" s="14" t="n">
        <v>390</v>
      </c>
      <c r="I18" s="14" t="n"/>
      <c r="J18" s="26" t="n">
        <v>2.475</v>
      </c>
      <c r="K18" s="14" t="n">
        <v>1653</v>
      </c>
      <c r="L18" s="14" t="n">
        <v>0</v>
      </c>
      <c r="M18" s="26" t="n">
        <v>800</v>
      </c>
      <c r="N18" s="26" t="n">
        <v>400</v>
      </c>
      <c r="O18" s="27" t="inlineStr">
        <is>
          <t>-</t>
        </is>
      </c>
      <c r="P18" s="27">
        <f>0.67*100</f>
        <v/>
      </c>
      <c r="Q18" s="26" t="n">
        <v>0</v>
      </c>
      <c r="R18" s="27" t="n"/>
      <c r="S18" s="27" t="n"/>
      <c r="T18" s="27" t="n"/>
      <c r="U18" s="14" t="n"/>
      <c r="V18" s="14" t="n"/>
      <c r="W18" s="14" t="n"/>
      <c r="X18" s="14" t="n"/>
      <c r="Y18" s="14" t="n"/>
      <c r="Z18" s="28" t="n"/>
      <c r="AA18" s="16">
        <f>SUM(B18:C18)</f>
        <v/>
      </c>
      <c r="AB18" s="17">
        <f>SUM(AA7:AA18)</f>
        <v/>
      </c>
      <c r="AC18" s="23">
        <f>AB18/12</f>
        <v/>
      </c>
      <c r="AD18" s="17">
        <f>SUM(D18:Z18)</f>
        <v/>
      </c>
      <c r="AE18" s="17">
        <f>SUM(AD7:AD18)</f>
        <v/>
      </c>
      <c r="AF18" s="23">
        <f>AE18/12</f>
        <v/>
      </c>
    </row>
    <row r="19">
      <c r="A19" s="18" t="n">
        <v>41974</v>
      </c>
      <c r="B19" s="14" t="n">
        <v>282100</v>
      </c>
      <c r="C19" s="14" t="n"/>
      <c r="D19" s="25" t="n">
        <v>2000</v>
      </c>
      <c r="E19" s="14">
        <f>4750</f>
        <v/>
      </c>
      <c r="F19" s="14" t="n">
        <v>100</v>
      </c>
      <c r="G19" s="14" t="n"/>
      <c r="H19" s="14" t="n">
        <v>420</v>
      </c>
      <c r="I19" s="14" t="n"/>
      <c r="J19" s="26" t="n">
        <v>2.521</v>
      </c>
      <c r="K19" s="14" t="n">
        <v>875</v>
      </c>
      <c r="L19" s="14" t="n">
        <v>160</v>
      </c>
      <c r="M19" s="26" t="n">
        <v>1000</v>
      </c>
      <c r="N19" s="26" t="n">
        <v>400</v>
      </c>
      <c r="O19" s="27">
        <f>0.05*117</f>
        <v/>
      </c>
      <c r="P19" s="27">
        <f>0.67*93</f>
        <v/>
      </c>
      <c r="Q19" s="26" t="n">
        <v>0</v>
      </c>
      <c r="R19" s="27" t="n"/>
      <c r="S19" s="27" t="n"/>
      <c r="T19" s="27" t="n"/>
      <c r="U19" s="14" t="n"/>
      <c r="V19" s="14" t="n"/>
      <c r="W19" s="14" t="n"/>
      <c r="X19" s="14" t="n"/>
      <c r="Y19" s="14" t="n"/>
      <c r="Z19" s="28" t="n"/>
      <c r="AA19" s="16">
        <f>SUM(B19:C19)</f>
        <v/>
      </c>
      <c r="AB19" s="17">
        <f>SUM(AA8:AA19)</f>
        <v/>
      </c>
      <c r="AC19" s="23">
        <f>AB19/12</f>
        <v/>
      </c>
      <c r="AD19" s="17">
        <f>SUM(D19:Z19)</f>
        <v/>
      </c>
      <c r="AE19" s="17">
        <f>SUM(AD8:AD19)</f>
        <v/>
      </c>
      <c r="AF19" s="23">
        <f>AE19/12</f>
        <v/>
      </c>
    </row>
    <row r="20">
      <c r="A20" s="18" t="n">
        <v>42005</v>
      </c>
      <c r="B20" s="14" t="n">
        <v>282100</v>
      </c>
      <c r="C20" s="14" t="n"/>
      <c r="D20" s="25" t="n">
        <v>2000</v>
      </c>
      <c r="E20" s="14">
        <f>4640</f>
        <v/>
      </c>
      <c r="F20" s="14" t="n">
        <v>370</v>
      </c>
      <c r="G20" s="14" t="n"/>
      <c r="H20" s="14" t="n">
        <v>390</v>
      </c>
      <c r="I20" s="14" t="n"/>
      <c r="J20" s="26" t="n">
        <v>4.687</v>
      </c>
      <c r="K20" s="14" t="n">
        <v>870</v>
      </c>
      <c r="L20" s="14" t="n">
        <v>70</v>
      </c>
      <c r="M20" s="26" t="n">
        <v>800</v>
      </c>
      <c r="N20" s="26" t="n">
        <v>400</v>
      </c>
      <c r="O20" s="27" t="inlineStr">
        <is>
          <t>-</t>
        </is>
      </c>
      <c r="P20" s="27">
        <f>0.67*146</f>
        <v/>
      </c>
      <c r="Q20" s="26" t="n">
        <v>0</v>
      </c>
      <c r="R20" s="27" t="n"/>
      <c r="S20" s="27" t="n"/>
      <c r="T20" s="27" t="n"/>
      <c r="U20" s="14" t="n"/>
      <c r="V20" s="14" t="n"/>
      <c r="W20" s="14" t="n"/>
      <c r="X20" s="14" t="n"/>
      <c r="Y20" s="14" t="n"/>
      <c r="Z20" s="28" t="n"/>
      <c r="AA20" s="16">
        <f>SUM(B20:C20)</f>
        <v/>
      </c>
      <c r="AB20" s="17">
        <f>SUM(AA9:AA20)</f>
        <v/>
      </c>
      <c r="AC20" s="23">
        <f>AB20/12</f>
        <v/>
      </c>
      <c r="AD20" s="17">
        <f>SUM(D20:Z20)</f>
        <v/>
      </c>
      <c r="AE20" s="17">
        <f>SUM(AD9:AD20)</f>
        <v/>
      </c>
      <c r="AF20" s="23">
        <f>AE20/12</f>
        <v/>
      </c>
    </row>
    <row r="21">
      <c r="A21" s="18" t="n">
        <v>42036</v>
      </c>
      <c r="B21" s="14" t="n">
        <v>254800</v>
      </c>
      <c r="C21" s="14" t="n"/>
      <c r="D21" s="25" t="n">
        <v>2000</v>
      </c>
      <c r="E21" s="14">
        <f>4540</f>
        <v/>
      </c>
      <c r="F21" s="14" t="n">
        <v>110</v>
      </c>
      <c r="G21" s="14" t="n"/>
      <c r="H21" s="14" t="n">
        <v>380</v>
      </c>
      <c r="I21" s="14" t="n"/>
      <c r="J21" s="26" t="n">
        <v>14.617</v>
      </c>
      <c r="K21" s="14" t="n">
        <v>856</v>
      </c>
      <c r="L21" s="14" t="n">
        <v>0</v>
      </c>
      <c r="M21" s="26" t="n">
        <v>800</v>
      </c>
      <c r="N21" s="26" t="n">
        <v>400</v>
      </c>
      <c r="O21" s="27" t="inlineStr">
        <is>
          <t>-</t>
        </is>
      </c>
      <c r="P21" s="27">
        <f>0.67*97</f>
        <v/>
      </c>
      <c r="Q21" s="26" t="n">
        <v>21</v>
      </c>
      <c r="R21" s="27" t="n"/>
      <c r="S21" s="27" t="n"/>
      <c r="T21" s="27" t="n"/>
      <c r="U21" s="14" t="n"/>
      <c r="V21" s="14" t="n"/>
      <c r="W21" s="14" t="n"/>
      <c r="X21" s="14" t="n"/>
      <c r="Y21" s="14" t="n"/>
      <c r="Z21" s="28" t="n"/>
      <c r="AA21" s="16">
        <f>SUM(B21:C21)</f>
        <v/>
      </c>
      <c r="AB21" s="17">
        <f>SUM(AA10:AA21)</f>
        <v/>
      </c>
      <c r="AC21" s="23">
        <f>AB21/12</f>
        <v/>
      </c>
      <c r="AD21" s="17">
        <f>SUM(D21:Z21)</f>
        <v/>
      </c>
      <c r="AE21" s="17">
        <f>SUM(AD10:AD21)</f>
        <v/>
      </c>
      <c r="AF21" s="23">
        <f>AE21/12</f>
        <v/>
      </c>
    </row>
    <row r="22">
      <c r="A22" s="18" t="n">
        <v>42064</v>
      </c>
      <c r="B22" s="14" t="n">
        <v>282100</v>
      </c>
      <c r="C22" s="14" t="n"/>
      <c r="D22" s="25" t="n">
        <v>2000</v>
      </c>
      <c r="E22" s="14">
        <f>4140</f>
        <v/>
      </c>
      <c r="F22" s="14" t="n">
        <v>140</v>
      </c>
      <c r="G22" s="14" t="n"/>
      <c r="H22" s="14" t="n">
        <v>410</v>
      </c>
      <c r="I22" s="14" t="n"/>
      <c r="J22" s="26" t="n">
        <v>4.378</v>
      </c>
      <c r="K22" s="14" t="n">
        <v>1953</v>
      </c>
      <c r="L22" s="14" t="n">
        <v>0</v>
      </c>
      <c r="M22" s="26" t="n">
        <v>800</v>
      </c>
      <c r="N22" s="26" t="n">
        <v>400</v>
      </c>
      <c r="O22" s="27" t="inlineStr">
        <is>
          <t>-</t>
        </is>
      </c>
      <c r="P22" s="27">
        <f>0.67*127</f>
        <v/>
      </c>
      <c r="Q22" s="26" t="n">
        <v>0</v>
      </c>
      <c r="R22" s="27" t="n"/>
      <c r="S22" s="27" t="n"/>
      <c r="T22" s="27" t="n"/>
      <c r="U22" s="14" t="n"/>
      <c r="V22" s="14" t="n"/>
      <c r="W22" s="14" t="n"/>
      <c r="X22" s="14" t="n"/>
      <c r="Y22" s="14" t="n"/>
      <c r="Z22" s="28" t="n"/>
      <c r="AA22" s="16">
        <f>SUM(B22:C22)</f>
        <v/>
      </c>
      <c r="AB22" s="17">
        <f>SUM(AA11:AA22)</f>
        <v/>
      </c>
      <c r="AC22" s="23">
        <f>AB22/12</f>
        <v/>
      </c>
      <c r="AD22" s="17">
        <f>SUM(D22:Z22)</f>
        <v/>
      </c>
      <c r="AE22" s="17">
        <f>SUM(AD11:AD22)</f>
        <v/>
      </c>
      <c r="AF22" s="23">
        <f>AE22/12</f>
        <v/>
      </c>
    </row>
    <row r="23">
      <c r="A23" s="18" t="n">
        <v>42095</v>
      </c>
      <c r="B23" s="14" t="n">
        <v>273000.0000000001</v>
      </c>
      <c r="C23" s="14" t="n"/>
      <c r="D23" s="25" t="n">
        <v>2000</v>
      </c>
      <c r="E23" s="14">
        <f>4040</f>
        <v/>
      </c>
      <c r="F23" s="14" t="n">
        <v>110</v>
      </c>
      <c r="G23" s="14" t="n"/>
      <c r="H23" s="14" t="n">
        <v>500</v>
      </c>
      <c r="I23" s="14" t="n"/>
      <c r="J23" s="26" t="n">
        <v>0.65</v>
      </c>
      <c r="K23" s="14" t="n">
        <v>1067</v>
      </c>
      <c r="L23" s="14" t="n">
        <v>240</v>
      </c>
      <c r="M23" s="26" t="n">
        <v>1000</v>
      </c>
      <c r="N23" s="26" t="n">
        <v>400</v>
      </c>
      <c r="O23" s="27" t="inlineStr">
        <is>
          <t>-</t>
        </is>
      </c>
      <c r="P23" s="27">
        <f>0.67*88</f>
        <v/>
      </c>
      <c r="Q23" s="26" t="n">
        <v>0</v>
      </c>
      <c r="R23" s="27" t="n"/>
      <c r="S23" s="27" t="n"/>
      <c r="T23" s="27" t="n"/>
      <c r="U23" s="14" t="n"/>
      <c r="V23" s="14" t="n"/>
      <c r="W23" s="14" t="n"/>
      <c r="X23" s="14" t="n"/>
      <c r="Y23" s="14" t="n"/>
      <c r="Z23" s="28" t="n"/>
      <c r="AA23" s="16">
        <f>SUM(B23:C23)</f>
        <v/>
      </c>
      <c r="AB23" s="17">
        <f>SUM(AA12:AA23)</f>
        <v/>
      </c>
      <c r="AC23" s="23">
        <f>AB23/12</f>
        <v/>
      </c>
      <c r="AD23" s="17">
        <f>SUM(D23:Z23)</f>
        <v/>
      </c>
      <c r="AE23" s="17">
        <f>SUM(AD12:AD23)</f>
        <v/>
      </c>
      <c r="AF23" s="23">
        <f>AE23/12</f>
        <v/>
      </c>
    </row>
    <row r="24">
      <c r="A24" s="18" t="n">
        <v>42125</v>
      </c>
      <c r="B24" s="14" t="n">
        <v>282100</v>
      </c>
      <c r="C24" s="14" t="n"/>
      <c r="D24" s="25" t="n">
        <v>2000</v>
      </c>
      <c r="E24" s="14">
        <f>4090</f>
        <v/>
      </c>
      <c r="F24" s="14" t="n">
        <v>550</v>
      </c>
      <c r="G24" s="14" t="n"/>
      <c r="H24" s="14" t="n">
        <v>460</v>
      </c>
      <c r="I24" s="14" t="n"/>
      <c r="J24" s="26" t="n">
        <v>3.357</v>
      </c>
      <c r="K24" s="14" t="n">
        <v>1074</v>
      </c>
      <c r="L24" s="14" t="n">
        <v>400</v>
      </c>
      <c r="M24" s="26" t="n">
        <v>800</v>
      </c>
      <c r="N24" s="26" t="n">
        <v>400</v>
      </c>
      <c r="O24" s="27" t="inlineStr">
        <is>
          <t>-</t>
        </is>
      </c>
      <c r="P24" s="27">
        <f>0.67*115</f>
        <v/>
      </c>
      <c r="Q24" s="26" t="n">
        <v>0</v>
      </c>
      <c r="R24" s="27" t="n"/>
      <c r="S24" s="27" t="n"/>
      <c r="T24" s="27" t="n"/>
      <c r="U24" s="14" t="n"/>
      <c r="V24" s="14" t="n"/>
      <c r="W24" s="14" t="n"/>
      <c r="X24" s="14" t="n"/>
      <c r="Y24" s="14" t="n"/>
      <c r="Z24" s="28" t="n"/>
      <c r="AA24" s="16">
        <f>SUM(B24:C24)</f>
        <v/>
      </c>
      <c r="AB24" s="17">
        <f>SUM(AA13:AA24)</f>
        <v/>
      </c>
      <c r="AC24" s="23">
        <f>AB24/12</f>
        <v/>
      </c>
      <c r="AD24" s="17">
        <f>SUM(D24:Z24)</f>
        <v/>
      </c>
      <c r="AE24" s="17">
        <f>SUM(AD13:AD24)</f>
        <v/>
      </c>
      <c r="AF24" s="23">
        <f>AE24/12</f>
        <v/>
      </c>
    </row>
    <row r="25">
      <c r="A25" s="18" t="n">
        <v>42156</v>
      </c>
      <c r="B25" s="14" t="n">
        <v>273000.0000000001</v>
      </c>
      <c r="C25" s="14" t="n"/>
      <c r="D25" s="25" t="n">
        <v>2000</v>
      </c>
      <c r="E25" s="14">
        <f>4000</f>
        <v/>
      </c>
      <c r="F25" s="14" t="n">
        <v>150</v>
      </c>
      <c r="G25" s="14" t="n"/>
      <c r="H25" s="14" t="n">
        <v>410</v>
      </c>
      <c r="I25" s="14" t="n"/>
      <c r="J25" s="26" t="n">
        <v>1.764</v>
      </c>
      <c r="K25" s="14" t="n">
        <v>1038</v>
      </c>
      <c r="L25" s="14" t="n">
        <v>270</v>
      </c>
      <c r="M25" s="26" t="n">
        <v>800</v>
      </c>
      <c r="N25" s="26" t="n">
        <v>400</v>
      </c>
      <c r="O25" s="27" t="inlineStr">
        <is>
          <t>-</t>
        </is>
      </c>
      <c r="P25" s="27">
        <f>0.67*138</f>
        <v/>
      </c>
      <c r="Q25" s="26" t="n">
        <v>0</v>
      </c>
      <c r="R25" s="27" t="n"/>
      <c r="S25" s="27" t="n"/>
      <c r="T25" s="27" t="n"/>
      <c r="U25" s="14" t="n"/>
      <c r="V25" s="14" t="n"/>
      <c r="W25" s="14" t="n"/>
      <c r="X25" s="14" t="n"/>
      <c r="Y25" s="14" t="n"/>
      <c r="Z25" s="28" t="n"/>
      <c r="AA25" s="16">
        <f>SUM(B25:C25)</f>
        <v/>
      </c>
      <c r="AB25" s="17">
        <f>SUM(AA14:AA25)</f>
        <v/>
      </c>
      <c r="AC25" s="23">
        <f>AB25/12</f>
        <v/>
      </c>
      <c r="AD25" s="17">
        <f>SUM(D25:Z25)</f>
        <v/>
      </c>
      <c r="AE25" s="17">
        <f>SUM(AD14:AD25)</f>
        <v/>
      </c>
      <c r="AF25" s="23">
        <f>AE25/12</f>
        <v/>
      </c>
      <c r="AH25" s="24">
        <f>AB25+AE25</f>
        <v/>
      </c>
      <c r="AI25" s="17">
        <f>AE25/AB25</f>
        <v/>
      </c>
    </row>
    <row r="26">
      <c r="A26" s="18" t="n">
        <v>42186</v>
      </c>
      <c r="B26" s="19" t="n">
        <v>231390</v>
      </c>
      <c r="C26" s="19" t="n"/>
      <c r="D26" s="20" t="n">
        <v>2000</v>
      </c>
      <c r="E26" s="19">
        <f>4150</f>
        <v/>
      </c>
      <c r="F26" s="19" t="n">
        <v>110</v>
      </c>
      <c r="G26" s="19" t="n"/>
      <c r="H26" s="19" t="n">
        <v>510</v>
      </c>
      <c r="I26" s="19" t="n"/>
      <c r="J26" s="12" t="n">
        <v>0.062</v>
      </c>
      <c r="K26" s="19" t="n">
        <v>957</v>
      </c>
      <c r="L26" s="19" t="n">
        <v>0</v>
      </c>
      <c r="M26" s="12" t="n">
        <v>1000</v>
      </c>
      <c r="N26" s="12" t="n">
        <v>600</v>
      </c>
      <c r="O26" s="13" t="inlineStr">
        <is>
          <t>-</t>
        </is>
      </c>
      <c r="P26" s="13">
        <f>0.67*155</f>
        <v/>
      </c>
      <c r="Q26" s="12" t="n">
        <v>0</v>
      </c>
      <c r="R26" s="13" t="n"/>
      <c r="S26" s="13" t="n"/>
      <c r="T26" s="13" t="n"/>
      <c r="U26" s="19" t="n"/>
      <c r="V26" s="19" t="n"/>
      <c r="W26" s="14" t="n"/>
      <c r="X26" s="19" t="n"/>
      <c r="Y26" s="19" t="n"/>
      <c r="Z26" s="21" t="n"/>
      <c r="AA26" s="16">
        <f>SUM(B26:C26)</f>
        <v/>
      </c>
      <c r="AB26" s="17">
        <f>SUM(AA15:AA26)</f>
        <v/>
      </c>
      <c r="AC26" s="23">
        <f>AB26/12</f>
        <v/>
      </c>
      <c r="AD26" s="17">
        <f>SUM(D26:Z26)</f>
        <v/>
      </c>
      <c r="AE26" s="17">
        <f>SUM(AD15:AD26)</f>
        <v/>
      </c>
      <c r="AF26" s="23">
        <f>AE26/12</f>
        <v/>
      </c>
    </row>
    <row r="27">
      <c r="A27" s="18" t="n">
        <v>42217</v>
      </c>
      <c r="B27" s="19" t="n">
        <v>281540</v>
      </c>
      <c r="C27" s="19" t="n"/>
      <c r="D27" s="20" t="n">
        <v>2000</v>
      </c>
      <c r="E27" s="19">
        <f>4020</f>
        <v/>
      </c>
      <c r="F27" s="19" t="n">
        <v>130</v>
      </c>
      <c r="G27" s="19" t="n"/>
      <c r="H27" s="19" t="n">
        <v>480</v>
      </c>
      <c r="I27" s="19" t="n"/>
      <c r="J27" s="12" t="n">
        <v>5.006</v>
      </c>
      <c r="K27" s="19" t="n">
        <v>827</v>
      </c>
      <c r="L27" s="19" t="n">
        <v>270</v>
      </c>
      <c r="M27" s="12" t="n">
        <v>800</v>
      </c>
      <c r="N27" s="12" t="n">
        <v>400</v>
      </c>
      <c r="O27" s="13" t="inlineStr">
        <is>
          <t>-</t>
        </is>
      </c>
      <c r="P27" s="13">
        <f>0.67*105</f>
        <v/>
      </c>
      <c r="Q27" s="12" t="n">
        <v>0</v>
      </c>
      <c r="R27" s="13" t="n"/>
      <c r="S27" s="13" t="n"/>
      <c r="T27" s="13" t="n"/>
      <c r="U27" s="19" t="n"/>
      <c r="V27" s="19" t="n"/>
      <c r="W27" s="14" t="n"/>
      <c r="X27" s="19" t="n"/>
      <c r="Y27" s="19" t="n"/>
      <c r="Z27" s="21" t="n"/>
      <c r="AA27" s="16">
        <f>SUM(B27:C27)</f>
        <v/>
      </c>
      <c r="AB27" s="17">
        <f>SUM(AA16:AA27)</f>
        <v/>
      </c>
      <c r="AC27" s="23">
        <f>AB27/12</f>
        <v/>
      </c>
      <c r="AD27" s="17">
        <f>SUM(D27:Z27)</f>
        <v/>
      </c>
      <c r="AE27" s="17">
        <f>SUM(AD16:AD27)</f>
        <v/>
      </c>
      <c r="AF27" s="23">
        <f>AE27/12</f>
        <v/>
      </c>
    </row>
    <row r="28">
      <c r="A28" s="18" t="n">
        <v>42248</v>
      </c>
      <c r="B28" s="19" t="n">
        <v>272880</v>
      </c>
      <c r="C28" s="19" t="n"/>
      <c r="D28" s="20" t="n">
        <v>2000</v>
      </c>
      <c r="E28" s="19">
        <f>3810</f>
        <v/>
      </c>
      <c r="F28" s="19" t="n">
        <v>100</v>
      </c>
      <c r="G28" s="19" t="n"/>
      <c r="H28" s="19" t="n">
        <v>390</v>
      </c>
      <c r="I28" s="19" t="n"/>
      <c r="J28" s="12" t="n">
        <v>1.578</v>
      </c>
      <c r="K28" s="19" t="n">
        <v>1956</v>
      </c>
      <c r="L28" s="19" t="n">
        <v>120</v>
      </c>
      <c r="M28" s="12" t="n">
        <v>1000</v>
      </c>
      <c r="N28" s="12" t="n">
        <v>400</v>
      </c>
      <c r="O28" s="13" t="inlineStr">
        <is>
          <t>-</t>
        </is>
      </c>
      <c r="P28" s="13">
        <f>0.67*128</f>
        <v/>
      </c>
      <c r="Q28" s="12" t="n">
        <v>0</v>
      </c>
      <c r="R28" s="13" t="n"/>
      <c r="S28" s="13" t="n"/>
      <c r="T28" s="13" t="n"/>
      <c r="U28" s="19" t="n"/>
      <c r="V28" s="19" t="n"/>
      <c r="W28" s="14" t="n"/>
      <c r="X28" s="19" t="n"/>
      <c r="Y28" s="19" t="n"/>
      <c r="Z28" s="21" t="n"/>
      <c r="AA28" s="16">
        <f>SUM(B28:C28)</f>
        <v/>
      </c>
      <c r="AB28" s="17">
        <f>SUM(AA17:AA28)</f>
        <v/>
      </c>
      <c r="AC28" s="23">
        <f>AB28/12</f>
        <v/>
      </c>
      <c r="AD28" s="17">
        <f>SUM(D28:Z28)</f>
        <v/>
      </c>
      <c r="AE28" s="17">
        <f>SUM(AD17:AD28)</f>
        <v/>
      </c>
      <c r="AF28" s="23">
        <f>AE28/12</f>
        <v/>
      </c>
    </row>
    <row r="29">
      <c r="A29" s="18" t="n">
        <v>42278</v>
      </c>
      <c r="B29" s="19" t="n">
        <v>281000</v>
      </c>
      <c r="C29" s="19" t="n"/>
      <c r="D29" s="20" t="n">
        <v>2000</v>
      </c>
      <c r="E29" s="19">
        <f>3970</f>
        <v/>
      </c>
      <c r="F29" s="19" t="n">
        <v>90</v>
      </c>
      <c r="G29" s="19" t="n"/>
      <c r="H29" s="19" t="n">
        <v>480</v>
      </c>
      <c r="I29" s="19" t="n"/>
      <c r="J29" s="12" t="n">
        <v>2.042</v>
      </c>
      <c r="K29" s="19" t="n">
        <v>3297</v>
      </c>
      <c r="L29" s="19" t="n">
        <v>160</v>
      </c>
      <c r="M29" s="12" t="n">
        <v>800</v>
      </c>
      <c r="N29" s="12" t="n">
        <v>200</v>
      </c>
      <c r="O29" s="13" t="inlineStr">
        <is>
          <t>-</t>
        </is>
      </c>
      <c r="P29" s="13">
        <f>0.67*103</f>
        <v/>
      </c>
      <c r="Q29" s="12" t="n">
        <v>0</v>
      </c>
      <c r="R29" s="13" t="n"/>
      <c r="S29" s="13" t="n"/>
      <c r="T29" s="13" t="n"/>
      <c r="U29" s="19" t="n"/>
      <c r="V29" s="19" t="n"/>
      <c r="W29" s="14" t="n"/>
      <c r="X29" s="19" t="n"/>
      <c r="Y29" s="19" t="n"/>
      <c r="Z29" s="21" t="n"/>
      <c r="AA29" s="16">
        <f>SUM(B29:C29)</f>
        <v/>
      </c>
      <c r="AB29" s="17">
        <f>SUM(AA18:AA29)</f>
        <v/>
      </c>
      <c r="AC29" s="23">
        <f>AB29/12</f>
        <v/>
      </c>
      <c r="AD29" s="17">
        <f>SUM(D29:Z29)</f>
        <v/>
      </c>
      <c r="AE29" s="17">
        <f>SUM(AD18:AD29)</f>
        <v/>
      </c>
      <c r="AF29" s="23">
        <f>AE29/12</f>
        <v/>
      </c>
    </row>
    <row r="30">
      <c r="A30" s="18" t="n">
        <v>42309</v>
      </c>
      <c r="B30" s="19" t="n">
        <v>274289.9999999999</v>
      </c>
      <c r="C30" s="19" t="n"/>
      <c r="D30" s="20" t="n">
        <v>2000</v>
      </c>
      <c r="E30" s="19">
        <f>3890</f>
        <v/>
      </c>
      <c r="F30" s="19" t="n">
        <v>100</v>
      </c>
      <c r="G30" s="19" t="n"/>
      <c r="H30" s="19" t="n">
        <v>450</v>
      </c>
      <c r="I30" s="19" t="n"/>
      <c r="J30" s="12" t="n">
        <v>0.062</v>
      </c>
      <c r="K30" s="19" t="n">
        <v>1785</v>
      </c>
      <c r="L30" s="19" t="n">
        <v>50</v>
      </c>
      <c r="M30" s="12" t="n">
        <v>800</v>
      </c>
      <c r="N30" s="12" t="n">
        <v>600</v>
      </c>
      <c r="O30" s="13" t="inlineStr">
        <is>
          <t>-</t>
        </is>
      </c>
      <c r="P30" s="13">
        <f>0.67*143</f>
        <v/>
      </c>
      <c r="Q30" s="12" t="n">
        <v>0</v>
      </c>
      <c r="R30" s="13" t="n"/>
      <c r="S30" s="13" t="n"/>
      <c r="T30" s="13" t="n"/>
      <c r="U30" s="19" t="n"/>
      <c r="V30" s="19" t="n"/>
      <c r="W30" s="14" t="n"/>
      <c r="X30" s="19" t="n"/>
      <c r="Y30" s="19" t="n"/>
      <c r="Z30" s="21" t="n"/>
      <c r="AA30" s="16">
        <f>SUM(B30:C30)</f>
        <v/>
      </c>
      <c r="AB30" s="17">
        <f>SUM(AA19:AA30)</f>
        <v/>
      </c>
      <c r="AC30" s="23">
        <f>AB30/12</f>
        <v/>
      </c>
      <c r="AD30" s="17">
        <f>SUM(D30:Z30)</f>
        <v/>
      </c>
      <c r="AE30" s="17">
        <f>SUM(AD19:AD30)</f>
        <v/>
      </c>
      <c r="AF30" s="23">
        <f>AE30/12</f>
        <v/>
      </c>
    </row>
    <row r="31">
      <c r="A31" s="18" t="n">
        <v>42339</v>
      </c>
      <c r="B31" s="19" t="n">
        <v>267880</v>
      </c>
      <c r="C31" s="19" t="n"/>
      <c r="D31" s="20" t="n">
        <v>2000</v>
      </c>
      <c r="E31" s="19">
        <f>3810</f>
        <v/>
      </c>
      <c r="F31" s="19" t="n">
        <v>250</v>
      </c>
      <c r="G31" s="19" t="n"/>
      <c r="H31" s="19" t="n">
        <v>370</v>
      </c>
      <c r="I31" s="19" t="n"/>
      <c r="J31" s="12" t="n">
        <v>3.224</v>
      </c>
      <c r="K31" s="19" t="n">
        <v>1400</v>
      </c>
      <c r="L31" s="19" t="n">
        <v>250</v>
      </c>
      <c r="M31" s="12" t="n">
        <v>1200</v>
      </c>
      <c r="N31" s="12" t="n">
        <v>1200</v>
      </c>
      <c r="O31" s="13">
        <f>0.05*97</f>
        <v/>
      </c>
      <c r="P31" s="13">
        <f>0.67*130</f>
        <v/>
      </c>
      <c r="Q31" s="12" t="n">
        <v>0</v>
      </c>
      <c r="R31" s="13" t="n"/>
      <c r="S31" s="13" t="n"/>
      <c r="T31" s="13" t="n"/>
      <c r="U31" s="19" t="n"/>
      <c r="V31" s="19" t="n"/>
      <c r="W31" s="14" t="n"/>
      <c r="X31" s="19" t="n"/>
      <c r="Y31" s="19" t="n"/>
      <c r="Z31" s="21" t="n"/>
      <c r="AA31" s="16">
        <f>SUM(B31:C31)</f>
        <v/>
      </c>
      <c r="AB31" s="17">
        <f>SUM(AA20:AA31)</f>
        <v/>
      </c>
      <c r="AC31" s="23">
        <f>AB31/12</f>
        <v/>
      </c>
      <c r="AD31" s="17">
        <f>SUM(D31:Z31)</f>
        <v/>
      </c>
      <c r="AE31" s="17">
        <f>SUM(AD20:AD31)</f>
        <v/>
      </c>
      <c r="AF31" s="23">
        <f>AE31/12</f>
        <v/>
      </c>
    </row>
    <row r="32">
      <c r="A32" s="18" t="n">
        <v>42370</v>
      </c>
      <c r="B32" s="19" t="n">
        <v>269800</v>
      </c>
      <c r="C32" s="19" t="n"/>
      <c r="D32" s="20">
        <f>2000+177.808333</f>
        <v/>
      </c>
      <c r="E32" s="19">
        <f>4230</f>
        <v/>
      </c>
      <c r="F32" s="19" t="n">
        <v>300</v>
      </c>
      <c r="G32" s="19" t="n"/>
      <c r="H32" s="19" t="n">
        <v>460</v>
      </c>
      <c r="I32" s="19" t="n"/>
      <c r="J32" s="12" t="n">
        <v>0.17</v>
      </c>
      <c r="K32" s="19" t="n">
        <v>1647</v>
      </c>
      <c r="L32" s="19" t="n">
        <v>100</v>
      </c>
      <c r="M32" s="29" t="n">
        <v>1200</v>
      </c>
      <c r="N32" s="29" t="n">
        <v>400</v>
      </c>
      <c r="O32" s="13" t="inlineStr">
        <is>
          <t>-</t>
        </is>
      </c>
      <c r="P32" s="13">
        <f>0.67*77</f>
        <v/>
      </c>
      <c r="Q32" s="12" t="n">
        <v>20</v>
      </c>
      <c r="R32" s="13" t="n"/>
      <c r="S32" s="13" t="n"/>
      <c r="T32" s="13" t="n"/>
      <c r="U32" s="19" t="n"/>
      <c r="V32" s="19" t="n"/>
      <c r="W32" s="14" t="n"/>
      <c r="X32" s="19" t="n"/>
      <c r="Y32" s="19" t="n"/>
      <c r="Z32" s="21" t="n"/>
      <c r="AA32" s="16">
        <f>SUM(B32:C32)</f>
        <v/>
      </c>
      <c r="AB32" s="17">
        <f>SUM(AA21:AA32)</f>
        <v/>
      </c>
      <c r="AC32" s="23">
        <f>AB32/12</f>
        <v/>
      </c>
      <c r="AD32" s="17">
        <f>SUM(D32:Z32)</f>
        <v/>
      </c>
      <c r="AE32" s="17">
        <f>SUM(AD21:AD32)</f>
        <v/>
      </c>
      <c r="AF32" s="23">
        <f>AE32/12</f>
        <v/>
      </c>
    </row>
    <row r="33">
      <c r="A33" s="18" t="n">
        <v>42401</v>
      </c>
      <c r="B33" s="19" t="n">
        <v>240500</v>
      </c>
      <c r="C33" s="19" t="n"/>
      <c r="D33" s="20">
        <f>2000+177.808333</f>
        <v/>
      </c>
      <c r="E33" s="19">
        <f>4070</f>
        <v/>
      </c>
      <c r="F33" s="19" t="n">
        <v>250</v>
      </c>
      <c r="G33" s="19" t="n"/>
      <c r="H33" s="19" t="n">
        <v>490</v>
      </c>
      <c r="I33" s="19" t="n"/>
      <c r="J33" s="12" t="n">
        <v>0.108</v>
      </c>
      <c r="K33" s="19" t="n">
        <v>3015</v>
      </c>
      <c r="L33" s="19" t="n">
        <v>160</v>
      </c>
      <c r="M33" s="29" t="n">
        <v>600</v>
      </c>
      <c r="N33" s="29" t="n">
        <v>200</v>
      </c>
      <c r="O33" s="13" t="inlineStr">
        <is>
          <t>-</t>
        </is>
      </c>
      <c r="P33" s="13">
        <f>0.67*57</f>
        <v/>
      </c>
      <c r="Q33" s="12" t="n">
        <v>0</v>
      </c>
      <c r="R33" s="13" t="n"/>
      <c r="S33" s="13" t="n"/>
      <c r="T33" s="13" t="n"/>
      <c r="U33" s="19" t="n"/>
      <c r="V33" s="19" t="n"/>
      <c r="W33" s="14" t="n"/>
      <c r="X33" s="19" t="n"/>
      <c r="Y33" s="19" t="n"/>
      <c r="Z33" s="21" t="n"/>
      <c r="AA33" s="16">
        <f>SUM(B33:C33)</f>
        <v/>
      </c>
      <c r="AB33" s="17">
        <f>SUM(AA22:AA33)</f>
        <v/>
      </c>
      <c r="AC33" s="23">
        <f>AB33/12</f>
        <v/>
      </c>
      <c r="AD33" s="17">
        <f>SUM(D33:Z33)</f>
        <v/>
      </c>
      <c r="AE33" s="17">
        <f>SUM(AD22:AD33)</f>
        <v/>
      </c>
      <c r="AF33" s="23">
        <f>AE33/12</f>
        <v/>
      </c>
    </row>
    <row r="34">
      <c r="A34" s="18" t="n">
        <v>42430</v>
      </c>
      <c r="B34" s="19" t="n">
        <v>263290</v>
      </c>
      <c r="C34" s="19" t="n"/>
      <c r="D34" s="20">
        <f>2000+177.808333</f>
        <v/>
      </c>
      <c r="E34" s="19">
        <f>4120</f>
        <v/>
      </c>
      <c r="F34" s="19" t="n">
        <v>170</v>
      </c>
      <c r="G34" s="19" t="n"/>
      <c r="H34" s="19" t="n">
        <v>500</v>
      </c>
      <c r="I34" s="19" t="n"/>
      <c r="J34" s="12" t="n">
        <v>1.436</v>
      </c>
      <c r="K34" s="19" t="n">
        <v>1168</v>
      </c>
      <c r="L34" s="19" t="n">
        <v>30</v>
      </c>
      <c r="M34" s="29" t="n">
        <v>1200</v>
      </c>
      <c r="N34" s="29" t="n">
        <v>400</v>
      </c>
      <c r="O34" s="13" t="inlineStr">
        <is>
          <t>-</t>
        </is>
      </c>
      <c r="P34" s="13">
        <f>0.67*130</f>
        <v/>
      </c>
      <c r="Q34" s="12" t="n">
        <v>0</v>
      </c>
      <c r="R34" s="13" t="n"/>
      <c r="S34" s="13" t="n"/>
      <c r="T34" s="13" t="n"/>
      <c r="U34" s="19" t="n"/>
      <c r="V34" s="19" t="n"/>
      <c r="W34" s="14" t="n"/>
      <c r="X34" s="19" t="n"/>
      <c r="Y34" s="19" t="n"/>
      <c r="Z34" s="21" t="n"/>
      <c r="AA34" s="16">
        <f>SUM(B34:C34)</f>
        <v/>
      </c>
      <c r="AB34" s="17">
        <f>SUM(AA23:AA34)</f>
        <v/>
      </c>
      <c r="AC34" s="23">
        <f>AB34/12</f>
        <v/>
      </c>
      <c r="AD34" s="17">
        <f>SUM(D34:Z34)</f>
        <v/>
      </c>
      <c r="AE34" s="17">
        <f>SUM(AD23:AD34)</f>
        <v/>
      </c>
      <c r="AF34" s="23">
        <f>AE34/12</f>
        <v/>
      </c>
    </row>
    <row r="35">
      <c r="A35" s="18" t="n">
        <v>42461</v>
      </c>
      <c r="B35" s="19" t="n">
        <v>260100</v>
      </c>
      <c r="C35" s="19" t="n"/>
      <c r="D35" s="20">
        <f>2000+177.808333</f>
        <v/>
      </c>
      <c r="E35" s="19">
        <f>4050</f>
        <v/>
      </c>
      <c r="F35" s="19" t="n">
        <v>140</v>
      </c>
      <c r="G35" s="19" t="n"/>
      <c r="H35" s="19" t="n">
        <v>410</v>
      </c>
      <c r="I35" s="19" t="n"/>
      <c r="J35" s="12" t="n">
        <v>1.764</v>
      </c>
      <c r="K35" s="19" t="n">
        <v>1397</v>
      </c>
      <c r="L35" s="19" t="n">
        <v>100</v>
      </c>
      <c r="M35" s="29" t="n">
        <v>600</v>
      </c>
      <c r="N35" s="29" t="n">
        <v>400</v>
      </c>
      <c r="O35" s="13" t="inlineStr">
        <is>
          <t>-</t>
        </is>
      </c>
      <c r="P35" s="13">
        <f>0.67*81</f>
        <v/>
      </c>
      <c r="Q35" s="12" t="n">
        <v>0</v>
      </c>
      <c r="R35" s="13" t="n"/>
      <c r="S35" s="13" t="n"/>
      <c r="T35" s="13" t="n"/>
      <c r="U35" s="19" t="n"/>
      <c r="V35" s="19" t="n"/>
      <c r="W35" s="14" t="n"/>
      <c r="X35" s="19" t="n"/>
      <c r="Y35" s="19" t="n"/>
      <c r="Z35" s="21" t="n"/>
      <c r="AA35" s="16">
        <f>SUM(B35:C35)</f>
        <v/>
      </c>
      <c r="AB35" s="17">
        <f>SUM(AA24:AA35)</f>
        <v/>
      </c>
      <c r="AC35" s="23">
        <f>AB35/12</f>
        <v/>
      </c>
      <c r="AD35" s="17">
        <f>SUM(D35:Z35)</f>
        <v/>
      </c>
      <c r="AE35" s="17">
        <f>SUM(AD24:AD35)</f>
        <v/>
      </c>
      <c r="AF35" s="23">
        <f>AE35/12</f>
        <v/>
      </c>
    </row>
    <row r="36">
      <c r="A36" s="18" t="n">
        <v>42491</v>
      </c>
      <c r="B36" s="19" t="n">
        <v>279280.0000000001</v>
      </c>
      <c r="C36" s="19" t="n"/>
      <c r="D36" s="20">
        <f>2000+177.808333</f>
        <v/>
      </c>
      <c r="E36" s="19">
        <f>4080</f>
        <v/>
      </c>
      <c r="F36" s="19" t="n">
        <v>110</v>
      </c>
      <c r="G36" s="19" t="n"/>
      <c r="H36" s="19" t="n">
        <v>500</v>
      </c>
      <c r="I36" s="19" t="n"/>
      <c r="J36" s="12" t="n">
        <v>0</v>
      </c>
      <c r="K36" s="19" t="n">
        <v>1824</v>
      </c>
      <c r="L36" s="19" t="n">
        <v>150</v>
      </c>
      <c r="M36" s="29" t="n">
        <v>1000</v>
      </c>
      <c r="N36" s="29" t="n">
        <v>400</v>
      </c>
      <c r="O36" s="13" t="inlineStr">
        <is>
          <t>-</t>
        </is>
      </c>
      <c r="P36" s="13">
        <f>0.67*52</f>
        <v/>
      </c>
      <c r="Q36" s="12" t="n">
        <v>9</v>
      </c>
      <c r="R36" s="13" t="n"/>
      <c r="S36" s="13" t="n"/>
      <c r="T36" s="13" t="n"/>
      <c r="U36" s="19" t="n"/>
      <c r="V36" s="19" t="n"/>
      <c r="W36" s="14" t="n"/>
      <c r="X36" s="19" t="n"/>
      <c r="Y36" s="19" t="n"/>
      <c r="Z36" s="21" t="n"/>
      <c r="AA36" s="16">
        <f>SUM(B36:C36)</f>
        <v/>
      </c>
      <c r="AB36" s="17">
        <f>SUM(AA25:AA36)</f>
        <v/>
      </c>
      <c r="AC36" s="23">
        <f>AB36/12</f>
        <v/>
      </c>
      <c r="AD36" s="17">
        <f>SUM(D36:Z36)</f>
        <v/>
      </c>
      <c r="AE36" s="17">
        <f>SUM(AD25:AD36)</f>
        <v/>
      </c>
      <c r="AF36" s="23">
        <f>AE36/12</f>
        <v/>
      </c>
    </row>
    <row r="37">
      <c r="A37" s="18" t="n">
        <v>42522</v>
      </c>
      <c r="B37" s="19" t="n">
        <v>265300</v>
      </c>
      <c r="C37" s="19" t="n"/>
      <c r="D37" s="20">
        <f>2000+177.808333</f>
        <v/>
      </c>
      <c r="E37" s="19">
        <f>4120</f>
        <v/>
      </c>
      <c r="F37" s="19" t="n">
        <v>270</v>
      </c>
      <c r="G37" s="19" t="n"/>
      <c r="H37" s="19" t="n">
        <v>490</v>
      </c>
      <c r="I37" s="19" t="n"/>
      <c r="J37" s="12" t="n">
        <v>0</v>
      </c>
      <c r="K37" s="19" t="n">
        <v>1672</v>
      </c>
      <c r="L37" s="19" t="n">
        <v>340</v>
      </c>
      <c r="M37" s="29" t="n">
        <v>800</v>
      </c>
      <c r="N37" s="29" t="n">
        <v>400</v>
      </c>
      <c r="O37" s="13" t="inlineStr">
        <is>
          <t>-</t>
        </is>
      </c>
      <c r="P37" s="13" t="n">
        <v>0</v>
      </c>
      <c r="Q37" s="12" t="n">
        <v>0</v>
      </c>
      <c r="R37" s="13" t="n"/>
      <c r="S37" s="13" t="n"/>
      <c r="T37" s="13" t="n"/>
      <c r="U37" s="19" t="n"/>
      <c r="V37" s="19" t="n"/>
      <c r="W37" s="14" t="n"/>
      <c r="X37" s="19" t="n">
        <v>0</v>
      </c>
      <c r="Y37" s="19" t="n"/>
      <c r="Z37" s="21" t="n"/>
      <c r="AA37" s="16">
        <f>SUM(B37:C37)</f>
        <v/>
      </c>
      <c r="AB37" s="17">
        <f>SUM(AA26:AA37)</f>
        <v/>
      </c>
      <c r="AC37" s="23">
        <f>AB37/12</f>
        <v/>
      </c>
      <c r="AD37" s="17">
        <f>SUM(D37:Z37)</f>
        <v/>
      </c>
      <c r="AE37" s="17">
        <f>SUM(AD26:AD37)</f>
        <v/>
      </c>
      <c r="AF37" s="23">
        <f>AE37/12</f>
        <v/>
      </c>
      <c r="AH37" s="24">
        <f>AB37+AE37</f>
        <v/>
      </c>
    </row>
    <row r="38">
      <c r="A38" s="18" t="n">
        <v>42552</v>
      </c>
      <c r="B38" s="14" t="n">
        <v>230700</v>
      </c>
      <c r="C38" s="14" t="n"/>
      <c r="D38" s="14">
        <f>2480+177.808333</f>
        <v/>
      </c>
      <c r="E38" s="14" t="n">
        <v>2980</v>
      </c>
      <c r="F38" s="14" t="n">
        <v>260</v>
      </c>
      <c r="G38" s="14" t="n"/>
      <c r="H38" s="14" t="n">
        <v>510</v>
      </c>
      <c r="I38" s="14" t="n"/>
      <c r="J38" s="26" t="n">
        <v>0</v>
      </c>
      <c r="K38" s="14" t="n">
        <v>2495</v>
      </c>
      <c r="L38" s="14" t="n">
        <v>0</v>
      </c>
      <c r="M38" s="30" t="n">
        <v>1000</v>
      </c>
      <c r="N38" s="30" t="n">
        <v>600</v>
      </c>
      <c r="O38" s="27" t="inlineStr">
        <is>
          <t>-</t>
        </is>
      </c>
      <c r="P38" s="27" t="n">
        <v>0</v>
      </c>
      <c r="Q38" s="26" t="n">
        <v>0</v>
      </c>
      <c r="R38" s="27" t="n"/>
      <c r="S38" s="27" t="n"/>
      <c r="T38" s="27" t="n"/>
      <c r="U38" s="14" t="n"/>
      <c r="V38" s="14" t="n"/>
      <c r="W38" s="14" t="n"/>
      <c r="X38" s="14" t="n"/>
      <c r="Y38" s="14" t="n"/>
      <c r="Z38" s="28" t="n"/>
      <c r="AA38" s="16">
        <f>SUM(B38:C38)</f>
        <v/>
      </c>
      <c r="AB38" s="17">
        <f>SUM(AA27:AA38)</f>
        <v/>
      </c>
      <c r="AC38" s="23">
        <f>AB38/12</f>
        <v/>
      </c>
      <c r="AD38" s="17">
        <f>SUM(D38:Z38)</f>
        <v/>
      </c>
      <c r="AE38" s="17">
        <f>SUM(AD27:AD38)</f>
        <v/>
      </c>
      <c r="AF38" s="23">
        <f>AE38/12</f>
        <v/>
      </c>
    </row>
    <row r="39">
      <c r="A39" s="18" t="n">
        <v>42583</v>
      </c>
      <c r="B39" s="14" t="n">
        <v>249380</v>
      </c>
      <c r="C39" s="14" t="n"/>
      <c r="D39" s="14">
        <f>2580+177.808333</f>
        <v/>
      </c>
      <c r="E39" s="14">
        <f>7160</f>
        <v/>
      </c>
      <c r="F39" s="14" t="n">
        <v>400</v>
      </c>
      <c r="G39" s="14" t="n"/>
      <c r="H39" s="14" t="n">
        <v>577.5</v>
      </c>
      <c r="I39" s="14" t="n"/>
      <c r="J39" s="26" t="n">
        <v>0</v>
      </c>
      <c r="K39" s="14" t="n">
        <v>1142</v>
      </c>
      <c r="L39" s="14" t="n">
        <v>200</v>
      </c>
      <c r="M39" s="30" t="n">
        <v>2400</v>
      </c>
      <c r="N39" s="30" t="n">
        <v>200</v>
      </c>
      <c r="O39" s="27" t="inlineStr">
        <is>
          <t>-</t>
        </is>
      </c>
      <c r="P39" s="27" t="n">
        <v>0</v>
      </c>
      <c r="Q39" s="26" t="n">
        <v>0</v>
      </c>
      <c r="R39" s="27" t="n"/>
      <c r="S39" s="27" t="n"/>
      <c r="T39" s="27" t="n"/>
      <c r="U39" s="14" t="n"/>
      <c r="V39" s="14" t="n"/>
      <c r="W39" s="14" t="n"/>
      <c r="X39" s="14" t="n"/>
      <c r="Y39" s="14" t="n"/>
      <c r="Z39" s="28" t="n"/>
      <c r="AA39" s="16">
        <f>SUM(B39:C39)</f>
        <v/>
      </c>
      <c r="AB39" s="17">
        <f>SUM(AA28:AA39)</f>
        <v/>
      </c>
      <c r="AC39" s="23">
        <f>AB39/12</f>
        <v/>
      </c>
      <c r="AD39" s="17">
        <f>SUM(D39:Z39)</f>
        <v/>
      </c>
      <c r="AE39" s="17">
        <f>SUM(AD28:AD39)</f>
        <v/>
      </c>
      <c r="AF39" s="23">
        <f>AE39/12</f>
        <v/>
      </c>
    </row>
    <row r="40">
      <c r="A40" s="18" t="n">
        <v>42614</v>
      </c>
      <c r="B40" s="14" t="n">
        <v>261650</v>
      </c>
      <c r="C40" s="14" t="n"/>
      <c r="D40" s="14">
        <f>2830+177.808333</f>
        <v/>
      </c>
      <c r="E40" s="14" t="n">
        <v>7820</v>
      </c>
      <c r="F40" s="14" t="n">
        <v>250</v>
      </c>
      <c r="G40" s="14" t="n"/>
      <c r="H40" s="14" t="n">
        <v>1119.8</v>
      </c>
      <c r="I40" s="14" t="n"/>
      <c r="J40" s="26" t="n">
        <v>0</v>
      </c>
      <c r="K40" s="14" t="n">
        <v>2204</v>
      </c>
      <c r="L40" s="14" t="n">
        <v>220</v>
      </c>
      <c r="M40" s="30" t="n">
        <v>1800</v>
      </c>
      <c r="N40" s="30" t="n">
        <v>400</v>
      </c>
      <c r="O40" s="27" t="inlineStr">
        <is>
          <t>-</t>
        </is>
      </c>
      <c r="P40" s="27">
        <f>0.67*253</f>
        <v/>
      </c>
      <c r="Q40" s="26" t="n">
        <v>0</v>
      </c>
      <c r="R40" s="27" t="n"/>
      <c r="S40" s="27" t="n"/>
      <c r="T40" s="27" t="n"/>
      <c r="U40" s="14" t="n"/>
      <c r="V40" s="14" t="n"/>
      <c r="W40" s="14" t="n"/>
      <c r="X40" s="14" t="n">
        <v>0</v>
      </c>
      <c r="Y40" s="14" t="n"/>
      <c r="Z40" s="28" t="n"/>
      <c r="AA40" s="16">
        <f>SUM(B40:C40)</f>
        <v/>
      </c>
      <c r="AB40" s="17">
        <f>SUM(AA29:AA40)</f>
        <v/>
      </c>
      <c r="AC40" s="23">
        <f>AB40/12</f>
        <v/>
      </c>
      <c r="AD40" s="17">
        <f>SUM(D40:Z40)</f>
        <v/>
      </c>
      <c r="AE40" s="17">
        <f>SUM(AD29:AD40)</f>
        <v/>
      </c>
      <c r="AF40" s="23">
        <f>AE40/12</f>
        <v/>
      </c>
    </row>
    <row r="41">
      <c r="A41" s="18" t="n">
        <v>42644</v>
      </c>
      <c r="B41" s="14" t="n">
        <v>258900</v>
      </c>
      <c r="C41" s="14" t="n"/>
      <c r="D41" s="14" t="n">
        <v>177.8083333333333</v>
      </c>
      <c r="E41" s="14" t="n">
        <v>9300</v>
      </c>
      <c r="F41" s="14" t="n">
        <v>150</v>
      </c>
      <c r="G41" s="14" t="n"/>
      <c r="H41" s="14" t="n">
        <v>2310</v>
      </c>
      <c r="I41" s="14" t="n"/>
      <c r="J41" s="26" t="n">
        <v>13.462</v>
      </c>
      <c r="K41" s="14" t="n">
        <v>1653</v>
      </c>
      <c r="L41" s="14" t="n">
        <v>0</v>
      </c>
      <c r="M41" s="30" t="n">
        <v>2000</v>
      </c>
      <c r="N41" s="30" t="n">
        <v>200</v>
      </c>
      <c r="O41" s="27" t="inlineStr">
        <is>
          <t>-</t>
        </is>
      </c>
      <c r="P41" s="27" t="n">
        <v>0</v>
      </c>
      <c r="Q41" s="26" t="n">
        <v>0</v>
      </c>
      <c r="R41" s="27" t="n"/>
      <c r="S41" s="27" t="n"/>
      <c r="T41" s="27" t="n"/>
      <c r="U41" s="14" t="n"/>
      <c r="V41" s="14" t="n"/>
      <c r="W41" s="14">
        <f>'Raw Food Data (KG)'!Q2</f>
        <v/>
      </c>
      <c r="X41" s="14" t="n">
        <v>0</v>
      </c>
      <c r="Y41" s="14" t="n"/>
      <c r="Z41" s="28" t="n"/>
      <c r="AA41" s="16">
        <f>SUM(B41:C41)</f>
        <v/>
      </c>
      <c r="AB41" s="17">
        <f>SUM(AA30:AA41)</f>
        <v/>
      </c>
      <c r="AC41" s="23">
        <f>AB41/12</f>
        <v/>
      </c>
      <c r="AD41" s="17">
        <f>SUM(D41:Z41)</f>
        <v/>
      </c>
      <c r="AE41" s="17">
        <f>SUM(AD30:AD41)</f>
        <v/>
      </c>
      <c r="AF41" s="23">
        <f>AE41/12</f>
        <v/>
      </c>
    </row>
    <row r="42">
      <c r="A42" s="18" t="n">
        <v>42675</v>
      </c>
      <c r="B42" s="14" t="n">
        <v>262650</v>
      </c>
      <c r="C42" s="14" t="n"/>
      <c r="D42" s="14" t="n">
        <v>177.8083333333333</v>
      </c>
      <c r="E42" s="14" t="n">
        <v>9900</v>
      </c>
      <c r="F42" s="14" t="n">
        <v>110</v>
      </c>
      <c r="G42" s="14" t="n"/>
      <c r="H42" s="14" t="n">
        <v>2627.5</v>
      </c>
      <c r="I42" s="14" t="n"/>
      <c r="J42" s="26" t="n">
        <v>0</v>
      </c>
      <c r="K42" s="14" t="n">
        <v>3458</v>
      </c>
      <c r="L42" s="14" t="n">
        <v>0</v>
      </c>
      <c r="M42" s="30" t="n">
        <v>1600</v>
      </c>
      <c r="N42" s="30" t="n">
        <v>400</v>
      </c>
      <c r="O42" s="27" t="inlineStr">
        <is>
          <t>-</t>
        </is>
      </c>
      <c r="P42" s="27">
        <f>0.67*221</f>
        <v/>
      </c>
      <c r="Q42" s="26" t="n">
        <v>0</v>
      </c>
      <c r="R42" s="27" t="n"/>
      <c r="S42" s="27" t="n"/>
      <c r="T42" s="27" t="n"/>
      <c r="U42" s="14" t="n"/>
      <c r="V42" s="14" t="n"/>
      <c r="W42" s="14">
        <f>'Raw Food Data (KG)'!Q3</f>
        <v/>
      </c>
      <c r="X42" s="14" t="n">
        <v>66</v>
      </c>
      <c r="Y42" s="14" t="n"/>
      <c r="Z42" s="28" t="n"/>
      <c r="AA42" s="16">
        <f>SUM(B42:C42)</f>
        <v/>
      </c>
      <c r="AB42" s="17">
        <f>SUM(AA31:AA42)</f>
        <v/>
      </c>
      <c r="AC42" s="23">
        <f>AB42/12</f>
        <v/>
      </c>
      <c r="AD42" s="17">
        <f>SUM(D42:Z42)</f>
        <v/>
      </c>
      <c r="AE42" s="17">
        <f>SUM(AD31:AD42)</f>
        <v/>
      </c>
      <c r="AF42" s="23">
        <f>AE42/12</f>
        <v/>
      </c>
    </row>
    <row r="43">
      <c r="A43" s="18" t="n">
        <v>42705</v>
      </c>
      <c r="B43" s="14" t="n">
        <v>247410</v>
      </c>
      <c r="C43" s="14" t="n"/>
      <c r="D43" s="14" t="n">
        <v>177.8083333333333</v>
      </c>
      <c r="E43" s="14" t="n">
        <v>9450</v>
      </c>
      <c r="F43" s="14" t="n">
        <v>270</v>
      </c>
      <c r="G43" s="14" t="n"/>
      <c r="H43" s="14" t="n">
        <v>1472.5</v>
      </c>
      <c r="I43" s="14" t="n"/>
      <c r="J43" s="26" t="n">
        <v>0</v>
      </c>
      <c r="K43" s="14" t="n">
        <v>1465</v>
      </c>
      <c r="L43" s="14" t="n">
        <v>50</v>
      </c>
      <c r="M43" s="30" t="n">
        <v>1400</v>
      </c>
      <c r="N43" s="30" t="n">
        <v>200</v>
      </c>
      <c r="O43" s="27">
        <f>0.05*113</f>
        <v/>
      </c>
      <c r="P43" s="27" t="n">
        <v>0</v>
      </c>
      <c r="Q43" s="26" t="n">
        <v>0</v>
      </c>
      <c r="R43" s="27" t="n"/>
      <c r="S43" s="27" t="n"/>
      <c r="T43" s="27" t="n"/>
      <c r="U43" s="14" t="n"/>
      <c r="V43" s="14" t="n"/>
      <c r="W43" s="14">
        <f>'Raw Food Data (KG)'!Q4</f>
        <v/>
      </c>
      <c r="X43" s="14" t="n">
        <v>62.5</v>
      </c>
      <c r="Y43" s="14" t="n"/>
      <c r="Z43" s="28" t="n"/>
      <c r="AA43" s="16">
        <f>SUM(B43:C43)</f>
        <v/>
      </c>
      <c r="AB43" s="17">
        <f>SUM(AA32:AA43)</f>
        <v/>
      </c>
      <c r="AC43" s="23">
        <f>AB43/12</f>
        <v/>
      </c>
      <c r="AD43" s="17">
        <f>SUM(D43:Z43)</f>
        <v/>
      </c>
      <c r="AE43" s="17">
        <f>SUM(AD32:AD43)</f>
        <v/>
      </c>
      <c r="AF43" s="23">
        <f>AE43/12</f>
        <v/>
      </c>
    </row>
    <row r="44">
      <c r="A44" s="18" t="n">
        <v>42736</v>
      </c>
      <c r="B44" s="14" t="n">
        <v>186070</v>
      </c>
      <c r="C44" s="14" t="n">
        <v>41470</v>
      </c>
      <c r="D44" s="14" t="n">
        <v>2093.875</v>
      </c>
      <c r="E44" s="14" t="n">
        <v>10200</v>
      </c>
      <c r="F44" s="14" t="n">
        <v>180</v>
      </c>
      <c r="G44" s="14" t="n"/>
      <c r="H44" s="14" t="n">
        <v>1682</v>
      </c>
      <c r="I44" s="14" t="n"/>
      <c r="J44" s="26">
        <f>8231/1000</f>
        <v/>
      </c>
      <c r="K44" s="14" t="n">
        <v>1726</v>
      </c>
      <c r="L44" s="14" t="n">
        <v>0</v>
      </c>
      <c r="M44" s="30" t="n">
        <v>1400</v>
      </c>
      <c r="N44" s="30" t="n">
        <v>0</v>
      </c>
      <c r="O44" s="27" t="inlineStr">
        <is>
          <t>-</t>
        </is>
      </c>
      <c r="P44" s="27">
        <f>0.67*206</f>
        <v/>
      </c>
      <c r="Q44" s="26" t="n">
        <v>0</v>
      </c>
      <c r="R44" s="27" t="n"/>
      <c r="S44" s="27" t="n"/>
      <c r="T44" s="27" t="n"/>
      <c r="U44" s="14" t="n"/>
      <c r="V44" s="14" t="n"/>
      <c r="W44" s="14">
        <f>'Raw Food Data (KG)'!Q5</f>
        <v/>
      </c>
      <c r="X44" s="14" t="n">
        <v>0</v>
      </c>
      <c r="Y44" s="14" t="n"/>
      <c r="Z44" s="28" t="n"/>
      <c r="AA44" s="16">
        <f>SUM(B44:C44)</f>
        <v/>
      </c>
      <c r="AB44" s="17">
        <f>SUM(AA33:AA44)</f>
        <v/>
      </c>
      <c r="AC44" s="23">
        <f>AB44/12</f>
        <v/>
      </c>
      <c r="AD44" s="17">
        <f>SUM(D44:Z44)</f>
        <v/>
      </c>
      <c r="AE44" s="17">
        <f>SUM(AD33:AD44)</f>
        <v/>
      </c>
      <c r="AF44" s="23">
        <f>AE44/12</f>
        <v/>
      </c>
    </row>
    <row r="45">
      <c r="A45" s="18" t="n">
        <v>42767</v>
      </c>
      <c r="B45" s="14" t="n">
        <v>189900</v>
      </c>
      <c r="C45" s="14" t="n">
        <v>54160</v>
      </c>
      <c r="D45" s="14" t="n">
        <v>2093.875</v>
      </c>
      <c r="E45" s="14" t="n">
        <v>9070</v>
      </c>
      <c r="F45" s="14" t="n">
        <v>210</v>
      </c>
      <c r="G45" s="14" t="n"/>
      <c r="H45" s="14" t="n">
        <v>1845.5</v>
      </c>
      <c r="I45" s="14" t="n"/>
      <c r="J45" s="26" t="n">
        <v>0</v>
      </c>
      <c r="K45" s="14" t="n">
        <v>1475</v>
      </c>
      <c r="L45" s="14" t="n">
        <v>120</v>
      </c>
      <c r="M45" s="30" t="n">
        <v>2800</v>
      </c>
      <c r="N45" s="30" t="n">
        <v>400</v>
      </c>
      <c r="O45" s="27" t="inlineStr">
        <is>
          <t>-</t>
        </is>
      </c>
      <c r="P45" s="27" t="n">
        <v>0</v>
      </c>
      <c r="Q45" s="26" t="n">
        <v>0</v>
      </c>
      <c r="R45" s="27" t="n"/>
      <c r="S45" s="27" t="n"/>
      <c r="T45" s="27" t="n"/>
      <c r="U45" s="14" t="n"/>
      <c r="V45" s="14" t="n"/>
      <c r="W45" s="14">
        <f>'Raw Food Data (KG)'!Q6</f>
        <v/>
      </c>
      <c r="X45" s="14" t="n">
        <v>0</v>
      </c>
      <c r="Y45" s="14" t="n"/>
      <c r="Z45" s="28" t="n"/>
      <c r="AA45" s="16">
        <f>SUM(B45:C45)</f>
        <v/>
      </c>
      <c r="AB45" s="17">
        <f>SUM(AA34:AA45)</f>
        <v/>
      </c>
      <c r="AC45" s="23">
        <f>AB45/12</f>
        <v/>
      </c>
      <c r="AD45" s="17">
        <f>SUM(D45:Z45)</f>
        <v/>
      </c>
      <c r="AE45" s="17">
        <f>SUM(AD34:AD45)</f>
        <v/>
      </c>
      <c r="AF45" s="23">
        <f>AE45/12</f>
        <v/>
      </c>
    </row>
    <row r="46">
      <c r="A46" s="18" t="n">
        <v>42795</v>
      </c>
      <c r="B46" s="14" t="n">
        <v>218930</v>
      </c>
      <c r="C46" s="14" t="n">
        <v>32240</v>
      </c>
      <c r="D46" s="14" t="n">
        <v>2093.875</v>
      </c>
      <c r="E46" s="14" t="n">
        <v>9840</v>
      </c>
      <c r="F46" s="14" t="n">
        <v>210</v>
      </c>
      <c r="G46" s="14" t="n"/>
      <c r="H46" s="14" t="n">
        <v>1991</v>
      </c>
      <c r="I46" s="14" t="n"/>
      <c r="J46" s="26" t="n">
        <v>0</v>
      </c>
      <c r="K46" s="14" t="n">
        <v>1816</v>
      </c>
      <c r="L46" s="14" t="n">
        <v>0</v>
      </c>
      <c r="M46" s="30" t="n">
        <v>3000</v>
      </c>
      <c r="N46" s="30" t="n">
        <v>0</v>
      </c>
      <c r="O46" s="27" t="inlineStr">
        <is>
          <t>-</t>
        </is>
      </c>
      <c r="P46" s="27">
        <f>0.67*121</f>
        <v/>
      </c>
      <c r="Q46" s="26" t="n">
        <v>0</v>
      </c>
      <c r="R46" s="27" t="n"/>
      <c r="S46" s="27" t="n"/>
      <c r="T46" s="27" t="n"/>
      <c r="U46" s="14" t="n"/>
      <c r="V46" s="14" t="n"/>
      <c r="W46" s="14">
        <f>'Raw Food Data (KG)'!Q7</f>
        <v/>
      </c>
      <c r="X46" s="14" t="n">
        <v>0</v>
      </c>
      <c r="Y46" s="14" t="n"/>
      <c r="Z46" s="28" t="n"/>
      <c r="AA46" s="16">
        <f>SUM(B46:C46)</f>
        <v/>
      </c>
      <c r="AB46" s="17">
        <f>SUM(AA35:AA46)</f>
        <v/>
      </c>
      <c r="AC46" s="23">
        <f>AB46/12</f>
        <v/>
      </c>
      <c r="AD46" s="17">
        <f>SUM(D46:Z46)</f>
        <v/>
      </c>
      <c r="AE46" s="17">
        <f>SUM(AD35:AD46)</f>
        <v/>
      </c>
      <c r="AF46" s="23">
        <f>AE46/12</f>
        <v/>
      </c>
    </row>
    <row r="47">
      <c r="A47" s="18" t="n">
        <v>42826</v>
      </c>
      <c r="B47" s="14" t="n">
        <v>200140</v>
      </c>
      <c r="C47" s="14" t="n">
        <v>35860</v>
      </c>
      <c r="D47" s="14" t="n">
        <v>2093.875</v>
      </c>
      <c r="E47" s="14" t="n">
        <v>10420</v>
      </c>
      <c r="F47" s="14" t="n">
        <v>290</v>
      </c>
      <c r="G47" s="14" t="n"/>
      <c r="H47" s="14" t="n">
        <v>2070.2</v>
      </c>
      <c r="I47" s="14" t="n"/>
      <c r="J47" s="26" t="n">
        <v>0</v>
      </c>
      <c r="K47" s="14" t="n">
        <v>1894</v>
      </c>
      <c r="L47" s="14" t="n">
        <v>150</v>
      </c>
      <c r="M47" s="30" t="n">
        <v>1400</v>
      </c>
      <c r="N47" s="30" t="n">
        <v>400</v>
      </c>
      <c r="O47" s="27" t="inlineStr">
        <is>
          <t>-</t>
        </is>
      </c>
      <c r="P47" s="27" t="n">
        <v>0</v>
      </c>
      <c r="Q47" s="26" t="n">
        <v>0</v>
      </c>
      <c r="R47" s="27">
        <f>0.34*1900</f>
        <v/>
      </c>
      <c r="S47" s="27">
        <f>0.13*40</f>
        <v/>
      </c>
      <c r="T47" s="27">
        <f>0.15*60</f>
        <v/>
      </c>
      <c r="U47" s="14" t="n"/>
      <c r="V47" s="14" t="n"/>
      <c r="W47" s="14">
        <f>'Raw Food Data (KG)'!Q8</f>
        <v/>
      </c>
      <c r="X47" s="14" t="n">
        <v>0</v>
      </c>
      <c r="Y47" s="14" t="n"/>
      <c r="Z47" s="28" t="n"/>
      <c r="AA47" s="16">
        <f>SUM(B47:C47)</f>
        <v/>
      </c>
      <c r="AB47" s="17">
        <f>SUM(AA36:AA47)</f>
        <v/>
      </c>
      <c r="AC47" s="23">
        <f>AB47/12</f>
        <v/>
      </c>
      <c r="AD47" s="17">
        <f>SUM(D47:Z47)</f>
        <v/>
      </c>
      <c r="AE47" s="17">
        <f>SUM(AD36:AD47)</f>
        <v/>
      </c>
      <c r="AF47" s="23">
        <f>AE47/12</f>
        <v/>
      </c>
    </row>
    <row r="48">
      <c r="A48" s="18" t="n">
        <v>42856</v>
      </c>
      <c r="B48" s="14" t="n">
        <v>194190</v>
      </c>
      <c r="C48" s="14" t="n">
        <v>41550</v>
      </c>
      <c r="D48" s="14" t="n">
        <v>2093.875</v>
      </c>
      <c r="E48" s="14" t="n">
        <v>11250</v>
      </c>
      <c r="F48" s="14" t="n">
        <v>260</v>
      </c>
      <c r="G48" s="14" t="n"/>
      <c r="H48" s="14" t="n">
        <v>1900</v>
      </c>
      <c r="I48" s="14" t="n"/>
      <c r="J48" s="26">
        <f>29-8-13</f>
        <v/>
      </c>
      <c r="K48" s="14" t="n">
        <v>1563</v>
      </c>
      <c r="L48" s="14" t="n">
        <v>250</v>
      </c>
      <c r="M48" s="30" t="n">
        <v>3400</v>
      </c>
      <c r="N48" s="30" t="n">
        <v>400</v>
      </c>
      <c r="O48" s="27" t="inlineStr">
        <is>
          <t>-</t>
        </is>
      </c>
      <c r="P48" s="27">
        <f>0.67*129</f>
        <v/>
      </c>
      <c r="Q48" s="26" t="n">
        <v>0</v>
      </c>
      <c r="R48" s="27" t="n"/>
      <c r="S48" s="27" t="n"/>
      <c r="T48" s="27" t="n"/>
      <c r="U48" s="14" t="n"/>
      <c r="V48" s="14" t="n"/>
      <c r="W48" s="14">
        <f>'Raw Food Data (KG)'!Q9</f>
        <v/>
      </c>
      <c r="X48" s="14" t="n">
        <v>0</v>
      </c>
      <c r="Y48" s="14" t="n"/>
      <c r="Z48" s="28" t="n"/>
      <c r="AA48" s="16">
        <f>SUM(B48:C48)</f>
        <v/>
      </c>
      <c r="AB48" s="17">
        <f>SUM(AA37:AA48)</f>
        <v/>
      </c>
      <c r="AC48" s="23">
        <f>AB48/12</f>
        <v/>
      </c>
      <c r="AD48" s="17">
        <f>SUM(D48:Z48)</f>
        <v/>
      </c>
      <c r="AE48" s="17">
        <f>SUM(AD37:AD48)</f>
        <v/>
      </c>
      <c r="AF48" s="23">
        <f>AE48/12</f>
        <v/>
      </c>
    </row>
    <row r="49">
      <c r="A49" s="18" t="n">
        <v>42887</v>
      </c>
      <c r="B49" s="14" t="n">
        <v>204680</v>
      </c>
      <c r="C49" s="14" t="n">
        <v>51440</v>
      </c>
      <c r="D49" s="14" t="n">
        <v>2093.875</v>
      </c>
      <c r="E49" s="14" t="n">
        <v>7160</v>
      </c>
      <c r="F49" s="14" t="n">
        <v>400</v>
      </c>
      <c r="G49" s="14" t="n"/>
      <c r="H49" s="14">
        <f>1991+1020</f>
        <v/>
      </c>
      <c r="I49" s="14" t="n"/>
      <c r="J49" s="26" t="n">
        <v>0</v>
      </c>
      <c r="K49" s="14" t="n">
        <v>1981</v>
      </c>
      <c r="L49" s="14" t="n">
        <v>250</v>
      </c>
      <c r="M49" s="30" t="n">
        <v>800</v>
      </c>
      <c r="N49" s="30" t="n">
        <v>400</v>
      </c>
      <c r="O49" s="27" t="inlineStr">
        <is>
          <t>-</t>
        </is>
      </c>
      <c r="P49" s="27" t="n">
        <v>0</v>
      </c>
      <c r="Q49" s="26" t="n">
        <v>0</v>
      </c>
      <c r="R49" s="27">
        <f>0.34*1000</f>
        <v/>
      </c>
      <c r="S49" s="27" t="n"/>
      <c r="T49" s="27" t="n"/>
      <c r="U49" s="14" t="n"/>
      <c r="V49" s="14" t="n"/>
      <c r="W49" s="14">
        <f>'Raw Food Data (KG)'!Q10</f>
        <v/>
      </c>
      <c r="X49" s="14" t="n">
        <v>0</v>
      </c>
      <c r="Y49" s="14" t="n"/>
      <c r="Z49" s="28" t="n"/>
      <c r="AA49" s="16">
        <f>SUM(B49:C49)</f>
        <v/>
      </c>
      <c r="AB49" s="17">
        <f>SUM(AA38:AA49)</f>
        <v/>
      </c>
      <c r="AC49" s="23">
        <f>AB49/12</f>
        <v/>
      </c>
      <c r="AD49" s="17">
        <f>SUM(D49:Z49)</f>
        <v/>
      </c>
      <c r="AE49" s="17">
        <f>SUM(AD38:AD49)</f>
        <v/>
      </c>
      <c r="AF49" s="23">
        <f>AE49/12</f>
        <v/>
      </c>
      <c r="AH49" s="24">
        <f>AB49+AE49</f>
        <v/>
      </c>
    </row>
    <row r="50">
      <c r="A50" s="18" t="n">
        <v>42917</v>
      </c>
      <c r="B50" s="19" t="n">
        <v>180020</v>
      </c>
      <c r="C50" s="19" t="n">
        <v>45550</v>
      </c>
      <c r="D50" s="19" t="n">
        <v>2093.875</v>
      </c>
      <c r="E50" s="19" t="n">
        <v>10930</v>
      </c>
      <c r="F50" s="19" t="n">
        <v>270</v>
      </c>
      <c r="G50" s="19" t="n"/>
      <c r="H50" s="19" t="n">
        <v>1863.5</v>
      </c>
      <c r="I50" s="19" t="n"/>
      <c r="J50" s="12" t="n">
        <v>2.568</v>
      </c>
      <c r="K50" s="19" t="n">
        <v>1948</v>
      </c>
      <c r="L50" s="19" t="n">
        <v>100</v>
      </c>
      <c r="M50" s="29" t="n">
        <v>3200</v>
      </c>
      <c r="N50" s="29" t="n">
        <v>400</v>
      </c>
      <c r="O50" s="13" t="inlineStr">
        <is>
          <t>-</t>
        </is>
      </c>
      <c r="P50" s="13">
        <f>0.67*148</f>
        <v/>
      </c>
      <c r="Q50" s="12" t="n">
        <v>3</v>
      </c>
      <c r="R50" s="13" t="n"/>
      <c r="S50" s="13" t="n"/>
      <c r="T50" s="13" t="n"/>
      <c r="U50" s="19" t="n"/>
      <c r="V50" s="19" t="n"/>
      <c r="W50" s="14">
        <f>'Raw Food Data (KG)'!Q11</f>
        <v/>
      </c>
      <c r="X50" s="19" t="n">
        <v>0</v>
      </c>
      <c r="Y50" s="19" t="n"/>
      <c r="Z50" s="21" t="n"/>
      <c r="AA50" s="16">
        <f>SUM(B50:C50)</f>
        <v/>
      </c>
      <c r="AB50" s="17">
        <f>SUM(AA39:AA50)</f>
        <v/>
      </c>
      <c r="AC50" s="23">
        <f>AB50/12</f>
        <v/>
      </c>
      <c r="AD50" s="17">
        <f>SUM(D50:Z50)</f>
        <v/>
      </c>
      <c r="AE50" s="17">
        <f>SUM(AD39:AD50)</f>
        <v/>
      </c>
      <c r="AF50" s="23">
        <f>AE50/12</f>
        <v/>
      </c>
    </row>
    <row r="51">
      <c r="A51" s="18" t="n">
        <v>42948</v>
      </c>
      <c r="B51" s="19" t="n">
        <v>205980</v>
      </c>
      <c r="C51" s="19" t="n">
        <v>48250</v>
      </c>
      <c r="D51" s="19" t="n">
        <v>2093.875</v>
      </c>
      <c r="E51" s="19" t="n">
        <v>10700</v>
      </c>
      <c r="F51" s="19" t="n">
        <v>210</v>
      </c>
      <c r="G51" s="19" t="n"/>
      <c r="H51" s="19" t="n">
        <v>975</v>
      </c>
      <c r="I51" s="19" t="n"/>
      <c r="J51" s="12" t="n">
        <v>0</v>
      </c>
      <c r="K51" s="19" t="n">
        <v>1726</v>
      </c>
      <c r="L51" s="19" t="n">
        <v>0</v>
      </c>
      <c r="M51" s="29" t="n">
        <v>800</v>
      </c>
      <c r="N51" s="29" t="n">
        <v>400</v>
      </c>
      <c r="O51" s="13" t="inlineStr">
        <is>
          <t>-</t>
        </is>
      </c>
      <c r="P51" s="13" t="n">
        <v>0</v>
      </c>
      <c r="Q51" s="12" t="n">
        <v>0</v>
      </c>
      <c r="R51" s="13">
        <f>0.34*700</f>
        <v/>
      </c>
      <c r="S51" s="13">
        <f>0.13*300</f>
        <v/>
      </c>
      <c r="T51" s="13" t="n"/>
      <c r="U51" s="19" t="n"/>
      <c r="V51" s="19" t="n"/>
      <c r="W51" s="14">
        <f>'Raw Food Data (KG)'!Q12</f>
        <v/>
      </c>
      <c r="X51" s="19" t="n">
        <v>0</v>
      </c>
      <c r="Y51" s="19" t="n"/>
      <c r="Z51" s="21" t="n"/>
      <c r="AA51" s="16">
        <f>SUM(B51:C51)</f>
        <v/>
      </c>
      <c r="AB51" s="17">
        <f>SUM(AA40:AA51)</f>
        <v/>
      </c>
      <c r="AC51" s="23">
        <f>AB51/12</f>
        <v/>
      </c>
      <c r="AD51" s="17">
        <f>SUM(D51:Z51)</f>
        <v/>
      </c>
      <c r="AE51" s="17">
        <f>SUM(AD40:AD51)</f>
        <v/>
      </c>
      <c r="AF51" s="23">
        <f>AE51/12</f>
        <v/>
      </c>
    </row>
    <row r="52">
      <c r="A52" s="18" t="n">
        <v>42979</v>
      </c>
      <c r="B52" s="19" t="n">
        <v>204680</v>
      </c>
      <c r="C52" s="19" t="n">
        <v>55310</v>
      </c>
      <c r="D52" s="19" t="n">
        <v>721</v>
      </c>
      <c r="E52" s="19" t="n">
        <v>7160</v>
      </c>
      <c r="F52" s="19" t="n">
        <v>400</v>
      </c>
      <c r="G52" s="19" t="n"/>
      <c r="H52" s="19" t="n">
        <v>975</v>
      </c>
      <c r="I52" s="19" t="n"/>
      <c r="J52" s="12" t="n">
        <v>3.434</v>
      </c>
      <c r="K52" s="19" t="n">
        <v>3290</v>
      </c>
      <c r="L52" s="19" t="n">
        <v>200</v>
      </c>
      <c r="M52" s="29" t="n">
        <v>800</v>
      </c>
      <c r="N52" s="29" t="n">
        <v>400</v>
      </c>
      <c r="O52" s="13" t="inlineStr">
        <is>
          <t>-</t>
        </is>
      </c>
      <c r="P52" s="13" t="n">
        <v>0</v>
      </c>
      <c r="Q52" s="12" t="n">
        <v>0</v>
      </c>
      <c r="R52" s="13" t="n"/>
      <c r="S52" s="13" t="n"/>
      <c r="T52" s="13" t="n"/>
      <c r="U52" s="19" t="n"/>
      <c r="V52" s="19" t="n"/>
      <c r="W52" s="14">
        <f>'Raw Food Data (KG)'!Q13</f>
        <v/>
      </c>
      <c r="X52" s="19" t="n">
        <v>0</v>
      </c>
      <c r="Y52" s="19" t="n"/>
      <c r="Z52" s="21" t="n"/>
      <c r="AA52" s="16">
        <f>SUM(B52:C52)</f>
        <v/>
      </c>
      <c r="AB52" s="17">
        <f>SUM(AA41:AA52)</f>
        <v/>
      </c>
      <c r="AC52" s="23">
        <f>AB52/12</f>
        <v/>
      </c>
      <c r="AD52" s="17">
        <f>SUM(D52:Z52)</f>
        <v/>
      </c>
      <c r="AE52" s="17">
        <f>SUM(AD41:AD52)</f>
        <v/>
      </c>
      <c r="AF52" s="23">
        <f>AE52/12</f>
        <v/>
      </c>
    </row>
    <row r="53">
      <c r="A53" s="18" t="n">
        <v>43009</v>
      </c>
      <c r="B53" s="19" t="n">
        <v>205980</v>
      </c>
      <c r="C53" s="19" t="n">
        <v>65260.00000000001</v>
      </c>
      <c r="D53" s="19" t="n">
        <v>423</v>
      </c>
      <c r="E53" s="19" t="n">
        <v>9910</v>
      </c>
      <c r="F53" s="19" t="n">
        <v>200</v>
      </c>
      <c r="G53" s="19" t="n"/>
      <c r="H53" s="19" t="n">
        <v>1691</v>
      </c>
      <c r="I53" s="19" t="n"/>
      <c r="J53" s="12" t="n">
        <v>0</v>
      </c>
      <c r="K53" s="19" t="n">
        <v>0</v>
      </c>
      <c r="L53" s="19" t="n">
        <v>70</v>
      </c>
      <c r="M53" s="29" t="n">
        <v>800</v>
      </c>
      <c r="N53" s="29" t="n">
        <v>400</v>
      </c>
      <c r="O53" s="13" t="inlineStr">
        <is>
          <t>-</t>
        </is>
      </c>
      <c r="P53" s="13">
        <f>0.67*193</f>
        <v/>
      </c>
      <c r="Q53" s="12" t="n">
        <v>7</v>
      </c>
      <c r="R53" s="13" t="n"/>
      <c r="S53" s="13" t="n"/>
      <c r="T53" s="13" t="n"/>
      <c r="U53" s="19" t="n"/>
      <c r="V53" s="19" t="n"/>
      <c r="W53" s="14">
        <f>'Raw Food Data (KG)'!Q14</f>
        <v/>
      </c>
      <c r="X53" s="19" t="n">
        <v>0</v>
      </c>
      <c r="Y53" s="19" t="n"/>
      <c r="Z53" s="21" t="n"/>
      <c r="AA53" s="16">
        <f>SUM(B53:C53)</f>
        <v/>
      </c>
      <c r="AB53" s="17">
        <f>SUM(AA42:AA53)</f>
        <v/>
      </c>
      <c r="AC53" s="23">
        <f>AB53/12</f>
        <v/>
      </c>
      <c r="AD53" s="17">
        <f>SUM(D53:Z53)</f>
        <v/>
      </c>
      <c r="AE53" s="17">
        <f>SUM(AD42:AD53)</f>
        <v/>
      </c>
      <c r="AF53" s="23">
        <f>AE53/12</f>
        <v/>
      </c>
    </row>
    <row r="54">
      <c r="A54" s="18" t="n">
        <v>43040</v>
      </c>
      <c r="B54" s="19" t="n">
        <v>227040</v>
      </c>
      <c r="C54" s="19" t="n">
        <v>65069.99999999999</v>
      </c>
      <c r="D54" s="19" t="n">
        <v>828</v>
      </c>
      <c r="E54" s="19" t="n">
        <v>9740</v>
      </c>
      <c r="F54" s="19" t="n">
        <v>210</v>
      </c>
      <c r="G54" s="19" t="n"/>
      <c r="H54" s="19" t="n">
        <v>975</v>
      </c>
      <c r="I54" s="19" t="n"/>
      <c r="J54" s="12" t="n">
        <v>2.011</v>
      </c>
      <c r="K54" s="19" t="n">
        <v>3956</v>
      </c>
      <c r="L54" s="19" t="n">
        <v>100</v>
      </c>
      <c r="M54" s="29" t="n">
        <v>1200</v>
      </c>
      <c r="N54" s="29" t="n">
        <v>600</v>
      </c>
      <c r="O54" s="13" t="inlineStr">
        <is>
          <t>-</t>
        </is>
      </c>
      <c r="P54" s="13" t="n">
        <v>0</v>
      </c>
      <c r="Q54" s="12" t="n">
        <v>0</v>
      </c>
      <c r="R54" s="13">
        <f>0.34*700</f>
        <v/>
      </c>
      <c r="S54" s="13">
        <f>0.13*300</f>
        <v/>
      </c>
      <c r="T54" s="13" t="n"/>
      <c r="U54" s="19" t="n"/>
      <c r="V54" s="19" t="n"/>
      <c r="W54" s="14">
        <f>'Raw Food Data (KG)'!Q15</f>
        <v/>
      </c>
      <c r="X54" s="19" t="n">
        <v>0</v>
      </c>
      <c r="Y54" s="19" t="n"/>
      <c r="Z54" s="21" t="n"/>
      <c r="AA54" s="16">
        <f>SUM(B54:C54)</f>
        <v/>
      </c>
      <c r="AB54" s="17">
        <f>SUM(AA43:AA54)</f>
        <v/>
      </c>
      <c r="AC54" s="23">
        <f>AB54/12</f>
        <v/>
      </c>
      <c r="AD54" s="17">
        <f>SUM(D54:Z54)</f>
        <v/>
      </c>
      <c r="AE54" s="17">
        <f>SUM(AD43:AD54)</f>
        <v/>
      </c>
      <c r="AF54" s="23">
        <f>AE54/12</f>
        <v/>
      </c>
    </row>
    <row r="55">
      <c r="A55" s="18" t="n">
        <v>43070</v>
      </c>
      <c r="B55" s="19" t="n">
        <v>212210</v>
      </c>
      <c r="C55" s="19" t="n">
        <v>24760</v>
      </c>
      <c r="D55" s="19" t="n">
        <v>1935</v>
      </c>
      <c r="E55" s="19" t="n">
        <v>8410</v>
      </c>
      <c r="F55" s="19" t="n">
        <v>150</v>
      </c>
      <c r="G55" s="19" t="n"/>
      <c r="H55" s="19" t="n">
        <v>1882</v>
      </c>
      <c r="I55" s="19" t="n">
        <v>110.05</v>
      </c>
      <c r="J55" s="12" t="n">
        <v>0</v>
      </c>
      <c r="K55" s="19" t="n">
        <v>4858</v>
      </c>
      <c r="L55" s="19" t="n">
        <v>100</v>
      </c>
      <c r="M55" s="29" t="n">
        <v>1800</v>
      </c>
      <c r="N55" s="29" t="n">
        <v>400</v>
      </c>
      <c r="O55" s="13">
        <f>0.05*92</f>
        <v/>
      </c>
      <c r="P55" s="13">
        <f>0.67*193</f>
        <v/>
      </c>
      <c r="Q55" s="12" t="n">
        <v>0</v>
      </c>
      <c r="R55" s="13">
        <f>0.34*500</f>
        <v/>
      </c>
      <c r="S55" s="13" t="n"/>
      <c r="T55" s="13">
        <f>0.15*500</f>
        <v/>
      </c>
      <c r="U55" s="19" t="n"/>
      <c r="V55" s="19" t="n"/>
      <c r="W55" s="14">
        <f>'Raw Food Data (KG)'!Q16</f>
        <v/>
      </c>
      <c r="X55" s="19" t="n">
        <v>0</v>
      </c>
      <c r="Y55" s="19" t="n"/>
      <c r="Z55" s="21" t="n"/>
      <c r="AA55" s="16">
        <f>SUM(B55:C55)</f>
        <v/>
      </c>
      <c r="AB55" s="17">
        <f>SUM(AA44:AA55)</f>
        <v/>
      </c>
      <c r="AC55" s="23">
        <f>AB55/12</f>
        <v/>
      </c>
      <c r="AD55" s="17">
        <f>SUM(D55:Z55)</f>
        <v/>
      </c>
      <c r="AE55" s="17">
        <f>SUM(AD44:AD55)</f>
        <v/>
      </c>
      <c r="AF55" s="23">
        <f>AE55/12</f>
        <v/>
      </c>
    </row>
    <row r="56">
      <c r="A56" s="18" t="n">
        <v>43101</v>
      </c>
      <c r="B56" s="19" t="n">
        <v>214260</v>
      </c>
      <c r="C56" s="19" t="n">
        <v>65069.99999999999</v>
      </c>
      <c r="D56" s="19" t="n">
        <v>196</v>
      </c>
      <c r="E56" s="19" t="n">
        <v>9740</v>
      </c>
      <c r="F56" s="19" t="n">
        <v>210</v>
      </c>
      <c r="G56" s="19" t="n"/>
      <c r="H56" s="19" t="n">
        <v>975</v>
      </c>
      <c r="I56" s="19" t="n">
        <v>58.3</v>
      </c>
      <c r="J56" s="12" t="n">
        <v>0</v>
      </c>
      <c r="K56" s="19" t="n">
        <v>0</v>
      </c>
      <c r="L56" s="19" t="n">
        <v>150</v>
      </c>
      <c r="M56" s="29" t="n">
        <v>1600</v>
      </c>
      <c r="N56" s="29" t="n">
        <v>400</v>
      </c>
      <c r="O56" s="13" t="inlineStr">
        <is>
          <t>-</t>
        </is>
      </c>
      <c r="P56" s="13" t="n">
        <v>0</v>
      </c>
      <c r="Q56" s="12" t="n">
        <v>0</v>
      </c>
      <c r="R56" s="13" t="n"/>
      <c r="S56" s="13" t="n"/>
      <c r="T56" s="13" t="n"/>
      <c r="U56" s="19" t="n"/>
      <c r="V56" s="19" t="n"/>
      <c r="W56" s="14">
        <f>'Raw Food Data (KG)'!Q17</f>
        <v/>
      </c>
      <c r="X56" s="19" t="n">
        <v>0</v>
      </c>
      <c r="Y56" s="19" t="n"/>
      <c r="Z56" s="21" t="n"/>
      <c r="AA56" s="16">
        <f>SUM(B56:C56)</f>
        <v/>
      </c>
      <c r="AB56" s="17">
        <f>SUM(AA45:AA56)</f>
        <v/>
      </c>
      <c r="AC56" s="23">
        <f>AB56/12</f>
        <v/>
      </c>
      <c r="AD56" s="17">
        <f>SUM(D56:Z56)</f>
        <v/>
      </c>
      <c r="AE56" s="17">
        <f>SUM(AD45:AD56)</f>
        <v/>
      </c>
      <c r="AF56" s="23">
        <f>AE56/12</f>
        <v/>
      </c>
    </row>
    <row r="57">
      <c r="A57" s="18" t="n">
        <v>43132</v>
      </c>
      <c r="B57" s="19" t="n">
        <v>202080</v>
      </c>
      <c r="C57" s="19" t="n">
        <v>18960</v>
      </c>
      <c r="D57" s="19" t="n">
        <v>313</v>
      </c>
      <c r="E57" s="19" t="n">
        <v>7530</v>
      </c>
      <c r="F57" s="19" t="n">
        <v>150</v>
      </c>
      <c r="G57" s="19" t="n"/>
      <c r="H57" s="19" t="n">
        <v>140</v>
      </c>
      <c r="I57" s="19" t="n">
        <v>60.3</v>
      </c>
      <c r="J57" s="12" t="n">
        <v>0</v>
      </c>
      <c r="K57" s="19" t="n">
        <v>2040</v>
      </c>
      <c r="L57" s="19" t="n">
        <v>0</v>
      </c>
      <c r="M57" s="29" t="n">
        <v>1200</v>
      </c>
      <c r="N57" s="29" t="n">
        <v>200</v>
      </c>
      <c r="O57" s="13" t="inlineStr">
        <is>
          <t>-</t>
        </is>
      </c>
      <c r="P57" s="13" t="n">
        <v>0</v>
      </c>
      <c r="Q57" s="12" t="n">
        <v>0</v>
      </c>
      <c r="R57" s="13" t="n"/>
      <c r="S57" s="13" t="n"/>
      <c r="T57" s="13" t="n"/>
      <c r="U57" s="19" t="n"/>
      <c r="V57" s="19" t="n">
        <v>1300</v>
      </c>
      <c r="W57" s="14">
        <f>'Raw Food Data (KG)'!Q18</f>
        <v/>
      </c>
      <c r="X57" s="19" t="n">
        <v>0</v>
      </c>
      <c r="Y57" s="19" t="n"/>
      <c r="Z57" s="21" t="n"/>
      <c r="AA57" s="16">
        <f>SUM(B57:C57)</f>
        <v/>
      </c>
      <c r="AB57" s="17">
        <f>SUM(AA46:AA57)</f>
        <v/>
      </c>
      <c r="AC57" s="23">
        <f>AB57/12</f>
        <v/>
      </c>
      <c r="AD57" s="17">
        <f>SUM(D57:Z57)</f>
        <v/>
      </c>
      <c r="AE57" s="17">
        <f>SUM(AD46:AD57)</f>
        <v/>
      </c>
      <c r="AF57" s="23">
        <f>AE57/12</f>
        <v/>
      </c>
    </row>
    <row r="58">
      <c r="A58" s="18" t="n">
        <v>43160</v>
      </c>
      <c r="B58" s="19" t="n">
        <v>195120</v>
      </c>
      <c r="C58" s="19" t="n">
        <v>41590</v>
      </c>
      <c r="D58" s="19" t="n">
        <v>181</v>
      </c>
      <c r="E58" s="19" t="n">
        <v>9500</v>
      </c>
      <c r="F58" s="19" t="n">
        <v>170</v>
      </c>
      <c r="G58" s="19" t="n">
        <v>330</v>
      </c>
      <c r="H58" s="19" t="n">
        <v>450</v>
      </c>
      <c r="I58" s="19" t="n">
        <v>68.5</v>
      </c>
      <c r="J58" s="12" t="n">
        <v>0</v>
      </c>
      <c r="K58" s="19" t="n">
        <v>1740</v>
      </c>
      <c r="L58" s="19" t="n">
        <v>80</v>
      </c>
      <c r="M58" s="29" t="n">
        <v>1600</v>
      </c>
      <c r="N58" s="29" t="n">
        <v>400</v>
      </c>
      <c r="O58" s="13" t="inlineStr">
        <is>
          <t>-</t>
        </is>
      </c>
      <c r="P58" s="13">
        <f>0.67*260</f>
        <v/>
      </c>
      <c r="Q58" s="12" t="n">
        <v>7</v>
      </c>
      <c r="R58" s="13" t="n"/>
      <c r="S58" s="13" t="n"/>
      <c r="T58" s="13" t="n"/>
      <c r="U58" s="19" t="n"/>
      <c r="V58" s="19" t="n">
        <v>1500</v>
      </c>
      <c r="W58" s="14">
        <f>'Raw Food Data (KG)'!Q19</f>
        <v/>
      </c>
      <c r="X58" s="19" t="n">
        <v>0</v>
      </c>
      <c r="Y58" s="19" t="n"/>
      <c r="Z58" s="21" t="n"/>
      <c r="AA58" s="16">
        <f>SUM(B58:C58)</f>
        <v/>
      </c>
      <c r="AB58" s="17">
        <f>SUM(AA47:AA58)</f>
        <v/>
      </c>
      <c r="AC58" s="23">
        <f>AB58/12</f>
        <v/>
      </c>
      <c r="AD58" s="17">
        <f>SUM(D58:Z58)</f>
        <v/>
      </c>
      <c r="AE58" s="17">
        <f>SUM(AD47:AD58)</f>
        <v/>
      </c>
      <c r="AF58" s="23">
        <f>AE58/12</f>
        <v/>
      </c>
    </row>
    <row r="59">
      <c r="A59" s="18" t="n">
        <v>43191</v>
      </c>
      <c r="B59" s="19" t="n">
        <v>177650</v>
      </c>
      <c r="C59" s="19" t="n">
        <v>25270</v>
      </c>
      <c r="D59" s="19" t="n">
        <v>0</v>
      </c>
      <c r="E59" s="19" t="n">
        <v>9790</v>
      </c>
      <c r="F59" s="19" t="n">
        <v>170</v>
      </c>
      <c r="G59" s="19" t="n"/>
      <c r="H59" s="19" t="n">
        <v>460</v>
      </c>
      <c r="I59" s="19" t="n">
        <v>56.4</v>
      </c>
      <c r="J59" s="12" t="n">
        <v>11.511</v>
      </c>
      <c r="K59" s="19" t="n">
        <v>1490</v>
      </c>
      <c r="L59" s="19" t="n">
        <v>180</v>
      </c>
      <c r="M59" s="29" t="n">
        <v>4600</v>
      </c>
      <c r="N59" s="29" t="n">
        <v>400</v>
      </c>
      <c r="O59" s="13" t="inlineStr">
        <is>
          <t>-</t>
        </is>
      </c>
      <c r="P59" s="13" t="n">
        <v>0</v>
      </c>
      <c r="Q59" s="12" t="n">
        <v>0</v>
      </c>
      <c r="R59" s="13" t="n"/>
      <c r="S59" s="13">
        <f>0.13*(1000+1600)</f>
        <v/>
      </c>
      <c r="T59" s="13">
        <f>0.15*(1000+400)</f>
        <v/>
      </c>
      <c r="U59" s="19" t="n"/>
      <c r="V59" s="19" t="n">
        <v>1300</v>
      </c>
      <c r="W59" s="14">
        <f>'Raw Food Data (KG)'!Q20</f>
        <v/>
      </c>
      <c r="X59" s="19" t="n">
        <v>0</v>
      </c>
      <c r="Y59" s="19" t="n">
        <v>3000</v>
      </c>
      <c r="Z59" s="21" t="n"/>
      <c r="AA59" s="16">
        <f>SUM(B59:C59)</f>
        <v/>
      </c>
      <c r="AB59" s="17">
        <f>SUM(AA48:AA59)</f>
        <v/>
      </c>
      <c r="AC59" s="23">
        <f>AB59/12</f>
        <v/>
      </c>
      <c r="AD59" s="17">
        <f>SUM(D59:Z59)</f>
        <v/>
      </c>
      <c r="AE59" s="17">
        <f>SUM(AD48:AD59)</f>
        <v/>
      </c>
      <c r="AF59" s="23">
        <f>AE59/12</f>
        <v/>
      </c>
    </row>
    <row r="60">
      <c r="A60" s="18" t="n">
        <v>43221</v>
      </c>
      <c r="B60" s="19" t="n">
        <v>172500</v>
      </c>
      <c r="C60" s="19" t="n">
        <v>37170</v>
      </c>
      <c r="D60" s="19" t="n">
        <v>130</v>
      </c>
      <c r="E60" s="19" t="n">
        <v>11580</v>
      </c>
      <c r="F60" s="19" t="n">
        <v>170</v>
      </c>
      <c r="G60" s="19" t="n"/>
      <c r="H60" s="19" t="n">
        <v>670</v>
      </c>
      <c r="I60" s="19" t="n">
        <v>0</v>
      </c>
      <c r="J60" s="12" t="n">
        <v>0</v>
      </c>
      <c r="K60" s="19" t="n">
        <v>0</v>
      </c>
      <c r="L60" s="19" t="n">
        <v>170</v>
      </c>
      <c r="M60" s="29" t="n">
        <v>2400</v>
      </c>
      <c r="N60" s="29" t="n">
        <v>200</v>
      </c>
      <c r="O60" s="13" t="inlineStr">
        <is>
          <t>-</t>
        </is>
      </c>
      <c r="P60" s="13" t="n">
        <v>0</v>
      </c>
      <c r="Q60" s="12" t="n">
        <v>0</v>
      </c>
      <c r="R60" s="13" t="n"/>
      <c r="S60" s="13" t="n"/>
      <c r="T60" s="13" t="n"/>
      <c r="U60" s="19" t="n"/>
      <c r="V60" s="19" t="n">
        <v>3400</v>
      </c>
      <c r="W60" s="14">
        <f>'Raw Food Data (KG)'!Q21</f>
        <v/>
      </c>
      <c r="X60" s="19" t="n">
        <v>0</v>
      </c>
      <c r="Y60" s="19" t="n">
        <v>12000</v>
      </c>
      <c r="Z60" s="21" t="n"/>
      <c r="AA60" s="16">
        <f>SUM(B60:C60)</f>
        <v/>
      </c>
      <c r="AB60" s="17">
        <f>SUM(AA49:AA60)</f>
        <v/>
      </c>
      <c r="AC60" s="23">
        <f>AB60/12</f>
        <v/>
      </c>
      <c r="AD60" s="17">
        <f>SUM(D60:Z60)</f>
        <v/>
      </c>
      <c r="AE60" s="17">
        <f>SUM(AD49:AD60)</f>
        <v/>
      </c>
      <c r="AF60" s="23">
        <f>AE60/12</f>
        <v/>
      </c>
    </row>
    <row r="61">
      <c r="A61" s="18" t="n">
        <v>43252</v>
      </c>
      <c r="B61" s="19" t="n">
        <v>172790</v>
      </c>
      <c r="C61" s="19" t="n">
        <v>40100</v>
      </c>
      <c r="D61" s="19" t="n">
        <v>4124</v>
      </c>
      <c r="E61" s="19" t="n">
        <v>10110</v>
      </c>
      <c r="F61" s="19" t="n">
        <v>210</v>
      </c>
      <c r="G61" s="19" t="n"/>
      <c r="H61" s="19" t="n">
        <v>340</v>
      </c>
      <c r="I61" s="19" t="n">
        <v>119.65</v>
      </c>
      <c r="J61" s="12" t="n">
        <v>0</v>
      </c>
      <c r="K61" s="19" t="n">
        <v>3470</v>
      </c>
      <c r="L61" s="19" t="n">
        <v>280</v>
      </c>
      <c r="M61" s="29" t="n">
        <v>800</v>
      </c>
      <c r="N61" s="29" t="n">
        <v>400</v>
      </c>
      <c r="O61" s="13" t="inlineStr">
        <is>
          <t>-</t>
        </is>
      </c>
      <c r="P61" s="13" t="n">
        <v>0</v>
      </c>
      <c r="Q61" s="12" t="n">
        <v>0</v>
      </c>
      <c r="R61" s="13" t="n"/>
      <c r="S61" s="13" t="n"/>
      <c r="T61" s="13" t="n"/>
      <c r="U61" s="19" t="n"/>
      <c r="V61" s="19" t="n">
        <v>40370</v>
      </c>
      <c r="W61" s="14">
        <f>'Raw Food Data (KG)'!Q22</f>
        <v/>
      </c>
      <c r="X61" s="19" t="n">
        <v>0</v>
      </c>
      <c r="Y61" s="19" t="n">
        <v>6000</v>
      </c>
      <c r="Z61" s="21" t="n"/>
      <c r="AA61" s="16">
        <f>SUM(B61:C61)</f>
        <v/>
      </c>
      <c r="AB61" s="17">
        <f>SUM(AA50:AA61)</f>
        <v/>
      </c>
      <c r="AC61" s="23">
        <f>AB61/12</f>
        <v/>
      </c>
      <c r="AD61" s="17">
        <f>SUM(D61:Z61)</f>
        <v/>
      </c>
      <c r="AE61" s="17">
        <f>SUM(AD50:AD61)</f>
        <v/>
      </c>
      <c r="AF61" s="23">
        <f>AE61/12</f>
        <v/>
      </c>
      <c r="AH61" s="24">
        <f>AB61+AE61</f>
        <v/>
      </c>
    </row>
    <row r="62">
      <c r="A62" s="18" t="n">
        <v>43282</v>
      </c>
      <c r="B62" s="14" t="n">
        <v>181220</v>
      </c>
      <c r="C62" s="14" t="n">
        <v>34440</v>
      </c>
      <c r="D62" s="14" t="n">
        <v>144</v>
      </c>
      <c r="E62" s="14" t="n">
        <v>11130</v>
      </c>
      <c r="F62" s="14" t="n">
        <v>260</v>
      </c>
      <c r="G62" s="14" t="n"/>
      <c r="H62" s="14" t="n">
        <v>560</v>
      </c>
      <c r="I62" s="14" t="n">
        <v>57.8</v>
      </c>
      <c r="J62" s="26" t="n">
        <v>0</v>
      </c>
      <c r="K62" s="14" t="n">
        <v>0</v>
      </c>
      <c r="L62" s="14" t="n">
        <v>130</v>
      </c>
      <c r="M62" s="30" t="n">
        <v>800</v>
      </c>
      <c r="N62" s="30" t="n">
        <v>400</v>
      </c>
      <c r="O62" s="27" t="inlineStr">
        <is>
          <t>-</t>
        </is>
      </c>
      <c r="P62" s="27" t="n">
        <v>0</v>
      </c>
      <c r="Q62" s="26" t="n">
        <v>0</v>
      </c>
      <c r="R62" s="27" t="n">
        <v>0</v>
      </c>
      <c r="S62" s="27">
        <f>0.13*800</f>
        <v/>
      </c>
      <c r="T62" s="27">
        <f>0.15*200</f>
        <v/>
      </c>
      <c r="U62" s="14" t="n"/>
      <c r="V62" s="14" t="n">
        <v>0</v>
      </c>
      <c r="W62" s="14">
        <f>'Raw Food Data (KG)'!Q23</f>
        <v/>
      </c>
      <c r="X62" s="14" t="n">
        <v>0</v>
      </c>
      <c r="Y62" s="14" t="n">
        <v>5000</v>
      </c>
      <c r="Z62" s="28" t="n"/>
      <c r="AA62" s="16">
        <f>SUM(B62:C62)</f>
        <v/>
      </c>
      <c r="AB62" s="17">
        <f>SUM(AA51:AA62)</f>
        <v/>
      </c>
      <c r="AC62" s="23">
        <f>AB62/12</f>
        <v/>
      </c>
      <c r="AD62" s="17">
        <f>SUM(D62:Z62)</f>
        <v/>
      </c>
      <c r="AE62" s="17">
        <f>SUM(AD51:AD62)</f>
        <v/>
      </c>
      <c r="AF62" s="23">
        <f>AE62/12</f>
        <v/>
      </c>
    </row>
    <row r="63">
      <c r="A63" s="18" t="n">
        <v>43313</v>
      </c>
      <c r="B63" s="14" t="n">
        <v>176530</v>
      </c>
      <c r="C63" s="14" t="n">
        <v>29500</v>
      </c>
      <c r="D63" s="14" t="n">
        <v>66</v>
      </c>
      <c r="E63" s="14" t="n">
        <v>10170</v>
      </c>
      <c r="F63" s="14" t="n">
        <v>310</v>
      </c>
      <c r="G63" s="14" t="n"/>
      <c r="H63" s="14" t="n">
        <v>540</v>
      </c>
      <c r="I63" s="14" t="n">
        <v>29.5</v>
      </c>
      <c r="J63" s="26" t="n">
        <v>0</v>
      </c>
      <c r="K63" s="14" t="n">
        <v>2620</v>
      </c>
      <c r="L63" s="14" t="n">
        <v>0</v>
      </c>
      <c r="M63" s="30" t="n">
        <v>800</v>
      </c>
      <c r="N63" s="30" t="n">
        <v>400</v>
      </c>
      <c r="O63" s="27" t="inlineStr">
        <is>
          <t>-</t>
        </is>
      </c>
      <c r="P63" s="27" t="n">
        <v>0</v>
      </c>
      <c r="Q63" s="26" t="n">
        <v>0</v>
      </c>
      <c r="R63" s="27" t="n">
        <v>0</v>
      </c>
      <c r="S63" s="27" t="n">
        <v>0</v>
      </c>
      <c r="T63" s="27" t="n">
        <v>0</v>
      </c>
      <c r="U63" s="14">
        <f>17*27+3*35+4*4.5</f>
        <v/>
      </c>
      <c r="V63" s="14" t="n">
        <v>7200</v>
      </c>
      <c r="W63" s="14">
        <f>'Raw Food Data (KG)'!Q24</f>
        <v/>
      </c>
      <c r="X63" s="14" t="n">
        <v>0</v>
      </c>
      <c r="Y63" s="14" t="n">
        <v>3500</v>
      </c>
      <c r="Z63" s="28" t="n"/>
      <c r="AA63" s="16">
        <f>SUM(B63:C63)</f>
        <v/>
      </c>
      <c r="AB63" s="17">
        <f>SUM(AA52:AA63)</f>
        <v/>
      </c>
      <c r="AC63" s="23">
        <f>AB63/12</f>
        <v/>
      </c>
      <c r="AD63" s="17">
        <f>SUM(D63:Z63)</f>
        <v/>
      </c>
      <c r="AE63" s="17">
        <f>SUM(AD52:AD63)</f>
        <v/>
      </c>
      <c r="AF63" s="23">
        <f>AE63/12</f>
        <v/>
      </c>
    </row>
    <row r="64">
      <c r="A64" s="18" t="n">
        <v>43344</v>
      </c>
      <c r="B64" s="14" t="n">
        <v>173070</v>
      </c>
      <c r="C64" s="14" t="n">
        <v>23680</v>
      </c>
      <c r="D64" s="14" t="n">
        <v>589</v>
      </c>
      <c r="E64" s="14" t="n">
        <v>9110</v>
      </c>
      <c r="F64" s="14" t="n">
        <v>270</v>
      </c>
      <c r="G64" s="14" t="n"/>
      <c r="H64" s="14" t="n">
        <v>660</v>
      </c>
      <c r="I64" s="14" t="n">
        <v>0</v>
      </c>
      <c r="J64" s="26" t="n">
        <v>0.186</v>
      </c>
      <c r="K64" s="14" t="n">
        <v>845</v>
      </c>
      <c r="L64" s="14" t="n">
        <v>260</v>
      </c>
      <c r="M64" s="30" t="n">
        <v>800</v>
      </c>
      <c r="N64" s="30" t="n">
        <v>400</v>
      </c>
      <c r="O64" s="27" t="inlineStr">
        <is>
          <t>-</t>
        </is>
      </c>
      <c r="P64" s="27">
        <f>0.67*238</f>
        <v/>
      </c>
      <c r="Q64" s="26" t="n">
        <v>14</v>
      </c>
      <c r="R64" s="27" t="n">
        <v>0</v>
      </c>
      <c r="S64" s="27" t="n">
        <v>0</v>
      </c>
      <c r="T64" s="27" t="n">
        <v>0</v>
      </c>
      <c r="U64" s="14" t="n"/>
      <c r="V64" s="14" t="n">
        <v>3800</v>
      </c>
      <c r="W64" s="14">
        <f>'Raw Food Data (KG)'!Q25</f>
        <v/>
      </c>
      <c r="X64" s="14" t="n">
        <v>7680</v>
      </c>
      <c r="Y64" s="14" t="n">
        <v>45500</v>
      </c>
      <c r="Z64" s="28" t="n"/>
      <c r="AA64" s="16">
        <f>SUM(B64:C64)</f>
        <v/>
      </c>
      <c r="AB64" s="17">
        <f>SUM(AA53:AA64)</f>
        <v/>
      </c>
      <c r="AC64" s="23">
        <f>AB64/12</f>
        <v/>
      </c>
      <c r="AD64" s="17">
        <f>SUM(D64:Z64)</f>
        <v/>
      </c>
      <c r="AE64" s="17">
        <f>SUM(AD53:AD64)</f>
        <v/>
      </c>
      <c r="AF64" s="23">
        <f>AE64/12</f>
        <v/>
      </c>
    </row>
    <row r="65">
      <c r="A65" s="18" t="n">
        <v>43374</v>
      </c>
      <c r="B65" s="14" t="n">
        <v>177500</v>
      </c>
      <c r="C65" s="14" t="n">
        <v>28200</v>
      </c>
      <c r="D65" s="14" t="n">
        <v>225</v>
      </c>
      <c r="E65" s="14" t="n">
        <v>7540</v>
      </c>
      <c r="F65" s="14" t="n">
        <v>190</v>
      </c>
      <c r="G65" s="14" t="n"/>
      <c r="H65" s="14" t="n">
        <v>1170</v>
      </c>
      <c r="I65" s="14" t="n">
        <v>223.45</v>
      </c>
      <c r="J65" s="26" t="n">
        <v>0</v>
      </c>
      <c r="K65" s="14" t="n">
        <v>1663</v>
      </c>
      <c r="L65" s="14" t="n">
        <v>30</v>
      </c>
      <c r="M65" s="30" t="n">
        <v>2400</v>
      </c>
      <c r="N65" s="30" t="n">
        <v>600</v>
      </c>
      <c r="O65" s="27" t="inlineStr">
        <is>
          <t>-</t>
        </is>
      </c>
      <c r="P65" s="27" t="n">
        <v>0</v>
      </c>
      <c r="Q65" s="26" t="n">
        <v>0</v>
      </c>
      <c r="R65" s="27" t="n"/>
      <c r="S65" s="27" t="n"/>
      <c r="T65" s="27" t="n"/>
      <c r="U65" s="14">
        <f>12*27+1*7.5+2*4.5</f>
        <v/>
      </c>
      <c r="V65" s="14" t="n">
        <v>2700</v>
      </c>
      <c r="W65" s="14">
        <f>'Raw Food Data (KG)'!Q26</f>
        <v/>
      </c>
      <c r="X65" s="14" t="n">
        <v>7680</v>
      </c>
      <c r="Y65" s="14" t="n">
        <v>0</v>
      </c>
      <c r="Z65" s="28" t="n"/>
      <c r="AA65" s="16">
        <f>SUM(B65:C65)</f>
        <v/>
      </c>
      <c r="AB65" s="17">
        <f>SUM(AA54:AA65)</f>
        <v/>
      </c>
      <c r="AC65" s="23">
        <f>AB65/12</f>
        <v/>
      </c>
      <c r="AD65" s="17">
        <f>SUM(D65:Z65)</f>
        <v/>
      </c>
      <c r="AE65" s="17">
        <f>SUM(AD54:AD65)</f>
        <v/>
      </c>
      <c r="AF65" s="23">
        <f>AE65/12</f>
        <v/>
      </c>
    </row>
    <row r="66">
      <c r="A66" s="18" t="n">
        <v>43405</v>
      </c>
      <c r="B66" s="14" t="n">
        <v>208090</v>
      </c>
      <c r="C66" s="14" t="n">
        <v>25670</v>
      </c>
      <c r="D66" s="14" t="n">
        <v>366</v>
      </c>
      <c r="E66" s="14" t="n">
        <v>7720</v>
      </c>
      <c r="F66" s="14" t="n">
        <v>170</v>
      </c>
      <c r="G66" s="14" t="n"/>
      <c r="H66" s="14" t="n">
        <v>820</v>
      </c>
      <c r="I66" s="14" t="n">
        <v>159.65</v>
      </c>
      <c r="J66" s="26" t="n">
        <v>0.449</v>
      </c>
      <c r="K66" s="14" t="n">
        <v>812</v>
      </c>
      <c r="L66" s="14" t="n">
        <v>0</v>
      </c>
      <c r="M66" s="30" t="n">
        <v>1800</v>
      </c>
      <c r="N66" s="30" t="n">
        <v>200</v>
      </c>
      <c r="O66" s="27" t="inlineStr">
        <is>
          <t>-</t>
        </is>
      </c>
      <c r="P66" s="27" t="n">
        <v>0</v>
      </c>
      <c r="Q66" s="26" t="n">
        <v>0</v>
      </c>
      <c r="R66" s="27" t="n"/>
      <c r="S66" s="27">
        <f>0.13*2000</f>
        <v/>
      </c>
      <c r="T66" s="27" t="n"/>
      <c r="U66" s="14">
        <f>32*27+9*35</f>
        <v/>
      </c>
      <c r="V66" s="14" t="n">
        <v>3700</v>
      </c>
      <c r="W66" s="14">
        <f>'Raw Food Data (KG)'!Q27</f>
        <v/>
      </c>
      <c r="X66" s="14" t="n">
        <v>7680</v>
      </c>
      <c r="Y66" s="14" t="n">
        <v>21000</v>
      </c>
      <c r="Z66" s="28" t="n"/>
      <c r="AA66" s="16">
        <f>SUM(B66:C66)</f>
        <v/>
      </c>
      <c r="AB66" s="17">
        <f>SUM(AA55:AA66)</f>
        <v/>
      </c>
      <c r="AC66" s="23">
        <f>AB66/12</f>
        <v/>
      </c>
      <c r="AD66" s="17">
        <f>SUM(D66:Z66)</f>
        <v/>
      </c>
      <c r="AE66" s="17">
        <f>SUM(AD55:AD66)</f>
        <v/>
      </c>
      <c r="AF66" s="23">
        <f>AE66/12</f>
        <v/>
      </c>
    </row>
    <row r="67">
      <c r="A67" s="18" t="n">
        <v>43435</v>
      </c>
      <c r="B67" s="14" t="n">
        <v>202560</v>
      </c>
      <c r="C67" s="14" t="n">
        <v>31590</v>
      </c>
      <c r="D67" s="14" t="n">
        <v>739</v>
      </c>
      <c r="E67" s="14" t="n">
        <v>7080</v>
      </c>
      <c r="F67" s="14" t="n">
        <v>120</v>
      </c>
      <c r="G67" s="14" t="n"/>
      <c r="H67" s="14" t="n">
        <v>830</v>
      </c>
      <c r="I67" s="14" t="n">
        <v>78</v>
      </c>
      <c r="J67" s="26" t="n">
        <v>0.186</v>
      </c>
      <c r="K67" s="14" t="n">
        <v>2191</v>
      </c>
      <c r="L67" s="14" t="n">
        <v>100</v>
      </c>
      <c r="M67" s="30" t="n">
        <v>1800</v>
      </c>
      <c r="N67" s="30" t="n">
        <v>400</v>
      </c>
      <c r="O67" s="27" t="inlineStr">
        <is>
          <t>-</t>
        </is>
      </c>
      <c r="P67" s="27">
        <f>0.67*370</f>
        <v/>
      </c>
      <c r="Q67" s="26" t="n">
        <v>20</v>
      </c>
      <c r="R67" s="27" t="n"/>
      <c r="S67" s="27" t="n"/>
      <c r="T67" s="27" t="n"/>
      <c r="U67" s="14" t="n"/>
      <c r="V67" s="14" t="n">
        <v>32700</v>
      </c>
      <c r="W67" s="14">
        <f>'Raw Food Data (KG)'!Q28</f>
        <v/>
      </c>
      <c r="X67" s="14" t="n">
        <v>7680</v>
      </c>
      <c r="Y67" s="14" t="n">
        <v>28000</v>
      </c>
      <c r="Z67" s="28" t="n"/>
      <c r="AA67" s="16">
        <f>SUM(B67:C67)</f>
        <v/>
      </c>
      <c r="AB67" s="17">
        <f>SUM(AA56:AA67)</f>
        <v/>
      </c>
      <c r="AC67" s="23">
        <f>AB67/12</f>
        <v/>
      </c>
      <c r="AD67" s="17">
        <f>SUM(D67:Z67)</f>
        <v/>
      </c>
      <c r="AE67" s="17">
        <f>SUM(AD56:AD67)</f>
        <v/>
      </c>
      <c r="AF67" s="23">
        <f>AE67/12</f>
        <v/>
      </c>
    </row>
    <row r="68">
      <c r="A68" s="18" t="n">
        <v>43466</v>
      </c>
      <c r="B68" s="14" t="n">
        <v>145940.2628</v>
      </c>
      <c r="C68" s="14" t="n">
        <v>23670</v>
      </c>
      <c r="D68" s="14" t="n">
        <v>0</v>
      </c>
      <c r="E68" s="14" t="n">
        <v>9880</v>
      </c>
      <c r="F68" s="14" t="n">
        <v>170</v>
      </c>
      <c r="G68" s="14" t="n"/>
      <c r="H68" s="14" t="n">
        <v>610</v>
      </c>
      <c r="I68" s="14" t="n">
        <v>79.5</v>
      </c>
      <c r="J68" s="26" t="n">
        <v>0</v>
      </c>
      <c r="K68" s="14" t="n">
        <v>1388</v>
      </c>
      <c r="L68" s="14" t="n">
        <v>180</v>
      </c>
      <c r="M68" s="30" t="n">
        <v>2800</v>
      </c>
      <c r="N68" s="30" t="n">
        <v>400</v>
      </c>
      <c r="O68" s="27" t="inlineStr">
        <is>
          <t>-</t>
        </is>
      </c>
      <c r="P68" s="27" t="n">
        <v>0</v>
      </c>
      <c r="Q68" s="26" t="n">
        <v>0</v>
      </c>
      <c r="R68" s="27" t="n"/>
      <c r="S68" s="27" t="n"/>
      <c r="T68" s="27" t="n"/>
      <c r="U68" s="14">
        <f>17*27+6*7.5+19*4.5+7*35+2*4.5+1*6.5</f>
        <v/>
      </c>
      <c r="V68" s="14" t="n">
        <v>7800</v>
      </c>
      <c r="W68" s="14">
        <f>'Raw Food Data (KG)'!Q29</f>
        <v/>
      </c>
      <c r="X68" s="14">
        <f>160*48</f>
        <v/>
      </c>
      <c r="Y68" s="14" t="n">
        <v>38500</v>
      </c>
      <c r="Z68" s="28" t="n"/>
      <c r="AA68" s="16">
        <f>SUM(B68:C68)</f>
        <v/>
      </c>
      <c r="AB68" s="17">
        <f>SUM(AA57:AA68)</f>
        <v/>
      </c>
      <c r="AC68" s="23">
        <f>AB68/12</f>
        <v/>
      </c>
      <c r="AD68" s="17">
        <f>SUM(D68:Z68)</f>
        <v/>
      </c>
      <c r="AE68" s="17">
        <f>SUM(AD57:AD68)</f>
        <v/>
      </c>
      <c r="AF68" s="23">
        <f>AE68/12</f>
        <v/>
      </c>
    </row>
    <row r="69">
      <c r="A69" s="18" t="n">
        <v>43497</v>
      </c>
      <c r="B69" s="14" t="n">
        <v>138993.9224</v>
      </c>
      <c r="C69" s="14" t="n">
        <v>20250</v>
      </c>
      <c r="D69" s="14" t="n">
        <v>233</v>
      </c>
      <c r="E69" s="14" t="n">
        <v>7000</v>
      </c>
      <c r="F69" s="14" t="n">
        <v>160</v>
      </c>
      <c r="G69" s="14" t="n"/>
      <c r="H69" s="14" t="n">
        <v>390</v>
      </c>
      <c r="I69" s="14" t="n">
        <v>61.5</v>
      </c>
      <c r="J69" s="26" t="n">
        <v>3.945</v>
      </c>
      <c r="K69" s="14" t="n">
        <v>1172</v>
      </c>
      <c r="L69" s="14" t="n">
        <v>0</v>
      </c>
      <c r="M69" s="30" t="n">
        <v>1400</v>
      </c>
      <c r="N69" s="30" t="n">
        <v>400</v>
      </c>
      <c r="O69" s="27" t="inlineStr">
        <is>
          <t>-</t>
        </is>
      </c>
      <c r="P69" s="27">
        <f>0.67*125</f>
        <v/>
      </c>
      <c r="Q69" s="26" t="n">
        <v>3</v>
      </c>
      <c r="R69" s="27" t="n"/>
      <c r="S69" s="27" t="n"/>
      <c r="T69" s="27" t="n"/>
      <c r="U69" s="14" t="n"/>
      <c r="V69" s="14" t="n">
        <v>1900</v>
      </c>
      <c r="W69" s="14">
        <f>'Raw Food Data (KG)'!Q30</f>
        <v/>
      </c>
      <c r="X69" s="14">
        <f>160*48</f>
        <v/>
      </c>
      <c r="Y69" s="14" t="n">
        <v>0</v>
      </c>
      <c r="Z69" s="28" t="n"/>
      <c r="AA69" s="16">
        <f>SUM(B69:C69)</f>
        <v/>
      </c>
      <c r="AB69" s="17">
        <f>SUM(AA58:AA69)</f>
        <v/>
      </c>
      <c r="AC69" s="23">
        <f>AB69/12</f>
        <v/>
      </c>
      <c r="AD69" s="17">
        <f>SUM(D69:Z69)</f>
        <v/>
      </c>
      <c r="AE69" s="17">
        <f>SUM(AD58:AD69)</f>
        <v/>
      </c>
      <c r="AF69" s="23">
        <f>AE69/12</f>
        <v/>
      </c>
    </row>
    <row r="70">
      <c r="A70" s="18" t="n">
        <v>43525</v>
      </c>
      <c r="B70" s="14" t="n">
        <v>162063.1426</v>
      </c>
      <c r="C70" s="14" t="n">
        <v>14620</v>
      </c>
      <c r="D70" s="14" t="n">
        <v>224</v>
      </c>
      <c r="E70" s="14" t="n">
        <v>9520</v>
      </c>
      <c r="F70" s="14" t="n">
        <v>180</v>
      </c>
      <c r="G70" s="14" t="n"/>
      <c r="H70" s="14" t="n">
        <v>950</v>
      </c>
      <c r="I70" s="14" t="n">
        <v>70.2</v>
      </c>
      <c r="J70" s="26" t="n">
        <v>0</v>
      </c>
      <c r="K70" s="14" t="n">
        <v>1793</v>
      </c>
      <c r="L70" s="14" t="n">
        <v>120</v>
      </c>
      <c r="M70" s="30" t="n">
        <v>800</v>
      </c>
      <c r="N70" s="30" t="n">
        <v>200</v>
      </c>
      <c r="O70" s="27" t="inlineStr">
        <is>
          <t>-</t>
        </is>
      </c>
      <c r="P70" s="27">
        <f>0.67*90</f>
        <v/>
      </c>
      <c r="Q70" s="26" t="n">
        <v>0</v>
      </c>
      <c r="R70" s="27" t="n"/>
      <c r="S70" s="27" t="n"/>
      <c r="T70" s="27" t="n"/>
      <c r="U70" s="14" t="n"/>
      <c r="V70" s="14" t="n">
        <v>2500</v>
      </c>
      <c r="W70" s="14">
        <f>'Raw Food Data (KG)'!Q31</f>
        <v/>
      </c>
      <c r="X70" s="14" t="n"/>
      <c r="Y70" s="14" t="n">
        <v>3500</v>
      </c>
      <c r="Z70" s="28" t="n"/>
      <c r="AA70" s="16">
        <f>SUM(B70:C70)</f>
        <v/>
      </c>
      <c r="AB70" s="17">
        <f>SUM(AA59:AA70)</f>
        <v/>
      </c>
      <c r="AC70" s="23">
        <f>AB70/12</f>
        <v/>
      </c>
      <c r="AD70" s="17">
        <f>SUM(D70:Z70)</f>
        <v/>
      </c>
      <c r="AE70" s="17">
        <f>SUM(AD59:AD70)</f>
        <v/>
      </c>
      <c r="AF70" s="23">
        <f>AE70/12</f>
        <v/>
      </c>
    </row>
    <row r="71">
      <c r="A71" s="18" t="n">
        <v>43556</v>
      </c>
      <c r="B71" s="14" t="n">
        <v>134497.6445</v>
      </c>
      <c r="C71" s="14" t="n">
        <v>13820</v>
      </c>
      <c r="D71" s="14" t="n">
        <v>485</v>
      </c>
      <c r="E71" s="14" t="n">
        <v>8220</v>
      </c>
      <c r="F71" s="14" t="n">
        <v>160</v>
      </c>
      <c r="G71" s="14" t="n"/>
      <c r="H71" s="14" t="n">
        <v>920</v>
      </c>
      <c r="I71" s="14" t="n">
        <v>0</v>
      </c>
      <c r="J71" s="26" t="n">
        <v>1.47</v>
      </c>
      <c r="K71" s="14" t="n">
        <v>1845</v>
      </c>
      <c r="L71" s="14" t="n">
        <v>100</v>
      </c>
      <c r="M71" s="30" t="n">
        <v>2200</v>
      </c>
      <c r="N71" s="30" t="n">
        <v>400</v>
      </c>
      <c r="O71" s="27" t="inlineStr">
        <is>
          <t>-</t>
        </is>
      </c>
      <c r="P71" s="27">
        <f>0.67*137</f>
        <v/>
      </c>
      <c r="Q71" s="26" t="n">
        <v>18</v>
      </c>
      <c r="R71" s="27" t="n"/>
      <c r="S71" s="27" t="n"/>
      <c r="T71" s="27" t="n"/>
      <c r="U71" s="14" t="n"/>
      <c r="V71" s="14" t="n">
        <v>7800</v>
      </c>
      <c r="W71" s="14">
        <f>'Raw Food Data (KG)'!Q32</f>
        <v/>
      </c>
      <c r="X71" s="14" t="n"/>
      <c r="Y71" s="14" t="n">
        <v>0</v>
      </c>
      <c r="Z71" s="28" t="n"/>
      <c r="AA71" s="16">
        <f>SUM(B71:C71)</f>
        <v/>
      </c>
      <c r="AB71" s="17">
        <f>SUM(AA60:AA71)</f>
        <v/>
      </c>
      <c r="AC71" s="23">
        <f>AB71/12</f>
        <v/>
      </c>
      <c r="AD71" s="17">
        <f>SUM(D71:Z71)</f>
        <v/>
      </c>
      <c r="AE71" s="17">
        <f>SUM(AD60:AD71)</f>
        <v/>
      </c>
      <c r="AF71" s="23">
        <f>AE71/12</f>
        <v/>
      </c>
    </row>
    <row r="72">
      <c r="A72" s="18" t="n">
        <v>43586</v>
      </c>
      <c r="B72" s="14" t="n">
        <v>155093.376</v>
      </c>
      <c r="C72" s="14" t="n">
        <v>28910</v>
      </c>
      <c r="D72" s="14" t="n">
        <v>11581</v>
      </c>
      <c r="E72" s="14" t="n">
        <v>6735</v>
      </c>
      <c r="F72" s="14" t="n">
        <v>140</v>
      </c>
      <c r="G72" s="14" t="n"/>
      <c r="H72" s="14" t="n">
        <v>1080</v>
      </c>
      <c r="I72" s="14" t="n">
        <v>62.35</v>
      </c>
      <c r="J72" s="26" t="n">
        <v>1.841</v>
      </c>
      <c r="K72" s="14" t="n">
        <v>1356</v>
      </c>
      <c r="L72" s="14" t="n">
        <v>130</v>
      </c>
      <c r="M72" s="30" t="n">
        <v>800</v>
      </c>
      <c r="N72" s="30" t="n">
        <v>200</v>
      </c>
      <c r="O72" s="27" t="inlineStr">
        <is>
          <t>-</t>
        </is>
      </c>
      <c r="P72" s="27" t="n">
        <v>0</v>
      </c>
      <c r="Q72" s="26" t="n">
        <v>0</v>
      </c>
      <c r="R72" s="27" t="n"/>
      <c r="S72" s="27" t="n"/>
      <c r="T72" s="27" t="n"/>
      <c r="U72" s="14">
        <f>27*27+9*4.5+21*35</f>
        <v/>
      </c>
      <c r="V72" s="14" t="n">
        <v>10400</v>
      </c>
      <c r="W72" s="14">
        <f>'Raw Food Data (KG)'!Q33</f>
        <v/>
      </c>
      <c r="X72" s="14" t="n"/>
      <c r="Y72" s="14" t="n">
        <v>0</v>
      </c>
      <c r="Z72" s="28" t="n"/>
      <c r="AA72" s="16">
        <f>SUM(B72:C72)</f>
        <v/>
      </c>
      <c r="AB72" s="17">
        <f>SUM(AA61:AA72)</f>
        <v/>
      </c>
      <c r="AC72" s="23">
        <f>AB72/12</f>
        <v/>
      </c>
      <c r="AD72" s="17">
        <f>SUM(D72:Z72)</f>
        <v/>
      </c>
      <c r="AE72" s="17">
        <f>SUM(AD61:AD72)</f>
        <v/>
      </c>
      <c r="AF72" s="23">
        <f>AE72/12</f>
        <v/>
      </c>
    </row>
    <row r="73">
      <c r="A73" s="18" t="n">
        <v>43617</v>
      </c>
      <c r="B73" s="14" t="n">
        <v>155588.3447</v>
      </c>
      <c r="C73" s="14" t="n">
        <v>37750</v>
      </c>
      <c r="D73" s="14" t="n">
        <v>575</v>
      </c>
      <c r="E73" s="14" t="n">
        <v>7100</v>
      </c>
      <c r="F73" s="14" t="n">
        <v>170</v>
      </c>
      <c r="G73" s="14" t="n"/>
      <c r="H73" s="14" t="n">
        <v>870</v>
      </c>
      <c r="I73" s="14" t="n">
        <v>63.8</v>
      </c>
      <c r="J73" s="26" t="n">
        <v>0</v>
      </c>
      <c r="K73" s="14" t="n">
        <v>2613</v>
      </c>
      <c r="L73" s="14" t="n">
        <v>150</v>
      </c>
      <c r="M73" s="30" t="n">
        <v>800</v>
      </c>
      <c r="N73" s="30" t="n">
        <v>200</v>
      </c>
      <c r="O73" s="27" t="inlineStr">
        <is>
          <t>-</t>
        </is>
      </c>
      <c r="P73" s="27" t="n">
        <v>0</v>
      </c>
      <c r="Q73" s="26" t="n">
        <v>0</v>
      </c>
      <c r="R73" s="27" t="n"/>
      <c r="S73" s="27" t="n"/>
      <c r="T73" s="27" t="n"/>
      <c r="U73" s="14" t="n"/>
      <c r="V73" s="14" t="n">
        <v>11000</v>
      </c>
      <c r="W73" s="14">
        <f>'Raw Food Data (KG)'!Q34</f>
        <v/>
      </c>
      <c r="X73" s="14" t="n"/>
      <c r="Y73" s="14" t="n">
        <v>0</v>
      </c>
      <c r="Z73" s="28" t="n"/>
      <c r="AA73" s="16">
        <f>SUM(B73:C73)</f>
        <v/>
      </c>
      <c r="AB73" s="17">
        <f>SUM(AA62:AA73)</f>
        <v/>
      </c>
      <c r="AC73" s="23">
        <f>AB73/12</f>
        <v/>
      </c>
      <c r="AD73" s="17">
        <f>SUM(D73:Z73)</f>
        <v/>
      </c>
      <c r="AE73" s="17">
        <f>SUM(AD62:AD73)</f>
        <v/>
      </c>
      <c r="AF73" s="23">
        <f>AE73/12</f>
        <v/>
      </c>
      <c r="AH73" s="24">
        <f>AB73+AE73</f>
        <v/>
      </c>
    </row>
    <row r="74">
      <c r="A74" s="18" t="n">
        <v>43647</v>
      </c>
      <c r="B74" s="19" t="n">
        <v>141020</v>
      </c>
      <c r="C74" s="19" t="n">
        <v>39000</v>
      </c>
      <c r="D74" s="19" t="n">
        <v>3106</v>
      </c>
      <c r="E74" s="19">
        <f>5696+6456</f>
        <v/>
      </c>
      <c r="F74" s="19" t="n">
        <v>100</v>
      </c>
      <c r="G74" s="19" t="n">
        <v>423</v>
      </c>
      <c r="H74" s="19" t="n">
        <v>390</v>
      </c>
      <c r="I74" s="19" t="n"/>
      <c r="J74" s="12" t="n">
        <v>20.067</v>
      </c>
      <c r="K74" s="19" t="n">
        <v>1388</v>
      </c>
      <c r="L74" s="19" t="n">
        <v>110</v>
      </c>
      <c r="M74" s="29" t="n">
        <v>800</v>
      </c>
      <c r="N74" s="29" t="n">
        <v>400</v>
      </c>
      <c r="O74" s="13" t="inlineStr">
        <is>
          <t>-</t>
        </is>
      </c>
      <c r="P74" s="13">
        <f>0.67*112</f>
        <v/>
      </c>
      <c r="Q74" s="12" t="n">
        <v>0</v>
      </c>
      <c r="R74" s="13" t="n"/>
      <c r="S74" s="13" t="n"/>
      <c r="T74" s="13" t="n"/>
      <c r="U74" s="19" t="n"/>
      <c r="V74" s="19" t="n">
        <v>19200</v>
      </c>
      <c r="W74" s="14">
        <f>'Raw Food Data (KG)'!Q35</f>
        <v/>
      </c>
      <c r="X74" s="19" t="n"/>
      <c r="Y74" s="19" t="n">
        <v>0</v>
      </c>
      <c r="Z74" s="21" t="n"/>
      <c r="AA74" s="16">
        <f>SUM(B74:C74)</f>
        <v/>
      </c>
      <c r="AB74" s="17">
        <f>SUM(AA63:AA74)</f>
        <v/>
      </c>
      <c r="AC74" s="23">
        <f>AB74/12</f>
        <v/>
      </c>
      <c r="AD74" s="17">
        <f>SUM(D74:Z74)</f>
        <v/>
      </c>
      <c r="AE74" s="17">
        <f>SUM(AD63:AD74)</f>
        <v/>
      </c>
      <c r="AF74" s="23">
        <f>AE74/12</f>
        <v/>
      </c>
    </row>
    <row r="75">
      <c r="A75" s="18" t="n">
        <v>43678</v>
      </c>
      <c r="B75" s="19" t="n">
        <v>150570</v>
      </c>
      <c r="C75" s="19" t="n">
        <v>51750</v>
      </c>
      <c r="D75" s="19" t="n">
        <v>4099.200000000001</v>
      </c>
      <c r="E75" s="19" t="n">
        <v>5646</v>
      </c>
      <c r="F75" s="19" t="n">
        <v>51</v>
      </c>
      <c r="G75" s="19" t="n">
        <v>267</v>
      </c>
      <c r="H75" s="19" t="n">
        <v>302</v>
      </c>
      <c r="I75" s="19" t="n">
        <v>67.09999999999999</v>
      </c>
      <c r="J75" s="12" t="n">
        <v>0</v>
      </c>
      <c r="K75" s="19" t="n">
        <v>2411</v>
      </c>
      <c r="L75" s="19" t="n">
        <v>70</v>
      </c>
      <c r="M75" s="29" t="n">
        <v>600</v>
      </c>
      <c r="N75" s="29" t="n">
        <v>400</v>
      </c>
      <c r="O75" s="13" t="inlineStr">
        <is>
          <t>-</t>
        </is>
      </c>
      <c r="P75" s="13" t="n">
        <v>0</v>
      </c>
      <c r="Q75" s="12" t="n">
        <v>0</v>
      </c>
      <c r="R75" s="13" t="n"/>
      <c r="S75" s="13" t="n"/>
      <c r="T75" s="13" t="n"/>
      <c r="U75" s="19" t="n"/>
      <c r="V75" s="19" t="n">
        <v>25600</v>
      </c>
      <c r="W75" s="14">
        <f>'Raw Food Data (KG)'!Q36</f>
        <v/>
      </c>
      <c r="X75" s="19" t="n"/>
      <c r="Y75" s="19" t="n">
        <v>0</v>
      </c>
      <c r="Z75" s="21" t="n"/>
      <c r="AA75" s="16">
        <f>SUM(B75:C75)</f>
        <v/>
      </c>
      <c r="AB75" s="17">
        <f>SUM(AA64:AA75)</f>
        <v/>
      </c>
      <c r="AC75" s="23">
        <f>AB75/12</f>
        <v/>
      </c>
      <c r="AD75" s="17">
        <f>SUM(D75:Z75)</f>
        <v/>
      </c>
      <c r="AE75" s="17">
        <f>SUM(AD64:AD75)</f>
        <v/>
      </c>
      <c r="AF75" s="23">
        <f>AE75/12</f>
        <v/>
      </c>
    </row>
    <row r="76">
      <c r="A76" s="18" t="n">
        <v>43709</v>
      </c>
      <c r="B76" s="19" t="n">
        <v>138430</v>
      </c>
      <c r="C76" s="19" t="n">
        <v>62990</v>
      </c>
      <c r="D76" s="19" t="n">
        <v>7886.399999999999</v>
      </c>
      <c r="E76" s="19">
        <f>6755+4050</f>
        <v/>
      </c>
      <c r="F76" s="19" t="n">
        <v>83</v>
      </c>
      <c r="G76" s="19" t="n">
        <v>169</v>
      </c>
      <c r="H76" s="19" t="n">
        <v>380</v>
      </c>
      <c r="I76" s="19" t="n">
        <v>157.25</v>
      </c>
      <c r="J76" s="12" t="n">
        <v>0.789</v>
      </c>
      <c r="K76" s="19" t="n">
        <v>2352</v>
      </c>
      <c r="L76" s="19" t="n">
        <v>40</v>
      </c>
      <c r="M76" s="29" t="n">
        <v>800</v>
      </c>
      <c r="N76" s="29" t="n">
        <v>600</v>
      </c>
      <c r="O76" s="13" t="inlineStr">
        <is>
          <t>-</t>
        </is>
      </c>
      <c r="P76" s="13">
        <f>0.67*105</f>
        <v/>
      </c>
      <c r="Q76" s="12" t="n">
        <v>20</v>
      </c>
      <c r="R76" s="13" t="n"/>
      <c r="S76" s="13" t="n"/>
      <c r="T76" s="13" t="n"/>
      <c r="U76" s="19">
        <f>31*27+2*7.5</f>
        <v/>
      </c>
      <c r="V76" s="19" t="n">
        <v>24100</v>
      </c>
      <c r="W76" s="14">
        <f>'Raw Food Data (KG)'!Q37</f>
        <v/>
      </c>
      <c r="X76" s="19">
        <f>10560</f>
        <v/>
      </c>
      <c r="Y76" s="19" t="n">
        <v>17500</v>
      </c>
      <c r="Z76" s="21" t="n"/>
      <c r="AA76" s="16">
        <f>SUM(B76:C76)</f>
        <v/>
      </c>
      <c r="AB76" s="17">
        <f>SUM(AA65:AA76)</f>
        <v/>
      </c>
      <c r="AC76" s="23">
        <f>AB76/12</f>
        <v/>
      </c>
      <c r="AD76" s="17">
        <f>SUM(D76:Z76)</f>
        <v/>
      </c>
      <c r="AE76" s="17">
        <f>SUM(AD65:AD76)</f>
        <v/>
      </c>
      <c r="AF76" s="23">
        <f>AE76/12</f>
        <v/>
      </c>
    </row>
    <row r="77">
      <c r="A77" s="18" t="n">
        <v>43739</v>
      </c>
      <c r="B77" s="19" t="n">
        <v>133570</v>
      </c>
      <c r="C77" s="19" t="n">
        <v>59480</v>
      </c>
      <c r="D77" s="19" t="n">
        <v>622</v>
      </c>
      <c r="E77" s="19" t="n">
        <v>14330</v>
      </c>
      <c r="F77" s="19" t="n">
        <v>107</v>
      </c>
      <c r="G77" s="19" t="n">
        <v>179</v>
      </c>
      <c r="H77" s="19" t="n">
        <v>462</v>
      </c>
      <c r="I77" s="19" t="n">
        <v>81</v>
      </c>
      <c r="J77" s="12" t="n">
        <v>15.38</v>
      </c>
      <c r="K77" s="19" t="n">
        <v>2259</v>
      </c>
      <c r="L77" s="19" t="n">
        <v>40</v>
      </c>
      <c r="M77" s="29" t="n">
        <v>400</v>
      </c>
      <c r="N77" s="29" t="n">
        <v>400</v>
      </c>
      <c r="O77" s="13" t="inlineStr">
        <is>
          <t>-</t>
        </is>
      </c>
      <c r="P77" s="13">
        <f>0.67*120</f>
        <v/>
      </c>
      <c r="Q77" s="12" t="n">
        <v>9</v>
      </c>
      <c r="R77" s="13" t="n">
        <v>0</v>
      </c>
      <c r="S77" s="13" t="n">
        <v>0</v>
      </c>
      <c r="T77" s="13" t="n">
        <v>0</v>
      </c>
      <c r="U77" s="19" t="n">
        <v>0</v>
      </c>
      <c r="V77" s="19" t="n">
        <v>14400</v>
      </c>
      <c r="W77" s="14">
        <f>'Raw Food Data (KG)'!Q38</f>
        <v/>
      </c>
      <c r="X77" s="19" t="n">
        <v>10560</v>
      </c>
      <c r="Y77" s="19" t="n">
        <v>10500</v>
      </c>
      <c r="Z77" s="21" t="n"/>
      <c r="AA77" s="16">
        <f>SUM(B77:C77)</f>
        <v/>
      </c>
      <c r="AB77" s="17">
        <f>SUM(AA66:AA77)</f>
        <v/>
      </c>
      <c r="AC77" s="23">
        <f>AB77/12</f>
        <v/>
      </c>
      <c r="AD77" s="17">
        <f>SUM(D77:Z77)</f>
        <v/>
      </c>
      <c r="AE77" s="17">
        <f>SUM(AD66:AD77)</f>
        <v/>
      </c>
      <c r="AF77" s="23">
        <f>AE77/12</f>
        <v/>
      </c>
    </row>
    <row r="78">
      <c r="A78" s="18" t="n">
        <v>43770</v>
      </c>
      <c r="B78" s="19" t="n">
        <v>106670</v>
      </c>
      <c r="C78" s="19" t="n">
        <v>49040</v>
      </c>
      <c r="D78" s="19" t="n">
        <v>2214</v>
      </c>
      <c r="E78" s="19" t="n">
        <v>12030</v>
      </c>
      <c r="F78" s="19" t="n">
        <v>107</v>
      </c>
      <c r="G78" s="19" t="n">
        <v>220</v>
      </c>
      <c r="H78" s="19" t="n">
        <v>401</v>
      </c>
      <c r="I78" s="19" t="n">
        <v>391.95</v>
      </c>
      <c r="J78" s="12" t="n">
        <v>3.4</v>
      </c>
      <c r="K78" s="19" t="n">
        <v>542</v>
      </c>
      <c r="L78" s="19" t="n">
        <v>30</v>
      </c>
      <c r="M78" s="29" t="n">
        <v>800</v>
      </c>
      <c r="N78" s="29" t="n">
        <v>400</v>
      </c>
      <c r="O78" s="13" t="inlineStr">
        <is>
          <t>-</t>
        </is>
      </c>
      <c r="P78" s="13">
        <f>0.67*95</f>
        <v/>
      </c>
      <c r="Q78" s="12" t="n">
        <v>6</v>
      </c>
      <c r="R78" s="13" t="n"/>
      <c r="S78" s="13" t="n"/>
      <c r="T78" s="13" t="n"/>
      <c r="U78" s="19" t="n"/>
      <c r="V78" s="19" t="n">
        <v>10500</v>
      </c>
      <c r="W78" s="14">
        <f>'Raw Food Data (KG)'!Q39</f>
        <v/>
      </c>
      <c r="X78" s="19" t="n">
        <v>10240</v>
      </c>
      <c r="Y78" s="19" t="n">
        <v>14000</v>
      </c>
      <c r="Z78" s="21" t="n"/>
      <c r="AA78" s="16">
        <f>SUM(B78:C78)</f>
        <v/>
      </c>
      <c r="AB78" s="17">
        <f>SUM(AA67:AA78)</f>
        <v/>
      </c>
      <c r="AC78" s="23">
        <f>AB78/12</f>
        <v/>
      </c>
      <c r="AD78" s="17">
        <f>SUM(D78:Z78)</f>
        <v/>
      </c>
      <c r="AE78" s="17">
        <f>SUM(AD67:AD78)</f>
        <v/>
      </c>
      <c r="AF78" s="23">
        <f>AE78/12</f>
        <v/>
      </c>
    </row>
    <row r="79">
      <c r="A79" s="18" t="n">
        <v>43800</v>
      </c>
      <c r="B79" s="19" t="n">
        <v>114530</v>
      </c>
      <c r="C79" s="19" t="n">
        <v>56380</v>
      </c>
      <c r="D79" s="19" t="n">
        <v>909</v>
      </c>
      <c r="E79" s="19" t="n">
        <v>13715</v>
      </c>
      <c r="F79" s="19" t="n">
        <v>94</v>
      </c>
      <c r="G79" s="19" t="n">
        <v>197</v>
      </c>
      <c r="H79" s="19" t="n">
        <v>340</v>
      </c>
      <c r="I79" s="19" t="n">
        <v>72.34999999999999</v>
      </c>
      <c r="J79" s="12" t="n">
        <v>5.57</v>
      </c>
      <c r="K79" s="19" t="n">
        <v>874</v>
      </c>
      <c r="L79" s="19" t="n">
        <v>50</v>
      </c>
      <c r="M79" s="29" t="n">
        <v>800</v>
      </c>
      <c r="N79" s="29" t="n">
        <v>400</v>
      </c>
      <c r="O79" s="13" t="inlineStr">
        <is>
          <t>-</t>
        </is>
      </c>
      <c r="P79" s="13">
        <f>0.67*74</f>
        <v/>
      </c>
      <c r="Q79" s="12" t="n">
        <v>11</v>
      </c>
      <c r="R79" s="13" t="n"/>
      <c r="S79" s="13" t="n"/>
      <c r="T79" s="13" t="n"/>
      <c r="U79" s="19">
        <f>36*27+1*4.5+22*35</f>
        <v/>
      </c>
      <c r="V79" s="19" t="n">
        <v>10100</v>
      </c>
      <c r="W79" s="14">
        <f>'Raw Food Data (KG)'!Q40</f>
        <v/>
      </c>
      <c r="X79" s="19" t="n">
        <v>10240</v>
      </c>
      <c r="Y79" s="19" t="n">
        <v>24500</v>
      </c>
      <c r="Z79" s="21" t="n"/>
      <c r="AA79" s="16">
        <f>SUM(B79:C79)</f>
        <v/>
      </c>
      <c r="AB79" s="17">
        <f>SUM(AA68:AA79)</f>
        <v/>
      </c>
      <c r="AC79" s="23">
        <f>AB79/12</f>
        <v/>
      </c>
      <c r="AD79" s="17">
        <f>SUM(D79:Z79)</f>
        <v/>
      </c>
      <c r="AE79" s="17">
        <f>SUM(AD68:AD79)</f>
        <v/>
      </c>
      <c r="AF79" s="23">
        <f>AE79/12</f>
        <v/>
      </c>
    </row>
    <row r="80">
      <c r="A80" s="18" t="n">
        <v>43831</v>
      </c>
      <c r="B80" s="19" t="n">
        <v>86780</v>
      </c>
      <c r="C80" s="19" t="n">
        <v>27790</v>
      </c>
      <c r="D80" s="19" t="n">
        <v>1011</v>
      </c>
      <c r="E80" s="19" t="n">
        <v>12753</v>
      </c>
      <c r="F80" s="19" t="n">
        <v>80</v>
      </c>
      <c r="G80" s="19" t="n">
        <v>214</v>
      </c>
      <c r="H80" s="19" t="n">
        <v>280</v>
      </c>
      <c r="I80" s="19" t="n">
        <v>76.84999999999999</v>
      </c>
      <c r="J80" s="12" t="n">
        <v>0</v>
      </c>
      <c r="K80" s="19" t="n">
        <v>0</v>
      </c>
      <c r="L80" s="19" t="n">
        <v>80</v>
      </c>
      <c r="M80" s="29" t="n">
        <v>800</v>
      </c>
      <c r="N80" s="29" t="n">
        <v>400</v>
      </c>
      <c r="O80" s="13" t="inlineStr">
        <is>
          <t>-</t>
        </is>
      </c>
      <c r="P80" s="13" t="n">
        <v>0</v>
      </c>
      <c r="Q80" s="12" t="n">
        <v>0</v>
      </c>
      <c r="R80" s="13" t="n"/>
      <c r="S80" s="13" t="n"/>
      <c r="T80" s="13" t="n"/>
      <c r="U80" s="19" t="n">
        <v>0</v>
      </c>
      <c r="V80" s="19" t="n">
        <v>11200</v>
      </c>
      <c r="W80" s="14">
        <f>'Raw Food Data (KG)'!Q41</f>
        <v/>
      </c>
      <c r="X80" s="19" t="n">
        <v>5120</v>
      </c>
      <c r="Y80" s="19" t="n">
        <v>21000</v>
      </c>
      <c r="Z80" s="21" t="n"/>
      <c r="AA80" s="16">
        <f>SUM(B80:C80)</f>
        <v/>
      </c>
      <c r="AB80" s="17">
        <f>SUM(AA69:AA80)</f>
        <v/>
      </c>
      <c r="AC80" s="23">
        <f>AB80/12</f>
        <v/>
      </c>
      <c r="AD80" s="17">
        <f>SUM(D80:Z80)</f>
        <v/>
      </c>
      <c r="AE80" s="17">
        <f>SUM(AD69:AD80)</f>
        <v/>
      </c>
      <c r="AF80" s="23">
        <f>AE80/12</f>
        <v/>
      </c>
    </row>
    <row r="81">
      <c r="A81" s="18" t="n">
        <v>43862</v>
      </c>
      <c r="B81" s="19" t="n">
        <v>68320</v>
      </c>
      <c r="C81" s="19" t="n">
        <v>16600</v>
      </c>
      <c r="D81" s="19" t="n">
        <v>0</v>
      </c>
      <c r="E81" s="19" t="n">
        <v>7410</v>
      </c>
      <c r="F81" s="19" t="n">
        <v>56</v>
      </c>
      <c r="G81" s="19" t="n">
        <v>164</v>
      </c>
      <c r="H81" s="19" t="n">
        <v>250</v>
      </c>
      <c r="I81" s="19" t="n">
        <v>71.90000000000001</v>
      </c>
      <c r="J81" s="12" t="n">
        <v>0</v>
      </c>
      <c r="K81" s="19" t="n">
        <v>0</v>
      </c>
      <c r="L81" s="19" t="n">
        <v>0</v>
      </c>
      <c r="M81" s="29" t="n">
        <v>400</v>
      </c>
      <c r="N81" s="29" t="n">
        <v>200</v>
      </c>
      <c r="O81" s="13" t="inlineStr">
        <is>
          <t>-</t>
        </is>
      </c>
      <c r="P81" s="13" t="n">
        <v>0</v>
      </c>
      <c r="Q81" s="12" t="n">
        <v>0</v>
      </c>
      <c r="R81" s="13" t="n"/>
      <c r="S81" s="13" t="n"/>
      <c r="T81" s="13" t="n"/>
      <c r="U81" s="19" t="n">
        <v>0</v>
      </c>
      <c r="V81" s="19" t="n">
        <v>7900</v>
      </c>
      <c r="W81" s="14">
        <f>'Raw Food Data (KG)'!Q42</f>
        <v/>
      </c>
      <c r="X81" s="19" t="n">
        <v>6400</v>
      </c>
      <c r="Y81" s="19" t="n">
        <v>21000</v>
      </c>
      <c r="Z81" s="21" t="n"/>
      <c r="AA81" s="16">
        <f>SUM(B81:C81)</f>
        <v/>
      </c>
      <c r="AB81" s="17">
        <f>SUM(AA70:AA81)</f>
        <v/>
      </c>
      <c r="AC81" s="23">
        <f>AB81/12</f>
        <v/>
      </c>
      <c r="AD81" s="17">
        <f>SUM(D81:Z81)</f>
        <v/>
      </c>
      <c r="AE81" s="17">
        <f>SUM(AD70:AD81)</f>
        <v/>
      </c>
      <c r="AF81" s="23">
        <f>AE81/12</f>
        <v/>
      </c>
    </row>
    <row r="82">
      <c r="A82" s="18" t="n">
        <v>43891</v>
      </c>
      <c r="B82" s="19" t="n">
        <v>74000</v>
      </c>
      <c r="C82" s="19" t="n">
        <v>24090</v>
      </c>
      <c r="D82" s="19" t="n">
        <v>190</v>
      </c>
      <c r="E82" s="19" t="n">
        <v>10071</v>
      </c>
      <c r="F82" s="19" t="n">
        <v>77</v>
      </c>
      <c r="G82" s="19" t="n">
        <v>211</v>
      </c>
      <c r="H82" s="19" t="n">
        <v>356</v>
      </c>
      <c r="I82" s="19" t="n">
        <v>82.09999999999999</v>
      </c>
      <c r="J82" s="12" t="n">
        <v>0</v>
      </c>
      <c r="K82" s="19" t="n">
        <v>1020</v>
      </c>
      <c r="L82" s="19" t="n">
        <v>0</v>
      </c>
      <c r="M82" s="29" t="n">
        <v>400</v>
      </c>
      <c r="N82" s="29" t="n">
        <v>200</v>
      </c>
      <c r="O82" s="13" t="inlineStr">
        <is>
          <t>-</t>
        </is>
      </c>
      <c r="P82" s="13" t="n">
        <v>0</v>
      </c>
      <c r="Q82" s="12" t="n">
        <v>0</v>
      </c>
      <c r="R82" s="13" t="n"/>
      <c r="S82" s="13" t="n"/>
      <c r="T82" s="13" t="n"/>
      <c r="U82" s="19" t="n">
        <v>0</v>
      </c>
      <c r="V82" s="19" t="n">
        <v>10000</v>
      </c>
      <c r="W82" s="14">
        <f>'Raw Food Data (KG)'!Q43</f>
        <v/>
      </c>
      <c r="X82" s="19" t="n">
        <v>4800</v>
      </c>
      <c r="Y82" s="19" t="n">
        <v>21000</v>
      </c>
      <c r="Z82" s="21" t="n"/>
      <c r="AA82" s="16">
        <f>SUM(B82:C82)</f>
        <v/>
      </c>
      <c r="AB82" s="17">
        <f>SUM(AA71:AA82)</f>
        <v/>
      </c>
      <c r="AC82" s="23">
        <f>AB82/12</f>
        <v/>
      </c>
      <c r="AD82" s="17">
        <f>SUM(D82:Z82)</f>
        <v/>
      </c>
      <c r="AE82" s="17">
        <f>SUM(AD71:AD82)</f>
        <v/>
      </c>
      <c r="AF82" s="23">
        <f>AE82/12</f>
        <v/>
      </c>
    </row>
    <row r="83">
      <c r="A83" s="18" t="n">
        <v>43922</v>
      </c>
      <c r="B83" s="19" t="n">
        <v>77800</v>
      </c>
      <c r="C83" s="19" t="n">
        <v>24780</v>
      </c>
      <c r="D83" s="19" t="n">
        <v>174</v>
      </c>
      <c r="E83" s="19" t="n">
        <v>8981</v>
      </c>
      <c r="F83" s="19" t="n">
        <v>67</v>
      </c>
      <c r="G83" s="19" t="n">
        <v>214</v>
      </c>
      <c r="H83" s="19" t="n">
        <v>284</v>
      </c>
      <c r="I83" s="19" t="n">
        <v>136</v>
      </c>
      <c r="J83" s="12" t="n">
        <v>0</v>
      </c>
      <c r="K83" s="19" t="n">
        <v>0</v>
      </c>
      <c r="L83" s="19" t="n">
        <v>0</v>
      </c>
      <c r="M83" s="29" t="n">
        <v>400</v>
      </c>
      <c r="N83" s="29" t="n">
        <v>200</v>
      </c>
      <c r="O83" s="13" t="inlineStr">
        <is>
          <t>-</t>
        </is>
      </c>
      <c r="P83" s="13" t="n">
        <v>0</v>
      </c>
      <c r="Q83" s="12" t="n">
        <v>0</v>
      </c>
      <c r="R83" s="13" t="n"/>
      <c r="S83" s="13" t="n"/>
      <c r="T83" s="13" t="n"/>
      <c r="U83" s="19" t="n"/>
      <c r="V83" s="19" t="n">
        <v>5200</v>
      </c>
      <c r="W83" s="14">
        <f>'Raw Food Data (KG)'!Q44</f>
        <v/>
      </c>
      <c r="X83" s="19" t="n">
        <v>4800</v>
      </c>
      <c r="Y83" s="19" t="n">
        <v>24500</v>
      </c>
      <c r="Z83" s="21" t="n"/>
      <c r="AA83" s="16">
        <f>SUM(B83:C83)</f>
        <v/>
      </c>
      <c r="AB83" s="17">
        <f>SUM(AA72:AA83)</f>
        <v/>
      </c>
      <c r="AC83" s="23">
        <f>AB83/12</f>
        <v/>
      </c>
      <c r="AD83" s="17">
        <f>SUM(D83:Z83)</f>
        <v/>
      </c>
      <c r="AE83" s="17">
        <f>SUM(AD72:AD83)</f>
        <v/>
      </c>
      <c r="AF83" s="23">
        <f>AE83/12</f>
        <v/>
      </c>
    </row>
    <row r="84">
      <c r="A84" s="18" t="n">
        <v>43952</v>
      </c>
      <c r="B84" s="19" t="n">
        <v>95690</v>
      </c>
      <c r="C84" s="19" t="n">
        <v>46630</v>
      </c>
      <c r="D84" s="19" t="n">
        <v>862</v>
      </c>
      <c r="E84" s="19" t="n">
        <v>9906</v>
      </c>
      <c r="F84" s="19" t="n">
        <v>76</v>
      </c>
      <c r="G84" s="19" t="n">
        <v>1743</v>
      </c>
      <c r="H84" s="19" t="n">
        <v>291</v>
      </c>
      <c r="I84" s="19" t="n">
        <v>223.15</v>
      </c>
      <c r="J84" s="12" t="n">
        <v>10.829</v>
      </c>
      <c r="K84" s="19" t="n">
        <v>863</v>
      </c>
      <c r="L84" s="19" t="n">
        <v>0</v>
      </c>
      <c r="M84" s="29" t="n">
        <v>800</v>
      </c>
      <c r="N84" s="29" t="n">
        <v>400</v>
      </c>
      <c r="O84" s="13" t="inlineStr">
        <is>
          <t>-</t>
        </is>
      </c>
      <c r="P84" s="13">
        <f>0.67*163</f>
        <v/>
      </c>
      <c r="Q84" s="12" t="n">
        <v>2</v>
      </c>
      <c r="R84" s="13" t="n"/>
      <c r="S84" s="13" t="n"/>
      <c r="T84" s="13" t="n"/>
      <c r="U84" s="19">
        <f>27*27</f>
        <v/>
      </c>
      <c r="V84" s="19" t="n">
        <v>11500</v>
      </c>
      <c r="W84" s="14">
        <f>'Raw Food Data (KG)'!Q45</f>
        <v/>
      </c>
      <c r="X84" s="19" t="n">
        <v>6400</v>
      </c>
      <c r="Y84" s="19" t="n">
        <v>28000</v>
      </c>
      <c r="Z84" s="21" t="n"/>
      <c r="AA84" s="16">
        <f>SUM(B84:C84)</f>
        <v/>
      </c>
      <c r="AB84" s="17">
        <f>SUM(AA73:AA84)</f>
        <v/>
      </c>
      <c r="AC84" s="23">
        <f>AB84/12</f>
        <v/>
      </c>
      <c r="AD84" s="17">
        <f>SUM(D84:Z84)</f>
        <v/>
      </c>
      <c r="AE84" s="17">
        <f>SUM(AD73:AD84)</f>
        <v/>
      </c>
      <c r="AF84" s="23">
        <f>AE84/12</f>
        <v/>
      </c>
    </row>
    <row r="85">
      <c r="A85" s="18" t="n">
        <v>43983</v>
      </c>
      <c r="B85" s="19" t="n">
        <v>100890</v>
      </c>
      <c r="C85" s="19" t="n">
        <v>43240</v>
      </c>
      <c r="D85" s="19" t="n">
        <v>657</v>
      </c>
      <c r="E85" s="19" t="n">
        <v>12620</v>
      </c>
      <c r="F85" s="19" t="n">
        <v>88</v>
      </c>
      <c r="G85" s="19" t="n">
        <v>2264</v>
      </c>
      <c r="H85" s="19" t="n">
        <v>322</v>
      </c>
      <c r="I85" s="19" t="n">
        <v>145.1</v>
      </c>
      <c r="J85" s="12" t="n">
        <v>10.52</v>
      </c>
      <c r="K85" s="19" t="n">
        <v>982</v>
      </c>
      <c r="L85" s="19" t="n">
        <v>180</v>
      </c>
      <c r="M85" s="29" t="n">
        <v>1600</v>
      </c>
      <c r="N85" s="29" t="n">
        <v>400</v>
      </c>
      <c r="O85" s="13" t="inlineStr">
        <is>
          <t>-</t>
        </is>
      </c>
      <c r="P85" s="13">
        <f>0.67*250</f>
        <v/>
      </c>
      <c r="Q85" s="12" t="n">
        <v>0</v>
      </c>
      <c r="R85" s="13" t="n"/>
      <c r="S85" s="13" t="n"/>
      <c r="T85" s="13" t="n"/>
      <c r="U85" s="19">
        <f>23*27+1*4.5+12*35</f>
        <v/>
      </c>
      <c r="V85" s="19" t="n">
        <v>7200</v>
      </c>
      <c r="W85" s="14">
        <f>'Raw Food Data (KG)'!Q46</f>
        <v/>
      </c>
      <c r="X85" s="19" t="n">
        <v>6400</v>
      </c>
      <c r="Y85" s="19" t="n">
        <v>28000</v>
      </c>
      <c r="Z85" s="21" t="n"/>
      <c r="AA85" s="16">
        <f>SUM(B85:C85)</f>
        <v/>
      </c>
      <c r="AB85" s="17">
        <f>SUM(AA74:AA85)</f>
        <v/>
      </c>
      <c r="AC85" s="23">
        <f>AB85/12</f>
        <v/>
      </c>
      <c r="AD85" s="17">
        <f>SUM(D85:Z85)</f>
        <v/>
      </c>
      <c r="AE85" s="17">
        <f>SUM(AD74:AD85)</f>
        <v/>
      </c>
      <c r="AF85" s="23">
        <f>AE85/12</f>
        <v/>
      </c>
      <c r="AG85" s="16">
        <f>(AC87-AC25)/AC25</f>
        <v/>
      </c>
    </row>
    <row r="86">
      <c r="A86" s="18" t="n">
        <v>44013</v>
      </c>
      <c r="B86" s="14" t="n">
        <v>99540</v>
      </c>
      <c r="C86" s="14" t="n">
        <v>25450</v>
      </c>
      <c r="D86" s="14" t="n">
        <v>481</v>
      </c>
      <c r="E86" s="14" t="n">
        <v>12224</v>
      </c>
      <c r="F86" s="14" t="n">
        <v>107</v>
      </c>
      <c r="G86" s="14" t="n">
        <v>1459</v>
      </c>
      <c r="H86" s="14" t="n">
        <v>340</v>
      </c>
      <c r="I86" s="14" t="n">
        <v>233.8</v>
      </c>
      <c r="J86" s="26" t="n">
        <v>0.851</v>
      </c>
      <c r="K86" s="14" t="n">
        <v>0</v>
      </c>
      <c r="L86" s="14" t="n">
        <v>70</v>
      </c>
      <c r="M86" s="30" t="n">
        <v>400</v>
      </c>
      <c r="N86" s="30" t="n">
        <v>200</v>
      </c>
      <c r="O86" s="27" t="inlineStr">
        <is>
          <t>-</t>
        </is>
      </c>
      <c r="P86" s="27">
        <f>0.67*220</f>
        <v/>
      </c>
      <c r="Q86" s="26" t="n">
        <v>6</v>
      </c>
      <c r="R86" s="27" t="n"/>
      <c r="S86" s="27" t="n"/>
      <c r="T86" s="27" t="n"/>
      <c r="U86" s="14" t="n">
        <v>0</v>
      </c>
      <c r="V86" s="14" t="n">
        <v>12300</v>
      </c>
      <c r="W86" s="14">
        <f>'Raw Food Data (KG)'!Q47</f>
        <v/>
      </c>
      <c r="X86" s="14" t="n">
        <v>4800</v>
      </c>
      <c r="Y86" s="14" t="n">
        <v>17500</v>
      </c>
      <c r="Z86" s="28" t="n"/>
      <c r="AA86" s="16">
        <f>SUM(B86:C86)</f>
        <v/>
      </c>
      <c r="AB86" s="17">
        <f>SUM(AA75:AA86)</f>
        <v/>
      </c>
      <c r="AC86" s="23">
        <f>AB86/12</f>
        <v/>
      </c>
      <c r="AD86" s="17">
        <f>SUM(D86:Z86)</f>
        <v/>
      </c>
      <c r="AE86" s="17">
        <f>SUM(AD75:AD86)</f>
        <v/>
      </c>
      <c r="AF86" s="23">
        <f>AE86/12</f>
        <v/>
      </c>
    </row>
    <row r="87">
      <c r="A87" s="18" t="n">
        <v>44044</v>
      </c>
      <c r="B87" s="14" t="n">
        <v>98190</v>
      </c>
      <c r="C87" s="14" t="n">
        <v>25100</v>
      </c>
      <c r="D87" s="14" t="n">
        <v>735</v>
      </c>
      <c r="E87" s="14" t="n">
        <v>11764</v>
      </c>
      <c r="F87" s="14" t="n">
        <v>107</v>
      </c>
      <c r="G87" s="14" t="n">
        <v>1874</v>
      </c>
      <c r="H87" s="14" t="n">
        <v>343</v>
      </c>
      <c r="I87" s="14" t="n">
        <v>137.15</v>
      </c>
      <c r="J87" s="26" t="n">
        <v>0</v>
      </c>
      <c r="K87" s="14" t="n">
        <v>734</v>
      </c>
      <c r="L87" s="14" t="n">
        <v>100</v>
      </c>
      <c r="M87" s="30" t="n">
        <v>1200</v>
      </c>
      <c r="N87" s="30" t="n">
        <v>600</v>
      </c>
      <c r="O87" s="27" t="inlineStr">
        <is>
          <t>-</t>
        </is>
      </c>
      <c r="P87" s="27" t="n">
        <v>0</v>
      </c>
      <c r="Q87" s="26" t="n">
        <v>0</v>
      </c>
      <c r="R87" s="27" t="n"/>
      <c r="S87" s="27" t="n"/>
      <c r="T87" s="27" t="n"/>
      <c r="U87" s="14">
        <f>5*27+27*35</f>
        <v/>
      </c>
      <c r="V87" s="14" t="n">
        <v>12400</v>
      </c>
      <c r="W87" s="14">
        <f>'Raw Food Data (KG)'!Q48</f>
        <v/>
      </c>
      <c r="X87" s="14" t="n">
        <v>4800</v>
      </c>
      <c r="Y87" s="14" t="n">
        <v>24000</v>
      </c>
      <c r="Z87" s="28" t="n"/>
      <c r="AA87" s="16">
        <f>SUM(B87:C87)</f>
        <v/>
      </c>
      <c r="AB87" s="17">
        <f>SUM(AA76:AA87)</f>
        <v/>
      </c>
      <c r="AC87" s="23">
        <f>AB87/12</f>
        <v/>
      </c>
      <c r="AD87" s="17">
        <f>SUM(D87:Z87)</f>
        <v/>
      </c>
      <c r="AE87" s="17">
        <f>SUM(AD76:AD87)</f>
        <v/>
      </c>
      <c r="AF87" s="23">
        <f>AE87/12</f>
        <v/>
      </c>
    </row>
    <row r="88">
      <c r="A88" s="18" t="n">
        <v>44075</v>
      </c>
      <c r="B88" s="14" t="n">
        <v>103480</v>
      </c>
      <c r="C88" s="14" t="n">
        <v>26450</v>
      </c>
      <c r="D88" s="14" t="n">
        <v>2051</v>
      </c>
      <c r="E88" s="14" t="n">
        <v>12331</v>
      </c>
      <c r="F88" s="14" t="n">
        <v>105</v>
      </c>
      <c r="G88" s="14" t="n">
        <v>266</v>
      </c>
      <c r="H88" s="14" t="n">
        <v>344</v>
      </c>
      <c r="I88" s="14" t="n">
        <v>168.75</v>
      </c>
      <c r="J88" s="26" t="n">
        <v>0.789</v>
      </c>
      <c r="K88" s="14" t="n">
        <v>643</v>
      </c>
      <c r="L88" s="14" t="n">
        <v>0</v>
      </c>
      <c r="M88" s="30" t="n">
        <v>800</v>
      </c>
      <c r="N88" s="30" t="n">
        <v>400</v>
      </c>
      <c r="O88" s="27" t="inlineStr">
        <is>
          <t>-</t>
        </is>
      </c>
      <c r="P88" s="27">
        <f>0.67*123</f>
        <v/>
      </c>
      <c r="Q88" s="26" t="n">
        <v>0</v>
      </c>
      <c r="R88" s="27" t="n"/>
      <c r="S88" s="27" t="n"/>
      <c r="T88" s="27" t="n"/>
      <c r="U88" s="14" t="n">
        <v>0</v>
      </c>
      <c r="V88" s="14" t="n">
        <v>10400</v>
      </c>
      <c r="W88" s="14">
        <f>'Raw Food Data (KG)'!Q49</f>
        <v/>
      </c>
      <c r="X88" s="14" t="n">
        <v>6400</v>
      </c>
      <c r="Y88" s="14" t="n">
        <v>21000</v>
      </c>
      <c r="Z88" s="28" t="n"/>
      <c r="AA88" s="16">
        <f>SUM(B88:C88)</f>
        <v/>
      </c>
      <c r="AB88" s="17">
        <f>SUM(AA77:AA88)</f>
        <v/>
      </c>
      <c r="AC88" s="23">
        <f>AB88/12</f>
        <v/>
      </c>
      <c r="AD88" s="17">
        <f>SUM(D88:Z88)</f>
        <v/>
      </c>
      <c r="AE88" s="17">
        <f>SUM(AD77:AD88)</f>
        <v/>
      </c>
      <c r="AF88" s="23">
        <f>AE88/12</f>
        <v/>
      </c>
    </row>
    <row r="89">
      <c r="A89" s="18" t="n">
        <v>44105</v>
      </c>
      <c r="B89" s="14" t="n">
        <v>99600</v>
      </c>
      <c r="C89" s="14" t="n">
        <v>18840</v>
      </c>
      <c r="D89" s="14" t="n">
        <v>807</v>
      </c>
      <c r="E89" s="14" t="n">
        <v>13196</v>
      </c>
      <c r="F89" s="14" t="n">
        <v>96</v>
      </c>
      <c r="G89" s="14" t="n">
        <v>249</v>
      </c>
      <c r="H89" s="14" t="n">
        <v>348</v>
      </c>
      <c r="I89" s="14" t="n">
        <v>162.7</v>
      </c>
      <c r="J89" s="26" t="n">
        <v>0</v>
      </c>
      <c r="K89" s="14" t="n">
        <v>971</v>
      </c>
      <c r="L89" s="14" t="n">
        <v>0</v>
      </c>
      <c r="M89" s="30" t="n">
        <v>400</v>
      </c>
      <c r="N89" s="30" t="n">
        <v>400</v>
      </c>
      <c r="O89" s="27" t="inlineStr">
        <is>
          <t>-</t>
        </is>
      </c>
      <c r="P89" s="27">
        <f>0.67*86</f>
        <v/>
      </c>
      <c r="Q89" s="26" t="n">
        <v>6</v>
      </c>
      <c r="R89" s="27" t="n"/>
      <c r="S89" s="27" t="n"/>
      <c r="T89" s="27" t="n"/>
      <c r="U89" s="14">
        <f>29*27+2*4.5</f>
        <v/>
      </c>
      <c r="V89" s="14" t="n">
        <v>12200</v>
      </c>
      <c r="W89" s="14">
        <f>'Raw Food Data (KG)'!Q50</f>
        <v/>
      </c>
      <c r="X89" s="14" t="n">
        <v>4800</v>
      </c>
      <c r="Y89" s="14" t="n">
        <v>24500</v>
      </c>
      <c r="Z89" s="28" t="n"/>
      <c r="AA89" s="16">
        <f>SUM(B89:C89)</f>
        <v/>
      </c>
      <c r="AB89" s="17">
        <f>SUM(AA78:AA89)</f>
        <v/>
      </c>
      <c r="AC89" s="23">
        <f>AB89/12</f>
        <v/>
      </c>
      <c r="AD89" s="17">
        <f>SUM(D89:Z89)</f>
        <v/>
      </c>
      <c r="AE89" s="17">
        <f>SUM(AD78:AD89)</f>
        <v/>
      </c>
      <c r="AF89" s="23">
        <f>AE89/12</f>
        <v/>
      </c>
    </row>
    <row r="90">
      <c r="A90" s="18" t="n">
        <v>44136</v>
      </c>
      <c r="B90" s="14" t="n">
        <v>100780</v>
      </c>
      <c r="C90" s="14" t="n">
        <v>20400</v>
      </c>
      <c r="D90" s="14" t="n">
        <v>866</v>
      </c>
      <c r="E90" s="14" t="n">
        <v>11978</v>
      </c>
      <c r="F90" s="14" t="n">
        <v>100</v>
      </c>
      <c r="G90" s="14" t="n">
        <v>321</v>
      </c>
      <c r="H90" s="14" t="n">
        <v>477</v>
      </c>
      <c r="I90" s="14" t="n">
        <v>242.15</v>
      </c>
      <c r="J90" s="26" t="n">
        <v>0.464</v>
      </c>
      <c r="K90" s="14" t="n">
        <v>781</v>
      </c>
      <c r="L90" s="14" t="n">
        <v>0</v>
      </c>
      <c r="M90" s="30" t="n">
        <v>800</v>
      </c>
      <c r="N90" s="30" t="n">
        <v>400</v>
      </c>
      <c r="O90" s="27" t="inlineStr">
        <is>
          <t>-</t>
        </is>
      </c>
      <c r="P90" s="27">
        <f>0.67*125</f>
        <v/>
      </c>
      <c r="Q90" s="26" t="n">
        <v>7</v>
      </c>
      <c r="R90" s="27" t="n"/>
      <c r="S90" s="27" t="n"/>
      <c r="T90" s="27" t="n"/>
      <c r="U90" s="14">
        <f>(18+29)*27+7.5*2+(22+2)*4.5+1*35</f>
        <v/>
      </c>
      <c r="V90" s="14" t="n">
        <v>13500</v>
      </c>
      <c r="W90" s="14">
        <f>'Raw Food Data (KG)'!Q51</f>
        <v/>
      </c>
      <c r="X90" s="14" t="n">
        <v>3200</v>
      </c>
      <c r="Y90" s="14" t="n">
        <v>21000</v>
      </c>
      <c r="Z90" s="28" t="n"/>
      <c r="AA90" s="16">
        <f>SUM(B90:C90)</f>
        <v/>
      </c>
      <c r="AB90" s="17">
        <f>SUM(AA79:AA90)</f>
        <v/>
      </c>
      <c r="AC90" s="23">
        <f>AB90/12</f>
        <v/>
      </c>
      <c r="AD90" s="17">
        <f>SUM(D90:Z90)</f>
        <v/>
      </c>
      <c r="AE90" s="17">
        <f>SUM(AD79:AD90)</f>
        <v/>
      </c>
      <c r="AF90" s="23">
        <f>AE90/12</f>
        <v/>
      </c>
    </row>
    <row r="91">
      <c r="A91" s="18" t="n">
        <v>44166</v>
      </c>
      <c r="B91" s="14" t="n">
        <v>92840</v>
      </c>
      <c r="C91" s="14" t="n">
        <v>19120</v>
      </c>
      <c r="D91" s="14" t="n">
        <v>731</v>
      </c>
      <c r="E91" s="14" t="n">
        <v>11422</v>
      </c>
      <c r="F91" s="14" t="n">
        <v>86</v>
      </c>
      <c r="G91" s="14" t="n">
        <v>321</v>
      </c>
      <c r="H91" s="14" t="n">
        <v>352</v>
      </c>
      <c r="I91" s="14" t="n">
        <v>161.05</v>
      </c>
      <c r="J91" s="26" t="n">
        <v>0.928</v>
      </c>
      <c r="K91" s="14" t="n">
        <v>971</v>
      </c>
      <c r="L91" s="14" t="n">
        <v>0</v>
      </c>
      <c r="M91" s="30" t="n">
        <v>600</v>
      </c>
      <c r="N91" s="30" t="n">
        <v>200</v>
      </c>
      <c r="O91" s="27" t="inlineStr">
        <is>
          <t>-</t>
        </is>
      </c>
      <c r="P91" s="27">
        <f>0.67*100</f>
        <v/>
      </c>
      <c r="Q91" s="26" t="n">
        <v>0</v>
      </c>
      <c r="R91" s="27" t="n"/>
      <c r="S91" s="27" t="n"/>
      <c r="T91" s="27" t="n"/>
      <c r="U91" s="14" t="n">
        <v>0</v>
      </c>
      <c r="V91" s="14" t="n">
        <v>14600</v>
      </c>
      <c r="W91" s="14">
        <f>'Raw Food Data (KG)'!Q52</f>
        <v/>
      </c>
      <c r="X91" s="14" t="n">
        <v>3200</v>
      </c>
      <c r="Y91" s="14" t="n">
        <v>10500</v>
      </c>
      <c r="Z91" s="28" t="n"/>
      <c r="AA91" s="16">
        <f>SUM(B91:C91)</f>
        <v/>
      </c>
      <c r="AB91" s="17">
        <f>SUM(AA80:AA91)</f>
        <v/>
      </c>
      <c r="AC91" s="23">
        <f>AB91/12</f>
        <v/>
      </c>
      <c r="AD91" s="17">
        <f>SUM(D91:Z91)</f>
        <v/>
      </c>
      <c r="AE91" s="17">
        <f>SUM(AD80:AD91)</f>
        <v/>
      </c>
      <c r="AF91" s="23">
        <f>AE91/12</f>
        <v/>
      </c>
    </row>
    <row r="92">
      <c r="A92" s="18" t="n">
        <v>44197</v>
      </c>
      <c r="B92" s="14" t="n">
        <v>82270</v>
      </c>
      <c r="C92" s="14" t="n">
        <v>19600</v>
      </c>
      <c r="D92" s="14" t="n">
        <v>291</v>
      </c>
      <c r="E92" s="14" t="n">
        <v>12557</v>
      </c>
      <c r="F92" s="14" t="n">
        <v>82</v>
      </c>
      <c r="G92" s="14" t="n">
        <v>262</v>
      </c>
      <c r="H92" s="14" t="n">
        <v>305</v>
      </c>
      <c r="I92" s="14" t="n">
        <v>83.55</v>
      </c>
      <c r="J92" s="26" t="n">
        <v>4.64</v>
      </c>
      <c r="K92" s="14" t="n">
        <v>1544</v>
      </c>
      <c r="L92" s="14" t="n">
        <v>0</v>
      </c>
      <c r="M92" s="30" t="n">
        <v>600</v>
      </c>
      <c r="N92" s="30" t="n">
        <v>400</v>
      </c>
      <c r="O92" s="27" t="inlineStr">
        <is>
          <t>-</t>
        </is>
      </c>
      <c r="P92" s="27">
        <f>0.67*112</f>
        <v/>
      </c>
      <c r="Q92" s="26" t="n">
        <v>0</v>
      </c>
      <c r="R92" s="27" t="n"/>
      <c r="S92" s="27" t="n"/>
      <c r="T92" s="27" t="n"/>
      <c r="U92" s="14" t="n">
        <v>0</v>
      </c>
      <c r="V92" s="14" t="n">
        <v>18700</v>
      </c>
      <c r="W92" s="14">
        <f>'Raw Food Data (KG)'!Q53</f>
        <v/>
      </c>
      <c r="X92" s="14" t="n">
        <v>3200</v>
      </c>
      <c r="Y92" s="14" t="n">
        <v>24500</v>
      </c>
      <c r="Z92" s="28" t="n"/>
      <c r="AA92" s="16">
        <f>SUM(B92:C92)</f>
        <v/>
      </c>
      <c r="AB92" s="17">
        <f>SUM(AA81:AA92)</f>
        <v/>
      </c>
      <c r="AC92" s="23">
        <f>AB92/12</f>
        <v/>
      </c>
      <c r="AD92" s="17">
        <f>SUM(D92:Z92)</f>
        <v/>
      </c>
      <c r="AE92" s="17">
        <f>SUM(AD81:AD92)</f>
        <v/>
      </c>
      <c r="AF92" s="23">
        <f>AE92/12</f>
        <v/>
      </c>
    </row>
    <row r="93">
      <c r="A93" s="18" t="n">
        <v>44228</v>
      </c>
      <c r="B93" s="14" t="n">
        <v>91040</v>
      </c>
      <c r="C93" s="14" t="n">
        <v>16990</v>
      </c>
      <c r="D93" s="14" t="n">
        <v>90</v>
      </c>
      <c r="E93" s="14" t="n">
        <v>11838</v>
      </c>
      <c r="F93" s="14" t="n">
        <v>89</v>
      </c>
      <c r="G93" s="14" t="n">
        <v>1701</v>
      </c>
      <c r="H93" s="14" t="n">
        <v>366</v>
      </c>
      <c r="I93" s="14" t="n">
        <v>185.05</v>
      </c>
      <c r="J93" s="26" t="n">
        <v>3.911</v>
      </c>
      <c r="K93" s="14" t="n">
        <v>0</v>
      </c>
      <c r="L93" s="14" t="n">
        <v>0</v>
      </c>
      <c r="M93" s="30" t="n">
        <v>600</v>
      </c>
      <c r="N93" s="30" t="n">
        <v>400</v>
      </c>
      <c r="O93" s="27" t="inlineStr">
        <is>
          <t>-</t>
        </is>
      </c>
      <c r="P93" s="27" t="n">
        <v>0</v>
      </c>
      <c r="Q93" s="26" t="n">
        <v>0</v>
      </c>
      <c r="R93" s="27" t="n"/>
      <c r="S93" s="27" t="n"/>
      <c r="T93" s="27" t="n"/>
      <c r="U93" s="14">
        <f>24*27+4.5*1</f>
        <v/>
      </c>
      <c r="V93" s="14" t="n">
        <v>6000</v>
      </c>
      <c r="W93" s="14">
        <f>'Raw Food Data (KG)'!Q54</f>
        <v/>
      </c>
      <c r="X93" s="14" t="n">
        <v>4800</v>
      </c>
      <c r="Y93" s="14" t="n">
        <v>14000</v>
      </c>
      <c r="Z93" s="28" t="n"/>
      <c r="AA93" s="16">
        <f>SUM(B93:C93)</f>
        <v/>
      </c>
      <c r="AB93" s="17">
        <f>SUM(AA82:AA93)</f>
        <v/>
      </c>
      <c r="AC93" s="23">
        <f>AB93/12</f>
        <v/>
      </c>
      <c r="AD93" s="17">
        <f>SUM(D93:Z93)</f>
        <v/>
      </c>
      <c r="AE93" s="17">
        <f>SUM(AD82:AD93)</f>
        <v/>
      </c>
      <c r="AF93" s="23">
        <f>AE93/12</f>
        <v/>
      </c>
    </row>
    <row r="94">
      <c r="A94" s="18" t="n">
        <v>44256</v>
      </c>
      <c r="B94" s="14" t="n">
        <v>108160</v>
      </c>
      <c r="C94" s="14" t="n">
        <v>20300</v>
      </c>
      <c r="D94" s="14" t="n">
        <v>588</v>
      </c>
      <c r="E94" s="14" t="n">
        <v>14191</v>
      </c>
      <c r="F94" s="14" t="n">
        <v>90</v>
      </c>
      <c r="G94" s="14" t="n">
        <v>251</v>
      </c>
      <c r="H94" s="14" t="n">
        <v>433</v>
      </c>
      <c r="I94" s="14" t="n">
        <v>142.6</v>
      </c>
      <c r="J94" s="26" t="n">
        <v>4.363</v>
      </c>
      <c r="K94" s="14" t="n">
        <v>758</v>
      </c>
      <c r="L94" s="14" t="n">
        <v>30</v>
      </c>
      <c r="M94" s="30" t="n">
        <v>400</v>
      </c>
      <c r="N94" s="30" t="n">
        <v>200</v>
      </c>
      <c r="O94" s="27" t="inlineStr">
        <is>
          <t>-</t>
        </is>
      </c>
      <c r="P94" s="27">
        <f>0.67*110</f>
        <v/>
      </c>
      <c r="Q94" s="26" t="n">
        <v>0</v>
      </c>
      <c r="R94" s="27" t="n"/>
      <c r="S94" s="27" t="n"/>
      <c r="T94" s="27" t="n"/>
      <c r="U94" s="14" t="n">
        <v>0</v>
      </c>
      <c r="V94" s="14" t="n">
        <v>14700</v>
      </c>
      <c r="W94" s="14">
        <f>'Raw Food Data (KG)'!Q55</f>
        <v/>
      </c>
      <c r="X94" s="14" t="n">
        <v>8000</v>
      </c>
      <c r="Y94" s="14" t="n">
        <v>17500</v>
      </c>
      <c r="Z94" s="28" t="n"/>
      <c r="AA94" s="16">
        <f>SUM(B94:C94)</f>
        <v/>
      </c>
      <c r="AB94" s="17">
        <f>SUM(AA83:AA94)</f>
        <v/>
      </c>
      <c r="AC94" s="23">
        <f>AB94/12</f>
        <v/>
      </c>
      <c r="AD94" s="17">
        <f>SUM(D94:Z94)</f>
        <v/>
      </c>
      <c r="AE94" s="17">
        <f>SUM(AD83:AD94)</f>
        <v/>
      </c>
      <c r="AF94" s="23">
        <f>AE94/12</f>
        <v/>
      </c>
    </row>
    <row r="95">
      <c r="A95" s="18" t="n">
        <v>44287</v>
      </c>
      <c r="B95" s="14" t="n">
        <v>97900</v>
      </c>
      <c r="C95" s="14" t="n">
        <v>25520</v>
      </c>
      <c r="D95" s="14" t="n">
        <v>317</v>
      </c>
      <c r="E95" s="14" t="n">
        <v>12749</v>
      </c>
      <c r="F95" s="14" t="n">
        <v>77</v>
      </c>
      <c r="G95" s="14" t="n">
        <v>1274</v>
      </c>
      <c r="H95" s="14" t="n">
        <v>383</v>
      </c>
      <c r="I95" s="14" t="n">
        <v>124.75</v>
      </c>
      <c r="J95" s="26" t="n">
        <v>0.356</v>
      </c>
      <c r="K95" s="14" t="n">
        <v>0</v>
      </c>
      <c r="L95" s="14" t="n">
        <v>130</v>
      </c>
      <c r="M95" s="30" t="n">
        <v>800</v>
      </c>
      <c r="N95" s="30" t="n">
        <v>400</v>
      </c>
      <c r="O95" s="27" t="inlineStr">
        <is>
          <t>-</t>
        </is>
      </c>
      <c r="P95" s="27">
        <f>0.67*180</f>
        <v/>
      </c>
      <c r="Q95" s="26" t="n">
        <v>0</v>
      </c>
      <c r="R95" s="27" t="n"/>
      <c r="S95" s="27" t="n"/>
      <c r="T95" s="27" t="n"/>
      <c r="U95" s="14" t="n">
        <v>0</v>
      </c>
      <c r="V95" s="14" t="n">
        <v>20500</v>
      </c>
      <c r="W95" s="14">
        <f>'Raw Food Data (KG)'!Q56</f>
        <v/>
      </c>
      <c r="X95" s="14" t="n">
        <v>4800</v>
      </c>
      <c r="Y95" s="14" t="n">
        <v>14000</v>
      </c>
      <c r="Z95" s="28" t="n"/>
      <c r="AA95" s="16">
        <f>SUM(B95:C95)</f>
        <v/>
      </c>
      <c r="AB95" s="17">
        <f>SUM(AA84:AA95)</f>
        <v/>
      </c>
      <c r="AC95" s="23">
        <f>AB95/12</f>
        <v/>
      </c>
      <c r="AD95" s="17">
        <f>SUM(D95:Z95)</f>
        <v/>
      </c>
      <c r="AE95" s="17">
        <f>SUM(AD84:AD95)</f>
        <v/>
      </c>
      <c r="AF95" s="23">
        <f>AE95/12</f>
        <v/>
      </c>
    </row>
    <row r="96">
      <c r="A96" s="18" t="n">
        <v>44317</v>
      </c>
      <c r="B96" s="14" t="n">
        <v>114090</v>
      </c>
      <c r="C96" s="14" t="n">
        <v>22770</v>
      </c>
      <c r="D96" s="14" t="n">
        <v>476</v>
      </c>
      <c r="E96" s="14" t="n">
        <v>12531</v>
      </c>
      <c r="F96" s="14" t="n">
        <v>77</v>
      </c>
      <c r="G96" s="14" t="n">
        <v>802</v>
      </c>
      <c r="H96" s="14" t="n">
        <v>563</v>
      </c>
      <c r="I96" s="14" t="n">
        <v>130.3</v>
      </c>
      <c r="J96" s="26" t="n">
        <v>5.415</v>
      </c>
      <c r="K96" s="14" t="n">
        <v>1085</v>
      </c>
      <c r="L96" s="14" t="n">
        <v>50</v>
      </c>
      <c r="M96" s="30" t="n">
        <v>800</v>
      </c>
      <c r="N96" s="30" t="n">
        <v>400</v>
      </c>
      <c r="O96" s="27" t="inlineStr">
        <is>
          <t>-</t>
        </is>
      </c>
      <c r="P96" s="27">
        <f>0.67*185</f>
        <v/>
      </c>
      <c r="Q96" s="26" t="n">
        <v>0</v>
      </c>
      <c r="R96" s="27" t="n"/>
      <c r="S96" s="27" t="n"/>
      <c r="T96" s="27" t="n"/>
      <c r="U96" s="14">
        <f>25*27</f>
        <v/>
      </c>
      <c r="V96" s="14" t="n">
        <v>10400</v>
      </c>
      <c r="W96" s="14">
        <f>'Raw Food Data (KG)'!Q57</f>
        <v/>
      </c>
      <c r="X96" s="14" t="n">
        <v>6400</v>
      </c>
      <c r="Y96" s="14" t="n">
        <v>17500</v>
      </c>
      <c r="Z96" s="28" t="n"/>
      <c r="AA96" s="16">
        <f>SUM(B96:C96)</f>
        <v/>
      </c>
      <c r="AB96" s="17">
        <f>SUM(AA85:AA96)</f>
        <v/>
      </c>
      <c r="AC96" s="23">
        <f>AB96/12</f>
        <v/>
      </c>
      <c r="AD96" s="17">
        <f>SUM(D96:Z96)</f>
        <v/>
      </c>
      <c r="AE96" s="17">
        <f>SUM(AD85:AD96)</f>
        <v/>
      </c>
      <c r="AF96" s="23">
        <f>AE96/12</f>
        <v/>
      </c>
    </row>
    <row r="97">
      <c r="A97" s="18" t="n">
        <v>44348</v>
      </c>
      <c r="B97" s="14" t="n">
        <v>91870</v>
      </c>
      <c r="C97" s="14" t="n">
        <v>19320</v>
      </c>
      <c r="D97" s="14" t="n">
        <v>1449</v>
      </c>
      <c r="E97" s="14" t="n">
        <v>13034</v>
      </c>
      <c r="F97" s="14" t="n">
        <v>73</v>
      </c>
      <c r="G97" s="14" t="n">
        <v>259</v>
      </c>
      <c r="H97" s="14" t="n">
        <v>350</v>
      </c>
      <c r="I97" s="14" t="n">
        <v>115.7</v>
      </c>
      <c r="J97" s="26" t="n">
        <v>3.868</v>
      </c>
      <c r="K97" s="14" t="n">
        <v>908</v>
      </c>
      <c r="L97" s="14" t="n">
        <v>130</v>
      </c>
      <c r="M97" s="30" t="n">
        <v>800</v>
      </c>
      <c r="N97" s="30" t="n">
        <v>400</v>
      </c>
      <c r="O97" s="27" t="inlineStr">
        <is>
          <t>-</t>
        </is>
      </c>
      <c r="P97" s="27">
        <f>0.67*120</f>
        <v/>
      </c>
      <c r="Q97" s="26" t="n">
        <v>0</v>
      </c>
      <c r="R97" s="27" t="n"/>
      <c r="S97" s="27" t="n"/>
      <c r="T97" s="27" t="n"/>
      <c r="U97" s="14" t="n">
        <v>0</v>
      </c>
      <c r="V97" s="14" t="n">
        <v>10400</v>
      </c>
      <c r="W97" s="14">
        <f>'Raw Food Data (KG)'!Q58</f>
        <v/>
      </c>
      <c r="X97" s="14" t="n">
        <v>4800</v>
      </c>
      <c r="Y97" s="14" t="n">
        <v>24500</v>
      </c>
      <c r="Z97" s="28" t="n"/>
      <c r="AA97" s="16">
        <f>SUM(B97:C97)</f>
        <v/>
      </c>
      <c r="AB97" s="17">
        <f>SUM(AA86:AA97)</f>
        <v/>
      </c>
      <c r="AC97" s="23">
        <f>AB97/12</f>
        <v/>
      </c>
      <c r="AD97" s="17">
        <f>SUM(D97:Z97)</f>
        <v/>
      </c>
      <c r="AE97" s="17">
        <f>SUM(AD86:AD97)</f>
        <v/>
      </c>
      <c r="AF97" s="23">
        <f>AE97/12</f>
        <v/>
      </c>
      <c r="AH97" s="24">
        <f>AB97+AE97</f>
        <v/>
      </c>
    </row>
    <row r="98">
      <c r="A98" s="18" t="n">
        <v>44378</v>
      </c>
      <c r="B98" s="19" t="n">
        <v>94540</v>
      </c>
      <c r="C98" s="19" t="n">
        <v>23190</v>
      </c>
      <c r="D98" s="19" t="n">
        <v>1001</v>
      </c>
      <c r="E98" s="19" t="n">
        <v>12407</v>
      </c>
      <c r="F98" s="19" t="n">
        <v>79</v>
      </c>
      <c r="G98" s="19" t="n">
        <v>1049</v>
      </c>
      <c r="H98" s="19" t="n">
        <v>535</v>
      </c>
      <c r="I98" s="19" t="n">
        <v>81.84999999999999</v>
      </c>
      <c r="J98" s="12" t="n">
        <v>3.868</v>
      </c>
      <c r="K98" s="19" t="n">
        <v>1043</v>
      </c>
      <c r="L98" s="19" t="n">
        <v>150</v>
      </c>
      <c r="M98" s="29" t="n">
        <v>800</v>
      </c>
      <c r="N98" s="29" t="n">
        <v>400</v>
      </c>
      <c r="O98" s="13" t="inlineStr">
        <is>
          <t>-</t>
        </is>
      </c>
      <c r="P98" s="13">
        <f>0.67*150</f>
        <v/>
      </c>
      <c r="Q98" s="12" t="n">
        <v>0</v>
      </c>
      <c r="R98" s="13" t="n"/>
      <c r="S98" s="13" t="n"/>
      <c r="T98" s="13" t="n"/>
      <c r="U98" s="19" t="n">
        <v>0</v>
      </c>
      <c r="V98" s="19" t="n">
        <v>16700</v>
      </c>
      <c r="W98" s="14">
        <f>'Raw Food Data (KG)'!Q59</f>
        <v/>
      </c>
      <c r="X98" s="19" t="n">
        <v>8000</v>
      </c>
      <c r="Y98" s="19" t="n">
        <v>21000</v>
      </c>
      <c r="Z98" s="21" t="n"/>
      <c r="AA98" s="16">
        <f>SUM(B98:C98)</f>
        <v/>
      </c>
      <c r="AB98" s="17">
        <f>SUM(AA87:AA98)</f>
        <v/>
      </c>
      <c r="AC98" s="23">
        <f>AB98/12</f>
        <v/>
      </c>
      <c r="AD98" s="17">
        <f>SUM(D98:Z98)</f>
        <v/>
      </c>
      <c r="AE98" s="17">
        <f>SUM(AD87:AD98)</f>
        <v/>
      </c>
      <c r="AF98" s="23">
        <f>AE98/12</f>
        <v/>
      </c>
    </row>
    <row r="99">
      <c r="A99" s="18" t="n">
        <v>44409</v>
      </c>
      <c r="B99" s="19" t="n">
        <v>104460</v>
      </c>
      <c r="C99" s="19" t="n">
        <v>27760</v>
      </c>
      <c r="D99" s="19" t="n">
        <v>1112</v>
      </c>
      <c r="E99" s="19" t="n">
        <v>14252</v>
      </c>
      <c r="F99" s="19" t="n">
        <v>82</v>
      </c>
      <c r="G99" s="19" t="n">
        <v>294</v>
      </c>
      <c r="H99" s="19" t="n">
        <v>356</v>
      </c>
      <c r="I99" s="19" t="n">
        <v>75.95</v>
      </c>
      <c r="J99" s="12" t="n">
        <v>0.203</v>
      </c>
      <c r="K99" s="19" t="n">
        <v>0</v>
      </c>
      <c r="L99" s="19" t="n">
        <v>130</v>
      </c>
      <c r="M99" s="29" t="n">
        <v>800</v>
      </c>
      <c r="N99" s="29" t="n">
        <v>400</v>
      </c>
      <c r="O99" s="13" t="inlineStr">
        <is>
          <t>-</t>
        </is>
      </c>
      <c r="P99" s="13">
        <f>0.67*182</f>
        <v/>
      </c>
      <c r="Q99" s="12" t="n">
        <v>0</v>
      </c>
      <c r="R99" s="13" t="n"/>
      <c r="S99" s="13" t="n"/>
      <c r="T99" s="13" t="n"/>
      <c r="U99" s="19" t="n">
        <v>0</v>
      </c>
      <c r="V99" s="19" t="n">
        <v>13700</v>
      </c>
      <c r="W99" s="14">
        <f>'Raw Food Data (KG)'!Q60</f>
        <v/>
      </c>
      <c r="X99" s="19" t="n">
        <v>6400</v>
      </c>
      <c r="Y99" s="19" t="n">
        <v>35000</v>
      </c>
      <c r="Z99" s="21" t="n"/>
      <c r="AA99" s="16">
        <f>SUM(B99:C99)</f>
        <v/>
      </c>
      <c r="AB99" s="17">
        <f>SUM(AA88:AA99)</f>
        <v/>
      </c>
      <c r="AC99" s="23">
        <f>AB99/12</f>
        <v/>
      </c>
      <c r="AD99" s="17">
        <f>SUM(D99:Z99)</f>
        <v/>
      </c>
      <c r="AE99" s="17">
        <f>SUM(AD88:AD99)</f>
        <v/>
      </c>
      <c r="AF99" s="23">
        <f>AE99/12</f>
        <v/>
      </c>
    </row>
    <row r="100">
      <c r="A100" s="18" t="n">
        <v>44440</v>
      </c>
      <c r="B100" s="19" t="n">
        <v>125580</v>
      </c>
      <c r="C100" s="19" t="n">
        <v>28910</v>
      </c>
      <c r="D100" s="19" t="n">
        <v>624</v>
      </c>
      <c r="E100" s="19" t="n">
        <v>15030</v>
      </c>
      <c r="F100" s="19" t="n">
        <v>92</v>
      </c>
      <c r="G100" s="19" t="n">
        <v>810</v>
      </c>
      <c r="H100" s="19" t="n">
        <v>336</v>
      </c>
      <c r="I100" s="19" t="n">
        <v>70.05</v>
      </c>
      <c r="J100" s="12" t="n">
        <v>0</v>
      </c>
      <c r="K100" s="19" t="n">
        <v>1006</v>
      </c>
      <c r="L100" s="19" t="n">
        <v>80</v>
      </c>
      <c r="M100" s="29" t="n">
        <v>800</v>
      </c>
      <c r="N100" s="29" t="n">
        <v>400</v>
      </c>
      <c r="O100" s="13" t="inlineStr">
        <is>
          <t>-</t>
        </is>
      </c>
      <c r="P100" s="13">
        <f>0.67*100</f>
        <v/>
      </c>
      <c r="Q100" s="12" t="n">
        <v>0</v>
      </c>
      <c r="R100" s="13" t="n"/>
      <c r="S100" s="13" t="n"/>
      <c r="T100" s="13" t="n"/>
      <c r="U100" s="19" t="n">
        <v>0</v>
      </c>
      <c r="V100" s="19" t="n">
        <v>9500</v>
      </c>
      <c r="W100" s="14">
        <f>'Raw Food Data (KG)'!Q61</f>
        <v/>
      </c>
      <c r="X100" s="19" t="n">
        <v>6400</v>
      </c>
      <c r="Y100" s="19" t="n">
        <v>28000</v>
      </c>
      <c r="Z100" s="21" t="n"/>
      <c r="AA100" s="16">
        <f>SUM(B100:C100)</f>
        <v/>
      </c>
      <c r="AB100" s="17">
        <f>SUM(AA89:AA100)</f>
        <v/>
      </c>
      <c r="AC100" s="23">
        <f>AB100/12</f>
        <v/>
      </c>
      <c r="AD100" s="17">
        <f>SUM(D100:Z100)</f>
        <v/>
      </c>
      <c r="AE100" s="17">
        <f>SUM(AD89:AD100)</f>
        <v/>
      </c>
      <c r="AF100" s="23">
        <f>AE100/12</f>
        <v/>
      </c>
    </row>
    <row r="101">
      <c r="A101" s="18" t="n">
        <v>44470</v>
      </c>
      <c r="B101" s="19" t="n">
        <v>120930</v>
      </c>
      <c r="C101" s="19" t="n">
        <v>22640</v>
      </c>
      <c r="D101" s="19" t="n">
        <v>243</v>
      </c>
      <c r="E101" s="19" t="n">
        <v>12985</v>
      </c>
      <c r="F101" s="19" t="n">
        <v>81</v>
      </c>
      <c r="G101" s="19" t="n">
        <v>911</v>
      </c>
      <c r="H101" s="19" t="n">
        <v>304</v>
      </c>
      <c r="I101" s="19" t="n">
        <v>157.35</v>
      </c>
      <c r="J101" s="12" t="n">
        <v>0</v>
      </c>
      <c r="K101" s="19" t="n">
        <v>891</v>
      </c>
      <c r="L101" s="19" t="n">
        <v>150</v>
      </c>
      <c r="M101" s="29" t="n">
        <v>800</v>
      </c>
      <c r="N101" s="29" t="n">
        <v>400</v>
      </c>
      <c r="O101" s="13" t="inlineStr">
        <is>
          <t>-</t>
        </is>
      </c>
      <c r="P101" s="13" t="n">
        <v>0</v>
      </c>
      <c r="Q101" s="12" t="n">
        <v>0</v>
      </c>
      <c r="R101" s="13" t="n"/>
      <c r="S101" s="13" t="n"/>
      <c r="T101" s="13" t="n"/>
      <c r="U101" s="19" t="n">
        <v>0</v>
      </c>
      <c r="V101" s="19" t="n">
        <v>7830</v>
      </c>
      <c r="W101" s="14">
        <f>'Raw Food Data (KG)'!Q62</f>
        <v/>
      </c>
      <c r="X101" s="19" t="n">
        <v>6400</v>
      </c>
      <c r="Y101" s="19" t="n">
        <v>35000</v>
      </c>
      <c r="Z101" s="21" t="n"/>
      <c r="AA101" s="16">
        <f>SUM(B101:C101)</f>
        <v/>
      </c>
      <c r="AB101" s="17">
        <f>SUM(AA90:AA101)</f>
        <v/>
      </c>
      <c r="AC101" s="23">
        <f>AB101/12</f>
        <v/>
      </c>
      <c r="AD101" s="17">
        <f>SUM(D101:Z101)</f>
        <v/>
      </c>
      <c r="AE101" s="17">
        <f>SUM(AD90:AD101)</f>
        <v/>
      </c>
      <c r="AF101" s="23">
        <f>AE101/12</f>
        <v/>
      </c>
    </row>
    <row r="102">
      <c r="A102" s="18" t="n">
        <v>44501</v>
      </c>
      <c r="B102" s="19" t="n">
        <v>122690</v>
      </c>
      <c r="C102" s="19" t="n">
        <v>22120</v>
      </c>
      <c r="D102" s="19" t="n">
        <v>1282</v>
      </c>
      <c r="E102" s="19" t="n">
        <v>13164</v>
      </c>
      <c r="F102" s="19" t="n">
        <v>88</v>
      </c>
      <c r="G102" s="19" t="n">
        <v>282</v>
      </c>
      <c r="H102" s="19" t="n">
        <v>285</v>
      </c>
      <c r="I102" s="19" t="n">
        <v>67.75</v>
      </c>
      <c r="J102" s="12" t="n">
        <v>0.774</v>
      </c>
      <c r="K102" s="19" t="n">
        <v>625</v>
      </c>
      <c r="L102" s="19" t="n">
        <v>30</v>
      </c>
      <c r="M102" s="29" t="n">
        <v>800</v>
      </c>
      <c r="N102" s="29" t="n">
        <v>400</v>
      </c>
      <c r="O102" s="13" t="inlineStr">
        <is>
          <t>-</t>
        </is>
      </c>
      <c r="P102" s="13">
        <f>0.67*258</f>
        <v/>
      </c>
      <c r="Q102" s="12" t="n">
        <v>0</v>
      </c>
      <c r="R102" s="13" t="n"/>
      <c r="S102" s="13" t="n"/>
      <c r="T102" s="13" t="n"/>
      <c r="U102" s="19">
        <f>72*27+6*4.5</f>
        <v/>
      </c>
      <c r="V102" s="19" t="n">
        <v>5800</v>
      </c>
      <c r="W102" s="14">
        <f>'Raw Food Data (KG)'!Q63</f>
        <v/>
      </c>
      <c r="X102" s="19" t="n">
        <v>4800</v>
      </c>
      <c r="Y102" s="19" t="n">
        <v>35000</v>
      </c>
      <c r="Z102" s="21" t="n"/>
      <c r="AA102" s="16">
        <f>SUM(B102:C102)</f>
        <v/>
      </c>
      <c r="AB102" s="17">
        <f>SUM(AA91:AA102)</f>
        <v/>
      </c>
      <c r="AC102" s="23">
        <f>AB102/12</f>
        <v/>
      </c>
      <c r="AD102" s="17">
        <f>SUM(D102:Z102)</f>
        <v/>
      </c>
      <c r="AE102" s="17">
        <f>SUM(AD91:AD102)</f>
        <v/>
      </c>
      <c r="AF102" s="23">
        <f>AE102/12</f>
        <v/>
      </c>
    </row>
    <row r="103">
      <c r="A103" s="18" t="n">
        <v>44531</v>
      </c>
      <c r="B103" s="19" t="n">
        <v>119627</v>
      </c>
      <c r="C103" s="19" t="n">
        <v>24060</v>
      </c>
      <c r="D103" s="19" t="n">
        <v>683</v>
      </c>
      <c r="E103" s="19" t="n">
        <v>13435</v>
      </c>
      <c r="F103" s="19" t="n">
        <v>87</v>
      </c>
      <c r="G103" s="19" t="n">
        <v>984</v>
      </c>
      <c r="H103" s="19" t="n">
        <v>361</v>
      </c>
      <c r="I103" s="19" t="n">
        <v>63.95</v>
      </c>
      <c r="J103" s="12" t="n">
        <v>0.387</v>
      </c>
      <c r="K103" s="19" t="n">
        <v>0</v>
      </c>
      <c r="L103" s="19" t="n">
        <v>70</v>
      </c>
      <c r="M103" s="29" t="n">
        <v>600</v>
      </c>
      <c r="N103" s="29" t="n">
        <v>400</v>
      </c>
      <c r="O103" s="13" t="inlineStr">
        <is>
          <t>-</t>
        </is>
      </c>
      <c r="P103" s="13">
        <f>0.67*120</f>
        <v/>
      </c>
      <c r="Q103" s="12" t="n">
        <v>0</v>
      </c>
      <c r="R103" s="13" t="n"/>
      <c r="S103" s="13" t="n"/>
      <c r="T103" s="13" t="n"/>
      <c r="U103" s="19">
        <f>13*27+1*4.5</f>
        <v/>
      </c>
      <c r="V103" s="19" t="n">
        <v>10180</v>
      </c>
      <c r="W103" s="14">
        <f>'Raw Food Data (KG)'!Q64</f>
        <v/>
      </c>
      <c r="X103" s="19" t="n">
        <v>8000</v>
      </c>
      <c r="Y103" s="19" t="n">
        <v>31500</v>
      </c>
      <c r="Z103" s="21" t="n"/>
      <c r="AA103" s="16">
        <f>SUM(B103:C103)</f>
        <v/>
      </c>
      <c r="AB103" s="17">
        <f>SUM(AA92:AA103)</f>
        <v/>
      </c>
      <c r="AC103" s="23">
        <f>AB103/12</f>
        <v/>
      </c>
      <c r="AD103" s="17">
        <f>SUM(D103:Z103)</f>
        <v/>
      </c>
      <c r="AE103" s="17">
        <f>SUM(AD92:AD103)</f>
        <v/>
      </c>
      <c r="AF103" s="23">
        <f>AE103/12</f>
        <v/>
      </c>
    </row>
    <row r="104">
      <c r="A104" s="18" t="n">
        <v>44562</v>
      </c>
      <c r="B104" s="19" t="n">
        <v>113840</v>
      </c>
      <c r="C104" s="19" t="n">
        <v>30180</v>
      </c>
      <c r="D104" s="19" t="n">
        <v>1410</v>
      </c>
      <c r="E104" s="19" t="n">
        <v>13422</v>
      </c>
      <c r="F104" s="19" t="n">
        <v>82</v>
      </c>
      <c r="G104" s="19" t="n">
        <v>1130</v>
      </c>
      <c r="H104" s="19" t="n">
        <v>288</v>
      </c>
      <c r="I104" s="19" t="n">
        <v>133.65</v>
      </c>
      <c r="J104" s="12" t="n">
        <v>0</v>
      </c>
      <c r="K104" s="19" t="n">
        <v>0</v>
      </c>
      <c r="L104" s="19" t="n">
        <v>200</v>
      </c>
      <c r="M104" s="29" t="n">
        <v>1200</v>
      </c>
      <c r="N104" s="29" t="n">
        <v>600</v>
      </c>
      <c r="O104" s="13" t="inlineStr">
        <is>
          <t>-</t>
        </is>
      </c>
      <c r="P104" s="13" t="n">
        <v>0</v>
      </c>
      <c r="Q104" s="12" t="n">
        <v>0</v>
      </c>
      <c r="R104" s="13" t="n"/>
      <c r="S104" s="13" t="n"/>
      <c r="T104" s="13" t="n"/>
      <c r="U104" s="19" t="n">
        <v>0</v>
      </c>
      <c r="V104" s="19" t="n">
        <v>19838</v>
      </c>
      <c r="W104" s="14">
        <f>'Raw Food Data (KG)'!Q65</f>
        <v/>
      </c>
      <c r="X104" s="19" t="n">
        <v>6400</v>
      </c>
      <c r="Y104" s="19" t="n">
        <v>28000</v>
      </c>
      <c r="Z104" s="21" t="n"/>
      <c r="AA104" s="16">
        <f>SUM(B104:C104)</f>
        <v/>
      </c>
      <c r="AB104" s="17">
        <f>SUM(AA93:AA104)</f>
        <v/>
      </c>
      <c r="AC104" s="23">
        <f>AB104/12</f>
        <v/>
      </c>
      <c r="AD104" s="17">
        <f>SUM(D104:Z104)</f>
        <v/>
      </c>
      <c r="AE104" s="17">
        <f>SUM(AD93:AD104)</f>
        <v/>
      </c>
      <c r="AF104" s="23">
        <f>AE104/12</f>
        <v/>
      </c>
    </row>
    <row r="105">
      <c r="A105" s="18" t="n">
        <v>44593</v>
      </c>
      <c r="B105" s="19" t="n">
        <v>94360</v>
      </c>
      <c r="C105" s="19" t="n">
        <v>16000</v>
      </c>
      <c r="D105" s="19" t="n">
        <v>1223</v>
      </c>
      <c r="E105" s="19" t="n">
        <v>9823</v>
      </c>
      <c r="F105" s="19" t="n">
        <v>59</v>
      </c>
      <c r="G105" s="19" t="n">
        <v>254</v>
      </c>
      <c r="H105" s="19" t="n">
        <v>191</v>
      </c>
      <c r="I105" s="19" t="n">
        <v>67.65000000000001</v>
      </c>
      <c r="J105" s="12" t="n">
        <v>0.371</v>
      </c>
      <c r="K105" s="19" t="n">
        <v>869</v>
      </c>
      <c r="L105" s="19" t="n">
        <v>0</v>
      </c>
      <c r="M105" s="29" t="n">
        <v>400</v>
      </c>
      <c r="N105" s="29" t="n">
        <v>400</v>
      </c>
      <c r="O105" s="13" t="inlineStr">
        <is>
          <t>-</t>
        </is>
      </c>
      <c r="P105" s="13">
        <f>0.67*188</f>
        <v/>
      </c>
      <c r="Q105" s="12" t="n">
        <v>0</v>
      </c>
      <c r="R105" s="13" t="n"/>
      <c r="S105" s="13" t="n"/>
      <c r="T105" s="13" t="n"/>
      <c r="U105" s="19">
        <f>6*27+1*4.5+1*35+1*55</f>
        <v/>
      </c>
      <c r="V105" s="19" t="n">
        <v>7420</v>
      </c>
      <c r="W105" s="14">
        <f>'Raw Food Data (KG)'!Q66</f>
        <v/>
      </c>
      <c r="X105" s="19" t="n">
        <v>4800</v>
      </c>
      <c r="Y105" s="19" t="n">
        <v>14000</v>
      </c>
      <c r="Z105" s="21" t="n"/>
      <c r="AA105" s="16">
        <f>SUM(B105:C105)</f>
        <v/>
      </c>
      <c r="AB105" s="17">
        <f>SUM(AA94:AA105)</f>
        <v/>
      </c>
      <c r="AC105" s="23">
        <f>AB105/12</f>
        <v/>
      </c>
      <c r="AD105" s="17">
        <f>SUM(D105:Z105)</f>
        <v/>
      </c>
      <c r="AE105" s="17">
        <f>SUM(AD94:AD105)</f>
        <v/>
      </c>
      <c r="AF105" s="23">
        <f>AE105/12</f>
        <v/>
      </c>
    </row>
    <row r="106">
      <c r="A106" s="18" t="n">
        <v>44621</v>
      </c>
      <c r="B106" s="19" t="n">
        <v>94960</v>
      </c>
      <c r="C106" s="19" t="n">
        <v>17320</v>
      </c>
      <c r="D106" s="19" t="n">
        <v>540</v>
      </c>
      <c r="E106" s="19" t="n">
        <v>9495</v>
      </c>
      <c r="F106" s="19" t="n">
        <v>65</v>
      </c>
      <c r="G106" s="19" t="n">
        <v>324</v>
      </c>
      <c r="H106" s="19" t="n">
        <v>185.4</v>
      </c>
      <c r="I106" s="19" t="n">
        <v>206.75</v>
      </c>
      <c r="J106" s="12" t="n">
        <v>0</v>
      </c>
      <c r="K106" s="19" t="n">
        <v>0</v>
      </c>
      <c r="L106" s="19" t="n">
        <v>0</v>
      </c>
      <c r="M106" s="29" t="n">
        <v>400</v>
      </c>
      <c r="N106" s="29" t="n">
        <v>400</v>
      </c>
      <c r="O106" s="13" t="inlineStr">
        <is>
          <t>-</t>
        </is>
      </c>
      <c r="P106" s="13" t="n">
        <v>0</v>
      </c>
      <c r="Q106" s="12" t="n">
        <v>0</v>
      </c>
      <c r="R106" s="13" t="n"/>
      <c r="S106" s="13" t="n"/>
      <c r="T106" s="13" t="n"/>
      <c r="U106" s="19" t="n">
        <v>0</v>
      </c>
      <c r="V106" s="19" t="n">
        <v>9700</v>
      </c>
      <c r="W106" s="14">
        <f>'Raw Food Data (KG)'!Q67</f>
        <v/>
      </c>
      <c r="X106" s="19" t="n">
        <v>6400</v>
      </c>
      <c r="Y106" s="19" t="n">
        <v>24500</v>
      </c>
      <c r="Z106" s="21" t="n"/>
      <c r="AA106" s="16">
        <f>SUM(B106:C106)</f>
        <v/>
      </c>
      <c r="AB106" s="17">
        <f>SUM(AA95:AA106)</f>
        <v/>
      </c>
      <c r="AC106" s="23">
        <f>AB106/12</f>
        <v/>
      </c>
      <c r="AD106" s="17">
        <f>SUM(D106:Z106)</f>
        <v/>
      </c>
      <c r="AE106" s="17">
        <f>SUM(AD95:AD106)</f>
        <v/>
      </c>
      <c r="AF106" s="23">
        <f>AE106/12</f>
        <v/>
      </c>
    </row>
    <row r="107">
      <c r="A107" s="18" t="n">
        <v>44652</v>
      </c>
      <c r="B107" s="19" t="n">
        <v>91850</v>
      </c>
      <c r="C107" s="19" t="n">
        <v>17830</v>
      </c>
      <c r="D107" s="19" t="n">
        <v>174</v>
      </c>
      <c r="E107" s="19" t="n">
        <v>9308</v>
      </c>
      <c r="F107" s="19" t="n">
        <v>61</v>
      </c>
      <c r="G107" s="19" t="n">
        <v>1040</v>
      </c>
      <c r="H107" s="19" t="n">
        <v>137</v>
      </c>
      <c r="I107" s="19" t="n">
        <v>153.8</v>
      </c>
      <c r="J107" s="12" t="n">
        <v>4.641</v>
      </c>
      <c r="K107" s="19" t="n">
        <v>1036</v>
      </c>
      <c r="L107" s="19" t="n">
        <v>160</v>
      </c>
      <c r="M107" s="29" t="n">
        <v>800</v>
      </c>
      <c r="N107" s="29" t="n">
        <v>200</v>
      </c>
      <c r="O107" s="13" t="inlineStr">
        <is>
          <t>-</t>
        </is>
      </c>
      <c r="P107" s="13">
        <f>0.67*102</f>
        <v/>
      </c>
      <c r="Q107" s="12" t="n">
        <v>0</v>
      </c>
      <c r="R107" s="13" t="n"/>
      <c r="S107" s="13" t="n"/>
      <c r="T107" s="13" t="n"/>
      <c r="U107" s="19">
        <f>36*27+2*7.5+9*55</f>
        <v/>
      </c>
      <c r="V107" s="19" t="n">
        <v>10420</v>
      </c>
      <c r="W107" s="14">
        <f>'Raw Food Data (KG)'!Q68</f>
        <v/>
      </c>
      <c r="X107" s="19" t="n">
        <v>6400</v>
      </c>
      <c r="Y107" s="19" t="n">
        <v>24500</v>
      </c>
      <c r="Z107" s="21" t="n"/>
      <c r="AA107" s="16">
        <f>SUM(B107:C107)</f>
        <v/>
      </c>
      <c r="AB107" s="17">
        <f>SUM(AA96:AA107)</f>
        <v/>
      </c>
      <c r="AC107" s="23">
        <f>AB107/12</f>
        <v/>
      </c>
      <c r="AD107" s="17">
        <f>SUM(D107:Z107)</f>
        <v/>
      </c>
      <c r="AE107" s="17">
        <f>SUM(AD96:AD107)</f>
        <v/>
      </c>
      <c r="AF107" s="23">
        <f>AE107/12</f>
        <v/>
      </c>
    </row>
    <row r="108">
      <c r="A108" s="18" t="n">
        <v>44682</v>
      </c>
      <c r="B108" s="19" t="n">
        <v>105840</v>
      </c>
      <c r="C108" s="19" t="n">
        <v>22940</v>
      </c>
      <c r="D108" s="19" t="n">
        <v>869</v>
      </c>
      <c r="E108" s="19" t="n">
        <v>10020</v>
      </c>
      <c r="F108" s="19" t="n">
        <v>65</v>
      </c>
      <c r="G108" s="19" t="n">
        <v>251</v>
      </c>
      <c r="H108" s="19" t="n">
        <v>113</v>
      </c>
      <c r="I108" s="19" t="n">
        <v>57.35</v>
      </c>
      <c r="J108" s="12" t="n">
        <v>0</v>
      </c>
      <c r="K108" s="19" t="n">
        <v>0</v>
      </c>
      <c r="L108" s="19" t="n">
        <v>80</v>
      </c>
      <c r="M108" s="29" t="n">
        <v>400</v>
      </c>
      <c r="N108" s="29" t="n">
        <v>200</v>
      </c>
      <c r="O108" s="13" t="inlineStr">
        <is>
          <t>-</t>
        </is>
      </c>
      <c r="P108" s="13" t="n">
        <v>0</v>
      </c>
      <c r="Q108" s="12" t="n">
        <v>0</v>
      </c>
      <c r="R108" s="13" t="n"/>
      <c r="S108" s="13" t="n"/>
      <c r="T108" s="13" t="n"/>
      <c r="U108" s="19">
        <f>13*27+7*55</f>
        <v/>
      </c>
      <c r="V108" s="19" t="n">
        <v>12000</v>
      </c>
      <c r="W108" s="14">
        <f>'Raw Food Data (KG)'!Q69</f>
        <v/>
      </c>
      <c r="X108" s="19" t="n">
        <v>6400</v>
      </c>
      <c r="Y108" s="19" t="n">
        <v>31500</v>
      </c>
      <c r="Z108" s="21" t="n"/>
      <c r="AA108" s="16">
        <f>SUM(B108:C108)</f>
        <v/>
      </c>
      <c r="AB108" s="17">
        <f>SUM(AA97:AA108)</f>
        <v/>
      </c>
      <c r="AC108" s="23">
        <f>AB108/12</f>
        <v/>
      </c>
      <c r="AD108" s="17">
        <f>SUM(D108:Z108)</f>
        <v/>
      </c>
      <c r="AE108" s="17">
        <f>SUM(AD97:AD108)</f>
        <v/>
      </c>
      <c r="AF108" s="23">
        <f>AE108/12</f>
        <v/>
      </c>
    </row>
    <row r="109">
      <c r="A109" s="18" t="n">
        <v>44713</v>
      </c>
      <c r="B109" s="19" t="n">
        <v>111880</v>
      </c>
      <c r="C109" s="19" t="n">
        <v>21280</v>
      </c>
      <c r="D109" s="19" t="n">
        <v>640</v>
      </c>
      <c r="E109" s="19" t="n">
        <v>10130</v>
      </c>
      <c r="F109" s="19" t="n">
        <v>59</v>
      </c>
      <c r="G109" s="19" t="n">
        <v>245</v>
      </c>
      <c r="H109" s="19" t="n">
        <v>148</v>
      </c>
      <c r="I109" s="19" t="n">
        <v>127.8</v>
      </c>
      <c r="J109" s="12" t="n">
        <v>0</v>
      </c>
      <c r="K109" s="19" t="n">
        <v>1056</v>
      </c>
      <c r="L109" s="19" t="n">
        <v>150</v>
      </c>
      <c r="M109" s="29" t="n">
        <v>800</v>
      </c>
      <c r="N109" s="29" t="n">
        <v>400</v>
      </c>
      <c r="O109" s="13" t="n">
        <v>45</v>
      </c>
      <c r="P109" s="13" t="n">
        <v>57</v>
      </c>
      <c r="Q109" s="12" t="n">
        <v>0</v>
      </c>
      <c r="R109" s="13" t="n"/>
      <c r="S109" s="13" t="n"/>
      <c r="T109" s="13" t="n"/>
      <c r="U109" s="19">
        <f>22*27+3*55+1*60</f>
        <v/>
      </c>
      <c r="V109" s="19" t="n">
        <v>9000</v>
      </c>
      <c r="W109" s="14">
        <f>'Raw Food Data (KG)'!Q70</f>
        <v/>
      </c>
      <c r="X109" s="19" t="n">
        <v>8000</v>
      </c>
      <c r="Y109" s="19" t="n">
        <v>35000</v>
      </c>
      <c r="Z109" s="21" t="n"/>
      <c r="AA109" s="16">
        <f>SUM(B109:C109)</f>
        <v/>
      </c>
      <c r="AB109" s="17">
        <f>SUM(AA98:AA109)</f>
        <v/>
      </c>
      <c r="AC109" s="23">
        <f>AB109/12</f>
        <v/>
      </c>
      <c r="AD109" s="17">
        <f>SUM(D109:Z109)</f>
        <v/>
      </c>
      <c r="AE109" s="17">
        <f>SUM(AD98:AD109)</f>
        <v/>
      </c>
      <c r="AF109" s="23">
        <f>AE109/12</f>
        <v/>
      </c>
      <c r="AH109" s="24">
        <f>AB109+AE109</f>
        <v/>
      </c>
    </row>
    <row r="110">
      <c r="A110" s="18" t="n">
        <v>44743</v>
      </c>
      <c r="B110" s="14" t="n">
        <v>106480</v>
      </c>
      <c r="C110" s="14" t="n">
        <v>27350</v>
      </c>
      <c r="D110" s="14" t="n">
        <v>631</v>
      </c>
      <c r="E110" s="14" t="n">
        <v>10024</v>
      </c>
      <c r="F110" s="14" t="n">
        <v>62</v>
      </c>
      <c r="G110" s="14" t="n">
        <v>748</v>
      </c>
      <c r="H110" s="14" t="n">
        <v>232</v>
      </c>
      <c r="I110" s="14" t="n">
        <v>101.95</v>
      </c>
      <c r="J110" s="26" t="n">
        <v>0</v>
      </c>
      <c r="K110" s="14" t="n">
        <v>0</v>
      </c>
      <c r="L110" s="14" t="n">
        <v>150</v>
      </c>
      <c r="M110" s="30" t="n">
        <v>600</v>
      </c>
      <c r="N110" s="30" t="n">
        <v>400</v>
      </c>
      <c r="O110" s="27" t="n">
        <v>324</v>
      </c>
      <c r="P110" s="27" t="n">
        <v>44</v>
      </c>
      <c r="Q110" s="26" t="n">
        <v>0</v>
      </c>
      <c r="R110" s="27" t="n"/>
      <c r="S110" s="27" t="n"/>
      <c r="T110" s="27" t="n"/>
      <c r="U110" s="14" t="n">
        <v>0</v>
      </c>
      <c r="V110" s="14" t="n">
        <v>12000</v>
      </c>
      <c r="W110" s="14">
        <f>'Raw Food Data (KG)'!Q71</f>
        <v/>
      </c>
      <c r="X110" s="14" t="n">
        <v>6400</v>
      </c>
      <c r="Y110" s="14" t="n">
        <v>24500</v>
      </c>
      <c r="Z110" s="28" t="n">
        <v>67</v>
      </c>
      <c r="AA110" s="16">
        <f>SUM(B110:C110)</f>
        <v/>
      </c>
      <c r="AB110" s="17">
        <f>SUM(AA99:AA110)</f>
        <v/>
      </c>
      <c r="AC110" s="23">
        <f>AB110/12</f>
        <v/>
      </c>
      <c r="AD110" s="17">
        <f>SUM(D110:Z110)</f>
        <v/>
      </c>
      <c r="AE110" s="17">
        <f>SUM(AD99:AD110)</f>
        <v/>
      </c>
      <c r="AF110" s="23">
        <f>AE110/12</f>
        <v/>
      </c>
    </row>
    <row r="111">
      <c r="A111" s="18" t="n">
        <v>44774</v>
      </c>
      <c r="B111" s="14" t="n">
        <v>119990</v>
      </c>
      <c r="C111" s="14" t="n">
        <v>22610</v>
      </c>
      <c r="D111" s="14" t="n">
        <v>567</v>
      </c>
      <c r="E111" s="14" t="n">
        <v>11052</v>
      </c>
      <c r="F111" s="14" t="n">
        <v>71</v>
      </c>
      <c r="G111" s="14" t="n">
        <v>1232</v>
      </c>
      <c r="H111" s="14" t="n">
        <v>248</v>
      </c>
      <c r="I111" s="14" t="n">
        <v>90.25</v>
      </c>
      <c r="J111" s="26" t="n">
        <v>0</v>
      </c>
      <c r="K111" s="14" t="n">
        <v>1973</v>
      </c>
      <c r="L111" s="14" t="n">
        <v>150</v>
      </c>
      <c r="M111" s="30" t="n">
        <v>1200</v>
      </c>
      <c r="N111" s="30" t="n">
        <v>400</v>
      </c>
      <c r="O111" s="27" t="n">
        <v>89</v>
      </c>
      <c r="P111" s="27" t="n">
        <v>76</v>
      </c>
      <c r="Q111" s="26" t="n">
        <v>0</v>
      </c>
      <c r="R111" s="27" t="n"/>
      <c r="S111" s="27" t="n"/>
      <c r="T111" s="27" t="n"/>
      <c r="U111" s="14">
        <f>17*27+2*55+1*35</f>
        <v/>
      </c>
      <c r="V111" s="14" t="n">
        <v>15000</v>
      </c>
      <c r="W111" s="14">
        <f>'Raw Food Data (KG)'!Q72</f>
        <v/>
      </c>
      <c r="X111" s="14" t="n">
        <v>6400</v>
      </c>
      <c r="Y111" s="14" t="n">
        <v>31500</v>
      </c>
      <c r="Z111" s="28" t="n">
        <v>0</v>
      </c>
      <c r="AA111" s="16">
        <f>SUM(B111:C111)</f>
        <v/>
      </c>
      <c r="AB111" s="17">
        <f>SUM(AA100:AA111)</f>
        <v/>
      </c>
      <c r="AC111" s="23">
        <f>AB111/12</f>
        <v/>
      </c>
      <c r="AD111" s="17">
        <f>SUM(D111:Z111)</f>
        <v/>
      </c>
      <c r="AE111" s="17">
        <f>SUM(AD100:AD111)</f>
        <v/>
      </c>
      <c r="AF111" s="23">
        <f>AE111/12</f>
        <v/>
      </c>
    </row>
    <row r="112">
      <c r="A112" s="18" t="n">
        <v>44805</v>
      </c>
      <c r="B112" s="14" t="n">
        <v>145680</v>
      </c>
      <c r="C112" s="14" t="n">
        <v>27480</v>
      </c>
      <c r="D112" s="14" t="n">
        <v>889</v>
      </c>
      <c r="E112" s="14" t="n">
        <v>12231</v>
      </c>
      <c r="F112" s="14" t="n">
        <v>76</v>
      </c>
      <c r="G112" s="14" t="n">
        <v>555</v>
      </c>
      <c r="H112" s="14" t="n">
        <v>266</v>
      </c>
      <c r="I112" s="14" t="n">
        <v>55.25</v>
      </c>
      <c r="J112" s="26" t="n">
        <v>0</v>
      </c>
      <c r="K112" s="14" t="n">
        <v>0</v>
      </c>
      <c r="L112" s="14" t="n">
        <v>110</v>
      </c>
      <c r="M112" s="30" t="n">
        <v>400</v>
      </c>
      <c r="N112" s="30" t="n">
        <v>400</v>
      </c>
      <c r="O112" s="27" t="n">
        <v>0</v>
      </c>
      <c r="P112" s="27" t="n">
        <v>49</v>
      </c>
      <c r="Q112" s="26" t="n">
        <v>0</v>
      </c>
      <c r="R112" s="27" t="n"/>
      <c r="S112" s="27" t="n"/>
      <c r="T112" s="27" t="n"/>
      <c r="U112" s="14" t="n">
        <v>0</v>
      </c>
      <c r="V112" s="14" t="n">
        <v>12000</v>
      </c>
      <c r="W112" s="14">
        <f>'Raw Food Data (KG)'!Q73</f>
        <v/>
      </c>
      <c r="X112" s="14" t="n">
        <v>8000</v>
      </c>
      <c r="Y112" s="14" t="n">
        <v>31500</v>
      </c>
      <c r="Z112" s="28" t="n">
        <v>12.6</v>
      </c>
      <c r="AA112" s="16">
        <f>SUM(B112:C112)</f>
        <v/>
      </c>
      <c r="AB112" s="17">
        <f>SUM(AA101:AA112)</f>
        <v/>
      </c>
      <c r="AC112" s="23">
        <f>AB112/12</f>
        <v/>
      </c>
      <c r="AD112" s="17">
        <f>SUM(D112:Z112)</f>
        <v/>
      </c>
      <c r="AE112" s="17">
        <f>SUM(AD101:AD112)</f>
        <v/>
      </c>
      <c r="AF112" s="23">
        <f>AE112/12</f>
        <v/>
      </c>
    </row>
    <row r="113">
      <c r="A113" s="18" t="n">
        <v>44835</v>
      </c>
      <c r="B113" s="14" t="n">
        <v>146210</v>
      </c>
      <c r="C113" s="14" t="n">
        <v>21850</v>
      </c>
      <c r="D113" s="14" t="n">
        <v>1137</v>
      </c>
      <c r="E113" s="14" t="n">
        <v>11893</v>
      </c>
      <c r="F113" s="14" t="n">
        <v>79</v>
      </c>
      <c r="G113" s="14" t="n">
        <v>647</v>
      </c>
      <c r="H113" s="14" t="n">
        <v>266</v>
      </c>
      <c r="I113" s="14" t="n">
        <v>120.55</v>
      </c>
      <c r="J113" s="26" t="n">
        <v>0</v>
      </c>
      <c r="K113" s="14" t="n">
        <v>1009</v>
      </c>
      <c r="L113" s="14" t="n">
        <v>60</v>
      </c>
      <c r="M113" s="30" t="n">
        <v>800</v>
      </c>
      <c r="N113" s="30" t="n">
        <v>400</v>
      </c>
      <c r="O113" s="27" t="n">
        <v>18</v>
      </c>
      <c r="P113" s="27" t="n">
        <v>49</v>
      </c>
      <c r="Q113" s="26" t="n">
        <v>0</v>
      </c>
      <c r="R113" s="27" t="n"/>
      <c r="S113" s="27" t="n"/>
      <c r="T113" s="27" t="n"/>
      <c r="U113" s="14">
        <f>23*27+2*55</f>
        <v/>
      </c>
      <c r="V113" s="14" t="n">
        <v>15000</v>
      </c>
      <c r="W113" s="14">
        <f>'Raw Food Data (KG)'!Q74</f>
        <v/>
      </c>
      <c r="X113" s="14" t="n">
        <v>6400</v>
      </c>
      <c r="Y113" s="14" t="n">
        <v>28000</v>
      </c>
      <c r="Z113" s="28" t="n">
        <v>0</v>
      </c>
      <c r="AA113" s="16">
        <f>SUM(B113:C113)</f>
        <v/>
      </c>
      <c r="AB113" s="17">
        <f>SUM(AA102:AA113)</f>
        <v/>
      </c>
      <c r="AC113" s="23">
        <f>AB113/12</f>
        <v/>
      </c>
      <c r="AD113" s="17">
        <f>SUM(D113:Z113)</f>
        <v/>
      </c>
      <c r="AE113" s="17">
        <f>SUM(AD102:AD113)</f>
        <v/>
      </c>
      <c r="AF113" s="23">
        <f>AE113/12</f>
        <v/>
      </c>
    </row>
    <row r="114">
      <c r="A114" s="18" t="n">
        <v>44866</v>
      </c>
      <c r="B114" s="14" t="n">
        <v>147280</v>
      </c>
      <c r="C114" s="14" t="n">
        <v>19570</v>
      </c>
      <c r="D114" s="14" t="n">
        <v>723</v>
      </c>
      <c r="E114" s="14" t="n">
        <v>11445</v>
      </c>
      <c r="F114" s="14" t="n">
        <v>77</v>
      </c>
      <c r="G114" s="14" t="n">
        <v>659</v>
      </c>
      <c r="H114" s="14" t="n">
        <v>273</v>
      </c>
      <c r="I114" s="14" t="n">
        <v>0</v>
      </c>
      <c r="J114" s="26" t="n">
        <v>0</v>
      </c>
      <c r="K114" s="14" t="n">
        <v>993</v>
      </c>
      <c r="L114" s="14" t="n">
        <v>180</v>
      </c>
      <c r="M114" s="30" t="n">
        <v>800</v>
      </c>
      <c r="N114" s="30" t="n">
        <v>400</v>
      </c>
      <c r="O114" s="27" t="n">
        <v>47</v>
      </c>
      <c r="P114" s="27" t="n">
        <v>57</v>
      </c>
      <c r="Q114" s="26" t="n">
        <v>0</v>
      </c>
      <c r="R114" s="27" t="n"/>
      <c r="S114" s="27" t="n"/>
      <c r="T114" s="27" t="n"/>
      <c r="U114" s="14" t="n">
        <v>0</v>
      </c>
      <c r="V114" s="14" t="n">
        <v>12000</v>
      </c>
      <c r="W114" s="14">
        <f>'Raw Food Data (KG)'!Q75</f>
        <v/>
      </c>
      <c r="X114" s="14" t="n">
        <v>6400</v>
      </c>
      <c r="Y114" s="14" t="n">
        <v>31500</v>
      </c>
      <c r="Z114" s="28" t="n">
        <v>6.5</v>
      </c>
      <c r="AA114" s="16">
        <f>SUM(B114:C114)</f>
        <v/>
      </c>
      <c r="AB114" s="17">
        <f>SUM(AA103:AA114)</f>
        <v/>
      </c>
      <c r="AC114" s="23">
        <f>AB114/12</f>
        <v/>
      </c>
      <c r="AD114" s="17">
        <f>SUM(D114:Z114)</f>
        <v/>
      </c>
      <c r="AE114" s="17">
        <f>SUM(AD103:AD114)</f>
        <v/>
      </c>
      <c r="AF114" s="23">
        <f>AE114/12</f>
        <v/>
      </c>
    </row>
    <row r="115">
      <c r="A115" s="18" t="n">
        <v>44896</v>
      </c>
      <c r="B115" s="14" t="n">
        <v>132640</v>
      </c>
      <c r="C115" s="14" t="n">
        <v>21400</v>
      </c>
      <c r="D115" s="14" t="n">
        <v>1104</v>
      </c>
      <c r="E115" s="14" t="n">
        <v>11105</v>
      </c>
      <c r="F115" s="14" t="n">
        <v>65</v>
      </c>
      <c r="G115" s="14" t="n">
        <v>1568</v>
      </c>
      <c r="H115" s="14" t="n">
        <v>279</v>
      </c>
      <c r="I115" s="14" t="n">
        <v>0</v>
      </c>
      <c r="J115" s="26" t="n">
        <v>0</v>
      </c>
      <c r="K115" s="14" t="n">
        <v>762</v>
      </c>
      <c r="L115" s="14" t="n">
        <v>230</v>
      </c>
      <c r="M115" s="30" t="n">
        <v>800</v>
      </c>
      <c r="N115" s="30" t="n">
        <v>400</v>
      </c>
      <c r="O115" s="27" t="n">
        <v>101</v>
      </c>
      <c r="P115" s="27" t="n">
        <v>17</v>
      </c>
      <c r="Q115" s="26" t="n">
        <v>0</v>
      </c>
      <c r="R115" s="27" t="n"/>
      <c r="S115" s="27" t="n"/>
      <c r="T115" s="27" t="n"/>
      <c r="U115" s="14" t="n">
        <v>0</v>
      </c>
      <c r="V115" s="14" t="n">
        <v>15000</v>
      </c>
      <c r="W115" s="14">
        <f>'Raw Food Data (KG)'!Q76</f>
        <v/>
      </c>
      <c r="X115" s="14" t="n">
        <v>6400</v>
      </c>
      <c r="Y115" s="14" t="n">
        <v>28000</v>
      </c>
      <c r="Z115" s="28" t="n">
        <v>0</v>
      </c>
      <c r="AA115" s="16">
        <f>SUM(B115:C115)</f>
        <v/>
      </c>
      <c r="AB115" s="17">
        <f>SUM(AA104:AA115)</f>
        <v/>
      </c>
      <c r="AC115" s="23">
        <f>AB115/12</f>
        <v/>
      </c>
      <c r="AD115" s="17">
        <f>SUM(D115:Z115)</f>
        <v/>
      </c>
      <c r="AE115" s="17">
        <f>SUM(AD104:AD115)</f>
        <v/>
      </c>
      <c r="AF115" s="23">
        <f>AE115/12</f>
        <v/>
      </c>
    </row>
    <row r="116">
      <c r="A116" s="18" t="n">
        <v>44927</v>
      </c>
      <c r="B116" s="14" t="n">
        <v>106940</v>
      </c>
      <c r="C116" s="14" t="n">
        <v>17220</v>
      </c>
      <c r="D116" s="14" t="n">
        <v>68</v>
      </c>
      <c r="E116" s="14" t="n">
        <v>9350</v>
      </c>
      <c r="F116" s="14" t="n">
        <v>58</v>
      </c>
      <c r="G116" s="14" t="n">
        <v>714</v>
      </c>
      <c r="H116" s="14" t="n">
        <v>198</v>
      </c>
      <c r="I116" s="14" t="n">
        <v>36.5</v>
      </c>
      <c r="J116" s="26" t="n">
        <v>0</v>
      </c>
      <c r="K116" s="14" t="n">
        <v>757</v>
      </c>
      <c r="L116" s="14" t="n">
        <v>90</v>
      </c>
      <c r="M116" s="30" t="n">
        <v>400</v>
      </c>
      <c r="N116" s="30" t="n">
        <v>200</v>
      </c>
      <c r="O116" s="27" t="n">
        <v>0</v>
      </c>
      <c r="P116" s="27" t="n">
        <v>0</v>
      </c>
      <c r="Q116" s="26" t="n">
        <v>0</v>
      </c>
      <c r="R116" s="27" t="n"/>
      <c r="S116" s="27" t="n"/>
      <c r="T116" s="27" t="n"/>
      <c r="U116" s="14">
        <f>37*27+2*55</f>
        <v/>
      </c>
      <c r="V116" s="14" t="n">
        <v>15000</v>
      </c>
      <c r="W116" s="14">
        <f>'Raw Food Data (KG)'!Q77</f>
        <v/>
      </c>
      <c r="X116" s="14" t="n">
        <v>6400</v>
      </c>
      <c r="Y116" s="14" t="n">
        <v>31500</v>
      </c>
      <c r="Z116" s="28" t="n">
        <v>9.5</v>
      </c>
      <c r="AA116" s="16">
        <f>SUM(B116:C116)</f>
        <v/>
      </c>
      <c r="AB116" s="17">
        <f>SUM(AA105:AA116)</f>
        <v/>
      </c>
      <c r="AC116" s="23">
        <f>AB116/12</f>
        <v/>
      </c>
      <c r="AD116" s="17">
        <f>SUM(D116:Z116)</f>
        <v/>
      </c>
      <c r="AE116" s="17">
        <f>SUM(AD105:AD116)</f>
        <v/>
      </c>
      <c r="AF116" s="23">
        <f>AE116/12</f>
        <v/>
      </c>
    </row>
    <row r="117" ht="17" customHeight="1">
      <c r="A117" s="18" t="n">
        <v>44958</v>
      </c>
      <c r="B117" s="14" t="n">
        <v>127480</v>
      </c>
      <c r="C117" s="14" t="n">
        <v>24570</v>
      </c>
      <c r="D117" s="14" t="inlineStr">
        <is>
          <t>-</t>
        </is>
      </c>
      <c r="E117" s="14" t="n">
        <v>10379</v>
      </c>
      <c r="F117" s="14" t="n">
        <v>60</v>
      </c>
      <c r="G117" s="28" t="n">
        <v>1050</v>
      </c>
      <c r="H117" s="14" t="n">
        <v>217</v>
      </c>
      <c r="I117" s="14" t="n">
        <v>0</v>
      </c>
      <c r="J117" s="26" t="n">
        <v>0</v>
      </c>
      <c r="K117" s="14" t="n">
        <v>670</v>
      </c>
      <c r="L117" s="14" t="n">
        <v>140</v>
      </c>
      <c r="M117" s="30" t="n">
        <v>600</v>
      </c>
      <c r="N117" s="30" t="n">
        <v>400</v>
      </c>
      <c r="O117" s="27" t="n">
        <v>24</v>
      </c>
      <c r="P117" s="27" t="n">
        <v>72</v>
      </c>
      <c r="Q117" s="26" t="n">
        <v>0</v>
      </c>
      <c r="R117" s="27" t="n"/>
      <c r="S117" s="27" t="n"/>
      <c r="T117" s="27" t="n"/>
      <c r="U117" s="14" t="n">
        <v>0</v>
      </c>
      <c r="V117" s="14" t="n">
        <v>12000</v>
      </c>
      <c r="W117" s="14">
        <f>'Raw Food Data (KG)'!Q78</f>
        <v/>
      </c>
      <c r="X117" s="14" t="n">
        <v>6400</v>
      </c>
      <c r="Y117" s="14" t="n">
        <v>21000</v>
      </c>
      <c r="Z117" s="28" t="n">
        <v>13.4</v>
      </c>
      <c r="AA117" s="16">
        <f>SUM(B117:C117)</f>
        <v/>
      </c>
      <c r="AB117" s="17">
        <f>SUM(AA106:AA117)</f>
        <v/>
      </c>
      <c r="AC117" s="23">
        <f>AB117/12</f>
        <v/>
      </c>
      <c r="AD117" s="17">
        <f>SUM(D117:Z117)</f>
        <v/>
      </c>
      <c r="AE117" s="17">
        <f>SUM(AD106:AD117)</f>
        <v/>
      </c>
      <c r="AF117" s="23">
        <f>AE117/12</f>
        <v/>
      </c>
      <c r="AG117" s="31" t="n"/>
      <c r="AH117" s="31" t="n"/>
      <c r="AL117" s="32" t="n"/>
      <c r="AM117" s="32" t="n"/>
      <c r="AN117" s="32" t="n"/>
      <c r="AO117" s="32" t="n"/>
      <c r="AP117" s="32" t="n"/>
      <c r="AQ117" s="32" t="n"/>
    </row>
    <row r="118" ht="17" customHeight="1">
      <c r="A118" s="18" t="n">
        <v>44986</v>
      </c>
      <c r="B118" s="14" t="n">
        <v>146920</v>
      </c>
      <c r="C118" s="14" t="n">
        <v>22970</v>
      </c>
      <c r="D118" s="14" t="inlineStr">
        <is>
          <t>-</t>
        </is>
      </c>
      <c r="E118" s="14" t="n">
        <v>11198</v>
      </c>
      <c r="F118" s="14" t="n">
        <v>71</v>
      </c>
      <c r="G118" s="28" t="n">
        <v>903</v>
      </c>
      <c r="H118" s="14" t="n">
        <v>285</v>
      </c>
      <c r="I118" s="14" t="n">
        <v>35.8</v>
      </c>
      <c r="J118" s="26" t="n">
        <v>0</v>
      </c>
      <c r="K118" s="14" t="n">
        <v>603</v>
      </c>
      <c r="L118" s="14" t="n">
        <v>200</v>
      </c>
      <c r="M118" s="30" t="n">
        <v>800</v>
      </c>
      <c r="N118" s="30" t="n">
        <v>200</v>
      </c>
      <c r="O118" s="27">
        <f>0.05*580</f>
        <v/>
      </c>
      <c r="P118" s="27" t="n">
        <v>73</v>
      </c>
      <c r="Q118" s="26" t="n">
        <v>0</v>
      </c>
      <c r="R118" s="27" t="n"/>
      <c r="S118" s="27" t="n"/>
      <c r="T118" s="27" t="n"/>
      <c r="U118" s="14" t="n">
        <v>0</v>
      </c>
      <c r="V118" s="14" t="n">
        <v>15000</v>
      </c>
      <c r="W118" s="14">
        <f>'Raw Food Data (KG)'!Q79</f>
        <v/>
      </c>
      <c r="X118" s="14" t="n">
        <v>8000</v>
      </c>
      <c r="Y118" s="14" t="n">
        <v>24500</v>
      </c>
      <c r="Z118" s="28" t="n">
        <v>26.5</v>
      </c>
      <c r="AA118" s="16">
        <f>SUM(B118:C118)</f>
        <v/>
      </c>
      <c r="AB118" s="17">
        <f>SUM(AA107:AA118)</f>
        <v/>
      </c>
      <c r="AC118" s="23">
        <f>AB118/12</f>
        <v/>
      </c>
      <c r="AD118" s="17">
        <f>SUM(D118:Z118)</f>
        <v/>
      </c>
      <c r="AE118" s="17">
        <f>SUM(AD107:AD118)</f>
        <v/>
      </c>
      <c r="AF118" s="23">
        <f>AE118/12</f>
        <v/>
      </c>
      <c r="AG118" s="31" t="n"/>
      <c r="AH118" s="31" t="n"/>
      <c r="AL118" s="32" t="n"/>
      <c r="AM118" s="32" t="n"/>
      <c r="AN118" s="32" t="n"/>
      <c r="AO118" s="32" t="n"/>
      <c r="AP118" s="32" t="n"/>
      <c r="AQ118" s="32" t="n"/>
    </row>
    <row r="119" ht="17" customHeight="1">
      <c r="A119" s="18" t="n">
        <v>45017</v>
      </c>
      <c r="B119" s="14" t="n">
        <v>129810</v>
      </c>
      <c r="C119" s="14" t="n">
        <v>19680</v>
      </c>
      <c r="D119" s="14" t="inlineStr">
        <is>
          <t>-</t>
        </is>
      </c>
      <c r="E119" s="14" t="n">
        <v>10871</v>
      </c>
      <c r="F119" s="14" t="n">
        <v>61</v>
      </c>
      <c r="G119" s="28" t="n">
        <v>666</v>
      </c>
      <c r="H119" s="14" t="n">
        <v>220</v>
      </c>
      <c r="I119" s="14" t="n">
        <v>35.75</v>
      </c>
      <c r="J119" s="26" t="n">
        <v>0</v>
      </c>
      <c r="K119" s="14" t="n">
        <v>499</v>
      </c>
      <c r="L119" s="14" t="n">
        <v>250</v>
      </c>
      <c r="M119" s="33" t="n">
        <v>200</v>
      </c>
      <c r="N119" s="33" t="n">
        <v>200</v>
      </c>
      <c r="O119" s="27" t="n">
        <v>0</v>
      </c>
      <c r="P119" s="27" t="n">
        <v>48</v>
      </c>
      <c r="Q119" s="26" t="n">
        <v>0</v>
      </c>
      <c r="R119" s="27" t="n"/>
      <c r="S119" s="27" t="n"/>
      <c r="T119" s="27" t="n"/>
      <c r="U119" s="14">
        <f>39*27+7*55</f>
        <v/>
      </c>
      <c r="V119" s="14" t="n">
        <v>15000</v>
      </c>
      <c r="W119" s="14">
        <f>'Raw Food Data (KG)'!Q80</f>
        <v/>
      </c>
      <c r="X119" s="14" t="n">
        <v>4800</v>
      </c>
      <c r="Y119" s="14" t="n">
        <v>17500</v>
      </c>
      <c r="Z119" s="28" t="n">
        <v>6.5</v>
      </c>
      <c r="AA119" s="16">
        <f>SUM(B119:C119)</f>
        <v/>
      </c>
      <c r="AB119" s="17">
        <f>SUM(AA108:AA119)</f>
        <v/>
      </c>
      <c r="AC119" s="23">
        <f>AB119/12</f>
        <v/>
      </c>
      <c r="AD119" s="17">
        <f>SUM(D119:Z119)</f>
        <v/>
      </c>
      <c r="AE119" s="17">
        <f>SUM(AD108:AD119)</f>
        <v/>
      </c>
      <c r="AF119" s="23">
        <f>AE119/12</f>
        <v/>
      </c>
      <c r="AG119" s="31" t="n"/>
      <c r="AH119" s="31" t="n"/>
      <c r="AL119" s="32" t="n"/>
      <c r="AM119" s="32" t="n"/>
      <c r="AN119" s="32" t="n"/>
      <c r="AO119" s="32" t="n"/>
      <c r="AP119" s="32" t="n"/>
      <c r="AQ119" s="32" t="n"/>
    </row>
    <row r="120" ht="17" customHeight="1">
      <c r="A120" s="18" t="n">
        <v>45047</v>
      </c>
      <c r="B120" s="14" t="n">
        <v>131750</v>
      </c>
      <c r="C120" s="14" t="n">
        <v>20220</v>
      </c>
      <c r="D120" s="14" t="inlineStr">
        <is>
          <t>-</t>
        </is>
      </c>
      <c r="E120" s="14" t="n">
        <v>10533</v>
      </c>
      <c r="F120" s="14" t="n">
        <v>69</v>
      </c>
      <c r="G120" s="28" t="n">
        <v>569</v>
      </c>
      <c r="H120" s="14" t="n">
        <v>260</v>
      </c>
      <c r="I120" s="14" t="n">
        <v>28.9</v>
      </c>
      <c r="J120" s="26" t="n">
        <v>0</v>
      </c>
      <c r="K120" s="14" t="n">
        <v>0</v>
      </c>
      <c r="L120" s="14" t="n">
        <v>120</v>
      </c>
      <c r="M120" s="33" t="n">
        <v>400</v>
      </c>
      <c r="N120" s="33" t="n">
        <v>200</v>
      </c>
      <c r="O120" s="27" t="n">
        <v>0</v>
      </c>
      <c r="P120" s="27" t="n">
        <v>105</v>
      </c>
      <c r="Q120" s="26" t="n">
        <v>0</v>
      </c>
      <c r="R120" s="27" t="n"/>
      <c r="S120" s="27" t="n"/>
      <c r="T120" s="27" t="n"/>
      <c r="U120" s="14" t="n">
        <v>0</v>
      </c>
      <c r="V120" s="14" t="n">
        <v>12000</v>
      </c>
      <c r="W120" s="14">
        <f>'Raw Food Data (KG)'!Q81</f>
        <v/>
      </c>
      <c r="X120" s="14" t="n">
        <v>6400</v>
      </c>
      <c r="Y120" s="14" t="n">
        <v>24500</v>
      </c>
      <c r="Z120" s="28" t="n">
        <v>0</v>
      </c>
      <c r="AA120" s="16">
        <f>SUM(B120:C120)</f>
        <v/>
      </c>
      <c r="AB120" s="17">
        <f>SUM(AA109:AA120)</f>
        <v/>
      </c>
      <c r="AC120" s="23">
        <f>AB120/12</f>
        <v/>
      </c>
      <c r="AD120" s="17">
        <f>SUM(D120:Z120)</f>
        <v/>
      </c>
      <c r="AE120" s="17">
        <f>SUM(AD109:AD120)</f>
        <v/>
      </c>
      <c r="AF120" s="23">
        <f>AE120/12</f>
        <v/>
      </c>
      <c r="AG120" s="31" t="n"/>
      <c r="AH120" s="31" t="n"/>
      <c r="AL120" s="32" t="n"/>
      <c r="AM120" s="32" t="n"/>
      <c r="AN120" s="32" t="n"/>
      <c r="AO120" s="32" t="n"/>
      <c r="AP120" s="32" t="n"/>
      <c r="AQ120" s="32" t="n"/>
    </row>
    <row r="121" ht="17" customHeight="1">
      <c r="A121" s="18" t="n">
        <v>45078</v>
      </c>
      <c r="B121" s="14" t="n">
        <v>117380</v>
      </c>
      <c r="C121" s="14" t="n">
        <v>24830</v>
      </c>
      <c r="D121" s="14" t="inlineStr">
        <is>
          <t>-</t>
        </is>
      </c>
      <c r="E121" s="14" t="n">
        <v>10392</v>
      </c>
      <c r="F121" s="14" t="n">
        <v>63</v>
      </c>
      <c r="G121" s="28" t="n">
        <v>834</v>
      </c>
      <c r="H121" s="14" t="n">
        <v>244</v>
      </c>
      <c r="I121" s="14" t="n">
        <v>41.45</v>
      </c>
      <c r="J121" s="34" t="n">
        <v>0</v>
      </c>
      <c r="K121" s="14" t="n">
        <v>608</v>
      </c>
      <c r="L121" s="14" t="n">
        <v>180</v>
      </c>
      <c r="M121" s="33" t="n">
        <v>1200</v>
      </c>
      <c r="N121" s="33" t="n">
        <v>200</v>
      </c>
      <c r="O121" s="27" t="n">
        <v>0</v>
      </c>
      <c r="P121" s="27" t="n">
        <v>22</v>
      </c>
      <c r="Q121" s="34" t="n">
        <v>0</v>
      </c>
      <c r="R121" s="27" t="n"/>
      <c r="S121" s="27" t="n"/>
      <c r="T121" s="27" t="n"/>
      <c r="U121" s="14" t="n">
        <v>0</v>
      </c>
      <c r="V121" s="14" t="n">
        <v>12000</v>
      </c>
      <c r="W121" s="14">
        <f>'Raw Food Data (KG)'!Q82</f>
        <v/>
      </c>
      <c r="X121" s="14" t="n">
        <v>8000</v>
      </c>
      <c r="Y121" s="14" t="n">
        <v>24500</v>
      </c>
      <c r="Z121" s="28" t="n">
        <v>43</v>
      </c>
      <c r="AA121" s="16">
        <f>SUM(B121:C121)</f>
        <v/>
      </c>
      <c r="AB121" s="17">
        <f>SUM(AA110:AA121)</f>
        <v/>
      </c>
      <c r="AC121" s="23">
        <f>AB121/12</f>
        <v/>
      </c>
      <c r="AD121" s="17">
        <f>SUM(D121:Z121)</f>
        <v/>
      </c>
      <c r="AE121" s="17">
        <f>SUM(AD110:AD121)</f>
        <v/>
      </c>
      <c r="AF121" s="23">
        <f>AE121/12</f>
        <v/>
      </c>
      <c r="AG121" s="31" t="n"/>
      <c r="AH121" s="24">
        <f>AB121+AE121</f>
        <v/>
      </c>
      <c r="AL121" s="32" t="n"/>
      <c r="AM121" s="32" t="n"/>
      <c r="AN121" s="32" t="n"/>
      <c r="AO121" s="32" t="n"/>
      <c r="AP121" s="32" t="n"/>
      <c r="AQ121" s="32" t="n"/>
    </row>
    <row r="122" ht="17" customHeight="1">
      <c r="A122" s="18" t="n">
        <v>45108</v>
      </c>
      <c r="B122" s="19" t="n">
        <v>112750</v>
      </c>
      <c r="C122" s="19" t="n">
        <v>23930</v>
      </c>
      <c r="D122" s="19" t="inlineStr">
        <is>
          <t xml:space="preserve"> - </t>
        </is>
      </c>
      <c r="E122" s="19">
        <f>6996+3674</f>
        <v/>
      </c>
      <c r="F122" s="19" t="n">
        <v>69</v>
      </c>
      <c r="G122" s="21" t="n">
        <v>846</v>
      </c>
      <c r="H122" s="19" t="n">
        <v>216</v>
      </c>
      <c r="I122" s="19" t="n">
        <v>43.5</v>
      </c>
      <c r="J122" s="34" t="n">
        <v>0</v>
      </c>
      <c r="K122" s="19" t="n">
        <v>673</v>
      </c>
      <c r="L122" s="19" t="n">
        <v>170</v>
      </c>
      <c r="M122" s="35" t="n">
        <v>1200</v>
      </c>
      <c r="N122" s="35" t="n">
        <v>400</v>
      </c>
      <c r="O122" s="13" t="n">
        <v>0</v>
      </c>
      <c r="P122" s="13" t="n">
        <v>0</v>
      </c>
      <c r="Q122" s="34" t="n">
        <v>0</v>
      </c>
      <c r="R122" s="13" t="n"/>
      <c r="S122" s="13" t="n"/>
      <c r="T122" s="13" t="n"/>
      <c r="U122" s="19" t="n">
        <v>513</v>
      </c>
      <c r="V122" s="19" t="n">
        <v>18000</v>
      </c>
      <c r="W122" s="14">
        <f>'Raw Food Data (KG)'!Q83</f>
        <v/>
      </c>
      <c r="X122" s="19">
        <f>7.185*1000</f>
        <v/>
      </c>
      <c r="Y122" s="19" t="n">
        <v>14485</v>
      </c>
      <c r="Z122" s="21" t="n">
        <v>0</v>
      </c>
      <c r="AA122" s="16">
        <f>SUM(B122:C122)</f>
        <v/>
      </c>
      <c r="AB122" s="17">
        <f>SUM(AA111:AA122)</f>
        <v/>
      </c>
      <c r="AC122" s="23">
        <f>AB122/12</f>
        <v/>
      </c>
      <c r="AD122" s="17">
        <f>SUM(D122:Z122)</f>
        <v/>
      </c>
      <c r="AE122" s="17">
        <f>SUM(AD111:AD122)</f>
        <v/>
      </c>
      <c r="AF122" s="23">
        <f>AE122/12</f>
        <v/>
      </c>
      <c r="AG122" s="31" t="n"/>
      <c r="AH122" s="31" t="n"/>
      <c r="AL122" s="32" t="n"/>
      <c r="AM122" s="32" t="n"/>
      <c r="AN122" s="32" t="n"/>
      <c r="AO122" s="32" t="n"/>
      <c r="AP122" s="32" t="n"/>
      <c r="AQ122" s="32" t="n"/>
    </row>
    <row r="123" ht="17" customHeight="1">
      <c r="A123" s="18" t="n">
        <v>45139</v>
      </c>
      <c r="B123" s="19" t="n">
        <v>124050</v>
      </c>
      <c r="C123" s="19" t="n">
        <v>29050</v>
      </c>
      <c r="D123" s="19" t="inlineStr">
        <is>
          <t xml:space="preserve"> - </t>
        </is>
      </c>
      <c r="E123" s="19">
        <f>7291+3441</f>
        <v/>
      </c>
      <c r="F123" s="19">
        <f>72</f>
        <v/>
      </c>
      <c r="G123" s="21">
        <f>800</f>
        <v/>
      </c>
      <c r="H123" s="19">
        <f>227</f>
        <v/>
      </c>
      <c r="I123" s="19" t="n">
        <v>53.9</v>
      </c>
      <c r="J123" s="34" t="n">
        <v>0</v>
      </c>
      <c r="K123" s="19" t="n">
        <v>996</v>
      </c>
      <c r="L123" s="19" t="n">
        <v>250</v>
      </c>
      <c r="M123" s="36" t="n">
        <v>600</v>
      </c>
      <c r="N123" s="36" t="n">
        <v>400</v>
      </c>
      <c r="O123" s="13" t="n">
        <v>0</v>
      </c>
      <c r="P123" s="13" t="n">
        <v>0</v>
      </c>
      <c r="Q123" s="34" t="n">
        <v>0</v>
      </c>
      <c r="R123" s="13" t="n"/>
      <c r="S123" s="13" t="n"/>
      <c r="T123" s="13" t="n"/>
      <c r="U123" s="19">
        <f>(8*27)+(2*4.5)+(6*35)</f>
        <v/>
      </c>
      <c r="V123" s="19" t="n">
        <v>15000</v>
      </c>
      <c r="W123" s="14">
        <f>'Raw Food Data (KG)'!Q84</f>
        <v/>
      </c>
      <c r="X123" s="19">
        <f>7.2*1000</f>
        <v/>
      </c>
      <c r="Y123" s="19" t="n">
        <v>20070</v>
      </c>
      <c r="Z123" s="21" t="n">
        <v>21.1</v>
      </c>
      <c r="AA123" s="16">
        <f>SUM(B123:C123)</f>
        <v/>
      </c>
      <c r="AB123" s="17">
        <f>SUM(AA112:AA123)</f>
        <v/>
      </c>
      <c r="AC123" s="23">
        <f>AB123/12</f>
        <v/>
      </c>
      <c r="AD123" s="17">
        <f>SUM(D123:Z123)</f>
        <v/>
      </c>
      <c r="AE123" s="17">
        <f>SUM(AD112:AD123)</f>
        <v/>
      </c>
      <c r="AF123" s="23">
        <f>AE123/12</f>
        <v/>
      </c>
      <c r="AG123" s="31" t="n"/>
      <c r="AH123" s="31" t="n"/>
      <c r="AL123" s="32" t="n"/>
      <c r="AM123" s="32" t="n"/>
      <c r="AN123" s="32" t="n"/>
      <c r="AO123" s="32" t="n"/>
      <c r="AP123" s="32" t="n"/>
      <c r="AQ123" s="32" t="n"/>
    </row>
    <row r="124" ht="17" customHeight="1">
      <c r="A124" s="18" t="n">
        <v>45170</v>
      </c>
      <c r="B124" s="19" t="n">
        <v>139580</v>
      </c>
      <c r="C124" s="19" t="n">
        <v>18300</v>
      </c>
      <c r="D124" s="19" t="inlineStr">
        <is>
          <t xml:space="preserve"> - </t>
        </is>
      </c>
      <c r="E124" s="19">
        <f>7713+3422</f>
        <v/>
      </c>
      <c r="F124" s="19">
        <f>70</f>
        <v/>
      </c>
      <c r="G124" s="21">
        <f>731</f>
        <v/>
      </c>
      <c r="H124" s="19">
        <f>261</f>
        <v/>
      </c>
      <c r="I124" s="19">
        <f>43.75</f>
        <v/>
      </c>
      <c r="J124" s="34" t="n">
        <v>0</v>
      </c>
      <c r="K124" s="19" t="n">
        <v>0</v>
      </c>
      <c r="L124" s="19" t="n">
        <v>180</v>
      </c>
      <c r="M124" s="36" t="n">
        <v>800</v>
      </c>
      <c r="N124" s="36" t="n">
        <v>400</v>
      </c>
      <c r="O124" s="13" t="n">
        <v>74</v>
      </c>
      <c r="P124" s="13" t="n">
        <v>0</v>
      </c>
      <c r="Q124" s="34" t="n">
        <v>0</v>
      </c>
      <c r="R124" s="13" t="n"/>
      <c r="S124" s="13" t="n"/>
      <c r="T124" s="13" t="n"/>
      <c r="U124" s="19">
        <f>(19*27)+(4*4.5)</f>
        <v/>
      </c>
      <c r="V124" s="19" t="n">
        <v>15000</v>
      </c>
      <c r="W124" s="14">
        <f>'Raw Food Data (KG)'!Q85</f>
        <v/>
      </c>
      <c r="X124" s="19">
        <f>11.215*1000</f>
        <v/>
      </c>
      <c r="Y124" s="19" t="n">
        <v>37770</v>
      </c>
      <c r="Z124" s="21" t="n">
        <v>17.6</v>
      </c>
      <c r="AA124" s="16">
        <f>SUM(B124:C124)</f>
        <v/>
      </c>
      <c r="AB124" s="17">
        <f>SUM(AA113:AA124)</f>
        <v/>
      </c>
      <c r="AC124" s="23">
        <f>AB124/12</f>
        <v/>
      </c>
      <c r="AD124" s="17">
        <f>SUM(D124:Z124)</f>
        <v/>
      </c>
      <c r="AE124" s="17">
        <f>SUM(AD113:AD124)</f>
        <v/>
      </c>
      <c r="AF124" s="23">
        <f>AE124/12</f>
        <v/>
      </c>
      <c r="AG124" s="37" t="n"/>
      <c r="AH124" s="37" t="n"/>
      <c r="AL124" s="32" t="n"/>
      <c r="AM124" s="32" t="n"/>
      <c r="AN124" s="32" t="n"/>
      <c r="AO124" s="32" t="n"/>
      <c r="AP124" s="32" t="n"/>
      <c r="AQ124" s="32" t="n"/>
    </row>
    <row r="125" ht="17" customHeight="1">
      <c r="A125" s="18" t="n">
        <v>45200</v>
      </c>
      <c r="B125" s="19" t="n">
        <v>133760</v>
      </c>
      <c r="C125" s="19" t="n">
        <v>17930</v>
      </c>
      <c r="D125" s="19" t="inlineStr">
        <is>
          <t xml:space="preserve"> - </t>
        </is>
      </c>
      <c r="E125" s="19">
        <f>8080+3224</f>
        <v/>
      </c>
      <c r="F125" s="19" t="n">
        <v>72</v>
      </c>
      <c r="G125" s="21" t="n">
        <v>661</v>
      </c>
      <c r="H125" s="19" t="n">
        <v>323</v>
      </c>
      <c r="I125" s="19" t="n">
        <v>19.6</v>
      </c>
      <c r="J125" s="34" t="n">
        <v>0</v>
      </c>
      <c r="K125" s="19" t="n">
        <v>1412</v>
      </c>
      <c r="L125" s="19" t="n">
        <v>170</v>
      </c>
      <c r="M125" s="36" t="n">
        <v>400</v>
      </c>
      <c r="N125" s="36" t="n">
        <v>200</v>
      </c>
      <c r="O125" s="13" t="n">
        <v>77</v>
      </c>
      <c r="P125" s="13" t="n">
        <v>0</v>
      </c>
      <c r="Q125" s="34" t="n">
        <v>0</v>
      </c>
      <c r="R125" s="13" t="n"/>
      <c r="S125" s="13" t="n"/>
      <c r="T125" s="13" t="n"/>
      <c r="U125" s="19">
        <f>(13*27)+(3*4.5)</f>
        <v/>
      </c>
      <c r="V125" s="19" t="n">
        <v>15000</v>
      </c>
      <c r="W125" s="14">
        <f>'Raw Food Data (KG)'!Q86</f>
        <v/>
      </c>
      <c r="X125" s="19">
        <f>1000*9.565</f>
        <v/>
      </c>
      <c r="Y125" s="19" t="n">
        <v>20910</v>
      </c>
      <c r="Z125" s="21" t="n">
        <v>0</v>
      </c>
      <c r="AA125" s="16">
        <f>SUM(B125:C125)</f>
        <v/>
      </c>
      <c r="AB125" s="17">
        <f>SUM(AA114:AA125)</f>
        <v/>
      </c>
      <c r="AC125" s="23">
        <f>AB125/12</f>
        <v/>
      </c>
      <c r="AD125" s="17">
        <f>SUM(D125:Z125)</f>
        <v/>
      </c>
      <c r="AE125" s="17">
        <f>SUM(AD114:AD125)</f>
        <v/>
      </c>
      <c r="AF125" s="23">
        <f>AE125/12</f>
        <v/>
      </c>
      <c r="AG125" s="37" t="n"/>
      <c r="AH125" s="37" t="n"/>
      <c r="AL125" s="32" t="n"/>
      <c r="AM125" s="32" t="n"/>
      <c r="AN125" s="32" t="n"/>
      <c r="AO125" s="32" t="n"/>
      <c r="AP125" s="32" t="n"/>
      <c r="AQ125" s="32" t="n"/>
    </row>
    <row r="126" ht="17" customHeight="1">
      <c r="A126" s="18" t="n">
        <v>45253</v>
      </c>
      <c r="B126" s="19" t="n">
        <v>138502</v>
      </c>
      <c r="C126" s="19" t="n">
        <v>19760</v>
      </c>
      <c r="D126" s="19" t="inlineStr">
        <is>
          <t>-</t>
        </is>
      </c>
      <c r="E126" s="19">
        <f>9388+4072</f>
        <v/>
      </c>
      <c r="F126" s="19" t="n">
        <v>86</v>
      </c>
      <c r="G126" s="21" t="n">
        <v>666</v>
      </c>
      <c r="H126" s="19" t="n">
        <v>399</v>
      </c>
      <c r="I126" s="19" t="n">
        <v>20.6</v>
      </c>
      <c r="J126" s="34" t="n">
        <v>0</v>
      </c>
      <c r="K126" s="19" t="n">
        <v>975</v>
      </c>
      <c r="L126" s="19" t="n">
        <v>190</v>
      </c>
      <c r="M126" s="36" t="n">
        <v>800</v>
      </c>
      <c r="N126" s="38" t="n">
        <v>400</v>
      </c>
      <c r="O126" s="13" t="n">
        <v>0</v>
      </c>
      <c r="P126" s="13" t="n">
        <v>0</v>
      </c>
      <c r="Q126" s="34" t="n">
        <v>0</v>
      </c>
      <c r="R126" s="13" t="n"/>
      <c r="S126" s="13" t="n"/>
      <c r="T126" s="13" t="n"/>
      <c r="U126" s="19">
        <f>(12*27)+(5*4.5)+391</f>
        <v/>
      </c>
      <c r="V126" s="19" t="n">
        <v>12000</v>
      </c>
      <c r="W126" s="14">
        <f>'Raw Food Data (KG)'!Q87</f>
        <v/>
      </c>
      <c r="X126" s="19">
        <f>1000*7.803</f>
        <v/>
      </c>
      <c r="Y126" s="19" t="n">
        <v>15947</v>
      </c>
      <c r="Z126" s="21" t="n">
        <v>27.2</v>
      </c>
      <c r="AA126" s="16">
        <f>SUM(B126:C126)</f>
        <v/>
      </c>
      <c r="AB126" s="17">
        <f>SUM(AA115:AA126)</f>
        <v/>
      </c>
      <c r="AC126" s="23">
        <f>AB126/12</f>
        <v/>
      </c>
      <c r="AD126" s="17">
        <f>SUM(D126:Z126)</f>
        <v/>
      </c>
      <c r="AE126" s="17">
        <f>SUM(AD115:AD126)</f>
        <v/>
      </c>
      <c r="AF126" s="23">
        <f>AE126/12</f>
        <v/>
      </c>
      <c r="AG126" s="37" t="n"/>
      <c r="AH126" s="37" t="n"/>
      <c r="AL126" s="32" t="n"/>
      <c r="AM126" s="32" t="n"/>
      <c r="AN126" s="32" t="n"/>
      <c r="AO126" s="32" t="n"/>
      <c r="AP126" s="32" t="n"/>
      <c r="AQ126" s="32" t="n"/>
    </row>
    <row r="127" ht="17" customHeight="1">
      <c r="A127" s="18" t="n">
        <v>45261</v>
      </c>
      <c r="B127" s="19" t="n">
        <v>128818</v>
      </c>
      <c r="C127" s="19" t="n">
        <v>19890</v>
      </c>
      <c r="D127" s="19" t="inlineStr">
        <is>
          <t>-</t>
        </is>
      </c>
      <c r="E127" s="19">
        <f>9155+4287</f>
        <v/>
      </c>
      <c r="F127" s="19" t="n">
        <v>83</v>
      </c>
      <c r="G127" s="21" t="n">
        <v>259</v>
      </c>
      <c r="H127" s="19" t="n">
        <v>379</v>
      </c>
      <c r="I127" s="19" t="n">
        <v>17.8</v>
      </c>
      <c r="J127" s="34" t="n">
        <v>0</v>
      </c>
      <c r="K127" s="19" t="n">
        <v>856</v>
      </c>
      <c r="L127" s="19" t="n">
        <v>180</v>
      </c>
      <c r="M127" s="36" t="n">
        <v>1200</v>
      </c>
      <c r="N127" s="38" t="n">
        <v>600</v>
      </c>
      <c r="O127" s="13" t="n">
        <v>0</v>
      </c>
      <c r="P127" s="13" t="n">
        <v>0</v>
      </c>
      <c r="Q127" s="34" t="n">
        <v>0</v>
      </c>
      <c r="R127" s="13" t="n"/>
      <c r="S127" s="13" t="n"/>
      <c r="T127" s="13" t="n"/>
      <c r="U127" s="19">
        <f>838+447</f>
        <v/>
      </c>
      <c r="V127" s="19" t="n">
        <v>15000</v>
      </c>
      <c r="W127" s="14">
        <f>'Raw Food Data (KG)'!Q88</f>
        <v/>
      </c>
      <c r="X127" s="19">
        <f>19.833*1000</f>
        <v/>
      </c>
      <c r="Y127" s="19">
        <f>7885</f>
        <v/>
      </c>
      <c r="Z127" s="21" t="n">
        <v>0</v>
      </c>
      <c r="AA127" s="16">
        <f>SUM(B127:C127)</f>
        <v/>
      </c>
      <c r="AB127" s="17">
        <f>SUM(AA116:AA127)</f>
        <v/>
      </c>
      <c r="AC127" s="23">
        <f>AB127/12</f>
        <v/>
      </c>
      <c r="AD127" s="17">
        <f>SUM(D127:Z127)</f>
        <v/>
      </c>
      <c r="AE127" s="17">
        <f>SUM(AD116:AD127)</f>
        <v/>
      </c>
      <c r="AF127" s="23">
        <f>AE127/12</f>
        <v/>
      </c>
      <c r="AG127" s="37" t="n"/>
      <c r="AH127" s="37" t="n"/>
      <c r="AJ127" s="17">
        <f>AE133/AB133</f>
        <v/>
      </c>
      <c r="AL127" s="32" t="n"/>
      <c r="AM127" s="32" t="n"/>
      <c r="AN127" s="32" t="n"/>
      <c r="AO127" s="32" t="n"/>
      <c r="AP127" s="32" t="n"/>
      <c r="AQ127" s="32" t="n"/>
    </row>
    <row r="128" ht="17" customHeight="1">
      <c r="A128" s="18" t="n">
        <v>45292</v>
      </c>
      <c r="B128" s="19">
        <f>109960+48</f>
        <v/>
      </c>
      <c r="C128" s="19" t="n">
        <v>20330</v>
      </c>
      <c r="D128" s="19" t="inlineStr">
        <is>
          <t>-</t>
        </is>
      </c>
      <c r="E128" s="19" t="n">
        <v>13416</v>
      </c>
      <c r="F128" s="19" t="n">
        <v>75</v>
      </c>
      <c r="G128" s="21" t="n">
        <v>660</v>
      </c>
      <c r="H128" s="19" t="n">
        <v>359</v>
      </c>
      <c r="I128" s="19" t="n">
        <v>19.8</v>
      </c>
      <c r="J128" s="34" t="n">
        <v>0</v>
      </c>
      <c r="K128" s="19" t="n">
        <v>0</v>
      </c>
      <c r="L128" s="19" t="n">
        <v>200</v>
      </c>
      <c r="M128" s="36" t="n">
        <v>800</v>
      </c>
      <c r="N128" s="36" t="n">
        <v>400</v>
      </c>
      <c r="O128" s="39" t="n">
        <v>371</v>
      </c>
      <c r="P128" s="39" t="n">
        <v>128</v>
      </c>
      <c r="Q128" s="34" t="n">
        <v>0</v>
      </c>
      <c r="R128" s="19" t="n"/>
      <c r="S128" s="19" t="n"/>
      <c r="T128" s="19" t="n"/>
      <c r="U128" s="19">
        <f>435+482.5</f>
        <v/>
      </c>
      <c r="V128" s="19" t="n">
        <v>18000</v>
      </c>
      <c r="W128" s="14">
        <f>'Raw Food Data (KG)'!Q89</f>
        <v/>
      </c>
      <c r="X128" s="19" t="n">
        <v>21650</v>
      </c>
      <c r="Y128" s="19" t="n">
        <v>7650</v>
      </c>
      <c r="Z128" s="21" t="n">
        <v>6</v>
      </c>
      <c r="AA128" s="16">
        <f>SUM(B128:C128)</f>
        <v/>
      </c>
      <c r="AB128" s="17">
        <f>SUM(AA117:AA128)</f>
        <v/>
      </c>
      <c r="AC128" s="23">
        <f>AB128/12</f>
        <v/>
      </c>
      <c r="AD128" s="17">
        <f>SUM(D128:Z128)</f>
        <v/>
      </c>
      <c r="AE128" s="17">
        <f>SUM(AD117:AD128)</f>
        <v/>
      </c>
      <c r="AF128" s="23">
        <f>AE128/12</f>
        <v/>
      </c>
      <c r="AG128" s="37" t="n"/>
      <c r="AH128" s="37" t="n"/>
      <c r="AL128" s="32" t="n"/>
      <c r="AM128" s="32" t="n"/>
      <c r="AN128" s="32" t="n"/>
      <c r="AO128" s="32" t="n"/>
      <c r="AP128" s="32" t="n"/>
      <c r="AQ128" s="32" t="n"/>
    </row>
    <row r="129" ht="17" customHeight="1">
      <c r="A129" s="18" t="n">
        <v>45323</v>
      </c>
      <c r="B129" s="40">
        <f>107.19*1000+9.9</f>
        <v/>
      </c>
      <c r="C129" s="19">
        <f>15.82*1000</f>
        <v/>
      </c>
      <c r="D129" s="19" t="inlineStr">
        <is>
          <t>-</t>
        </is>
      </c>
      <c r="E129" s="19">
        <f>8541+4048</f>
        <v/>
      </c>
      <c r="F129" s="19" t="n">
        <v>75</v>
      </c>
      <c r="G129" s="21" t="n">
        <v>243</v>
      </c>
      <c r="H129" s="19" t="n">
        <v>356</v>
      </c>
      <c r="I129" s="19" t="n">
        <v>15.4</v>
      </c>
      <c r="J129" s="34" t="n">
        <v>0</v>
      </c>
      <c r="K129" s="19" t="n">
        <v>698</v>
      </c>
      <c r="L129" s="41" t="n">
        <v>160</v>
      </c>
      <c r="M129" s="42" t="n">
        <v>800</v>
      </c>
      <c r="N129" s="42" t="n">
        <v>200</v>
      </c>
      <c r="O129" s="39" t="n">
        <v>201</v>
      </c>
      <c r="P129" s="39" t="n">
        <v>115</v>
      </c>
      <c r="Q129" s="34" t="n">
        <v>0</v>
      </c>
      <c r="R129" s="19" t="n"/>
      <c r="S129" s="19" t="n"/>
      <c r="T129" s="19" t="n"/>
      <c r="U129" s="19">
        <f>218.1+135</f>
        <v/>
      </c>
      <c r="V129" s="19" t="n">
        <v>15000</v>
      </c>
      <c r="W129" s="14">
        <f>'Raw Food Data (KG)'!Q90</f>
        <v/>
      </c>
      <c r="X129" s="39" t="n">
        <v>15470</v>
      </c>
      <c r="Y129" s="39" t="n">
        <v>6340</v>
      </c>
      <c r="Z129" s="39" t="n">
        <v>4.7</v>
      </c>
      <c r="AA129" s="16">
        <f>SUM(B129:C129)</f>
        <v/>
      </c>
      <c r="AB129" s="17">
        <f>SUM(AA118:AA129)</f>
        <v/>
      </c>
      <c r="AC129" s="23">
        <f>AB129/12</f>
        <v/>
      </c>
      <c r="AD129" s="17">
        <f>SUM(D129:Z129)</f>
        <v/>
      </c>
      <c r="AE129" s="17">
        <f>SUM(AD118:AD129)</f>
        <v/>
      </c>
      <c r="AF129" s="23">
        <f>AE129/12</f>
        <v/>
      </c>
      <c r="AG129" s="37" t="n"/>
      <c r="AH129" s="37" t="n"/>
    </row>
    <row r="130" ht="17" customHeight="1">
      <c r="A130" s="18" t="n">
        <v>45352</v>
      </c>
      <c r="B130" s="19">
        <f>124360+49.7</f>
        <v/>
      </c>
      <c r="C130" s="19" t="n">
        <v>17340</v>
      </c>
      <c r="D130" s="19" t="inlineStr">
        <is>
          <t>-</t>
        </is>
      </c>
      <c r="E130" s="19" t="n">
        <v>13346</v>
      </c>
      <c r="F130" s="19" t="n">
        <v>78</v>
      </c>
      <c r="G130" s="21" t="n">
        <v>455</v>
      </c>
      <c r="H130" s="19" t="n">
        <v>393</v>
      </c>
      <c r="I130" s="19" t="n">
        <v>22.8</v>
      </c>
      <c r="J130" s="34" t="n">
        <v>0</v>
      </c>
      <c r="K130" s="19" t="n">
        <v>597</v>
      </c>
      <c r="L130" s="19" t="n">
        <v>130</v>
      </c>
      <c r="M130" s="35" t="n">
        <v>400</v>
      </c>
      <c r="N130" s="35" t="n">
        <v>400</v>
      </c>
      <c r="O130" s="41" t="n">
        <v>0</v>
      </c>
      <c r="P130" s="39" t="n">
        <v>0</v>
      </c>
      <c r="Q130" s="34" t="n">
        <v>0</v>
      </c>
      <c r="R130" s="19" t="n"/>
      <c r="S130" s="19" t="n"/>
      <c r="T130" s="19" t="n"/>
      <c r="U130" s="19">
        <f>425+360</f>
        <v/>
      </c>
      <c r="V130" s="19" t="n">
        <v>15000</v>
      </c>
      <c r="W130" s="14">
        <f>'Raw Food Data (KG)'!Q91</f>
        <v/>
      </c>
      <c r="X130" s="39" t="n">
        <v>17465</v>
      </c>
      <c r="Y130" s="39" t="n">
        <v>6740</v>
      </c>
      <c r="Z130" s="39" t="n">
        <v>32.6</v>
      </c>
      <c r="AA130" s="16">
        <f>SUM(B130:C130)</f>
        <v/>
      </c>
      <c r="AB130" s="17">
        <f>SUM(AA119:AA130)</f>
        <v/>
      </c>
      <c r="AC130" s="23">
        <f>AB130/12</f>
        <v/>
      </c>
      <c r="AD130" s="17">
        <f>SUM(D130:Z130)</f>
        <v/>
      </c>
      <c r="AE130" s="17">
        <f>SUM(AD119:AD130)</f>
        <v/>
      </c>
      <c r="AF130" s="23">
        <f>AE130/12</f>
        <v/>
      </c>
      <c r="AG130" s="37" t="n"/>
      <c r="AH130" s="37" t="n"/>
    </row>
    <row r="131" ht="17" customHeight="1">
      <c r="A131" s="18" t="n">
        <v>45383</v>
      </c>
      <c r="B131" s="19" t="n">
        <v>118019</v>
      </c>
      <c r="C131" s="19" t="n">
        <v>18260</v>
      </c>
      <c r="D131" s="19" t="inlineStr">
        <is>
          <t>-</t>
        </is>
      </c>
      <c r="E131" s="19" t="n">
        <v>12371</v>
      </c>
      <c r="F131" s="19" t="n">
        <v>79</v>
      </c>
      <c r="G131" s="21" t="n">
        <v>660</v>
      </c>
      <c r="H131" s="19" t="n">
        <v>413</v>
      </c>
      <c r="I131" s="19" t="n">
        <v>64.8</v>
      </c>
      <c r="J131" s="39" t="n">
        <v>0</v>
      </c>
      <c r="K131" s="19" t="n">
        <v>917</v>
      </c>
      <c r="L131" s="19" t="n">
        <v>200</v>
      </c>
      <c r="M131" s="35" t="n">
        <v>600</v>
      </c>
      <c r="N131" s="35" t="n">
        <v>200</v>
      </c>
      <c r="O131" s="39" t="n">
        <v>40</v>
      </c>
      <c r="P131" s="39" t="n">
        <v>210</v>
      </c>
      <c r="Q131" s="39" t="n">
        <v>0</v>
      </c>
      <c r="R131" s="19" t="n"/>
      <c r="S131" s="19" t="n"/>
      <c r="T131" s="19" t="n"/>
      <c r="U131" s="19">
        <f>242+198</f>
        <v/>
      </c>
      <c r="V131" s="19" t="n">
        <v>15000</v>
      </c>
      <c r="W131" s="14">
        <f>'Raw Food Data (KG)'!Q92</f>
        <v/>
      </c>
      <c r="X131" s="39" t="n">
        <v>6415</v>
      </c>
      <c r="Y131" s="39" t="n">
        <v>13000</v>
      </c>
      <c r="Z131" s="39" t="n">
        <v>22.8</v>
      </c>
      <c r="AA131" s="16">
        <f>SUM(B131:C131)</f>
        <v/>
      </c>
      <c r="AB131" s="17">
        <f>SUM(AA120:AA131)</f>
        <v/>
      </c>
      <c r="AC131" s="23">
        <f>AB131/12</f>
        <v/>
      </c>
      <c r="AD131" s="17">
        <f>SUM(D131:Z131)</f>
        <v/>
      </c>
      <c r="AE131" s="17">
        <f>SUM(AD120:AD131)</f>
        <v/>
      </c>
      <c r="AF131" s="23">
        <f>AE131/12</f>
        <v/>
      </c>
      <c r="AG131" s="37" t="n"/>
      <c r="AH131" s="37" t="n"/>
      <c r="AI131" s="43" t="n"/>
      <c r="AL131" s="17" t="n"/>
    </row>
    <row r="132" ht="17" customHeight="1">
      <c r="A132" s="18" t="n">
        <v>45413</v>
      </c>
      <c r="B132" s="19" t="n">
        <v>146460</v>
      </c>
      <c r="C132" s="19" t="n">
        <v>21780</v>
      </c>
      <c r="D132" s="19" t="inlineStr">
        <is>
          <t>-</t>
        </is>
      </c>
      <c r="E132" s="19" t="n">
        <v>13434</v>
      </c>
      <c r="F132" s="19" t="n">
        <v>83</v>
      </c>
      <c r="G132" s="21" t="n">
        <v>674</v>
      </c>
      <c r="H132" s="19" t="n">
        <v>396</v>
      </c>
      <c r="I132" s="13" t="n">
        <v>70.2</v>
      </c>
      <c r="J132" s="44" t="n">
        <v>0</v>
      </c>
      <c r="K132" s="19" t="n">
        <v>321</v>
      </c>
      <c r="L132" s="19" t="n">
        <v>150</v>
      </c>
      <c r="M132" s="35" t="n">
        <v>800</v>
      </c>
      <c r="N132" s="35" t="n">
        <v>400</v>
      </c>
      <c r="O132" s="39" t="n">
        <v>41</v>
      </c>
      <c r="P132" s="39" t="n">
        <v>74</v>
      </c>
      <c r="Q132" s="39" t="n">
        <v>0</v>
      </c>
      <c r="R132" s="19" t="n"/>
      <c r="S132" s="19" t="n"/>
      <c r="T132" s="19" t="n"/>
      <c r="U132" s="19" t="n">
        <v>359</v>
      </c>
      <c r="V132" s="19" t="n">
        <v>12000</v>
      </c>
      <c r="W132" s="14">
        <f>'Raw Food Data (KG)'!Q93</f>
        <v/>
      </c>
      <c r="X132" s="45" t="n">
        <v>7575</v>
      </c>
      <c r="Y132" s="45" t="n">
        <v>11695</v>
      </c>
      <c r="Z132" s="39" t="n">
        <v>35.7</v>
      </c>
      <c r="AA132" s="16">
        <f>SUM(B132:C132)</f>
        <v/>
      </c>
      <c r="AB132" s="17">
        <f>SUM(AA121:AA132)</f>
        <v/>
      </c>
      <c r="AC132" s="23">
        <f>AB132/12</f>
        <v/>
      </c>
      <c r="AD132" s="17">
        <f>SUM(D132:Z132)</f>
        <v/>
      </c>
      <c r="AE132" s="17">
        <f>SUM(AD121:AD132)</f>
        <v/>
      </c>
      <c r="AF132" s="23">
        <f>AE132/12</f>
        <v/>
      </c>
      <c r="AG132" s="37" t="n"/>
      <c r="AH132" s="37" t="n"/>
      <c r="AI132" s="43" t="n"/>
      <c r="AL132" s="17" t="n"/>
    </row>
    <row r="133" ht="17" customHeight="1">
      <c r="A133" s="18" t="n">
        <v>45444</v>
      </c>
      <c r="B133" s="19" t="n">
        <v>126612</v>
      </c>
      <c r="C133" s="19" t="n">
        <v>19770</v>
      </c>
      <c r="D133" s="19" t="inlineStr">
        <is>
          <t>-</t>
        </is>
      </c>
      <c r="E133" s="19" t="n">
        <v>12778</v>
      </c>
      <c r="F133" s="19" t="n">
        <v>84</v>
      </c>
      <c r="G133" s="21" t="n">
        <v>1003</v>
      </c>
      <c r="H133" s="19" t="n">
        <v>366</v>
      </c>
      <c r="I133" s="13" t="n">
        <v>81</v>
      </c>
      <c r="J133" s="39" t="n">
        <v>0</v>
      </c>
      <c r="K133" s="19" t="n">
        <v>612</v>
      </c>
      <c r="L133" s="19" t="n">
        <v>150</v>
      </c>
      <c r="M133" s="35" t="n">
        <v>400</v>
      </c>
      <c r="N133" s="35" t="n">
        <v>200</v>
      </c>
      <c r="O133" s="39" t="n">
        <v>0</v>
      </c>
      <c r="P133" s="39" t="n">
        <v>0</v>
      </c>
      <c r="Q133" s="39" t="n">
        <v>0</v>
      </c>
      <c r="R133" s="39" t="n"/>
      <c r="S133" s="39" t="n"/>
      <c r="T133" s="39" t="n"/>
      <c r="U133" s="19" t="n">
        <v>372.5</v>
      </c>
      <c r="V133" s="19" t="n">
        <v>18000</v>
      </c>
      <c r="W133" s="14">
        <f>'Raw Food Data (KG)'!Q94</f>
        <v/>
      </c>
      <c r="X133" s="39" t="n">
        <v>4565</v>
      </c>
      <c r="Y133" s="39" t="n">
        <v>14570</v>
      </c>
      <c r="Z133" s="39" t="n">
        <v>33.7</v>
      </c>
      <c r="AA133" s="16">
        <f>SUM(B133:C133)</f>
        <v/>
      </c>
      <c r="AB133" s="17">
        <f>SUM(AA122:AA133)</f>
        <v/>
      </c>
      <c r="AC133" s="23">
        <f>AB133/12</f>
        <v/>
      </c>
      <c r="AD133" s="17">
        <f>SUM(D133:Z133)</f>
        <v/>
      </c>
      <c r="AE133" s="17">
        <f>SUM(AD122:AD133)</f>
        <v/>
      </c>
      <c r="AF133" s="23">
        <f>AE133/12</f>
        <v/>
      </c>
      <c r="AG133" s="37" t="n"/>
      <c r="AH133" s="24">
        <f>AB133+AE133</f>
        <v/>
      </c>
      <c r="AK133" s="17" t="inlineStr">
        <is>
          <t>Recyclables</t>
        </is>
      </c>
      <c r="AL133" s="17" t="inlineStr">
        <is>
          <t>Trash</t>
        </is>
      </c>
    </row>
    <row r="134" ht="17" customHeight="1">
      <c r="A134" s="18" t="n">
        <v>45474</v>
      </c>
      <c r="B134" s="14">
        <f>137128.6+202</f>
        <v/>
      </c>
      <c r="C134" s="14" t="n">
        <v>23390</v>
      </c>
      <c r="D134" s="14" t="inlineStr">
        <is>
          <t>-</t>
        </is>
      </c>
      <c r="E134" s="14">
        <f>8765+3647</f>
        <v/>
      </c>
      <c r="F134" s="14" t="n">
        <v>86</v>
      </c>
      <c r="G134" s="14" t="n">
        <v>808</v>
      </c>
      <c r="H134" s="14" t="n">
        <v>361</v>
      </c>
      <c r="I134" s="14" t="n">
        <v>62</v>
      </c>
      <c r="J134" s="14" t="n">
        <v>0</v>
      </c>
      <c r="K134" s="14" t="n">
        <v>704</v>
      </c>
      <c r="L134" s="14" t="n">
        <v>210</v>
      </c>
      <c r="M134" s="46" t="n">
        <v>800</v>
      </c>
      <c r="N134" s="46" t="n">
        <v>400</v>
      </c>
      <c r="O134" s="14" t="n">
        <v>0</v>
      </c>
      <c r="P134" s="14" t="n">
        <v>0</v>
      </c>
      <c r="Q134" s="14" t="n">
        <v>0</v>
      </c>
      <c r="R134" s="14" t="n"/>
      <c r="S134" s="14" t="n"/>
      <c r="T134" s="14" t="n"/>
      <c r="U134" s="14">
        <f>1318+141.5</f>
        <v/>
      </c>
      <c r="V134" s="47" t="n">
        <v>18000</v>
      </c>
      <c r="W134" s="14">
        <f>'Raw Food Data (KG)'!Q95</f>
        <v/>
      </c>
      <c r="X134" s="14" t="n">
        <v>6540</v>
      </c>
      <c r="Y134" s="14" t="n">
        <v>13230</v>
      </c>
      <c r="Z134" s="14" t="n">
        <v>11.7</v>
      </c>
      <c r="AA134" s="16">
        <f>SUM(B134:C134)</f>
        <v/>
      </c>
      <c r="AB134" s="17">
        <f>SUM(AA123:AA134)</f>
        <v/>
      </c>
      <c r="AC134" s="23">
        <f>AB134/12</f>
        <v/>
      </c>
      <c r="AD134" s="17">
        <f>SUM(D134:Z134)</f>
        <v/>
      </c>
      <c r="AE134" s="17">
        <f>SUM(AD123:AD134)</f>
        <v/>
      </c>
      <c r="AF134" s="23">
        <f>AE134/12</f>
        <v/>
      </c>
      <c r="AG134" s="37" t="n"/>
      <c r="AH134" s="17" t="n"/>
      <c r="AJ134" s="17" t="inlineStr">
        <is>
          <t>2014/15</t>
        </is>
      </c>
      <c r="AK134" s="17" t="n">
        <v>9423.403416666666</v>
      </c>
      <c r="AL134" s="17" t="n">
        <v>276791.6666666667</v>
      </c>
      <c r="AM134" s="48">
        <f>AK134/AL134</f>
        <v/>
      </c>
    </row>
    <row r="135" ht="17" customHeight="1">
      <c r="A135" s="18" t="n">
        <v>45505</v>
      </c>
      <c r="B135" s="14">
        <f>120300+37</f>
        <v/>
      </c>
      <c r="C135" s="14" t="n">
        <v>19700</v>
      </c>
      <c r="D135" s="14" t="inlineStr">
        <is>
          <t>-</t>
        </is>
      </c>
      <c r="E135" s="14" t="n">
        <v>13553</v>
      </c>
      <c r="F135" s="14" t="n">
        <v>87</v>
      </c>
      <c r="G135" s="14" t="n">
        <v>300</v>
      </c>
      <c r="H135" s="14" t="n">
        <v>366</v>
      </c>
      <c r="I135" s="14" t="n">
        <v>65</v>
      </c>
      <c r="J135" s="14" t="n">
        <v>0</v>
      </c>
      <c r="K135" s="49" t="n">
        <v>479</v>
      </c>
      <c r="L135" s="49" t="n">
        <v>150</v>
      </c>
      <c r="M135" s="46" t="n">
        <v>800</v>
      </c>
      <c r="N135" s="46" t="n">
        <v>400</v>
      </c>
      <c r="O135" s="14" t="n">
        <v>26</v>
      </c>
      <c r="P135" s="14" t="n">
        <v>88</v>
      </c>
      <c r="Q135" s="14" t="n">
        <v>0</v>
      </c>
      <c r="R135" s="14" t="n"/>
      <c r="S135" s="14" t="n"/>
      <c r="T135" s="14" t="n"/>
      <c r="U135" s="14">
        <f>237+(27*4+35*5+4.5*6+27)</f>
        <v/>
      </c>
      <c r="V135" s="47" t="n">
        <v>21000</v>
      </c>
      <c r="W135" s="14">
        <f>'Raw Food Data (KG)'!Q96</f>
        <v/>
      </c>
      <c r="X135" s="14" t="n">
        <v>7880</v>
      </c>
      <c r="Y135" s="14" t="n">
        <v>16335</v>
      </c>
      <c r="Z135" s="14" t="n">
        <v>12.2</v>
      </c>
      <c r="AA135" s="16">
        <f>SUM(B135:C135)</f>
        <v/>
      </c>
      <c r="AB135" s="17">
        <f>SUM(AA124:AA135)</f>
        <v/>
      </c>
      <c r="AC135" s="23">
        <f>AB135/12</f>
        <v/>
      </c>
      <c r="AD135" s="17">
        <f>SUM(D135:Z135)</f>
        <v/>
      </c>
      <c r="AE135" s="17">
        <f>SUM(AD124:AD135)</f>
        <v/>
      </c>
      <c r="AF135" s="23">
        <f>AE135/12</f>
        <v/>
      </c>
      <c r="AG135" s="37" t="n"/>
      <c r="AH135" s="17" t="n"/>
      <c r="AJ135" s="17" t="inlineStr">
        <is>
          <t>2015/16</t>
        </is>
      </c>
      <c r="AK135" s="17" t="n">
        <v>10069.91849983334</v>
      </c>
      <c r="AL135" s="17" t="n">
        <v>265604.1666666667</v>
      </c>
      <c r="AM135" s="48">
        <f>AK135/AL135</f>
        <v/>
      </c>
    </row>
    <row r="136" ht="17" customHeight="1">
      <c r="A136" s="18" t="n">
        <v>45536</v>
      </c>
      <c r="B136" s="14">
        <f>134870+40</f>
        <v/>
      </c>
      <c r="C136" s="14" t="n">
        <v>19020</v>
      </c>
      <c r="D136" s="14" t="inlineStr">
        <is>
          <t>-</t>
        </is>
      </c>
      <c r="E136" s="14" t="n">
        <v>13355</v>
      </c>
      <c r="F136" s="14" t="n">
        <v>88</v>
      </c>
      <c r="G136" s="14" t="n">
        <v>520</v>
      </c>
      <c r="H136" s="14" t="n">
        <v>349</v>
      </c>
      <c r="I136" s="14" t="n">
        <v>79</v>
      </c>
      <c r="J136" s="14" t="n">
        <v>0</v>
      </c>
      <c r="K136" s="14" t="n">
        <v>432</v>
      </c>
      <c r="L136" s="14" t="n">
        <v>140</v>
      </c>
      <c r="M136" s="46" t="n">
        <v>400</v>
      </c>
      <c r="N136" s="46" t="n">
        <v>200</v>
      </c>
      <c r="O136" s="14" t="n">
        <v>27</v>
      </c>
      <c r="P136" s="14" t="n">
        <v>57</v>
      </c>
      <c r="Q136" s="14" t="n">
        <v>0</v>
      </c>
      <c r="R136" s="14" t="n"/>
      <c r="S136" s="14" t="n"/>
      <c r="T136" s="14" t="n"/>
      <c r="U136" s="14">
        <f>229+7+(27*3+35*6+35*7+27*44)</f>
        <v/>
      </c>
      <c r="V136" s="14" t="n">
        <v>12000</v>
      </c>
      <c r="W136" s="14">
        <f>'Raw Food Data (KG)'!Q97</f>
        <v/>
      </c>
      <c r="X136" s="14" t="n">
        <v>6620</v>
      </c>
      <c r="Y136" s="14" t="n">
        <v>17160</v>
      </c>
      <c r="Z136" s="14" t="n">
        <v>14.6</v>
      </c>
      <c r="AA136" s="16">
        <f>SUM(B136:C136)</f>
        <v/>
      </c>
      <c r="AB136" s="17">
        <f>SUM(AA125:AA136)</f>
        <v/>
      </c>
      <c r="AC136" s="23">
        <f>AB136/12</f>
        <v/>
      </c>
      <c r="AD136" s="17">
        <f>SUM(D136:Z136)</f>
        <v/>
      </c>
      <c r="AE136" s="17">
        <f>SUM(AD125:AD136)</f>
        <v/>
      </c>
      <c r="AF136" s="23">
        <f>AE136/12</f>
        <v/>
      </c>
      <c r="AG136" s="37" t="n"/>
      <c r="AH136" s="17" t="n"/>
      <c r="AJ136" s="17" t="inlineStr">
        <is>
          <t>2016/17</t>
        </is>
      </c>
      <c r="AK136" s="17" t="n">
        <v>32198.02024991667</v>
      </c>
      <c r="AL136" s="17" t="n">
        <v>246776.6666666667</v>
      </c>
      <c r="AM136" s="48">
        <f>AK136/AL136</f>
        <v/>
      </c>
    </row>
    <row r="137" ht="17" customHeight="1">
      <c r="A137" s="18" t="n">
        <v>45566</v>
      </c>
      <c r="B137" s="14" t="n">
        <v>139170</v>
      </c>
      <c r="C137" s="14" t="n">
        <v>17510</v>
      </c>
      <c r="D137" s="14" t="inlineStr">
        <is>
          <t>-</t>
        </is>
      </c>
      <c r="E137" s="14">
        <f>10104+4291</f>
        <v/>
      </c>
      <c r="F137" s="14" t="n">
        <v>110</v>
      </c>
      <c r="G137" s="14" t="n">
        <v>621</v>
      </c>
      <c r="H137" s="14" t="n">
        <v>394</v>
      </c>
      <c r="I137" s="14" t="n">
        <v>85</v>
      </c>
      <c r="J137" s="14" t="n">
        <v>0</v>
      </c>
      <c r="K137" s="14" t="n">
        <v>483.3</v>
      </c>
      <c r="L137" s="14" t="n">
        <v>140</v>
      </c>
      <c r="M137" s="46" t="n">
        <v>800</v>
      </c>
      <c r="N137" s="46" t="n">
        <v>400</v>
      </c>
      <c r="O137" s="14" t="n">
        <v>99</v>
      </c>
      <c r="P137" s="14" t="n">
        <v>40</v>
      </c>
      <c r="Q137" s="14" t="n">
        <v>0</v>
      </c>
      <c r="R137" s="14" t="n"/>
      <c r="S137" s="14" t="n"/>
      <c r="T137" s="14" t="n"/>
      <c r="U137" s="17">
        <f>34*27+5*4.5+4.5</f>
        <v/>
      </c>
      <c r="V137" s="47" t="n">
        <v>12000</v>
      </c>
      <c r="W137" s="14">
        <f>'Raw Food Data (KG)'!Q98</f>
        <v/>
      </c>
      <c r="X137" s="14" t="n">
        <v>6395</v>
      </c>
      <c r="Y137" s="14" t="n">
        <v>16830</v>
      </c>
      <c r="Z137" s="14" t="n">
        <v>10.6</v>
      </c>
      <c r="AA137" s="16">
        <f>SUM(B137:C137)</f>
        <v/>
      </c>
      <c r="AB137" s="17">
        <f>SUM(AA126:AA137)</f>
        <v/>
      </c>
      <c r="AC137" s="23">
        <f>AB137/12</f>
        <v/>
      </c>
      <c r="AD137" s="17">
        <f>SUM(D137:Z137)</f>
        <v/>
      </c>
      <c r="AE137" s="17">
        <f>SUM(AD126:AD137)</f>
        <v/>
      </c>
      <c r="AF137" s="23">
        <f>AE137/12</f>
        <v/>
      </c>
      <c r="AG137" s="37" t="n"/>
      <c r="AH137" s="17" t="n"/>
      <c r="AJ137" s="17" t="inlineStr">
        <is>
          <t>2017/18</t>
        </is>
      </c>
      <c r="AK137" s="17" t="n">
        <v>47478.8795</v>
      </c>
      <c r="AL137" s="17" t="n">
        <v>241889.1666666667</v>
      </c>
      <c r="AM137" s="48">
        <f>AK137/AL137</f>
        <v/>
      </c>
    </row>
    <row r="138" ht="17" customHeight="1">
      <c r="A138" s="18" t="n">
        <v>45597</v>
      </c>
      <c r="B138" s="14" t="n">
        <v>140950</v>
      </c>
      <c r="C138" s="14" t="n">
        <v>16470</v>
      </c>
      <c r="D138" s="14" t="inlineStr">
        <is>
          <t>-</t>
        </is>
      </c>
      <c r="E138" s="14">
        <f>9802+4178</f>
        <v/>
      </c>
      <c r="F138" s="14" t="n">
        <v>101</v>
      </c>
      <c r="G138" s="14" t="n">
        <v>979</v>
      </c>
      <c r="H138" s="14" t="n">
        <v>374</v>
      </c>
      <c r="I138" s="14" t="n">
        <v>77</v>
      </c>
      <c r="J138" s="14" t="n">
        <v>0</v>
      </c>
      <c r="K138" s="14" t="n">
        <v>597</v>
      </c>
      <c r="L138" s="14" t="inlineStr">
        <is>
          <t>-</t>
        </is>
      </c>
      <c r="M138" s="46" t="n">
        <v>800</v>
      </c>
      <c r="N138" s="46" t="n">
        <v>200</v>
      </c>
      <c r="O138" s="14" t="n">
        <v>11</v>
      </c>
      <c r="P138" s="17" t="n">
        <v>30</v>
      </c>
      <c r="Q138" s="14" t="n">
        <v>0</v>
      </c>
      <c r="R138" s="14" t="n"/>
      <c r="S138" s="14" t="n"/>
      <c r="T138" s="14" t="n"/>
      <c r="U138" s="14" t="n">
        <v>252</v>
      </c>
      <c r="V138" s="47" t="n">
        <v>18000</v>
      </c>
      <c r="W138" s="14">
        <f>'Raw Food Data (KG)'!Q99</f>
        <v/>
      </c>
      <c r="X138" s="14" t="n">
        <v>6575</v>
      </c>
      <c r="Y138" s="14" t="n">
        <v>12345</v>
      </c>
      <c r="Z138" s="14" t="n">
        <v>6.7</v>
      </c>
      <c r="AA138" s="16">
        <f>SUM(B138:C138)</f>
        <v/>
      </c>
      <c r="AB138" s="17">
        <f>SUM(AA127:AA138)</f>
        <v/>
      </c>
      <c r="AC138" s="23">
        <f>AB138/12</f>
        <v/>
      </c>
      <c r="AD138" s="17">
        <f>SUM(D138:Z138)</f>
        <v/>
      </c>
      <c r="AE138" s="17">
        <f>SUM(AD127:AD138)</f>
        <v/>
      </c>
      <c r="AF138" s="23">
        <f>AE138/12</f>
        <v/>
      </c>
      <c r="AG138" s="37" t="n"/>
      <c r="AH138" s="17" t="n"/>
      <c r="AJ138" s="17" t="inlineStr">
        <is>
          <t>2018/19</t>
        </is>
      </c>
      <c r="AK138" s="17" t="n">
        <v>63529.37308333334</v>
      </c>
      <c r="AL138" s="17" t="n">
        <v>193603.8910833333</v>
      </c>
      <c r="AM138" s="48">
        <f>AK138/AL138</f>
        <v/>
      </c>
    </row>
    <row r="139" ht="17" customHeight="1">
      <c r="A139" s="18" t="n">
        <v>45627</v>
      </c>
      <c r="B139" s="14" t="n">
        <v>125300</v>
      </c>
      <c r="C139" s="14" t="n">
        <v>18200</v>
      </c>
      <c r="D139" s="14" t="inlineStr">
        <is>
          <t>-</t>
        </is>
      </c>
      <c r="E139" s="14">
        <f>9342+3734</f>
        <v/>
      </c>
      <c r="F139" s="14" t="n">
        <v>89</v>
      </c>
      <c r="G139" s="14" t="n">
        <v>786</v>
      </c>
      <c r="H139" s="14" t="n">
        <v>327</v>
      </c>
      <c r="I139" s="14" t="n">
        <v>69</v>
      </c>
      <c r="J139" s="14" t="n">
        <v>0</v>
      </c>
      <c r="K139" s="14" t="n">
        <v>500.3</v>
      </c>
      <c r="L139" s="14" t="n">
        <v>130</v>
      </c>
      <c r="M139" s="46" t="n">
        <v>800</v>
      </c>
      <c r="N139" s="46" t="n">
        <v>400</v>
      </c>
      <c r="O139" s="14" t="n">
        <v>15</v>
      </c>
      <c r="P139" s="14" t="n">
        <v>76</v>
      </c>
      <c r="Q139" s="14" t="n">
        <v>0</v>
      </c>
      <c r="R139" s="14" t="n"/>
      <c r="S139" s="14" t="n"/>
      <c r="T139" s="14" t="n"/>
      <c r="U139" s="14" t="n">
        <v>324</v>
      </c>
      <c r="V139" s="47" t="n">
        <v>12000</v>
      </c>
      <c r="W139" s="14">
        <f>'Raw Food Data (KG)'!Q100</f>
        <v/>
      </c>
      <c r="X139" s="14" t="n">
        <v>4805</v>
      </c>
      <c r="Y139" s="14" t="n">
        <v>10635</v>
      </c>
      <c r="Z139" s="14" t="n">
        <v>13.4</v>
      </c>
      <c r="AA139" s="16">
        <f>SUM(B139:C139)</f>
        <v/>
      </c>
      <c r="AB139" s="17">
        <f>SUM(AA128:AA139)</f>
        <v/>
      </c>
      <c r="AC139" s="23">
        <f>AB139/12</f>
        <v/>
      </c>
      <c r="AD139" s="17">
        <f>SUM(D139:Z139)</f>
        <v/>
      </c>
      <c r="AE139" s="17">
        <f>SUM(AD128:AD139)</f>
        <v/>
      </c>
      <c r="AF139" s="23">
        <f>AE139/12</f>
        <v/>
      </c>
      <c r="AG139" s="37" t="n"/>
      <c r="AH139" s="17" t="n"/>
      <c r="AJ139" s="17" t="inlineStr">
        <is>
          <t>2019/20</t>
        </is>
      </c>
      <c r="AK139" s="17" t="n">
        <v>75551.92791666667</v>
      </c>
      <c r="AL139" s="17" t="n">
        <v>149170</v>
      </c>
      <c r="AM139" s="48">
        <f>AK139/AL139</f>
        <v/>
      </c>
    </row>
    <row r="140" ht="17" customHeight="1">
      <c r="A140" s="18" t="n">
        <v>45658</v>
      </c>
      <c r="B140" s="14" t="n">
        <v>110380</v>
      </c>
      <c r="C140" s="14" t="n">
        <v>13520</v>
      </c>
      <c r="D140" s="14" t="inlineStr">
        <is>
          <t>-</t>
        </is>
      </c>
      <c r="E140" s="14">
        <f>8584+3596</f>
        <v/>
      </c>
      <c r="F140" s="14" t="n">
        <v>85</v>
      </c>
      <c r="G140" s="14" t="n">
        <v>252</v>
      </c>
      <c r="H140" s="14" t="n">
        <v>306</v>
      </c>
      <c r="I140" s="14" t="n">
        <v>82</v>
      </c>
      <c r="J140" s="14" t="n">
        <v>0</v>
      </c>
      <c r="K140" s="14" t="n">
        <v>535.7</v>
      </c>
      <c r="L140" s="14" t="n">
        <v>140</v>
      </c>
      <c r="M140" s="50" t="n">
        <v>400</v>
      </c>
      <c r="N140" s="50" t="n">
        <v>200</v>
      </c>
      <c r="O140" s="14" t="n">
        <v>0</v>
      </c>
      <c r="P140" s="14" t="n">
        <v>0</v>
      </c>
      <c r="Q140" s="14" t="n">
        <v>0</v>
      </c>
      <c r="R140" s="14" t="n"/>
      <c r="S140" s="14" t="n"/>
      <c r="T140" s="14" t="n"/>
      <c r="U140" s="14">
        <f>432+270</f>
        <v/>
      </c>
      <c r="V140" s="47" t="n">
        <v>15000</v>
      </c>
      <c r="W140" s="14">
        <f>'Raw Food Data (KG)'!Q101</f>
        <v/>
      </c>
      <c r="X140" s="14" t="n">
        <v>6125</v>
      </c>
      <c r="Y140" s="14" t="n">
        <v>14663</v>
      </c>
      <c r="Z140" s="14" t="n">
        <v>8.5</v>
      </c>
      <c r="AA140" s="16">
        <f>SUM(B140:C140)</f>
        <v/>
      </c>
      <c r="AB140" s="17">
        <f>SUM(AA129:AA140)</f>
        <v/>
      </c>
      <c r="AC140" s="23">
        <f>AB140/12</f>
        <v/>
      </c>
      <c r="AD140" s="17">
        <f>SUM(D140:Z140)</f>
        <v/>
      </c>
      <c r="AE140" s="17">
        <f>SUM(AD129:AD140)</f>
        <v/>
      </c>
      <c r="AF140" s="23">
        <f>AE140/12</f>
        <v/>
      </c>
      <c r="AG140" s="37" t="n"/>
      <c r="AH140" s="17" t="n"/>
      <c r="AJ140" s="17" t="inlineStr">
        <is>
          <t>2020/21</t>
        </is>
      </c>
      <c r="AK140" s="17" t="n">
        <v>86727.12541666666</v>
      </c>
      <c r="AL140" s="17" t="n">
        <v>119968.3333333333</v>
      </c>
      <c r="AM140" s="48">
        <f>AK140/AL140</f>
        <v/>
      </c>
    </row>
    <row r="141" ht="17" customHeight="1">
      <c r="A141" s="18" t="n">
        <v>45689</v>
      </c>
      <c r="B141" s="14" t="n">
        <v>125120</v>
      </c>
      <c r="C141" s="14" t="n">
        <v>14790</v>
      </c>
      <c r="D141" s="14" t="inlineStr">
        <is>
          <t>-</t>
        </is>
      </c>
      <c r="E141" s="14">
        <f>9026+3793</f>
        <v/>
      </c>
      <c r="F141" s="14" t="n">
        <v>99</v>
      </c>
      <c r="G141" s="14" t="n">
        <v>755</v>
      </c>
      <c r="H141" s="14" t="n">
        <v>340</v>
      </c>
      <c r="I141" s="14" t="n">
        <v>98</v>
      </c>
      <c r="J141" s="14" t="n">
        <v>0</v>
      </c>
      <c r="K141" s="14" t="n">
        <v>307.5</v>
      </c>
      <c r="L141" s="14" t="n">
        <v>150</v>
      </c>
      <c r="M141" s="46" t="n">
        <v>200</v>
      </c>
      <c r="N141" s="46" t="n">
        <v>200</v>
      </c>
      <c r="O141" s="14" t="n">
        <v>70</v>
      </c>
      <c r="P141" s="14" t="n">
        <v>53</v>
      </c>
      <c r="Q141" s="14" t="n">
        <v>0</v>
      </c>
      <c r="R141" s="14" t="n"/>
      <c r="S141" s="14" t="n"/>
      <c r="T141" s="14" t="n"/>
      <c r="U141" s="14" t="n">
        <v>403</v>
      </c>
      <c r="V141" s="47" t="n">
        <v>12000</v>
      </c>
      <c r="W141" s="14">
        <f>'Raw Food Data (KG)'!Q102</f>
        <v/>
      </c>
      <c r="X141" s="14" t="n">
        <v>6455</v>
      </c>
      <c r="Y141" s="14" t="n">
        <v>10741</v>
      </c>
      <c r="Z141" s="14" t="n">
        <v>21</v>
      </c>
      <c r="AA141" s="16">
        <f>SUM(B141:C141)</f>
        <v/>
      </c>
      <c r="AB141" s="17">
        <f>SUM(AA130:AA141)</f>
        <v/>
      </c>
      <c r="AC141" s="23">
        <f>AB141/12</f>
        <v/>
      </c>
      <c r="AD141" s="17">
        <f>SUM(D141:Z141)</f>
        <v/>
      </c>
      <c r="AE141" s="17">
        <f>SUM(AD130:AD141)</f>
        <v/>
      </c>
      <c r="AF141" s="23">
        <f>AE141/12</f>
        <v/>
      </c>
      <c r="AG141" s="37" t="n"/>
      <c r="AH141" s="17" t="n"/>
      <c r="AJ141" s="17" t="inlineStr">
        <is>
          <t>2021/22</t>
        </is>
      </c>
      <c r="AK141" s="17" t="n">
        <v>94779.712</v>
      </c>
      <c r="AL141" s="17" t="n">
        <v>131232.25</v>
      </c>
      <c r="AM141" s="48">
        <f>AK141/AL141</f>
        <v/>
      </c>
    </row>
    <row r="142" ht="17" customHeight="1">
      <c r="A142" s="18" t="n">
        <v>45717</v>
      </c>
      <c r="B142" s="14" t="n">
        <v>139600</v>
      </c>
      <c r="C142" s="14" t="n">
        <v>19610</v>
      </c>
      <c r="D142" s="14" t="inlineStr">
        <is>
          <t>-</t>
        </is>
      </c>
      <c r="E142" s="14">
        <f>9687+4115</f>
        <v/>
      </c>
      <c r="F142" s="14" t="n">
        <v>111</v>
      </c>
      <c r="G142" s="14" t="n">
        <v>922</v>
      </c>
      <c r="H142" s="14">
        <f>385+149</f>
        <v/>
      </c>
      <c r="I142" s="14" t="n">
        <v>92</v>
      </c>
      <c r="J142" s="14" t="n">
        <v>0</v>
      </c>
      <c r="K142" s="14" t="n">
        <v>913</v>
      </c>
      <c r="L142" s="14" t="n">
        <v>110</v>
      </c>
      <c r="M142" s="50" t="n">
        <v>800</v>
      </c>
      <c r="N142" s="50" t="n">
        <v>400</v>
      </c>
      <c r="O142" s="14" t="n">
        <v>140</v>
      </c>
      <c r="P142" s="14" t="n">
        <v>27</v>
      </c>
      <c r="Q142" s="14" t="n">
        <v>0</v>
      </c>
      <c r="R142" s="14" t="n"/>
      <c r="S142" s="14" t="n"/>
      <c r="T142" s="14" t="n"/>
      <c r="U142" s="14" t="n">
        <v>779.5</v>
      </c>
      <c r="V142" s="14" t="n">
        <v>18000</v>
      </c>
      <c r="W142" s="14">
        <f>'Raw Food Data (KG)'!Q103</f>
        <v/>
      </c>
      <c r="X142" s="14" t="n">
        <v>5720</v>
      </c>
      <c r="Y142" s="14" t="n">
        <v>10890</v>
      </c>
      <c r="Z142" s="14" t="n">
        <v>25</v>
      </c>
      <c r="AA142" s="16">
        <f>SUM(B142:C142)</f>
        <v/>
      </c>
      <c r="AB142" s="17">
        <f>SUM(AA131:AA142)</f>
        <v/>
      </c>
      <c r="AC142" s="17">
        <f>AB142/12</f>
        <v/>
      </c>
      <c r="AD142" s="17">
        <f>SUM(D142:Z142)</f>
        <v/>
      </c>
      <c r="AE142" s="17">
        <f>SUM(AD131:AD142)</f>
        <v/>
      </c>
      <c r="AF142" s="17">
        <f>AE142/12</f>
        <v/>
      </c>
      <c r="AG142" s="37" t="n"/>
      <c r="AH142" s="17" t="n"/>
      <c r="AI142" s="17" t="n"/>
      <c r="AJ142" s="17" t="inlineStr">
        <is>
          <t>2022/23</t>
        </is>
      </c>
      <c r="AK142" s="17" t="n">
        <v>96835.15000000002</v>
      </c>
      <c r="AL142" s="17" t="n">
        <v>152359.1666666667</v>
      </c>
      <c r="AM142" s="48">
        <f>AK142/AL142</f>
        <v/>
      </c>
    </row>
    <row r="143" ht="17" customHeight="1">
      <c r="A143" s="18" t="n">
        <v>45748</v>
      </c>
      <c r="B143" s="14" t="n">
        <v>125070</v>
      </c>
      <c r="C143" s="14" t="n">
        <v>21290</v>
      </c>
      <c r="D143" s="14" t="inlineStr">
        <is>
          <t>-</t>
        </is>
      </c>
      <c r="E143" s="14">
        <f>9913+3880</f>
        <v/>
      </c>
      <c r="F143" s="14" t="n">
        <v>102</v>
      </c>
      <c r="G143" s="14" t="n">
        <v>1256</v>
      </c>
      <c r="H143" s="14" t="n">
        <v>393</v>
      </c>
      <c r="I143" s="14" t="n">
        <v>79</v>
      </c>
      <c r="J143" s="14" t="n">
        <v>0</v>
      </c>
      <c r="K143" s="14" t="n">
        <v>0</v>
      </c>
      <c r="L143" s="14" t="n">
        <v>130</v>
      </c>
      <c r="M143" s="46" t="n">
        <v>800</v>
      </c>
      <c r="N143" s="46" t="n">
        <v>400</v>
      </c>
      <c r="O143" s="14" t="n">
        <v>153</v>
      </c>
      <c r="P143" s="14" t="n">
        <v>51</v>
      </c>
      <c r="Q143" s="14" t="n">
        <v>0</v>
      </c>
      <c r="R143" s="14" t="n"/>
      <c r="S143" s="14" t="n"/>
      <c r="T143" s="14" t="n"/>
      <c r="U143" s="14" t="n">
        <v>108.5</v>
      </c>
      <c r="V143" s="47" t="n">
        <v>15000</v>
      </c>
      <c r="W143" s="14">
        <f>'Raw Food Data (KG)'!Q104</f>
        <v/>
      </c>
      <c r="X143" s="14" t="n">
        <v>5518</v>
      </c>
      <c r="Y143" s="14" t="n">
        <v>13267</v>
      </c>
      <c r="Z143" s="14" t="n">
        <v>7</v>
      </c>
      <c r="AA143" s="16">
        <f>SUM(B143:C143)</f>
        <v/>
      </c>
      <c r="AB143" s="17">
        <f>SUM(AA132:AA143)</f>
        <v/>
      </c>
      <c r="AC143" s="23">
        <f>AB143/12</f>
        <v/>
      </c>
      <c r="AD143" s="17">
        <f>SUM(D143:Z143)</f>
        <v/>
      </c>
      <c r="AE143" s="17">
        <f>SUM(AD132:AD143)</f>
        <v/>
      </c>
      <c r="AF143" s="23">
        <f>AE143/12</f>
        <v/>
      </c>
      <c r="AG143" s="37" t="n"/>
      <c r="AH143" s="17" t="n"/>
      <c r="AJ143" s="17" t="inlineStr">
        <is>
          <t>2023/24</t>
        </is>
      </c>
      <c r="AK143" s="17" t="n">
        <v>90505.82916666668</v>
      </c>
      <c r="AL143" s="17" t="n">
        <v>146027.3833333333</v>
      </c>
      <c r="AM143" s="48">
        <f>AK143/AL143</f>
        <v/>
      </c>
    </row>
    <row r="144" ht="17" customHeight="1">
      <c r="A144" s="18" t="n">
        <v>45778</v>
      </c>
      <c r="B144" s="14" t="n">
        <v>140130</v>
      </c>
      <c r="C144" s="14" t="n">
        <v>19990</v>
      </c>
      <c r="D144" s="14" t="inlineStr">
        <is>
          <t>-</t>
        </is>
      </c>
      <c r="E144" s="14">
        <f>9879+3720</f>
        <v/>
      </c>
      <c r="F144" s="14" t="n">
        <v>111</v>
      </c>
      <c r="G144" s="14" t="n">
        <v>1084</v>
      </c>
      <c r="H144" s="14">
        <f>418+30</f>
        <v/>
      </c>
      <c r="I144" s="14" t="n">
        <v>95</v>
      </c>
      <c r="J144" s="14" t="n">
        <v>0</v>
      </c>
      <c r="K144" s="14" t="n">
        <v>774.4</v>
      </c>
      <c r="L144" s="14" t="n">
        <v>150</v>
      </c>
      <c r="M144" s="46" t="n">
        <v>800</v>
      </c>
      <c r="N144" s="46" t="n">
        <v>400</v>
      </c>
      <c r="O144" s="14" t="n">
        <v>128</v>
      </c>
      <c r="P144" s="14" t="n">
        <v>58</v>
      </c>
      <c r="Q144" s="14" t="n">
        <v>0</v>
      </c>
      <c r="R144" s="14" t="n"/>
      <c r="S144" s="14" t="n"/>
      <c r="T144" s="14" t="n"/>
      <c r="U144" s="14" t="n">
        <v>475.5</v>
      </c>
      <c r="V144" s="47" t="n">
        <v>18000</v>
      </c>
      <c r="W144" s="14">
        <f>'Raw Food Data (KG)'!Q105</f>
        <v/>
      </c>
      <c r="X144" s="19" t="n">
        <v>5925</v>
      </c>
      <c r="Y144" s="19" t="n">
        <v>9595</v>
      </c>
      <c r="Z144" s="14" t="n">
        <v>10.1</v>
      </c>
      <c r="AA144" s="16">
        <f>SUM(B144:C144)</f>
        <v/>
      </c>
      <c r="AB144" s="17">
        <f>SUM(AA133:AA144)</f>
        <v/>
      </c>
      <c r="AC144" s="23">
        <f>AB144/12</f>
        <v/>
      </c>
      <c r="AD144" s="17">
        <f>SUM(D144:Z144)</f>
        <v/>
      </c>
      <c r="AE144" s="17">
        <f>SUM(AD133:AD144)</f>
        <v/>
      </c>
      <c r="AF144" s="23">
        <f>AE144/12</f>
        <v/>
      </c>
      <c r="AG144" s="37" t="n"/>
      <c r="AH144" s="17" t="n"/>
      <c r="AJ144" s="17" t="inlineStr">
        <is>
          <t>2024/25</t>
        </is>
      </c>
      <c r="AL144" s="17" t="n"/>
    </row>
    <row r="145" ht="17" customHeight="1">
      <c r="A145" s="18" t="n">
        <v>45809</v>
      </c>
      <c r="B145" s="14" t="n">
        <v>128640</v>
      </c>
      <c r="C145" s="14" t="n">
        <v>23570</v>
      </c>
      <c r="D145" s="14" t="inlineStr">
        <is>
          <t>-</t>
        </is>
      </c>
      <c r="E145" s="14">
        <f>8950+3936</f>
        <v/>
      </c>
      <c r="F145" s="14" t="n">
        <v>115</v>
      </c>
      <c r="G145" s="14" t="n">
        <v>864</v>
      </c>
      <c r="H145" s="14" t="n">
        <v>393</v>
      </c>
      <c r="I145" s="14" t="n">
        <v>83</v>
      </c>
      <c r="J145" s="14" t="n">
        <v>0</v>
      </c>
      <c r="K145" s="14" t="n">
        <v>314.6</v>
      </c>
      <c r="L145" s="14" t="n">
        <v>100</v>
      </c>
      <c r="M145" s="46" t="n">
        <v>800</v>
      </c>
      <c r="N145" s="46" t="n">
        <v>400</v>
      </c>
      <c r="O145" s="14" t="n">
        <v>163</v>
      </c>
      <c r="P145" s="14" t="n">
        <v>28</v>
      </c>
      <c r="Q145" s="14" t="n">
        <v>0</v>
      </c>
      <c r="R145" s="14" t="n"/>
      <c r="S145" s="14" t="n"/>
      <c r="T145" s="14" t="n"/>
      <c r="U145" s="14" t="n">
        <v>671.5</v>
      </c>
      <c r="V145" s="47" t="n">
        <v>18000</v>
      </c>
      <c r="W145" s="14">
        <f>'Raw Food Data (KG)'!Q106</f>
        <v/>
      </c>
      <c r="X145" s="19" t="n">
        <v>5780</v>
      </c>
      <c r="Y145" s="19" t="n">
        <v>18235</v>
      </c>
      <c r="Z145" s="14">
        <f>AVERAGE(Z134:Z144)</f>
        <v/>
      </c>
      <c r="AA145" s="16">
        <f>SUM(B145:C145)</f>
        <v/>
      </c>
      <c r="AB145" s="51">
        <f>SUM(AA134:AA145)</f>
        <v/>
      </c>
      <c r="AC145" s="23">
        <f>AB145/12</f>
        <v/>
      </c>
      <c r="AD145" s="17">
        <f>SUM(D145:Z145)</f>
        <v/>
      </c>
      <c r="AE145" s="51">
        <f>SUM(AD134:AD145)</f>
        <v/>
      </c>
      <c r="AF145" s="23">
        <f>AE145/12</f>
        <v/>
      </c>
      <c r="AG145" s="37" t="n"/>
      <c r="AH145" s="24">
        <f>AB145+AE145</f>
        <v/>
      </c>
      <c r="AJ145" s="48">
        <f>AE145/AH145</f>
        <v/>
      </c>
      <c r="AL145" s="17" t="n"/>
    </row>
    <row r="146">
      <c r="A146" s="18" t="n">
        <v>45839</v>
      </c>
      <c r="B146" s="19" t="n">
        <v>121260</v>
      </c>
      <c r="C146" s="19" t="n">
        <v>22800</v>
      </c>
      <c r="D146" s="19" t="n"/>
      <c r="E146" s="19">
        <f>9078+4024+657+385</f>
        <v/>
      </c>
      <c r="F146" s="19">
        <f>92+17</f>
        <v/>
      </c>
      <c r="G146" s="19" t="n">
        <v>953</v>
      </c>
      <c r="H146" s="19">
        <f>326+66+41</f>
        <v/>
      </c>
      <c r="I146" s="19" t="n">
        <v>83</v>
      </c>
      <c r="J146" s="19" t="n"/>
      <c r="K146" s="19" t="n">
        <v>0</v>
      </c>
      <c r="L146" s="19" t="n"/>
      <c r="M146" s="42" t="n">
        <v>800</v>
      </c>
      <c r="N146" s="42" t="n">
        <v>400</v>
      </c>
      <c r="O146" s="19" t="n">
        <v>135</v>
      </c>
      <c r="P146" s="19" t="n">
        <v>43</v>
      </c>
      <c r="Q146" s="19" t="n"/>
      <c r="R146" s="19" t="n"/>
      <c r="S146" s="19" t="n"/>
      <c r="T146" s="19" t="n"/>
      <c r="U146" s="19" t="n"/>
      <c r="V146" s="19" t="n">
        <v>13120</v>
      </c>
      <c r="W146" s="19">
        <f>'Raw Food Data (KG)'!Q107</f>
        <v/>
      </c>
      <c r="X146" s="19" t="n">
        <v>6740</v>
      </c>
      <c r="Y146" s="19" t="n">
        <v>13345</v>
      </c>
      <c r="Z146" s="19" t="n">
        <v>6</v>
      </c>
      <c r="AA146" s="16">
        <f>SUM(B146:C146)</f>
        <v/>
      </c>
      <c r="AB146" s="37" t="n"/>
      <c r="AC146" s="37" t="n"/>
      <c r="AF146" s="17" t="n"/>
      <c r="AG146" s="52" t="n"/>
      <c r="AH146" s="52" t="n"/>
      <c r="AI146" s="52" t="n"/>
      <c r="AJ146" s="52" t="n"/>
      <c r="AK146" s="52" t="n"/>
    </row>
    <row r="147">
      <c r="A147" s="18" t="n">
        <v>45870</v>
      </c>
      <c r="B147" s="19" t="n">
        <v>130380</v>
      </c>
      <c r="C147" s="19" t="n">
        <v>25120</v>
      </c>
      <c r="D147" s="19" t="n"/>
      <c r="E147" s="19">
        <f>9424+3980+714+395</f>
        <v/>
      </c>
      <c r="F147" s="19">
        <f>93+17</f>
        <v/>
      </c>
      <c r="G147" s="19" t="n">
        <v>780</v>
      </c>
      <c r="H147" s="19">
        <f>341+65+48</f>
        <v/>
      </c>
      <c r="I147" s="19" t="n">
        <v>91</v>
      </c>
      <c r="J147" s="19" t="n"/>
      <c r="K147" s="19" t="n">
        <v>893</v>
      </c>
      <c r="L147" s="19" t="n"/>
      <c r="M147" s="42" t="n">
        <v>800</v>
      </c>
      <c r="N147" s="42" t="n">
        <v>400</v>
      </c>
      <c r="O147" s="19" t="n">
        <v>125</v>
      </c>
      <c r="P147" s="19" t="n">
        <v>46</v>
      </c>
      <c r="Q147" s="19" t="n"/>
      <c r="R147" s="19" t="n"/>
      <c r="S147" s="19" t="n"/>
      <c r="T147" s="19" t="n"/>
      <c r="U147" s="19" t="n"/>
      <c r="V147" s="19" t="n">
        <v>15150</v>
      </c>
      <c r="W147" s="19">
        <f>'Raw Food Data (KG)'!Q108</f>
        <v/>
      </c>
      <c r="X147" s="19" t="n">
        <v>8680</v>
      </c>
      <c r="Y147" s="19" t="n">
        <v>20840</v>
      </c>
      <c r="Z147" s="19" t="n">
        <v>0</v>
      </c>
      <c r="AA147" s="16">
        <f>SUM(B147:C147)</f>
        <v/>
      </c>
      <c r="AB147" s="37" t="n"/>
      <c r="AC147" s="37" t="n"/>
      <c r="AE147" s="17" t="inlineStr">
        <is>
          <t>Appliances</t>
        </is>
      </c>
      <c r="AF147" s="17" t="inlineStr">
        <is>
          <t>Weight per pax</t>
        </is>
      </c>
      <c r="AG147" s="17" t="inlineStr">
        <is>
          <t>Quantity</t>
        </is>
      </c>
      <c r="AH147" s="17" t="inlineStr">
        <is>
          <t>total weight</t>
        </is>
      </c>
      <c r="AI147" s="52" t="n"/>
      <c r="AJ147" s="52" t="n"/>
      <c r="AK147" s="52" t="n"/>
    </row>
    <row r="148" ht="17" customHeight="1">
      <c r="A148" s="18" t="n">
        <v>45901</v>
      </c>
      <c r="B148" s="19" t="n">
        <v>141660</v>
      </c>
      <c r="C148" s="19" t="n">
        <v>24780</v>
      </c>
      <c r="D148" s="19" t="n"/>
      <c r="E148" s="19">
        <f>9017+3930+760+409</f>
        <v/>
      </c>
      <c r="F148" s="19">
        <f>94+15</f>
        <v/>
      </c>
      <c r="G148" s="19" t="n">
        <v>1806</v>
      </c>
      <c r="H148" s="19">
        <f>327+74</f>
        <v/>
      </c>
      <c r="I148" s="19" t="n">
        <v>117</v>
      </c>
      <c r="J148" s="19" t="n"/>
      <c r="K148" s="19" t="inlineStr">
        <is>
          <t>-</t>
        </is>
      </c>
      <c r="L148" s="19" t="n"/>
      <c r="M148" s="42" t="n">
        <v>800</v>
      </c>
      <c r="N148" s="42" t="n">
        <v>400</v>
      </c>
      <c r="O148" s="19" t="n">
        <v>0</v>
      </c>
      <c r="P148" s="19" t="n">
        <v>0</v>
      </c>
      <c r="Q148" s="19" t="n"/>
      <c r="R148" s="19" t="n"/>
      <c r="S148" s="19" t="n"/>
      <c r="T148" s="19" t="n"/>
      <c r="U148" s="19" t="n"/>
      <c r="V148" s="19" t="n">
        <v>14305</v>
      </c>
      <c r="W148" s="19">
        <f>'Raw Food Data (KG)'!Q109</f>
        <v/>
      </c>
      <c r="X148" s="19" t="n">
        <v>11010</v>
      </c>
      <c r="Y148" s="19" t="n">
        <v>13360</v>
      </c>
      <c r="Z148" s="19" t="n">
        <v>5</v>
      </c>
      <c r="AA148" s="17">
        <f>SUM(B148:C148)</f>
        <v/>
      </c>
      <c r="AB148" s="37" t="n"/>
      <c r="AC148" s="37" t="n"/>
      <c r="AE148" s="17" t="inlineStr">
        <is>
          <t>Refri</t>
        </is>
      </c>
      <c r="AF148" s="17" t="n"/>
      <c r="AG148" s="17" t="n"/>
      <c r="AH148" s="17" t="n"/>
      <c r="AI148" s="52" t="n"/>
      <c r="AJ148" s="52" t="n"/>
      <c r="AK148" s="52" t="n"/>
    </row>
    <row r="149">
      <c r="A149" s="18" t="n">
        <v>45931</v>
      </c>
      <c r="B149" s="19" t="n">
        <v>145450</v>
      </c>
      <c r="C149" s="19" t="n">
        <v>23010</v>
      </c>
      <c r="D149" s="53" t="n"/>
      <c r="E149" s="19">
        <f>8982+3900+681+389</f>
        <v/>
      </c>
      <c r="F149" s="19">
        <f>14+90</f>
        <v/>
      </c>
      <c r="G149" s="19" t="n">
        <v>1060</v>
      </c>
      <c r="H149" s="19">
        <f>310+69+13</f>
        <v/>
      </c>
      <c r="I149" s="19" t="n">
        <v>108</v>
      </c>
      <c r="J149" s="19" t="n"/>
      <c r="K149" s="19" t="n">
        <v>191.2</v>
      </c>
      <c r="L149" s="19" t="n"/>
      <c r="M149" s="42" t="n">
        <v>400</v>
      </c>
      <c r="N149" s="42" t="n">
        <v>200</v>
      </c>
      <c r="O149" s="19" t="n">
        <v>0</v>
      </c>
      <c r="P149" s="19" t="n">
        <v>42</v>
      </c>
      <c r="Q149" s="19" t="n"/>
      <c r="R149" s="19" t="n"/>
      <c r="S149" s="19" t="n"/>
      <c r="T149" s="19" t="n"/>
      <c r="U149" s="19" t="n"/>
      <c r="V149" s="19" t="n">
        <v>9655</v>
      </c>
      <c r="W149" s="19">
        <f>'Raw Food Data (KG)'!Q110</f>
        <v/>
      </c>
      <c r="X149" s="19" t="n">
        <v>10020</v>
      </c>
      <c r="Y149" s="19" t="n">
        <v>19145</v>
      </c>
      <c r="Z149" s="19" t="n">
        <v>11.5</v>
      </c>
      <c r="AA149" s="17" t="n"/>
      <c r="AB149" s="31" t="n"/>
      <c r="AC149" s="37" t="n"/>
      <c r="AE149" s="17" t="inlineStr">
        <is>
          <t>Washing</t>
        </is>
      </c>
      <c r="AF149" s="17" t="n"/>
      <c r="AG149" s="17" t="n"/>
      <c r="AH149" s="17" t="n"/>
      <c r="AI149" s="52" t="n"/>
      <c r="AJ149" s="52" t="n"/>
      <c r="AK149" s="52" t="n"/>
    </row>
    <row r="150">
      <c r="A150" s="18" t="n">
        <v>45962</v>
      </c>
      <c r="B150" s="19" t="n">
        <v>150840</v>
      </c>
      <c r="C150" s="19" t="n">
        <v>23410</v>
      </c>
      <c r="D150" s="19" t="n"/>
      <c r="E150" s="19" t="n">
        <v>14700</v>
      </c>
      <c r="F150" s="19" t="n">
        <v>120</v>
      </c>
      <c r="G150" s="19" t="n">
        <v>1382</v>
      </c>
      <c r="H150" s="19" t="n">
        <v>469</v>
      </c>
      <c r="I150" s="19" t="n">
        <v>135</v>
      </c>
      <c r="J150" s="19" t="n"/>
      <c r="K150" s="19" t="n">
        <v>946</v>
      </c>
      <c r="L150" s="19" t="n"/>
      <c r="M150" s="42" t="n">
        <v>800</v>
      </c>
      <c r="N150" s="42" t="n">
        <v>400</v>
      </c>
      <c r="O150" s="19" t="n">
        <v>24</v>
      </c>
      <c r="P150" s="19" t="n">
        <v>26</v>
      </c>
      <c r="Q150" s="19" t="n"/>
      <c r="R150" s="19" t="n"/>
      <c r="S150" s="19" t="n"/>
      <c r="T150" s="19" t="n"/>
      <c r="U150" s="19" t="n"/>
      <c r="V150" s="19" t="n">
        <v>9530</v>
      </c>
      <c r="W150" s="19">
        <f>'Raw Food Data (KG)'!Q111</f>
        <v/>
      </c>
      <c r="X150" s="19" t="n">
        <v>8905</v>
      </c>
      <c r="Y150" s="19" t="n">
        <v>15420</v>
      </c>
      <c r="Z150" s="19" t="n">
        <v>7</v>
      </c>
      <c r="AA150" s="17" t="n"/>
      <c r="AB150" s="37" t="n"/>
      <c r="AC150" s="37" t="n"/>
      <c r="AE150" s="17" t="inlineStr">
        <is>
          <t>Flat TV</t>
        </is>
      </c>
      <c r="AF150" s="17" t="n"/>
      <c r="AG150" s="17" t="n"/>
      <c r="AH150" s="17" t="n"/>
      <c r="AI150" s="52" t="n"/>
      <c r="AJ150" s="52" t="n"/>
      <c r="AK150" s="52" t="n"/>
    </row>
    <row r="151">
      <c r="A151" s="18" t="n">
        <v>45992</v>
      </c>
      <c r="B151" s="19" t="n">
        <v>133710</v>
      </c>
      <c r="C151" s="19" t="n">
        <v>25150</v>
      </c>
      <c r="D151" s="19" t="n"/>
      <c r="E151" s="19" t="n">
        <v>12838</v>
      </c>
      <c r="F151" s="19" t="n">
        <v>117</v>
      </c>
      <c r="G151" s="19" t="n">
        <v>280</v>
      </c>
      <c r="H151" s="19" t="n">
        <v>431</v>
      </c>
      <c r="I151" s="19" t="n">
        <v>96</v>
      </c>
      <c r="J151" s="19" t="n"/>
      <c r="K151" s="19" t="n">
        <v>0</v>
      </c>
      <c r="L151" s="19" t="n"/>
      <c r="M151" s="42" t="n">
        <v>800</v>
      </c>
      <c r="N151" s="42" t="n">
        <v>400</v>
      </c>
      <c r="O151" s="19" t="n">
        <v>0</v>
      </c>
      <c r="P151" s="19" t="n">
        <v>68</v>
      </c>
      <c r="Q151" s="19" t="n"/>
      <c r="R151" s="19" t="n"/>
      <c r="S151" s="19" t="n"/>
      <c r="T151" s="19" t="n"/>
      <c r="U151" s="19" t="n"/>
      <c r="V151" s="19" t="n">
        <v>11380</v>
      </c>
      <c r="W151" s="19">
        <f>'Raw Food Data (KG)'!Q112</f>
        <v/>
      </c>
      <c r="X151" s="19" t="n">
        <v>10775</v>
      </c>
      <c r="Y151" s="19" t="n">
        <v>11475</v>
      </c>
      <c r="Z151" s="19" t="n">
        <v>5</v>
      </c>
      <c r="AA151" s="17" t="n"/>
      <c r="AB151" s="37" t="n"/>
      <c r="AC151" s="37" t="n"/>
      <c r="AE151" s="17" t="inlineStr">
        <is>
          <t>Cathode-ray TV</t>
        </is>
      </c>
      <c r="AF151" s="17" t="n"/>
      <c r="AG151" s="17" t="n"/>
      <c r="AH151" s="17" t="n"/>
      <c r="AI151" s="52" t="n"/>
      <c r="AJ151" s="52" t="n"/>
      <c r="AK151" s="52" t="n"/>
    </row>
    <row r="152">
      <c r="A152" s="18" t="n">
        <v>46023</v>
      </c>
      <c r="B152" s="19" t="n">
        <v>114050</v>
      </c>
      <c r="C152" s="19" t="n">
        <v>23100</v>
      </c>
      <c r="D152" s="19" t="n"/>
      <c r="E152" s="19" t="n">
        <v>13661</v>
      </c>
      <c r="F152" s="19" t="n">
        <v>115</v>
      </c>
      <c r="G152" s="19" t="n">
        <v>882</v>
      </c>
      <c r="H152" s="19" t="n">
        <v>390</v>
      </c>
      <c r="I152" s="19" t="n"/>
      <c r="J152" s="19" t="n"/>
      <c r="K152" s="19" t="n">
        <v>1116</v>
      </c>
      <c r="L152" s="19" t="n"/>
      <c r="M152" s="42" t="n">
        <v>800</v>
      </c>
      <c r="N152" s="42" t="n">
        <v>400</v>
      </c>
      <c r="O152" s="19" t="n">
        <v>26</v>
      </c>
      <c r="P152" s="19" t="n">
        <v>23</v>
      </c>
      <c r="Q152" s="19" t="n"/>
      <c r="R152" s="19" t="n"/>
      <c r="S152" s="19" t="n"/>
      <c r="T152" s="19" t="n"/>
      <c r="U152" s="19" t="n"/>
      <c r="V152" s="19" t="n">
        <v>10865</v>
      </c>
      <c r="W152" s="19">
        <f>'Raw Food Data (KG)'!Q113</f>
        <v/>
      </c>
      <c r="X152" s="19" t="n">
        <v>11975</v>
      </c>
      <c r="Y152" s="19" t="n">
        <v>8510</v>
      </c>
      <c r="Z152" s="19" t="n">
        <v>12</v>
      </c>
      <c r="AA152" s="17" t="n"/>
      <c r="AB152" s="37" t="n"/>
      <c r="AC152" s="37" t="n"/>
      <c r="AE152" s="17" t="inlineStr">
        <is>
          <t>Cathode-ray monitors</t>
        </is>
      </c>
      <c r="AF152" s="17" t="n"/>
      <c r="AG152" s="17" t="n"/>
      <c r="AH152" s="17" t="n"/>
      <c r="AI152" s="52" t="n"/>
      <c r="AJ152" s="52" t="n"/>
      <c r="AK152" s="52" t="n"/>
    </row>
    <row r="153">
      <c r="A153" s="18" t="n">
        <v>46054</v>
      </c>
      <c r="B153" s="19" t="n">
        <v>123400</v>
      </c>
      <c r="C153" s="19" t="n">
        <v>16820</v>
      </c>
      <c r="D153" s="19" t="n"/>
      <c r="E153" s="19" t="n">
        <v>11648</v>
      </c>
      <c r="F153" s="19" t="n">
        <v>102</v>
      </c>
      <c r="G153" s="19" t="n">
        <v>507</v>
      </c>
      <c r="H153" s="19" t="n">
        <v>302</v>
      </c>
      <c r="I153" s="19" t="n"/>
      <c r="J153" s="19" t="n"/>
      <c r="K153" s="19" t="n">
        <v>0</v>
      </c>
      <c r="L153" s="19" t="n"/>
      <c r="M153" s="42" t="n">
        <v>800</v>
      </c>
      <c r="N153" s="42" t="n">
        <v>400</v>
      </c>
      <c r="O153" s="19" t="n">
        <v>0</v>
      </c>
      <c r="P153" s="19" t="n">
        <v>0</v>
      </c>
      <c r="Q153" s="19" t="n"/>
      <c r="R153" s="19" t="n"/>
      <c r="S153" s="19" t="n"/>
      <c r="T153" s="19" t="n"/>
      <c r="U153" s="19" t="n"/>
      <c r="V153" s="19" t="n">
        <v>20659</v>
      </c>
      <c r="W153" s="19">
        <f>'Raw Food Data (KG)'!Q114</f>
        <v/>
      </c>
      <c r="X153" s="19" t="n">
        <v>12319</v>
      </c>
      <c r="Y153" s="19" t="n">
        <v>8672</v>
      </c>
      <c r="Z153" s="19" t="n">
        <v>0</v>
      </c>
      <c r="AA153" s="17" t="n"/>
      <c r="AB153" s="37" t="n"/>
      <c r="AC153" s="37" t="n"/>
      <c r="AE153" s="17" t="inlineStr">
        <is>
          <t>printer</t>
        </is>
      </c>
      <c r="AF153" s="17" t="n"/>
      <c r="AG153" s="17" t="n"/>
      <c r="AH153" s="17" t="n"/>
      <c r="AI153" s="52" t="n"/>
      <c r="AJ153" s="52" t="n"/>
      <c r="AK153" s="52" t="n"/>
    </row>
    <row r="154">
      <c r="A154" s="18" t="n">
        <v>46082</v>
      </c>
      <c r="B154" s="19" t="n">
        <v>164450</v>
      </c>
      <c r="C154" s="19" t="n">
        <v>22110</v>
      </c>
      <c r="D154" s="19" t="n"/>
      <c r="E154" s="19" t="n">
        <v>13565</v>
      </c>
      <c r="F154" s="19" t="n">
        <v>116</v>
      </c>
      <c r="G154" s="19" t="n">
        <v>1571</v>
      </c>
      <c r="H154" s="19" t="n">
        <v>432</v>
      </c>
      <c r="I154" s="19" t="n"/>
      <c r="J154" s="19" t="n"/>
      <c r="K154" s="19" t="n">
        <v>672.9</v>
      </c>
      <c r="L154" s="19" t="n"/>
      <c r="M154" s="42" t="n">
        <v>800</v>
      </c>
      <c r="N154" s="42" t="n">
        <v>400</v>
      </c>
      <c r="O154" s="19" t="n">
        <v>18</v>
      </c>
      <c r="P154" s="19" t="n">
        <v>32</v>
      </c>
      <c r="Q154" s="19" t="n"/>
      <c r="R154" s="19" t="n"/>
      <c r="S154" s="19" t="n"/>
      <c r="T154" s="19" t="n"/>
      <c r="U154" s="19" t="n"/>
      <c r="V154" s="19" t="n">
        <v>10009</v>
      </c>
      <c r="W154" s="19">
        <f>'Raw Food Data (KG)'!Q115</f>
        <v/>
      </c>
      <c r="X154" s="19" t="n">
        <v>12478</v>
      </c>
      <c r="Y154" s="19" t="n">
        <v>12330</v>
      </c>
      <c r="Z154" s="19" t="n">
        <v>9.5</v>
      </c>
      <c r="AA154" s="17" t="n"/>
      <c r="AB154" s="37" t="n"/>
      <c r="AC154" s="37" t="n"/>
      <c r="AE154" s="17" t="inlineStr">
        <is>
          <t>air-conditioner</t>
        </is>
      </c>
      <c r="AF154" s="17" t="n"/>
      <c r="AG154" s="17" t="n"/>
      <c r="AH154" s="17" t="n"/>
      <c r="AI154" s="52" t="n"/>
      <c r="AJ154" s="52" t="n"/>
      <c r="AK154" s="52" t="n"/>
    </row>
    <row r="155">
      <c r="A155" s="18" t="n">
        <v>46113</v>
      </c>
      <c r="B155" s="19" t="n">
        <v>146340</v>
      </c>
      <c r="C155" s="19" t="n">
        <v>15730</v>
      </c>
      <c r="D155" s="19" t="n"/>
      <c r="E155" s="19" t="n">
        <v>12906</v>
      </c>
      <c r="F155" s="19" t="n">
        <v>103</v>
      </c>
      <c r="G155" s="19" t="n">
        <v>237</v>
      </c>
      <c r="H155" s="19" t="n">
        <v>377</v>
      </c>
      <c r="I155" s="19" t="n"/>
      <c r="J155" s="19" t="n"/>
      <c r="K155" s="19" t="n">
        <v>0</v>
      </c>
      <c r="L155" s="19" t="n"/>
      <c r="M155" s="42" t="n">
        <v>600</v>
      </c>
      <c r="N155" s="19" t="n">
        <v>0</v>
      </c>
      <c r="O155" s="19" t="n">
        <v>20</v>
      </c>
      <c r="P155" s="19" t="n">
        <v>0</v>
      </c>
      <c r="Q155" s="19" t="n"/>
      <c r="R155" s="19" t="n"/>
      <c r="S155" s="19" t="n"/>
      <c r="T155" s="19" t="n"/>
      <c r="U155" s="19" t="n"/>
      <c r="V155" s="19" t="n">
        <v>6591</v>
      </c>
      <c r="W155" s="19">
        <f>'Raw Food Data (KG)'!Q116</f>
        <v/>
      </c>
      <c r="X155" s="19" t="n">
        <v>11114</v>
      </c>
      <c r="Y155" s="19" t="n">
        <v>9640</v>
      </c>
      <c r="Z155" s="19" t="n">
        <v>6</v>
      </c>
      <c r="AA155" s="17" t="n"/>
      <c r="AB155" s="37" t="n"/>
      <c r="AC155" s="37" t="n"/>
      <c r="AE155" s="17" t="inlineStr">
        <is>
          <t>dehumidifier</t>
        </is>
      </c>
      <c r="AF155" s="17" t="n"/>
      <c r="AG155" s="17" t="n"/>
      <c r="AH155" s="17" t="n"/>
      <c r="AI155" s="52" t="n"/>
      <c r="AJ155" s="52" t="n"/>
      <c r="AK155" s="52" t="n"/>
    </row>
    <row r="156">
      <c r="A156" s="18" t="n">
        <v>46143</v>
      </c>
      <c r="B156" s="19" t="n">
        <v>163797.1</v>
      </c>
      <c r="C156" s="19" t="n">
        <v>20790</v>
      </c>
      <c r="D156" s="19" t="n"/>
      <c r="E156" s="19" t="n">
        <v>13759</v>
      </c>
      <c r="F156" s="19" t="n">
        <v>128</v>
      </c>
      <c r="G156" s="19" t="n">
        <v>908</v>
      </c>
      <c r="H156" s="19" t="n">
        <v>418</v>
      </c>
      <c r="I156" s="19" t="n"/>
      <c r="J156" s="19" t="n"/>
      <c r="K156" s="19" t="n">
        <v>1073.5</v>
      </c>
      <c r="L156" s="19" t="n"/>
      <c r="M156" s="19" t="n">
        <v>400</v>
      </c>
      <c r="N156" s="19" t="n">
        <v>200</v>
      </c>
      <c r="O156" s="19" t="n">
        <v>0</v>
      </c>
      <c r="P156" s="19" t="n">
        <v>0</v>
      </c>
      <c r="Q156" s="19" t="n"/>
      <c r="R156" s="19" t="n"/>
      <c r="S156" s="19" t="n"/>
      <c r="T156" s="19" t="n"/>
      <c r="U156" s="19" t="n"/>
      <c r="V156" s="19" t="n">
        <v>12012</v>
      </c>
      <c r="W156" s="19">
        <f>'Raw Food Data (KG)'!Q117</f>
        <v/>
      </c>
      <c r="X156" s="19" t="n">
        <v>10244</v>
      </c>
      <c r="Y156" s="19" t="n">
        <v>11378</v>
      </c>
      <c r="Z156" s="19" t="n">
        <v>0</v>
      </c>
      <c r="AA156" s="17" t="n"/>
      <c r="AB156" s="37" t="n"/>
      <c r="AC156" s="37" t="n"/>
      <c r="AF156" s="17" t="n"/>
      <c r="AG156" s="17" t="n"/>
      <c r="AH156" s="17">
        <f>SUM(AH148:AH155)</f>
        <v/>
      </c>
      <c r="AI156" s="52" t="n"/>
      <c r="AJ156" s="52" t="n"/>
      <c r="AK156" s="52" t="n"/>
    </row>
    <row r="157">
      <c r="A157" s="18" t="n">
        <v>46174</v>
      </c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>
        <f>'Raw Food Data (KG)'!Q118</f>
        <v/>
      </c>
      <c r="X157" s="19" t="n"/>
      <c r="Y157" s="19" t="n"/>
      <c r="Z157" s="19" t="n"/>
      <c r="AA157" s="17" t="n"/>
      <c r="AB157" s="37" t="n"/>
      <c r="AC157" s="37" t="n"/>
      <c r="AF157" s="17" t="n"/>
      <c r="AG157" s="52" t="n"/>
      <c r="AH157" s="52" t="n"/>
      <c r="AI157" s="52" t="n"/>
      <c r="AJ157" s="52" t="n"/>
      <c r="AK157" s="52" t="n"/>
    </row>
    <row r="158">
      <c r="A158" s="54" t="n"/>
      <c r="B158" s="16" t="n"/>
      <c r="D158" s="23" t="n"/>
      <c r="G158" s="16" t="n"/>
      <c r="H158" s="16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Z158" s="16" t="n"/>
      <c r="AA158" s="17" t="n"/>
      <c r="AB158" s="37" t="n"/>
      <c r="AC158" s="37" t="n"/>
      <c r="AF158" s="17" t="n"/>
      <c r="AG158" s="52" t="n"/>
      <c r="AH158" s="52" t="n"/>
      <c r="AI158" s="52" t="n"/>
      <c r="AJ158" s="52" t="n"/>
      <c r="AK158" s="52" t="n"/>
    </row>
    <row r="159">
      <c r="A159" s="54" t="n"/>
      <c r="B159" s="16" t="n"/>
      <c r="D159" s="23" t="n"/>
      <c r="G159" s="16" t="n"/>
      <c r="H159" s="16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Z159" s="16" t="n"/>
      <c r="AA159" s="17" t="n"/>
      <c r="AB159" s="37" t="n"/>
      <c r="AC159" s="37" t="n"/>
      <c r="AF159" s="17" t="n"/>
      <c r="AG159" s="52" t="n"/>
      <c r="AH159" s="52" t="n"/>
      <c r="AI159" s="52" t="n"/>
      <c r="AJ159" s="52" t="n"/>
      <c r="AK159" s="52" t="n"/>
    </row>
    <row r="160">
      <c r="A160" s="54" t="n"/>
      <c r="B160" s="16" t="n"/>
      <c r="D160" s="23" t="n"/>
      <c r="G160" s="16" t="n"/>
      <c r="H160" s="16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Z160" s="16" t="n"/>
      <c r="AA160" s="17" t="n"/>
      <c r="AB160" s="37" t="n"/>
      <c r="AC160" s="37" t="n"/>
      <c r="AF160" s="17" t="n"/>
      <c r="AG160" s="52" t="n"/>
      <c r="AH160" s="52" t="n"/>
      <c r="AI160" s="52" t="n"/>
      <c r="AJ160" s="52" t="n"/>
      <c r="AK160" s="52" t="n"/>
    </row>
    <row r="161">
      <c r="A161" s="54" t="n"/>
      <c r="B161" s="16" t="n"/>
      <c r="D161" s="23" t="n"/>
      <c r="G161" s="16" t="n"/>
      <c r="H161" s="16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Z161" s="16" t="n"/>
      <c r="AA161" s="17" t="n"/>
      <c r="AB161" s="37" t="n"/>
      <c r="AC161" s="37" t="n"/>
      <c r="AF161" s="17" t="n"/>
      <c r="AG161" s="52" t="n"/>
      <c r="AH161" s="52" t="n"/>
      <c r="AI161" s="52" t="n"/>
      <c r="AJ161" s="52" t="n"/>
      <c r="AK161" s="52" t="n"/>
    </row>
    <row r="162">
      <c r="A162" s="54" t="n"/>
      <c r="B162" s="16" t="n"/>
      <c r="D162" s="23" t="n"/>
      <c r="G162" s="16" t="n"/>
      <c r="H162" s="16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Z162" s="16" t="n"/>
      <c r="AA162" s="17" t="n"/>
      <c r="AB162" s="37" t="n"/>
      <c r="AC162" s="37" t="n"/>
      <c r="AF162" s="17" t="n"/>
      <c r="AG162" s="52" t="n"/>
      <c r="AH162" s="52" t="n"/>
      <c r="AI162" s="52" t="n"/>
      <c r="AJ162" s="52" t="n"/>
      <c r="AK162" s="52" t="n"/>
    </row>
    <row r="163">
      <c r="B163" s="16" t="n"/>
      <c r="D163" s="23" t="n"/>
      <c r="G163" s="16" t="n"/>
      <c r="H163" s="16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Z163" s="16" t="n"/>
      <c r="AA163" s="17" t="n"/>
      <c r="AB163" s="16" t="n"/>
      <c r="AC163" s="16" t="n"/>
      <c r="AF163" s="17" t="n"/>
      <c r="AG163" s="52" t="n"/>
      <c r="AH163" s="52" t="n"/>
      <c r="AI163" s="52" t="n"/>
      <c r="AJ163" s="52" t="n"/>
      <c r="AK163" s="52" t="n"/>
    </row>
    <row r="164">
      <c r="B164" s="16" t="n"/>
      <c r="D164" s="23" t="n"/>
      <c r="G164" s="16" t="n"/>
      <c r="H164" s="16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Z164" s="16" t="n"/>
      <c r="AA164" s="17" t="n"/>
      <c r="AB164" s="16" t="n"/>
      <c r="AC164" s="16" t="n"/>
      <c r="AF164" s="17" t="n"/>
      <c r="AG164" s="52" t="n"/>
      <c r="AH164" s="52" t="n"/>
      <c r="AI164" s="52" t="n"/>
      <c r="AJ164" s="52" t="n"/>
      <c r="AK164" s="52" t="n"/>
    </row>
    <row r="165">
      <c r="B165" s="16" t="n"/>
      <c r="D165" s="23" t="n"/>
      <c r="G165" s="16" t="n"/>
      <c r="H165" s="16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Z165" s="16" t="n"/>
      <c r="AA165" s="17" t="n"/>
      <c r="AB165" s="16" t="n"/>
      <c r="AC165" s="16" t="n"/>
      <c r="AF165" s="17" t="n"/>
      <c r="AG165" s="52" t="n"/>
      <c r="AH165" s="52" t="n"/>
      <c r="AI165" s="52" t="n"/>
      <c r="AJ165" s="52" t="n"/>
      <c r="AK165" s="52" t="n"/>
    </row>
    <row r="166">
      <c r="B166" s="16" t="n"/>
      <c r="D166" s="23" t="n"/>
      <c r="G166" s="16" t="n"/>
      <c r="H166" s="16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Z166" s="16" t="n"/>
      <c r="AA166" s="17" t="n"/>
      <c r="AB166" s="16" t="n"/>
      <c r="AC166" s="16" t="n"/>
      <c r="AF166" s="17" t="n"/>
      <c r="AG166" s="52" t="n"/>
      <c r="AH166" s="52" t="n"/>
      <c r="AI166" s="52" t="n"/>
      <c r="AJ166" s="52" t="n"/>
      <c r="AK166" s="52" t="n"/>
    </row>
    <row r="167">
      <c r="B167" s="16" t="n"/>
      <c r="D167" s="23" t="n"/>
      <c r="G167" s="16" t="n"/>
      <c r="H167" s="16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Z167" s="16" t="n"/>
      <c r="AA167" s="17" t="n"/>
      <c r="AB167" s="16" t="n"/>
      <c r="AC167" s="16" t="n"/>
      <c r="AF167" s="17" t="n"/>
      <c r="AG167" s="52" t="n"/>
      <c r="AH167" s="52" t="n"/>
      <c r="AI167" s="52" t="n"/>
      <c r="AJ167" s="52" t="n"/>
      <c r="AK167" s="52" t="n"/>
    </row>
    <row r="168">
      <c r="B168" s="16" t="n"/>
      <c r="D168" s="23" t="n"/>
      <c r="G168" s="16" t="n"/>
      <c r="H168" s="16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Z168" s="16" t="n"/>
      <c r="AA168" s="17" t="n"/>
      <c r="AB168" s="16" t="n"/>
      <c r="AC168" s="16" t="n"/>
      <c r="AF168" s="17" t="n"/>
      <c r="AG168" s="52" t="n"/>
      <c r="AH168" s="52" t="n"/>
      <c r="AI168" s="52" t="n"/>
      <c r="AJ168" s="52" t="n"/>
      <c r="AK168" s="52" t="n"/>
    </row>
    <row r="169">
      <c r="B169" s="16" t="n"/>
      <c r="D169" s="23" t="n"/>
      <c r="G169" s="16" t="n"/>
      <c r="H169" s="16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</row>
    <row r="170">
      <c r="B170" s="16" t="n"/>
      <c r="D170" s="23" t="n"/>
      <c r="G170" s="16" t="n"/>
      <c r="H170" s="16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</row>
    <row r="171">
      <c r="B171" s="16" t="n"/>
      <c r="D171" s="23" t="n"/>
      <c r="G171" s="16" t="n"/>
      <c r="H171" s="16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</row>
    <row r="172">
      <c r="B172" s="16" t="n"/>
      <c r="D172" s="23" t="n"/>
      <c r="G172" s="16" t="n"/>
      <c r="H172" s="16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</row>
    <row r="173">
      <c r="B173" s="16" t="n"/>
      <c r="D173" s="23" t="n"/>
      <c r="G173" s="16" t="n"/>
      <c r="H173" s="16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</row>
    <row r="174">
      <c r="B174" s="16" t="n"/>
      <c r="D174" s="23" t="n"/>
      <c r="G174" s="16" t="n"/>
      <c r="H174" s="16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</row>
    <row r="175">
      <c r="B175" s="16" t="n"/>
      <c r="D175" s="23" t="n"/>
      <c r="G175" s="16" t="n"/>
      <c r="H175" s="16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</row>
    <row r="176">
      <c r="B176" s="16" t="n"/>
      <c r="D176" s="23" t="n"/>
      <c r="G176" s="16" t="n"/>
      <c r="H176" s="16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</row>
    <row r="177">
      <c r="B177" s="16" t="n"/>
      <c r="D177" s="23" t="n"/>
      <c r="G177" s="16" t="n"/>
      <c r="H177" s="16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</row>
    <row r="178">
      <c r="B178" s="16" t="n"/>
      <c r="D178" s="23" t="n"/>
      <c r="G178" s="16" t="n"/>
      <c r="H178" s="16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</row>
    <row r="179">
      <c r="B179" s="16" t="n"/>
      <c r="D179" s="23" t="n"/>
      <c r="G179" s="16" t="n"/>
      <c r="H179" s="16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</row>
    <row r="180">
      <c r="B180" s="16" t="n"/>
      <c r="D180" s="23" t="n"/>
      <c r="G180" s="16" t="n"/>
      <c r="H180" s="16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</row>
    <row r="181">
      <c r="B181" s="16" t="n"/>
      <c r="D181" s="23" t="n"/>
      <c r="G181" s="16" t="n"/>
      <c r="H181" s="16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</row>
    <row r="182">
      <c r="B182" s="16" t="n"/>
      <c r="D182" s="23" t="n"/>
      <c r="G182" s="16" t="n"/>
      <c r="H182" s="16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</row>
    <row r="183">
      <c r="B183" s="16" t="n"/>
      <c r="D183" s="23" t="n"/>
      <c r="G183" s="16" t="n"/>
      <c r="H183" s="16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</row>
    <row r="184">
      <c r="B184" s="16" t="n"/>
      <c r="D184" s="23" t="n"/>
      <c r="G184" s="16" t="n"/>
      <c r="H184" s="16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</row>
    <row r="185">
      <c r="B185" s="16" t="n"/>
      <c r="D185" s="23" t="n"/>
      <c r="G185" s="16" t="n"/>
      <c r="H185" s="16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</row>
    <row r="186">
      <c r="B186" s="16" t="n"/>
      <c r="D186" s="23" t="n"/>
      <c r="G186" s="16" t="n"/>
      <c r="H186" s="16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</row>
    <row r="187">
      <c r="B187" s="16" t="n"/>
      <c r="D187" s="23" t="n"/>
      <c r="G187" s="16" t="n"/>
      <c r="H187" s="16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</row>
    <row r="188">
      <c r="B188" s="16" t="n"/>
      <c r="D188" s="23" t="n"/>
      <c r="G188" s="16" t="n"/>
      <c r="H188" s="16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</row>
    <row r="189" ht="17" customHeight="1">
      <c r="B189" s="16" t="n"/>
      <c r="D189" s="23" t="n"/>
      <c r="G189" s="16" t="n"/>
      <c r="H189" s="16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5" t="inlineStr">
        <is>
          <t>Remarks</t>
        </is>
      </c>
      <c r="AK189" s="56" t="n"/>
      <c r="AL189" s="56" t="n"/>
      <c r="AM189" s="56" t="n"/>
      <c r="AN189" s="56" t="n"/>
      <c r="AO189" s="56" t="n"/>
      <c r="AP189" s="56" t="n"/>
      <c r="AQ189" s="56" t="n"/>
      <c r="AR189" s="56" t="n"/>
      <c r="AS189" s="17" t="n"/>
      <c r="AT189" s="56" t="n"/>
      <c r="AU189" s="57" t="n"/>
    </row>
    <row r="190">
      <c r="B190" s="16" t="n"/>
      <c r="D190" s="23" t="n"/>
      <c r="G190" s="16" t="n"/>
      <c r="H190" s="16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4" t="n"/>
      <c r="AK190" s="58" t="inlineStr">
        <is>
          <t>1) Glass recycling programme launched in Aug 14.</t>
        </is>
      </c>
      <c r="AO190" s="58" t="n"/>
      <c r="AP190" s="58" t="n"/>
      <c r="AQ190" s="58" t="n"/>
      <c r="AR190" s="58" t="n"/>
      <c r="AS190" s="17" t="n"/>
      <c r="AT190" s="58" t="n"/>
      <c r="AU190" s="58" t="n"/>
    </row>
    <row r="191">
      <c r="B191" s="16" t="n"/>
      <c r="D191" s="23" t="n"/>
      <c r="G191" s="16" t="n"/>
      <c r="H191" s="16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4" t="n"/>
      <c r="AK191" s="58" t="inlineStr">
        <is>
          <t>2) Clothes recycling programme launched in Oct 14.</t>
        </is>
      </c>
      <c r="AO191" s="58" t="n"/>
      <c r="AP191" s="58" t="n"/>
      <c r="AQ191" s="58" t="n"/>
      <c r="AR191" s="58" t="n"/>
      <c r="AS191" s="17" t="n"/>
      <c r="AT191" s="58" t="n"/>
      <c r="AU191" s="58" t="n"/>
    </row>
    <row r="192">
      <c r="B192" s="16" t="n"/>
      <c r="D192" s="23" t="n"/>
      <c r="G192" s="16" t="n"/>
      <c r="H192" s="16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4" t="n"/>
      <c r="AK192" s="58" t="inlineStr">
        <is>
          <t>3) Electrical appliance collection record started in Oct 14.</t>
        </is>
      </c>
      <c r="AO192" s="58" t="n"/>
      <c r="AP192" s="58" t="n"/>
      <c r="AQ192" s="58" t="n"/>
      <c r="AR192" s="58" t="n"/>
      <c r="AS192" s="17" t="n"/>
      <c r="AT192" s="58" t="n"/>
      <c r="AU192" s="58" t="n"/>
    </row>
    <row r="193">
      <c r="B193" s="16" t="n"/>
      <c r="D193" s="23" t="n"/>
      <c r="G193" s="16" t="n"/>
      <c r="H193" s="16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4" t="n"/>
      <c r="AK193" s="58" t="inlineStr">
        <is>
          <t>3) Trash record started in Jul 15.</t>
        </is>
      </c>
      <c r="AN193" s="58" t="n"/>
      <c r="AO193" s="58" t="n"/>
      <c r="AP193" s="58" t="n"/>
      <c r="AQ193" s="58" t="n"/>
      <c r="AR193" s="58" t="n"/>
      <c r="AS193" s="17" t="n"/>
      <c r="AT193" s="58" t="n"/>
      <c r="AU193" s="58" t="n"/>
    </row>
    <row r="194">
      <c r="B194" s="16" t="n"/>
      <c r="D194" s="23" t="n"/>
      <c r="G194" s="16" t="n"/>
      <c r="H194" s="16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4" t="n"/>
      <c r="AK194" s="58" t="inlineStr">
        <is>
          <t>4) The estimated trash was 9.71tons per day from Jul 13 to Jun 15.</t>
        </is>
      </c>
      <c r="AP194" s="58" t="n"/>
      <c r="AQ194" s="58" t="n"/>
      <c r="AR194" s="58" t="n"/>
      <c r="AS194" s="17" t="n"/>
      <c r="AT194" s="58" t="n"/>
      <c r="AU194" s="58" t="n"/>
    </row>
    <row r="195">
      <c r="B195" s="16" t="n"/>
      <c r="D195" s="23" t="n"/>
      <c r="G195" s="16" t="n"/>
      <c r="H195" s="16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4" t="n"/>
      <c r="AK195" s="58" t="inlineStr">
        <is>
          <t>5) From Jul 13, 2000 kg per month has been added for the contractor of PARKnSHOP.</t>
        </is>
      </c>
      <c r="AR195" s="58" t="n"/>
      <c r="AS195" s="17" t="n"/>
      <c r="AT195" s="58" t="n"/>
      <c r="AU195" s="58" t="n"/>
    </row>
    <row r="196">
      <c r="B196" s="16" t="n"/>
      <c r="D196" s="23" t="n"/>
      <c r="G196" s="16" t="n"/>
      <c r="H196" s="16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4" t="n"/>
      <c r="AK196" s="58" t="inlineStr">
        <is>
          <t>6) Food waste collection started on 20 Sep 16.</t>
        </is>
      </c>
      <c r="AO196" s="58" t="n"/>
      <c r="AP196" s="58" t="n"/>
      <c r="AQ196" s="58" t="n"/>
      <c r="AR196" s="58" t="n"/>
      <c r="AS196" s="17" t="n"/>
      <c r="AT196" s="58" t="n"/>
      <c r="AU196" s="58" t="n"/>
    </row>
    <row r="197">
      <c r="B197" s="16" t="n"/>
      <c r="D197" s="23" t="n"/>
      <c r="G197" s="16" t="n"/>
      <c r="H197" s="16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4" t="n"/>
      <c r="AK197" s="58" t="inlineStr">
        <is>
          <t>7) E-waste was counted as 100kg per item from Jul 13 to Jun 18.</t>
        </is>
      </c>
      <c r="AP197" s="58" t="n"/>
      <c r="AQ197" s="58" t="n"/>
      <c r="AR197" s="58" t="n"/>
      <c r="AS197" s="17" t="n"/>
      <c r="AT197" s="58" t="n"/>
      <c r="AU197" s="58" t="n"/>
    </row>
    <row r="198">
      <c r="B198" s="16" t="n"/>
      <c r="D198" s="23" t="n"/>
      <c r="G198" s="16" t="n"/>
      <c r="H198" s="16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V198" s="17" t="n"/>
      <c r="AW198" s="17" t="n"/>
      <c r="AX198" s="17" t="n"/>
      <c r="AY198" s="17" t="n"/>
      <c r="AZ198" s="17" t="n"/>
      <c r="BA198" s="16" t="n"/>
      <c r="BB198" s="56" t="n"/>
    </row>
    <row r="199">
      <c r="B199" s="16" t="n"/>
      <c r="D199" s="23" t="n"/>
      <c r="G199" s="16" t="n"/>
      <c r="H199" s="16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V199" s="17" t="n"/>
      <c r="AW199" s="17" t="n"/>
      <c r="AX199" s="17" t="n"/>
      <c r="AY199" s="17" t="n"/>
      <c r="AZ199" s="17" t="n"/>
      <c r="BA199" s="58" t="n"/>
      <c r="BB199" s="58" t="n"/>
    </row>
    <row r="200">
      <c r="B200" s="16" t="n"/>
      <c r="D200" s="23" t="n"/>
      <c r="G200" s="16" t="n"/>
      <c r="H200" s="16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V200" s="17" t="n"/>
      <c r="AW200" s="17" t="n"/>
      <c r="AX200" s="17" t="n"/>
      <c r="AY200" s="17" t="n"/>
      <c r="AZ200" s="17" t="n"/>
      <c r="BA200" s="58" t="n"/>
      <c r="BB200" s="58" t="n"/>
    </row>
    <row r="201">
      <c r="B201" s="16" t="n"/>
      <c r="D201" s="23" t="n"/>
      <c r="G201" s="16" t="n"/>
      <c r="H201" s="16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V201" s="17" t="n"/>
      <c r="AW201" s="17" t="n"/>
      <c r="AX201" s="17" t="n"/>
      <c r="AY201" s="17" t="n"/>
      <c r="AZ201" s="17" t="n"/>
      <c r="BA201" s="58" t="n"/>
      <c r="BB201" s="58" t="n"/>
    </row>
    <row r="202">
      <c r="B202" s="16" t="n"/>
      <c r="D202" s="23" t="n"/>
      <c r="G202" s="16" t="n"/>
      <c r="H202" s="16" t="n"/>
      <c r="L202" s="52" t="n"/>
      <c r="M202" s="52" t="n"/>
      <c r="N202" s="52" t="n"/>
      <c r="O202" s="52" t="n"/>
      <c r="P202" s="52" t="n"/>
      <c r="Q202" s="52" t="n"/>
      <c r="R202" s="52" t="n"/>
      <c r="S202" s="52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V202" s="17" t="n"/>
      <c r="AW202" s="17" t="n"/>
      <c r="AX202" s="17" t="n"/>
      <c r="AY202" s="17" t="n"/>
      <c r="AZ202" s="17" t="n"/>
      <c r="BA202" s="58" t="n"/>
      <c r="BB202" s="58" t="n"/>
    </row>
    <row r="203">
      <c r="B203" s="16" t="n"/>
      <c r="D203" s="23" t="n"/>
      <c r="G203" s="16" t="n"/>
      <c r="H203" s="16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V203" s="17" t="n"/>
      <c r="AW203" s="17" t="n"/>
      <c r="AX203" s="17" t="n"/>
      <c r="AY203" s="17" t="n"/>
      <c r="AZ203" s="17" t="n"/>
      <c r="BA203" s="58" t="n"/>
      <c r="BB203" s="58" t="n"/>
    </row>
    <row r="204">
      <c r="B204" s="16" t="n"/>
      <c r="D204" s="23" t="n"/>
      <c r="G204" s="16" t="n"/>
      <c r="H204" s="16" t="n"/>
      <c r="L204" s="52" t="n"/>
      <c r="M204" s="52" t="n"/>
      <c r="N204" s="52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V204" s="17" t="n"/>
      <c r="AW204" s="17" t="n"/>
      <c r="AX204" s="17" t="n"/>
      <c r="AY204" s="17" t="n"/>
      <c r="AZ204" s="17" t="n"/>
      <c r="BA204" s="58" t="n"/>
      <c r="BB204" s="58" t="n"/>
    </row>
    <row r="205">
      <c r="B205" s="16" t="n"/>
      <c r="D205" s="23" t="n"/>
      <c r="G205" s="16" t="n"/>
      <c r="H205" s="16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V205" s="17" t="n"/>
      <c r="AW205" s="17" t="n"/>
      <c r="AX205" s="17" t="n"/>
      <c r="AY205" s="17" t="n"/>
      <c r="AZ205" s="17" t="n"/>
      <c r="BA205" s="58" t="n"/>
      <c r="BB205" s="58" t="n"/>
    </row>
    <row r="206">
      <c r="B206" s="16" t="n"/>
      <c r="D206" s="23" t="n"/>
      <c r="G206" s="16" t="n"/>
      <c r="H206" s="16" t="n"/>
      <c r="L206" s="52" t="n"/>
      <c r="M206" s="52" t="n"/>
      <c r="N206" s="52" t="n"/>
      <c r="O206" s="52" t="n"/>
      <c r="P206" s="52" t="n"/>
      <c r="Q206" s="52" t="n"/>
      <c r="R206" s="52" t="n"/>
      <c r="S206" s="52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V206" s="17" t="n"/>
      <c r="AW206" s="17" t="n"/>
      <c r="AX206" s="17" t="n"/>
      <c r="AY206" s="17" t="n"/>
      <c r="AZ206" s="17" t="n"/>
      <c r="BA206" s="58" t="n"/>
      <c r="BB206" s="58" t="n"/>
    </row>
    <row r="207" ht="16.25" customHeight="1">
      <c r="B207" s="16" t="n"/>
      <c r="D207" s="23" t="n"/>
      <c r="G207" s="16" t="n"/>
      <c r="H207" s="16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V207" s="58" t="n"/>
      <c r="AW207" s="58" t="n"/>
      <c r="AX207" s="58" t="n"/>
      <c r="AY207" s="58" t="n"/>
      <c r="AZ207" s="58" t="n"/>
      <c r="BA207" s="58" t="n"/>
      <c r="BB207" s="58" t="n"/>
    </row>
    <row r="208">
      <c r="B208" s="16" t="n"/>
      <c r="D208" s="23" t="n"/>
      <c r="G208" s="16" t="n"/>
      <c r="H208" s="16" t="n"/>
      <c r="L208" s="52" t="n"/>
      <c r="M208" s="52" t="n"/>
      <c r="N208" s="52" t="n"/>
      <c r="O208" s="52" t="n"/>
      <c r="P208" s="52" t="n"/>
      <c r="Q208" s="52" t="n"/>
      <c r="R208" s="52" t="n"/>
      <c r="S208" s="52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</row>
    <row r="209">
      <c r="B209" s="16" t="n"/>
      <c r="D209" s="23" t="n"/>
      <c r="G209" s="16" t="n"/>
      <c r="H209" s="16" t="n"/>
      <c r="L209" s="52" t="n"/>
      <c r="M209" s="52" t="n"/>
      <c r="N209" s="52" t="n"/>
      <c r="O209" s="52" t="n"/>
      <c r="P209" s="52" t="n"/>
      <c r="Q209" s="52" t="n"/>
      <c r="R209" s="52" t="n"/>
      <c r="S209" s="52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</row>
    <row r="210">
      <c r="B210" s="16" t="n"/>
      <c r="D210" s="23" t="n"/>
      <c r="G210" s="16" t="n"/>
      <c r="H210" s="16" t="n"/>
      <c r="L210" s="52" t="n"/>
      <c r="M210" s="52" t="n"/>
      <c r="N210" s="52" t="n"/>
      <c r="O210" s="52" t="n"/>
      <c r="P210" s="52" t="n"/>
      <c r="Q210" s="52" t="n"/>
      <c r="R210" s="52" t="n"/>
      <c r="S210" s="52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</row>
    <row r="211">
      <c r="B211" s="16" t="n"/>
      <c r="D211" s="23" t="n"/>
      <c r="G211" s="16" t="n"/>
      <c r="H211" s="16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</row>
    <row r="212"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</row>
    <row r="213"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</row>
    <row r="214"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</row>
    <row r="215"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</row>
    <row r="216"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</row>
    <row r="217"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</row>
    <row r="218"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</row>
    <row r="219"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</row>
    <row r="220"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</row>
    <row r="221"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</row>
    <row r="222"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</row>
    <row r="223">
      <c r="Z223" s="52" t="n"/>
      <c r="AA223" s="52" t="n"/>
      <c r="AB223" s="52" t="n"/>
      <c r="AC223" s="52" t="n"/>
    </row>
    <row r="224">
      <c r="Z224" s="52" t="n"/>
      <c r="AA224" s="52" t="n"/>
      <c r="AB224" s="52" t="n"/>
      <c r="AC224" s="52" t="n"/>
    </row>
    <row r="225">
      <c r="Z225" s="52" t="n"/>
      <c r="AA225" s="52" t="n"/>
      <c r="AB225" s="52" t="n"/>
      <c r="AC225" s="52" t="n"/>
    </row>
    <row r="226">
      <c r="Z226" s="52" t="n"/>
      <c r="AA226" s="52" t="n"/>
      <c r="AB226" s="52" t="n"/>
      <c r="AC226" s="52" t="n"/>
    </row>
    <row r="227">
      <c r="Z227" s="52" t="n"/>
      <c r="AA227" s="52" t="n"/>
      <c r="AB227" s="52" t="n"/>
      <c r="AC227" s="52" t="n"/>
    </row>
    <row r="228">
      <c r="Z228" s="52" t="n"/>
      <c r="AA228" s="52" t="n"/>
      <c r="AB228" s="52" t="n"/>
      <c r="AC228" s="52" t="n"/>
    </row>
    <row r="229">
      <c r="Z229" s="52" t="n"/>
      <c r="AA229" s="52" t="n"/>
      <c r="AB229" s="52" t="n"/>
      <c r="AC229" s="52" t="n"/>
    </row>
    <row r="230">
      <c r="Z230" s="52" t="n"/>
      <c r="AA230" s="52" t="n"/>
      <c r="AB230" s="52" t="n"/>
      <c r="AC230" s="52" t="n"/>
    </row>
    <row r="231">
      <c r="Z231" s="52" t="n"/>
      <c r="AA231" s="52" t="n"/>
      <c r="AB231" s="52" t="n"/>
      <c r="AC231" s="52" t="n"/>
    </row>
    <row r="232">
      <c r="Z232" s="52" t="n"/>
      <c r="AA232" s="52" t="n"/>
      <c r="AB232" s="52" t="n"/>
      <c r="AC232" s="52" t="n"/>
    </row>
  </sheetData>
  <mergeCells count="8">
    <mergeCell ref="AK194:AO194"/>
    <mergeCell ref="AK196:AN196"/>
    <mergeCell ref="AK191:AN191"/>
    <mergeCell ref="AK193:AM193"/>
    <mergeCell ref="AK197:AO197"/>
    <mergeCell ref="AK192:AN192"/>
    <mergeCell ref="AK190:AN190"/>
    <mergeCell ref="AK195:AQ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2026-07-06T09:20:22Z</dcterms:created>
  <dcterms:modified xmlns:dcterms="http://purl.org/dc/terms/" xmlns:xsi="http://www.w3.org/2001/XMLSchema-instance" xsi:type="dcterms:W3CDTF">2026-07-06T09:20:25Z</dcterms:modified>
</cp:coreProperties>
</file>