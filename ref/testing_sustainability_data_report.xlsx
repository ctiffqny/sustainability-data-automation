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threadedComments/threadedComment8.xml" ContentType="application/vnd.ms-excel.threadedcomments+xml"/>
  <Override PartName="/xl/comments10.xml" ContentType="application/vnd.openxmlformats-officedocument.spreadsheetml.comments+xml"/>
  <Override PartName="/xl/threadedComments/threadedComment9.xml" ContentType="application/vnd.ms-excel.threadedcomments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omments11.xml" ContentType="application/vnd.openxmlformats-officedocument.spreadsheetml.comments+xml"/>
  <Override PartName="/xl/threadedComments/threadedComment10.xml" ContentType="application/vnd.ms-excel.threaded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omments12.xml" ContentType="application/vnd.openxmlformats-officedocument.spreadsheetml.comments+xml"/>
  <Override PartName="/xl/threadedComments/threadedComment11.xml" ContentType="application/vnd.ms-excel.threadedcomments+xml"/>
  <Override PartName="/xl/drawings/drawing6.xml" ContentType="application/vnd.openxmlformats-officedocument.drawing+xml"/>
  <Override PartName="/xl/comments13.xml" ContentType="application/vnd.openxmlformats-officedocument.spreadsheetml.comments+xml"/>
  <Override PartName="/xl/threadedComments/threadedComment12.xml" ContentType="application/vnd.ms-excel.threaded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omments14.xml" ContentType="application/vnd.openxmlformats-officedocument.spreadsheetml.comments+xml"/>
  <Override PartName="/xl/threadedComments/threadedComment13.xml" ContentType="application/vnd.ms-excel.threaded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omments15.xml" ContentType="application/vnd.openxmlformats-officedocument.spreadsheetml.comments+xml"/>
  <Override PartName="/xl/threadedComments/threadedComment14.xml" ContentType="application/vnd.ms-excel.threaded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1.xml" ContentType="application/vnd.openxmlformats-officedocument.drawing+xml"/>
  <Override PartName="/xl/comments16.xml" ContentType="application/vnd.openxmlformats-officedocument.spreadsheetml.comments+xml"/>
  <Override PartName="/xl/threadedComments/threadedComment15.xml" ContentType="application/vnd.ms-excel.threadedcomment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omments17.xml" ContentType="application/vnd.openxmlformats-officedocument.spreadsheetml.comments+xml"/>
  <Override PartName="/xl/threadedComments/threadedComment16.xml" ContentType="application/vnd.ms-excel.threadedcomment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omments18.xml" ContentType="application/vnd.openxmlformats-officedocument.spreadsheetml.comments+xml"/>
  <Override PartName="/xl/threadedComments/threadedComment17.xml" ContentType="application/vnd.ms-excel.threadedcomments+xml"/>
  <Override PartName="/xl/comments19.xml" ContentType="application/vnd.openxmlformats-officedocument.spreadsheetml.comments+xml"/>
  <Override PartName="/xl/threadedComments/threadedComment18.xml" ContentType="application/vnd.ms-excel.threadedcomments+xml"/>
  <Override PartName="/xl/comments20.xml" ContentType="application/vnd.openxmlformats-officedocument.spreadsheetml.comments+xml"/>
  <Override PartName="/xl/threadedComments/threadedComment19.xml" ContentType="application/vnd.ms-excel.threadedcomments+xml"/>
  <Override PartName="/xl/drawings/drawing13.xml" ContentType="application/vnd.openxmlformats-officedocument.drawing+xml"/>
  <Override PartName="/xl/comments21.xml" ContentType="application/vnd.openxmlformats-officedocument.spreadsheetml.comments+xml"/>
  <Override PartName="/xl/threadedComments/threadedComment20.xml" ContentType="application/vnd.ms-excel.threadedcomment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5.xml" ContentType="application/vnd.openxmlformats-officedocument.drawing+xml"/>
  <Override PartName="/xl/comments22.xml" ContentType="application/vnd.openxmlformats-officedocument.spreadsheetml.comments+xml"/>
  <Override PartName="/xl/threadedComments/threadedComment21.xml" ContentType="application/vnd.ms-excel.threaded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omments23.xml" ContentType="application/vnd.openxmlformats-officedocument.spreadsheetml.comments+xml"/>
  <Override PartName="/xl/threadedComments/threadedComment22.xml" ContentType="application/vnd.ms-excel.threadedcomments+xml"/>
  <Override PartName="/xl/comments24.xml" ContentType="application/vnd.openxmlformats-officedocument.spreadsheetml.comments+xml"/>
  <Override PartName="/xl/threadedComments/threadedComment23.xml" ContentType="application/vnd.ms-excel.threadedcomments+xml"/>
  <Override PartName="/xl/comments25.xml" ContentType="application/vnd.openxmlformats-officedocument.spreadsheetml.comments+xml"/>
  <Override PartName="/xl/threadedComments/threadedComment24.xml" ContentType="application/vnd.ms-excel.threadedcomments+xml"/>
  <Override PartName="/xl/drawings/drawing16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7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8.xml" ContentType="application/vnd.openxmlformats-officedocument.drawing+xml"/>
  <Override PartName="/xl/comments26.xml" ContentType="application/vnd.openxmlformats-officedocument.spreadsheetml.comments+xml"/>
  <Override PartName="/xl/threadedComments/threadedComment25.xml" ContentType="application/vnd.ms-excel.threadedcomment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omments27.xml" ContentType="application/vnd.openxmlformats-officedocument.spreadsheetml.comments+xml"/>
  <Override PartName="/xl/threadedComments/threadedComment26.xml" ContentType="application/vnd.ms-excel.threadedcomments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0.xml" ContentType="application/vnd.openxmlformats-officedocument.drawing+xml"/>
  <Override PartName="/xl/comments28.xml" ContentType="application/vnd.openxmlformats-officedocument.spreadsheetml.comments+xml"/>
  <Override PartName="/xl/threadedComments/threadedComment27.xml" ContentType="application/vnd.ms-excel.threadedcomment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omments29.xml" ContentType="application/vnd.openxmlformats-officedocument.spreadsheetml.comments+xml"/>
  <Override PartName="/xl/threadedComments/threadedComment28.xml" ContentType="application/vnd.ms-excel.threadedcomments+xml"/>
  <Override PartName="/xl/comments30.xml" ContentType="application/vnd.openxmlformats-officedocument.spreadsheetml.comments+xml"/>
  <Override PartName="/xl/threadedComments/threadedComment29.xml" ContentType="application/vnd.ms-excel.threadedcomments+xml"/>
  <Override PartName="/xl/drawings/drawing21.xml" ContentType="application/vnd.openxmlformats-officedocument.drawing+xml"/>
  <Override PartName="/xl/comments31.xml" ContentType="application/vnd.openxmlformats-officedocument.spreadsheetml.comments+xml"/>
  <Override PartName="/xl/threadedComments/threadedComment30.xml" ContentType="application/vnd.ms-excel.threadedcomment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omments32.xml" ContentType="application/vnd.openxmlformats-officedocument.spreadsheetml.comments+xml"/>
  <Override PartName="/xl/threadedComments/threadedComment3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/Users/tiffanychen/Desktop/intern/hkust_net_zero_office/sustainability-data-automation/ref/"/>
    </mc:Choice>
  </mc:AlternateContent>
  <xr:revisionPtr revIDLastSave="0" documentId="13_ncr:1_{1D8E0897-A98A-6644-A265-4EB0E90200E0}" xr6:coauthVersionLast="47" xr6:coauthVersionMax="47" xr10:uidLastSave="{00000000-0000-0000-0000-000000000000}"/>
  <bookViews>
    <workbookView xWindow="0" yWindow="720" windowWidth="29400" windowHeight="15700" firstSheet="4" activeTab="5" xr2:uid="{C25809D7-B41A-7D47-BA31-A75F3228F8C7}"/>
  </bookViews>
  <sheets>
    <sheet name="Table of Contents" sheetId="1" r:id="rId1"/>
    <sheet name="Annual Report (Energy)" sheetId="2" r:id="rId2"/>
    <sheet name="Monthly Renewable" sheetId="48" r:id="rId3"/>
    <sheet name="Yearly Renewable" sheetId="47" r:id="rId4"/>
    <sheet name="Monthly Electricity (Overview)" sheetId="4" r:id="rId5"/>
    <sheet name="Monthly Electricity (Processed)" sheetId="73" r:id="rId6"/>
    <sheet name="Monthly Electricity Reformatted" sheetId="55" r:id="rId7"/>
    <sheet name="Yearly Electricity (Overview)" sheetId="6" r:id="rId8"/>
    <sheet name="Yearly Electricity Reformatted" sheetId="61" r:id="rId9"/>
    <sheet name="Monthly Electricity (CHECK)" sheetId="72" r:id="rId10"/>
    <sheet name="Monthly Towngas (TGU)" sheetId="7" r:id="rId11"/>
    <sheet name="Yearly Towngas (TGU)" sheetId="8" r:id="rId12"/>
    <sheet name="Yearly Fuel" sheetId="62" r:id="rId13"/>
    <sheet name="Scope 1" sheetId="50" r:id="rId14"/>
    <sheet name="Scope 2" sheetId="65" r:id="rId15"/>
    <sheet name="Scope 3" sheetId="66" r:id="rId16"/>
    <sheet name="Yearly GHG (mCO2)" sheetId="12" r:id="rId17"/>
    <sheet name="Emission Factor (new)" sheetId="67" r:id="rId18"/>
    <sheet name="Emission Factor" sheetId="13" r:id="rId19"/>
    <sheet name="Annual Report (Water)" sheetId="14" r:id="rId20"/>
    <sheet name="Half-Year Report (Water)" sheetId="15" r:id="rId21"/>
    <sheet name="Monthly Potable (Overview)" sheetId="16" r:id="rId22"/>
    <sheet name="Yearly Potable (Overview)" sheetId="18" r:id="rId23"/>
    <sheet name="Monthly Seawater (m3)" sheetId="22" r:id="rId24"/>
    <sheet name="Yearly Seawater (m3)" sheetId="23" r:id="rId25"/>
    <sheet name="Monthly Potable (Meters)" sheetId="46" r:id="rId26"/>
    <sheet name="Category Water Data" sheetId="49" r:id="rId27"/>
    <sheet name="Annual Report (Waste)" sheetId="35" r:id="rId28"/>
    <sheet name="Half-Year Report (Waste)" sheetId="36" r:id="rId29"/>
    <sheet name="Raw Data (KG)" sheetId="38" r:id="rId30"/>
    <sheet name="Processed Waste (KG)" sheetId="74" r:id="rId31"/>
    <sheet name="Monthly Waste by Location (KG)" sheetId="63" r:id="rId32"/>
    <sheet name="Smart Waste Bin (Staff Quarter)" sheetId="71" r:id="rId33"/>
    <sheet name="Smart Waste Bin (Canteen)" sheetId="68" r:id="rId34"/>
    <sheet name="Raw Food Data (KG)" sheetId="39" r:id="rId35"/>
    <sheet name="Yearly Food Data" sheetId="53" r:id="rId36"/>
    <sheet name="Category Waste Data" sheetId="45" r:id="rId37"/>
    <sheet name="Monthly Recycling" sheetId="40" r:id="rId38"/>
    <sheet name="Yearly Recycling" sheetId="41" r:id="rId39"/>
    <sheet name="Daily Food Data" sheetId="64" r:id="rId40"/>
    <sheet name="Monthly Paper Distribution" sheetId="42" r:id="rId41"/>
    <sheet name="Yearly Paper Distribution" sheetId="43" r:id="rId42"/>
    <sheet name="Yearly Paper (match monthly)" sheetId="60" r:id="rId4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5" i="38" l="1"/>
  <c r="E66" i="74" l="1"/>
  <c r="F62" i="74"/>
  <c r="E62" i="74"/>
  <c r="F59" i="74"/>
  <c r="E59" i="74"/>
  <c r="F55" i="74"/>
  <c r="D55" i="74"/>
  <c r="E54" i="74"/>
  <c r="D54" i="74"/>
  <c r="E51" i="74"/>
  <c r="D51" i="74"/>
  <c r="D49" i="74"/>
  <c r="B48" i="74"/>
  <c r="F47" i="74"/>
  <c r="E47" i="74"/>
  <c r="D47" i="74"/>
  <c r="B44" i="74"/>
  <c r="G146" i="38"/>
  <c r="R76" i="38"/>
  <c r="R69" i="38"/>
  <c r="L12" i="14"/>
  <c r="F35" i="7" l="1"/>
  <c r="G35" i="7" s="1"/>
  <c r="H35" i="7" s="1"/>
  <c r="F34" i="7"/>
  <c r="G34" i="7" s="1"/>
  <c r="H34" i="7" s="1"/>
  <c r="G75" i="48"/>
  <c r="O25" i="74" l="1"/>
  <c r="G74" i="48"/>
  <c r="G47" i="48"/>
  <c r="G46" i="48"/>
  <c r="G73" i="48"/>
  <c r="K146" i="40" l="1"/>
  <c r="K147" i="40"/>
  <c r="K148" i="40"/>
  <c r="K149" i="40"/>
  <c r="K150" i="40"/>
  <c r="K151" i="40"/>
  <c r="K152" i="40"/>
  <c r="K153" i="40"/>
  <c r="K154" i="40"/>
  <c r="K155" i="40"/>
  <c r="K156" i="40"/>
  <c r="D146" i="40"/>
  <c r="E146" i="40"/>
  <c r="F146" i="40"/>
  <c r="G146" i="40"/>
  <c r="H146" i="40"/>
  <c r="I146" i="40"/>
  <c r="J146" i="40"/>
  <c r="E147" i="40"/>
  <c r="F147" i="40"/>
  <c r="G147" i="40"/>
  <c r="H147" i="40"/>
  <c r="I147" i="40"/>
  <c r="J147" i="40"/>
  <c r="E148" i="40"/>
  <c r="F148" i="40"/>
  <c r="G148" i="40"/>
  <c r="H148" i="40"/>
  <c r="I148" i="40"/>
  <c r="J148" i="40"/>
  <c r="E149" i="40"/>
  <c r="F149" i="40"/>
  <c r="G149" i="40"/>
  <c r="H149" i="40"/>
  <c r="I149" i="40"/>
  <c r="J149" i="40"/>
  <c r="B150" i="40"/>
  <c r="C150" i="40"/>
  <c r="D150" i="40"/>
  <c r="E150" i="40"/>
  <c r="F150" i="40"/>
  <c r="G150" i="40"/>
  <c r="H150" i="40"/>
  <c r="I150" i="40"/>
  <c r="J150" i="40"/>
  <c r="B151" i="40"/>
  <c r="C151" i="40"/>
  <c r="D151" i="40"/>
  <c r="E151" i="40"/>
  <c r="F151" i="40"/>
  <c r="G151" i="40"/>
  <c r="H151" i="40"/>
  <c r="I151" i="40"/>
  <c r="J151" i="40"/>
  <c r="B152" i="40"/>
  <c r="C152" i="40"/>
  <c r="D152" i="40"/>
  <c r="E152" i="40"/>
  <c r="F152" i="40"/>
  <c r="G152" i="40"/>
  <c r="H152" i="40"/>
  <c r="I152" i="40"/>
  <c r="J152" i="40"/>
  <c r="B153" i="40"/>
  <c r="C153" i="40"/>
  <c r="D153" i="40"/>
  <c r="E153" i="40"/>
  <c r="F153" i="40"/>
  <c r="G153" i="40"/>
  <c r="H153" i="40"/>
  <c r="I153" i="40"/>
  <c r="J153" i="40"/>
  <c r="B154" i="40"/>
  <c r="C154" i="40"/>
  <c r="D154" i="40"/>
  <c r="E154" i="40"/>
  <c r="F154" i="40"/>
  <c r="G154" i="40"/>
  <c r="H154" i="40"/>
  <c r="I154" i="40"/>
  <c r="J154" i="40"/>
  <c r="B155" i="40"/>
  <c r="C155" i="40"/>
  <c r="D155" i="40"/>
  <c r="E155" i="40"/>
  <c r="F155" i="40"/>
  <c r="G155" i="40"/>
  <c r="H155" i="40"/>
  <c r="I155" i="40"/>
  <c r="J155" i="40"/>
  <c r="B156" i="40"/>
  <c r="C156" i="40"/>
  <c r="D156" i="40"/>
  <c r="E156" i="40"/>
  <c r="F156" i="40"/>
  <c r="G156" i="40"/>
  <c r="H156" i="40"/>
  <c r="I156" i="40"/>
  <c r="J156" i="40"/>
  <c r="L152" i="40" l="1"/>
  <c r="L151" i="40"/>
  <c r="L150" i="40"/>
  <c r="L153" i="40"/>
  <c r="L154" i="40"/>
  <c r="L156" i="40"/>
  <c r="L155" i="40"/>
  <c r="N13" i="35" l="1"/>
  <c r="C13" i="23"/>
  <c r="D13" i="23" s="1"/>
  <c r="B13" i="23"/>
  <c r="B12" i="23"/>
  <c r="E8" i="23"/>
  <c r="Z105" i="22" l="1"/>
  <c r="B108" i="22"/>
  <c r="C105" i="22"/>
  <c r="B105" i="22"/>
  <c r="D106" i="22"/>
  <c r="B106" i="22"/>
  <c r="Z83" i="22"/>
  <c r="Z82" i="22"/>
  <c r="Y106" i="22"/>
  <c r="W106" i="22"/>
  <c r="T106" i="22"/>
  <c r="R106" i="22"/>
  <c r="P106" i="22"/>
  <c r="N106" i="22"/>
  <c r="L106" i="22"/>
  <c r="J106" i="22"/>
  <c r="H106" i="22"/>
  <c r="F106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Z104" i="22"/>
  <c r="Z103" i="22"/>
  <c r="Z102" i="22"/>
  <c r="Z101" i="22"/>
  <c r="Z100" i="22"/>
  <c r="Z99" i="22"/>
  <c r="Z98" i="22"/>
  <c r="Z97" i="22"/>
  <c r="Z96" i="22"/>
  <c r="Z95" i="22"/>
  <c r="Z94" i="22"/>
  <c r="Z93" i="22"/>
  <c r="F12" i="47"/>
  <c r="C12" i="47"/>
  <c r="D12" i="47"/>
  <c r="E12" i="47"/>
  <c r="B12" i="47"/>
  <c r="G66" i="48"/>
  <c r="G67" i="48"/>
  <c r="G68" i="48"/>
  <c r="G69" i="48"/>
  <c r="G70" i="48"/>
  <c r="G71" i="48"/>
  <c r="G72" i="48"/>
  <c r="G65" i="48"/>
  <c r="H16" i="8"/>
  <c r="G16" i="8"/>
  <c r="C17" i="8"/>
  <c r="D17" i="8"/>
  <c r="E17" i="8"/>
  <c r="B17" i="8"/>
  <c r="F33" i="7"/>
  <c r="G33" i="7" s="1"/>
  <c r="H33" i="7" s="1"/>
  <c r="B93" i="16"/>
  <c r="F32" i="7"/>
  <c r="G32" i="7" s="1"/>
  <c r="H32" i="7" s="1"/>
  <c r="B92" i="16"/>
  <c r="J92" i="16" s="1"/>
  <c r="F31" i="7"/>
  <c r="G31" i="7" s="1"/>
  <c r="H31" i="7" s="1"/>
  <c r="B91" i="16"/>
  <c r="J91" i="16" s="1"/>
  <c r="F30" i="7"/>
  <c r="G30" i="7" s="1"/>
  <c r="H30" i="7" s="1"/>
  <c r="B90" i="16"/>
  <c r="F29" i="7"/>
  <c r="G29" i="7" s="1"/>
  <c r="H29" i="7" s="1"/>
  <c r="B89" i="16"/>
  <c r="J89" i="16"/>
  <c r="B88" i="16"/>
  <c r="J90" i="16"/>
  <c r="J93" i="16"/>
  <c r="J94" i="16"/>
  <c r="J95" i="16"/>
  <c r="J96" i="16"/>
  <c r="J97" i="16"/>
  <c r="G17" i="8" l="1"/>
  <c r="H17" i="8" s="1"/>
  <c r="I17" i="8" s="1"/>
  <c r="C130" i="4"/>
  <c r="I45" i="55" l="1"/>
  <c r="I46" i="55"/>
  <c r="I47" i="55"/>
  <c r="I48" i="55"/>
  <c r="I49" i="55"/>
  <c r="AE5" i="6"/>
  <c r="AE6" i="6"/>
  <c r="AE7" i="6"/>
  <c r="AE8" i="6"/>
  <c r="AE9" i="6"/>
  <c r="AE10" i="6"/>
  <c r="AE11" i="6"/>
  <c r="AE12" i="6"/>
  <c r="AC2" i="6"/>
  <c r="AC3" i="6"/>
  <c r="AC4" i="6"/>
  <c r="AC5" i="6"/>
  <c r="AC6" i="6"/>
  <c r="AC7" i="6"/>
  <c r="AC8" i="6"/>
  <c r="AC9" i="6"/>
  <c r="AC10" i="6"/>
  <c r="AC11" i="6"/>
  <c r="AJ11" i="6"/>
  <c r="AK11" i="6"/>
  <c r="AC12" i="6"/>
  <c r="AF12" i="6"/>
  <c r="AG12" i="6"/>
  <c r="AJ12" i="6"/>
  <c r="AK12" i="6"/>
  <c r="AC13" i="6"/>
  <c r="AG13" i="6"/>
  <c r="AH13" i="6"/>
  <c r="AI13" i="6"/>
  <c r="AJ13" i="6"/>
  <c r="AK13" i="6"/>
  <c r="R5" i="6"/>
  <c r="N2" i="6"/>
  <c r="O2" i="6"/>
  <c r="P2" i="6"/>
  <c r="Y2" i="6"/>
  <c r="Z2" i="6"/>
  <c r="AA2" i="6"/>
  <c r="AB2" i="6"/>
  <c r="N3" i="6"/>
  <c r="O3" i="6"/>
  <c r="P3" i="6"/>
  <c r="Y3" i="6"/>
  <c r="Z3" i="6"/>
  <c r="AA3" i="6"/>
  <c r="AB3" i="6"/>
  <c r="N4" i="6"/>
  <c r="O4" i="6"/>
  <c r="P4" i="6"/>
  <c r="Y4" i="6"/>
  <c r="Z4" i="6"/>
  <c r="AA4" i="6"/>
  <c r="AB4" i="6"/>
  <c r="N5" i="6"/>
  <c r="O5" i="6"/>
  <c r="P5" i="6"/>
  <c r="Y5" i="6"/>
  <c r="Z5" i="6"/>
  <c r="AA5" i="6"/>
  <c r="AB5" i="6"/>
  <c r="N6" i="6"/>
  <c r="O6" i="6"/>
  <c r="P6" i="6"/>
  <c r="R6" i="6"/>
  <c r="Y6" i="6"/>
  <c r="Z6" i="6"/>
  <c r="AA6" i="6"/>
  <c r="AB6" i="6"/>
  <c r="N7" i="6"/>
  <c r="O7" i="6"/>
  <c r="P7" i="6"/>
  <c r="R7" i="6"/>
  <c r="Y7" i="6"/>
  <c r="Z7" i="6"/>
  <c r="AA7" i="6"/>
  <c r="AB7" i="6"/>
  <c r="N8" i="6"/>
  <c r="O8" i="6"/>
  <c r="P8" i="6"/>
  <c r="Q8" i="6"/>
  <c r="R8" i="6"/>
  <c r="X8" i="6"/>
  <c r="Y8" i="6"/>
  <c r="Z8" i="6"/>
  <c r="AA8" i="6"/>
  <c r="AB8" i="6"/>
  <c r="N9" i="6"/>
  <c r="O9" i="6"/>
  <c r="P9" i="6"/>
  <c r="Q9" i="6"/>
  <c r="R9" i="6"/>
  <c r="X9" i="6"/>
  <c r="Y9" i="6"/>
  <c r="Z9" i="6"/>
  <c r="AA9" i="6"/>
  <c r="AB9" i="6"/>
  <c r="N10" i="6"/>
  <c r="O10" i="6"/>
  <c r="P10" i="6"/>
  <c r="Q10" i="6"/>
  <c r="R10" i="6"/>
  <c r="W10" i="6"/>
  <c r="X10" i="6"/>
  <c r="Y10" i="6"/>
  <c r="Z10" i="6"/>
  <c r="AA10" i="6"/>
  <c r="AB10" i="6"/>
  <c r="N11" i="6"/>
  <c r="O11" i="6"/>
  <c r="P11" i="6"/>
  <c r="Q11" i="6"/>
  <c r="R11" i="6"/>
  <c r="T11" i="6"/>
  <c r="V11" i="6"/>
  <c r="W11" i="6"/>
  <c r="X11" i="6"/>
  <c r="Y11" i="6"/>
  <c r="Z11" i="6"/>
  <c r="AA11" i="6"/>
  <c r="AB11" i="6"/>
  <c r="N12" i="6"/>
  <c r="O12" i="6"/>
  <c r="P12" i="6"/>
  <c r="Q12" i="6"/>
  <c r="R12" i="6"/>
  <c r="T12" i="6"/>
  <c r="U12" i="6"/>
  <c r="V12" i="6"/>
  <c r="W12" i="6"/>
  <c r="X12" i="6"/>
  <c r="Y12" i="6"/>
  <c r="Z12" i="6"/>
  <c r="AA12" i="6"/>
  <c r="AB12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D2" i="6"/>
  <c r="E2" i="6"/>
  <c r="F2" i="6"/>
  <c r="G2" i="6"/>
  <c r="H2" i="6"/>
  <c r="I2" i="6"/>
  <c r="J2" i="6"/>
  <c r="K2" i="6"/>
  <c r="L2" i="6"/>
  <c r="D3" i="6"/>
  <c r="E3" i="6"/>
  <c r="F3" i="6"/>
  <c r="G3" i="6"/>
  <c r="H3" i="6"/>
  <c r="I3" i="6"/>
  <c r="J3" i="6"/>
  <c r="K3" i="6"/>
  <c r="L3" i="6"/>
  <c r="M3" i="6"/>
  <c r="D4" i="6"/>
  <c r="E4" i="6"/>
  <c r="F4" i="6"/>
  <c r="G4" i="6"/>
  <c r="H4" i="6"/>
  <c r="I4" i="6"/>
  <c r="J4" i="6"/>
  <c r="K4" i="6"/>
  <c r="L4" i="6"/>
  <c r="M4" i="6"/>
  <c r="D5" i="6"/>
  <c r="E5" i="6"/>
  <c r="F5" i="6"/>
  <c r="G5" i="6"/>
  <c r="H5" i="6"/>
  <c r="I5" i="6"/>
  <c r="J5" i="6"/>
  <c r="K5" i="6"/>
  <c r="L5" i="6"/>
  <c r="M5" i="6"/>
  <c r="D6" i="6"/>
  <c r="E6" i="6"/>
  <c r="F6" i="6"/>
  <c r="G6" i="6"/>
  <c r="H6" i="6"/>
  <c r="I6" i="6"/>
  <c r="J6" i="6"/>
  <c r="K6" i="6"/>
  <c r="L6" i="6"/>
  <c r="M6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1" i="6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D13" i="6"/>
  <c r="E13" i="6"/>
  <c r="F13" i="6"/>
  <c r="G13" i="6"/>
  <c r="H13" i="6"/>
  <c r="I13" i="6"/>
  <c r="J13" i="6"/>
  <c r="K13" i="6"/>
  <c r="L13" i="6"/>
  <c r="M13" i="6"/>
  <c r="C13" i="6"/>
  <c r="C12" i="6"/>
  <c r="C11" i="6"/>
  <c r="C10" i="6"/>
  <c r="B10" i="6" s="1"/>
  <c r="C9" i="6"/>
  <c r="C8" i="6"/>
  <c r="B8" i="6" s="1"/>
  <c r="C7" i="6"/>
  <c r="B7" i="6" s="1"/>
  <c r="C6" i="6"/>
  <c r="B6" i="6" s="1"/>
  <c r="C5" i="6"/>
  <c r="B5" i="6" s="1"/>
  <c r="C4" i="6"/>
  <c r="B4" i="6" s="1"/>
  <c r="C3" i="6"/>
  <c r="B3" i="6" s="1"/>
  <c r="C2" i="6"/>
  <c r="B2" i="6" s="1"/>
  <c r="R2" i="61"/>
  <c r="B2" i="55"/>
  <c r="B3" i="55"/>
  <c r="B4" i="55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0" i="55"/>
  <c r="B21" i="55"/>
  <c r="B22" i="55"/>
  <c r="B23" i="55"/>
  <c r="B24" i="55"/>
  <c r="B25" i="55"/>
  <c r="B26" i="55"/>
  <c r="B27" i="55"/>
  <c r="B28" i="55"/>
  <c r="B29" i="55"/>
  <c r="B30" i="55"/>
  <c r="B31" i="55"/>
  <c r="B32" i="55"/>
  <c r="B33" i="55"/>
  <c r="B34" i="55"/>
  <c r="B35" i="55"/>
  <c r="B36" i="55"/>
  <c r="B37" i="55"/>
  <c r="B38" i="55"/>
  <c r="B39" i="55"/>
  <c r="B40" i="55"/>
  <c r="B41" i="55"/>
  <c r="B42" i="55"/>
  <c r="B43" i="55"/>
  <c r="B44" i="55"/>
  <c r="B45" i="55"/>
  <c r="B46" i="55"/>
  <c r="B47" i="55"/>
  <c r="B48" i="55"/>
  <c r="B49" i="55"/>
  <c r="B50" i="55"/>
  <c r="B51" i="55"/>
  <c r="B52" i="55"/>
  <c r="B53" i="55"/>
  <c r="B54" i="55"/>
  <c r="B55" i="55"/>
  <c r="B56" i="55"/>
  <c r="B57" i="55"/>
  <c r="B58" i="55"/>
  <c r="B59" i="55"/>
  <c r="B60" i="55"/>
  <c r="B61" i="55"/>
  <c r="I50" i="55"/>
  <c r="J50" i="55"/>
  <c r="J13" i="61" s="1"/>
  <c r="I51" i="55"/>
  <c r="J51" i="55"/>
  <c r="I52" i="55"/>
  <c r="J52" i="55"/>
  <c r="I53" i="55"/>
  <c r="J53" i="55"/>
  <c r="I54" i="55"/>
  <c r="J54" i="55"/>
  <c r="I55" i="55"/>
  <c r="J55" i="55"/>
  <c r="I56" i="55"/>
  <c r="J56" i="55"/>
  <c r="I57" i="55"/>
  <c r="J57" i="55"/>
  <c r="I58" i="55"/>
  <c r="J58" i="55"/>
  <c r="I59" i="55"/>
  <c r="J59" i="55"/>
  <c r="I60" i="55"/>
  <c r="J60" i="55"/>
  <c r="I61" i="55"/>
  <c r="J61" i="55"/>
  <c r="M2" i="55"/>
  <c r="M3" i="55"/>
  <c r="M4" i="55"/>
  <c r="M5" i="55"/>
  <c r="M6" i="55"/>
  <c r="M7" i="55"/>
  <c r="M8" i="55"/>
  <c r="M9" i="55"/>
  <c r="M10" i="55"/>
  <c r="M11" i="55"/>
  <c r="M12" i="55"/>
  <c r="M13" i="55"/>
  <c r="M14" i="55"/>
  <c r="M15" i="55"/>
  <c r="M16" i="55"/>
  <c r="M17" i="55"/>
  <c r="M18" i="55"/>
  <c r="M19" i="55"/>
  <c r="M20" i="55"/>
  <c r="M21" i="55"/>
  <c r="M22" i="55"/>
  <c r="M23" i="55"/>
  <c r="M24" i="55"/>
  <c r="M25" i="55"/>
  <c r="M26" i="55"/>
  <c r="M27" i="55"/>
  <c r="M28" i="55"/>
  <c r="M29" i="55"/>
  <c r="M30" i="55"/>
  <c r="M31" i="55"/>
  <c r="M32" i="55"/>
  <c r="M33" i="55"/>
  <c r="M34" i="55"/>
  <c r="M35" i="55"/>
  <c r="M36" i="55"/>
  <c r="M37" i="55"/>
  <c r="M38" i="55"/>
  <c r="M39" i="55"/>
  <c r="M40" i="55"/>
  <c r="M41" i="55"/>
  <c r="M42" i="55"/>
  <c r="M43" i="55"/>
  <c r="M44" i="55"/>
  <c r="M45" i="55"/>
  <c r="M46" i="55"/>
  <c r="M47" i="55"/>
  <c r="M48" i="55"/>
  <c r="M49" i="55"/>
  <c r="M50" i="55"/>
  <c r="M51" i="55"/>
  <c r="M52" i="55"/>
  <c r="M53" i="55"/>
  <c r="M54" i="55"/>
  <c r="M55" i="55"/>
  <c r="M56" i="55"/>
  <c r="M57" i="55"/>
  <c r="M58" i="55"/>
  <c r="M59" i="55"/>
  <c r="M60" i="55"/>
  <c r="M61" i="55"/>
  <c r="M65" i="55"/>
  <c r="M66" i="55"/>
  <c r="M67" i="55"/>
  <c r="M68" i="55"/>
  <c r="M62" i="55"/>
  <c r="B63" i="55"/>
  <c r="B64" i="55"/>
  <c r="B65" i="55"/>
  <c r="B66" i="55"/>
  <c r="B67" i="55"/>
  <c r="B68" i="55"/>
  <c r="B62" i="55"/>
  <c r="C65" i="55"/>
  <c r="D65" i="55"/>
  <c r="E65" i="55"/>
  <c r="F65" i="55"/>
  <c r="G65" i="55"/>
  <c r="H65" i="55"/>
  <c r="I65" i="55"/>
  <c r="J65" i="55"/>
  <c r="K65" i="55"/>
  <c r="N65" i="55"/>
  <c r="O65" i="55"/>
  <c r="C66" i="55"/>
  <c r="D66" i="55"/>
  <c r="E66" i="55"/>
  <c r="F66" i="55"/>
  <c r="G66" i="55"/>
  <c r="H66" i="55"/>
  <c r="I66" i="55"/>
  <c r="J66" i="55"/>
  <c r="K66" i="55"/>
  <c r="N66" i="55"/>
  <c r="O66" i="55"/>
  <c r="C67" i="55"/>
  <c r="D67" i="55"/>
  <c r="E67" i="55"/>
  <c r="F67" i="55"/>
  <c r="G67" i="55"/>
  <c r="H67" i="55"/>
  <c r="I67" i="55"/>
  <c r="J67" i="55"/>
  <c r="K67" i="55"/>
  <c r="N67" i="55"/>
  <c r="O67" i="55"/>
  <c r="C68" i="55"/>
  <c r="D68" i="55"/>
  <c r="E68" i="55"/>
  <c r="F68" i="55"/>
  <c r="G68" i="55"/>
  <c r="H68" i="55"/>
  <c r="I68" i="55"/>
  <c r="J68" i="55"/>
  <c r="K68" i="55"/>
  <c r="O68" i="55"/>
  <c r="H64" i="55"/>
  <c r="I64" i="55"/>
  <c r="I63" i="55"/>
  <c r="H63" i="55"/>
  <c r="I62" i="55"/>
  <c r="H62" i="55"/>
  <c r="AA146" i="4"/>
  <c r="N68" i="55" s="1"/>
  <c r="AE142" i="4"/>
  <c r="AD142" i="4"/>
  <c r="AE141" i="4"/>
  <c r="AD141" i="4"/>
  <c r="M63" i="55" s="1"/>
  <c r="AE140" i="4"/>
  <c r="AF13" i="6" s="1"/>
  <c r="B13" i="2"/>
  <c r="C13" i="2"/>
  <c r="H14" i="61" l="1"/>
  <c r="I13" i="61"/>
  <c r="AE13" i="6"/>
  <c r="B9" i="6"/>
  <c r="M64" i="55"/>
  <c r="I12" i="61"/>
  <c r="I14" i="61"/>
  <c r="B12" i="6"/>
  <c r="G11" i="47"/>
  <c r="B13" i="6"/>
  <c r="G12" i="47"/>
  <c r="R65" i="55"/>
  <c r="B11" i="6"/>
  <c r="Q65" i="55"/>
  <c r="Q68" i="55"/>
  <c r="Q66" i="55"/>
  <c r="R67" i="55"/>
  <c r="R68" i="55"/>
  <c r="Q67" i="55"/>
  <c r="R66" i="55"/>
  <c r="F10" i="47"/>
  <c r="F8" i="47"/>
  <c r="F6" i="47"/>
  <c r="C6" i="47"/>
  <c r="D6" i="47"/>
  <c r="E6" i="47"/>
  <c r="C7" i="47"/>
  <c r="D7" i="47"/>
  <c r="E7" i="47"/>
  <c r="C8" i="47"/>
  <c r="D8" i="47"/>
  <c r="E8" i="47"/>
  <c r="C9" i="47"/>
  <c r="D9" i="47"/>
  <c r="E9" i="47"/>
  <c r="C10" i="47"/>
  <c r="D10" i="47"/>
  <c r="E10" i="47"/>
  <c r="C11" i="47"/>
  <c r="D11" i="47"/>
  <c r="E11" i="47"/>
  <c r="B11" i="47"/>
  <c r="B10" i="47"/>
  <c r="B9" i="47"/>
  <c r="B8" i="47"/>
  <c r="B7" i="47"/>
  <c r="B6" i="47"/>
  <c r="Q7" i="41" l="1"/>
  <c r="S70" i="39"/>
  <c r="T70" i="39" s="1"/>
  <c r="L114" i="39"/>
  <c r="P149" i="42"/>
  <c r="J14" i="14"/>
  <c r="C29" i="63"/>
  <c r="D29" i="63"/>
  <c r="E29" i="63"/>
  <c r="F29" i="63"/>
  <c r="G29" i="63"/>
  <c r="H29" i="63"/>
  <c r="I29" i="63"/>
  <c r="J29" i="63"/>
  <c r="B29" i="63"/>
  <c r="C28" i="63"/>
  <c r="D28" i="63"/>
  <c r="E28" i="63"/>
  <c r="F28" i="63"/>
  <c r="G28" i="63"/>
  <c r="H28" i="63"/>
  <c r="I28" i="63"/>
  <c r="J28" i="63"/>
  <c r="B28" i="63"/>
  <c r="L25" i="63" l="1"/>
  <c r="L13" i="63"/>
  <c r="N3" i="61" l="1"/>
  <c r="O3" i="61"/>
  <c r="N4" i="61"/>
  <c r="O4" i="61"/>
  <c r="N5" i="61"/>
  <c r="O5" i="61"/>
  <c r="N6" i="61"/>
  <c r="O6" i="61"/>
  <c r="N7" i="61"/>
  <c r="O7" i="61"/>
  <c r="N8" i="61"/>
  <c r="O8" i="61"/>
  <c r="O2" i="55"/>
  <c r="O3" i="55"/>
  <c r="Q8" i="61" l="1"/>
  <c r="R8" i="61" s="1"/>
  <c r="Q5" i="61"/>
  <c r="R5" i="61" s="1"/>
  <c r="Q4" i="61"/>
  <c r="R4" i="61" s="1"/>
  <c r="Q7" i="61"/>
  <c r="R7" i="61" s="1"/>
  <c r="Q3" i="61"/>
  <c r="R3" i="61" s="1"/>
  <c r="Q6" i="61"/>
  <c r="R6" i="61" s="1"/>
  <c r="O4" i="55"/>
  <c r="O5" i="55"/>
  <c r="O6" i="55"/>
  <c r="O7" i="55"/>
  <c r="O8" i="55"/>
  <c r="O9" i="55"/>
  <c r="O10" i="55"/>
  <c r="O11" i="55"/>
  <c r="O12" i="55"/>
  <c r="O13" i="55"/>
  <c r="O14" i="55"/>
  <c r="O15" i="55"/>
  <c r="O16" i="55"/>
  <c r="O17" i="55"/>
  <c r="O18" i="55"/>
  <c r="O19" i="55"/>
  <c r="O20" i="55"/>
  <c r="O21" i="55"/>
  <c r="O22" i="55"/>
  <c r="O23" i="55"/>
  <c r="O24" i="55"/>
  <c r="O25" i="55"/>
  <c r="O26" i="55"/>
  <c r="O27" i="55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N2" i="55"/>
  <c r="N3" i="55"/>
  <c r="N4" i="55"/>
  <c r="N5" i="55"/>
  <c r="N6" i="55"/>
  <c r="N7" i="55"/>
  <c r="N8" i="55"/>
  <c r="N9" i="55"/>
  <c r="N10" i="55"/>
  <c r="N11" i="55"/>
  <c r="N12" i="55"/>
  <c r="N13" i="55"/>
  <c r="N14" i="55"/>
  <c r="N15" i="55"/>
  <c r="N16" i="55"/>
  <c r="N17" i="55"/>
  <c r="N18" i="55"/>
  <c r="N19" i="55"/>
  <c r="N20" i="55"/>
  <c r="N21" i="55"/>
  <c r="N22" i="55"/>
  <c r="N23" i="55"/>
  <c r="N24" i="55"/>
  <c r="N25" i="55"/>
  <c r="N26" i="55"/>
  <c r="N27" i="55"/>
  <c r="N28" i="55"/>
  <c r="N29" i="55"/>
  <c r="N30" i="55"/>
  <c r="N31" i="55"/>
  <c r="N32" i="55"/>
  <c r="N33" i="55"/>
  <c r="N34" i="55"/>
  <c r="N35" i="55"/>
  <c r="N36" i="55"/>
  <c r="N37" i="55"/>
  <c r="N38" i="55"/>
  <c r="N39" i="55"/>
  <c r="N40" i="55"/>
  <c r="N41" i="55"/>
  <c r="N42" i="55"/>
  <c r="N43" i="55"/>
  <c r="N44" i="55"/>
  <c r="N45" i="55"/>
  <c r="N46" i="55"/>
  <c r="N47" i="55"/>
  <c r="N48" i="55"/>
  <c r="N49" i="55"/>
  <c r="Q2" i="61"/>
  <c r="O51" i="55"/>
  <c r="O52" i="55"/>
  <c r="O53" i="55"/>
  <c r="O54" i="55"/>
  <c r="O55" i="55"/>
  <c r="O56" i="55"/>
  <c r="O57" i="55"/>
  <c r="O58" i="55"/>
  <c r="O59" i="55"/>
  <c r="O60" i="55"/>
  <c r="O61" i="55"/>
  <c r="O62" i="55"/>
  <c r="O63" i="55"/>
  <c r="O64" i="55"/>
  <c r="O50" i="55"/>
  <c r="N51" i="55"/>
  <c r="N52" i="55"/>
  <c r="N53" i="55"/>
  <c r="N54" i="55"/>
  <c r="N55" i="55"/>
  <c r="N56" i="55"/>
  <c r="N57" i="55"/>
  <c r="N58" i="55"/>
  <c r="N59" i="55"/>
  <c r="N60" i="55"/>
  <c r="N61" i="55"/>
  <c r="N50" i="55"/>
  <c r="E18" i="12"/>
  <c r="O6" i="41"/>
  <c r="N6" i="41"/>
  <c r="L5" i="65"/>
  <c r="K5" i="65"/>
  <c r="J5" i="65"/>
  <c r="I5" i="65"/>
  <c r="G5" i="65"/>
  <c r="F5" i="65"/>
  <c r="E5" i="65"/>
  <c r="D5" i="65"/>
  <c r="C5" i="65"/>
  <c r="B5" i="65"/>
  <c r="L4" i="65"/>
  <c r="K4" i="65"/>
  <c r="I4" i="65"/>
  <c r="G4" i="65"/>
  <c r="F4" i="65"/>
  <c r="E4" i="65"/>
  <c r="D4" i="65"/>
  <c r="C4" i="65"/>
  <c r="B4" i="65"/>
  <c r="L3" i="65"/>
  <c r="K3" i="65"/>
  <c r="I3" i="65"/>
  <c r="G3" i="65"/>
  <c r="F3" i="65"/>
  <c r="E3" i="65"/>
  <c r="D3" i="65"/>
  <c r="C3" i="65"/>
  <c r="B3" i="65"/>
  <c r="P4" i="65"/>
  <c r="P3" i="65"/>
  <c r="N4" i="65"/>
  <c r="N3" i="65"/>
  <c r="C64" i="72"/>
  <c r="AA62" i="72"/>
  <c r="N11" i="61" l="1"/>
  <c r="O14" i="61"/>
  <c r="N9" i="61"/>
  <c r="O11" i="61"/>
  <c r="O13" i="61"/>
  <c r="N13" i="61"/>
  <c r="N12" i="61"/>
  <c r="N10" i="61"/>
  <c r="O12" i="61"/>
  <c r="O10" i="61"/>
  <c r="O9" i="61"/>
  <c r="E5" i="50"/>
  <c r="AG2" i="2"/>
  <c r="N12" i="35"/>
  <c r="C14" i="14"/>
  <c r="D14" i="14"/>
  <c r="E14" i="14"/>
  <c r="F14" i="14"/>
  <c r="G14" i="14"/>
  <c r="H14" i="14"/>
  <c r="I14" i="14"/>
  <c r="B14" i="14"/>
  <c r="J15" i="14"/>
  <c r="K20" i="14"/>
  <c r="K19" i="14"/>
  <c r="AB62" i="72"/>
  <c r="C49" i="72" l="1"/>
  <c r="C3" i="72"/>
  <c r="C4" i="72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2" i="72"/>
  <c r="AE3" i="72"/>
  <c r="AE4" i="72"/>
  <c r="AE5" i="72"/>
  <c r="AE6" i="72"/>
  <c r="AE7" i="72"/>
  <c r="AE8" i="72"/>
  <c r="AE9" i="72"/>
  <c r="AE10" i="72"/>
  <c r="AE11" i="72"/>
  <c r="AE12" i="72"/>
  <c r="AE13" i="72"/>
  <c r="AE14" i="72"/>
  <c r="AE15" i="72"/>
  <c r="AE16" i="72"/>
  <c r="AE17" i="72"/>
  <c r="AE18" i="72"/>
  <c r="AE19" i="72"/>
  <c r="AE20" i="72"/>
  <c r="AE21" i="72"/>
  <c r="AE22" i="72"/>
  <c r="AE23" i="72"/>
  <c r="AE24" i="72"/>
  <c r="AE25" i="72"/>
  <c r="AE26" i="72"/>
  <c r="AE27" i="72"/>
  <c r="AE28" i="72"/>
  <c r="AE29" i="72"/>
  <c r="AE30" i="72"/>
  <c r="AE31" i="72"/>
  <c r="AE32" i="72"/>
  <c r="AE33" i="72"/>
  <c r="AE34" i="72"/>
  <c r="AE35" i="72"/>
  <c r="AE36" i="72"/>
  <c r="AE37" i="72"/>
  <c r="AE38" i="72"/>
  <c r="AE39" i="72"/>
  <c r="AE40" i="72"/>
  <c r="AE41" i="72"/>
  <c r="AE42" i="72"/>
  <c r="AE43" i="72"/>
  <c r="AE44" i="72"/>
  <c r="AE45" i="72"/>
  <c r="AE46" i="72"/>
  <c r="AE47" i="72"/>
  <c r="AE48" i="72"/>
  <c r="AE49" i="72"/>
  <c r="AE50" i="72"/>
  <c r="AE51" i="72"/>
  <c r="AE52" i="72"/>
  <c r="AE53" i="72"/>
  <c r="AE54" i="72"/>
  <c r="AE55" i="72"/>
  <c r="AE56" i="72"/>
  <c r="AE57" i="72"/>
  <c r="AE58" i="72"/>
  <c r="AE59" i="72"/>
  <c r="AE60" i="72"/>
  <c r="AE61" i="72"/>
  <c r="AE2" i="72"/>
  <c r="AC62" i="72"/>
  <c r="AB3" i="72"/>
  <c r="AB4" i="72"/>
  <c r="AB5" i="72"/>
  <c r="AB6" i="72"/>
  <c r="AB7" i="72"/>
  <c r="AB8" i="72"/>
  <c r="AB9" i="72"/>
  <c r="AB10" i="72"/>
  <c r="AB11" i="72"/>
  <c r="AB12" i="72"/>
  <c r="AB13" i="72"/>
  <c r="AB14" i="72"/>
  <c r="AB15" i="72"/>
  <c r="AB16" i="72"/>
  <c r="AB17" i="72"/>
  <c r="AB18" i="72"/>
  <c r="AB19" i="72"/>
  <c r="AB20" i="72"/>
  <c r="AB21" i="72"/>
  <c r="AB22" i="72"/>
  <c r="AB23" i="72"/>
  <c r="AB24" i="72"/>
  <c r="AB25" i="72"/>
  <c r="AB26" i="72"/>
  <c r="AB27" i="72"/>
  <c r="AB28" i="72"/>
  <c r="AB29" i="72"/>
  <c r="AB30" i="72"/>
  <c r="AB31" i="72"/>
  <c r="AB32" i="72"/>
  <c r="AB33" i="72"/>
  <c r="AB34" i="72"/>
  <c r="AB35" i="72"/>
  <c r="AB36" i="72"/>
  <c r="AB37" i="72"/>
  <c r="AB38" i="72"/>
  <c r="AB39" i="72"/>
  <c r="AB40" i="72"/>
  <c r="AB41" i="72"/>
  <c r="AB42" i="72"/>
  <c r="AB43" i="72"/>
  <c r="AB44" i="72"/>
  <c r="AB45" i="72"/>
  <c r="AB46" i="72"/>
  <c r="AB47" i="72"/>
  <c r="AB48" i="72"/>
  <c r="AB49" i="72"/>
  <c r="AB50" i="72"/>
  <c r="AB51" i="72"/>
  <c r="AB52" i="72"/>
  <c r="AB53" i="72"/>
  <c r="AB54" i="72"/>
  <c r="AB55" i="72"/>
  <c r="AB56" i="72"/>
  <c r="AB57" i="72"/>
  <c r="AB58" i="72"/>
  <c r="AB59" i="72"/>
  <c r="AB60" i="72"/>
  <c r="AB61" i="72"/>
  <c r="AA2" i="72"/>
  <c r="AB2" i="72"/>
  <c r="X3" i="72"/>
  <c r="X4" i="72"/>
  <c r="X5" i="72"/>
  <c r="X6" i="72"/>
  <c r="X7" i="72"/>
  <c r="X8" i="72"/>
  <c r="X9" i="72"/>
  <c r="X10" i="72"/>
  <c r="X11" i="72"/>
  <c r="X12" i="72"/>
  <c r="X13" i="72"/>
  <c r="X14" i="72"/>
  <c r="X15" i="72"/>
  <c r="X16" i="72"/>
  <c r="X17" i="72"/>
  <c r="X18" i="72"/>
  <c r="X19" i="72"/>
  <c r="X20" i="72"/>
  <c r="X21" i="72"/>
  <c r="X22" i="72"/>
  <c r="X23" i="72"/>
  <c r="X24" i="72"/>
  <c r="X25" i="72"/>
  <c r="X26" i="72"/>
  <c r="X27" i="72"/>
  <c r="X28" i="72"/>
  <c r="X29" i="72"/>
  <c r="X30" i="72"/>
  <c r="X31" i="72"/>
  <c r="X32" i="72"/>
  <c r="X33" i="72"/>
  <c r="X34" i="72"/>
  <c r="X35" i="72"/>
  <c r="X36" i="72"/>
  <c r="X37" i="72"/>
  <c r="X38" i="72"/>
  <c r="X39" i="72"/>
  <c r="X40" i="72"/>
  <c r="X41" i="72"/>
  <c r="X42" i="72"/>
  <c r="X43" i="72"/>
  <c r="X44" i="72"/>
  <c r="X45" i="72"/>
  <c r="X46" i="72"/>
  <c r="X47" i="72"/>
  <c r="X48" i="72"/>
  <c r="X49" i="72"/>
  <c r="X50" i="72"/>
  <c r="X51" i="72"/>
  <c r="X52" i="72"/>
  <c r="X53" i="72"/>
  <c r="X54" i="72"/>
  <c r="X55" i="72"/>
  <c r="X56" i="72"/>
  <c r="X57" i="72"/>
  <c r="X58" i="72"/>
  <c r="X59" i="72"/>
  <c r="X60" i="72"/>
  <c r="X61" i="72"/>
  <c r="X62" i="72"/>
  <c r="X63" i="72"/>
  <c r="X64" i="72"/>
  <c r="X2" i="72"/>
  <c r="U63" i="72"/>
  <c r="U64" i="72"/>
  <c r="U62" i="72"/>
  <c r="R3" i="72"/>
  <c r="R4" i="72"/>
  <c r="R5" i="72"/>
  <c r="R6" i="72"/>
  <c r="R7" i="72"/>
  <c r="R8" i="72"/>
  <c r="R9" i="72"/>
  <c r="R10" i="72"/>
  <c r="R11" i="72"/>
  <c r="R12" i="72"/>
  <c r="R13" i="72"/>
  <c r="R14" i="72"/>
  <c r="R15" i="72"/>
  <c r="R16" i="72"/>
  <c r="R17" i="72"/>
  <c r="R18" i="72"/>
  <c r="R19" i="72"/>
  <c r="R20" i="72"/>
  <c r="R21" i="72"/>
  <c r="R22" i="72"/>
  <c r="R23" i="72"/>
  <c r="R24" i="72"/>
  <c r="R25" i="72"/>
  <c r="R26" i="72"/>
  <c r="R27" i="72"/>
  <c r="R28" i="72"/>
  <c r="R29" i="72"/>
  <c r="R30" i="72"/>
  <c r="R31" i="72"/>
  <c r="R32" i="72"/>
  <c r="R33" i="72"/>
  <c r="R34" i="72"/>
  <c r="R35" i="72"/>
  <c r="R36" i="72"/>
  <c r="R37" i="72"/>
  <c r="R38" i="72"/>
  <c r="R39" i="72"/>
  <c r="R40" i="72"/>
  <c r="R41" i="72"/>
  <c r="R42" i="72"/>
  <c r="R43" i="72"/>
  <c r="R44" i="72"/>
  <c r="R45" i="72"/>
  <c r="R46" i="72"/>
  <c r="R47" i="72"/>
  <c r="R48" i="72"/>
  <c r="R49" i="72"/>
  <c r="R50" i="72"/>
  <c r="R51" i="72"/>
  <c r="R52" i="72"/>
  <c r="R53" i="72"/>
  <c r="R54" i="72"/>
  <c r="R55" i="72"/>
  <c r="R56" i="72"/>
  <c r="R57" i="72"/>
  <c r="R58" i="72"/>
  <c r="R59" i="72"/>
  <c r="R60" i="72"/>
  <c r="R61" i="72"/>
  <c r="R62" i="72"/>
  <c r="R63" i="72"/>
  <c r="R64" i="72"/>
  <c r="R2" i="72"/>
  <c r="O3" i="72"/>
  <c r="O4" i="72"/>
  <c r="O5" i="72"/>
  <c r="O6" i="72"/>
  <c r="O7" i="72"/>
  <c r="O8" i="72"/>
  <c r="O9" i="72"/>
  <c r="O10" i="72"/>
  <c r="O11" i="72"/>
  <c r="O12" i="72"/>
  <c r="O13" i="72"/>
  <c r="O14" i="72"/>
  <c r="O15" i="72"/>
  <c r="O16" i="72"/>
  <c r="O17" i="72"/>
  <c r="O18" i="72"/>
  <c r="O19" i="72"/>
  <c r="O20" i="72"/>
  <c r="O21" i="72"/>
  <c r="O22" i="72"/>
  <c r="O23" i="72"/>
  <c r="O24" i="72"/>
  <c r="O25" i="72"/>
  <c r="O26" i="72"/>
  <c r="O27" i="72"/>
  <c r="O28" i="72"/>
  <c r="O29" i="72"/>
  <c r="O30" i="72"/>
  <c r="O31" i="72"/>
  <c r="O32" i="72"/>
  <c r="O33" i="72"/>
  <c r="O34" i="72"/>
  <c r="O35" i="72"/>
  <c r="O36" i="72"/>
  <c r="O37" i="72"/>
  <c r="O38" i="72"/>
  <c r="O39" i="72"/>
  <c r="O40" i="72"/>
  <c r="O41" i="72"/>
  <c r="O42" i="72"/>
  <c r="O43" i="72"/>
  <c r="O44" i="72"/>
  <c r="O45" i="72"/>
  <c r="O46" i="72"/>
  <c r="O47" i="72"/>
  <c r="O48" i="72"/>
  <c r="O49" i="72"/>
  <c r="O50" i="72"/>
  <c r="O51" i="72"/>
  <c r="O52" i="72"/>
  <c r="O53" i="72"/>
  <c r="O54" i="72"/>
  <c r="O55" i="72"/>
  <c r="O56" i="72"/>
  <c r="O57" i="72"/>
  <c r="O58" i="72"/>
  <c r="O59" i="72"/>
  <c r="O60" i="72"/>
  <c r="O61" i="72"/>
  <c r="O62" i="72"/>
  <c r="O63" i="72"/>
  <c r="O64" i="72"/>
  <c r="AC2" i="72"/>
  <c r="V61" i="72"/>
  <c r="V60" i="72"/>
  <c r="V59" i="72"/>
  <c r="V58" i="72"/>
  <c r="V57" i="72"/>
  <c r="V56" i="72"/>
  <c r="V55" i="72"/>
  <c r="V54" i="72"/>
  <c r="V53" i="72"/>
  <c r="V52" i="72"/>
  <c r="V51" i="72"/>
  <c r="V50" i="72"/>
  <c r="V49" i="72"/>
  <c r="V48" i="72"/>
  <c r="V47" i="72"/>
  <c r="V46" i="72"/>
  <c r="V45" i="72"/>
  <c r="V44" i="72"/>
  <c r="V43" i="72"/>
  <c r="V42" i="72"/>
  <c r="V41" i="72"/>
  <c r="V40" i="72"/>
  <c r="V39" i="72"/>
  <c r="V38" i="72"/>
  <c r="V37" i="72"/>
  <c r="V36" i="72"/>
  <c r="V35" i="72"/>
  <c r="V34" i="72"/>
  <c r="V33" i="72"/>
  <c r="V32" i="72"/>
  <c r="V31" i="72"/>
  <c r="V30" i="72"/>
  <c r="V29" i="72"/>
  <c r="V28" i="72"/>
  <c r="V27" i="72"/>
  <c r="V26" i="72"/>
  <c r="V25" i="72"/>
  <c r="V24" i="72"/>
  <c r="V23" i="72"/>
  <c r="V22" i="72"/>
  <c r="V21" i="72"/>
  <c r="V20" i="72"/>
  <c r="V19" i="72"/>
  <c r="V18" i="72"/>
  <c r="V17" i="72"/>
  <c r="V16" i="72"/>
  <c r="V15" i="72"/>
  <c r="V14" i="72"/>
  <c r="V13" i="72"/>
  <c r="V12" i="72"/>
  <c r="V11" i="72"/>
  <c r="V10" i="72"/>
  <c r="V9" i="72"/>
  <c r="V8" i="72"/>
  <c r="V7" i="72"/>
  <c r="V6" i="72"/>
  <c r="V5" i="72"/>
  <c r="V4" i="72"/>
  <c r="V3" i="72"/>
  <c r="V2" i="72"/>
  <c r="O2" i="72"/>
  <c r="L3" i="72"/>
  <c r="L4" i="72"/>
  <c r="L5" i="72"/>
  <c r="L6" i="72"/>
  <c r="L7" i="72"/>
  <c r="L8" i="72"/>
  <c r="L9" i="72"/>
  <c r="L10" i="72"/>
  <c r="L11" i="72"/>
  <c r="L12" i="72"/>
  <c r="L13" i="72"/>
  <c r="L14" i="72"/>
  <c r="L15" i="72"/>
  <c r="L16" i="72"/>
  <c r="L17" i="72"/>
  <c r="L18" i="72"/>
  <c r="L19" i="72"/>
  <c r="L20" i="72"/>
  <c r="L21" i="72"/>
  <c r="L22" i="72"/>
  <c r="L23" i="72"/>
  <c r="L24" i="72"/>
  <c r="L25" i="72"/>
  <c r="L26" i="72"/>
  <c r="L27" i="72"/>
  <c r="L28" i="72"/>
  <c r="L29" i="72"/>
  <c r="L30" i="72"/>
  <c r="L31" i="72"/>
  <c r="L32" i="72"/>
  <c r="L33" i="72"/>
  <c r="L34" i="72"/>
  <c r="L35" i="72"/>
  <c r="L36" i="72"/>
  <c r="L37" i="72"/>
  <c r="L38" i="72"/>
  <c r="L39" i="72"/>
  <c r="L40" i="72"/>
  <c r="L41" i="72"/>
  <c r="L42" i="72"/>
  <c r="L43" i="72"/>
  <c r="L44" i="72"/>
  <c r="L45" i="72"/>
  <c r="L46" i="72"/>
  <c r="L47" i="72"/>
  <c r="L48" i="72"/>
  <c r="L49" i="72"/>
  <c r="L50" i="72"/>
  <c r="L51" i="72"/>
  <c r="L52" i="72"/>
  <c r="L53" i="72"/>
  <c r="L54" i="72"/>
  <c r="L55" i="72"/>
  <c r="L56" i="72"/>
  <c r="L57" i="72"/>
  <c r="L58" i="72"/>
  <c r="L59" i="72"/>
  <c r="L60" i="72"/>
  <c r="L61" i="72"/>
  <c r="L62" i="72"/>
  <c r="L63" i="72"/>
  <c r="L64" i="72"/>
  <c r="L2" i="72"/>
  <c r="I3" i="72"/>
  <c r="I4" i="72"/>
  <c r="I5" i="72"/>
  <c r="I6" i="72"/>
  <c r="I7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2" i="72"/>
  <c r="F3" i="72"/>
  <c r="F4" i="72"/>
  <c r="F5" i="72"/>
  <c r="F6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28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F48" i="72"/>
  <c r="F49" i="72"/>
  <c r="F50" i="72"/>
  <c r="F51" i="72"/>
  <c r="F52" i="72"/>
  <c r="F53" i="72"/>
  <c r="F54" i="72"/>
  <c r="F55" i="72"/>
  <c r="F56" i="72"/>
  <c r="F57" i="72"/>
  <c r="F58" i="72"/>
  <c r="F59" i="72"/>
  <c r="F60" i="72"/>
  <c r="F61" i="72"/>
  <c r="F62" i="72"/>
  <c r="F63" i="72"/>
  <c r="F64" i="72"/>
  <c r="F2" i="72"/>
  <c r="W64" i="72"/>
  <c r="T64" i="72"/>
  <c r="Q64" i="72"/>
  <c r="N64" i="72"/>
  <c r="K64" i="72"/>
  <c r="H64" i="72"/>
  <c r="E64" i="72"/>
  <c r="W63" i="72"/>
  <c r="T63" i="72"/>
  <c r="Q63" i="72"/>
  <c r="N63" i="72"/>
  <c r="K63" i="72"/>
  <c r="H63" i="72"/>
  <c r="E63" i="72"/>
  <c r="W62" i="72"/>
  <c r="T62" i="72"/>
  <c r="V62" i="72" s="1"/>
  <c r="Q62" i="72"/>
  <c r="N62" i="72"/>
  <c r="K62" i="72"/>
  <c r="H62" i="72"/>
  <c r="E62" i="72"/>
  <c r="G62" i="72" s="1"/>
  <c r="AD61" i="72"/>
  <c r="AA61" i="72"/>
  <c r="W61" i="72"/>
  <c r="Q61" i="72"/>
  <c r="N61" i="72"/>
  <c r="P61" i="72" s="1"/>
  <c r="K61" i="72"/>
  <c r="H61" i="72"/>
  <c r="E61" i="72"/>
  <c r="B61" i="72"/>
  <c r="AD60" i="72"/>
  <c r="AF60" i="72" s="1"/>
  <c r="AA60" i="72"/>
  <c r="W60" i="72"/>
  <c r="Q60" i="72"/>
  <c r="S60" i="72" s="1"/>
  <c r="N60" i="72"/>
  <c r="K60" i="72"/>
  <c r="H60" i="72"/>
  <c r="E60" i="72"/>
  <c r="B60" i="72"/>
  <c r="AD59" i="72"/>
  <c r="AF59" i="72" s="1"/>
  <c r="AA59" i="72"/>
  <c r="W59" i="72"/>
  <c r="Y59" i="72" s="1"/>
  <c r="Q59" i="72"/>
  <c r="N59" i="72"/>
  <c r="K59" i="72"/>
  <c r="H59" i="72"/>
  <c r="E59" i="72"/>
  <c r="B59" i="72"/>
  <c r="AD58" i="72"/>
  <c r="AA58" i="72"/>
  <c r="W58" i="72"/>
  <c r="Q58" i="72"/>
  <c r="N58" i="72"/>
  <c r="K58" i="72"/>
  <c r="H58" i="72"/>
  <c r="E58" i="72"/>
  <c r="B58" i="72"/>
  <c r="AD57" i="72"/>
  <c r="AF57" i="72" s="1"/>
  <c r="AA57" i="72"/>
  <c r="W57" i="72"/>
  <c r="Q57" i="72"/>
  <c r="N57" i="72"/>
  <c r="P57" i="72" s="1"/>
  <c r="K57" i="72"/>
  <c r="H57" i="72"/>
  <c r="E57" i="72"/>
  <c r="B57" i="72"/>
  <c r="AD56" i="72"/>
  <c r="AF56" i="72" s="1"/>
  <c r="AA56" i="72"/>
  <c r="W56" i="72"/>
  <c r="Q56" i="72"/>
  <c r="N56" i="72"/>
  <c r="K56" i="72"/>
  <c r="H56" i="72"/>
  <c r="E56" i="72"/>
  <c r="B56" i="72"/>
  <c r="AD55" i="72"/>
  <c r="AA55" i="72"/>
  <c r="W55" i="72"/>
  <c r="Q55" i="72"/>
  <c r="N55" i="72"/>
  <c r="K55" i="72"/>
  <c r="H55" i="72"/>
  <c r="E55" i="72"/>
  <c r="B55" i="72"/>
  <c r="AD54" i="72"/>
  <c r="AA54" i="72"/>
  <c r="W54" i="72"/>
  <c r="Q54" i="72"/>
  <c r="N54" i="72"/>
  <c r="K54" i="72"/>
  <c r="H54" i="72"/>
  <c r="E54" i="72"/>
  <c r="B54" i="72"/>
  <c r="AD53" i="72"/>
  <c r="AA53" i="72"/>
  <c r="W53" i="72"/>
  <c r="Q53" i="72"/>
  <c r="N53" i="72"/>
  <c r="P53" i="72" s="1"/>
  <c r="K53" i="72"/>
  <c r="H53" i="72"/>
  <c r="E53" i="72"/>
  <c r="B53" i="72"/>
  <c r="AD52" i="72"/>
  <c r="AA52" i="72"/>
  <c r="W52" i="72"/>
  <c r="Q52" i="72"/>
  <c r="S52" i="72" s="1"/>
  <c r="N52" i="72"/>
  <c r="K52" i="72"/>
  <c r="H52" i="72"/>
  <c r="E52" i="72"/>
  <c r="B52" i="72"/>
  <c r="AD51" i="72"/>
  <c r="AF51" i="72" s="1"/>
  <c r="AA51" i="72"/>
  <c r="W51" i="72"/>
  <c r="Y51" i="72" s="1"/>
  <c r="Q51" i="72"/>
  <c r="N51" i="72"/>
  <c r="K51" i="72"/>
  <c r="H51" i="72"/>
  <c r="E51" i="72"/>
  <c r="B51" i="72"/>
  <c r="AD50" i="72"/>
  <c r="AA50" i="72"/>
  <c r="W50" i="72"/>
  <c r="Q50" i="72"/>
  <c r="N50" i="72"/>
  <c r="K50" i="72"/>
  <c r="H50" i="72"/>
  <c r="E50" i="72"/>
  <c r="B50" i="72"/>
  <c r="AD49" i="72"/>
  <c r="AF49" i="72" s="1"/>
  <c r="AA49" i="72"/>
  <c r="W49" i="72"/>
  <c r="Q49" i="72"/>
  <c r="N49" i="72"/>
  <c r="P49" i="72" s="1"/>
  <c r="K49" i="72"/>
  <c r="H49" i="72"/>
  <c r="E49" i="72"/>
  <c r="B49" i="72"/>
  <c r="AD48" i="72"/>
  <c r="AF48" i="72" s="1"/>
  <c r="AA48" i="72"/>
  <c r="W48" i="72"/>
  <c r="Q48" i="72"/>
  <c r="N48" i="72"/>
  <c r="K48" i="72"/>
  <c r="H48" i="72"/>
  <c r="E48" i="72"/>
  <c r="B48" i="72"/>
  <c r="AD47" i="72"/>
  <c r="AA47" i="72"/>
  <c r="W47" i="72"/>
  <c r="Q47" i="72"/>
  <c r="N47" i="72"/>
  <c r="K47" i="72"/>
  <c r="H47" i="72"/>
  <c r="E47" i="72"/>
  <c r="B47" i="72"/>
  <c r="AD46" i="72"/>
  <c r="AA46" i="72"/>
  <c r="W46" i="72"/>
  <c r="Q46" i="72"/>
  <c r="N46" i="72"/>
  <c r="K46" i="72"/>
  <c r="H46" i="72"/>
  <c r="E46" i="72"/>
  <c r="B46" i="72"/>
  <c r="AD45" i="72"/>
  <c r="AF45" i="72" s="1"/>
  <c r="AA45" i="72"/>
  <c r="W45" i="72"/>
  <c r="Q45" i="72"/>
  <c r="N45" i="72"/>
  <c r="P45" i="72" s="1"/>
  <c r="K45" i="72"/>
  <c r="H45" i="72"/>
  <c r="E45" i="72"/>
  <c r="B45" i="72"/>
  <c r="AD44" i="72"/>
  <c r="AA44" i="72"/>
  <c r="W44" i="72"/>
  <c r="Q44" i="72"/>
  <c r="S44" i="72" s="1"/>
  <c r="N44" i="72"/>
  <c r="K44" i="72"/>
  <c r="H44" i="72"/>
  <c r="E44" i="72"/>
  <c r="B44" i="72"/>
  <c r="AD43" i="72"/>
  <c r="AA43" i="72"/>
  <c r="W43" i="72"/>
  <c r="Y43" i="72" s="1"/>
  <c r="Q43" i="72"/>
  <c r="N43" i="72"/>
  <c r="P43" i="72" s="1"/>
  <c r="K43" i="72"/>
  <c r="H43" i="72"/>
  <c r="E43" i="72"/>
  <c r="B43" i="72"/>
  <c r="AD42" i="72"/>
  <c r="AF42" i="72" s="1"/>
  <c r="AA42" i="72"/>
  <c r="W42" i="72"/>
  <c r="Q42" i="72"/>
  <c r="S42" i="72" s="1"/>
  <c r="N42" i="72"/>
  <c r="K42" i="72"/>
  <c r="H42" i="72"/>
  <c r="E42" i="72"/>
  <c r="B42" i="72"/>
  <c r="AD41" i="72"/>
  <c r="AF41" i="72" s="1"/>
  <c r="AA41" i="72"/>
  <c r="W41" i="72"/>
  <c r="Q41" i="72"/>
  <c r="N41" i="72"/>
  <c r="P41" i="72" s="1"/>
  <c r="K41" i="72"/>
  <c r="H41" i="72"/>
  <c r="E41" i="72"/>
  <c r="B41" i="72"/>
  <c r="AD40" i="72"/>
  <c r="AF40" i="72" s="1"/>
  <c r="AA40" i="72"/>
  <c r="W40" i="72"/>
  <c r="Q40" i="72"/>
  <c r="N40" i="72"/>
  <c r="K40" i="72"/>
  <c r="H40" i="72"/>
  <c r="E40" i="72"/>
  <c r="B40" i="72"/>
  <c r="AD39" i="72"/>
  <c r="AA39" i="72"/>
  <c r="W39" i="72"/>
  <c r="Q39" i="72"/>
  <c r="N39" i="72"/>
  <c r="K39" i="72"/>
  <c r="H39" i="72"/>
  <c r="E39" i="72"/>
  <c r="B39" i="72"/>
  <c r="AD38" i="72"/>
  <c r="AA38" i="72"/>
  <c r="W38" i="72"/>
  <c r="Q38" i="72"/>
  <c r="N38" i="72"/>
  <c r="K38" i="72"/>
  <c r="H38" i="72"/>
  <c r="E38" i="72"/>
  <c r="B38" i="72"/>
  <c r="AD37" i="72"/>
  <c r="AF37" i="72" s="1"/>
  <c r="AA37" i="72"/>
  <c r="W37" i="72"/>
  <c r="Q37" i="72"/>
  <c r="N37" i="72"/>
  <c r="P37" i="72" s="1"/>
  <c r="K37" i="72"/>
  <c r="H37" i="72"/>
  <c r="E37" i="72"/>
  <c r="B37" i="72"/>
  <c r="AD36" i="72"/>
  <c r="AF36" i="72" s="1"/>
  <c r="AA36" i="72"/>
  <c r="W36" i="72"/>
  <c r="Y36" i="72" s="1"/>
  <c r="Q36" i="72"/>
  <c r="S36" i="72" s="1"/>
  <c r="N36" i="72"/>
  <c r="K36" i="72"/>
  <c r="H36" i="72"/>
  <c r="E36" i="72"/>
  <c r="B36" i="72"/>
  <c r="AD35" i="72"/>
  <c r="AA35" i="72"/>
  <c r="W35" i="72"/>
  <c r="Y35" i="72" s="1"/>
  <c r="Q35" i="72"/>
  <c r="N35" i="72"/>
  <c r="P35" i="72" s="1"/>
  <c r="K35" i="72"/>
  <c r="H35" i="72"/>
  <c r="E35" i="72"/>
  <c r="B35" i="72"/>
  <c r="D35" i="72" s="1"/>
  <c r="AD34" i="72"/>
  <c r="AF34" i="72" s="1"/>
  <c r="AA34" i="72"/>
  <c r="W34" i="72"/>
  <c r="Y34" i="72" s="1"/>
  <c r="Q34" i="72"/>
  <c r="S34" i="72" s="1"/>
  <c r="N34" i="72"/>
  <c r="K34" i="72"/>
  <c r="H34" i="72"/>
  <c r="E34" i="72"/>
  <c r="B34" i="72"/>
  <c r="AD33" i="72"/>
  <c r="AF33" i="72" s="1"/>
  <c r="AA33" i="72"/>
  <c r="W33" i="72"/>
  <c r="Q33" i="72"/>
  <c r="N33" i="72"/>
  <c r="P33" i="72" s="1"/>
  <c r="K33" i="72"/>
  <c r="H33" i="72"/>
  <c r="E33" i="72"/>
  <c r="B33" i="72"/>
  <c r="AD32" i="72"/>
  <c r="AF32" i="72" s="1"/>
  <c r="AA32" i="72"/>
  <c r="W32" i="72"/>
  <c r="Q32" i="72"/>
  <c r="N32" i="72"/>
  <c r="K32" i="72"/>
  <c r="H32" i="72"/>
  <c r="E32" i="72"/>
  <c r="B32" i="72"/>
  <c r="D32" i="72" s="1"/>
  <c r="AD31" i="72"/>
  <c r="AA31" i="72"/>
  <c r="W31" i="72"/>
  <c r="Q31" i="72"/>
  <c r="N31" i="72"/>
  <c r="K31" i="72"/>
  <c r="H31" i="72"/>
  <c r="E31" i="72"/>
  <c r="B31" i="72"/>
  <c r="AD30" i="72"/>
  <c r="AA30" i="72"/>
  <c r="W30" i="72"/>
  <c r="Q30" i="72"/>
  <c r="N30" i="72"/>
  <c r="K30" i="72"/>
  <c r="H30" i="72"/>
  <c r="E30" i="72"/>
  <c r="B30" i="72"/>
  <c r="AD29" i="72"/>
  <c r="AF29" i="72" s="1"/>
  <c r="AA29" i="72"/>
  <c r="W29" i="72"/>
  <c r="Q29" i="72"/>
  <c r="N29" i="72"/>
  <c r="P29" i="72" s="1"/>
  <c r="K29" i="72"/>
  <c r="H29" i="72"/>
  <c r="E29" i="72"/>
  <c r="B29" i="72"/>
  <c r="D29" i="72" s="1"/>
  <c r="AD28" i="72"/>
  <c r="AA28" i="72"/>
  <c r="W28" i="72"/>
  <c r="Y28" i="72" s="1"/>
  <c r="Q28" i="72"/>
  <c r="S28" i="72" s="1"/>
  <c r="N28" i="72"/>
  <c r="K28" i="72"/>
  <c r="H28" i="72"/>
  <c r="E28" i="72"/>
  <c r="B28" i="72"/>
  <c r="AD27" i="72"/>
  <c r="AA27" i="72"/>
  <c r="W27" i="72"/>
  <c r="Y27" i="72" s="1"/>
  <c r="Q27" i="72"/>
  <c r="N27" i="72"/>
  <c r="P27" i="72" s="1"/>
  <c r="K27" i="72"/>
  <c r="H27" i="72"/>
  <c r="E27" i="72"/>
  <c r="B27" i="72"/>
  <c r="D27" i="72" s="1"/>
  <c r="AD26" i="72"/>
  <c r="AF26" i="72" s="1"/>
  <c r="AA26" i="72"/>
  <c r="AC26" i="72" s="1"/>
  <c r="W26" i="72"/>
  <c r="Y26" i="72" s="1"/>
  <c r="Q26" i="72"/>
  <c r="S26" i="72" s="1"/>
  <c r="N26" i="72"/>
  <c r="K26" i="72"/>
  <c r="H26" i="72"/>
  <c r="E26" i="72"/>
  <c r="B26" i="72"/>
  <c r="D26" i="72" s="1"/>
  <c r="AD25" i="72"/>
  <c r="AF25" i="72" s="1"/>
  <c r="AA25" i="72"/>
  <c r="W25" i="72"/>
  <c r="Q25" i="72"/>
  <c r="N25" i="72"/>
  <c r="P25" i="72" s="1"/>
  <c r="K25" i="72"/>
  <c r="H25" i="72"/>
  <c r="E25" i="72"/>
  <c r="B25" i="72"/>
  <c r="AD24" i="72"/>
  <c r="AF24" i="72" s="1"/>
  <c r="AA24" i="72"/>
  <c r="AC24" i="72" s="1"/>
  <c r="W24" i="72"/>
  <c r="Q24" i="72"/>
  <c r="N24" i="72"/>
  <c r="K24" i="72"/>
  <c r="H24" i="72"/>
  <c r="E24" i="72"/>
  <c r="B24" i="72"/>
  <c r="AD23" i="72"/>
  <c r="AA23" i="72"/>
  <c r="W23" i="72"/>
  <c r="Q23" i="72"/>
  <c r="N23" i="72"/>
  <c r="K23" i="72"/>
  <c r="H23" i="72"/>
  <c r="E23" i="72"/>
  <c r="B23" i="72"/>
  <c r="D23" i="72" s="1"/>
  <c r="AD22" i="72"/>
  <c r="AA22" i="72"/>
  <c r="W22" i="72"/>
  <c r="Q22" i="72"/>
  <c r="N22" i="72"/>
  <c r="K22" i="72"/>
  <c r="H22" i="72"/>
  <c r="E22" i="72"/>
  <c r="B22" i="72"/>
  <c r="AD21" i="72"/>
  <c r="AF21" i="72" s="1"/>
  <c r="AA21" i="72"/>
  <c r="W21" i="72"/>
  <c r="Q21" i="72"/>
  <c r="N21" i="72"/>
  <c r="P21" i="72" s="1"/>
  <c r="K21" i="72"/>
  <c r="H21" i="72"/>
  <c r="E21" i="72"/>
  <c r="B21" i="72"/>
  <c r="D21" i="72" s="1"/>
  <c r="AD20" i="72"/>
  <c r="AA20" i="72"/>
  <c r="W20" i="72"/>
  <c r="Y20" i="72" s="1"/>
  <c r="Q20" i="72"/>
  <c r="S20" i="72" s="1"/>
  <c r="N20" i="72"/>
  <c r="K20" i="72"/>
  <c r="H20" i="72"/>
  <c r="E20" i="72"/>
  <c r="B20" i="72"/>
  <c r="D20" i="72" s="1"/>
  <c r="AD19" i="72"/>
  <c r="AA19" i="72"/>
  <c r="AC19" i="72" s="1"/>
  <c r="W19" i="72"/>
  <c r="Y19" i="72" s="1"/>
  <c r="Q19" i="72"/>
  <c r="N19" i="72"/>
  <c r="P19" i="72" s="1"/>
  <c r="K19" i="72"/>
  <c r="H19" i="72"/>
  <c r="E19" i="72"/>
  <c r="B19" i="72"/>
  <c r="D19" i="72" s="1"/>
  <c r="AD18" i="72"/>
  <c r="AF18" i="72" s="1"/>
  <c r="AA18" i="72"/>
  <c r="AC18" i="72" s="1"/>
  <c r="W18" i="72"/>
  <c r="Y18" i="72" s="1"/>
  <c r="Q18" i="72"/>
  <c r="S18" i="72" s="1"/>
  <c r="N18" i="72"/>
  <c r="K18" i="72"/>
  <c r="H18" i="72"/>
  <c r="E18" i="72"/>
  <c r="B18" i="72"/>
  <c r="D18" i="72" s="1"/>
  <c r="AD17" i="72"/>
  <c r="AF17" i="72" s="1"/>
  <c r="AA17" i="72"/>
  <c r="W17" i="72"/>
  <c r="Q17" i="72"/>
  <c r="N17" i="72"/>
  <c r="P17" i="72" s="1"/>
  <c r="K17" i="72"/>
  <c r="H17" i="72"/>
  <c r="E17" i="72"/>
  <c r="B17" i="72"/>
  <c r="AD16" i="72"/>
  <c r="AF16" i="72" s="1"/>
  <c r="AA16" i="72"/>
  <c r="AC16" i="72" s="1"/>
  <c r="W16" i="72"/>
  <c r="Q16" i="72"/>
  <c r="N16" i="72"/>
  <c r="K16" i="72"/>
  <c r="H16" i="72"/>
  <c r="E16" i="72"/>
  <c r="B16" i="72"/>
  <c r="AD15" i="72"/>
  <c r="AA15" i="72"/>
  <c r="W15" i="72"/>
  <c r="Q15" i="72"/>
  <c r="N15" i="72"/>
  <c r="K15" i="72"/>
  <c r="H15" i="72"/>
  <c r="E15" i="72"/>
  <c r="B15" i="72"/>
  <c r="D15" i="72" s="1"/>
  <c r="AD14" i="72"/>
  <c r="AA14" i="72"/>
  <c r="W14" i="72"/>
  <c r="Q14" i="72"/>
  <c r="N14" i="72"/>
  <c r="K14" i="72"/>
  <c r="H14" i="72"/>
  <c r="E14" i="72"/>
  <c r="B14" i="72"/>
  <c r="AD13" i="72"/>
  <c r="AF13" i="72" s="1"/>
  <c r="AA13" i="72"/>
  <c r="W13" i="72"/>
  <c r="Q13" i="72"/>
  <c r="N13" i="72"/>
  <c r="P13" i="72" s="1"/>
  <c r="K13" i="72"/>
  <c r="H13" i="72"/>
  <c r="E13" i="72"/>
  <c r="B13" i="72"/>
  <c r="AD12" i="72"/>
  <c r="AF12" i="72" s="1"/>
  <c r="AA12" i="72"/>
  <c r="W12" i="72"/>
  <c r="Y12" i="72" s="1"/>
  <c r="Q12" i="72"/>
  <c r="S12" i="72" s="1"/>
  <c r="N12" i="72"/>
  <c r="K12" i="72"/>
  <c r="H12" i="72"/>
  <c r="E12" i="72"/>
  <c r="B12" i="72"/>
  <c r="AD11" i="72"/>
  <c r="AA11" i="72"/>
  <c r="AC11" i="72" s="1"/>
  <c r="W11" i="72"/>
  <c r="Y11" i="72" s="1"/>
  <c r="Q11" i="72"/>
  <c r="N11" i="72"/>
  <c r="P11" i="72" s="1"/>
  <c r="K11" i="72"/>
  <c r="H11" i="72"/>
  <c r="E11" i="72"/>
  <c r="B11" i="72"/>
  <c r="D11" i="72" s="1"/>
  <c r="AD10" i="72"/>
  <c r="AF10" i="72" s="1"/>
  <c r="AA10" i="72"/>
  <c r="AC10" i="72" s="1"/>
  <c r="W10" i="72"/>
  <c r="Y10" i="72" s="1"/>
  <c r="Q10" i="72"/>
  <c r="S10" i="72" s="1"/>
  <c r="N10" i="72"/>
  <c r="K10" i="72"/>
  <c r="H10" i="72"/>
  <c r="E10" i="72"/>
  <c r="B10" i="72"/>
  <c r="D10" i="72" s="1"/>
  <c r="AD9" i="72"/>
  <c r="AF9" i="72" s="1"/>
  <c r="AA9" i="72"/>
  <c r="W9" i="72"/>
  <c r="Q9" i="72"/>
  <c r="N9" i="72"/>
  <c r="P9" i="72" s="1"/>
  <c r="K9" i="72"/>
  <c r="H9" i="72"/>
  <c r="E9" i="72"/>
  <c r="B9" i="72"/>
  <c r="AD8" i="72"/>
  <c r="AF8" i="72" s="1"/>
  <c r="AA8" i="72"/>
  <c r="AC8" i="72" s="1"/>
  <c r="W8" i="72"/>
  <c r="Q8" i="72"/>
  <c r="N8" i="72"/>
  <c r="K8" i="72"/>
  <c r="H8" i="72"/>
  <c r="E8" i="72"/>
  <c r="B8" i="72"/>
  <c r="D8" i="72" s="1"/>
  <c r="AD7" i="72"/>
  <c r="AA7" i="72"/>
  <c r="W7" i="72"/>
  <c r="Q7" i="72"/>
  <c r="N7" i="72"/>
  <c r="K7" i="72"/>
  <c r="H7" i="72"/>
  <c r="E7" i="72"/>
  <c r="B7" i="72"/>
  <c r="D7" i="72" s="1"/>
  <c r="AD6" i="72"/>
  <c r="AA6" i="72"/>
  <c r="W6" i="72"/>
  <c r="Q6" i="72"/>
  <c r="N6" i="72"/>
  <c r="K6" i="72"/>
  <c r="H6" i="72"/>
  <c r="E6" i="72"/>
  <c r="B6" i="72"/>
  <c r="AD5" i="72"/>
  <c r="AF5" i="72" s="1"/>
  <c r="AA5" i="72"/>
  <c r="W5" i="72"/>
  <c r="Q5" i="72"/>
  <c r="N5" i="72"/>
  <c r="P5" i="72" s="1"/>
  <c r="K5" i="72"/>
  <c r="H5" i="72"/>
  <c r="E5" i="72"/>
  <c r="B5" i="72"/>
  <c r="AD4" i="72"/>
  <c r="AA4" i="72"/>
  <c r="W4" i="72"/>
  <c r="Y4" i="72" s="1"/>
  <c r="Q4" i="72"/>
  <c r="S4" i="72" s="1"/>
  <c r="N4" i="72"/>
  <c r="K4" i="72"/>
  <c r="H4" i="72"/>
  <c r="E4" i="72"/>
  <c r="B4" i="72"/>
  <c r="D4" i="72" s="1"/>
  <c r="AD3" i="72"/>
  <c r="AF3" i="72" s="1"/>
  <c r="AA3" i="72"/>
  <c r="AC3" i="72" s="1"/>
  <c r="W3" i="72"/>
  <c r="Y3" i="72" s="1"/>
  <c r="Q3" i="72"/>
  <c r="N3" i="72"/>
  <c r="P3" i="72" s="1"/>
  <c r="K3" i="72"/>
  <c r="H3" i="72"/>
  <c r="E3" i="72"/>
  <c r="B3" i="72"/>
  <c r="D3" i="72" s="1"/>
  <c r="AD2" i="72"/>
  <c r="AF2" i="72" s="1"/>
  <c r="W2" i="72"/>
  <c r="Y2" i="72" s="1"/>
  <c r="Q2" i="72"/>
  <c r="N2" i="72"/>
  <c r="K2" i="72"/>
  <c r="H2" i="72"/>
  <c r="E2" i="72"/>
  <c r="B2" i="72"/>
  <c r="D2" i="72" s="1"/>
  <c r="H10" i="71"/>
  <c r="G10" i="71"/>
  <c r="G11" i="71"/>
  <c r="G12" i="71"/>
  <c r="G13" i="71"/>
  <c r="G14" i="71"/>
  <c r="G15" i="71"/>
  <c r="G16" i="71"/>
  <c r="G9" i="71"/>
  <c r="B2" i="43"/>
  <c r="B3" i="43"/>
  <c r="B4" i="43"/>
  <c r="B5" i="43"/>
  <c r="B6" i="43"/>
  <c r="B7" i="43"/>
  <c r="B8" i="43"/>
  <c r="B9" i="43"/>
  <c r="B10" i="43"/>
  <c r="B11" i="43"/>
  <c r="B12" i="43"/>
  <c r="B13" i="43"/>
  <c r="B14" i="43"/>
  <c r="C7" i="50"/>
  <c r="V64" i="72" l="1"/>
  <c r="AI25" i="72"/>
  <c r="AI17" i="72"/>
  <c r="AI9" i="72"/>
  <c r="Y44" i="72"/>
  <c r="AF50" i="72"/>
  <c r="Y52" i="72"/>
  <c r="AF58" i="72"/>
  <c r="V63" i="72"/>
  <c r="AF30" i="72"/>
  <c r="S50" i="72"/>
  <c r="P51" i="72"/>
  <c r="S58" i="72"/>
  <c r="P59" i="72"/>
  <c r="Y60" i="72"/>
  <c r="J13" i="72"/>
  <c r="AC61" i="72"/>
  <c r="AC53" i="72"/>
  <c r="AC45" i="72"/>
  <c r="AC37" i="72"/>
  <c r="AI7" i="72"/>
  <c r="J5" i="72"/>
  <c r="M20" i="72"/>
  <c r="M28" i="72"/>
  <c r="J29" i="72"/>
  <c r="G30" i="72"/>
  <c r="M36" i="72"/>
  <c r="J37" i="72"/>
  <c r="G38" i="72"/>
  <c r="M44" i="72"/>
  <c r="J45" i="72"/>
  <c r="G46" i="72"/>
  <c r="M52" i="72"/>
  <c r="J53" i="72"/>
  <c r="G54" i="72"/>
  <c r="M60" i="72"/>
  <c r="M13" i="72"/>
  <c r="M21" i="72"/>
  <c r="M29" i="72"/>
  <c r="AF22" i="72"/>
  <c r="M12" i="72"/>
  <c r="G22" i="72"/>
  <c r="S5" i="72"/>
  <c r="S13" i="72"/>
  <c r="S21" i="72"/>
  <c r="S29" i="72"/>
  <c r="S37" i="72"/>
  <c r="S45" i="72"/>
  <c r="S53" i="72"/>
  <c r="S61" i="72"/>
  <c r="S62" i="72"/>
  <c r="G6" i="72"/>
  <c r="G14" i="72"/>
  <c r="J21" i="72"/>
  <c r="AC4" i="72"/>
  <c r="AC12" i="72"/>
  <c r="AC20" i="72"/>
  <c r="AC28" i="72"/>
  <c r="AC55" i="72"/>
  <c r="AF4" i="72"/>
  <c r="AI24" i="72"/>
  <c r="AI16" i="72"/>
  <c r="AI8" i="72"/>
  <c r="S3" i="72"/>
  <c r="P4" i="72"/>
  <c r="AC9" i="72"/>
  <c r="S11" i="72"/>
  <c r="P12" i="72"/>
  <c r="D16" i="72"/>
  <c r="AC17" i="72"/>
  <c r="S19" i="72"/>
  <c r="P20" i="72"/>
  <c r="D24" i="72"/>
  <c r="AC25" i="72"/>
  <c r="S27" i="72"/>
  <c r="P28" i="72"/>
  <c r="S35" i="72"/>
  <c r="P36" i="72"/>
  <c r="S43" i="72"/>
  <c r="P44" i="72"/>
  <c r="S51" i="72"/>
  <c r="P52" i="72"/>
  <c r="S59" i="72"/>
  <c r="P60" i="72"/>
  <c r="AI36" i="72"/>
  <c r="AI28" i="72"/>
  <c r="AI20" i="72"/>
  <c r="AI12" i="72"/>
  <c r="AI4" i="72"/>
  <c r="D56" i="72"/>
  <c r="D47" i="72"/>
  <c r="D39" i="72"/>
  <c r="D31" i="72"/>
  <c r="D55" i="72"/>
  <c r="AI30" i="72"/>
  <c r="AI14" i="72"/>
  <c r="AI21" i="72"/>
  <c r="AI13" i="72"/>
  <c r="AI5" i="72"/>
  <c r="J9" i="72"/>
  <c r="G18" i="72"/>
  <c r="Y21" i="72"/>
  <c r="Y29" i="72"/>
  <c r="G34" i="72"/>
  <c r="Y37" i="72"/>
  <c r="J41" i="72"/>
  <c r="AF43" i="72"/>
  <c r="G50" i="72"/>
  <c r="AC21" i="72"/>
  <c r="AI31" i="72"/>
  <c r="AI23" i="72"/>
  <c r="AI15" i="72"/>
  <c r="D52" i="72"/>
  <c r="AI35" i="72"/>
  <c r="AI27" i="72"/>
  <c r="AI19" i="72"/>
  <c r="AI11" i="72"/>
  <c r="AI3" i="72"/>
  <c r="Y5" i="72"/>
  <c r="AF11" i="72"/>
  <c r="J17" i="72"/>
  <c r="G26" i="72"/>
  <c r="AF27" i="72"/>
  <c r="J49" i="72"/>
  <c r="Y61" i="72"/>
  <c r="AC5" i="72"/>
  <c r="AF28" i="72"/>
  <c r="AC27" i="72"/>
  <c r="AI29" i="72"/>
  <c r="G10" i="72"/>
  <c r="Y13" i="72"/>
  <c r="AF19" i="72"/>
  <c r="J25" i="72"/>
  <c r="J33" i="72"/>
  <c r="AF35" i="72"/>
  <c r="G42" i="72"/>
  <c r="Y45" i="72"/>
  <c r="Y53" i="72"/>
  <c r="J57" i="72"/>
  <c r="G58" i="72"/>
  <c r="AI2" i="72"/>
  <c r="D12" i="72"/>
  <c r="AC13" i="72"/>
  <c r="AF20" i="72"/>
  <c r="D28" i="72"/>
  <c r="AC29" i="72"/>
  <c r="D36" i="72"/>
  <c r="AF44" i="72"/>
  <c r="AF52" i="72"/>
  <c r="D5" i="72"/>
  <c r="D13" i="72"/>
  <c r="AF53" i="72"/>
  <c r="AF61" i="72"/>
  <c r="J64" i="72"/>
  <c r="AI26" i="72"/>
  <c r="AI18" i="72"/>
  <c r="AI10" i="72"/>
  <c r="AF6" i="72"/>
  <c r="AC7" i="72"/>
  <c r="P10" i="72"/>
  <c r="AF14" i="72"/>
  <c r="AC15" i="72"/>
  <c r="P18" i="72"/>
  <c r="AC23" i="72"/>
  <c r="P26" i="72"/>
  <c r="AC31" i="72"/>
  <c r="P34" i="72"/>
  <c r="AF38" i="72"/>
  <c r="P42" i="72"/>
  <c r="AF46" i="72"/>
  <c r="P50" i="72"/>
  <c r="AF54" i="72"/>
  <c r="P58" i="72"/>
  <c r="AC46" i="72"/>
  <c r="AC38" i="72"/>
  <c r="AC30" i="72"/>
  <c r="AC22" i="72"/>
  <c r="AC14" i="72"/>
  <c r="AC6" i="72"/>
  <c r="AF55" i="72"/>
  <c r="AF47" i="72"/>
  <c r="AF39" i="72"/>
  <c r="AF31" i="72"/>
  <c r="AF23" i="72"/>
  <c r="AF15" i="72"/>
  <c r="AF7" i="72"/>
  <c r="AC58" i="72"/>
  <c r="AC42" i="72"/>
  <c r="J61" i="72"/>
  <c r="AC57" i="72"/>
  <c r="AC49" i="72"/>
  <c r="AC41" i="72"/>
  <c r="AC33" i="72"/>
  <c r="D51" i="72"/>
  <c r="D42" i="72"/>
  <c r="D34" i="72"/>
  <c r="D49" i="72"/>
  <c r="AC50" i="72"/>
  <c r="AC34" i="72"/>
  <c r="D43" i="72"/>
  <c r="S2" i="72"/>
  <c r="D48" i="72"/>
  <c r="P48" i="72"/>
  <c r="P32" i="72"/>
  <c r="AC56" i="72"/>
  <c r="AC48" i="72"/>
  <c r="AC40" i="72"/>
  <c r="AC32" i="72"/>
  <c r="D58" i="72"/>
  <c r="AI50" i="72"/>
  <c r="D41" i="72"/>
  <c r="D33" i="72"/>
  <c r="D25" i="72"/>
  <c r="D17" i="72"/>
  <c r="D9" i="72"/>
  <c r="AC47" i="72"/>
  <c r="AI39" i="72"/>
  <c r="D57" i="72"/>
  <c r="AI54" i="72"/>
  <c r="S14" i="72"/>
  <c r="S22" i="72"/>
  <c r="S54" i="72"/>
  <c r="D38" i="72"/>
  <c r="D22" i="72"/>
  <c r="D6" i="72"/>
  <c r="Y6" i="72"/>
  <c r="Y14" i="72"/>
  <c r="Y22" i="72"/>
  <c r="Y30" i="72"/>
  <c r="Y38" i="72"/>
  <c r="Y54" i="72"/>
  <c r="Y62" i="72"/>
  <c r="AC60" i="72"/>
  <c r="AC52" i="72"/>
  <c r="AC44" i="72"/>
  <c r="AC36" i="72"/>
  <c r="D54" i="72"/>
  <c r="D45" i="72"/>
  <c r="AI22" i="72"/>
  <c r="AI6" i="72"/>
  <c r="S6" i="72"/>
  <c r="S30" i="72"/>
  <c r="S38" i="72"/>
  <c r="S46" i="72"/>
  <c r="D30" i="72"/>
  <c r="D14" i="72"/>
  <c r="Y15" i="72"/>
  <c r="Y23" i="72"/>
  <c r="Y31" i="72"/>
  <c r="Y39" i="72"/>
  <c r="Y47" i="72"/>
  <c r="Y55" i="72"/>
  <c r="AC59" i="72"/>
  <c r="AC51" i="72"/>
  <c r="AC43" i="72"/>
  <c r="AC35" i="72"/>
  <c r="D61" i="72"/>
  <c r="D53" i="72"/>
  <c r="AI32" i="72"/>
  <c r="AI45" i="72"/>
  <c r="AI37" i="72"/>
  <c r="AI40" i="72"/>
  <c r="AI58" i="72"/>
  <c r="AI34" i="72"/>
  <c r="AI49" i="72"/>
  <c r="AI33" i="72"/>
  <c r="D50" i="72"/>
  <c r="AC39" i="72"/>
  <c r="AI56" i="72"/>
  <c r="AI42" i="72"/>
  <c r="D37" i="72"/>
  <c r="AI60" i="72"/>
  <c r="AI44" i="72"/>
  <c r="AI38" i="72"/>
  <c r="AI51" i="72"/>
  <c r="D44" i="72"/>
  <c r="D60" i="72"/>
  <c r="AI55" i="72"/>
  <c r="AC54" i="72"/>
  <c r="AI53" i="72"/>
  <c r="AI43" i="72"/>
  <c r="AI59" i="72"/>
  <c r="AI52" i="72"/>
  <c r="AI46" i="72"/>
  <c r="AI41" i="72"/>
  <c r="D40" i="72"/>
  <c r="AI48" i="72"/>
  <c r="AI47" i="72"/>
  <c r="AI57" i="72"/>
  <c r="D59" i="72"/>
  <c r="AI61" i="72"/>
  <c r="Y46" i="72"/>
  <c r="D46" i="72"/>
  <c r="Y32" i="72"/>
  <c r="Y48" i="72"/>
  <c r="Y16" i="72"/>
  <c r="Y9" i="72"/>
  <c r="Y17" i="72"/>
  <c r="Y25" i="72"/>
  <c r="Y33" i="72"/>
  <c r="Y41" i="72"/>
  <c r="Y49" i="72"/>
  <c r="Y57" i="72"/>
  <c r="Y63" i="72"/>
  <c r="Y8" i="72"/>
  <c r="Y24" i="72"/>
  <c r="Y40" i="72"/>
  <c r="Y56" i="72"/>
  <c r="Y42" i="72"/>
  <c r="Y50" i="72"/>
  <c r="Y58" i="72"/>
  <c r="Y7" i="72"/>
  <c r="Y64" i="72"/>
  <c r="S31" i="72"/>
  <c r="S55" i="72"/>
  <c r="S23" i="72"/>
  <c r="S8" i="72"/>
  <c r="S16" i="72"/>
  <c r="S24" i="72"/>
  <c r="S32" i="72"/>
  <c r="S40" i="72"/>
  <c r="S48" i="72"/>
  <c r="S56" i="72"/>
  <c r="S63" i="72"/>
  <c r="S7" i="72"/>
  <c r="S15" i="72"/>
  <c r="S47" i="72"/>
  <c r="S9" i="72"/>
  <c r="S17" i="72"/>
  <c r="S25" i="72"/>
  <c r="S33" i="72"/>
  <c r="S41" i="72"/>
  <c r="S49" i="72"/>
  <c r="S57" i="72"/>
  <c r="S39" i="72"/>
  <c r="S64" i="72"/>
  <c r="P64" i="72"/>
  <c r="P7" i="72"/>
  <c r="P15" i="72"/>
  <c r="P23" i="72"/>
  <c r="P31" i="72"/>
  <c r="P39" i="72"/>
  <c r="P47" i="72"/>
  <c r="P55" i="72"/>
  <c r="P8" i="72"/>
  <c r="P16" i="72"/>
  <c r="P24" i="72"/>
  <c r="P40" i="72"/>
  <c r="P56" i="72"/>
  <c r="P63" i="72"/>
  <c r="P6" i="72"/>
  <c r="P14" i="72"/>
  <c r="P22" i="72"/>
  <c r="P30" i="72"/>
  <c r="P38" i="72"/>
  <c r="P46" i="72"/>
  <c r="P54" i="72"/>
  <c r="P62" i="72"/>
  <c r="M53" i="72"/>
  <c r="M37" i="72"/>
  <c r="M61" i="72"/>
  <c r="M45" i="72"/>
  <c r="M9" i="72"/>
  <c r="J18" i="72"/>
  <c r="G27" i="72"/>
  <c r="J50" i="72"/>
  <c r="G59" i="72"/>
  <c r="G3" i="72"/>
  <c r="J26" i="72"/>
  <c r="J34" i="72"/>
  <c r="J42" i="72"/>
  <c r="M49" i="72"/>
  <c r="M57" i="72"/>
  <c r="P2" i="72"/>
  <c r="G11" i="72"/>
  <c r="G19" i="72"/>
  <c r="M25" i="72"/>
  <c r="G35" i="72"/>
  <c r="G43" i="72"/>
  <c r="G51" i="72"/>
  <c r="J58" i="72"/>
  <c r="J10" i="72"/>
  <c r="M41" i="72"/>
  <c r="M4" i="72"/>
  <c r="M56" i="72"/>
  <c r="M24" i="72"/>
  <c r="M48" i="72"/>
  <c r="M32" i="72"/>
  <c r="M8" i="72"/>
  <c r="J43" i="72"/>
  <c r="M40" i="72"/>
  <c r="M16" i="72"/>
  <c r="J2" i="72"/>
  <c r="M3" i="72"/>
  <c r="J4" i="72"/>
  <c r="M11" i="72"/>
  <c r="M19" i="72"/>
  <c r="M27" i="72"/>
  <c r="M35" i="72"/>
  <c r="M43" i="72"/>
  <c r="M51" i="72"/>
  <c r="M59" i="72"/>
  <c r="M2" i="72"/>
  <c r="G5" i="72"/>
  <c r="J12" i="72"/>
  <c r="G13" i="72"/>
  <c r="J20" i="72"/>
  <c r="G21" i="72"/>
  <c r="J28" i="72"/>
  <c r="G29" i="72"/>
  <c r="J36" i="72"/>
  <c r="G37" i="72"/>
  <c r="J44" i="72"/>
  <c r="G45" i="72"/>
  <c r="J52" i="72"/>
  <c r="G53" i="72"/>
  <c r="J60" i="72"/>
  <c r="G61" i="72"/>
  <c r="J8" i="72"/>
  <c r="J16" i="72"/>
  <c r="J24" i="72"/>
  <c r="J32" i="72"/>
  <c r="J40" i="72"/>
  <c r="M5" i="72"/>
  <c r="J30" i="72"/>
  <c r="J56" i="72"/>
  <c r="J48" i="72"/>
  <c r="M33" i="72"/>
  <c r="M17" i="72"/>
  <c r="J6" i="72"/>
  <c r="J14" i="72"/>
  <c r="J7" i="72"/>
  <c r="J15" i="72"/>
  <c r="J23" i="72"/>
  <c r="J31" i="72"/>
  <c r="J39" i="72"/>
  <c r="J47" i="72"/>
  <c r="J55" i="72"/>
  <c r="J59" i="72"/>
  <c r="J51" i="72"/>
  <c r="J35" i="72"/>
  <c r="J27" i="72"/>
  <c r="J19" i="72"/>
  <c r="J11" i="72"/>
  <c r="J3" i="72"/>
  <c r="J22" i="72"/>
  <c r="J38" i="72"/>
  <c r="J62" i="72"/>
  <c r="J63" i="72"/>
  <c r="J46" i="72"/>
  <c r="J54" i="72"/>
  <c r="M64" i="72"/>
  <c r="M63" i="72"/>
  <c r="M55" i="72"/>
  <c r="M47" i="72"/>
  <c r="M39" i="72"/>
  <c r="M31" i="72"/>
  <c r="M23" i="72"/>
  <c r="M15" i="72"/>
  <c r="M7" i="72"/>
  <c r="M62" i="72"/>
  <c r="M38" i="72"/>
  <c r="M14" i="72"/>
  <c r="M46" i="72"/>
  <c r="M6" i="72"/>
  <c r="M54" i="72"/>
  <c r="M30" i="72"/>
  <c r="M22" i="72"/>
  <c r="M58" i="72"/>
  <c r="M50" i="72"/>
  <c r="M42" i="72"/>
  <c r="M34" i="72"/>
  <c r="M26" i="72"/>
  <c r="M18" i="72"/>
  <c r="M10" i="72"/>
  <c r="G2" i="72"/>
  <c r="G64" i="72"/>
  <c r="G15" i="72"/>
  <c r="G23" i="72"/>
  <c r="G31" i="72"/>
  <c r="G39" i="72"/>
  <c r="G47" i="72"/>
  <c r="G55" i="72"/>
  <c r="G7" i="72"/>
  <c r="G8" i="72"/>
  <c r="G16" i="72"/>
  <c r="G24" i="72"/>
  <c r="G32" i="72"/>
  <c r="G40" i="72"/>
  <c r="G48" i="72"/>
  <c r="G56" i="72"/>
  <c r="G63" i="72"/>
  <c r="G60" i="72"/>
  <c r="G52" i="72"/>
  <c r="G44" i="72"/>
  <c r="G36" i="72"/>
  <c r="G28" i="72"/>
  <c r="G20" i="72"/>
  <c r="G12" i="72"/>
  <c r="G4" i="72"/>
  <c r="G9" i="72"/>
  <c r="G17" i="72"/>
  <c r="G25" i="72"/>
  <c r="G33" i="72"/>
  <c r="G41" i="72"/>
  <c r="G49" i="72"/>
  <c r="G57" i="72"/>
  <c r="AG37" i="72"/>
  <c r="AG45" i="72"/>
  <c r="AG52" i="72"/>
  <c r="AG53" i="72"/>
  <c r="AG61" i="72"/>
  <c r="AG5" i="72"/>
  <c r="AG29" i="72"/>
  <c r="AG21" i="72"/>
  <c r="AG13" i="72"/>
  <c r="AG55" i="72"/>
  <c r="AH16" i="72"/>
  <c r="AK16" i="72" s="1"/>
  <c r="AG10" i="72"/>
  <c r="AH15" i="72"/>
  <c r="AK15" i="72" s="1"/>
  <c r="AG20" i="72"/>
  <c r="AH4" i="72"/>
  <c r="AH12" i="72"/>
  <c r="AH20" i="72"/>
  <c r="AH28" i="72"/>
  <c r="AH36" i="72"/>
  <c r="AH44" i="72"/>
  <c r="AH52" i="72"/>
  <c r="AH60" i="72"/>
  <c r="AG60" i="72"/>
  <c r="AG22" i="72"/>
  <c r="AG38" i="72"/>
  <c r="AH46" i="72"/>
  <c r="AG54" i="72"/>
  <c r="AG6" i="72"/>
  <c r="AG14" i="72"/>
  <c r="AG15" i="72"/>
  <c r="AG30" i="72"/>
  <c r="AG7" i="72"/>
  <c r="AH40" i="72"/>
  <c r="AJ40" i="72" s="1"/>
  <c r="AG39" i="72"/>
  <c r="AH8" i="72"/>
  <c r="AH32" i="72"/>
  <c r="AJ32" i="72" s="1"/>
  <c r="AH48" i="72"/>
  <c r="AH56" i="72"/>
  <c r="AH24" i="72"/>
  <c r="AG2" i="72"/>
  <c r="AH7" i="72"/>
  <c r="AK7" i="72" s="1"/>
  <c r="AG9" i="72"/>
  <c r="AG16" i="72"/>
  <c r="AG18" i="72"/>
  <c r="AG24" i="72"/>
  <c r="AG26" i="72"/>
  <c r="AG28" i="72"/>
  <c r="AH31" i="72"/>
  <c r="AK31" i="72" s="1"/>
  <c r="AG32" i="72"/>
  <c r="AG33" i="72"/>
  <c r="AG34" i="72"/>
  <c r="AG36" i="72"/>
  <c r="AH39" i="72"/>
  <c r="AG40" i="72"/>
  <c r="AG41" i="72"/>
  <c r="AG42" i="72"/>
  <c r="AG44" i="72"/>
  <c r="AH47" i="72"/>
  <c r="AG48" i="72"/>
  <c r="AG49" i="72"/>
  <c r="AG50" i="72"/>
  <c r="AH55" i="72"/>
  <c r="AG56" i="72"/>
  <c r="AG57" i="72"/>
  <c r="AG58" i="72"/>
  <c r="AG23" i="72"/>
  <c r="AG31" i="72"/>
  <c r="AG47" i="72"/>
  <c r="AG4" i="72"/>
  <c r="AG8" i="72"/>
  <c r="AG12" i="72"/>
  <c r="AG17" i="72"/>
  <c r="AH23" i="72"/>
  <c r="AK23" i="72" s="1"/>
  <c r="AG25" i="72"/>
  <c r="AH3" i="72"/>
  <c r="AH11" i="72"/>
  <c r="AH19" i="72"/>
  <c r="AH27" i="72"/>
  <c r="AH35" i="72"/>
  <c r="AK35" i="72" s="1"/>
  <c r="AH43" i="72"/>
  <c r="AH51" i="72"/>
  <c r="AH59" i="72"/>
  <c r="AH34" i="72"/>
  <c r="AH10" i="72"/>
  <c r="AH26" i="72"/>
  <c r="AH58" i="72"/>
  <c r="AH50" i="72"/>
  <c r="AJ50" i="72" s="1"/>
  <c r="AH42" i="72"/>
  <c r="AH18" i="72"/>
  <c r="AG59" i="72"/>
  <c r="AG51" i="72"/>
  <c r="AG43" i="72"/>
  <c r="AG35" i="72"/>
  <c r="AG27" i="72"/>
  <c r="AG19" i="72"/>
  <c r="AG11" i="72"/>
  <c r="AG3" i="72"/>
  <c r="AH57" i="72"/>
  <c r="AH49" i="72"/>
  <c r="AH41" i="72"/>
  <c r="AH33" i="72"/>
  <c r="AH25" i="72"/>
  <c r="AK25" i="72" s="1"/>
  <c r="AH17" i="72"/>
  <c r="AK17" i="72" s="1"/>
  <c r="AH9" i="72"/>
  <c r="AK9" i="72" s="1"/>
  <c r="AH2" i="72"/>
  <c r="AH38" i="72"/>
  <c r="AH30" i="72"/>
  <c r="AH22" i="72"/>
  <c r="AH14" i="72"/>
  <c r="AH6" i="72"/>
  <c r="AH54" i="72"/>
  <c r="AH61" i="72"/>
  <c r="AH53" i="72"/>
  <c r="AH45" i="72"/>
  <c r="AH37" i="72"/>
  <c r="AH29" i="72"/>
  <c r="AH21" i="72"/>
  <c r="AH13" i="72"/>
  <c r="AH5" i="72"/>
  <c r="AG46" i="72"/>
  <c r="N179" i="42"/>
  <c r="J179" i="42"/>
  <c r="C178" i="42"/>
  <c r="AK39" i="72" l="1"/>
  <c r="AJ37" i="72"/>
  <c r="AK8" i="72"/>
  <c r="AK36" i="72"/>
  <c r="AK24" i="72"/>
  <c r="AJ56" i="72"/>
  <c r="AK54" i="72"/>
  <c r="AK40" i="72"/>
  <c r="AJ58" i="72"/>
  <c r="AJ23" i="72"/>
  <c r="AJ36" i="72"/>
  <c r="AK50" i="72"/>
  <c r="AJ51" i="72"/>
  <c r="AJ39" i="72"/>
  <c r="AK45" i="72"/>
  <c r="AJ7" i="72"/>
  <c r="AJ28" i="72"/>
  <c r="AK28" i="72"/>
  <c r="AJ54" i="72"/>
  <c r="AJ35" i="72"/>
  <c r="AJ2" i="72"/>
  <c r="AK2" i="72"/>
  <c r="AK18" i="72"/>
  <c r="AJ18" i="72"/>
  <c r="AK20" i="72"/>
  <c r="AJ20" i="72"/>
  <c r="AK37" i="72"/>
  <c r="AJ15" i="72"/>
  <c r="AK12" i="72"/>
  <c r="AJ12" i="72"/>
  <c r="AJ59" i="72"/>
  <c r="AK6" i="72"/>
  <c r="AJ6" i="72"/>
  <c r="AK56" i="72"/>
  <c r="AK19" i="72"/>
  <c r="AJ19" i="72"/>
  <c r="AK32" i="72"/>
  <c r="AJ9" i="72"/>
  <c r="AJ25" i="72"/>
  <c r="AK5" i="72"/>
  <c r="AJ5" i="72"/>
  <c r="AJ13" i="72"/>
  <c r="AK13" i="72"/>
  <c r="AK21" i="72"/>
  <c r="AJ21" i="72"/>
  <c r="AK22" i="72"/>
  <c r="AJ22" i="72"/>
  <c r="AJ10" i="72"/>
  <c r="AK10" i="72"/>
  <c r="AJ45" i="72"/>
  <c r="AJ44" i="72"/>
  <c r="AJ16" i="72"/>
  <c r="AK4" i="72"/>
  <c r="AJ4" i="72"/>
  <c r="AJ31" i="72"/>
  <c r="AK27" i="72"/>
  <c r="AJ27" i="72"/>
  <c r="AJ24" i="72"/>
  <c r="AJ14" i="72"/>
  <c r="AK14" i="72"/>
  <c r="AJ26" i="72"/>
  <c r="AK26" i="72"/>
  <c r="AK29" i="72"/>
  <c r="AJ29" i="72"/>
  <c r="AK11" i="72"/>
  <c r="AJ11" i="72"/>
  <c r="AK30" i="72"/>
  <c r="AJ30" i="72"/>
  <c r="AK3" i="72"/>
  <c r="AJ3" i="72"/>
  <c r="AJ60" i="72"/>
  <c r="AJ49" i="72"/>
  <c r="AJ17" i="72"/>
  <c r="AJ8" i="72"/>
  <c r="AK60" i="72"/>
  <c r="AK44" i="72"/>
  <c r="AK49" i="72"/>
  <c r="AJ38" i="72"/>
  <c r="AK38" i="72"/>
  <c r="AK42" i="72"/>
  <c r="AJ42" i="72"/>
  <c r="AJ33" i="72"/>
  <c r="AK33" i="72"/>
  <c r="AK58" i="72"/>
  <c r="AK48" i="72"/>
  <c r="AK51" i="72"/>
  <c r="AK34" i="72"/>
  <c r="AJ34" i="72"/>
  <c r="AK43" i="72"/>
  <c r="AJ43" i="72"/>
  <c r="AK59" i="72"/>
  <c r="AJ52" i="72"/>
  <c r="AK52" i="72"/>
  <c r="AK53" i="72"/>
  <c r="AJ53" i="72"/>
  <c r="AJ47" i="72"/>
  <c r="AK47" i="72"/>
  <c r="AJ41" i="72"/>
  <c r="AK41" i="72"/>
  <c r="AJ55" i="72"/>
  <c r="AK55" i="72"/>
  <c r="AK61" i="72"/>
  <c r="AJ61" i="72"/>
  <c r="AJ57" i="72"/>
  <c r="AK57" i="72"/>
  <c r="AJ48" i="72"/>
  <c r="AK46" i="72"/>
  <c r="AJ46" i="72"/>
  <c r="J155" i="42"/>
  <c r="Q154" i="42"/>
  <c r="F43" i="66" l="1"/>
  <c r="B17" i="66"/>
  <c r="B30" i="66"/>
  <c r="B43" i="66"/>
  <c r="L111" i="39"/>
  <c r="L112" i="39"/>
  <c r="N11" i="2"/>
  <c r="K16" i="14"/>
  <c r="K14" i="14"/>
  <c r="L2" i="35"/>
  <c r="H9" i="68"/>
  <c r="G8" i="71"/>
  <c r="G9" i="68"/>
  <c r="G10" i="68"/>
  <c r="G11" i="68"/>
  <c r="G12" i="68"/>
  <c r="G13" i="68"/>
  <c r="G14" i="68"/>
  <c r="G15" i="68"/>
  <c r="G16" i="68"/>
  <c r="G17" i="68"/>
  <c r="G147" i="38"/>
  <c r="D147" i="40" s="1"/>
  <c r="G149" i="38"/>
  <c r="D149" i="40" s="1"/>
  <c r="S14" i="35" l="1"/>
  <c r="S15" i="35" s="1"/>
  <c r="S12" i="35"/>
  <c r="AE64" i="72"/>
  <c r="AD64" i="72"/>
  <c r="AF64" i="72" s="1"/>
  <c r="E149" i="38"/>
  <c r="C149" i="40" s="1"/>
  <c r="D149" i="38"/>
  <c r="B149" i="40" s="1"/>
  <c r="G148" i="38"/>
  <c r="D148" i="40" s="1"/>
  <c r="E148" i="38"/>
  <c r="C148" i="40" s="1"/>
  <c r="D148" i="38"/>
  <c r="B148" i="40" s="1"/>
  <c r="E147" i="38"/>
  <c r="C147" i="40" s="1"/>
  <c r="D147" i="38"/>
  <c r="B147" i="40" s="1"/>
  <c r="E146" i="38"/>
  <c r="C146" i="40" s="1"/>
  <c r="D146" i="38"/>
  <c r="B146" i="40" s="1"/>
  <c r="L149" i="40" l="1"/>
  <c r="L146" i="40"/>
  <c r="L147" i="40"/>
  <c r="L148" i="40"/>
  <c r="B137" i="45"/>
  <c r="F137" i="45"/>
  <c r="G137" i="45"/>
  <c r="B138" i="45"/>
  <c r="D138" i="45"/>
  <c r="E138" i="45"/>
  <c r="F138" i="45"/>
  <c r="G138" i="45"/>
  <c r="B139" i="45"/>
  <c r="D139" i="45"/>
  <c r="E139" i="45"/>
  <c r="F139" i="45"/>
  <c r="G139" i="45"/>
  <c r="B140" i="45"/>
  <c r="F140" i="45"/>
  <c r="G140" i="45"/>
  <c r="B141" i="45"/>
  <c r="D141" i="45"/>
  <c r="E141" i="45"/>
  <c r="F141" i="45"/>
  <c r="G141" i="45"/>
  <c r="B142" i="45"/>
  <c r="D142" i="45"/>
  <c r="E142" i="45"/>
  <c r="F142" i="45"/>
  <c r="G142" i="45"/>
  <c r="B143" i="45"/>
  <c r="D143" i="45"/>
  <c r="E143" i="45"/>
  <c r="F143" i="45"/>
  <c r="G143" i="45"/>
  <c r="B144" i="45"/>
  <c r="D144" i="45"/>
  <c r="E144" i="45"/>
  <c r="F144" i="45"/>
  <c r="G144" i="45"/>
  <c r="B145" i="45"/>
  <c r="D145" i="45"/>
  <c r="E145" i="45"/>
  <c r="F145" i="45"/>
  <c r="G145" i="45"/>
  <c r="Z72" i="22"/>
  <c r="Z73" i="22"/>
  <c r="Z74" i="22"/>
  <c r="Z75" i="22"/>
  <c r="Z76" i="22"/>
  <c r="Z77" i="22"/>
  <c r="Z78" i="22"/>
  <c r="Z79" i="22"/>
  <c r="Z80" i="22"/>
  <c r="Z81" i="22"/>
  <c r="Z71" i="22"/>
  <c r="Z50" i="22"/>
  <c r="Z51" i="22"/>
  <c r="Z52" i="22"/>
  <c r="Z53" i="22"/>
  <c r="Z54" i="22"/>
  <c r="Z55" i="22"/>
  <c r="Z56" i="22"/>
  <c r="Z57" i="22"/>
  <c r="Z58" i="22"/>
  <c r="Z59" i="22"/>
  <c r="Z60" i="22"/>
  <c r="Z49" i="22"/>
  <c r="Z61" i="22" s="1"/>
  <c r="Z34" i="22"/>
  <c r="Z35" i="22"/>
  <c r="Z36" i="22"/>
  <c r="Z37" i="22"/>
  <c r="Z38" i="22"/>
  <c r="Z33" i="22"/>
  <c r="L14" i="61"/>
  <c r="L13" i="61"/>
  <c r="J63" i="55"/>
  <c r="J64" i="55"/>
  <c r="J62" i="55"/>
  <c r="K62" i="55"/>
  <c r="K63" i="55"/>
  <c r="K64" i="55"/>
  <c r="G62" i="55"/>
  <c r="G63" i="55"/>
  <c r="G64" i="55"/>
  <c r="F62" i="55"/>
  <c r="F63" i="55"/>
  <c r="F64" i="55"/>
  <c r="E62" i="55"/>
  <c r="E63" i="55"/>
  <c r="E64" i="55"/>
  <c r="D62" i="55"/>
  <c r="D63" i="55"/>
  <c r="D64" i="55"/>
  <c r="C62" i="55"/>
  <c r="C63" i="55"/>
  <c r="C64" i="55"/>
  <c r="N64" i="55"/>
  <c r="O48" i="45" l="1"/>
  <c r="J49" i="45"/>
  <c r="J47" i="45"/>
  <c r="O49" i="45"/>
  <c r="O47" i="45"/>
  <c r="M49" i="45"/>
  <c r="J48" i="45"/>
  <c r="R64" i="55"/>
  <c r="J14" i="61"/>
  <c r="AA64" i="72"/>
  <c r="AB64" i="72"/>
  <c r="AI64" i="72" s="1"/>
  <c r="M14" i="61"/>
  <c r="AA63" i="72"/>
  <c r="AB63" i="72"/>
  <c r="L49" i="45"/>
  <c r="K14" i="61"/>
  <c r="N62" i="55"/>
  <c r="R62" i="55" s="1"/>
  <c r="AD62" i="72"/>
  <c r="C62" i="72"/>
  <c r="AE62" i="72"/>
  <c r="N63" i="55"/>
  <c r="R63" i="55" s="1"/>
  <c r="C63" i="72"/>
  <c r="AE63" i="72"/>
  <c r="AD63" i="72"/>
  <c r="G14" i="61"/>
  <c r="C14" i="61"/>
  <c r="F14" i="61"/>
  <c r="D14" i="61"/>
  <c r="E14" i="61"/>
  <c r="N49" i="45"/>
  <c r="N47" i="45"/>
  <c r="N48" i="45"/>
  <c r="P64" i="55"/>
  <c r="P62" i="55"/>
  <c r="P63" i="55"/>
  <c r="H26" i="7"/>
  <c r="H27" i="7"/>
  <c r="H28" i="7"/>
  <c r="G26" i="7"/>
  <c r="G27" i="7"/>
  <c r="G28" i="7"/>
  <c r="F26" i="7"/>
  <c r="F27" i="7"/>
  <c r="F28" i="7"/>
  <c r="J86" i="16"/>
  <c r="J87" i="16"/>
  <c r="J88" i="16"/>
  <c r="B87" i="16"/>
  <c r="B86" i="16"/>
  <c r="B85" i="16"/>
  <c r="B20" i="71"/>
  <c r="B19" i="71"/>
  <c r="B18" i="71"/>
  <c r="C18" i="71"/>
  <c r="D18" i="71"/>
  <c r="E18" i="71"/>
  <c r="F18" i="71"/>
  <c r="G18" i="71"/>
  <c r="C17" i="71"/>
  <c r="D17" i="71"/>
  <c r="E17" i="71"/>
  <c r="F17" i="71"/>
  <c r="G17" i="71"/>
  <c r="B17" i="71"/>
  <c r="C19" i="68"/>
  <c r="D19" i="68"/>
  <c r="E19" i="68"/>
  <c r="F19" i="68"/>
  <c r="G19" i="68"/>
  <c r="B19" i="68"/>
  <c r="C18" i="68"/>
  <c r="D18" i="68"/>
  <c r="E18" i="68"/>
  <c r="F18" i="68"/>
  <c r="G18" i="68"/>
  <c r="B18" i="68"/>
  <c r="C20" i="68"/>
  <c r="D20" i="68"/>
  <c r="E20" i="68"/>
  <c r="F20" i="68"/>
  <c r="G20" i="68"/>
  <c r="B20" i="68"/>
  <c r="H7" i="71"/>
  <c r="H3" i="71"/>
  <c r="G2" i="68"/>
  <c r="G3" i="68"/>
  <c r="G2" i="71"/>
  <c r="G8" i="68"/>
  <c r="G7" i="71"/>
  <c r="M8" i="50"/>
  <c r="N8" i="50"/>
  <c r="O8" i="50"/>
  <c r="P8" i="50"/>
  <c r="L8" i="50"/>
  <c r="J14" i="62"/>
  <c r="R14" i="61" l="1"/>
  <c r="AC63" i="72"/>
  <c r="AC64" i="72"/>
  <c r="N14" i="61"/>
  <c r="B64" i="72"/>
  <c r="AF63" i="72"/>
  <c r="AI63" i="72"/>
  <c r="B63" i="72"/>
  <c r="AI62" i="72"/>
  <c r="B62" i="72"/>
  <c r="D62" i="72" s="1"/>
  <c r="AF62" i="72"/>
  <c r="P14" i="61"/>
  <c r="F61" i="55"/>
  <c r="Q64" i="55" l="1"/>
  <c r="B14" i="61"/>
  <c r="Q63" i="55"/>
  <c r="Q62" i="55"/>
  <c r="AH63" i="72"/>
  <c r="AG63" i="72"/>
  <c r="D63" i="72"/>
  <c r="AH62" i="72"/>
  <c r="AG62" i="72"/>
  <c r="D64" i="72"/>
  <c r="AG64" i="72"/>
  <c r="AH64" i="72"/>
  <c r="AT16" i="2"/>
  <c r="J9" i="53"/>
  <c r="I9" i="53"/>
  <c r="H9" i="53"/>
  <c r="G9" i="53"/>
  <c r="F9" i="53"/>
  <c r="E9" i="53"/>
  <c r="D9" i="53"/>
  <c r="C9" i="53"/>
  <c r="B9" i="53"/>
  <c r="Q14" i="61" l="1"/>
  <c r="D13" i="2" s="1"/>
  <c r="E13" i="2" s="1"/>
  <c r="F13" i="2" s="1"/>
  <c r="AK64" i="72"/>
  <c r="AJ64" i="72"/>
  <c r="AK62" i="72"/>
  <c r="AJ62" i="72"/>
  <c r="AK63" i="72"/>
  <c r="AJ63" i="72"/>
  <c r="K9" i="53"/>
  <c r="N3" i="35"/>
  <c r="N4" i="35"/>
  <c r="N5" i="35"/>
  <c r="N6" i="35"/>
  <c r="N7" i="35"/>
  <c r="N8" i="35"/>
  <c r="N9" i="35"/>
  <c r="N10" i="35"/>
  <c r="N11" i="35"/>
  <c r="N2" i="35"/>
  <c r="G13" i="2" l="1"/>
  <c r="AK11" i="2"/>
  <c r="E14" i="7"/>
  <c r="G4" i="71"/>
  <c r="G5" i="71"/>
  <c r="G6" i="71"/>
  <c r="G3" i="71"/>
  <c r="G7" i="68"/>
  <c r="G5" i="68"/>
  <c r="G6" i="68"/>
  <c r="G4" i="68"/>
  <c r="B13" i="61" l="1"/>
  <c r="Q8" i="41"/>
  <c r="Q9" i="41"/>
  <c r="Q10" i="41"/>
  <c r="Q11" i="41"/>
  <c r="Q12" i="41"/>
  <c r="Q13" i="41"/>
  <c r="J77" i="16"/>
  <c r="B84" i="16"/>
  <c r="B83" i="16"/>
  <c r="B82" i="16"/>
  <c r="B81" i="16"/>
  <c r="B80" i="16"/>
  <c r="B79" i="16"/>
  <c r="B78" i="16"/>
  <c r="B77" i="16"/>
  <c r="B76" i="16"/>
  <c r="B75" i="16"/>
  <c r="B74" i="16"/>
  <c r="B48" i="67"/>
  <c r="B47" i="67"/>
  <c r="B42" i="67"/>
  <c r="C41" i="67"/>
  <c r="B41" i="67"/>
  <c r="J28" i="67"/>
  <c r="F28" i="67"/>
  <c r="J27" i="67"/>
  <c r="F27" i="67"/>
  <c r="J22" i="67"/>
  <c r="F22" i="67"/>
  <c r="L22" i="67" s="1"/>
  <c r="P22" i="67" s="1"/>
  <c r="J21" i="67"/>
  <c r="F21" i="67"/>
  <c r="J16" i="67"/>
  <c r="F16" i="67"/>
  <c r="J15" i="67"/>
  <c r="F15" i="67"/>
  <c r="L15" i="67" s="1"/>
  <c r="P15" i="67" s="1"/>
  <c r="J8" i="67"/>
  <c r="F8" i="67"/>
  <c r="L8" i="67" s="1"/>
  <c r="P8" i="67" s="1"/>
  <c r="J7" i="67"/>
  <c r="F7" i="67"/>
  <c r="L7" i="67" s="1"/>
  <c r="P7" i="67" s="1"/>
  <c r="F41" i="66"/>
  <c r="D41" i="66"/>
  <c r="C41" i="66"/>
  <c r="F40" i="66"/>
  <c r="D40" i="66"/>
  <c r="C40" i="66"/>
  <c r="F39" i="66"/>
  <c r="D39" i="66"/>
  <c r="C39" i="66"/>
  <c r="F38" i="66"/>
  <c r="D38" i="66"/>
  <c r="C38" i="66"/>
  <c r="F37" i="66"/>
  <c r="D37" i="66"/>
  <c r="C37" i="66"/>
  <c r="F36" i="66"/>
  <c r="D36" i="66"/>
  <c r="C36" i="66"/>
  <c r="F35" i="66"/>
  <c r="D35" i="66"/>
  <c r="C35" i="66"/>
  <c r="F34" i="66"/>
  <c r="D34" i="66"/>
  <c r="C34" i="66"/>
  <c r="G33" i="66"/>
  <c r="F33" i="66"/>
  <c r="H33" i="66" s="1"/>
  <c r="D33" i="66"/>
  <c r="C33" i="66"/>
  <c r="G32" i="66"/>
  <c r="F32" i="66"/>
  <c r="D32" i="66"/>
  <c r="C32" i="66"/>
  <c r="F31" i="66"/>
  <c r="D31" i="66"/>
  <c r="C31" i="66"/>
  <c r="G29" i="66"/>
  <c r="F29" i="66"/>
  <c r="G28" i="66"/>
  <c r="F28" i="66"/>
  <c r="D28" i="66"/>
  <c r="C28" i="66"/>
  <c r="G27" i="66"/>
  <c r="F27" i="66"/>
  <c r="D27" i="66"/>
  <c r="C27" i="66"/>
  <c r="G26" i="66"/>
  <c r="F26" i="66"/>
  <c r="D26" i="66"/>
  <c r="C26" i="66"/>
  <c r="E26" i="66" s="1"/>
  <c r="F25" i="66"/>
  <c r="D25" i="66"/>
  <c r="C25" i="66"/>
  <c r="G24" i="66"/>
  <c r="F24" i="66"/>
  <c r="D24" i="66"/>
  <c r="C24" i="66"/>
  <c r="F23" i="66"/>
  <c r="D23" i="66"/>
  <c r="C23" i="66"/>
  <c r="F22" i="66"/>
  <c r="D22" i="66"/>
  <c r="C22" i="66"/>
  <c r="E22" i="66" s="1"/>
  <c r="F21" i="66"/>
  <c r="D21" i="66"/>
  <c r="C21" i="66"/>
  <c r="F20" i="66"/>
  <c r="D20" i="66"/>
  <c r="C20" i="66"/>
  <c r="F19" i="66"/>
  <c r="D19" i="66"/>
  <c r="C19" i="66"/>
  <c r="F18" i="66"/>
  <c r="D18" i="66"/>
  <c r="C18" i="66"/>
  <c r="G17" i="66"/>
  <c r="F16" i="66"/>
  <c r="H16" i="66" s="1"/>
  <c r="F15" i="66"/>
  <c r="H15" i="66" s="1"/>
  <c r="D15" i="66"/>
  <c r="C15" i="66"/>
  <c r="F14" i="66"/>
  <c r="H14" i="66" s="1"/>
  <c r="D14" i="66"/>
  <c r="C14" i="66"/>
  <c r="F13" i="66"/>
  <c r="H13" i="66" s="1"/>
  <c r="D13" i="66"/>
  <c r="C13" i="66"/>
  <c r="F12" i="66"/>
  <c r="H12" i="66" s="1"/>
  <c r="D12" i="66"/>
  <c r="C12" i="66"/>
  <c r="F11" i="66"/>
  <c r="H11" i="66" s="1"/>
  <c r="D11" i="66"/>
  <c r="C11" i="66"/>
  <c r="F10" i="66"/>
  <c r="H10" i="66" s="1"/>
  <c r="D10" i="66"/>
  <c r="C10" i="66"/>
  <c r="F9" i="66"/>
  <c r="H9" i="66" s="1"/>
  <c r="D9" i="66"/>
  <c r="C9" i="66"/>
  <c r="F8" i="66"/>
  <c r="H8" i="66" s="1"/>
  <c r="D8" i="66"/>
  <c r="C8" i="66"/>
  <c r="F7" i="66"/>
  <c r="H7" i="66" s="1"/>
  <c r="D7" i="66"/>
  <c r="C7" i="66"/>
  <c r="F6" i="66"/>
  <c r="H6" i="66" s="1"/>
  <c r="D6" i="66"/>
  <c r="C6" i="66"/>
  <c r="F5" i="66"/>
  <c r="H5" i="66" s="1"/>
  <c r="D5" i="66"/>
  <c r="C5" i="66"/>
  <c r="E5" i="66" s="1"/>
  <c r="H24" i="66" l="1"/>
  <c r="H26" i="66"/>
  <c r="E37" i="66"/>
  <c r="L21" i="67"/>
  <c r="P21" i="67" s="1"/>
  <c r="L27" i="67"/>
  <c r="P27" i="67" s="1"/>
  <c r="E36" i="66"/>
  <c r="E10" i="66"/>
  <c r="E20" i="66"/>
  <c r="E19" i="66"/>
  <c r="E13" i="66"/>
  <c r="E21" i="66"/>
  <c r="E27" i="66"/>
  <c r="Q3" i="65"/>
  <c r="E9" i="66"/>
  <c r="E40" i="66"/>
  <c r="E32" i="66"/>
  <c r="E31" i="66"/>
  <c r="I24" i="66"/>
  <c r="L16" i="67"/>
  <c r="P16" i="67" s="1"/>
  <c r="L28" i="67"/>
  <c r="P28" i="67" s="1"/>
  <c r="E39" i="66"/>
  <c r="E28" i="66"/>
  <c r="E11" i="66"/>
  <c r="H32" i="66"/>
  <c r="I32" i="66" s="1"/>
  <c r="E18" i="66"/>
  <c r="E6" i="66"/>
  <c r="E14" i="66"/>
  <c r="H27" i="66"/>
  <c r="I27" i="66" s="1"/>
  <c r="H29" i="66"/>
  <c r="F30" i="66"/>
  <c r="I26" i="66"/>
  <c r="H28" i="66"/>
  <c r="I28" i="66" s="1"/>
  <c r="E38" i="66"/>
  <c r="I10" i="66"/>
  <c r="E8" i="66"/>
  <c r="I13" i="66"/>
  <c r="I6" i="66"/>
  <c r="I14" i="66"/>
  <c r="I7" i="66"/>
  <c r="I9" i="66"/>
  <c r="I12" i="66"/>
  <c r="I15" i="66"/>
  <c r="H17" i="66"/>
  <c r="I5" i="66"/>
  <c r="I33" i="66"/>
  <c r="E25" i="66"/>
  <c r="F17" i="66"/>
  <c r="E7" i="66"/>
  <c r="E35" i="66"/>
  <c r="E24" i="66"/>
  <c r="E34" i="66"/>
  <c r="E33" i="66"/>
  <c r="E41" i="66"/>
  <c r="E15" i="66"/>
  <c r="I8" i="66"/>
  <c r="I11" i="66"/>
  <c r="E12" i="66"/>
  <c r="E23" i="66"/>
  <c r="Q4" i="65"/>
  <c r="M13" i="61" l="1"/>
  <c r="H85" i="16"/>
  <c r="H84" i="16"/>
  <c r="H83" i="16"/>
  <c r="H82" i="16"/>
  <c r="H81" i="16"/>
  <c r="H80" i="16"/>
  <c r="H79" i="16"/>
  <c r="H78" i="16"/>
  <c r="H77" i="16"/>
  <c r="H74" i="16"/>
  <c r="H76" i="16"/>
  <c r="H75" i="16"/>
  <c r="E25" i="7"/>
  <c r="E24" i="7"/>
  <c r="E23" i="7"/>
  <c r="E22" i="7"/>
  <c r="E21" i="7"/>
  <c r="E20" i="7"/>
  <c r="E19" i="7"/>
  <c r="E18" i="7"/>
  <c r="E17" i="7"/>
  <c r="E16" i="7"/>
  <c r="E15" i="7"/>
  <c r="F19" i="7"/>
  <c r="O7" i="41"/>
  <c r="O8" i="41"/>
  <c r="O9" i="41"/>
  <c r="O10" i="41"/>
  <c r="O11" i="41"/>
  <c r="O12" i="41"/>
  <c r="O13" i="41"/>
  <c r="N7" i="41"/>
  <c r="N8" i="41"/>
  <c r="N9" i="41"/>
  <c r="N10" i="41"/>
  <c r="N11" i="41"/>
  <c r="N12" i="41"/>
  <c r="N13" i="41"/>
  <c r="C15" i="43"/>
  <c r="D15" i="43" s="1"/>
  <c r="B15" i="43"/>
  <c r="C14" i="43"/>
  <c r="L13" i="14"/>
  <c r="L4" i="14"/>
  <c r="L5" i="14"/>
  <c r="L6" i="14"/>
  <c r="L7" i="14"/>
  <c r="L8" i="14"/>
  <c r="L9" i="14"/>
  <c r="L10" i="14"/>
  <c r="L11" i="14"/>
  <c r="L3" i="14"/>
  <c r="G16" i="12"/>
  <c r="H179" i="42"/>
  <c r="D178" i="42"/>
  <c r="B178" i="42"/>
  <c r="H178" i="42"/>
  <c r="D177" i="42"/>
  <c r="H177" i="42"/>
  <c r="D176" i="42"/>
  <c r="H176" i="42"/>
  <c r="B176" i="42"/>
  <c r="B175" i="42"/>
  <c r="D175" i="42"/>
  <c r="H175" i="42"/>
  <c r="B174" i="42"/>
  <c r="D174" i="42"/>
  <c r="H174" i="42"/>
  <c r="H173" i="42"/>
  <c r="J171" i="42"/>
  <c r="J172" i="42"/>
  <c r="H172" i="42"/>
  <c r="H171" i="42"/>
  <c r="H170" i="42"/>
  <c r="B16" i="8" l="1"/>
  <c r="P107" i="42"/>
  <c r="K732" i="64" l="1"/>
  <c r="K731" i="64"/>
  <c r="K730" i="64"/>
  <c r="K729" i="64"/>
  <c r="K728" i="64"/>
  <c r="K727" i="64"/>
  <c r="K726" i="64"/>
  <c r="K725" i="64"/>
  <c r="K724" i="64"/>
  <c r="K723" i="64"/>
  <c r="K722" i="64"/>
  <c r="K721" i="64"/>
  <c r="K720" i="64"/>
  <c r="K719" i="64"/>
  <c r="K718" i="64"/>
  <c r="K717" i="64"/>
  <c r="K716" i="64"/>
  <c r="K715" i="64"/>
  <c r="K714" i="64"/>
  <c r="K713" i="64"/>
  <c r="K712" i="64"/>
  <c r="K711" i="64"/>
  <c r="K710" i="64"/>
  <c r="K709" i="64"/>
  <c r="K708" i="64"/>
  <c r="K707" i="64"/>
  <c r="K706" i="64"/>
  <c r="K705" i="64"/>
  <c r="K704" i="64"/>
  <c r="K703" i="64"/>
  <c r="K702" i="64"/>
  <c r="K701" i="64"/>
  <c r="K700" i="64"/>
  <c r="K699" i="64"/>
  <c r="K698" i="64"/>
  <c r="K697" i="64"/>
  <c r="K696" i="64"/>
  <c r="K695" i="64"/>
  <c r="K694" i="64"/>
  <c r="K693" i="64"/>
  <c r="K692" i="64"/>
  <c r="K691" i="64"/>
  <c r="K690" i="64"/>
  <c r="K689" i="64"/>
  <c r="K688" i="64"/>
  <c r="K687" i="64"/>
  <c r="K686" i="64"/>
  <c r="K685" i="64"/>
  <c r="K684" i="64"/>
  <c r="K683" i="64"/>
  <c r="K682" i="64"/>
  <c r="K681" i="64"/>
  <c r="K680" i="64"/>
  <c r="K679" i="64"/>
  <c r="K678" i="64"/>
  <c r="K677" i="64"/>
  <c r="K676" i="64"/>
  <c r="K675" i="64"/>
  <c r="K674" i="64"/>
  <c r="K673" i="64"/>
  <c r="K672" i="64"/>
  <c r="K671" i="64"/>
  <c r="K670" i="64"/>
  <c r="K669" i="64"/>
  <c r="K668" i="64"/>
  <c r="K667" i="64"/>
  <c r="K666" i="64"/>
  <c r="K665" i="64"/>
  <c r="K664" i="64"/>
  <c r="K663" i="64"/>
  <c r="K662" i="64"/>
  <c r="K661" i="64"/>
  <c r="K660" i="64"/>
  <c r="K659" i="64"/>
  <c r="K658" i="64"/>
  <c r="K657" i="64"/>
  <c r="K656" i="64"/>
  <c r="K655" i="64"/>
  <c r="K654" i="64"/>
  <c r="K653" i="64"/>
  <c r="K652" i="64"/>
  <c r="K651" i="64"/>
  <c r="K650" i="64"/>
  <c r="K649" i="64"/>
  <c r="K648" i="64"/>
  <c r="K647" i="64"/>
  <c r="K646" i="64"/>
  <c r="K645" i="64"/>
  <c r="K644" i="64"/>
  <c r="K643" i="64"/>
  <c r="K642" i="64"/>
  <c r="K641" i="64"/>
  <c r="K640" i="64"/>
  <c r="K639" i="64"/>
  <c r="K638" i="64"/>
  <c r="K637" i="64"/>
  <c r="K636" i="64"/>
  <c r="K635" i="64"/>
  <c r="K634" i="64"/>
  <c r="K633" i="64"/>
  <c r="K632" i="64"/>
  <c r="K631" i="64"/>
  <c r="K630" i="64"/>
  <c r="K629" i="64"/>
  <c r="K628" i="64"/>
  <c r="K627" i="64"/>
  <c r="K626" i="64"/>
  <c r="K625" i="64"/>
  <c r="K624" i="64"/>
  <c r="K623" i="64"/>
  <c r="K622" i="64"/>
  <c r="K621" i="64"/>
  <c r="K620" i="64"/>
  <c r="K619" i="64"/>
  <c r="K618" i="64"/>
  <c r="K617" i="64"/>
  <c r="K616" i="64"/>
  <c r="K615" i="64"/>
  <c r="K614" i="64"/>
  <c r="K613" i="64"/>
  <c r="K612" i="64"/>
  <c r="K611" i="64"/>
  <c r="K610" i="64"/>
  <c r="K609" i="64"/>
  <c r="K608" i="64"/>
  <c r="K607" i="64"/>
  <c r="K606" i="64"/>
  <c r="K605" i="64"/>
  <c r="K604" i="64"/>
  <c r="K603" i="64"/>
  <c r="K602" i="64"/>
  <c r="K601" i="64"/>
  <c r="K600" i="64"/>
  <c r="K599" i="64"/>
  <c r="K598" i="64"/>
  <c r="K597" i="64"/>
  <c r="K596" i="64"/>
  <c r="K595" i="64"/>
  <c r="K594" i="64"/>
  <c r="K593" i="64"/>
  <c r="K592" i="64"/>
  <c r="K591" i="64"/>
  <c r="K590" i="64"/>
  <c r="K589" i="64"/>
  <c r="K588" i="64"/>
  <c r="K587" i="64"/>
  <c r="K586" i="64"/>
  <c r="K585" i="64"/>
  <c r="K584" i="64"/>
  <c r="K583" i="64"/>
  <c r="K582" i="64"/>
  <c r="K581" i="64"/>
  <c r="K580" i="64"/>
  <c r="K579" i="64"/>
  <c r="K578" i="64"/>
  <c r="K577" i="64"/>
  <c r="K576" i="64"/>
  <c r="K575" i="64"/>
  <c r="K574" i="64"/>
  <c r="K573" i="64"/>
  <c r="K572" i="64"/>
  <c r="K571" i="64"/>
  <c r="K570" i="64"/>
  <c r="K569" i="64"/>
  <c r="K568" i="64"/>
  <c r="K567" i="64"/>
  <c r="K566" i="64"/>
  <c r="K565" i="64"/>
  <c r="K564" i="64"/>
  <c r="K563" i="64"/>
  <c r="K562" i="64"/>
  <c r="K561" i="64"/>
  <c r="K560" i="64"/>
  <c r="K559" i="64"/>
  <c r="K558" i="64"/>
  <c r="K557" i="64"/>
  <c r="K556" i="64"/>
  <c r="K555" i="64"/>
  <c r="K554" i="64"/>
  <c r="K553" i="64"/>
  <c r="K552" i="64"/>
  <c r="K551" i="64"/>
  <c r="K550" i="64"/>
  <c r="K549" i="64"/>
  <c r="K548" i="64"/>
  <c r="K547" i="64"/>
  <c r="K546" i="64"/>
  <c r="K545" i="64"/>
  <c r="K544" i="64"/>
  <c r="K543" i="64"/>
  <c r="K542" i="64"/>
  <c r="K541" i="64"/>
  <c r="K540" i="64"/>
  <c r="K539" i="64"/>
  <c r="K538" i="64"/>
  <c r="K537" i="64"/>
  <c r="K536" i="64"/>
  <c r="K535" i="64"/>
  <c r="K534" i="64"/>
  <c r="K533" i="64"/>
  <c r="K532" i="64"/>
  <c r="K531" i="64"/>
  <c r="K530" i="64"/>
  <c r="K529" i="64"/>
  <c r="K528" i="64"/>
  <c r="K527" i="64"/>
  <c r="K526" i="64"/>
  <c r="K525" i="64"/>
  <c r="K524" i="64"/>
  <c r="K523" i="64"/>
  <c r="K522" i="64"/>
  <c r="K521" i="64"/>
  <c r="K520" i="64"/>
  <c r="K519" i="64"/>
  <c r="K518" i="64"/>
  <c r="K517" i="64"/>
  <c r="K516" i="64"/>
  <c r="K515" i="64"/>
  <c r="K514" i="64"/>
  <c r="K513" i="64"/>
  <c r="K512" i="64"/>
  <c r="K511" i="64"/>
  <c r="K510" i="64"/>
  <c r="K509" i="64"/>
  <c r="K508" i="64"/>
  <c r="K507" i="64"/>
  <c r="K506" i="64"/>
  <c r="K505" i="64"/>
  <c r="K504" i="64"/>
  <c r="K503" i="64"/>
  <c r="K502" i="64"/>
  <c r="K501" i="64"/>
  <c r="K500" i="64"/>
  <c r="K499" i="64"/>
  <c r="K498" i="64"/>
  <c r="K497" i="64"/>
  <c r="K496" i="64"/>
  <c r="K495" i="64"/>
  <c r="K494" i="64"/>
  <c r="K493" i="64"/>
  <c r="K492" i="64"/>
  <c r="K491" i="64"/>
  <c r="K490" i="64"/>
  <c r="K489" i="64"/>
  <c r="K488" i="64"/>
  <c r="K487" i="64"/>
  <c r="K486" i="64"/>
  <c r="K485" i="64"/>
  <c r="K484" i="64"/>
  <c r="K483" i="64"/>
  <c r="K482" i="64"/>
  <c r="K481" i="64"/>
  <c r="K480" i="64"/>
  <c r="K479" i="64"/>
  <c r="K478" i="64"/>
  <c r="K477" i="64"/>
  <c r="K476" i="64"/>
  <c r="K475" i="64"/>
  <c r="K474" i="64"/>
  <c r="K473" i="64"/>
  <c r="K472" i="64"/>
  <c r="K471" i="64"/>
  <c r="K470" i="64"/>
  <c r="K469" i="64"/>
  <c r="K468" i="64"/>
  <c r="K467" i="64"/>
  <c r="K466" i="64"/>
  <c r="K465" i="64"/>
  <c r="K464" i="64"/>
  <c r="K463" i="64"/>
  <c r="K462" i="64"/>
  <c r="K461" i="64"/>
  <c r="K460" i="64"/>
  <c r="K459" i="64"/>
  <c r="K458" i="64"/>
  <c r="K457" i="64"/>
  <c r="K456" i="64"/>
  <c r="K455" i="64"/>
  <c r="K454" i="64"/>
  <c r="K453" i="64"/>
  <c r="K452" i="64"/>
  <c r="K451" i="64"/>
  <c r="K450" i="64"/>
  <c r="K449" i="64"/>
  <c r="K448" i="64"/>
  <c r="K447" i="64"/>
  <c r="K446" i="64"/>
  <c r="K445" i="64"/>
  <c r="K444" i="64"/>
  <c r="K443" i="64"/>
  <c r="K442" i="64"/>
  <c r="K441" i="64"/>
  <c r="K440" i="64"/>
  <c r="K439" i="64"/>
  <c r="K438" i="64"/>
  <c r="K437" i="64"/>
  <c r="K436" i="64"/>
  <c r="K435" i="64"/>
  <c r="K434" i="64"/>
  <c r="K433" i="64"/>
  <c r="K432" i="64"/>
  <c r="K431" i="64"/>
  <c r="K430" i="64"/>
  <c r="K429" i="64"/>
  <c r="K428" i="64"/>
  <c r="K427" i="64"/>
  <c r="K426" i="64"/>
  <c r="K425" i="64"/>
  <c r="K424" i="64"/>
  <c r="K423" i="64"/>
  <c r="K422" i="64"/>
  <c r="K421" i="64"/>
  <c r="K420" i="64"/>
  <c r="K419" i="64"/>
  <c r="K418" i="64"/>
  <c r="K417" i="64"/>
  <c r="K416" i="64"/>
  <c r="K415" i="64"/>
  <c r="K414" i="64"/>
  <c r="K413" i="64"/>
  <c r="K412" i="64"/>
  <c r="K411" i="64"/>
  <c r="K410" i="64"/>
  <c r="K409" i="64"/>
  <c r="K408" i="64"/>
  <c r="K407" i="64"/>
  <c r="K406" i="64"/>
  <c r="K405" i="64"/>
  <c r="K404" i="64"/>
  <c r="K403" i="64"/>
  <c r="K402" i="64"/>
  <c r="K401" i="64"/>
  <c r="K400" i="64"/>
  <c r="K399" i="64"/>
  <c r="K398" i="64"/>
  <c r="K397" i="64"/>
  <c r="K396" i="64"/>
  <c r="K395" i="64"/>
  <c r="K394" i="64"/>
  <c r="K393" i="64"/>
  <c r="K392" i="64"/>
  <c r="K391" i="64"/>
  <c r="K390" i="64"/>
  <c r="K389" i="64"/>
  <c r="K388" i="64"/>
  <c r="K387" i="64"/>
  <c r="K386" i="64"/>
  <c r="K385" i="64"/>
  <c r="K384" i="64"/>
  <c r="K383" i="64"/>
  <c r="K382" i="64"/>
  <c r="K381" i="64"/>
  <c r="K380" i="64"/>
  <c r="K379" i="64"/>
  <c r="K378" i="64"/>
  <c r="K377" i="64"/>
  <c r="K376" i="64"/>
  <c r="K375" i="64"/>
  <c r="K374" i="64"/>
  <c r="K373" i="64"/>
  <c r="K372" i="64"/>
  <c r="K371" i="64"/>
  <c r="K370" i="64"/>
  <c r="K369" i="64"/>
  <c r="K368" i="64"/>
  <c r="K367" i="64"/>
  <c r="K366" i="64"/>
  <c r="K365" i="64"/>
  <c r="K364" i="64"/>
  <c r="K363" i="64"/>
  <c r="K362" i="64"/>
  <c r="K361" i="64"/>
  <c r="K360" i="64"/>
  <c r="K359" i="64"/>
  <c r="K358" i="64"/>
  <c r="K357" i="64"/>
  <c r="K356" i="64"/>
  <c r="K355" i="64"/>
  <c r="K354" i="64"/>
  <c r="K353" i="64"/>
  <c r="K352" i="64"/>
  <c r="K351" i="64"/>
  <c r="K350" i="64"/>
  <c r="K349" i="64"/>
  <c r="K348" i="64"/>
  <c r="K347" i="64"/>
  <c r="K346" i="64"/>
  <c r="K345" i="64"/>
  <c r="K344" i="64"/>
  <c r="K343" i="64"/>
  <c r="K342" i="64"/>
  <c r="K341" i="64"/>
  <c r="K340" i="64"/>
  <c r="K339" i="64"/>
  <c r="K338" i="64"/>
  <c r="K337" i="64"/>
  <c r="K336" i="64"/>
  <c r="K335" i="64"/>
  <c r="K334" i="64"/>
  <c r="K333" i="64"/>
  <c r="K332" i="64"/>
  <c r="K331" i="64"/>
  <c r="K330" i="64"/>
  <c r="K329" i="64"/>
  <c r="K328" i="64"/>
  <c r="K327" i="64"/>
  <c r="K326" i="64"/>
  <c r="K325" i="64"/>
  <c r="K324" i="64"/>
  <c r="K323" i="64"/>
  <c r="K322" i="64"/>
  <c r="K321" i="64"/>
  <c r="K320" i="64"/>
  <c r="K319" i="64"/>
  <c r="K318" i="64"/>
  <c r="K317" i="64"/>
  <c r="K316" i="64"/>
  <c r="K315" i="64"/>
  <c r="K314" i="64"/>
  <c r="K313" i="64"/>
  <c r="K312" i="64"/>
  <c r="K311" i="64"/>
  <c r="K310" i="64"/>
  <c r="K309" i="64"/>
  <c r="K308" i="64"/>
  <c r="K307" i="64"/>
  <c r="K306" i="64"/>
  <c r="K305" i="64"/>
  <c r="K304" i="64"/>
  <c r="K303" i="64"/>
  <c r="K302" i="64"/>
  <c r="K301" i="64"/>
  <c r="K300" i="64"/>
  <c r="K299" i="64"/>
  <c r="K298" i="64"/>
  <c r="K297" i="64"/>
  <c r="K296" i="64"/>
  <c r="K295" i="64"/>
  <c r="K294" i="64"/>
  <c r="K293" i="64"/>
  <c r="K292" i="64"/>
  <c r="K291" i="64"/>
  <c r="K290" i="64"/>
  <c r="K289" i="64"/>
  <c r="K288" i="64"/>
  <c r="K287" i="64"/>
  <c r="K286" i="64"/>
  <c r="K285" i="64"/>
  <c r="K284" i="64"/>
  <c r="K283" i="64"/>
  <c r="K282" i="64"/>
  <c r="K281" i="64"/>
  <c r="K280" i="64"/>
  <c r="K279" i="64"/>
  <c r="K278" i="64"/>
  <c r="K277" i="64"/>
  <c r="K276" i="64"/>
  <c r="K275" i="64"/>
  <c r="K274" i="64"/>
  <c r="K273" i="64"/>
  <c r="K272" i="64"/>
  <c r="K271" i="64"/>
  <c r="K270" i="64"/>
  <c r="K269" i="64"/>
  <c r="K268" i="64"/>
  <c r="K267" i="64"/>
  <c r="K266" i="64"/>
  <c r="K265" i="64"/>
  <c r="K264" i="64"/>
  <c r="K263" i="64"/>
  <c r="K262" i="64"/>
  <c r="K261" i="64"/>
  <c r="K260" i="64"/>
  <c r="K259" i="64"/>
  <c r="K258" i="64"/>
  <c r="K257" i="64"/>
  <c r="K256" i="64"/>
  <c r="K255" i="64"/>
  <c r="K254" i="64"/>
  <c r="K253" i="64"/>
  <c r="K252" i="64"/>
  <c r="K251" i="64"/>
  <c r="K250" i="64"/>
  <c r="K249" i="64"/>
  <c r="K248" i="64"/>
  <c r="K247" i="64"/>
  <c r="K246" i="64"/>
  <c r="K245" i="64"/>
  <c r="K244" i="64"/>
  <c r="K243" i="64"/>
  <c r="K242" i="64"/>
  <c r="K241" i="64"/>
  <c r="K240" i="64"/>
  <c r="K239" i="64"/>
  <c r="K238" i="64"/>
  <c r="K237" i="64"/>
  <c r="K236" i="64"/>
  <c r="K235" i="64"/>
  <c r="K234" i="64"/>
  <c r="K233" i="64"/>
  <c r="K232" i="64"/>
  <c r="K231" i="64"/>
  <c r="K230" i="64"/>
  <c r="K229" i="64"/>
  <c r="K228" i="64"/>
  <c r="K227" i="64"/>
  <c r="K226" i="64"/>
  <c r="K225" i="64"/>
  <c r="K224" i="64"/>
  <c r="K223" i="64"/>
  <c r="K222" i="64"/>
  <c r="K221" i="64"/>
  <c r="K220" i="64"/>
  <c r="K219" i="64"/>
  <c r="K218" i="64"/>
  <c r="K217" i="64"/>
  <c r="K216" i="64"/>
  <c r="K215" i="64"/>
  <c r="K214" i="64"/>
  <c r="K213" i="64"/>
  <c r="K212" i="64"/>
  <c r="K211" i="64"/>
  <c r="K210" i="64"/>
  <c r="K209" i="64"/>
  <c r="K208" i="64"/>
  <c r="K207" i="64"/>
  <c r="K206" i="64"/>
  <c r="K205" i="64"/>
  <c r="K204" i="64"/>
  <c r="K203" i="64"/>
  <c r="K202" i="64"/>
  <c r="K201" i="64"/>
  <c r="K200" i="64"/>
  <c r="K199" i="64"/>
  <c r="K198" i="64"/>
  <c r="K197" i="64"/>
  <c r="K196" i="64"/>
  <c r="K195" i="64"/>
  <c r="K194" i="64"/>
  <c r="K193" i="64"/>
  <c r="K192" i="64"/>
  <c r="K191" i="64"/>
  <c r="K190" i="64"/>
  <c r="K189" i="64"/>
  <c r="K188" i="64"/>
  <c r="K187" i="64"/>
  <c r="K186" i="64"/>
  <c r="K185" i="64"/>
  <c r="K184" i="64"/>
  <c r="K183" i="64"/>
  <c r="K182" i="64"/>
  <c r="K181" i="64"/>
  <c r="K180" i="64"/>
  <c r="K179" i="64"/>
  <c r="K178" i="64"/>
  <c r="K177" i="64"/>
  <c r="K176" i="64"/>
  <c r="K175" i="64"/>
  <c r="K174" i="64"/>
  <c r="K173" i="64"/>
  <c r="K172" i="64"/>
  <c r="K171" i="64"/>
  <c r="K170" i="64"/>
  <c r="K169" i="64"/>
  <c r="K168" i="64"/>
  <c r="K167" i="64"/>
  <c r="K166" i="64"/>
  <c r="K165" i="64"/>
  <c r="K164" i="64"/>
  <c r="K163" i="64"/>
  <c r="K162" i="64"/>
  <c r="K161" i="64"/>
  <c r="K160" i="64"/>
  <c r="K159" i="64"/>
  <c r="K158" i="64"/>
  <c r="K157" i="64"/>
  <c r="K156" i="64"/>
  <c r="K155" i="64"/>
  <c r="K154" i="64"/>
  <c r="K153" i="64"/>
  <c r="K152" i="64"/>
  <c r="K151" i="64"/>
  <c r="K150" i="64"/>
  <c r="K149" i="64"/>
  <c r="K148" i="64"/>
  <c r="K147" i="64"/>
  <c r="K146" i="64"/>
  <c r="K145" i="64"/>
  <c r="K144" i="64"/>
  <c r="K143" i="64"/>
  <c r="K142" i="64"/>
  <c r="K141" i="64"/>
  <c r="K140" i="64"/>
  <c r="K139" i="64"/>
  <c r="K138" i="64"/>
  <c r="K137" i="64"/>
  <c r="K136" i="64"/>
  <c r="K135" i="64"/>
  <c r="K134" i="64"/>
  <c r="K133" i="64"/>
  <c r="K132" i="64"/>
  <c r="K131" i="64"/>
  <c r="K130" i="64"/>
  <c r="K129" i="64"/>
  <c r="K128" i="64"/>
  <c r="K127" i="64"/>
  <c r="K126" i="64"/>
  <c r="K125" i="64"/>
  <c r="K124" i="64"/>
  <c r="K123" i="64"/>
  <c r="K122" i="64"/>
  <c r="K121" i="64"/>
  <c r="K120" i="64"/>
  <c r="K119" i="64"/>
  <c r="K118" i="64"/>
  <c r="K117" i="64"/>
  <c r="K116" i="64"/>
  <c r="K115" i="64"/>
  <c r="K114" i="64"/>
  <c r="K113" i="64"/>
  <c r="K112" i="64"/>
  <c r="K111" i="64"/>
  <c r="K110" i="64"/>
  <c r="K109" i="64"/>
  <c r="K108" i="64"/>
  <c r="K107" i="64"/>
  <c r="K106" i="64"/>
  <c r="K105" i="64"/>
  <c r="K104" i="64"/>
  <c r="K103" i="64"/>
  <c r="K102" i="64"/>
  <c r="K101" i="64"/>
  <c r="K100" i="64"/>
  <c r="K99" i="64"/>
  <c r="K98" i="64"/>
  <c r="K97" i="64"/>
  <c r="K96" i="64"/>
  <c r="K95" i="64"/>
  <c r="K94" i="64"/>
  <c r="K93" i="64"/>
  <c r="K92" i="64"/>
  <c r="K91" i="64"/>
  <c r="K90" i="64"/>
  <c r="K89" i="64"/>
  <c r="K88" i="64"/>
  <c r="K87" i="64"/>
  <c r="K86" i="64"/>
  <c r="K85" i="64"/>
  <c r="K84" i="64"/>
  <c r="K83" i="64"/>
  <c r="K82" i="64"/>
  <c r="K81" i="64"/>
  <c r="K80" i="64"/>
  <c r="K79" i="64"/>
  <c r="K78" i="64"/>
  <c r="K77" i="64"/>
  <c r="K76" i="64"/>
  <c r="K75" i="64"/>
  <c r="K74" i="64"/>
  <c r="K73" i="64"/>
  <c r="K72" i="64"/>
  <c r="K71" i="64"/>
  <c r="K70" i="64"/>
  <c r="K69" i="64"/>
  <c r="K68" i="64"/>
  <c r="K67" i="64"/>
  <c r="K66" i="64"/>
  <c r="K65" i="64"/>
  <c r="K64" i="64"/>
  <c r="K63" i="64"/>
  <c r="K62" i="64"/>
  <c r="K61" i="64"/>
  <c r="K60" i="64"/>
  <c r="K59" i="64"/>
  <c r="K58" i="64"/>
  <c r="K57" i="64"/>
  <c r="K56" i="64"/>
  <c r="K55" i="64"/>
  <c r="K54" i="64"/>
  <c r="K53" i="64"/>
  <c r="K52" i="64"/>
  <c r="K51" i="64"/>
  <c r="K50" i="64"/>
  <c r="K49" i="64"/>
  <c r="K48" i="64"/>
  <c r="K47" i="64"/>
  <c r="K46" i="64"/>
  <c r="K45" i="64"/>
  <c r="K44" i="64"/>
  <c r="K43" i="64"/>
  <c r="K42" i="64"/>
  <c r="K41" i="64"/>
  <c r="K40" i="64"/>
  <c r="K39" i="64"/>
  <c r="K38" i="64"/>
  <c r="K37" i="64"/>
  <c r="K36" i="64"/>
  <c r="K35" i="64"/>
  <c r="K34" i="64"/>
  <c r="K33" i="64"/>
  <c r="K32" i="64"/>
  <c r="K31" i="64"/>
  <c r="K30" i="64"/>
  <c r="K29" i="64"/>
  <c r="K28" i="64"/>
  <c r="K27" i="64"/>
  <c r="K26" i="64"/>
  <c r="K25" i="64"/>
  <c r="K24" i="64"/>
  <c r="K23" i="64"/>
  <c r="K22" i="64"/>
  <c r="K21" i="64"/>
  <c r="K20" i="64"/>
  <c r="K19" i="64"/>
  <c r="K18" i="64"/>
  <c r="K17" i="64"/>
  <c r="K16" i="64"/>
  <c r="K15" i="64"/>
  <c r="K14" i="64"/>
  <c r="K13" i="64"/>
  <c r="K12" i="64"/>
  <c r="K11" i="64"/>
  <c r="K10" i="64"/>
  <c r="K9" i="64"/>
  <c r="K8" i="64"/>
  <c r="K7" i="64"/>
  <c r="K6" i="64"/>
  <c r="K5" i="64"/>
  <c r="K4" i="64"/>
  <c r="K3" i="64"/>
  <c r="K2" i="64"/>
  <c r="L3" i="53"/>
  <c r="L4" i="53"/>
  <c r="L5" i="53"/>
  <c r="L6" i="53"/>
  <c r="L7" i="53"/>
  <c r="L8" i="53"/>
  <c r="L9" i="53"/>
  <c r="L2" i="53"/>
  <c r="AT15" i="2"/>
  <c r="B14" i="62"/>
  <c r="C14" i="62" s="1"/>
  <c r="B12" i="2"/>
  <c r="C16" i="8"/>
  <c r="F25" i="7"/>
  <c r="G25" i="7" s="1"/>
  <c r="H25" i="7" s="1"/>
  <c r="H36" i="63"/>
  <c r="H37" i="63"/>
  <c r="H38" i="63"/>
  <c r="H39" i="63"/>
  <c r="H40" i="63"/>
  <c r="H41" i="63"/>
  <c r="H42" i="63"/>
  <c r="H43" i="63"/>
  <c r="H44" i="63"/>
  <c r="H35" i="63"/>
  <c r="C21" i="63"/>
  <c r="D21" i="63"/>
  <c r="E21" i="63"/>
  <c r="F21" i="63"/>
  <c r="G21" i="63"/>
  <c r="H21" i="63"/>
  <c r="I21" i="63"/>
  <c r="B21" i="63"/>
  <c r="C20" i="63"/>
  <c r="D20" i="63"/>
  <c r="E20" i="63"/>
  <c r="F20" i="63"/>
  <c r="G20" i="63"/>
  <c r="H20" i="63"/>
  <c r="I20" i="63"/>
  <c r="B20" i="63"/>
  <c r="AA7" i="50"/>
  <c r="Y7" i="50"/>
  <c r="W7" i="50"/>
  <c r="U7" i="50"/>
  <c r="R7" i="50"/>
  <c r="P7" i="50"/>
  <c r="N7" i="50"/>
  <c r="L7" i="50"/>
  <c r="J7" i="50"/>
  <c r="H7" i="50"/>
  <c r="K25" i="63"/>
  <c r="K24" i="63"/>
  <c r="K23" i="63"/>
  <c r="K22" i="63"/>
  <c r="K19" i="63"/>
  <c r="K18" i="63"/>
  <c r="K17" i="63"/>
  <c r="K16" i="63"/>
  <c r="K15" i="63"/>
  <c r="K14" i="63"/>
  <c r="K13" i="63"/>
  <c r="K12" i="63"/>
  <c r="K11" i="63"/>
  <c r="K10" i="63"/>
  <c r="K9" i="63"/>
  <c r="K8" i="63"/>
  <c r="K7" i="63"/>
  <c r="K6" i="63"/>
  <c r="K5" i="63"/>
  <c r="K4" i="63"/>
  <c r="K3" i="63"/>
  <c r="K2" i="63"/>
  <c r="P171" i="42"/>
  <c r="P172" i="42"/>
  <c r="O179" i="42"/>
  <c r="N178" i="42"/>
  <c r="O178" i="42" s="1"/>
  <c r="N177" i="42"/>
  <c r="O177" i="42" s="1"/>
  <c r="N176" i="42"/>
  <c r="O176" i="42" s="1"/>
  <c r="N175" i="42"/>
  <c r="O175" i="42" s="1"/>
  <c r="N174" i="42"/>
  <c r="O174" i="42" s="1"/>
  <c r="N173" i="42"/>
  <c r="O173" i="42" s="1"/>
  <c r="N172" i="42"/>
  <c r="O172" i="42" s="1"/>
  <c r="N171" i="42"/>
  <c r="O171" i="42" s="1"/>
  <c r="N170" i="42"/>
  <c r="O170" i="42" s="1"/>
  <c r="N169" i="42"/>
  <c r="O169" i="42" s="1"/>
  <c r="P169" i="42" s="1"/>
  <c r="N168" i="42"/>
  <c r="O168" i="42" s="1"/>
  <c r="P168" i="42" s="1"/>
  <c r="L179" i="42"/>
  <c r="L178" i="42"/>
  <c r="L177" i="42"/>
  <c r="L176" i="42"/>
  <c r="L175" i="42"/>
  <c r="L174" i="42"/>
  <c r="L173" i="42"/>
  <c r="L172" i="42"/>
  <c r="L171" i="42"/>
  <c r="L170" i="42"/>
  <c r="L169" i="42"/>
  <c r="L168" i="42"/>
  <c r="I14" i="62"/>
  <c r="H15" i="62"/>
  <c r="I15" i="62" s="1"/>
  <c r="J15" i="62" s="1"/>
  <c r="E14" i="62"/>
  <c r="H14" i="62"/>
  <c r="F14" i="62"/>
  <c r="D14" i="62"/>
  <c r="AA6" i="50"/>
  <c r="AA5" i="50"/>
  <c r="Y6" i="50"/>
  <c r="Y5" i="50"/>
  <c r="W6" i="50"/>
  <c r="W5" i="50"/>
  <c r="U6" i="50"/>
  <c r="U5" i="50"/>
  <c r="AB5" i="50" s="1"/>
  <c r="R6" i="50"/>
  <c r="R5" i="50"/>
  <c r="P6" i="50"/>
  <c r="P5" i="50"/>
  <c r="N6" i="50"/>
  <c r="N5" i="50"/>
  <c r="L6" i="50"/>
  <c r="L5" i="50"/>
  <c r="J6" i="50"/>
  <c r="J5" i="50"/>
  <c r="H6" i="50"/>
  <c r="H5" i="50"/>
  <c r="E6" i="50"/>
  <c r="C6" i="50"/>
  <c r="C5" i="50"/>
  <c r="AC5" i="50" s="1"/>
  <c r="K21" i="63" l="1"/>
  <c r="AB7" i="50"/>
  <c r="S7" i="50"/>
  <c r="K14" i="62"/>
  <c r="AB6" i="50"/>
  <c r="S5" i="50"/>
  <c r="AC6" i="50"/>
  <c r="S6" i="50"/>
  <c r="F5" i="50"/>
  <c r="F6" i="50"/>
  <c r="F7" i="7" l="1"/>
  <c r="G64" i="48" l="1"/>
  <c r="L14" i="41" l="1"/>
  <c r="Q14" i="41" s="1"/>
  <c r="P140" i="38"/>
  <c r="D140" i="45" s="1"/>
  <c r="L48" i="45" s="1"/>
  <c r="C140" i="40"/>
  <c r="D140" i="40"/>
  <c r="E140" i="40"/>
  <c r="F140" i="40"/>
  <c r="G140" i="40"/>
  <c r="H140" i="40"/>
  <c r="I140" i="40"/>
  <c r="K140" i="40"/>
  <c r="C141" i="40"/>
  <c r="D141" i="40"/>
  <c r="E141" i="40"/>
  <c r="F141" i="40"/>
  <c r="G141" i="40"/>
  <c r="H141" i="40"/>
  <c r="I141" i="40"/>
  <c r="J141" i="40"/>
  <c r="K141" i="40"/>
  <c r="C142" i="40"/>
  <c r="E142" i="40"/>
  <c r="F142" i="40"/>
  <c r="G142" i="40"/>
  <c r="H142" i="40"/>
  <c r="I142" i="40"/>
  <c r="J142" i="40"/>
  <c r="K142" i="40"/>
  <c r="C143" i="40"/>
  <c r="D143" i="40"/>
  <c r="E143" i="40"/>
  <c r="F143" i="40"/>
  <c r="G143" i="40"/>
  <c r="H143" i="40"/>
  <c r="I143" i="40"/>
  <c r="J143" i="40"/>
  <c r="K143" i="40"/>
  <c r="C144" i="40"/>
  <c r="E144" i="40"/>
  <c r="F144" i="40"/>
  <c r="G144" i="40"/>
  <c r="H144" i="40"/>
  <c r="I144" i="40"/>
  <c r="J144" i="40"/>
  <c r="K144" i="40"/>
  <c r="C145" i="40"/>
  <c r="D145" i="40"/>
  <c r="E145" i="40"/>
  <c r="F145" i="40"/>
  <c r="G145" i="40"/>
  <c r="H145" i="40"/>
  <c r="I145" i="40"/>
  <c r="J145" i="40"/>
  <c r="K145" i="40"/>
  <c r="J10" i="53"/>
  <c r="H10" i="53"/>
  <c r="I10" i="53"/>
  <c r="E10" i="53"/>
  <c r="F10" i="53"/>
  <c r="G10" i="53"/>
  <c r="D10" i="53"/>
  <c r="C10" i="53"/>
  <c r="B10" i="53"/>
  <c r="J140" i="40" l="1"/>
  <c r="E140" i="45"/>
  <c r="M48" i="45" s="1"/>
  <c r="K10" i="53"/>
  <c r="O14" i="41"/>
  <c r="N14" i="41"/>
  <c r="D145" i="38"/>
  <c r="G144" i="38"/>
  <c r="D144" i="40" s="1"/>
  <c r="G142" i="38"/>
  <c r="D142" i="40" s="1"/>
  <c r="D144" i="38"/>
  <c r="D143" i="38"/>
  <c r="D142" i="38"/>
  <c r="D141" i="38"/>
  <c r="C141" i="45" s="1"/>
  <c r="D140" i="38"/>
  <c r="C140" i="45" s="1"/>
  <c r="C145" i="45" l="1"/>
  <c r="C142" i="45"/>
  <c r="K48" i="45" s="1"/>
  <c r="C143" i="45"/>
  <c r="C144" i="45"/>
  <c r="L10" i="53"/>
  <c r="K12" i="53"/>
  <c r="B140" i="40"/>
  <c r="L140" i="40" s="1"/>
  <c r="G37" i="66"/>
  <c r="H37" i="66" s="1"/>
  <c r="I37" i="66" s="1"/>
  <c r="B141" i="40"/>
  <c r="L141" i="40" s="1"/>
  <c r="G38" i="66"/>
  <c r="H38" i="66" s="1"/>
  <c r="I38" i="66" s="1"/>
  <c r="B142" i="40"/>
  <c r="L142" i="40" s="1"/>
  <c r="G39" i="66"/>
  <c r="H39" i="66" s="1"/>
  <c r="I39" i="66" s="1"/>
  <c r="B143" i="40"/>
  <c r="L143" i="40" s="1"/>
  <c r="G40" i="66"/>
  <c r="H40" i="66" s="1"/>
  <c r="I40" i="66" s="1"/>
  <c r="B144" i="40"/>
  <c r="L144" i="40" s="1"/>
  <c r="G41" i="66"/>
  <c r="H41" i="66" s="1"/>
  <c r="I41" i="66" s="1"/>
  <c r="B145" i="40"/>
  <c r="L145" i="40" s="1"/>
  <c r="G42" i="66"/>
  <c r="K49" i="45" l="1"/>
  <c r="C57" i="55"/>
  <c r="D57" i="55"/>
  <c r="E57" i="55"/>
  <c r="F57" i="55"/>
  <c r="G57" i="55"/>
  <c r="K57" i="55"/>
  <c r="P57" i="55"/>
  <c r="C58" i="55"/>
  <c r="D58" i="55"/>
  <c r="E58" i="55"/>
  <c r="F58" i="55"/>
  <c r="G58" i="55"/>
  <c r="K58" i="55"/>
  <c r="C59" i="55"/>
  <c r="D59" i="55"/>
  <c r="E59" i="55"/>
  <c r="F59" i="55"/>
  <c r="G59" i="55"/>
  <c r="K59" i="55"/>
  <c r="C60" i="55"/>
  <c r="D60" i="55"/>
  <c r="E60" i="55"/>
  <c r="F60" i="55"/>
  <c r="G60" i="55"/>
  <c r="K60" i="55"/>
  <c r="P60" i="55"/>
  <c r="C61" i="55"/>
  <c r="D61" i="55"/>
  <c r="E61" i="55"/>
  <c r="G61" i="55"/>
  <c r="K61" i="55"/>
  <c r="P61" i="55"/>
  <c r="E13" i="7"/>
  <c r="F21" i="7"/>
  <c r="G21" i="7" s="1"/>
  <c r="H21" i="7" s="1"/>
  <c r="F22" i="7"/>
  <c r="G22" i="7" s="1"/>
  <c r="H22" i="7" s="1"/>
  <c r="F23" i="7"/>
  <c r="G23" i="7" s="1"/>
  <c r="H23" i="7" s="1"/>
  <c r="F24" i="7"/>
  <c r="G24" i="7" s="1"/>
  <c r="H24" i="7" s="1"/>
  <c r="F11" i="47"/>
  <c r="G50" i="48"/>
  <c r="G51" i="48"/>
  <c r="G52" i="48"/>
  <c r="G53" i="48"/>
  <c r="G54" i="48"/>
  <c r="G55" i="48"/>
  <c r="G56" i="48"/>
  <c r="G57" i="48"/>
  <c r="G58" i="48"/>
  <c r="G59" i="48"/>
  <c r="G60" i="48"/>
  <c r="G61" i="48"/>
  <c r="G62" i="48"/>
  <c r="G63" i="48"/>
  <c r="L12" i="2" l="1"/>
  <c r="N12" i="2" s="1"/>
  <c r="R58" i="55"/>
  <c r="R59" i="55"/>
  <c r="Q60" i="55"/>
  <c r="R60" i="55"/>
  <c r="Q61" i="55"/>
  <c r="R61" i="55"/>
  <c r="Q57" i="55"/>
  <c r="R57" i="55"/>
  <c r="P58" i="55"/>
  <c r="Q58" i="55" s="1"/>
  <c r="P59" i="55"/>
  <c r="Q59" i="55" s="1"/>
  <c r="AH2" i="2" l="1"/>
  <c r="AH3" i="2"/>
  <c r="AH4" i="2"/>
  <c r="AH5" i="2"/>
  <c r="AH6" i="2"/>
  <c r="AH7" i="2"/>
  <c r="AH8" i="2"/>
  <c r="AH9" i="2"/>
  <c r="AH10" i="2"/>
  <c r="AG3" i="2"/>
  <c r="AG4" i="2"/>
  <c r="AG5" i="2"/>
  <c r="AG6" i="2"/>
  <c r="AG7" i="2"/>
  <c r="AG8" i="2"/>
  <c r="AG9" i="2"/>
  <c r="AG10" i="2"/>
  <c r="AE2" i="2"/>
  <c r="AE3" i="2"/>
  <c r="AE4" i="2"/>
  <c r="AE5" i="2"/>
  <c r="AE6" i="2"/>
  <c r="AE7" i="2"/>
  <c r="AE8" i="2"/>
  <c r="AE9" i="2"/>
  <c r="AE10" i="2"/>
  <c r="C3" i="2"/>
  <c r="E3" i="2" s="1"/>
  <c r="C4" i="2"/>
  <c r="E4" i="2" s="1"/>
  <c r="C5" i="2"/>
  <c r="E5" i="2" s="1"/>
  <c r="C6" i="2"/>
  <c r="E6" i="2" s="1"/>
  <c r="C7" i="2"/>
  <c r="E7" i="2" s="1"/>
  <c r="C8" i="2"/>
  <c r="C9" i="2"/>
  <c r="C10" i="2"/>
  <c r="C2" i="2"/>
  <c r="E2" i="2" s="1"/>
  <c r="L9" i="61"/>
  <c r="L10" i="61"/>
  <c r="L11" i="61"/>
  <c r="L12" i="61"/>
  <c r="P53" i="55" l="1"/>
  <c r="P54" i="55"/>
  <c r="P55" i="55"/>
  <c r="P56" i="55"/>
  <c r="C53" i="55"/>
  <c r="D53" i="55"/>
  <c r="E53" i="55"/>
  <c r="F53" i="55"/>
  <c r="G53" i="55"/>
  <c r="K53" i="55"/>
  <c r="C54" i="55"/>
  <c r="D54" i="55"/>
  <c r="E54" i="55"/>
  <c r="F54" i="55"/>
  <c r="G54" i="55"/>
  <c r="K54" i="55"/>
  <c r="C55" i="55"/>
  <c r="D55" i="55"/>
  <c r="E55" i="55"/>
  <c r="F55" i="55"/>
  <c r="G55" i="55"/>
  <c r="K55" i="55"/>
  <c r="C56" i="55"/>
  <c r="D56" i="55"/>
  <c r="E56" i="55"/>
  <c r="F56" i="55"/>
  <c r="G56" i="55"/>
  <c r="K56" i="55"/>
  <c r="Q56" i="55" l="1"/>
  <c r="R56" i="55"/>
  <c r="Q53" i="55"/>
  <c r="R53" i="55"/>
  <c r="Q55" i="55"/>
  <c r="R55" i="55"/>
  <c r="Q54" i="55"/>
  <c r="R54" i="55"/>
  <c r="B83" i="22"/>
  <c r="Y83" i="22"/>
  <c r="F83" i="22"/>
  <c r="G83" i="22"/>
  <c r="H83" i="22"/>
  <c r="I83" i="22"/>
  <c r="J83" i="22"/>
  <c r="K83" i="22"/>
  <c r="L83" i="22"/>
  <c r="M83" i="22"/>
  <c r="N83" i="22"/>
  <c r="O83" i="22"/>
  <c r="P83" i="22"/>
  <c r="Q83" i="22"/>
  <c r="R83" i="22"/>
  <c r="S83" i="22"/>
  <c r="T83" i="22"/>
  <c r="U83" i="22"/>
  <c r="V83" i="22"/>
  <c r="W83" i="22"/>
  <c r="X83" i="22"/>
  <c r="T61" i="22"/>
  <c r="U61" i="22"/>
  <c r="V61" i="22"/>
  <c r="W61" i="22"/>
  <c r="X61" i="22"/>
  <c r="Y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B61" i="22"/>
  <c r="F39" i="22"/>
  <c r="D3" i="23" l="1"/>
  <c r="D4" i="23"/>
  <c r="D5" i="23"/>
  <c r="D6" i="23"/>
  <c r="D7" i="23"/>
  <c r="D9" i="23"/>
  <c r="D10" i="23"/>
  <c r="D2" i="23"/>
  <c r="Y84" i="22"/>
  <c r="W84" i="22"/>
  <c r="T84" i="22"/>
  <c r="R84" i="22"/>
  <c r="P84" i="22"/>
  <c r="N84" i="22"/>
  <c r="L84" i="22"/>
  <c r="J84" i="22"/>
  <c r="H84" i="22"/>
  <c r="F84" i="22"/>
  <c r="D84" i="22"/>
  <c r="C12" i="23" s="1"/>
  <c r="B84" i="22"/>
  <c r="E83" i="22"/>
  <c r="D83" i="22"/>
  <c r="C83" i="22"/>
  <c r="D12" i="23" l="1"/>
  <c r="B86" i="22"/>
  <c r="F20" i="7"/>
  <c r="G20" i="7" s="1"/>
  <c r="H20" i="7" s="1"/>
  <c r="F16" i="7"/>
  <c r="G16" i="7" s="1"/>
  <c r="H16" i="7" s="1"/>
  <c r="F17" i="7"/>
  <c r="G17" i="7" s="1"/>
  <c r="H17" i="7" s="1"/>
  <c r="F18" i="7"/>
  <c r="G18" i="7" s="1"/>
  <c r="H18" i="7" s="1"/>
  <c r="G19" i="7"/>
  <c r="H19" i="7" s="1"/>
  <c r="E14" i="60" l="1"/>
  <c r="E13" i="60"/>
  <c r="E12" i="60"/>
  <c r="E11" i="60"/>
  <c r="G11" i="60" s="1"/>
  <c r="E10" i="60"/>
  <c r="G10" i="60" s="1"/>
  <c r="E9" i="60"/>
  <c r="E8" i="60"/>
  <c r="E7" i="60"/>
  <c r="E6" i="60"/>
  <c r="E5" i="60"/>
  <c r="E4" i="60"/>
  <c r="E3" i="60"/>
  <c r="G3" i="60" s="1"/>
  <c r="C14" i="60"/>
  <c r="C13" i="60"/>
  <c r="G13" i="60" s="1"/>
  <c r="C12" i="60"/>
  <c r="G12" i="60" s="1"/>
  <c r="C11" i="60"/>
  <c r="C10" i="60"/>
  <c r="C9" i="60"/>
  <c r="G9" i="60" s="1"/>
  <c r="C8" i="60"/>
  <c r="G8" i="60" s="1"/>
  <c r="C7" i="60"/>
  <c r="C6" i="60"/>
  <c r="C5" i="60"/>
  <c r="G5" i="60" s="1"/>
  <c r="C4" i="60"/>
  <c r="G4" i="60" s="1"/>
  <c r="C3" i="60"/>
  <c r="E2" i="60"/>
  <c r="C2" i="60"/>
  <c r="G6" i="60"/>
  <c r="G7" i="60"/>
  <c r="G14" i="60"/>
  <c r="G2" i="60"/>
  <c r="F3" i="60"/>
  <c r="F4" i="60"/>
  <c r="F5" i="60"/>
  <c r="F6" i="60"/>
  <c r="F7" i="60"/>
  <c r="F8" i="60"/>
  <c r="F9" i="60"/>
  <c r="F10" i="60"/>
  <c r="F11" i="60"/>
  <c r="F12" i="60"/>
  <c r="F13" i="60"/>
  <c r="F2" i="60"/>
  <c r="D14" i="60"/>
  <c r="F14" i="60" s="1"/>
  <c r="P7" i="2" l="1"/>
  <c r="O10" i="2"/>
  <c r="K123" i="40"/>
  <c r="K124" i="40"/>
  <c r="K125" i="40"/>
  <c r="K127" i="40"/>
  <c r="K128" i="40"/>
  <c r="K129" i="40"/>
  <c r="K130" i="40"/>
  <c r="K131" i="40"/>
  <c r="K132" i="40"/>
  <c r="K133" i="40"/>
  <c r="K122" i="40"/>
  <c r="K111" i="40"/>
  <c r="K112" i="40"/>
  <c r="K113" i="40"/>
  <c r="K114" i="40"/>
  <c r="K115" i="40"/>
  <c r="K116" i="40"/>
  <c r="K117" i="40"/>
  <c r="K119" i="40"/>
  <c r="K120" i="40"/>
  <c r="K121" i="40"/>
  <c r="K110" i="40"/>
  <c r="C137" i="40"/>
  <c r="E137" i="40"/>
  <c r="G137" i="40"/>
  <c r="H137" i="40"/>
  <c r="I137" i="40"/>
  <c r="K137" i="40"/>
  <c r="C138" i="40"/>
  <c r="D138" i="40"/>
  <c r="E138" i="40"/>
  <c r="G138" i="40"/>
  <c r="H138" i="40"/>
  <c r="I138" i="40"/>
  <c r="J138" i="40"/>
  <c r="K138" i="40"/>
  <c r="C139" i="40"/>
  <c r="D139" i="40"/>
  <c r="E139" i="40"/>
  <c r="G139" i="40"/>
  <c r="H139" i="40"/>
  <c r="I139" i="40"/>
  <c r="J139" i="40"/>
  <c r="K139" i="40"/>
  <c r="AF3" i="2"/>
  <c r="AF4" i="2"/>
  <c r="AF5" i="2"/>
  <c r="AF6" i="2"/>
  <c r="AF7" i="2"/>
  <c r="AF8" i="2"/>
  <c r="AF9" i="2"/>
  <c r="AF10" i="2"/>
  <c r="AF11" i="2"/>
  <c r="AF2" i="2"/>
  <c r="S81" i="16"/>
  <c r="R81" i="16"/>
  <c r="Q81" i="16"/>
  <c r="V76" i="16"/>
  <c r="Q75" i="16"/>
  <c r="Q76" i="16" s="1"/>
  <c r="R75" i="16"/>
  <c r="S75" i="16"/>
  <c r="T75" i="16"/>
  <c r="U75" i="16"/>
  <c r="V75" i="16"/>
  <c r="R74" i="16"/>
  <c r="R76" i="16" s="1"/>
  <c r="S74" i="16"/>
  <c r="S76" i="16" s="1"/>
  <c r="T74" i="16"/>
  <c r="T76" i="16" s="1"/>
  <c r="U74" i="16"/>
  <c r="U76" i="16" s="1"/>
  <c r="V74" i="16"/>
  <c r="O28" i="14"/>
  <c r="P76" i="16"/>
  <c r="P137" i="38"/>
  <c r="D139" i="38"/>
  <c r="D138" i="38"/>
  <c r="E137" i="45" l="1"/>
  <c r="M47" i="45" s="1"/>
  <c r="D137" i="45"/>
  <c r="L47" i="45" s="1"/>
  <c r="D137" i="40"/>
  <c r="G35" i="66"/>
  <c r="H35" i="66" s="1"/>
  <c r="I35" i="66" s="1"/>
  <c r="G36" i="66"/>
  <c r="H36" i="66" s="1"/>
  <c r="I36" i="66" s="1"/>
  <c r="C139" i="45"/>
  <c r="B138" i="40"/>
  <c r="B139" i="40"/>
  <c r="J137" i="40"/>
  <c r="J15" i="12"/>
  <c r="G15" i="12"/>
  <c r="AH11" i="2"/>
  <c r="AE11" i="2"/>
  <c r="G49" i="48" l="1"/>
  <c r="G48" i="48"/>
  <c r="G45" i="48"/>
  <c r="C2" i="35" l="1"/>
  <c r="C3" i="35"/>
  <c r="C4" i="35"/>
  <c r="C5" i="35"/>
  <c r="C6" i="35"/>
  <c r="C7" i="35"/>
  <c r="C8" i="35"/>
  <c r="C9" i="35"/>
  <c r="D2" i="35"/>
  <c r="D3" i="35"/>
  <c r="D4" i="35"/>
  <c r="D5" i="35"/>
  <c r="D6" i="35"/>
  <c r="D7" i="35"/>
  <c r="D8" i="35"/>
  <c r="D9" i="35"/>
  <c r="E2" i="35"/>
  <c r="E3" i="35"/>
  <c r="E4" i="35"/>
  <c r="E5" i="35"/>
  <c r="E6" i="35"/>
  <c r="E7" i="35"/>
  <c r="E8" i="35"/>
  <c r="E9" i="35"/>
  <c r="F2" i="35"/>
  <c r="F3" i="35"/>
  <c r="F4" i="35"/>
  <c r="F5" i="35"/>
  <c r="F6" i="35"/>
  <c r="F7" i="35"/>
  <c r="F8" i="35"/>
  <c r="F9" i="35"/>
  <c r="G2" i="35"/>
  <c r="G3" i="35"/>
  <c r="G4" i="35"/>
  <c r="G5" i="35"/>
  <c r="G6" i="35"/>
  <c r="G7" i="35"/>
  <c r="G8" i="35"/>
  <c r="G9" i="35"/>
  <c r="H2" i="35"/>
  <c r="H3" i="35"/>
  <c r="H4" i="35"/>
  <c r="H5" i="35"/>
  <c r="H6" i="35"/>
  <c r="H7" i="35"/>
  <c r="H8" i="35"/>
  <c r="H9" i="35"/>
  <c r="I2" i="35"/>
  <c r="I3" i="35"/>
  <c r="I4" i="35"/>
  <c r="I5" i="35"/>
  <c r="I6" i="35"/>
  <c r="I7" i="35"/>
  <c r="I8" i="35"/>
  <c r="I9" i="35"/>
  <c r="J2" i="35"/>
  <c r="J3" i="35"/>
  <c r="J4" i="35"/>
  <c r="J5" i="35"/>
  <c r="J6" i="35"/>
  <c r="J7" i="35"/>
  <c r="J8" i="35"/>
  <c r="J9" i="35"/>
  <c r="K2" i="35"/>
  <c r="K3" i="35"/>
  <c r="K4" i="35"/>
  <c r="K5" i="35"/>
  <c r="K6" i="35"/>
  <c r="K7" i="35"/>
  <c r="K8" i="35"/>
  <c r="K9" i="35"/>
  <c r="P2" i="35"/>
  <c r="L3" i="35"/>
  <c r="P3" i="35" s="1"/>
  <c r="L4" i="35"/>
  <c r="P4" i="35" s="1"/>
  <c r="L5" i="35"/>
  <c r="P5" i="35" s="1"/>
  <c r="L6" i="35"/>
  <c r="P6" i="35" s="1"/>
  <c r="L7" i="35"/>
  <c r="P7" i="35" s="1"/>
  <c r="L8" i="35"/>
  <c r="P8" i="35" s="1"/>
  <c r="L9" i="35"/>
  <c r="P9" i="35" s="1"/>
  <c r="J168" i="42"/>
  <c r="J169" i="42"/>
  <c r="D170" i="42"/>
  <c r="E170" i="42" s="1"/>
  <c r="F169" i="42"/>
  <c r="G169" i="42" s="1"/>
  <c r="D169" i="42"/>
  <c r="E169" i="42" s="1"/>
  <c r="B169" i="42"/>
  <c r="C169" i="42" s="1"/>
  <c r="D168" i="42"/>
  <c r="E168" i="42" s="1"/>
  <c r="G168" i="42"/>
  <c r="I168" i="42"/>
  <c r="I169" i="42"/>
  <c r="I170" i="42"/>
  <c r="J170" i="42" s="1"/>
  <c r="P170" i="42" s="1"/>
  <c r="I171" i="42"/>
  <c r="I172" i="42"/>
  <c r="I173" i="42"/>
  <c r="J173" i="42" s="1"/>
  <c r="P173" i="42" s="1"/>
  <c r="I174" i="42"/>
  <c r="I175" i="42"/>
  <c r="I176" i="42"/>
  <c r="I177" i="42"/>
  <c r="I178" i="42"/>
  <c r="I179" i="42"/>
  <c r="P179" i="42" s="1"/>
  <c r="F42" i="66" s="1"/>
  <c r="G170" i="42"/>
  <c r="G171" i="42"/>
  <c r="G172" i="42"/>
  <c r="G173" i="42"/>
  <c r="G174" i="42"/>
  <c r="G175" i="42"/>
  <c r="G176" i="42"/>
  <c r="G177" i="42"/>
  <c r="G178" i="42"/>
  <c r="G179" i="42"/>
  <c r="E171" i="42"/>
  <c r="E172" i="42"/>
  <c r="E173" i="42"/>
  <c r="E174" i="42"/>
  <c r="E175" i="42"/>
  <c r="E176" i="42"/>
  <c r="E177" i="42"/>
  <c r="E178" i="42"/>
  <c r="E179" i="42"/>
  <c r="C168" i="42"/>
  <c r="C170" i="42"/>
  <c r="C171" i="42"/>
  <c r="C172" i="42"/>
  <c r="C173" i="42"/>
  <c r="C174" i="42"/>
  <c r="C175" i="42"/>
  <c r="C176" i="42"/>
  <c r="C177" i="42"/>
  <c r="H42" i="66" l="1"/>
  <c r="M5" i="35"/>
  <c r="M8" i="35"/>
  <c r="M6" i="35"/>
  <c r="M4" i="35"/>
  <c r="M9" i="35"/>
  <c r="M3" i="35"/>
  <c r="M7" i="35"/>
  <c r="M2" i="35"/>
  <c r="J178" i="42"/>
  <c r="P178" i="42" s="1"/>
  <c r="J177" i="42"/>
  <c r="P177" i="42" s="1"/>
  <c r="J176" i="42"/>
  <c r="P176" i="42" s="1"/>
  <c r="J175" i="42"/>
  <c r="P175" i="42" s="1"/>
  <c r="J174" i="42"/>
  <c r="P174" i="42" s="1"/>
  <c r="D137" i="38"/>
  <c r="I15" i="12"/>
  <c r="AG11" i="2" s="1"/>
  <c r="G34" i="66" l="1"/>
  <c r="H34" i="66" s="1"/>
  <c r="I34" i="66" s="1"/>
  <c r="Q7" i="35"/>
  <c r="O7" i="35"/>
  <c r="Q3" i="35"/>
  <c r="O3" i="35"/>
  <c r="Q9" i="35"/>
  <c r="O9" i="35"/>
  <c r="Q4" i="35"/>
  <c r="O4" i="35"/>
  <c r="Q6" i="35"/>
  <c r="O6" i="35"/>
  <c r="Q8" i="35"/>
  <c r="O8" i="35"/>
  <c r="Q5" i="35"/>
  <c r="O5" i="35"/>
  <c r="Q2" i="35"/>
  <c r="O2" i="35"/>
  <c r="B137" i="40"/>
  <c r="J2" i="18" l="1"/>
  <c r="J3" i="18"/>
  <c r="J4" i="18"/>
  <c r="J5" i="18"/>
  <c r="J6" i="18"/>
  <c r="J7" i="18"/>
  <c r="J8" i="18"/>
  <c r="J9" i="18"/>
  <c r="H10" i="18"/>
  <c r="G10" i="18"/>
  <c r="F10" i="18"/>
  <c r="E10" i="18"/>
  <c r="D10" i="18"/>
  <c r="C10" i="18"/>
  <c r="J20" i="16"/>
  <c r="J21" i="16"/>
  <c r="J19" i="16"/>
  <c r="J18" i="16"/>
  <c r="J27" i="16"/>
  <c r="J41" i="16"/>
  <c r="B40" i="16"/>
  <c r="B39" i="16"/>
  <c r="B38" i="16"/>
  <c r="B10" i="18" s="1"/>
  <c r="J10" i="18" l="1"/>
  <c r="L10" i="35"/>
  <c r="P10" i="35" s="1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5" i="40"/>
  <c r="C126" i="40"/>
  <c r="C127" i="40"/>
  <c r="C128" i="40"/>
  <c r="C129" i="40"/>
  <c r="C130" i="40"/>
  <c r="C131" i="40"/>
  <c r="C132" i="40"/>
  <c r="C133" i="40"/>
  <c r="C134" i="40"/>
  <c r="C135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64" i="40"/>
  <c r="B65" i="40"/>
  <c r="B66" i="40"/>
  <c r="B67" i="40"/>
  <c r="B68" i="40"/>
  <c r="B69" i="40"/>
  <c r="B70" i="40"/>
  <c r="B71" i="40"/>
  <c r="B72" i="40"/>
  <c r="B73" i="40"/>
  <c r="B75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89" i="40"/>
  <c r="B90" i="40"/>
  <c r="B91" i="40"/>
  <c r="B92" i="40"/>
  <c r="B93" i="40"/>
  <c r="B94" i="40"/>
  <c r="B95" i="40"/>
  <c r="B96" i="40"/>
  <c r="B97" i="40"/>
  <c r="B98" i="40"/>
  <c r="B99" i="40"/>
  <c r="B100" i="40"/>
  <c r="B101" i="40"/>
  <c r="B102" i="40"/>
  <c r="B103" i="40"/>
  <c r="B104" i="40"/>
  <c r="B105" i="40"/>
  <c r="B106" i="40"/>
  <c r="B107" i="40"/>
  <c r="B108" i="40"/>
  <c r="B109" i="40"/>
  <c r="B110" i="40"/>
  <c r="B111" i="40"/>
  <c r="B112" i="40"/>
  <c r="B113" i="40"/>
  <c r="B114" i="40"/>
  <c r="B115" i="40"/>
  <c r="B116" i="40"/>
  <c r="B117" i="40"/>
  <c r="B118" i="40"/>
  <c r="B119" i="40"/>
  <c r="B120" i="40"/>
  <c r="B121" i="40"/>
  <c r="B128" i="40"/>
  <c r="B130" i="40"/>
  <c r="B131" i="40"/>
  <c r="B132" i="40"/>
  <c r="B133" i="40"/>
  <c r="B135" i="40"/>
  <c r="D41" i="40"/>
  <c r="D45" i="40"/>
  <c r="D52" i="40"/>
  <c r="D56" i="40"/>
  <c r="D57" i="40"/>
  <c r="D60" i="40"/>
  <c r="D61" i="40"/>
  <c r="D73" i="40"/>
  <c r="D75" i="40"/>
  <c r="D80" i="40"/>
  <c r="D81" i="40"/>
  <c r="D82" i="40"/>
  <c r="D83" i="40"/>
  <c r="D101" i="40"/>
  <c r="D104" i="40"/>
  <c r="D106" i="40"/>
  <c r="D110" i="40"/>
  <c r="D112" i="40"/>
  <c r="D114" i="40"/>
  <c r="D115" i="40"/>
  <c r="D117" i="40"/>
  <c r="D120" i="40"/>
  <c r="D121" i="40"/>
  <c r="D132" i="40"/>
  <c r="D133" i="40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G135" i="40"/>
  <c r="G134" i="40"/>
  <c r="G133" i="40"/>
  <c r="G132" i="40"/>
  <c r="G131" i="40"/>
  <c r="G130" i="40"/>
  <c r="G129" i="40"/>
  <c r="G128" i="40"/>
  <c r="G121" i="40"/>
  <c r="G120" i="40"/>
  <c r="G119" i="40"/>
  <c r="G118" i="40"/>
  <c r="G117" i="40"/>
  <c r="G116" i="40"/>
  <c r="G115" i="40"/>
  <c r="G114" i="40"/>
  <c r="G113" i="40"/>
  <c r="G112" i="40"/>
  <c r="G111" i="40"/>
  <c r="G110" i="40"/>
  <c r="G109" i="40"/>
  <c r="G108" i="40"/>
  <c r="G107" i="40"/>
  <c r="G106" i="40"/>
  <c r="G105" i="40"/>
  <c r="G104" i="40"/>
  <c r="G103" i="40"/>
  <c r="G102" i="40"/>
  <c r="G101" i="40"/>
  <c r="G100" i="40"/>
  <c r="G99" i="40"/>
  <c r="G98" i="40"/>
  <c r="G97" i="40"/>
  <c r="G96" i="40"/>
  <c r="G95" i="40"/>
  <c r="G94" i="40"/>
  <c r="G93" i="40"/>
  <c r="G92" i="40"/>
  <c r="G91" i="40"/>
  <c r="G90" i="40"/>
  <c r="G89" i="40"/>
  <c r="G88" i="40"/>
  <c r="G87" i="40"/>
  <c r="G86" i="40"/>
  <c r="G85" i="40"/>
  <c r="G84" i="40"/>
  <c r="G83" i="40"/>
  <c r="G82" i="40"/>
  <c r="G81" i="40"/>
  <c r="G80" i="40"/>
  <c r="G79" i="40"/>
  <c r="G78" i="40"/>
  <c r="G77" i="40"/>
  <c r="G75" i="40"/>
  <c r="G74" i="40"/>
  <c r="G73" i="40"/>
  <c r="G72" i="40"/>
  <c r="G71" i="40"/>
  <c r="G70" i="40"/>
  <c r="G67" i="40"/>
  <c r="G66" i="40"/>
  <c r="G65" i="40"/>
  <c r="G64" i="40"/>
  <c r="G63" i="40"/>
  <c r="G62" i="40"/>
  <c r="G61" i="40"/>
  <c r="G60" i="40"/>
  <c r="G59" i="40"/>
  <c r="G58" i="40"/>
  <c r="G57" i="40"/>
  <c r="G56" i="40"/>
  <c r="G55" i="40"/>
  <c r="G54" i="40"/>
  <c r="G53" i="40"/>
  <c r="G52" i="40"/>
  <c r="G51" i="40"/>
  <c r="G50" i="40"/>
  <c r="G49" i="40"/>
  <c r="G48" i="40"/>
  <c r="G47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G34" i="40"/>
  <c r="G33" i="40"/>
  <c r="G32" i="40"/>
  <c r="G31" i="40"/>
  <c r="G30" i="40"/>
  <c r="G29" i="40"/>
  <c r="G28" i="40"/>
  <c r="G27" i="40"/>
  <c r="G26" i="40"/>
  <c r="G25" i="40"/>
  <c r="G24" i="40"/>
  <c r="G23" i="40"/>
  <c r="G22" i="40"/>
  <c r="G21" i="40"/>
  <c r="G20" i="40"/>
  <c r="G19" i="40"/>
  <c r="G18" i="40"/>
  <c r="G17" i="40"/>
  <c r="G16" i="40"/>
  <c r="G15" i="40"/>
  <c r="G14" i="40"/>
  <c r="G13" i="40"/>
  <c r="G12" i="40"/>
  <c r="G11" i="40"/>
  <c r="G10" i="40"/>
  <c r="G9" i="40"/>
  <c r="G8" i="40"/>
  <c r="G7" i="40"/>
  <c r="G6" i="40"/>
  <c r="G5" i="40"/>
  <c r="G2" i="40"/>
  <c r="G3" i="40"/>
  <c r="G4" i="40"/>
  <c r="H2" i="40"/>
  <c r="H3" i="40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H80" i="40"/>
  <c r="H81" i="40"/>
  <c r="H82" i="40"/>
  <c r="H83" i="40"/>
  <c r="H84" i="40"/>
  <c r="H85" i="40"/>
  <c r="H86" i="40"/>
  <c r="H87" i="40"/>
  <c r="H88" i="40"/>
  <c r="H89" i="40"/>
  <c r="H90" i="40"/>
  <c r="H91" i="40"/>
  <c r="H92" i="40"/>
  <c r="H93" i="40"/>
  <c r="H94" i="40"/>
  <c r="H95" i="40"/>
  <c r="H96" i="40"/>
  <c r="H97" i="40"/>
  <c r="H98" i="40"/>
  <c r="H99" i="40"/>
  <c r="H100" i="40"/>
  <c r="H101" i="40"/>
  <c r="H102" i="40"/>
  <c r="H103" i="40"/>
  <c r="H104" i="40"/>
  <c r="H105" i="40"/>
  <c r="H106" i="40"/>
  <c r="H107" i="40"/>
  <c r="H108" i="40"/>
  <c r="H109" i="40"/>
  <c r="H110" i="40"/>
  <c r="H111" i="40"/>
  <c r="H112" i="40"/>
  <c r="H113" i="40"/>
  <c r="H114" i="40"/>
  <c r="H115" i="40"/>
  <c r="H116" i="40"/>
  <c r="H117" i="40"/>
  <c r="H118" i="40"/>
  <c r="H119" i="40"/>
  <c r="H120" i="40"/>
  <c r="H121" i="40"/>
  <c r="H122" i="40"/>
  <c r="H123" i="40"/>
  <c r="H124" i="40"/>
  <c r="H125" i="40"/>
  <c r="H126" i="40"/>
  <c r="H128" i="40"/>
  <c r="H129" i="40"/>
  <c r="H130" i="40"/>
  <c r="H131" i="40"/>
  <c r="H132" i="40"/>
  <c r="H133" i="40"/>
  <c r="H134" i="40"/>
  <c r="H135" i="40"/>
  <c r="I2" i="40"/>
  <c r="I3" i="40"/>
  <c r="I4" i="40"/>
  <c r="I5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I127" i="40"/>
  <c r="I128" i="40"/>
  <c r="I129" i="40"/>
  <c r="I130" i="40"/>
  <c r="I131" i="40"/>
  <c r="I132" i="40"/>
  <c r="I133" i="40"/>
  <c r="I134" i="40"/>
  <c r="I135" i="40"/>
  <c r="J1" i="40"/>
  <c r="J2" i="40"/>
  <c r="J3" i="40"/>
  <c r="J4" i="40"/>
  <c r="J5" i="4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35" i="40"/>
  <c r="J36" i="40"/>
  <c r="J37" i="40"/>
  <c r="J38" i="40"/>
  <c r="J39" i="40"/>
  <c r="J40" i="40"/>
  <c r="J41" i="40"/>
  <c r="J42" i="40"/>
  <c r="J43" i="40"/>
  <c r="J44" i="40"/>
  <c r="J45" i="40"/>
  <c r="J46" i="40"/>
  <c r="J47" i="40"/>
  <c r="J48" i="40"/>
  <c r="J49" i="40"/>
  <c r="J50" i="40"/>
  <c r="J51" i="40"/>
  <c r="J52" i="40"/>
  <c r="J53" i="40"/>
  <c r="J54" i="40"/>
  <c r="J55" i="40"/>
  <c r="J56" i="40"/>
  <c r="J57" i="40"/>
  <c r="J58" i="40"/>
  <c r="J59" i="40"/>
  <c r="J60" i="40"/>
  <c r="J61" i="40"/>
  <c r="J62" i="40"/>
  <c r="J64" i="40"/>
  <c r="J67" i="40"/>
  <c r="J69" i="40"/>
  <c r="J70" i="40"/>
  <c r="J71" i="40"/>
  <c r="J73" i="40"/>
  <c r="J74" i="40"/>
  <c r="J75" i="40"/>
  <c r="J77" i="40"/>
  <c r="J78" i="40"/>
  <c r="J80" i="40"/>
  <c r="J81" i="40"/>
  <c r="J82" i="40"/>
  <c r="J83" i="40"/>
  <c r="J86" i="40"/>
  <c r="J88" i="40"/>
  <c r="J91" i="40"/>
  <c r="J92" i="40"/>
  <c r="J94" i="40"/>
  <c r="J95" i="40"/>
  <c r="J97" i="40"/>
  <c r="J98" i="40"/>
  <c r="J99" i="40"/>
  <c r="J100" i="40"/>
  <c r="J101" i="40"/>
  <c r="J104" i="40"/>
  <c r="J106" i="40"/>
  <c r="J110" i="40"/>
  <c r="J112" i="40"/>
  <c r="J114" i="40"/>
  <c r="J115" i="40"/>
  <c r="J117" i="40"/>
  <c r="J118" i="40"/>
  <c r="J120" i="40"/>
  <c r="J121" i="40"/>
  <c r="J122" i="40"/>
  <c r="J132" i="40"/>
  <c r="J133" i="40"/>
  <c r="K37" i="40"/>
  <c r="K38" i="40"/>
  <c r="K39" i="40"/>
  <c r="K41" i="40"/>
  <c r="K45" i="40"/>
  <c r="K52" i="40"/>
  <c r="K56" i="40"/>
  <c r="K57" i="40"/>
  <c r="K61" i="40"/>
  <c r="K63" i="40"/>
  <c r="K65" i="40"/>
  <c r="K72" i="40"/>
  <c r="K80" i="40"/>
  <c r="K81" i="40"/>
  <c r="K82" i="40"/>
  <c r="K83" i="40"/>
  <c r="K87" i="40"/>
  <c r="K93" i="40"/>
  <c r="K101" i="40"/>
  <c r="K104" i="40"/>
  <c r="K106" i="40"/>
  <c r="K108" i="40"/>
  <c r="K109" i="40"/>
  <c r="K134" i="40"/>
  <c r="K135" i="40"/>
  <c r="B14" i="41" l="1"/>
  <c r="G14" i="41"/>
  <c r="G10" i="35" s="1"/>
  <c r="I14" i="41"/>
  <c r="I10" i="35" s="1"/>
  <c r="H14" i="41"/>
  <c r="H10" i="35" s="1"/>
  <c r="E14" i="41"/>
  <c r="E10" i="35" s="1"/>
  <c r="C14" i="41"/>
  <c r="C10" i="35" s="1"/>
  <c r="C76" i="49"/>
  <c r="D76" i="49"/>
  <c r="F76" i="49"/>
  <c r="G76" i="49"/>
  <c r="H76" i="49"/>
  <c r="I76" i="49"/>
  <c r="J76" i="49"/>
  <c r="K76" i="49"/>
  <c r="L76" i="49"/>
  <c r="M76" i="49"/>
  <c r="B76" i="49"/>
  <c r="C75" i="49"/>
  <c r="D75" i="49"/>
  <c r="E75" i="49"/>
  <c r="F75" i="49"/>
  <c r="G75" i="49"/>
  <c r="H75" i="49"/>
  <c r="I75" i="49"/>
  <c r="J75" i="49"/>
  <c r="K75" i="49"/>
  <c r="L75" i="49"/>
  <c r="M75" i="49"/>
  <c r="B75" i="49"/>
  <c r="C74" i="49"/>
  <c r="D74" i="49"/>
  <c r="F74" i="49"/>
  <c r="G74" i="49"/>
  <c r="H74" i="49"/>
  <c r="I74" i="49"/>
  <c r="J74" i="49"/>
  <c r="K74" i="49"/>
  <c r="L74" i="49"/>
  <c r="M74" i="49"/>
  <c r="B74" i="49"/>
  <c r="T14" i="36"/>
  <c r="T15" i="36"/>
  <c r="T16" i="36"/>
  <c r="P15" i="36"/>
  <c r="P16" i="36"/>
  <c r="AZ77" i="46"/>
  <c r="AZ76" i="46"/>
  <c r="AZ75" i="46"/>
  <c r="AF76" i="46"/>
  <c r="AF77" i="46" s="1"/>
  <c r="AG77" i="46"/>
  <c r="AH77" i="46"/>
  <c r="AI77" i="46"/>
  <c r="AJ77" i="46"/>
  <c r="AK77" i="46"/>
  <c r="AL77" i="46"/>
  <c r="AM77" i="46"/>
  <c r="AN77" i="46"/>
  <c r="AO77" i="46"/>
  <c r="AP77" i="46"/>
  <c r="AQ77" i="46"/>
  <c r="AR77" i="46"/>
  <c r="AS77" i="46"/>
  <c r="AT77" i="46"/>
  <c r="AU77" i="46"/>
  <c r="AV77" i="46"/>
  <c r="AW77" i="46"/>
  <c r="AX77" i="46"/>
  <c r="AY77" i="46"/>
  <c r="AE77" i="46"/>
  <c r="AG76" i="46"/>
  <c r="AH76" i="46"/>
  <c r="AI76" i="46"/>
  <c r="AJ76" i="46"/>
  <c r="AK76" i="46"/>
  <c r="AL76" i="46"/>
  <c r="AM76" i="46"/>
  <c r="AN76" i="46"/>
  <c r="AO76" i="46"/>
  <c r="AP76" i="46"/>
  <c r="AQ76" i="46"/>
  <c r="AR76" i="46"/>
  <c r="AS76" i="46"/>
  <c r="AT76" i="46"/>
  <c r="AU76" i="46"/>
  <c r="AV76" i="46"/>
  <c r="AW76" i="46"/>
  <c r="AX76" i="46"/>
  <c r="AY76" i="46"/>
  <c r="AF75" i="46"/>
  <c r="AG75" i="46"/>
  <c r="AH75" i="46"/>
  <c r="AI75" i="46"/>
  <c r="AJ75" i="46"/>
  <c r="AK75" i="46"/>
  <c r="AL75" i="46"/>
  <c r="AM75" i="46"/>
  <c r="AN75" i="46"/>
  <c r="AO75" i="46"/>
  <c r="AP75" i="46"/>
  <c r="AQ75" i="46"/>
  <c r="AR75" i="46"/>
  <c r="AS75" i="46"/>
  <c r="AT75" i="46"/>
  <c r="AU75" i="46"/>
  <c r="AV75" i="46"/>
  <c r="AW75" i="46"/>
  <c r="AX75" i="46"/>
  <c r="AY75" i="46"/>
  <c r="AE76" i="46"/>
  <c r="AE75" i="46"/>
  <c r="M71" i="49"/>
  <c r="M72" i="49"/>
  <c r="M73" i="49"/>
  <c r="L71" i="49"/>
  <c r="L72" i="49"/>
  <c r="L73" i="49"/>
  <c r="K71" i="49"/>
  <c r="K72" i="49"/>
  <c r="K73" i="49"/>
  <c r="J71" i="49"/>
  <c r="J72" i="49"/>
  <c r="J73" i="49"/>
  <c r="I71" i="49"/>
  <c r="I72" i="49"/>
  <c r="I73" i="49"/>
  <c r="H71" i="49"/>
  <c r="H72" i="49"/>
  <c r="H73" i="49"/>
  <c r="G71" i="49"/>
  <c r="G72" i="49"/>
  <c r="G73" i="49"/>
  <c r="F71" i="49"/>
  <c r="F72" i="49"/>
  <c r="F73" i="49"/>
  <c r="E71" i="49"/>
  <c r="E72" i="49"/>
  <c r="E73" i="49"/>
  <c r="D71" i="49"/>
  <c r="D72" i="49"/>
  <c r="D73" i="49"/>
  <c r="C71" i="49"/>
  <c r="C72" i="49"/>
  <c r="C73" i="49"/>
  <c r="B71" i="49"/>
  <c r="B72" i="49"/>
  <c r="B73" i="49"/>
  <c r="P3" i="55" l="1"/>
  <c r="P4" i="55"/>
  <c r="P5" i="55"/>
  <c r="P6" i="55"/>
  <c r="P7" i="55"/>
  <c r="P8" i="55"/>
  <c r="P9" i="55"/>
  <c r="P10" i="55"/>
  <c r="P11" i="55"/>
  <c r="P12" i="55"/>
  <c r="P13" i="55"/>
  <c r="P14" i="55"/>
  <c r="P15" i="55"/>
  <c r="P16" i="55"/>
  <c r="P17" i="55"/>
  <c r="P18" i="55"/>
  <c r="P19" i="55"/>
  <c r="P20" i="55"/>
  <c r="P21" i="55"/>
  <c r="P22" i="55"/>
  <c r="P23" i="55"/>
  <c r="P24" i="55"/>
  <c r="P25" i="55"/>
  <c r="P26" i="55"/>
  <c r="P27" i="55"/>
  <c r="P28" i="55"/>
  <c r="P29" i="55"/>
  <c r="P30" i="55"/>
  <c r="P31" i="55"/>
  <c r="P32" i="55"/>
  <c r="P33" i="55"/>
  <c r="P34" i="55"/>
  <c r="P35" i="55"/>
  <c r="P36" i="55"/>
  <c r="P37" i="55"/>
  <c r="P38" i="55"/>
  <c r="P39" i="55"/>
  <c r="P40" i="55"/>
  <c r="P41" i="55"/>
  <c r="P42" i="55"/>
  <c r="P43" i="55"/>
  <c r="P44" i="55"/>
  <c r="P45" i="55"/>
  <c r="P46" i="55"/>
  <c r="P47" i="55"/>
  <c r="P48" i="55"/>
  <c r="P49" i="55"/>
  <c r="P50" i="55"/>
  <c r="P51" i="55"/>
  <c r="P52" i="55"/>
  <c r="P2" i="55"/>
  <c r="K3" i="55"/>
  <c r="K4" i="55"/>
  <c r="K5" i="55"/>
  <c r="K6" i="55"/>
  <c r="K7" i="55"/>
  <c r="K8" i="55"/>
  <c r="K9" i="55"/>
  <c r="K10" i="55"/>
  <c r="K11" i="55"/>
  <c r="K12" i="55"/>
  <c r="K13" i="55"/>
  <c r="K14" i="55"/>
  <c r="K15" i="55"/>
  <c r="K16" i="55"/>
  <c r="K17" i="55"/>
  <c r="K18" i="55"/>
  <c r="K19" i="55"/>
  <c r="K20" i="55"/>
  <c r="K21" i="55"/>
  <c r="K22" i="55"/>
  <c r="K23" i="55"/>
  <c r="K24" i="55"/>
  <c r="K25" i="55"/>
  <c r="K26" i="55"/>
  <c r="K27" i="55"/>
  <c r="K28" i="55"/>
  <c r="K29" i="55"/>
  <c r="K30" i="55"/>
  <c r="K31" i="55"/>
  <c r="K32" i="55"/>
  <c r="K33" i="55"/>
  <c r="K34" i="55"/>
  <c r="K35" i="55"/>
  <c r="K36" i="55"/>
  <c r="K37" i="55"/>
  <c r="K38" i="55"/>
  <c r="K39" i="55"/>
  <c r="K40" i="55"/>
  <c r="K41" i="55"/>
  <c r="K42" i="55"/>
  <c r="K43" i="55"/>
  <c r="K44" i="55"/>
  <c r="K45" i="55"/>
  <c r="K46" i="55"/>
  <c r="K47" i="55"/>
  <c r="K48" i="55"/>
  <c r="K49" i="55"/>
  <c r="K50" i="55"/>
  <c r="K51" i="55"/>
  <c r="K52" i="55"/>
  <c r="K2" i="55"/>
  <c r="G3" i="55"/>
  <c r="G4" i="55"/>
  <c r="G5" i="55"/>
  <c r="G6" i="55"/>
  <c r="G7" i="55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1" i="55"/>
  <c r="G32" i="55"/>
  <c r="G33" i="55"/>
  <c r="G34" i="55"/>
  <c r="G35" i="55"/>
  <c r="G36" i="55"/>
  <c r="G37" i="55"/>
  <c r="G38" i="55"/>
  <c r="G39" i="55"/>
  <c r="G40" i="55"/>
  <c r="G41" i="55"/>
  <c r="G42" i="55"/>
  <c r="G43" i="55"/>
  <c r="G44" i="55"/>
  <c r="G45" i="55"/>
  <c r="G46" i="55"/>
  <c r="G47" i="55"/>
  <c r="G48" i="55"/>
  <c r="G49" i="55"/>
  <c r="G50" i="55"/>
  <c r="G51" i="55"/>
  <c r="G52" i="55"/>
  <c r="G2" i="55"/>
  <c r="F3" i="55"/>
  <c r="F4" i="55"/>
  <c r="F5" i="55"/>
  <c r="F6" i="55"/>
  <c r="F7" i="55"/>
  <c r="F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40" i="55"/>
  <c r="F41" i="55"/>
  <c r="F42" i="55"/>
  <c r="F43" i="55"/>
  <c r="F44" i="55"/>
  <c r="F45" i="55"/>
  <c r="F46" i="55"/>
  <c r="F47" i="55"/>
  <c r="F48" i="55"/>
  <c r="F49" i="55"/>
  <c r="F50" i="55"/>
  <c r="F51" i="55"/>
  <c r="F52" i="55"/>
  <c r="F2" i="55"/>
  <c r="E3" i="55"/>
  <c r="E4" i="55"/>
  <c r="E5" i="55"/>
  <c r="E6" i="55"/>
  <c r="E7" i="55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E41" i="55"/>
  <c r="E42" i="55"/>
  <c r="E43" i="55"/>
  <c r="E44" i="55"/>
  <c r="E45" i="55"/>
  <c r="E46" i="55"/>
  <c r="E47" i="55"/>
  <c r="E48" i="55"/>
  <c r="E49" i="55"/>
  <c r="E50" i="55"/>
  <c r="E51" i="55"/>
  <c r="E52" i="55"/>
  <c r="E2" i="55"/>
  <c r="C52" i="55"/>
  <c r="D52" i="55"/>
  <c r="C50" i="55"/>
  <c r="C51" i="55"/>
  <c r="D3" i="55"/>
  <c r="D4" i="55"/>
  <c r="D5" i="55"/>
  <c r="D6" i="55"/>
  <c r="D7" i="55"/>
  <c r="D8" i="55"/>
  <c r="D9" i="55"/>
  <c r="D10" i="55"/>
  <c r="D11" i="55"/>
  <c r="D12" i="55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39" i="55"/>
  <c r="D40" i="55"/>
  <c r="D41" i="55"/>
  <c r="D42" i="55"/>
  <c r="D43" i="55"/>
  <c r="D44" i="55"/>
  <c r="D45" i="55"/>
  <c r="D46" i="55"/>
  <c r="D47" i="55"/>
  <c r="D48" i="55"/>
  <c r="D49" i="55"/>
  <c r="D50" i="55"/>
  <c r="D51" i="55"/>
  <c r="D2" i="55"/>
  <c r="C3" i="55"/>
  <c r="C4" i="55"/>
  <c r="C5" i="55"/>
  <c r="C6" i="55"/>
  <c r="C7" i="55"/>
  <c r="C8" i="55"/>
  <c r="C9" i="55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4" i="55"/>
  <c r="C25" i="55"/>
  <c r="C26" i="55"/>
  <c r="C27" i="55"/>
  <c r="C28" i="55"/>
  <c r="C29" i="55"/>
  <c r="C30" i="55"/>
  <c r="C31" i="55"/>
  <c r="C32" i="55"/>
  <c r="C33" i="55"/>
  <c r="C34" i="55"/>
  <c r="C35" i="55"/>
  <c r="C36" i="55"/>
  <c r="C37" i="55"/>
  <c r="C38" i="55"/>
  <c r="C39" i="55"/>
  <c r="C40" i="55"/>
  <c r="C41" i="55"/>
  <c r="C42" i="55"/>
  <c r="C43" i="55"/>
  <c r="C44" i="55"/>
  <c r="C45" i="55"/>
  <c r="C46" i="55"/>
  <c r="C47" i="55"/>
  <c r="C48" i="55"/>
  <c r="C49" i="55"/>
  <c r="C2" i="55"/>
  <c r="H11" i="18"/>
  <c r="G11" i="18"/>
  <c r="E11" i="18"/>
  <c r="F11" i="18"/>
  <c r="C11" i="18"/>
  <c r="D11" i="18"/>
  <c r="B11" i="18"/>
  <c r="Q47" i="55" l="1"/>
  <c r="Q39" i="55"/>
  <c r="R17" i="55"/>
  <c r="Q46" i="55"/>
  <c r="Q14" i="55"/>
  <c r="R41" i="55"/>
  <c r="R9" i="55"/>
  <c r="Q22" i="55"/>
  <c r="R25" i="55"/>
  <c r="Q38" i="55"/>
  <c r="Q6" i="55"/>
  <c r="Q30" i="55"/>
  <c r="R49" i="55"/>
  <c r="R43" i="55"/>
  <c r="R35" i="55"/>
  <c r="R27" i="55"/>
  <c r="R19" i="55"/>
  <c r="R11" i="55"/>
  <c r="R3" i="55"/>
  <c r="Q49" i="55"/>
  <c r="Q41" i="55"/>
  <c r="Q33" i="55"/>
  <c r="Q25" i="55"/>
  <c r="Q17" i="55"/>
  <c r="Q9" i="55"/>
  <c r="R2" i="55"/>
  <c r="R42" i="55"/>
  <c r="R34" i="55"/>
  <c r="R26" i="55"/>
  <c r="R18" i="55"/>
  <c r="R10" i="55"/>
  <c r="Q48" i="55"/>
  <c r="Q40" i="55"/>
  <c r="Q32" i="55"/>
  <c r="Q24" i="55"/>
  <c r="Q16" i="55"/>
  <c r="Q8" i="55"/>
  <c r="Q31" i="55"/>
  <c r="Q23" i="55"/>
  <c r="Q15" i="55"/>
  <c r="Q7" i="55"/>
  <c r="R33" i="55"/>
  <c r="R48" i="55"/>
  <c r="R16" i="55"/>
  <c r="Q51" i="55"/>
  <c r="R51" i="55"/>
  <c r="R31" i="55"/>
  <c r="R7" i="55"/>
  <c r="Q37" i="55"/>
  <c r="Q29" i="55"/>
  <c r="Q21" i="55"/>
  <c r="Q13" i="55"/>
  <c r="R46" i="55"/>
  <c r="R22" i="55"/>
  <c r="Q44" i="55"/>
  <c r="Q36" i="55"/>
  <c r="Q28" i="55"/>
  <c r="Q20" i="55"/>
  <c r="Q12" i="55"/>
  <c r="Q4" i="55"/>
  <c r="R32" i="55"/>
  <c r="R8" i="55"/>
  <c r="R39" i="55"/>
  <c r="R15" i="55"/>
  <c r="Q45" i="55"/>
  <c r="R30" i="55"/>
  <c r="R14" i="55"/>
  <c r="R45" i="55"/>
  <c r="R29" i="55"/>
  <c r="R13" i="55"/>
  <c r="Q52" i="55"/>
  <c r="R52" i="55"/>
  <c r="Q43" i="55"/>
  <c r="Q35" i="55"/>
  <c r="Q27" i="55"/>
  <c r="Q19" i="55"/>
  <c r="Q11" i="55"/>
  <c r="Q3" i="55"/>
  <c r="R40" i="55"/>
  <c r="R24" i="55"/>
  <c r="R47" i="55"/>
  <c r="R23" i="55"/>
  <c r="R50" i="55"/>
  <c r="Q2" i="55"/>
  <c r="Q5" i="55"/>
  <c r="R38" i="55"/>
  <c r="R6" i="55"/>
  <c r="R37" i="55"/>
  <c r="R21" i="55"/>
  <c r="R5" i="55"/>
  <c r="R44" i="55"/>
  <c r="R36" i="55"/>
  <c r="R28" i="55"/>
  <c r="R20" i="55"/>
  <c r="R12" i="55"/>
  <c r="R4" i="55"/>
  <c r="Q50" i="55"/>
  <c r="Q42" i="55"/>
  <c r="Q34" i="55"/>
  <c r="Q26" i="55"/>
  <c r="Q18" i="55"/>
  <c r="Q10" i="55"/>
  <c r="K13" i="61"/>
  <c r="D13" i="61"/>
  <c r="E13" i="61"/>
  <c r="C13" i="61"/>
  <c r="F13" i="61"/>
  <c r="G13" i="61"/>
  <c r="P13" i="61"/>
  <c r="D12" i="61"/>
  <c r="D10" i="61"/>
  <c r="E9" i="61"/>
  <c r="K10" i="61"/>
  <c r="K12" i="61"/>
  <c r="G11" i="61"/>
  <c r="C11" i="61"/>
  <c r="E12" i="61"/>
  <c r="E10" i="61"/>
  <c r="M11" i="61"/>
  <c r="P9" i="61"/>
  <c r="B11" i="61"/>
  <c r="F9" i="61"/>
  <c r="M12" i="61"/>
  <c r="B10" i="61"/>
  <c r="D11" i="61"/>
  <c r="K11" i="61"/>
  <c r="M9" i="61"/>
  <c r="C9" i="61"/>
  <c r="F10" i="61"/>
  <c r="P11" i="61"/>
  <c r="E11" i="61"/>
  <c r="M10" i="61"/>
  <c r="G12" i="61"/>
  <c r="G10" i="61"/>
  <c r="K9" i="61"/>
  <c r="D9" i="61"/>
  <c r="F12" i="61"/>
  <c r="B9" i="61"/>
  <c r="C12" i="61"/>
  <c r="C10" i="61"/>
  <c r="F11" i="61"/>
  <c r="G9" i="61"/>
  <c r="P12" i="61"/>
  <c r="P10" i="61"/>
  <c r="B12" i="61"/>
  <c r="J29" i="16"/>
  <c r="J30" i="16"/>
  <c r="J31" i="16"/>
  <c r="J32" i="16"/>
  <c r="J33" i="16"/>
  <c r="J34" i="16"/>
  <c r="J35" i="16"/>
  <c r="J36" i="16"/>
  <c r="J37" i="16"/>
  <c r="J26" i="16"/>
  <c r="J28" i="16"/>
  <c r="J24" i="16"/>
  <c r="J25" i="16"/>
  <c r="J23" i="16"/>
  <c r="J6" i="16"/>
  <c r="J7" i="16"/>
  <c r="J8" i="16"/>
  <c r="J9" i="16"/>
  <c r="J10" i="16"/>
  <c r="J11" i="16"/>
  <c r="J12" i="16"/>
  <c r="J13" i="16"/>
  <c r="J14" i="16"/>
  <c r="J5" i="16"/>
  <c r="R11" i="61" l="1"/>
  <c r="R10" i="61"/>
  <c r="R13" i="61"/>
  <c r="R12" i="61"/>
  <c r="Q9" i="61"/>
  <c r="R9" i="61" s="1"/>
  <c r="Q12" i="61"/>
  <c r="Q13" i="61"/>
  <c r="D20" i="61" s="1"/>
  <c r="Q10" i="61"/>
  <c r="Q11" i="61"/>
  <c r="E10" i="2"/>
  <c r="E9" i="2"/>
  <c r="E8" i="2"/>
  <c r="K136" i="40"/>
  <c r="K16" i="41" s="1"/>
  <c r="K12" i="35" s="1"/>
  <c r="I136" i="40"/>
  <c r="H136" i="40"/>
  <c r="G136" i="40"/>
  <c r="E136" i="40"/>
  <c r="C136" i="40"/>
  <c r="B136" i="40"/>
  <c r="B17" i="41" s="1"/>
  <c r="G134" i="45"/>
  <c r="G135" i="45"/>
  <c r="G136" i="45"/>
  <c r="H16" i="41" l="1"/>
  <c r="H12" i="35" s="1"/>
  <c r="H17" i="41"/>
  <c r="H13" i="35" s="1"/>
  <c r="G16" i="41"/>
  <c r="G12" i="35" s="1"/>
  <c r="G17" i="41"/>
  <c r="G13" i="35" s="1"/>
  <c r="I16" i="41"/>
  <c r="I12" i="35" s="1"/>
  <c r="I17" i="41"/>
  <c r="I13" i="35" s="1"/>
  <c r="G148" i="45"/>
  <c r="B13" i="35"/>
  <c r="C16" i="41"/>
  <c r="C12" i="35" s="1"/>
  <c r="C14" i="35" s="1"/>
  <c r="C17" i="41"/>
  <c r="C13" i="35" s="1"/>
  <c r="E16" i="41"/>
  <c r="E12" i="35" s="1"/>
  <c r="E17" i="41"/>
  <c r="E13" i="35" s="1"/>
  <c r="F20" i="61"/>
  <c r="J20" i="61"/>
  <c r="M20" i="61"/>
  <c r="L20" i="61"/>
  <c r="B20" i="61"/>
  <c r="K20" i="61"/>
  <c r="C20" i="61"/>
  <c r="G20" i="61"/>
  <c r="E20" i="61"/>
  <c r="N20" i="61"/>
  <c r="K12" i="2"/>
  <c r="M5" i="65"/>
  <c r="N5" i="65" s="1"/>
  <c r="D12" i="2"/>
  <c r="O46" i="45"/>
  <c r="P136" i="38"/>
  <c r="B136" i="38"/>
  <c r="P135" i="38"/>
  <c r="P134" i="38"/>
  <c r="B135" i="38"/>
  <c r="B134" i="38"/>
  <c r="Q14" i="36" l="1"/>
  <c r="D134" i="45"/>
  <c r="Q15" i="36"/>
  <c r="D135" i="45"/>
  <c r="Q16" i="36"/>
  <c r="D136" i="45"/>
  <c r="C138" i="45"/>
  <c r="D136" i="40"/>
  <c r="D134" i="40"/>
  <c r="C135" i="45"/>
  <c r="C136" i="45"/>
  <c r="C137" i="45"/>
  <c r="D135" i="40"/>
  <c r="L16" i="41"/>
  <c r="J134" i="40"/>
  <c r="J135" i="40"/>
  <c r="R16" i="36"/>
  <c r="J136" i="40"/>
  <c r="E136" i="45"/>
  <c r="O14" i="36"/>
  <c r="B134" i="45"/>
  <c r="O15" i="36"/>
  <c r="B135" i="45"/>
  <c r="R14" i="36"/>
  <c r="E134" i="45"/>
  <c r="R15" i="36"/>
  <c r="E135" i="45"/>
  <c r="O16" i="36"/>
  <c r="B136" i="45"/>
  <c r="B12" i="18"/>
  <c r="G42" i="48"/>
  <c r="G43" i="48"/>
  <c r="G44" i="48"/>
  <c r="G3" i="48"/>
  <c r="G4" i="48"/>
  <c r="G5" i="48"/>
  <c r="G6" i="48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G34" i="48"/>
  <c r="G35" i="48"/>
  <c r="G36" i="48"/>
  <c r="G37" i="48"/>
  <c r="G38" i="48"/>
  <c r="G39" i="48"/>
  <c r="G40" i="48"/>
  <c r="G41" i="48"/>
  <c r="G2" i="48"/>
  <c r="D17" i="41" l="1"/>
  <c r="D13" i="35" s="1"/>
  <c r="K47" i="45"/>
  <c r="L46" i="45"/>
  <c r="D148" i="45"/>
  <c r="D16" i="41"/>
  <c r="D12" i="35" s="1"/>
  <c r="E148" i="45"/>
  <c r="B148" i="45"/>
  <c r="J17" i="41"/>
  <c r="J13" i="35" s="1"/>
  <c r="N16" i="41"/>
  <c r="O16" i="41"/>
  <c r="L12" i="35"/>
  <c r="J16" i="41"/>
  <c r="J12" i="35" s="1"/>
  <c r="M46" i="45"/>
  <c r="J46" i="45"/>
  <c r="B3" i="14"/>
  <c r="C3" i="14"/>
  <c r="D3" i="14"/>
  <c r="E3" i="14"/>
  <c r="F3" i="14"/>
  <c r="G3" i="14"/>
  <c r="H3" i="14"/>
  <c r="I3" i="14"/>
  <c r="B4" i="14"/>
  <c r="C4" i="14"/>
  <c r="D4" i="14"/>
  <c r="E4" i="14"/>
  <c r="F4" i="14"/>
  <c r="G4" i="14"/>
  <c r="H4" i="14"/>
  <c r="I4" i="14"/>
  <c r="B5" i="14"/>
  <c r="C5" i="14"/>
  <c r="D5" i="14"/>
  <c r="E5" i="14"/>
  <c r="F5" i="14"/>
  <c r="G5" i="14"/>
  <c r="H5" i="14"/>
  <c r="I5" i="14"/>
  <c r="B6" i="14"/>
  <c r="C6" i="14"/>
  <c r="D6" i="14"/>
  <c r="E6" i="14"/>
  <c r="F6" i="14"/>
  <c r="G6" i="14"/>
  <c r="H6" i="14"/>
  <c r="I6" i="14"/>
  <c r="B7" i="14"/>
  <c r="C7" i="14"/>
  <c r="D7" i="14"/>
  <c r="E7" i="14"/>
  <c r="F7" i="14"/>
  <c r="G7" i="14"/>
  <c r="H7" i="14"/>
  <c r="I7" i="14"/>
  <c r="B8" i="14"/>
  <c r="C8" i="14"/>
  <c r="D8" i="14"/>
  <c r="E8" i="14"/>
  <c r="F8" i="14"/>
  <c r="G8" i="14"/>
  <c r="H8" i="14"/>
  <c r="I8" i="14"/>
  <c r="B9" i="14"/>
  <c r="C9" i="14"/>
  <c r="D9" i="14"/>
  <c r="E9" i="14"/>
  <c r="F9" i="14"/>
  <c r="G9" i="14"/>
  <c r="H9" i="14"/>
  <c r="I9" i="14"/>
  <c r="B10" i="14"/>
  <c r="C10" i="14"/>
  <c r="D10" i="14"/>
  <c r="E10" i="14"/>
  <c r="F10" i="14"/>
  <c r="G10" i="14"/>
  <c r="H10" i="14"/>
  <c r="I10" i="14"/>
  <c r="B11" i="14"/>
  <c r="D11" i="14"/>
  <c r="E11" i="14"/>
  <c r="F11" i="14"/>
  <c r="G11" i="14"/>
  <c r="H11" i="14"/>
  <c r="I11" i="14"/>
  <c r="B12" i="14"/>
  <c r="A4" i="14"/>
  <c r="A5" i="14"/>
  <c r="A6" i="14"/>
  <c r="A7" i="14"/>
  <c r="A8" i="14"/>
  <c r="A9" i="14"/>
  <c r="A10" i="14"/>
  <c r="A11" i="14"/>
  <c r="A12" i="14"/>
  <c r="A13" i="14"/>
  <c r="A3" i="14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I13" i="18"/>
  <c r="I13" i="14" s="1"/>
  <c r="G13" i="18"/>
  <c r="G13" i="14" s="1"/>
  <c r="I12" i="18"/>
  <c r="I12" i="14" s="1"/>
  <c r="G12" i="18"/>
  <c r="G12" i="14" s="1"/>
  <c r="P12" i="35" l="1"/>
  <c r="R12" i="35"/>
  <c r="W75" i="16"/>
  <c r="J6" i="14"/>
  <c r="K6" i="14" s="1"/>
  <c r="J3" i="14"/>
  <c r="K3" i="14" s="1"/>
  <c r="J8" i="14"/>
  <c r="K8" i="14" s="1"/>
  <c r="J5" i="14"/>
  <c r="K5" i="14" s="1"/>
  <c r="J4" i="14"/>
  <c r="K4" i="14" s="1"/>
  <c r="J9" i="14"/>
  <c r="K9" i="14" s="1"/>
  <c r="J7" i="14"/>
  <c r="K7" i="14" s="1"/>
  <c r="J10" i="14"/>
  <c r="K10" i="14" s="1"/>
  <c r="J11" i="14"/>
  <c r="B16" i="66" l="1"/>
  <c r="K11" i="14"/>
  <c r="H13" i="18"/>
  <c r="H13" i="14" s="1"/>
  <c r="C13" i="18"/>
  <c r="C13" i="14" s="1"/>
  <c r="D13" i="18"/>
  <c r="D13" i="14" s="1"/>
  <c r="E13" i="18"/>
  <c r="E13" i="14" s="1"/>
  <c r="F13" i="18"/>
  <c r="F13" i="14" s="1"/>
  <c r="B13" i="18"/>
  <c r="E16" i="8"/>
  <c r="D16" i="8"/>
  <c r="F14" i="7"/>
  <c r="G14" i="7" s="1"/>
  <c r="H14" i="7" s="1"/>
  <c r="F15" i="7"/>
  <c r="G15" i="7" s="1"/>
  <c r="H15" i="7" s="1"/>
  <c r="E12" i="7"/>
  <c r="E11" i="7"/>
  <c r="E10" i="7"/>
  <c r="E9" i="7"/>
  <c r="E8" i="7"/>
  <c r="E7" i="7"/>
  <c r="E6" i="7"/>
  <c r="E5" i="7"/>
  <c r="E4" i="7"/>
  <c r="E3" i="7"/>
  <c r="E2" i="7"/>
  <c r="F2" i="7" s="1"/>
  <c r="F9" i="47"/>
  <c r="G10" i="47" l="1"/>
  <c r="O5" i="65"/>
  <c r="P5" i="65" s="1"/>
  <c r="Q5" i="65" s="1"/>
  <c r="N8" i="65" s="1"/>
  <c r="I16" i="8"/>
  <c r="D7" i="50"/>
  <c r="E7" i="50" s="1"/>
  <c r="B13" i="14"/>
  <c r="J13" i="14" s="1"/>
  <c r="D16" i="66"/>
  <c r="C16" i="66"/>
  <c r="C12" i="2"/>
  <c r="J13" i="18"/>
  <c r="E12" i="2" l="1"/>
  <c r="F12" i="2" s="1"/>
  <c r="C16" i="12"/>
  <c r="P8" i="65"/>
  <c r="F7" i="50"/>
  <c r="AC7" i="50"/>
  <c r="F14" i="18"/>
  <c r="G14" i="18"/>
  <c r="C14" i="18"/>
  <c r="H14" i="18"/>
  <c r="I14" i="18"/>
  <c r="D14" i="18"/>
  <c r="E14" i="18"/>
  <c r="B14" i="18"/>
  <c r="E16" i="66"/>
  <c r="I16" i="66"/>
  <c r="I17" i="66" s="1"/>
  <c r="D17" i="66"/>
  <c r="C17" i="66"/>
  <c r="B42" i="66"/>
  <c r="K13" i="14"/>
  <c r="D62" i="22"/>
  <c r="C11" i="23" s="1"/>
  <c r="B62" i="22"/>
  <c r="B11" i="23" s="1"/>
  <c r="D11" i="23" s="1"/>
  <c r="C61" i="22"/>
  <c r="D61" i="22"/>
  <c r="E61" i="22"/>
  <c r="Y62" i="22"/>
  <c r="W62" i="22"/>
  <c r="T62" i="22"/>
  <c r="R62" i="22"/>
  <c r="P62" i="22"/>
  <c r="N62" i="22"/>
  <c r="L62" i="22"/>
  <c r="J62" i="22"/>
  <c r="H62" i="22"/>
  <c r="F62" i="22"/>
  <c r="B64" i="22" l="1"/>
  <c r="B16" i="12"/>
  <c r="C9" i="50"/>
  <c r="AB10" i="50"/>
  <c r="S10" i="50"/>
  <c r="E9" i="50"/>
  <c r="G12" i="2"/>
  <c r="L21" i="61"/>
  <c r="M21" i="61"/>
  <c r="D21" i="61"/>
  <c r="C21" i="61"/>
  <c r="N21" i="61"/>
  <c r="K21" i="61"/>
  <c r="J21" i="61"/>
  <c r="G21" i="61"/>
  <c r="F21" i="61"/>
  <c r="B21" i="61"/>
  <c r="E21" i="61"/>
  <c r="E16" i="12"/>
  <c r="D42" i="66"/>
  <c r="C42" i="66"/>
  <c r="E17" i="66"/>
  <c r="J76" i="16"/>
  <c r="J78" i="16"/>
  <c r="J79" i="16"/>
  <c r="J80" i="16"/>
  <c r="J81" i="16"/>
  <c r="J82" i="16"/>
  <c r="J83" i="16"/>
  <c r="J84" i="16"/>
  <c r="J85" i="16"/>
  <c r="J61" i="16"/>
  <c r="J16" i="12" l="1"/>
  <c r="AH12" i="2" s="1"/>
  <c r="AE12" i="2"/>
  <c r="I16" i="12"/>
  <c r="C43" i="66"/>
  <c r="D43" i="66"/>
  <c r="E42" i="66"/>
  <c r="I42" i="66"/>
  <c r="W74" i="16"/>
  <c r="W76" i="16" s="1"/>
  <c r="AT19" i="2"/>
  <c r="R156" i="42"/>
  <c r="Q156" i="42"/>
  <c r="D134" i="38"/>
  <c r="G31" i="66" s="1"/>
  <c r="AE14" i="2" l="1"/>
  <c r="AE13" i="2"/>
  <c r="AG12" i="2"/>
  <c r="AH13" i="2"/>
  <c r="AH14" i="2"/>
  <c r="E43" i="66"/>
  <c r="H31" i="66"/>
  <c r="G43" i="66"/>
  <c r="F139" i="40"/>
  <c r="L139" i="40" s="1"/>
  <c r="F138" i="40"/>
  <c r="L138" i="40" s="1"/>
  <c r="F137" i="40"/>
  <c r="L137" i="40" s="1"/>
  <c r="F134" i="40"/>
  <c r="F136" i="45"/>
  <c r="S16" i="36"/>
  <c r="F136" i="40"/>
  <c r="L136" i="40" s="1"/>
  <c r="F135" i="40"/>
  <c r="S15" i="36"/>
  <c r="F135" i="45"/>
  <c r="B134" i="40"/>
  <c r="S14" i="36"/>
  <c r="F134" i="45"/>
  <c r="P14" i="36"/>
  <c r="C134" i="45"/>
  <c r="C148" i="45" s="1"/>
  <c r="F15" i="12"/>
  <c r="E15" i="12"/>
  <c r="L135" i="40" l="1"/>
  <c r="F17" i="41"/>
  <c r="F148" i="45"/>
  <c r="H148" i="45" s="1"/>
  <c r="AG14" i="2"/>
  <c r="AG13" i="2"/>
  <c r="I31" i="66"/>
  <c r="H43" i="66"/>
  <c r="I43" i="66" s="1"/>
  <c r="L134" i="40"/>
  <c r="B16" i="41"/>
  <c r="B12" i="35" s="1"/>
  <c r="B14" i="35" s="1"/>
  <c r="F16" i="41"/>
  <c r="N46" i="45"/>
  <c r="K46" i="45"/>
  <c r="F13" i="35" l="1"/>
  <c r="F12" i="35"/>
  <c r="D16" i="12"/>
  <c r="M12" i="35"/>
  <c r="O12" i="35" s="1"/>
  <c r="F149" i="45"/>
  <c r="M16" i="41"/>
  <c r="P19" i="35" l="1"/>
  <c r="O19" i="35"/>
  <c r="P16" i="41"/>
  <c r="F16" i="12"/>
  <c r="AF12" i="2"/>
  <c r="Q12" i="35"/>
  <c r="C149" i="45"/>
  <c r="E149" i="45"/>
  <c r="G149" i="45"/>
  <c r="B149" i="45"/>
  <c r="D149" i="45"/>
  <c r="AF13" i="2" l="1"/>
  <c r="AF14" i="2"/>
  <c r="C15" i="8"/>
  <c r="F3" i="7" l="1"/>
  <c r="F4" i="7"/>
  <c r="F5" i="7"/>
  <c r="F6" i="7"/>
  <c r="F8" i="7"/>
  <c r="F9" i="7"/>
  <c r="F10" i="7"/>
  <c r="F11" i="7"/>
  <c r="F12" i="7"/>
  <c r="F13" i="7"/>
  <c r="D14" i="43" l="1"/>
  <c r="L159" i="42"/>
  <c r="C132" i="45"/>
  <c r="E132" i="45"/>
  <c r="E133" i="45"/>
  <c r="G132" i="45"/>
  <c r="G133" i="45"/>
  <c r="D132" i="45"/>
  <c r="D133" i="45"/>
  <c r="B132" i="45"/>
  <c r="B133" i="45"/>
  <c r="G131" i="45"/>
  <c r="B131" i="45"/>
  <c r="G150" i="45" l="1"/>
  <c r="B150" i="45"/>
  <c r="L44" i="16"/>
  <c r="M3" i="49"/>
  <c r="M4" i="49"/>
  <c r="M5" i="49"/>
  <c r="M6" i="49"/>
  <c r="M7" i="49"/>
  <c r="M8" i="49"/>
  <c r="M9" i="49"/>
  <c r="M10" i="49"/>
  <c r="M11" i="49"/>
  <c r="M12" i="49"/>
  <c r="M13" i="49"/>
  <c r="M14" i="49"/>
  <c r="M15" i="49"/>
  <c r="M16" i="49"/>
  <c r="M17" i="49"/>
  <c r="M18" i="49"/>
  <c r="M19" i="49"/>
  <c r="M20" i="49"/>
  <c r="M21" i="49"/>
  <c r="M22" i="49"/>
  <c r="M23" i="49"/>
  <c r="M24" i="49"/>
  <c r="M25" i="49"/>
  <c r="M26" i="49"/>
  <c r="M27" i="49"/>
  <c r="M28" i="49"/>
  <c r="M29" i="49"/>
  <c r="M30" i="49"/>
  <c r="M31" i="49"/>
  <c r="M32" i="49"/>
  <c r="M33" i="49"/>
  <c r="M34" i="49"/>
  <c r="M35" i="49"/>
  <c r="M36" i="49"/>
  <c r="M37" i="49"/>
  <c r="M38" i="49"/>
  <c r="M39" i="49"/>
  <c r="M40" i="49"/>
  <c r="M41" i="49"/>
  <c r="M42" i="49"/>
  <c r="M43" i="49"/>
  <c r="M44" i="49"/>
  <c r="M45" i="49"/>
  <c r="M46" i="49"/>
  <c r="M47" i="49"/>
  <c r="M48" i="49"/>
  <c r="M49" i="49"/>
  <c r="M50" i="49"/>
  <c r="M51" i="49"/>
  <c r="M52" i="49"/>
  <c r="M53" i="49"/>
  <c r="M54" i="49"/>
  <c r="M55" i="49"/>
  <c r="M56" i="49"/>
  <c r="M57" i="49"/>
  <c r="M58" i="49"/>
  <c r="M59" i="49"/>
  <c r="M60" i="49"/>
  <c r="M61" i="49"/>
  <c r="M62" i="49"/>
  <c r="M63" i="49"/>
  <c r="M64" i="49"/>
  <c r="M65" i="49"/>
  <c r="M66" i="49"/>
  <c r="M67" i="49"/>
  <c r="M68" i="49"/>
  <c r="M69" i="49"/>
  <c r="M70" i="49"/>
  <c r="M2" i="49"/>
  <c r="L2" i="49"/>
  <c r="K3" i="49"/>
  <c r="K4" i="49"/>
  <c r="K5" i="49"/>
  <c r="K6" i="49"/>
  <c r="K7" i="49"/>
  <c r="K8" i="49"/>
  <c r="K9" i="49"/>
  <c r="K10" i="49"/>
  <c r="K11" i="49"/>
  <c r="K12" i="49"/>
  <c r="K13" i="49"/>
  <c r="K14" i="49"/>
  <c r="K15" i="49"/>
  <c r="K16" i="49"/>
  <c r="K17" i="49"/>
  <c r="K18" i="49"/>
  <c r="K19" i="49"/>
  <c r="K20" i="49"/>
  <c r="K21" i="49"/>
  <c r="K22" i="49"/>
  <c r="K23" i="49"/>
  <c r="K24" i="49"/>
  <c r="K25" i="49"/>
  <c r="K26" i="49"/>
  <c r="K27" i="49"/>
  <c r="K28" i="49"/>
  <c r="K29" i="49"/>
  <c r="K30" i="49"/>
  <c r="K31" i="49"/>
  <c r="K32" i="49"/>
  <c r="K33" i="49"/>
  <c r="K34" i="49"/>
  <c r="K35" i="49"/>
  <c r="K36" i="49"/>
  <c r="K37" i="49"/>
  <c r="K38" i="49"/>
  <c r="K39" i="49"/>
  <c r="K40" i="49"/>
  <c r="K41" i="49"/>
  <c r="K42" i="49"/>
  <c r="K43" i="49"/>
  <c r="K44" i="49"/>
  <c r="K45" i="49"/>
  <c r="K46" i="49"/>
  <c r="K47" i="49"/>
  <c r="K48" i="49"/>
  <c r="K49" i="49"/>
  <c r="K50" i="49"/>
  <c r="K51" i="49"/>
  <c r="K52" i="49"/>
  <c r="K53" i="49"/>
  <c r="K54" i="49"/>
  <c r="K55" i="49"/>
  <c r="K56" i="49"/>
  <c r="K57" i="49"/>
  <c r="K58" i="49"/>
  <c r="K59" i="49"/>
  <c r="K60" i="49"/>
  <c r="K61" i="49"/>
  <c r="K62" i="49"/>
  <c r="K63" i="49"/>
  <c r="K64" i="49"/>
  <c r="K65" i="49"/>
  <c r="K66" i="49"/>
  <c r="K67" i="49"/>
  <c r="K68" i="49"/>
  <c r="K69" i="49"/>
  <c r="K70" i="49"/>
  <c r="K2" i="49"/>
  <c r="L3" i="49"/>
  <c r="L4" i="49"/>
  <c r="L5" i="49"/>
  <c r="L6" i="49"/>
  <c r="L7" i="49"/>
  <c r="L8" i="49"/>
  <c r="L9" i="49"/>
  <c r="L10" i="49"/>
  <c r="L11" i="49"/>
  <c r="L12" i="49"/>
  <c r="L13" i="49"/>
  <c r="L14" i="49"/>
  <c r="L15" i="49"/>
  <c r="L16" i="49"/>
  <c r="L17" i="49"/>
  <c r="L18" i="49"/>
  <c r="L19" i="49"/>
  <c r="L20" i="49"/>
  <c r="L21" i="49"/>
  <c r="L22" i="49"/>
  <c r="L23" i="49"/>
  <c r="L24" i="49"/>
  <c r="L25" i="49"/>
  <c r="L26" i="49"/>
  <c r="L27" i="49"/>
  <c r="L28" i="49"/>
  <c r="L29" i="49"/>
  <c r="L30" i="49"/>
  <c r="L31" i="49"/>
  <c r="L32" i="49"/>
  <c r="L33" i="49"/>
  <c r="L34" i="49"/>
  <c r="L35" i="49"/>
  <c r="L36" i="49"/>
  <c r="L37" i="49"/>
  <c r="L38" i="49"/>
  <c r="L39" i="49"/>
  <c r="L40" i="49"/>
  <c r="L41" i="49"/>
  <c r="L42" i="49"/>
  <c r="L43" i="49"/>
  <c r="L44" i="49"/>
  <c r="L45" i="49"/>
  <c r="L46" i="49"/>
  <c r="L47" i="49"/>
  <c r="L48" i="49"/>
  <c r="L49" i="49"/>
  <c r="L50" i="49"/>
  <c r="L51" i="49"/>
  <c r="L52" i="49"/>
  <c r="L53" i="49"/>
  <c r="L54" i="49"/>
  <c r="L55" i="49"/>
  <c r="L56" i="49"/>
  <c r="L57" i="49"/>
  <c r="L58" i="49"/>
  <c r="L59" i="49"/>
  <c r="L60" i="49"/>
  <c r="L61" i="49"/>
  <c r="L62" i="49"/>
  <c r="L63" i="49"/>
  <c r="L64" i="49"/>
  <c r="L65" i="49"/>
  <c r="L66" i="49"/>
  <c r="L67" i="49"/>
  <c r="L68" i="49"/>
  <c r="L69" i="49"/>
  <c r="L70" i="49"/>
  <c r="J2" i="49"/>
  <c r="J3" i="49"/>
  <c r="J4" i="49"/>
  <c r="J5" i="49"/>
  <c r="J6" i="49"/>
  <c r="J7" i="49"/>
  <c r="J8" i="49"/>
  <c r="J9" i="49"/>
  <c r="J10" i="49"/>
  <c r="J11" i="49"/>
  <c r="J12" i="49"/>
  <c r="J13" i="49"/>
  <c r="J14" i="49"/>
  <c r="J15" i="49"/>
  <c r="J16" i="49"/>
  <c r="J17" i="49"/>
  <c r="J18" i="49"/>
  <c r="J19" i="49"/>
  <c r="J20" i="49"/>
  <c r="J21" i="49"/>
  <c r="J22" i="49"/>
  <c r="J23" i="49"/>
  <c r="J24" i="49"/>
  <c r="J25" i="49"/>
  <c r="J26" i="49"/>
  <c r="J27" i="49"/>
  <c r="J28" i="49"/>
  <c r="J29" i="49"/>
  <c r="J30" i="49"/>
  <c r="J31" i="49"/>
  <c r="J32" i="49"/>
  <c r="J33" i="49"/>
  <c r="J34" i="49"/>
  <c r="J35" i="49"/>
  <c r="J36" i="49"/>
  <c r="J37" i="49"/>
  <c r="J38" i="49"/>
  <c r="J39" i="49"/>
  <c r="J40" i="49"/>
  <c r="J41" i="49"/>
  <c r="J42" i="49"/>
  <c r="J43" i="49"/>
  <c r="J44" i="49"/>
  <c r="J45" i="49"/>
  <c r="J46" i="49"/>
  <c r="J47" i="49"/>
  <c r="J48" i="49"/>
  <c r="J49" i="49"/>
  <c r="J50" i="49"/>
  <c r="J51" i="49"/>
  <c r="J52" i="49"/>
  <c r="J53" i="49"/>
  <c r="J54" i="49"/>
  <c r="J55" i="49"/>
  <c r="J56" i="49"/>
  <c r="J57" i="49"/>
  <c r="J58" i="49"/>
  <c r="J59" i="49"/>
  <c r="J60" i="49"/>
  <c r="J61" i="49"/>
  <c r="J62" i="49"/>
  <c r="J63" i="49"/>
  <c r="J64" i="49"/>
  <c r="J65" i="49"/>
  <c r="J66" i="49"/>
  <c r="J67" i="49"/>
  <c r="J68" i="49"/>
  <c r="J69" i="49"/>
  <c r="J70" i="49"/>
  <c r="I3" i="49"/>
  <c r="I4" i="49"/>
  <c r="I5" i="49"/>
  <c r="I6" i="49"/>
  <c r="I7" i="49"/>
  <c r="I8" i="49"/>
  <c r="I9" i="49"/>
  <c r="I10" i="49"/>
  <c r="I11" i="49"/>
  <c r="I12" i="49"/>
  <c r="I13" i="49"/>
  <c r="I14" i="49"/>
  <c r="I15" i="49"/>
  <c r="I16" i="49"/>
  <c r="I17" i="49"/>
  <c r="I18" i="49"/>
  <c r="I19" i="49"/>
  <c r="I20" i="49"/>
  <c r="I21" i="49"/>
  <c r="I22" i="49"/>
  <c r="I23" i="49"/>
  <c r="I24" i="49"/>
  <c r="I25" i="49"/>
  <c r="I26" i="49"/>
  <c r="I27" i="49"/>
  <c r="I28" i="49"/>
  <c r="I29" i="49"/>
  <c r="I30" i="49"/>
  <c r="I31" i="49"/>
  <c r="I32" i="49"/>
  <c r="I33" i="49"/>
  <c r="I34" i="49"/>
  <c r="I35" i="49"/>
  <c r="I36" i="49"/>
  <c r="I37" i="49"/>
  <c r="I38" i="49"/>
  <c r="I39" i="49"/>
  <c r="I40" i="49"/>
  <c r="I41" i="49"/>
  <c r="I42" i="49"/>
  <c r="I43" i="49"/>
  <c r="I44" i="49"/>
  <c r="I45" i="49"/>
  <c r="I46" i="49"/>
  <c r="I47" i="49"/>
  <c r="I48" i="49"/>
  <c r="I49" i="49"/>
  <c r="I50" i="49"/>
  <c r="I51" i="49"/>
  <c r="I52" i="49"/>
  <c r="I53" i="49"/>
  <c r="I54" i="49"/>
  <c r="I55" i="49"/>
  <c r="I56" i="49"/>
  <c r="I57" i="49"/>
  <c r="I58" i="49"/>
  <c r="I59" i="49"/>
  <c r="I60" i="49"/>
  <c r="I61" i="49"/>
  <c r="I62" i="49"/>
  <c r="I63" i="49"/>
  <c r="I64" i="49"/>
  <c r="I65" i="49"/>
  <c r="I66" i="49"/>
  <c r="I67" i="49"/>
  <c r="I68" i="49"/>
  <c r="I69" i="49"/>
  <c r="I70" i="49"/>
  <c r="I2" i="49"/>
  <c r="H2" i="49"/>
  <c r="H3" i="49"/>
  <c r="H4" i="49"/>
  <c r="H5" i="49"/>
  <c r="H6" i="49"/>
  <c r="H7" i="49"/>
  <c r="H8" i="49"/>
  <c r="H9" i="49"/>
  <c r="H10" i="49"/>
  <c r="H11" i="49"/>
  <c r="H12" i="49"/>
  <c r="H13" i="49"/>
  <c r="H14" i="49"/>
  <c r="H15" i="49"/>
  <c r="H16" i="49"/>
  <c r="H17" i="49"/>
  <c r="H18" i="49"/>
  <c r="H19" i="49"/>
  <c r="H20" i="49"/>
  <c r="H21" i="49"/>
  <c r="H22" i="49"/>
  <c r="H23" i="49"/>
  <c r="H24" i="49"/>
  <c r="H25" i="49"/>
  <c r="H26" i="49"/>
  <c r="H27" i="49"/>
  <c r="H28" i="49"/>
  <c r="H29" i="49"/>
  <c r="H30" i="49"/>
  <c r="H31" i="49"/>
  <c r="H32" i="49"/>
  <c r="H33" i="49"/>
  <c r="H34" i="49"/>
  <c r="H35" i="49"/>
  <c r="H36" i="49"/>
  <c r="H37" i="49"/>
  <c r="H38" i="49"/>
  <c r="H39" i="49"/>
  <c r="H40" i="49"/>
  <c r="H41" i="49"/>
  <c r="H42" i="49"/>
  <c r="H43" i="49"/>
  <c r="H44" i="49"/>
  <c r="H45" i="49"/>
  <c r="H46" i="49"/>
  <c r="H47" i="49"/>
  <c r="H48" i="49"/>
  <c r="H49" i="49"/>
  <c r="H50" i="49"/>
  <c r="H51" i="49"/>
  <c r="H52" i="49"/>
  <c r="H53" i="49"/>
  <c r="H54" i="49"/>
  <c r="H55" i="49"/>
  <c r="H56" i="49"/>
  <c r="H57" i="49"/>
  <c r="H58" i="49"/>
  <c r="H59" i="49"/>
  <c r="H60" i="49"/>
  <c r="H61" i="49"/>
  <c r="H62" i="49"/>
  <c r="H63" i="49"/>
  <c r="H64" i="49"/>
  <c r="H65" i="49"/>
  <c r="H66" i="49"/>
  <c r="H67" i="49"/>
  <c r="H68" i="49"/>
  <c r="H69" i="49"/>
  <c r="H70" i="49"/>
  <c r="B3" i="49"/>
  <c r="B4" i="49"/>
  <c r="B5" i="49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B35" i="49"/>
  <c r="B36" i="49"/>
  <c r="B37" i="49"/>
  <c r="B38" i="49"/>
  <c r="B39" i="49"/>
  <c r="B40" i="49"/>
  <c r="B41" i="49"/>
  <c r="B42" i="49"/>
  <c r="B43" i="49"/>
  <c r="B44" i="49"/>
  <c r="B45" i="49"/>
  <c r="B46" i="49"/>
  <c r="B47" i="49"/>
  <c r="B48" i="49"/>
  <c r="B49" i="49"/>
  <c r="B50" i="49"/>
  <c r="B51" i="49"/>
  <c r="B52" i="49"/>
  <c r="B53" i="49"/>
  <c r="B54" i="49"/>
  <c r="B55" i="49"/>
  <c r="B56" i="49"/>
  <c r="B57" i="49"/>
  <c r="B58" i="49"/>
  <c r="B59" i="49"/>
  <c r="B60" i="49"/>
  <c r="B61" i="49"/>
  <c r="B62" i="49"/>
  <c r="B63" i="49"/>
  <c r="B64" i="49"/>
  <c r="B65" i="49"/>
  <c r="B66" i="49"/>
  <c r="B67" i="49"/>
  <c r="B68" i="49"/>
  <c r="B69" i="49"/>
  <c r="B70" i="49"/>
  <c r="B2" i="49"/>
  <c r="G3" i="49"/>
  <c r="G4" i="49"/>
  <c r="G5" i="49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34" i="49"/>
  <c r="G35" i="49"/>
  <c r="G36" i="49"/>
  <c r="G37" i="49"/>
  <c r="G38" i="49"/>
  <c r="G39" i="49"/>
  <c r="G40" i="49"/>
  <c r="G41" i="49"/>
  <c r="G42" i="49"/>
  <c r="G43" i="49"/>
  <c r="G44" i="49"/>
  <c r="G45" i="49"/>
  <c r="G46" i="49"/>
  <c r="G47" i="49"/>
  <c r="G48" i="49"/>
  <c r="G49" i="49"/>
  <c r="G50" i="49"/>
  <c r="G51" i="49"/>
  <c r="G52" i="49"/>
  <c r="G53" i="49"/>
  <c r="G54" i="49"/>
  <c r="G55" i="49"/>
  <c r="G56" i="49"/>
  <c r="G57" i="49"/>
  <c r="G58" i="49"/>
  <c r="G59" i="49"/>
  <c r="G60" i="49"/>
  <c r="G61" i="49"/>
  <c r="G62" i="49"/>
  <c r="G63" i="49"/>
  <c r="G64" i="49"/>
  <c r="G65" i="49"/>
  <c r="G66" i="49"/>
  <c r="G67" i="49"/>
  <c r="G68" i="49"/>
  <c r="G69" i="49"/>
  <c r="G70" i="49"/>
  <c r="G2" i="49"/>
  <c r="F3" i="49"/>
  <c r="F4" i="49"/>
  <c r="F5" i="49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45" i="49"/>
  <c r="F46" i="49"/>
  <c r="F47" i="49"/>
  <c r="F48" i="49"/>
  <c r="F49" i="49"/>
  <c r="F50" i="49"/>
  <c r="F51" i="49"/>
  <c r="F52" i="49"/>
  <c r="F53" i="49"/>
  <c r="F54" i="49"/>
  <c r="F55" i="49"/>
  <c r="F56" i="49"/>
  <c r="F57" i="49"/>
  <c r="F58" i="49"/>
  <c r="F59" i="49"/>
  <c r="F60" i="49"/>
  <c r="F61" i="49"/>
  <c r="F62" i="49"/>
  <c r="F63" i="49"/>
  <c r="F64" i="49"/>
  <c r="F65" i="49"/>
  <c r="F66" i="49"/>
  <c r="F67" i="49"/>
  <c r="F68" i="49"/>
  <c r="F69" i="49"/>
  <c r="F70" i="49"/>
  <c r="F2" i="49"/>
  <c r="C2" i="49"/>
  <c r="E3" i="49"/>
  <c r="E4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34" i="49"/>
  <c r="E35" i="49"/>
  <c r="E36" i="49"/>
  <c r="E37" i="49"/>
  <c r="E38" i="49"/>
  <c r="E39" i="49"/>
  <c r="E40" i="49"/>
  <c r="E41" i="49"/>
  <c r="E42" i="49"/>
  <c r="E43" i="49"/>
  <c r="E44" i="49"/>
  <c r="E45" i="49"/>
  <c r="E46" i="49"/>
  <c r="E47" i="49"/>
  <c r="E48" i="49"/>
  <c r="E49" i="49"/>
  <c r="E50" i="49"/>
  <c r="E51" i="49"/>
  <c r="E52" i="49"/>
  <c r="E53" i="49"/>
  <c r="E54" i="49"/>
  <c r="E55" i="49"/>
  <c r="E56" i="49"/>
  <c r="E57" i="49"/>
  <c r="E58" i="49"/>
  <c r="E59" i="49"/>
  <c r="E74" i="49" s="1"/>
  <c r="E76" i="49" s="1"/>
  <c r="E60" i="49"/>
  <c r="E61" i="49"/>
  <c r="E62" i="49"/>
  <c r="E63" i="49"/>
  <c r="E64" i="49"/>
  <c r="E65" i="49"/>
  <c r="E2" i="49"/>
  <c r="E70" i="49"/>
  <c r="E69" i="49"/>
  <c r="E68" i="49"/>
  <c r="E67" i="49"/>
  <c r="E66" i="49"/>
  <c r="D2" i="49"/>
  <c r="D3" i="49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C3" i="49"/>
  <c r="C4" i="49"/>
  <c r="C5" i="49"/>
  <c r="C6" i="49"/>
  <c r="C7" i="49"/>
  <c r="C8" i="49"/>
  <c r="C9" i="49"/>
  <c r="C10" i="49"/>
  <c r="C11" i="49"/>
  <c r="C12" i="49"/>
  <c r="C13" i="49"/>
  <c r="C14" i="49"/>
  <c r="C15" i="49"/>
  <c r="C16" i="49"/>
  <c r="C17" i="49"/>
  <c r="C18" i="49"/>
  <c r="C19" i="49"/>
  <c r="C20" i="49"/>
  <c r="C21" i="49"/>
  <c r="C22" i="49"/>
  <c r="C23" i="49"/>
  <c r="C24" i="49"/>
  <c r="C25" i="49"/>
  <c r="C26" i="49"/>
  <c r="C27" i="49"/>
  <c r="C28" i="49"/>
  <c r="C29" i="49"/>
  <c r="C30" i="49"/>
  <c r="C31" i="49"/>
  <c r="C32" i="49"/>
  <c r="C33" i="49"/>
  <c r="C34" i="49"/>
  <c r="C35" i="49"/>
  <c r="C36" i="49"/>
  <c r="C37" i="49"/>
  <c r="C38" i="49"/>
  <c r="C39" i="49"/>
  <c r="C40" i="49"/>
  <c r="C41" i="49"/>
  <c r="C42" i="49"/>
  <c r="C43" i="49"/>
  <c r="C44" i="49"/>
  <c r="C45" i="49"/>
  <c r="C46" i="49"/>
  <c r="C47" i="49"/>
  <c r="C48" i="49"/>
  <c r="C49" i="49"/>
  <c r="C50" i="49"/>
  <c r="C51" i="49"/>
  <c r="C52" i="49"/>
  <c r="C53" i="49"/>
  <c r="C54" i="49"/>
  <c r="C55" i="49"/>
  <c r="C56" i="49"/>
  <c r="C57" i="49"/>
  <c r="C58" i="49"/>
  <c r="C59" i="49"/>
  <c r="C60" i="49"/>
  <c r="C61" i="49"/>
  <c r="C62" i="49"/>
  <c r="C63" i="49"/>
  <c r="C64" i="49"/>
  <c r="C65" i="49"/>
  <c r="C66" i="49"/>
  <c r="C67" i="49"/>
  <c r="C68" i="49"/>
  <c r="C69" i="49"/>
  <c r="C70" i="49"/>
  <c r="F7" i="47" l="1"/>
  <c r="L166" i="42" l="1"/>
  <c r="I166" i="42"/>
  <c r="I167" i="42"/>
  <c r="J167" i="42" s="1"/>
  <c r="G164" i="42"/>
  <c r="G165" i="42"/>
  <c r="G166" i="42"/>
  <c r="G167" i="42"/>
  <c r="E165" i="42"/>
  <c r="E166" i="42"/>
  <c r="J166" i="42" s="1"/>
  <c r="E167" i="42"/>
  <c r="C164" i="42"/>
  <c r="C165" i="42"/>
  <c r="C166" i="42"/>
  <c r="C167" i="42"/>
  <c r="N165" i="42" l="1"/>
  <c r="N166" i="42"/>
  <c r="O166" i="42" s="1"/>
  <c r="P166" i="42" s="1"/>
  <c r="N167" i="42"/>
  <c r="L167" i="42"/>
  <c r="P131" i="38"/>
  <c r="D131" i="45" s="1"/>
  <c r="D150" i="45" s="1"/>
  <c r="G10" i="7"/>
  <c r="H10" i="7" s="1"/>
  <c r="D131" i="40" l="1"/>
  <c r="C131" i="45"/>
  <c r="C133" i="45"/>
  <c r="J131" i="40"/>
  <c r="E131" i="45"/>
  <c r="E150" i="45" s="1"/>
  <c r="O165" i="42"/>
  <c r="O167" i="42"/>
  <c r="P167" i="42" s="1"/>
  <c r="BD53" i="46"/>
  <c r="BD52" i="46"/>
  <c r="C129" i="38"/>
  <c r="I165" i="42"/>
  <c r="J165" i="42" s="1"/>
  <c r="I164" i="42"/>
  <c r="J164" i="42" s="1"/>
  <c r="E164" i="42"/>
  <c r="N164" i="42"/>
  <c r="L164" i="42"/>
  <c r="C12" i="18"/>
  <c r="C12" i="14" s="1"/>
  <c r="D12" i="18"/>
  <c r="D12" i="14" s="1"/>
  <c r="E12" i="18"/>
  <c r="E12" i="14" s="1"/>
  <c r="F12" i="18"/>
  <c r="F12" i="14" s="1"/>
  <c r="H12" i="18"/>
  <c r="H12" i="14" s="1"/>
  <c r="J44" i="16"/>
  <c r="J42" i="16"/>
  <c r="J43" i="16"/>
  <c r="J45" i="16"/>
  <c r="J46" i="16"/>
  <c r="J47" i="16"/>
  <c r="J48" i="16"/>
  <c r="J49" i="16"/>
  <c r="C150" i="45" l="1"/>
  <c r="J12" i="14"/>
  <c r="J12" i="18"/>
  <c r="O164" i="42"/>
  <c r="P164" i="42" s="1"/>
  <c r="P165" i="42"/>
  <c r="J39" i="16"/>
  <c r="J40" i="16"/>
  <c r="J38" i="16"/>
  <c r="B29" i="66" l="1"/>
  <c r="K12" i="14"/>
  <c r="K15" i="14" s="1"/>
  <c r="J50" i="16"/>
  <c r="D29" i="66" l="1"/>
  <c r="C29" i="66"/>
  <c r="J51" i="16"/>
  <c r="J52" i="16"/>
  <c r="J53" i="16"/>
  <c r="J54" i="16"/>
  <c r="J55" i="16"/>
  <c r="J56" i="16"/>
  <c r="J57" i="16"/>
  <c r="J58" i="16"/>
  <c r="J59" i="16"/>
  <c r="J60" i="16"/>
  <c r="I29" i="66" l="1"/>
  <c r="E29" i="66"/>
  <c r="C30" i="66"/>
  <c r="D30" i="66"/>
  <c r="P128" i="38"/>
  <c r="D128" i="40" s="1"/>
  <c r="P129" i="38"/>
  <c r="D129" i="40" s="1"/>
  <c r="P130" i="38"/>
  <c r="D130" i="40" s="1"/>
  <c r="B129" i="38"/>
  <c r="B128" i="38"/>
  <c r="B130" i="38"/>
  <c r="L17" i="41" l="1"/>
  <c r="E30" i="66"/>
  <c r="L15" i="41"/>
  <c r="J130" i="40"/>
  <c r="J129" i="40"/>
  <c r="J128" i="40"/>
  <c r="N17" i="41" l="1"/>
  <c r="Q17" i="41"/>
  <c r="O17" i="41"/>
  <c r="L13" i="35"/>
  <c r="Q15" i="41"/>
  <c r="Q16" i="41"/>
  <c r="O15" i="41"/>
  <c r="N15" i="41"/>
  <c r="F133" i="45"/>
  <c r="F133" i="40"/>
  <c r="L133" i="40" s="1"/>
  <c r="F132" i="45"/>
  <c r="F132" i="40"/>
  <c r="L132" i="40" s="1"/>
  <c r="F131" i="40"/>
  <c r="L131" i="40" s="1"/>
  <c r="F130" i="40"/>
  <c r="L130" i="40" s="1"/>
  <c r="F129" i="40"/>
  <c r="F128" i="40"/>
  <c r="L128" i="40" s="1"/>
  <c r="F127" i="40"/>
  <c r="F126" i="40"/>
  <c r="F131" i="45"/>
  <c r="AL7" i="2"/>
  <c r="AL8" i="2"/>
  <c r="AL9" i="2"/>
  <c r="AL10" i="2"/>
  <c r="AT18" i="2" s="1"/>
  <c r="P13" i="35" l="1"/>
  <c r="F150" i="45"/>
  <c r="N8" i="2"/>
  <c r="AK8" i="2" s="1"/>
  <c r="N9" i="2"/>
  <c r="AK9" i="2" s="1"/>
  <c r="AT14" i="2" s="1"/>
  <c r="N7" i="2"/>
  <c r="AK7" i="2" s="1"/>
  <c r="N10" i="2"/>
  <c r="AK10" i="2" s="1"/>
  <c r="AT13" i="2" s="1"/>
  <c r="R9" i="36"/>
  <c r="D129" i="38"/>
  <c r="G25" i="66" s="1"/>
  <c r="H25" i="66" s="1"/>
  <c r="I25" i="66" s="1"/>
  <c r="AN2" i="2"/>
  <c r="AT3" i="2"/>
  <c r="AT5" i="2"/>
  <c r="AO23" i="2" s="1"/>
  <c r="AP23" i="2" s="1"/>
  <c r="AQ23" i="2" s="1"/>
  <c r="AT4" i="2"/>
  <c r="AN16" i="2" s="1"/>
  <c r="BS6" i="36"/>
  <c r="BU6" i="36"/>
  <c r="BW6" i="36"/>
  <c r="BX6" i="36"/>
  <c r="BY6" i="36"/>
  <c r="BR6" i="36"/>
  <c r="CF6" i="36"/>
  <c r="CH6" i="36"/>
  <c r="CJ6" i="36"/>
  <c r="CK6" i="36"/>
  <c r="CL6" i="36"/>
  <c r="CE6" i="36"/>
  <c r="CH3" i="36"/>
  <c r="CL3" i="36"/>
  <c r="CF2" i="36"/>
  <c r="CH2" i="36"/>
  <c r="CJ2" i="36"/>
  <c r="CK2" i="36"/>
  <c r="CL2" i="36"/>
  <c r="CE2" i="36"/>
  <c r="BU3" i="36"/>
  <c r="BY3" i="36"/>
  <c r="CA2" i="36"/>
  <c r="BS2" i="36"/>
  <c r="BU2" i="36"/>
  <c r="BW2" i="36"/>
  <c r="BX2" i="36"/>
  <c r="BY2" i="36"/>
  <c r="BR2" i="36"/>
  <c r="BH6" i="36"/>
  <c r="BH7" i="36"/>
  <c r="BH8" i="36"/>
  <c r="BH9" i="36"/>
  <c r="BH10" i="36"/>
  <c r="BH11" i="36"/>
  <c r="BH12" i="36"/>
  <c r="BH13" i="36"/>
  <c r="BG3" i="36"/>
  <c r="BG4" i="36"/>
  <c r="BG5" i="36"/>
  <c r="BG6" i="36"/>
  <c r="BG7" i="36"/>
  <c r="BG8" i="36"/>
  <c r="BG9" i="36"/>
  <c r="BG10" i="36"/>
  <c r="BG11" i="36"/>
  <c r="BG12" i="36"/>
  <c r="BG13" i="36"/>
  <c r="BG2" i="36"/>
  <c r="BF3" i="36"/>
  <c r="BF4" i="36"/>
  <c r="BF6" i="36"/>
  <c r="BF7" i="36"/>
  <c r="BF8" i="36"/>
  <c r="BF9" i="36"/>
  <c r="BF10" i="36"/>
  <c r="BF11" i="36"/>
  <c r="BF12" i="36"/>
  <c r="BF13" i="36"/>
  <c r="BE9" i="36"/>
  <c r="BE10" i="36"/>
  <c r="BE11" i="36"/>
  <c r="BE12" i="36"/>
  <c r="BE13" i="36"/>
  <c r="BE3" i="36"/>
  <c r="BE4" i="36"/>
  <c r="BE5" i="36"/>
  <c r="BE6" i="36"/>
  <c r="BE7" i="36"/>
  <c r="BE8" i="36"/>
  <c r="BF2" i="36"/>
  <c r="BE2" i="36"/>
  <c r="BD3" i="36"/>
  <c r="BD4" i="36"/>
  <c r="BD5" i="36"/>
  <c r="BD6" i="36"/>
  <c r="BD7" i="36"/>
  <c r="BD8" i="36"/>
  <c r="BD9" i="36"/>
  <c r="BD10" i="36"/>
  <c r="BD11" i="36"/>
  <c r="BD12" i="36"/>
  <c r="BD13" i="36"/>
  <c r="BD2" i="36"/>
  <c r="BC3" i="36"/>
  <c r="BC4" i="36"/>
  <c r="BC5" i="36"/>
  <c r="BC6" i="36"/>
  <c r="BC7" i="36"/>
  <c r="BC8" i="36"/>
  <c r="BC9" i="36"/>
  <c r="BC10" i="36"/>
  <c r="BC11" i="36"/>
  <c r="BC12" i="36"/>
  <c r="BC13" i="36"/>
  <c r="BC2" i="36"/>
  <c r="BB3" i="36"/>
  <c r="BB4" i="36"/>
  <c r="BB5" i="36"/>
  <c r="BB6" i="36"/>
  <c r="BB7" i="36"/>
  <c r="BB8" i="36"/>
  <c r="BB9" i="36"/>
  <c r="BB10" i="36"/>
  <c r="BB11" i="36"/>
  <c r="BB12" i="36"/>
  <c r="BB13" i="36"/>
  <c r="BB2" i="36"/>
  <c r="BA3" i="36"/>
  <c r="BA4" i="36"/>
  <c r="BA5" i="36"/>
  <c r="BA6" i="36"/>
  <c r="BA7" i="36"/>
  <c r="BA8" i="36"/>
  <c r="BA9" i="36"/>
  <c r="BA10" i="36"/>
  <c r="BA11" i="36"/>
  <c r="BA12" i="36"/>
  <c r="BA13" i="36"/>
  <c r="BA2" i="36"/>
  <c r="AZ4" i="36"/>
  <c r="AZ5" i="36"/>
  <c r="AZ6" i="36"/>
  <c r="AZ7" i="36"/>
  <c r="AZ8" i="36"/>
  <c r="AZ9" i="36"/>
  <c r="AZ10" i="36"/>
  <c r="AZ11" i="36"/>
  <c r="AZ12" i="36"/>
  <c r="AZ13" i="36"/>
  <c r="AZ2" i="36"/>
  <c r="H150" i="45" l="1"/>
  <c r="B129" i="40"/>
  <c r="L129" i="40" s="1"/>
  <c r="BY4" i="36"/>
  <c r="CH4" i="36"/>
  <c r="BU4" i="36"/>
  <c r="CL4" i="36"/>
  <c r="P9" i="36"/>
  <c r="AT11" i="2"/>
  <c r="AQ24" i="2" s="1"/>
  <c r="AQ25" i="2" s="1"/>
  <c r="AQ26" i="2" s="1"/>
  <c r="AQ27" i="2" s="1"/>
  <c r="AQ28" i="2" s="1"/>
  <c r="AQ29" i="2" s="1"/>
  <c r="AQ30" i="2" s="1"/>
  <c r="AQ31" i="2" s="1"/>
  <c r="AQ32" i="2" s="1"/>
  <c r="AQ33" i="2" s="1"/>
  <c r="AQ34" i="2" s="1"/>
  <c r="AQ35" i="2" s="1"/>
  <c r="AQ36" i="2" s="1"/>
  <c r="AQ37" i="2" s="1"/>
  <c r="AT10" i="2"/>
  <c r="AP24" i="2" s="1"/>
  <c r="AP25" i="2" s="1"/>
  <c r="AP26" i="2" s="1"/>
  <c r="AP27" i="2" s="1"/>
  <c r="AP28" i="2" s="1"/>
  <c r="AP29" i="2" s="1"/>
  <c r="AP30" i="2" s="1"/>
  <c r="AP31" i="2" s="1"/>
  <c r="AP32" i="2" s="1"/>
  <c r="AK3" i="36"/>
  <c r="AN3" i="36"/>
  <c r="AO3" i="36"/>
  <c r="AQ3" i="36"/>
  <c r="AK4" i="36"/>
  <c r="AN4" i="36"/>
  <c r="AO4" i="36"/>
  <c r="AQ4" i="36"/>
  <c r="AI5" i="36"/>
  <c r="AK5" i="36"/>
  <c r="AN5" i="36"/>
  <c r="AO5" i="36"/>
  <c r="AQ5" i="36"/>
  <c r="AI6" i="36"/>
  <c r="AK6" i="36"/>
  <c r="AL6" i="36"/>
  <c r="AN6" i="36"/>
  <c r="AO6" i="36"/>
  <c r="AI7" i="36"/>
  <c r="AK7" i="36"/>
  <c r="AL7" i="36"/>
  <c r="AO7" i="36"/>
  <c r="AQ7" i="36"/>
  <c r="AM8" i="36"/>
  <c r="AN8" i="36"/>
  <c r="AI2" i="36"/>
  <c r="AK2" i="36"/>
  <c r="AN2" i="36"/>
  <c r="AO2" i="36"/>
  <c r="AP2" i="36"/>
  <c r="AQ2" i="36"/>
  <c r="G151" i="45" l="1"/>
  <c r="B151" i="45"/>
  <c r="C151" i="45"/>
  <c r="D151" i="45"/>
  <c r="E151" i="45"/>
  <c r="F151" i="45"/>
  <c r="T8" i="36"/>
  <c r="T9" i="36"/>
  <c r="T10" i="36"/>
  <c r="T11" i="36"/>
  <c r="T12" i="36"/>
  <c r="T13" i="36"/>
  <c r="S6" i="36"/>
  <c r="S7" i="36"/>
  <c r="S8" i="36"/>
  <c r="S10" i="36"/>
  <c r="S11" i="36"/>
  <c r="S12" i="36"/>
  <c r="S13" i="36"/>
  <c r="R10" i="36"/>
  <c r="R11" i="36"/>
  <c r="R12" i="36"/>
  <c r="R13" i="36"/>
  <c r="Q9" i="36"/>
  <c r="Q10" i="36"/>
  <c r="Q11" i="36"/>
  <c r="Q12" i="36"/>
  <c r="Q13" i="36"/>
  <c r="P10" i="36"/>
  <c r="P11" i="36"/>
  <c r="P12" i="36"/>
  <c r="P13" i="36"/>
  <c r="R8" i="36"/>
  <c r="Q8" i="36"/>
  <c r="P8" i="36"/>
  <c r="O8" i="36"/>
  <c r="O9" i="36"/>
  <c r="O10" i="36"/>
  <c r="O11" i="36"/>
  <c r="O12" i="36"/>
  <c r="O13" i="36"/>
  <c r="O3" i="36"/>
  <c r="O4" i="36"/>
  <c r="O5" i="36"/>
  <c r="O6" i="36"/>
  <c r="O7" i="36"/>
  <c r="O2" i="36"/>
  <c r="Z3" i="36" l="1"/>
  <c r="AB3" i="36"/>
  <c r="Y3" i="36"/>
  <c r="W2" i="36"/>
  <c r="X3" i="36"/>
  <c r="W3" i="36"/>
  <c r="G4" i="2" l="1"/>
  <c r="P8" i="2"/>
  <c r="P9" i="2"/>
  <c r="P10" i="2"/>
  <c r="Y40" i="22"/>
  <c r="W40" i="22"/>
  <c r="T40" i="22"/>
  <c r="R40" i="22"/>
  <c r="P40" i="22"/>
  <c r="N40" i="22"/>
  <c r="L40" i="22"/>
  <c r="J40" i="22"/>
  <c r="H40" i="22"/>
  <c r="F40" i="22"/>
  <c r="D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E39" i="22"/>
  <c r="D39" i="22"/>
  <c r="C39" i="22"/>
  <c r="B39" i="22"/>
  <c r="B42" i="22" s="1"/>
  <c r="Y18" i="22"/>
  <c r="W18" i="22"/>
  <c r="T18" i="22"/>
  <c r="R18" i="22"/>
  <c r="P18" i="22"/>
  <c r="N18" i="22"/>
  <c r="L18" i="22"/>
  <c r="J18" i="22"/>
  <c r="H18" i="22"/>
  <c r="F18" i="22"/>
  <c r="D18" i="22"/>
  <c r="B18" i="22"/>
  <c r="T17" i="22"/>
  <c r="U17" i="22"/>
  <c r="V17" i="22"/>
  <c r="W17" i="22"/>
  <c r="X17" i="22"/>
  <c r="Y17" i="22"/>
  <c r="K17" i="22"/>
  <c r="L17" i="22"/>
  <c r="M17" i="22"/>
  <c r="N17" i="22"/>
  <c r="O17" i="22"/>
  <c r="P17" i="22"/>
  <c r="Q17" i="22"/>
  <c r="R17" i="22"/>
  <c r="S17" i="22"/>
  <c r="D17" i="22"/>
  <c r="E17" i="22"/>
  <c r="F17" i="22"/>
  <c r="G17" i="22"/>
  <c r="H17" i="22"/>
  <c r="I17" i="22"/>
  <c r="J17" i="22"/>
  <c r="C17" i="22"/>
  <c r="B17" i="22"/>
  <c r="G9" i="2" l="1"/>
  <c r="F9" i="2"/>
  <c r="F8" i="2"/>
  <c r="G8" i="2"/>
  <c r="G7" i="2"/>
  <c r="F7" i="2"/>
  <c r="G6" i="2"/>
  <c r="F6" i="2"/>
  <c r="F10" i="2"/>
  <c r="G10" i="2"/>
  <c r="G5" i="2"/>
  <c r="F5" i="2"/>
  <c r="F4" i="2"/>
  <c r="F3" i="2"/>
  <c r="G3" i="2"/>
  <c r="G2" i="2"/>
  <c r="F2" i="2"/>
  <c r="B20" i="22"/>
  <c r="Z6" i="22"/>
  <c r="Z7" i="22"/>
  <c r="Z8" i="22"/>
  <c r="Z9" i="22"/>
  <c r="Z10" i="22"/>
  <c r="Z11" i="22"/>
  <c r="Z12" i="22"/>
  <c r="Z13" i="22"/>
  <c r="Z14" i="22"/>
  <c r="Z15" i="22"/>
  <c r="Z16" i="22"/>
  <c r="Z5" i="22"/>
  <c r="G9" i="47" l="1"/>
  <c r="G8" i="47"/>
  <c r="G7" i="47"/>
  <c r="G6" i="47"/>
  <c r="E15" i="8" l="1"/>
  <c r="D15" i="8"/>
  <c r="B15" i="8"/>
  <c r="G15" i="8" s="1"/>
  <c r="S127" i="38"/>
  <c r="H127" i="40" l="1"/>
  <c r="H15" i="8"/>
  <c r="I15" i="8" s="1"/>
  <c r="C11" i="2" s="1"/>
  <c r="E11" i="2" s="1"/>
  <c r="F6" i="12"/>
  <c r="F11" i="2" l="1"/>
  <c r="G11" i="2"/>
  <c r="CK3" i="36"/>
  <c r="CK4" i="36" s="1"/>
  <c r="BX3" i="36"/>
  <c r="BX4" i="36" s="1"/>
  <c r="AN7" i="36"/>
  <c r="AQ8" i="36"/>
  <c r="L3" i="39" l="1"/>
  <c r="L4" i="39"/>
  <c r="L5" i="39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L55" i="39"/>
  <c r="L56" i="39"/>
  <c r="L57" i="39"/>
  <c r="L58" i="39"/>
  <c r="L59" i="39"/>
  <c r="L60" i="39"/>
  <c r="L61" i="39"/>
  <c r="L62" i="39"/>
  <c r="L63" i="39"/>
  <c r="L64" i="39"/>
  <c r="L65" i="39"/>
  <c r="L66" i="39"/>
  <c r="L67" i="39"/>
  <c r="L68" i="39"/>
  <c r="L69" i="39"/>
  <c r="L70" i="39"/>
  <c r="L71" i="39"/>
  <c r="L72" i="39"/>
  <c r="L73" i="39"/>
  <c r="L74" i="39"/>
  <c r="L75" i="39"/>
  <c r="L76" i="39"/>
  <c r="L77" i="39"/>
  <c r="L78" i="39"/>
  <c r="L79" i="39"/>
  <c r="L80" i="39"/>
  <c r="L81" i="39"/>
  <c r="L82" i="39"/>
  <c r="L2" i="39"/>
  <c r="B128" i="36"/>
  <c r="BH2" i="36" l="1"/>
  <c r="F41" i="40"/>
  <c r="L41" i="40" s="1"/>
  <c r="F119" i="40"/>
  <c r="F118" i="40"/>
  <c r="F117" i="40"/>
  <c r="L117" i="40" s="1"/>
  <c r="F116" i="40"/>
  <c r="F115" i="40"/>
  <c r="L115" i="40" s="1"/>
  <c r="F114" i="40"/>
  <c r="F113" i="40"/>
  <c r="F112" i="40"/>
  <c r="L112" i="40" s="1"/>
  <c r="F111" i="40"/>
  <c r="F110" i="40"/>
  <c r="F109" i="40"/>
  <c r="F108" i="40"/>
  <c r="F107" i="40"/>
  <c r="F106" i="40"/>
  <c r="L106" i="40" s="1"/>
  <c r="F105" i="40"/>
  <c r="F104" i="40"/>
  <c r="L104" i="40" s="1"/>
  <c r="F103" i="40"/>
  <c r="F102" i="40"/>
  <c r="F101" i="40"/>
  <c r="L101" i="40" s="1"/>
  <c r="F100" i="40"/>
  <c r="F99" i="40"/>
  <c r="F98" i="40"/>
  <c r="F97" i="40"/>
  <c r="F96" i="40"/>
  <c r="F95" i="40"/>
  <c r="F94" i="40"/>
  <c r="F93" i="40"/>
  <c r="F92" i="40"/>
  <c r="F91" i="40"/>
  <c r="F90" i="40"/>
  <c r="F89" i="40"/>
  <c r="F88" i="40"/>
  <c r="F87" i="40"/>
  <c r="F86" i="40"/>
  <c r="F85" i="40"/>
  <c r="F84" i="40"/>
  <c r="F83" i="40"/>
  <c r="L83" i="40" s="1"/>
  <c r="F82" i="40"/>
  <c r="L82" i="40" s="1"/>
  <c r="F81" i="40"/>
  <c r="L81" i="40" s="1"/>
  <c r="F80" i="40"/>
  <c r="L80" i="40" s="1"/>
  <c r="F79" i="40"/>
  <c r="F78" i="40"/>
  <c r="F77" i="40"/>
  <c r="F76" i="40"/>
  <c r="F75" i="40"/>
  <c r="F74" i="40"/>
  <c r="F73" i="40"/>
  <c r="F72" i="40"/>
  <c r="F71" i="40"/>
  <c r="F70" i="40"/>
  <c r="F69" i="40"/>
  <c r="F68" i="40"/>
  <c r="F67" i="40"/>
  <c r="F66" i="40"/>
  <c r="F65" i="40"/>
  <c r="F64" i="40"/>
  <c r="F63" i="40"/>
  <c r="F62" i="40"/>
  <c r="F61" i="40"/>
  <c r="L61" i="40" s="1"/>
  <c r="F60" i="40"/>
  <c r="F59" i="40"/>
  <c r="F58" i="40"/>
  <c r="F57" i="40"/>
  <c r="L57" i="40" s="1"/>
  <c r="F56" i="40"/>
  <c r="L56" i="40" s="1"/>
  <c r="F55" i="40"/>
  <c r="F54" i="40"/>
  <c r="F53" i="40"/>
  <c r="F52" i="40"/>
  <c r="L52" i="40" s="1"/>
  <c r="F51" i="40"/>
  <c r="F50" i="40"/>
  <c r="F49" i="40"/>
  <c r="F48" i="40"/>
  <c r="F47" i="40"/>
  <c r="F46" i="40"/>
  <c r="F45" i="40"/>
  <c r="L45" i="40" s="1"/>
  <c r="F44" i="40"/>
  <c r="F43" i="40"/>
  <c r="F42" i="40"/>
  <c r="F120" i="40"/>
  <c r="L120" i="40" s="1"/>
  <c r="R127" i="38"/>
  <c r="CI2" i="36" l="1"/>
  <c r="L110" i="40"/>
  <c r="BV2" i="36"/>
  <c r="L114" i="40"/>
  <c r="F122" i="40"/>
  <c r="S2" i="36"/>
  <c r="T7" i="36"/>
  <c r="G127" i="40"/>
  <c r="AM7" i="36" s="1"/>
  <c r="J11" i="18"/>
  <c r="AL2" i="36" l="1"/>
  <c r="B3" i="15" a="1"/>
  <c r="B3" i="15" s="1"/>
  <c r="B31" i="15" a="1"/>
  <c r="B31" i="15" s="1"/>
  <c r="C3" i="36" l="1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2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9" i="36"/>
  <c r="B130" i="36"/>
  <c r="B131" i="36"/>
  <c r="B132" i="36"/>
  <c r="B133" i="36"/>
  <c r="B2" i="36"/>
  <c r="D124" i="36" l="1"/>
  <c r="D84" i="36"/>
  <c r="D28" i="36"/>
  <c r="D4" i="36"/>
  <c r="D118" i="36"/>
  <c r="D122" i="36"/>
  <c r="D30" i="36"/>
  <c r="D44" i="36"/>
  <c r="D116" i="36"/>
  <c r="D60" i="36"/>
  <c r="D76" i="36"/>
  <c r="D128" i="36"/>
  <c r="D92" i="36"/>
  <c r="D12" i="36"/>
  <c r="D52" i="36"/>
  <c r="D132" i="36"/>
  <c r="D129" i="36"/>
  <c r="D130" i="36"/>
  <c r="D127" i="36"/>
  <c r="D63" i="36"/>
  <c r="D55" i="36"/>
  <c r="D39" i="36"/>
  <c r="D23" i="36"/>
  <c r="D2" i="36"/>
  <c r="D94" i="36"/>
  <c r="D78" i="36"/>
  <c r="D62" i="36"/>
  <c r="D46" i="36"/>
  <c r="D125" i="36"/>
  <c r="D101" i="36"/>
  <c r="D93" i="36"/>
  <c r="D85" i="36"/>
  <c r="D69" i="36"/>
  <c r="D61" i="36"/>
  <c r="D45" i="36"/>
  <c r="D37" i="36"/>
  <c r="D29" i="36"/>
  <c r="D21" i="36"/>
  <c r="D13" i="36"/>
  <c r="D47" i="36"/>
  <c r="D117" i="36"/>
  <c r="D126" i="36"/>
  <c r="D110" i="36"/>
  <c r="D54" i="36"/>
  <c r="D38" i="36"/>
  <c r="D133" i="36"/>
  <c r="D109" i="36"/>
  <c r="D131" i="36"/>
  <c r="D123" i="36"/>
  <c r="D31" i="36"/>
  <c r="D120" i="36"/>
  <c r="D112" i="36"/>
  <c r="D104" i="36"/>
  <c r="D96" i="36"/>
  <c r="D88" i="36"/>
  <c r="D80" i="36"/>
  <c r="D72" i="36"/>
  <c r="D64" i="36"/>
  <c r="D56" i="36"/>
  <c r="D48" i="36"/>
  <c r="D40" i="36"/>
  <c r="D32" i="36"/>
  <c r="D24" i="36"/>
  <c r="D16" i="36"/>
  <c r="D8" i="36"/>
  <c r="D103" i="36"/>
  <c r="D79" i="36"/>
  <c r="D102" i="36"/>
  <c r="D86" i="36"/>
  <c r="D70" i="36"/>
  <c r="D22" i="36"/>
  <c r="D14" i="36"/>
  <c r="D6" i="36"/>
  <c r="D111" i="36"/>
  <c r="D95" i="36"/>
  <c r="D7" i="36"/>
  <c r="D77" i="36"/>
  <c r="D53" i="36"/>
  <c r="D5" i="36"/>
  <c r="D119" i="36"/>
  <c r="D87" i="36"/>
  <c r="D71" i="36"/>
  <c r="D15" i="36"/>
  <c r="D100" i="36"/>
  <c r="D68" i="36"/>
  <c r="D36" i="36"/>
  <c r="D20" i="36"/>
  <c r="D108" i="36"/>
  <c r="D115" i="36"/>
  <c r="D107" i="36"/>
  <c r="D99" i="36"/>
  <c r="D91" i="36"/>
  <c r="D83" i="36"/>
  <c r="D75" i="36"/>
  <c r="D67" i="36"/>
  <c r="D59" i="36"/>
  <c r="D51" i="36"/>
  <c r="D43" i="36"/>
  <c r="D35" i="36"/>
  <c r="D27" i="36"/>
  <c r="D19" i="36"/>
  <c r="D11" i="36"/>
  <c r="D3" i="36"/>
  <c r="D114" i="36"/>
  <c r="D106" i="36"/>
  <c r="D98" i="36"/>
  <c r="D90" i="36"/>
  <c r="D82" i="36"/>
  <c r="D74" i="36"/>
  <c r="D66" i="36"/>
  <c r="D58" i="36"/>
  <c r="D50" i="36"/>
  <c r="D42" i="36"/>
  <c r="D34" i="36"/>
  <c r="D26" i="36"/>
  <c r="D18" i="36"/>
  <c r="D10" i="36"/>
  <c r="D121" i="36"/>
  <c r="D113" i="36"/>
  <c r="D105" i="36"/>
  <c r="D97" i="36"/>
  <c r="D89" i="36"/>
  <c r="D81" i="36"/>
  <c r="D73" i="36"/>
  <c r="D65" i="36"/>
  <c r="D57" i="36"/>
  <c r="D49" i="36"/>
  <c r="D41" i="36"/>
  <c r="D33" i="36"/>
  <c r="D25" i="36"/>
  <c r="D17" i="36"/>
  <c r="D9" i="36"/>
  <c r="E39" i="36" l="1"/>
  <c r="F39" i="36" s="1"/>
  <c r="E65" i="36"/>
  <c r="F65" i="36" s="1"/>
  <c r="E44" i="36"/>
  <c r="F44" i="36" s="1"/>
  <c r="E117" i="36"/>
  <c r="F117" i="36" s="1"/>
  <c r="E125" i="36"/>
  <c r="F125" i="36" s="1"/>
  <c r="E19" i="36"/>
  <c r="F19" i="36" s="1"/>
  <c r="E95" i="36"/>
  <c r="F95" i="36" s="1"/>
  <c r="E13" i="36"/>
  <c r="F13" i="36" s="1"/>
  <c r="E88" i="36"/>
  <c r="F88" i="36" s="1"/>
  <c r="E53" i="36"/>
  <c r="F53" i="36" s="1"/>
  <c r="E69" i="36"/>
  <c r="F69" i="36" s="1"/>
  <c r="E14" i="36"/>
  <c r="F14" i="36" s="1"/>
  <c r="E15" i="36"/>
  <c r="F15" i="36" s="1"/>
  <c r="E108" i="36"/>
  <c r="F108" i="36" s="1"/>
  <c r="E22" i="36"/>
  <c r="F22" i="36" s="1"/>
  <c r="E86" i="36"/>
  <c r="F86" i="36" s="1"/>
  <c r="E82" i="36"/>
  <c r="F82" i="36" s="1"/>
  <c r="E116" i="36"/>
  <c r="F116" i="36" s="1"/>
  <c r="E94" i="36"/>
  <c r="F94" i="36" s="1"/>
  <c r="E36" i="36"/>
  <c r="F36" i="36" s="1"/>
  <c r="E100" i="36"/>
  <c r="F100" i="36" s="1"/>
  <c r="E45" i="36"/>
  <c r="F45" i="36" s="1"/>
  <c r="E109" i="36"/>
  <c r="F109" i="36" s="1"/>
  <c r="E78" i="36"/>
  <c r="F78" i="36" s="1"/>
  <c r="E79" i="36"/>
  <c r="F79" i="36" s="1"/>
  <c r="E26" i="36"/>
  <c r="F26" i="36" s="1"/>
  <c r="E64" i="36"/>
  <c r="F64" i="36" s="1"/>
  <c r="E122" i="36"/>
  <c r="F122" i="36" s="1"/>
  <c r="E113" i="36"/>
  <c r="F113" i="36" s="1"/>
  <c r="E27" i="36"/>
  <c r="F27" i="36" s="1"/>
  <c r="E91" i="36"/>
  <c r="F91" i="36" s="1"/>
  <c r="E49" i="36"/>
  <c r="F49" i="36" s="1"/>
  <c r="E24" i="36"/>
  <c r="F24" i="36" s="1"/>
  <c r="E104" i="36"/>
  <c r="F104" i="36" s="1"/>
  <c r="E74" i="36"/>
  <c r="F74" i="36" s="1"/>
  <c r="E63" i="36"/>
  <c r="F63" i="36" s="1"/>
  <c r="E127" i="36"/>
  <c r="F127" i="36" s="1"/>
  <c r="E35" i="36"/>
  <c r="F35" i="36" s="1"/>
  <c r="E112" i="36"/>
  <c r="F112" i="36" s="1"/>
  <c r="E52" i="36"/>
  <c r="F52" i="36" s="1"/>
  <c r="E30" i="36"/>
  <c r="F30" i="36" s="1"/>
  <c r="E98" i="36"/>
  <c r="F98" i="36" s="1"/>
  <c r="E107" i="36"/>
  <c r="F107" i="36" s="1"/>
  <c r="E103" i="36"/>
  <c r="F103" i="36" s="1"/>
  <c r="E124" i="36"/>
  <c r="F124" i="36" s="1"/>
  <c r="E102" i="36"/>
  <c r="F102" i="36" s="1"/>
  <c r="E42" i="36"/>
  <c r="F42" i="36" s="1"/>
  <c r="E110" i="36"/>
  <c r="F110" i="36" s="1"/>
  <c r="E59" i="36"/>
  <c r="F59" i="36" s="1"/>
  <c r="E56" i="36"/>
  <c r="F56" i="36" s="1"/>
  <c r="E34" i="36"/>
  <c r="F34" i="36" s="1"/>
  <c r="E76" i="36"/>
  <c r="F76" i="36" s="1"/>
  <c r="E21" i="36"/>
  <c r="F21" i="36" s="1"/>
  <c r="E85" i="36"/>
  <c r="F85" i="36" s="1"/>
  <c r="E54" i="36"/>
  <c r="F54" i="36" s="1"/>
  <c r="E118" i="36"/>
  <c r="F118" i="36" s="1"/>
  <c r="E119" i="36"/>
  <c r="F119" i="36" s="1"/>
  <c r="E33" i="36"/>
  <c r="F33" i="36" s="1"/>
  <c r="E90" i="36"/>
  <c r="F90" i="36" s="1"/>
  <c r="E67" i="36"/>
  <c r="F67" i="36" s="1"/>
  <c r="E131" i="36"/>
  <c r="F131" i="36" s="1"/>
  <c r="E72" i="36"/>
  <c r="F72" i="36" s="1"/>
  <c r="E89" i="36"/>
  <c r="F89" i="36" s="1"/>
  <c r="E50" i="36"/>
  <c r="F50" i="36" s="1"/>
  <c r="E111" i="36"/>
  <c r="F111" i="36" s="1"/>
  <c r="E99" i="36"/>
  <c r="F99" i="36" s="1"/>
  <c r="E32" i="36"/>
  <c r="F32" i="36" s="1"/>
  <c r="E55" i="36"/>
  <c r="F55" i="36" s="1"/>
  <c r="E43" i="36"/>
  <c r="F43" i="36" s="1"/>
  <c r="E121" i="36"/>
  <c r="F121" i="36" s="1"/>
  <c r="E41" i="36"/>
  <c r="F41" i="36" s="1"/>
  <c r="E38" i="36"/>
  <c r="F38" i="36" s="1"/>
  <c r="E17" i="36"/>
  <c r="F17" i="36" s="1"/>
  <c r="E115" i="36"/>
  <c r="F115" i="36" s="1"/>
  <c r="E57" i="36"/>
  <c r="F57" i="36" s="1"/>
  <c r="E132" i="36"/>
  <c r="F132" i="36" s="1"/>
  <c r="E77" i="36"/>
  <c r="F77" i="36" s="1"/>
  <c r="E46" i="36"/>
  <c r="F46" i="36" s="1"/>
  <c r="E25" i="36"/>
  <c r="F25" i="36" s="1"/>
  <c r="E123" i="36"/>
  <c r="F123" i="36" s="1"/>
  <c r="E73" i="36"/>
  <c r="F73" i="36" s="1"/>
  <c r="E84" i="36"/>
  <c r="F84" i="36" s="1"/>
  <c r="E29" i="36"/>
  <c r="F29" i="36" s="1"/>
  <c r="E93" i="36"/>
  <c r="F93" i="36" s="1"/>
  <c r="E62" i="36"/>
  <c r="F62" i="36" s="1"/>
  <c r="E126" i="36"/>
  <c r="F126" i="36" s="1"/>
  <c r="E31" i="36"/>
  <c r="F31" i="36" s="1"/>
  <c r="E18" i="36"/>
  <c r="F18" i="36" s="1"/>
  <c r="E81" i="36"/>
  <c r="F81" i="36" s="1"/>
  <c r="E114" i="36"/>
  <c r="F114" i="36" s="1"/>
  <c r="E75" i="36"/>
  <c r="F75" i="36" s="1"/>
  <c r="E120" i="36"/>
  <c r="F120" i="36" s="1"/>
  <c r="E128" i="36"/>
  <c r="F128" i="36" s="1"/>
  <c r="E80" i="36"/>
  <c r="F80" i="36" s="1"/>
  <c r="E105" i="36"/>
  <c r="F105" i="36" s="1"/>
  <c r="E87" i="36"/>
  <c r="F87" i="36" s="1"/>
  <c r="E23" i="36"/>
  <c r="F23" i="36" s="1"/>
  <c r="E61" i="36"/>
  <c r="F61" i="36" s="1"/>
  <c r="E40" i="36"/>
  <c r="F40" i="36" s="1"/>
  <c r="E60" i="36"/>
  <c r="F60" i="36" s="1"/>
  <c r="E130" i="36"/>
  <c r="F130" i="36" s="1"/>
  <c r="E51" i="36"/>
  <c r="F51" i="36" s="1"/>
  <c r="E48" i="36"/>
  <c r="F48" i="36" s="1"/>
  <c r="E68" i="36"/>
  <c r="F68" i="36" s="1"/>
  <c r="E133" i="36"/>
  <c r="F133" i="36" s="1"/>
  <c r="E20" i="36"/>
  <c r="F20" i="36" s="1"/>
  <c r="E28" i="36"/>
  <c r="F28" i="36" s="1"/>
  <c r="E92" i="36"/>
  <c r="F92" i="36" s="1"/>
  <c r="E37" i="36"/>
  <c r="F37" i="36" s="1"/>
  <c r="E101" i="36"/>
  <c r="F101" i="36" s="1"/>
  <c r="E70" i="36"/>
  <c r="F70" i="36" s="1"/>
  <c r="E47" i="36"/>
  <c r="F47" i="36" s="1"/>
  <c r="E16" i="36"/>
  <c r="F16" i="36" s="1"/>
  <c r="E106" i="36"/>
  <c r="F106" i="36" s="1"/>
  <c r="E97" i="36"/>
  <c r="F97" i="36" s="1"/>
  <c r="E83" i="36"/>
  <c r="F83" i="36" s="1"/>
  <c r="E58" i="36"/>
  <c r="F58" i="36" s="1"/>
  <c r="E96" i="36"/>
  <c r="F96" i="36" s="1"/>
  <c r="E66" i="36"/>
  <c r="F66" i="36" s="1"/>
  <c r="E71" i="36"/>
  <c r="F71" i="36" s="1"/>
  <c r="E129" i="36"/>
  <c r="F129" i="36" s="1"/>
  <c r="B48" i="13"/>
  <c r="B47" i="13"/>
  <c r="B42" i="13"/>
  <c r="C41" i="13"/>
  <c r="B41" i="13"/>
  <c r="U40" i="13"/>
  <c r="U39" i="13"/>
  <c r="J28" i="13"/>
  <c r="F28" i="13"/>
  <c r="L28" i="13" s="1"/>
  <c r="J27" i="13"/>
  <c r="F27" i="13"/>
  <c r="L27" i="13" s="1"/>
  <c r="J22" i="13"/>
  <c r="F22" i="13"/>
  <c r="L22" i="13" s="1"/>
  <c r="J21" i="13"/>
  <c r="F21" i="13"/>
  <c r="L21" i="13" s="1"/>
  <c r="P21" i="13" s="1"/>
  <c r="J16" i="13"/>
  <c r="F16" i="13"/>
  <c r="L16" i="13" s="1"/>
  <c r="J15" i="13"/>
  <c r="F15" i="13"/>
  <c r="L15" i="13" s="1"/>
  <c r="P15" i="13" s="1"/>
  <c r="J8" i="13"/>
  <c r="F8" i="13"/>
  <c r="L8" i="13" s="1"/>
  <c r="J7" i="13"/>
  <c r="F7" i="13"/>
  <c r="L7" i="13" s="1"/>
  <c r="P7" i="13" l="1"/>
  <c r="P8" i="13"/>
  <c r="P27" i="13"/>
  <c r="P28" i="13"/>
  <c r="P22" i="13"/>
  <c r="P16" i="13"/>
  <c r="G30" i="36"/>
  <c r="J13" i="12"/>
  <c r="I13" i="12"/>
  <c r="J12" i="12"/>
  <c r="I12" i="12"/>
  <c r="J11" i="12"/>
  <c r="I11" i="12"/>
  <c r="J10" i="12"/>
  <c r="I10" i="12"/>
  <c r="J9" i="12"/>
  <c r="I9" i="12"/>
  <c r="J8" i="12"/>
  <c r="I8" i="12"/>
  <c r="J7" i="12"/>
  <c r="I7" i="12"/>
  <c r="J6" i="12"/>
  <c r="I6" i="12"/>
  <c r="J5" i="12"/>
  <c r="I5" i="12"/>
  <c r="J4" i="12"/>
  <c r="I4" i="12"/>
  <c r="J3" i="12"/>
  <c r="I3" i="12"/>
  <c r="J2" i="12"/>
  <c r="I2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E7" i="12"/>
  <c r="E6" i="12"/>
  <c r="F5" i="12"/>
  <c r="E5" i="12"/>
  <c r="F4" i="12"/>
  <c r="E4" i="12"/>
  <c r="F3" i="12"/>
  <c r="E3" i="12"/>
  <c r="F2" i="12"/>
  <c r="E2" i="12"/>
  <c r="G13" i="7"/>
  <c r="H13" i="7" s="1"/>
  <c r="G12" i="7"/>
  <c r="H12" i="7" s="1"/>
  <c r="G11" i="7"/>
  <c r="H11" i="7" s="1"/>
  <c r="G9" i="7"/>
  <c r="H9" i="7" s="1"/>
  <c r="G8" i="7"/>
  <c r="H8" i="7" s="1"/>
  <c r="G7" i="7"/>
  <c r="H7" i="7" s="1"/>
  <c r="G6" i="7"/>
  <c r="H6" i="7" s="1"/>
  <c r="G5" i="7"/>
  <c r="H5" i="7" s="1"/>
  <c r="G4" i="7"/>
  <c r="H4" i="7" s="1"/>
  <c r="G3" i="7"/>
  <c r="H3" i="7" s="1"/>
  <c r="G2" i="7"/>
  <c r="H2" i="7" s="1"/>
  <c r="I14" i="12" l="1"/>
  <c r="J14" i="12"/>
  <c r="G25" i="8"/>
  <c r="AQ9" i="36"/>
  <c r="AQ10" i="36"/>
  <c r="AQ11" i="36"/>
  <c r="AQ12" i="36"/>
  <c r="AQ13" i="36"/>
  <c r="AP9" i="36"/>
  <c r="AP10" i="36"/>
  <c r="AP11" i="36"/>
  <c r="AP12" i="36"/>
  <c r="AP13" i="36"/>
  <c r="AP8" i="36"/>
  <c r="AO9" i="36"/>
  <c r="AO10" i="36"/>
  <c r="AO11" i="36"/>
  <c r="AO12" i="36"/>
  <c r="AO13" i="36"/>
  <c r="AO8" i="36"/>
  <c r="AN9" i="36"/>
  <c r="AN10" i="36"/>
  <c r="AN11" i="36"/>
  <c r="AN12" i="36"/>
  <c r="AN13" i="36"/>
  <c r="AM9" i="36"/>
  <c r="AM10" i="36"/>
  <c r="AM11" i="36"/>
  <c r="AM12" i="36"/>
  <c r="AM13" i="36"/>
  <c r="AK9" i="36"/>
  <c r="AK10" i="36"/>
  <c r="AK11" i="36"/>
  <c r="AK12" i="36"/>
  <c r="AK13" i="36"/>
  <c r="AK8" i="36"/>
  <c r="AJ9" i="36"/>
  <c r="AJ10" i="36"/>
  <c r="AJ11" i="36"/>
  <c r="AJ12" i="36"/>
  <c r="AJ13" i="36"/>
  <c r="AJ8" i="36"/>
  <c r="AI9" i="36"/>
  <c r="AI10" i="36"/>
  <c r="AI11" i="36"/>
  <c r="AI12" i="36"/>
  <c r="AI13" i="36"/>
  <c r="AI8" i="36"/>
  <c r="AH9" i="36"/>
  <c r="AH10" i="36"/>
  <c r="AH11" i="36"/>
  <c r="AH12" i="36"/>
  <c r="AH13" i="36"/>
  <c r="AH8" i="36"/>
  <c r="L11" i="35" l="1"/>
  <c r="O62" i="38"/>
  <c r="O59" i="38"/>
  <c r="O55" i="38"/>
  <c r="O47" i="38"/>
  <c r="N66" i="38"/>
  <c r="N62" i="38"/>
  <c r="D62" i="40" s="1"/>
  <c r="N59" i="38"/>
  <c r="N54" i="38"/>
  <c r="N51" i="38"/>
  <c r="N47" i="38"/>
  <c r="M55" i="38"/>
  <c r="M54" i="38"/>
  <c r="D54" i="40" s="1"/>
  <c r="M51" i="38"/>
  <c r="M49" i="38"/>
  <c r="K49" i="40" s="1"/>
  <c r="M47" i="38"/>
  <c r="E15" i="41"/>
  <c r="E11" i="35" s="1"/>
  <c r="I15" i="41"/>
  <c r="I11" i="35" s="1"/>
  <c r="H15" i="41"/>
  <c r="H11" i="35" s="1"/>
  <c r="K107" i="38"/>
  <c r="K105" i="38"/>
  <c r="K103" i="38"/>
  <c r="K102" i="38"/>
  <c r="K100" i="38"/>
  <c r="D100" i="40" s="1"/>
  <c r="K99" i="38"/>
  <c r="D99" i="40" s="1"/>
  <c r="K98" i="38"/>
  <c r="D98" i="40" s="1"/>
  <c r="K97" i="38"/>
  <c r="D97" i="40" s="1"/>
  <c r="K96" i="38"/>
  <c r="K95" i="38"/>
  <c r="D95" i="40" s="1"/>
  <c r="K94" i="38"/>
  <c r="D94" i="40" s="1"/>
  <c r="K92" i="38"/>
  <c r="D92" i="40" s="1"/>
  <c r="K91" i="38"/>
  <c r="D91" i="40" s="1"/>
  <c r="K90" i="38"/>
  <c r="K89" i="38"/>
  <c r="K88" i="38"/>
  <c r="D88" i="40" s="1"/>
  <c r="K86" i="38"/>
  <c r="D86" i="40" s="1"/>
  <c r="K85" i="38"/>
  <c r="K84" i="38"/>
  <c r="K79" i="38"/>
  <c r="K78" i="38"/>
  <c r="D78" i="40" s="1"/>
  <c r="K77" i="38"/>
  <c r="D77" i="40" s="1"/>
  <c r="K76" i="38"/>
  <c r="K74" i="38"/>
  <c r="D74" i="40" s="1"/>
  <c r="K71" i="38"/>
  <c r="D71" i="40" s="1"/>
  <c r="K70" i="38"/>
  <c r="D70" i="40" s="1"/>
  <c r="K69" i="38"/>
  <c r="D69" i="40" s="1"/>
  <c r="K67" i="38"/>
  <c r="D67" i="40" s="1"/>
  <c r="K64" i="38"/>
  <c r="D64" i="40" s="1"/>
  <c r="K58" i="38"/>
  <c r="D58" i="40" s="1"/>
  <c r="K55" i="38"/>
  <c r="K53" i="38"/>
  <c r="D53" i="40" s="1"/>
  <c r="K50" i="38"/>
  <c r="D50" i="40" s="1"/>
  <c r="K48" i="38"/>
  <c r="K46" i="38"/>
  <c r="D46" i="40" s="1"/>
  <c r="K44" i="38"/>
  <c r="K42" i="38"/>
  <c r="D42" i="40" s="1"/>
  <c r="K40" i="38"/>
  <c r="K36" i="38"/>
  <c r="K35" i="38"/>
  <c r="K34" i="38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K19" i="38"/>
  <c r="K18" i="38"/>
  <c r="K17" i="38"/>
  <c r="K16" i="38"/>
  <c r="K15" i="38"/>
  <c r="K14" i="38"/>
  <c r="K13" i="38"/>
  <c r="K12" i="38"/>
  <c r="K11" i="38"/>
  <c r="K10" i="38"/>
  <c r="K9" i="38"/>
  <c r="K8" i="38"/>
  <c r="K7" i="38"/>
  <c r="K6" i="38"/>
  <c r="K5" i="38"/>
  <c r="K4" i="38"/>
  <c r="K3" i="38"/>
  <c r="K2" i="38"/>
  <c r="J118" i="38"/>
  <c r="J55" i="38"/>
  <c r="J43" i="38"/>
  <c r="D43" i="40" s="1"/>
  <c r="J31" i="38"/>
  <c r="J19" i="38"/>
  <c r="J7" i="38"/>
  <c r="D55" i="40" l="1"/>
  <c r="D51" i="40"/>
  <c r="D7" i="40"/>
  <c r="K35" i="40"/>
  <c r="K4" i="40"/>
  <c r="D4" i="40"/>
  <c r="K20" i="40"/>
  <c r="D20" i="40"/>
  <c r="K36" i="40"/>
  <c r="D19" i="40"/>
  <c r="K5" i="40"/>
  <c r="D5" i="40"/>
  <c r="K13" i="40"/>
  <c r="D13" i="40"/>
  <c r="K21" i="40"/>
  <c r="D21" i="40"/>
  <c r="K29" i="40"/>
  <c r="D29" i="40"/>
  <c r="K40" i="40"/>
  <c r="D31" i="40"/>
  <c r="K6" i="40"/>
  <c r="D6" i="40"/>
  <c r="K14" i="40"/>
  <c r="D14" i="40"/>
  <c r="K22" i="40"/>
  <c r="D22" i="40"/>
  <c r="K30" i="40"/>
  <c r="D30" i="40"/>
  <c r="D47" i="40"/>
  <c r="D59" i="40"/>
  <c r="K16" i="40"/>
  <c r="D16" i="40"/>
  <c r="K32" i="40"/>
  <c r="K118" i="40"/>
  <c r="D118" i="40"/>
  <c r="K9" i="40"/>
  <c r="D9" i="40"/>
  <c r="K17" i="40"/>
  <c r="D17" i="40"/>
  <c r="K25" i="40"/>
  <c r="D25" i="40"/>
  <c r="K3" i="40"/>
  <c r="D3" i="40"/>
  <c r="K15" i="40"/>
  <c r="D15" i="40"/>
  <c r="K23" i="40"/>
  <c r="D23" i="40"/>
  <c r="K33" i="40"/>
  <c r="K24" i="40"/>
  <c r="D24" i="40"/>
  <c r="K2" i="40"/>
  <c r="D2" i="40"/>
  <c r="K10" i="40"/>
  <c r="D10" i="40"/>
  <c r="K18" i="40"/>
  <c r="D18" i="40"/>
  <c r="K26" i="40"/>
  <c r="D26" i="40"/>
  <c r="K34" i="40"/>
  <c r="K11" i="40"/>
  <c r="D11" i="40"/>
  <c r="K8" i="40"/>
  <c r="D8" i="40"/>
  <c r="K27" i="40"/>
  <c r="D27" i="40"/>
  <c r="K12" i="40"/>
  <c r="D12" i="40"/>
  <c r="K28" i="40"/>
  <c r="D28" i="40"/>
  <c r="P11" i="35"/>
  <c r="K19" i="40"/>
  <c r="K31" i="40"/>
  <c r="K7" i="40"/>
  <c r="K43" i="40"/>
  <c r="L43" i="40" s="1"/>
  <c r="K55" i="40"/>
  <c r="L55" i="40" s="1"/>
  <c r="K42" i="40"/>
  <c r="L42" i="40" s="1"/>
  <c r="K46" i="40"/>
  <c r="L46" i="40" s="1"/>
  <c r="K50" i="40"/>
  <c r="L50" i="40" s="1"/>
  <c r="K53" i="40"/>
  <c r="L53" i="40" s="1"/>
  <c r="K58" i="40"/>
  <c r="L58" i="40" s="1"/>
  <c r="K64" i="40"/>
  <c r="L64" i="40" s="1"/>
  <c r="K67" i="40"/>
  <c r="L67" i="40" s="1"/>
  <c r="K69" i="40"/>
  <c r="K70" i="40"/>
  <c r="L70" i="40" s="1"/>
  <c r="K77" i="40"/>
  <c r="L77" i="40" s="1"/>
  <c r="K78" i="40"/>
  <c r="L78" i="40" s="1"/>
  <c r="K79" i="40"/>
  <c r="K84" i="40"/>
  <c r="K85" i="40"/>
  <c r="K86" i="40"/>
  <c r="L86" i="40" s="1"/>
  <c r="K88" i="40"/>
  <c r="L88" i="40" s="1"/>
  <c r="K89" i="40"/>
  <c r="K90" i="40"/>
  <c r="K91" i="40"/>
  <c r="L91" i="40" s="1"/>
  <c r="K92" i="40"/>
  <c r="L92" i="40" s="1"/>
  <c r="K94" i="40"/>
  <c r="L94" i="40" s="1"/>
  <c r="K95" i="40"/>
  <c r="L95" i="40" s="1"/>
  <c r="K96" i="40"/>
  <c r="K97" i="40"/>
  <c r="L97" i="40" s="1"/>
  <c r="K98" i="40"/>
  <c r="L98" i="40" s="1"/>
  <c r="K99" i="40"/>
  <c r="L99" i="40" s="1"/>
  <c r="K100" i="40"/>
  <c r="L100" i="40" s="1"/>
  <c r="K102" i="40"/>
  <c r="K103" i="40"/>
  <c r="K105" i="40"/>
  <c r="K107" i="40"/>
  <c r="K47" i="40"/>
  <c r="K51" i="40"/>
  <c r="L51" i="40" s="1"/>
  <c r="K54" i="40"/>
  <c r="L54" i="40" s="1"/>
  <c r="K62" i="40"/>
  <c r="L62" i="40" s="1"/>
  <c r="K66" i="40"/>
  <c r="C13" i="43"/>
  <c r="C12" i="43"/>
  <c r="C11" i="43"/>
  <c r="C10" i="43"/>
  <c r="C9" i="43"/>
  <c r="C8" i="43"/>
  <c r="C7" i="43"/>
  <c r="C6" i="43"/>
  <c r="C5" i="43"/>
  <c r="C4" i="43"/>
  <c r="C3" i="43"/>
  <c r="C2" i="43"/>
  <c r="D13" i="43"/>
  <c r="D12" i="43"/>
  <c r="D11" i="43"/>
  <c r="D10" i="43"/>
  <c r="D9" i="43"/>
  <c r="D8" i="43"/>
  <c r="D7" i="43"/>
  <c r="D6" i="43"/>
  <c r="D5" i="43"/>
  <c r="D4" i="43"/>
  <c r="D3" i="43"/>
  <c r="D2" i="43"/>
  <c r="N163" i="42"/>
  <c r="L163" i="42"/>
  <c r="I163" i="42"/>
  <c r="G163" i="42"/>
  <c r="E163" i="42"/>
  <c r="C163" i="42"/>
  <c r="N162" i="42"/>
  <c r="L162" i="42"/>
  <c r="I162" i="42"/>
  <c r="G162" i="42"/>
  <c r="E162" i="42"/>
  <c r="C162" i="42"/>
  <c r="N161" i="42"/>
  <c r="L161" i="42"/>
  <c r="I161" i="42"/>
  <c r="G161" i="42"/>
  <c r="E161" i="42"/>
  <c r="C161" i="42"/>
  <c r="N160" i="42"/>
  <c r="L160" i="42"/>
  <c r="I160" i="42"/>
  <c r="G160" i="42"/>
  <c r="E160" i="42"/>
  <c r="C160" i="42"/>
  <c r="N159" i="42"/>
  <c r="H159" i="42"/>
  <c r="I159" i="42" s="1"/>
  <c r="G159" i="42"/>
  <c r="E159" i="42"/>
  <c r="C159" i="42"/>
  <c r="N158" i="42"/>
  <c r="L158" i="42"/>
  <c r="H158" i="42"/>
  <c r="I158" i="42" s="1"/>
  <c r="G158" i="42"/>
  <c r="E158" i="42"/>
  <c r="C158" i="42"/>
  <c r="N157" i="42"/>
  <c r="L157" i="42"/>
  <c r="H157" i="42"/>
  <c r="I157" i="42" s="1"/>
  <c r="G157" i="42"/>
  <c r="E157" i="42"/>
  <c r="C157" i="42"/>
  <c r="N156" i="42"/>
  <c r="L156" i="42"/>
  <c r="I156" i="42"/>
  <c r="G156" i="42"/>
  <c r="E156" i="42"/>
  <c r="C156" i="42"/>
  <c r="J156" i="42" s="1"/>
  <c r="N155" i="42"/>
  <c r="L155" i="42"/>
  <c r="I155" i="42"/>
  <c r="E155" i="42"/>
  <c r="C155" i="42"/>
  <c r="N154" i="42"/>
  <c r="L154" i="42"/>
  <c r="O154" i="42" s="1"/>
  <c r="J154" i="42"/>
  <c r="I154" i="42"/>
  <c r="E154" i="42"/>
  <c r="C154" i="42"/>
  <c r="N153" i="42"/>
  <c r="L153" i="42"/>
  <c r="O153" i="42" s="1"/>
  <c r="I153" i="42"/>
  <c r="E153" i="42"/>
  <c r="C153" i="42"/>
  <c r="J153" i="42" s="1"/>
  <c r="P153" i="42" s="1"/>
  <c r="N152" i="42"/>
  <c r="L152" i="42"/>
  <c r="I152" i="42"/>
  <c r="E152" i="42"/>
  <c r="C152" i="42"/>
  <c r="J152" i="42" s="1"/>
  <c r="N151" i="42"/>
  <c r="L151" i="42"/>
  <c r="J151" i="42"/>
  <c r="I151" i="42"/>
  <c r="E151" i="42"/>
  <c r="C151" i="42"/>
  <c r="N150" i="42"/>
  <c r="L150" i="42"/>
  <c r="O150" i="42" s="1"/>
  <c r="J150" i="42"/>
  <c r="I150" i="42"/>
  <c r="E150" i="42"/>
  <c r="C150" i="42"/>
  <c r="N149" i="42"/>
  <c r="L149" i="42"/>
  <c r="O149" i="42" s="1"/>
  <c r="I149" i="42"/>
  <c r="E149" i="42"/>
  <c r="C149" i="42"/>
  <c r="J149" i="42" s="1"/>
  <c r="N148" i="42"/>
  <c r="L148" i="42"/>
  <c r="I148" i="42"/>
  <c r="E148" i="42"/>
  <c r="C148" i="42"/>
  <c r="J148" i="42" s="1"/>
  <c r="N147" i="42"/>
  <c r="L147" i="42"/>
  <c r="J147" i="42"/>
  <c r="I147" i="42"/>
  <c r="E147" i="42"/>
  <c r="C147" i="42"/>
  <c r="N146" i="42"/>
  <c r="L146" i="42"/>
  <c r="O146" i="42" s="1"/>
  <c r="J146" i="42"/>
  <c r="I146" i="42"/>
  <c r="E146" i="42"/>
  <c r="C146" i="42"/>
  <c r="N145" i="42"/>
  <c r="L145" i="42"/>
  <c r="O145" i="42" s="1"/>
  <c r="I145" i="42"/>
  <c r="E145" i="42"/>
  <c r="C145" i="42"/>
  <c r="J145" i="42" s="1"/>
  <c r="N144" i="42"/>
  <c r="L144" i="42"/>
  <c r="I144" i="42"/>
  <c r="E144" i="42"/>
  <c r="C144" i="42"/>
  <c r="J144" i="42" s="1"/>
  <c r="N143" i="42"/>
  <c r="L143" i="42"/>
  <c r="J143" i="42"/>
  <c r="P143" i="42" s="1"/>
  <c r="I143" i="42"/>
  <c r="E143" i="42"/>
  <c r="C143" i="42"/>
  <c r="N142" i="42"/>
  <c r="L142" i="42"/>
  <c r="I142" i="42"/>
  <c r="E142" i="42"/>
  <c r="C142" i="42"/>
  <c r="N141" i="42"/>
  <c r="L141" i="42"/>
  <c r="I141" i="42"/>
  <c r="E141" i="42"/>
  <c r="C141" i="42"/>
  <c r="J141" i="42" s="1"/>
  <c r="P141" i="42" s="1"/>
  <c r="N140" i="42"/>
  <c r="L140" i="42"/>
  <c r="I140" i="42"/>
  <c r="E140" i="42"/>
  <c r="C140" i="42"/>
  <c r="N139" i="42"/>
  <c r="L139" i="42"/>
  <c r="I139" i="42"/>
  <c r="E139" i="42"/>
  <c r="C139" i="42"/>
  <c r="N138" i="42"/>
  <c r="L138" i="42"/>
  <c r="I138" i="42"/>
  <c r="E138" i="42"/>
  <c r="C138" i="42"/>
  <c r="J138" i="42" s="1"/>
  <c r="P138" i="42" s="1"/>
  <c r="N137" i="42"/>
  <c r="L137" i="42"/>
  <c r="I137" i="42"/>
  <c r="E137" i="42"/>
  <c r="C137" i="42"/>
  <c r="N136" i="42"/>
  <c r="L136" i="42"/>
  <c r="I136" i="42"/>
  <c r="E136" i="42"/>
  <c r="C136" i="42"/>
  <c r="J136" i="42" s="1"/>
  <c r="P136" i="42" s="1"/>
  <c r="N135" i="42"/>
  <c r="L135" i="42"/>
  <c r="I135" i="42"/>
  <c r="E135" i="42"/>
  <c r="C135" i="42"/>
  <c r="N134" i="42"/>
  <c r="L134" i="42"/>
  <c r="I134" i="42"/>
  <c r="E134" i="42"/>
  <c r="J134" i="42" s="1"/>
  <c r="P134" i="42" s="1"/>
  <c r="C134" i="42"/>
  <c r="N133" i="42"/>
  <c r="L133" i="42"/>
  <c r="I133" i="42"/>
  <c r="E133" i="42"/>
  <c r="C133" i="42"/>
  <c r="J133" i="42" s="1"/>
  <c r="P133" i="42" s="1"/>
  <c r="N132" i="42"/>
  <c r="L132" i="42"/>
  <c r="I132" i="42"/>
  <c r="E132" i="42"/>
  <c r="C132" i="42"/>
  <c r="J132" i="42" s="1"/>
  <c r="P132" i="42" s="1"/>
  <c r="N131" i="42"/>
  <c r="L131" i="42"/>
  <c r="I131" i="42"/>
  <c r="E131" i="42"/>
  <c r="C131" i="42"/>
  <c r="N130" i="42"/>
  <c r="L130" i="42"/>
  <c r="O130" i="42" s="1"/>
  <c r="I130" i="42"/>
  <c r="E130" i="42"/>
  <c r="C130" i="42"/>
  <c r="J130" i="42" s="1"/>
  <c r="P130" i="42" s="1"/>
  <c r="N129" i="42"/>
  <c r="L129" i="42"/>
  <c r="I129" i="42"/>
  <c r="E129" i="42"/>
  <c r="C129" i="42"/>
  <c r="N128" i="42"/>
  <c r="L128" i="42"/>
  <c r="O128" i="42" s="1"/>
  <c r="I128" i="42"/>
  <c r="E128" i="42"/>
  <c r="C128" i="42"/>
  <c r="N127" i="42"/>
  <c r="L127" i="42"/>
  <c r="I127" i="42"/>
  <c r="E127" i="42"/>
  <c r="C127" i="42"/>
  <c r="J127" i="42" s="1"/>
  <c r="N126" i="42"/>
  <c r="L126" i="42"/>
  <c r="O126" i="42" s="1"/>
  <c r="I126" i="42"/>
  <c r="E126" i="42"/>
  <c r="C126" i="42"/>
  <c r="N125" i="42"/>
  <c r="L125" i="42"/>
  <c r="O125" i="42" s="1"/>
  <c r="I125" i="42"/>
  <c r="E125" i="42"/>
  <c r="C125" i="42"/>
  <c r="J125" i="42" s="1"/>
  <c r="P125" i="42" s="1"/>
  <c r="N124" i="42"/>
  <c r="L124" i="42"/>
  <c r="O124" i="42" s="1"/>
  <c r="I124" i="42"/>
  <c r="E124" i="42"/>
  <c r="C124" i="42"/>
  <c r="J124" i="42" s="1"/>
  <c r="N123" i="42"/>
  <c r="L123" i="42"/>
  <c r="O123" i="42" s="1"/>
  <c r="I123" i="42"/>
  <c r="E123" i="42"/>
  <c r="C123" i="42"/>
  <c r="N122" i="42"/>
  <c r="L122" i="42"/>
  <c r="O122" i="42" s="1"/>
  <c r="I122" i="42"/>
  <c r="E122" i="42"/>
  <c r="C122" i="42"/>
  <c r="J122" i="42" s="1"/>
  <c r="N121" i="42"/>
  <c r="L121" i="42"/>
  <c r="I121" i="42"/>
  <c r="E121" i="42"/>
  <c r="C121" i="42"/>
  <c r="J121" i="42" s="1"/>
  <c r="N120" i="42"/>
  <c r="L120" i="42"/>
  <c r="O120" i="42" s="1"/>
  <c r="I120" i="42"/>
  <c r="E120" i="42"/>
  <c r="C120" i="42"/>
  <c r="N119" i="42"/>
  <c r="L119" i="42"/>
  <c r="O119" i="42" s="1"/>
  <c r="I119" i="42"/>
  <c r="E119" i="42"/>
  <c r="C119" i="42"/>
  <c r="N118" i="42"/>
  <c r="L118" i="42"/>
  <c r="O118" i="42" s="1"/>
  <c r="I118" i="42"/>
  <c r="E118" i="42"/>
  <c r="C118" i="42"/>
  <c r="J118" i="42" s="1"/>
  <c r="N117" i="42"/>
  <c r="L117" i="42"/>
  <c r="I117" i="42"/>
  <c r="E117" i="42"/>
  <c r="C117" i="42"/>
  <c r="J117" i="42" s="1"/>
  <c r="N116" i="42"/>
  <c r="L116" i="42"/>
  <c r="O116" i="42" s="1"/>
  <c r="I116" i="42"/>
  <c r="E116" i="42"/>
  <c r="C116" i="42"/>
  <c r="N115" i="42"/>
  <c r="L115" i="42"/>
  <c r="O115" i="42" s="1"/>
  <c r="I115" i="42"/>
  <c r="E115" i="42"/>
  <c r="C115" i="42"/>
  <c r="N114" i="42"/>
  <c r="L114" i="42"/>
  <c r="O114" i="42" s="1"/>
  <c r="I114" i="42"/>
  <c r="E114" i="42"/>
  <c r="C114" i="42"/>
  <c r="J114" i="42" s="1"/>
  <c r="N113" i="42"/>
  <c r="L113" i="42"/>
  <c r="I113" i="42"/>
  <c r="E113" i="42"/>
  <c r="C113" i="42"/>
  <c r="J113" i="42" s="1"/>
  <c r="N112" i="42"/>
  <c r="L112" i="42"/>
  <c r="O112" i="42" s="1"/>
  <c r="I112" i="42"/>
  <c r="E112" i="42"/>
  <c r="C112" i="42"/>
  <c r="N111" i="42"/>
  <c r="L111" i="42"/>
  <c r="O111" i="42" s="1"/>
  <c r="I111" i="42"/>
  <c r="E111" i="42"/>
  <c r="C111" i="42"/>
  <c r="N110" i="42"/>
  <c r="L110" i="42"/>
  <c r="O110" i="42" s="1"/>
  <c r="I110" i="42"/>
  <c r="E110" i="42"/>
  <c r="C110" i="42"/>
  <c r="J110" i="42" s="1"/>
  <c r="N109" i="42"/>
  <c r="L109" i="42"/>
  <c r="I109" i="42"/>
  <c r="E109" i="42"/>
  <c r="C109" i="42"/>
  <c r="J109" i="42" s="1"/>
  <c r="N108" i="42"/>
  <c r="L108" i="42"/>
  <c r="O108" i="42" s="1"/>
  <c r="I108" i="42"/>
  <c r="E108" i="42"/>
  <c r="C108" i="42"/>
  <c r="N107" i="42"/>
  <c r="L107" i="42"/>
  <c r="O107" i="42" s="1"/>
  <c r="I107" i="42"/>
  <c r="E107" i="42"/>
  <c r="C107" i="42"/>
  <c r="N106" i="42"/>
  <c r="L106" i="42"/>
  <c r="O106" i="42" s="1"/>
  <c r="I106" i="42"/>
  <c r="E106" i="42"/>
  <c r="C106" i="42"/>
  <c r="J106" i="42" s="1"/>
  <c r="N105" i="42"/>
  <c r="L105" i="42"/>
  <c r="I105" i="42"/>
  <c r="E105" i="42"/>
  <c r="C105" i="42"/>
  <c r="J105" i="42" s="1"/>
  <c r="N104" i="42"/>
  <c r="L104" i="42"/>
  <c r="O104" i="42" s="1"/>
  <c r="I104" i="42"/>
  <c r="E104" i="42"/>
  <c r="C104" i="42"/>
  <c r="N103" i="42"/>
  <c r="L103" i="42"/>
  <c r="O103" i="42" s="1"/>
  <c r="I103" i="42"/>
  <c r="E103" i="42"/>
  <c r="C103" i="42"/>
  <c r="N102" i="42"/>
  <c r="L102" i="42"/>
  <c r="O102" i="42" s="1"/>
  <c r="I102" i="42"/>
  <c r="E102" i="42"/>
  <c r="C102" i="42"/>
  <c r="J102" i="42" s="1"/>
  <c r="N101" i="42"/>
  <c r="L101" i="42"/>
  <c r="I101" i="42"/>
  <c r="E101" i="42"/>
  <c r="C101" i="42"/>
  <c r="J101" i="42" s="1"/>
  <c r="N100" i="42"/>
  <c r="L100" i="42"/>
  <c r="O100" i="42" s="1"/>
  <c r="I100" i="42"/>
  <c r="E100" i="42"/>
  <c r="C100" i="42"/>
  <c r="N99" i="42"/>
  <c r="L99" i="42"/>
  <c r="O99" i="42" s="1"/>
  <c r="I99" i="42"/>
  <c r="E99" i="42"/>
  <c r="C99" i="42"/>
  <c r="N98" i="42"/>
  <c r="L98" i="42"/>
  <c r="O98" i="42" s="1"/>
  <c r="I98" i="42"/>
  <c r="E98" i="42"/>
  <c r="C98" i="42"/>
  <c r="J98" i="42" s="1"/>
  <c r="N97" i="42"/>
  <c r="O97" i="42" s="1"/>
  <c r="L97" i="42"/>
  <c r="I97" i="42"/>
  <c r="E97" i="42"/>
  <c r="C97" i="42"/>
  <c r="J97" i="42" s="1"/>
  <c r="N96" i="42"/>
  <c r="L96" i="42"/>
  <c r="O96" i="42" s="1"/>
  <c r="I96" i="42"/>
  <c r="E96" i="42"/>
  <c r="C96" i="42"/>
  <c r="N95" i="42"/>
  <c r="L95" i="42"/>
  <c r="O95" i="42" s="1"/>
  <c r="I95" i="42"/>
  <c r="E95" i="42"/>
  <c r="C95" i="42"/>
  <c r="N94" i="42"/>
  <c r="L94" i="42"/>
  <c r="O94" i="42" s="1"/>
  <c r="I94" i="42"/>
  <c r="E94" i="42"/>
  <c r="C94" i="42"/>
  <c r="J94" i="42" s="1"/>
  <c r="N93" i="42"/>
  <c r="O93" i="42" s="1"/>
  <c r="L93" i="42"/>
  <c r="I93" i="42"/>
  <c r="E93" i="42"/>
  <c r="C93" i="42"/>
  <c r="J93" i="42" s="1"/>
  <c r="N92" i="42"/>
  <c r="L92" i="42"/>
  <c r="O92" i="42" s="1"/>
  <c r="I92" i="42"/>
  <c r="E92" i="42"/>
  <c r="C92" i="42"/>
  <c r="N91" i="42"/>
  <c r="L91" i="42"/>
  <c r="O91" i="42" s="1"/>
  <c r="I91" i="42"/>
  <c r="E91" i="42"/>
  <c r="C91" i="42"/>
  <c r="N90" i="42"/>
  <c r="L90" i="42"/>
  <c r="O90" i="42" s="1"/>
  <c r="I90" i="42"/>
  <c r="E90" i="42"/>
  <c r="C90" i="42"/>
  <c r="J90" i="42" s="1"/>
  <c r="N89" i="42"/>
  <c r="O89" i="42" s="1"/>
  <c r="L89" i="42"/>
  <c r="I89" i="42"/>
  <c r="E89" i="42"/>
  <c r="C89" i="42"/>
  <c r="J89" i="42" s="1"/>
  <c r="N88" i="42"/>
  <c r="L88" i="42"/>
  <c r="O88" i="42" s="1"/>
  <c r="I88" i="42"/>
  <c r="E88" i="42"/>
  <c r="C88" i="42"/>
  <c r="N87" i="42"/>
  <c r="L87" i="42"/>
  <c r="O87" i="42" s="1"/>
  <c r="I87" i="42"/>
  <c r="E87" i="42"/>
  <c r="C87" i="42"/>
  <c r="N86" i="42"/>
  <c r="L86" i="42"/>
  <c r="O86" i="42" s="1"/>
  <c r="I86" i="42"/>
  <c r="E86" i="42"/>
  <c r="C86" i="42"/>
  <c r="J86" i="42" s="1"/>
  <c r="N85" i="42"/>
  <c r="O85" i="42" s="1"/>
  <c r="L85" i="42"/>
  <c r="I85" i="42"/>
  <c r="E85" i="42"/>
  <c r="C85" i="42"/>
  <c r="J85" i="42" s="1"/>
  <c r="N84" i="42"/>
  <c r="L84" i="42"/>
  <c r="O84" i="42" s="1"/>
  <c r="I84" i="42"/>
  <c r="E84" i="42"/>
  <c r="C84" i="42"/>
  <c r="N83" i="42"/>
  <c r="L83" i="42"/>
  <c r="O83" i="42" s="1"/>
  <c r="I83" i="42"/>
  <c r="E83" i="42"/>
  <c r="C83" i="42"/>
  <c r="N82" i="42"/>
  <c r="L82" i="42"/>
  <c r="O82" i="42" s="1"/>
  <c r="I82" i="42"/>
  <c r="E82" i="42"/>
  <c r="C82" i="42"/>
  <c r="J82" i="42" s="1"/>
  <c r="N81" i="42"/>
  <c r="O81" i="42" s="1"/>
  <c r="L81" i="42"/>
  <c r="I81" i="42"/>
  <c r="E81" i="42"/>
  <c r="C81" i="42"/>
  <c r="J81" i="42" s="1"/>
  <c r="N80" i="42"/>
  <c r="L80" i="42"/>
  <c r="O80" i="42" s="1"/>
  <c r="I80" i="42"/>
  <c r="E80" i="42"/>
  <c r="C80" i="42"/>
  <c r="N79" i="42"/>
  <c r="L79" i="42"/>
  <c r="O79" i="42" s="1"/>
  <c r="I79" i="42"/>
  <c r="E79" i="42"/>
  <c r="C79" i="42"/>
  <c r="N78" i="42"/>
  <c r="L78" i="42"/>
  <c r="O78" i="42" s="1"/>
  <c r="I78" i="42"/>
  <c r="E78" i="42"/>
  <c r="C78" i="42"/>
  <c r="J78" i="42" s="1"/>
  <c r="N77" i="42"/>
  <c r="O77" i="42" s="1"/>
  <c r="L77" i="42"/>
  <c r="I77" i="42"/>
  <c r="E77" i="42"/>
  <c r="C77" i="42"/>
  <c r="J77" i="42" s="1"/>
  <c r="N76" i="42"/>
  <c r="L76" i="42"/>
  <c r="O76" i="42" s="1"/>
  <c r="I76" i="42"/>
  <c r="E76" i="42"/>
  <c r="C76" i="42"/>
  <c r="N75" i="42"/>
  <c r="L75" i="42"/>
  <c r="O75" i="42" s="1"/>
  <c r="I75" i="42"/>
  <c r="E75" i="42"/>
  <c r="C75" i="42"/>
  <c r="N74" i="42"/>
  <c r="L74" i="42"/>
  <c r="O74" i="42" s="1"/>
  <c r="I74" i="42"/>
  <c r="E74" i="42"/>
  <c r="C74" i="42"/>
  <c r="J74" i="42" s="1"/>
  <c r="N73" i="42"/>
  <c r="O73" i="42" s="1"/>
  <c r="L73" i="42"/>
  <c r="I73" i="42"/>
  <c r="E73" i="42"/>
  <c r="C73" i="42"/>
  <c r="J73" i="42" s="1"/>
  <c r="N72" i="42"/>
  <c r="L72" i="42"/>
  <c r="O72" i="42" s="1"/>
  <c r="I72" i="42"/>
  <c r="E72" i="42"/>
  <c r="C72" i="42"/>
  <c r="N71" i="42"/>
  <c r="L71" i="42"/>
  <c r="O71" i="42" s="1"/>
  <c r="I71" i="42"/>
  <c r="E71" i="42"/>
  <c r="C71" i="42"/>
  <c r="N70" i="42"/>
  <c r="L70" i="42"/>
  <c r="O70" i="42" s="1"/>
  <c r="I70" i="42"/>
  <c r="E70" i="42"/>
  <c r="C70" i="42"/>
  <c r="J70" i="42" s="1"/>
  <c r="N69" i="42"/>
  <c r="O69" i="42" s="1"/>
  <c r="L69" i="42"/>
  <c r="I69" i="42"/>
  <c r="E69" i="42"/>
  <c r="C69" i="42"/>
  <c r="J69" i="42" s="1"/>
  <c r="N68" i="42"/>
  <c r="L68" i="42"/>
  <c r="O68" i="42" s="1"/>
  <c r="I68" i="42"/>
  <c r="E68" i="42"/>
  <c r="C68" i="42"/>
  <c r="N67" i="42"/>
  <c r="L67" i="42"/>
  <c r="O67" i="42" s="1"/>
  <c r="I67" i="42"/>
  <c r="E67" i="42"/>
  <c r="C67" i="42"/>
  <c r="N66" i="42"/>
  <c r="L66" i="42"/>
  <c r="O66" i="42" s="1"/>
  <c r="I66" i="42"/>
  <c r="E66" i="42"/>
  <c r="C66" i="42"/>
  <c r="N65" i="42"/>
  <c r="L65" i="42"/>
  <c r="O65" i="42" s="1"/>
  <c r="I65" i="42"/>
  <c r="E65" i="42"/>
  <c r="C65" i="42"/>
  <c r="N64" i="42"/>
  <c r="L64" i="42"/>
  <c r="O64" i="42" s="1"/>
  <c r="I64" i="42"/>
  <c r="E64" i="42"/>
  <c r="C64" i="42"/>
  <c r="J64" i="42" s="1"/>
  <c r="P64" i="42" s="1"/>
  <c r="N63" i="42"/>
  <c r="O63" i="42" s="1"/>
  <c r="L63" i="42"/>
  <c r="I63" i="42"/>
  <c r="E63" i="42"/>
  <c r="C63" i="42"/>
  <c r="J63" i="42" s="1"/>
  <c r="N62" i="42"/>
  <c r="L62" i="42"/>
  <c r="O62" i="42" s="1"/>
  <c r="I62" i="42"/>
  <c r="E62" i="42"/>
  <c r="C62" i="42"/>
  <c r="N61" i="42"/>
  <c r="L61" i="42"/>
  <c r="O61" i="42" s="1"/>
  <c r="I61" i="42"/>
  <c r="E61" i="42"/>
  <c r="C61" i="42"/>
  <c r="N60" i="42"/>
  <c r="L60" i="42"/>
  <c r="O60" i="42" s="1"/>
  <c r="I60" i="42"/>
  <c r="E60" i="42"/>
  <c r="C60" i="42"/>
  <c r="J60" i="42" s="1"/>
  <c r="O59" i="42"/>
  <c r="P59" i="42" s="1"/>
  <c r="N59" i="42"/>
  <c r="L59" i="42"/>
  <c r="I59" i="42"/>
  <c r="E59" i="42"/>
  <c r="C59" i="42"/>
  <c r="J59" i="42" s="1"/>
  <c r="N58" i="42"/>
  <c r="O58" i="42" s="1"/>
  <c r="P58" i="42" s="1"/>
  <c r="L58" i="42"/>
  <c r="I58" i="42"/>
  <c r="E58" i="42"/>
  <c r="C58" i="42"/>
  <c r="J58" i="42" s="1"/>
  <c r="O57" i="42"/>
  <c r="P57" i="42" s="1"/>
  <c r="N57" i="42"/>
  <c r="L57" i="42"/>
  <c r="I57" i="42"/>
  <c r="E57" i="42"/>
  <c r="C57" i="42"/>
  <c r="J57" i="42" s="1"/>
  <c r="N56" i="42"/>
  <c r="L56" i="42"/>
  <c r="O56" i="42" s="1"/>
  <c r="I56" i="42"/>
  <c r="E56" i="42"/>
  <c r="C56" i="42"/>
  <c r="N55" i="42"/>
  <c r="L55" i="42"/>
  <c r="O55" i="42" s="1"/>
  <c r="I55" i="42"/>
  <c r="E55" i="42"/>
  <c r="C55" i="42"/>
  <c r="N54" i="42"/>
  <c r="L54" i="42"/>
  <c r="O54" i="42" s="1"/>
  <c r="I54" i="42"/>
  <c r="E54" i="42"/>
  <c r="C54" i="42"/>
  <c r="J54" i="42" s="1"/>
  <c r="N53" i="42"/>
  <c r="O53" i="42" s="1"/>
  <c r="L53" i="42"/>
  <c r="I53" i="42"/>
  <c r="E53" i="42"/>
  <c r="C53" i="42"/>
  <c r="J53" i="42" s="1"/>
  <c r="N52" i="42"/>
  <c r="L52" i="42"/>
  <c r="O52" i="42" s="1"/>
  <c r="I52" i="42"/>
  <c r="E52" i="42"/>
  <c r="C52" i="42"/>
  <c r="N51" i="42"/>
  <c r="L51" i="42"/>
  <c r="O51" i="42" s="1"/>
  <c r="I51" i="42"/>
  <c r="E51" i="42"/>
  <c r="C51" i="42"/>
  <c r="N50" i="42"/>
  <c r="L50" i="42"/>
  <c r="O50" i="42" s="1"/>
  <c r="I50" i="42"/>
  <c r="E50" i="42"/>
  <c r="C50" i="42"/>
  <c r="N49" i="42"/>
  <c r="L49" i="42"/>
  <c r="O49" i="42" s="1"/>
  <c r="I49" i="42"/>
  <c r="E49" i="42"/>
  <c r="C49" i="42"/>
  <c r="N48" i="42"/>
  <c r="L48" i="42"/>
  <c r="O48" i="42" s="1"/>
  <c r="I48" i="42"/>
  <c r="E48" i="42"/>
  <c r="C48" i="42"/>
  <c r="J48" i="42" s="1"/>
  <c r="P48" i="42" s="1"/>
  <c r="N47" i="42"/>
  <c r="O47" i="42" s="1"/>
  <c r="L47" i="42"/>
  <c r="I47" i="42"/>
  <c r="E47" i="42"/>
  <c r="C47" i="42"/>
  <c r="J47" i="42" s="1"/>
  <c r="N46" i="42"/>
  <c r="L46" i="42"/>
  <c r="O46" i="42" s="1"/>
  <c r="I46" i="42"/>
  <c r="E46" i="42"/>
  <c r="C46" i="42"/>
  <c r="N45" i="42"/>
  <c r="L45" i="42"/>
  <c r="O45" i="42" s="1"/>
  <c r="I45" i="42"/>
  <c r="E45" i="42"/>
  <c r="C45" i="42"/>
  <c r="N44" i="42"/>
  <c r="L44" i="42"/>
  <c r="O44" i="42" s="1"/>
  <c r="I44" i="42"/>
  <c r="E44" i="42"/>
  <c r="C44" i="42"/>
  <c r="N43" i="42"/>
  <c r="L43" i="42"/>
  <c r="O43" i="42" s="1"/>
  <c r="I43" i="42"/>
  <c r="E43" i="42"/>
  <c r="C43" i="42"/>
  <c r="J43" i="42" s="1"/>
  <c r="O42" i="42"/>
  <c r="P42" i="42" s="1"/>
  <c r="N42" i="42"/>
  <c r="L42" i="42"/>
  <c r="I42" i="42"/>
  <c r="E42" i="42"/>
  <c r="C42" i="42"/>
  <c r="J42" i="42" s="1"/>
  <c r="N41" i="42"/>
  <c r="O41" i="42" s="1"/>
  <c r="P41" i="42" s="1"/>
  <c r="L41" i="42"/>
  <c r="I41" i="42"/>
  <c r="E41" i="42"/>
  <c r="C41" i="42"/>
  <c r="J41" i="42" s="1"/>
  <c r="O40" i="42"/>
  <c r="P40" i="42" s="1"/>
  <c r="N40" i="42"/>
  <c r="L40" i="42"/>
  <c r="I40" i="42"/>
  <c r="E40" i="42"/>
  <c r="C40" i="42"/>
  <c r="J40" i="42" s="1"/>
  <c r="N39" i="42"/>
  <c r="L39" i="42"/>
  <c r="O39" i="42" s="1"/>
  <c r="I39" i="42"/>
  <c r="E39" i="42"/>
  <c r="C39" i="42"/>
  <c r="N38" i="42"/>
  <c r="L38" i="42"/>
  <c r="O38" i="42" s="1"/>
  <c r="I38" i="42"/>
  <c r="E38" i="42"/>
  <c r="C38" i="42"/>
  <c r="O37" i="42"/>
  <c r="N37" i="42"/>
  <c r="L37" i="42"/>
  <c r="I37" i="42"/>
  <c r="E37" i="42"/>
  <c r="C37" i="42"/>
  <c r="J37" i="42" s="1"/>
  <c r="O36" i="42"/>
  <c r="N36" i="42"/>
  <c r="L36" i="42"/>
  <c r="I36" i="42"/>
  <c r="E36" i="42"/>
  <c r="C36" i="42"/>
  <c r="J36" i="42" s="1"/>
  <c r="I35" i="42"/>
  <c r="E35" i="42"/>
  <c r="C35" i="42"/>
  <c r="I34" i="42"/>
  <c r="E34" i="42"/>
  <c r="C34" i="42"/>
  <c r="I33" i="42"/>
  <c r="E33" i="42"/>
  <c r="C33" i="42"/>
  <c r="J33" i="42" s="1"/>
  <c r="P33" i="42" s="1"/>
  <c r="P32" i="42"/>
  <c r="J32" i="42"/>
  <c r="I32" i="42"/>
  <c r="E32" i="42"/>
  <c r="C32" i="42"/>
  <c r="I31" i="42"/>
  <c r="E31" i="42"/>
  <c r="C31" i="42"/>
  <c r="I30" i="42"/>
  <c r="E30" i="42"/>
  <c r="C30" i="42"/>
  <c r="I29" i="42"/>
  <c r="E29" i="42"/>
  <c r="C29" i="42"/>
  <c r="I28" i="42"/>
  <c r="E28" i="42"/>
  <c r="C28" i="42"/>
  <c r="J28" i="42" s="1"/>
  <c r="P28" i="42" s="1"/>
  <c r="I27" i="42"/>
  <c r="E27" i="42"/>
  <c r="C27" i="42"/>
  <c r="I26" i="42"/>
  <c r="E26" i="42"/>
  <c r="C26" i="42"/>
  <c r="I25" i="42"/>
  <c r="E25" i="42"/>
  <c r="C25" i="42"/>
  <c r="J24" i="42"/>
  <c r="P24" i="42" s="1"/>
  <c r="I24" i="42"/>
  <c r="E24" i="42"/>
  <c r="C24" i="42"/>
  <c r="I23" i="42"/>
  <c r="E23" i="42"/>
  <c r="C23" i="42"/>
  <c r="I22" i="42"/>
  <c r="E22" i="42"/>
  <c r="C22" i="42"/>
  <c r="I21" i="42"/>
  <c r="E21" i="42"/>
  <c r="C21" i="42"/>
  <c r="J21" i="42" s="1"/>
  <c r="P21" i="42" s="1"/>
  <c r="I20" i="42"/>
  <c r="E20" i="42"/>
  <c r="C20" i="42"/>
  <c r="I19" i="42"/>
  <c r="E19" i="42"/>
  <c r="C19" i="42"/>
  <c r="J19" i="42" s="1"/>
  <c r="P19" i="42" s="1"/>
  <c r="I18" i="42"/>
  <c r="E18" i="42"/>
  <c r="C18" i="42"/>
  <c r="I17" i="42"/>
  <c r="E17" i="42"/>
  <c r="C17" i="42"/>
  <c r="I16" i="42"/>
  <c r="E16" i="42"/>
  <c r="C16" i="42"/>
  <c r="J16" i="42" s="1"/>
  <c r="P16" i="42" s="1"/>
  <c r="I15" i="42"/>
  <c r="E15" i="42"/>
  <c r="C15" i="42"/>
  <c r="I14" i="42"/>
  <c r="E14" i="42"/>
  <c r="C14" i="42"/>
  <c r="J14" i="42" s="1"/>
  <c r="P14" i="42" s="1"/>
  <c r="I13" i="42"/>
  <c r="J13" i="42" s="1"/>
  <c r="P13" i="42" s="1"/>
  <c r="E13" i="42"/>
  <c r="C13" i="42"/>
  <c r="I12" i="42"/>
  <c r="E12" i="42"/>
  <c r="C12" i="42"/>
  <c r="J12" i="42" s="1"/>
  <c r="P12" i="42" s="1"/>
  <c r="I11" i="42"/>
  <c r="E11" i="42"/>
  <c r="C11" i="42"/>
  <c r="J11" i="42" s="1"/>
  <c r="P11" i="42" s="1"/>
  <c r="J10" i="42"/>
  <c r="P10" i="42" s="1"/>
  <c r="I10" i="42"/>
  <c r="E10" i="42"/>
  <c r="C10" i="42"/>
  <c r="I9" i="42"/>
  <c r="E9" i="42"/>
  <c r="C9" i="42"/>
  <c r="J9" i="42" s="1"/>
  <c r="P9" i="42" s="1"/>
  <c r="J8" i="42"/>
  <c r="P8" i="42" s="1"/>
  <c r="I8" i="42"/>
  <c r="E8" i="42"/>
  <c r="C8" i="42"/>
  <c r="I7" i="42"/>
  <c r="E7" i="42"/>
  <c r="C7" i="42"/>
  <c r="J7" i="42" s="1"/>
  <c r="P7" i="42" s="1"/>
  <c r="I6" i="42"/>
  <c r="E6" i="42"/>
  <c r="C6" i="42"/>
  <c r="L47" i="40" l="1"/>
  <c r="CN2" i="36"/>
  <c r="K14" i="41"/>
  <c r="K10" i="35" s="1"/>
  <c r="L118" i="40"/>
  <c r="CA6" i="36"/>
  <c r="CN6" i="36"/>
  <c r="O158" i="42"/>
  <c r="O113" i="42"/>
  <c r="O105" i="42"/>
  <c r="P105" i="42" s="1"/>
  <c r="O101" i="42"/>
  <c r="P101" i="42" s="1"/>
  <c r="O109" i="42"/>
  <c r="P109" i="42" s="1"/>
  <c r="O117" i="42"/>
  <c r="P117" i="42" s="1"/>
  <c r="O121" i="42"/>
  <c r="P121" i="42" s="1"/>
  <c r="P145" i="42"/>
  <c r="O160" i="42"/>
  <c r="O156" i="42"/>
  <c r="P156" i="42" s="1"/>
  <c r="O157" i="42"/>
  <c r="P43" i="42"/>
  <c r="P60" i="42"/>
  <c r="P74" i="42"/>
  <c r="J20" i="42"/>
  <c r="P20" i="42" s="1"/>
  <c r="J30" i="42"/>
  <c r="P30" i="42" s="1"/>
  <c r="J45" i="42"/>
  <c r="P45" i="42" s="1"/>
  <c r="J50" i="42"/>
  <c r="P50" i="42" s="1"/>
  <c r="J55" i="42"/>
  <c r="P55" i="42" s="1"/>
  <c r="J61" i="42"/>
  <c r="P61" i="42" s="1"/>
  <c r="J66" i="42"/>
  <c r="P66" i="42" s="1"/>
  <c r="J71" i="42"/>
  <c r="P71" i="42" s="1"/>
  <c r="J75" i="42"/>
  <c r="P75" i="42" s="1"/>
  <c r="J79" i="42"/>
  <c r="P79" i="42" s="1"/>
  <c r="J83" i="42"/>
  <c r="P83" i="42" s="1"/>
  <c r="J87" i="42"/>
  <c r="P87" i="42" s="1"/>
  <c r="J91" i="42"/>
  <c r="P91" i="42" s="1"/>
  <c r="J95" i="42"/>
  <c r="P95" i="42" s="1"/>
  <c r="J99" i="42"/>
  <c r="P99" i="42" s="1"/>
  <c r="J103" i="42"/>
  <c r="P103" i="42" s="1"/>
  <c r="J107" i="42"/>
  <c r="J111" i="42"/>
  <c r="P111" i="42" s="1"/>
  <c r="J115" i="42"/>
  <c r="P115" i="42" s="1"/>
  <c r="J119" i="42"/>
  <c r="P119" i="42" s="1"/>
  <c r="J123" i="42"/>
  <c r="J131" i="42"/>
  <c r="J158" i="42"/>
  <c r="P158" i="42" s="1"/>
  <c r="J6" i="42"/>
  <c r="P6" i="42" s="1"/>
  <c r="J25" i="42"/>
  <c r="P25" i="42" s="1"/>
  <c r="J35" i="42"/>
  <c r="P35" i="42" s="1"/>
  <c r="J38" i="42"/>
  <c r="P38" i="42" s="1"/>
  <c r="J44" i="42"/>
  <c r="P44" i="42" s="1"/>
  <c r="J49" i="42"/>
  <c r="P49" i="42" s="1"/>
  <c r="J65" i="42"/>
  <c r="P65" i="42" s="1"/>
  <c r="J128" i="42"/>
  <c r="P128" i="42" s="1"/>
  <c r="O129" i="42"/>
  <c r="P129" i="42" s="1"/>
  <c r="J139" i="42"/>
  <c r="P139" i="42" s="1"/>
  <c r="J142" i="42"/>
  <c r="P142" i="42" s="1"/>
  <c r="O147" i="42"/>
  <c r="P147" i="42" s="1"/>
  <c r="O151" i="42"/>
  <c r="P151" i="42" s="1"/>
  <c r="O155" i="42"/>
  <c r="P155" i="42" s="1"/>
  <c r="P78" i="42"/>
  <c r="P90" i="42"/>
  <c r="P98" i="42"/>
  <c r="P106" i="42"/>
  <c r="P118" i="42"/>
  <c r="P37" i="42"/>
  <c r="P82" i="42"/>
  <c r="P53" i="42"/>
  <c r="P63" i="42"/>
  <c r="P73" i="42"/>
  <c r="P77" i="42"/>
  <c r="P81" i="42"/>
  <c r="P85" i="42"/>
  <c r="P93" i="42"/>
  <c r="P113" i="42"/>
  <c r="P36" i="42"/>
  <c r="J157" i="42"/>
  <c r="P157" i="42" s="1"/>
  <c r="O159" i="42"/>
  <c r="P54" i="42"/>
  <c r="P70" i="42"/>
  <c r="P94" i="42"/>
  <c r="P102" i="42"/>
  <c r="P110" i="42"/>
  <c r="P114" i="42"/>
  <c r="P122" i="42"/>
  <c r="O131" i="42"/>
  <c r="P131" i="42" s="1"/>
  <c r="P89" i="42"/>
  <c r="P97" i="42"/>
  <c r="J52" i="42"/>
  <c r="P52" i="42" s="1"/>
  <c r="J62" i="42"/>
  <c r="P62" i="42" s="1"/>
  <c r="J68" i="42"/>
  <c r="P68" i="42" s="1"/>
  <c r="J72" i="42"/>
  <c r="P72" i="42" s="1"/>
  <c r="J76" i="42"/>
  <c r="P76" i="42" s="1"/>
  <c r="J80" i="42"/>
  <c r="P80" i="42" s="1"/>
  <c r="J84" i="42"/>
  <c r="P84" i="42" s="1"/>
  <c r="J88" i="42"/>
  <c r="P88" i="42" s="1"/>
  <c r="J92" i="42"/>
  <c r="P92" i="42" s="1"/>
  <c r="J96" i="42"/>
  <c r="P96" i="42" s="1"/>
  <c r="J100" i="42"/>
  <c r="P100" i="42" s="1"/>
  <c r="J104" i="42"/>
  <c r="P104" i="42" s="1"/>
  <c r="J108" i="42"/>
  <c r="P108" i="42" s="1"/>
  <c r="J112" i="42"/>
  <c r="P112" i="42" s="1"/>
  <c r="J116" i="42"/>
  <c r="P116" i="42" s="1"/>
  <c r="J120" i="42"/>
  <c r="P120" i="42" s="1"/>
  <c r="J129" i="42"/>
  <c r="J135" i="42"/>
  <c r="P135" i="42" s="1"/>
  <c r="J140" i="42"/>
  <c r="P140" i="42" s="1"/>
  <c r="P86" i="42"/>
  <c r="P47" i="42"/>
  <c r="P69" i="42"/>
  <c r="J17" i="42"/>
  <c r="P17" i="42" s="1"/>
  <c r="J46" i="42"/>
  <c r="P46" i="42" s="1"/>
  <c r="J56" i="42"/>
  <c r="P56" i="42" s="1"/>
  <c r="J22" i="42"/>
  <c r="P22" i="42" s="1"/>
  <c r="J27" i="42"/>
  <c r="P27" i="42" s="1"/>
  <c r="J29" i="42"/>
  <c r="P29" i="42" s="1"/>
  <c r="J39" i="42"/>
  <c r="P39" i="42" s="1"/>
  <c r="J51" i="42"/>
  <c r="P51" i="42" s="1"/>
  <c r="J67" i="42"/>
  <c r="P67" i="42" s="1"/>
  <c r="J126" i="42"/>
  <c r="O127" i="42"/>
  <c r="P127" i="42" s="1"/>
  <c r="J137" i="42"/>
  <c r="P137" i="42" s="1"/>
  <c r="O144" i="42"/>
  <c r="P144" i="42" s="1"/>
  <c r="O148" i="42"/>
  <c r="P148" i="42" s="1"/>
  <c r="O152" i="42"/>
  <c r="P152" i="42" s="1"/>
  <c r="J163" i="42"/>
  <c r="J161" i="42"/>
  <c r="J162" i="42"/>
  <c r="J160" i="42"/>
  <c r="P160" i="42" s="1"/>
  <c r="O163" i="42"/>
  <c r="O162" i="42"/>
  <c r="O161" i="42"/>
  <c r="P123" i="42"/>
  <c r="J159" i="42"/>
  <c r="J15" i="42"/>
  <c r="P15" i="42" s="1"/>
  <c r="J26" i="42"/>
  <c r="P26" i="42" s="1"/>
  <c r="J31" i="42"/>
  <c r="P31" i="42" s="1"/>
  <c r="P146" i="42"/>
  <c r="P150" i="42"/>
  <c r="P154" i="42"/>
  <c r="J18" i="42"/>
  <c r="P18" i="42" s="1"/>
  <c r="J23" i="42"/>
  <c r="P23" i="42" s="1"/>
  <c r="J34" i="42"/>
  <c r="P34" i="42" s="1"/>
  <c r="P124" i="42"/>
  <c r="P126" i="42"/>
  <c r="P163" i="42" l="1"/>
  <c r="P162" i="42"/>
  <c r="P159" i="42"/>
  <c r="P161" i="42"/>
  <c r="E2" i="40"/>
  <c r="E3" i="40"/>
  <c r="C2" i="40"/>
  <c r="C3" i="40"/>
  <c r="M11" i="41" l="1"/>
  <c r="P11" i="41" s="1"/>
  <c r="M13" i="41"/>
  <c r="P13" i="41" s="1"/>
  <c r="M10" i="41"/>
  <c r="P10" i="41" s="1"/>
  <c r="M7" i="41"/>
  <c r="P7" i="41" s="1"/>
  <c r="M8" i="41"/>
  <c r="P8" i="41" s="1"/>
  <c r="M9" i="41"/>
  <c r="P9" i="41" s="1"/>
  <c r="M6" i="41"/>
  <c r="P6" i="41" s="1"/>
  <c r="M12" i="41"/>
  <c r="P12" i="41" s="1"/>
  <c r="K126" i="40" l="1"/>
  <c r="K17" i="41" s="1"/>
  <c r="R126" i="38"/>
  <c r="R125" i="38"/>
  <c r="K76" i="40"/>
  <c r="H48" i="38"/>
  <c r="D48" i="40" s="1"/>
  <c r="H44" i="38"/>
  <c r="D44" i="40" s="1"/>
  <c r="K13" i="35" l="1"/>
  <c r="M13" i="35" s="1"/>
  <c r="M17" i="41"/>
  <c r="P17" i="41" s="1"/>
  <c r="K74" i="40"/>
  <c r="K44" i="40"/>
  <c r="L44" i="40" s="1"/>
  <c r="K48" i="40"/>
  <c r="L48" i="40" s="1"/>
  <c r="K59" i="40"/>
  <c r="L59" i="40" s="1"/>
  <c r="K60" i="40"/>
  <c r="L60" i="40" s="1"/>
  <c r="K68" i="40"/>
  <c r="K71" i="40"/>
  <c r="L71" i="40" s="1"/>
  <c r="K73" i="40"/>
  <c r="L73" i="40" s="1"/>
  <c r="K75" i="40"/>
  <c r="L75" i="40" s="1"/>
  <c r="T5" i="36"/>
  <c r="G125" i="40"/>
  <c r="AM5" i="36" s="1"/>
  <c r="T6" i="36"/>
  <c r="G126" i="40"/>
  <c r="AM6" i="36" s="1"/>
  <c r="CA3" i="36"/>
  <c r="CA4" i="36" s="1"/>
  <c r="AQ6" i="36"/>
  <c r="K15" i="41"/>
  <c r="K11" i="35" s="1"/>
  <c r="CN3" i="36"/>
  <c r="CN4" i="36" s="1"/>
  <c r="P127" i="38"/>
  <c r="D127" i="38"/>
  <c r="G23" i="66" s="1"/>
  <c r="H23" i="66" s="1"/>
  <c r="I23" i="66" s="1"/>
  <c r="P126" i="38"/>
  <c r="D126" i="38"/>
  <c r="G22" i="66" s="1"/>
  <c r="H22" i="66" s="1"/>
  <c r="I22" i="66" s="1"/>
  <c r="P125" i="38"/>
  <c r="D125" i="38"/>
  <c r="G21" i="66" s="1"/>
  <c r="H21" i="66" s="1"/>
  <c r="I21" i="66" s="1"/>
  <c r="R124" i="38"/>
  <c r="P124" i="38"/>
  <c r="V124" i="38"/>
  <c r="G124" i="38"/>
  <c r="F124" i="38"/>
  <c r="E124" i="38"/>
  <c r="D124" i="38"/>
  <c r="G20" i="66" s="1"/>
  <c r="H20" i="66" s="1"/>
  <c r="I20" i="66" s="1"/>
  <c r="R123" i="38"/>
  <c r="P123" i="38"/>
  <c r="G123" i="38"/>
  <c r="F123" i="38"/>
  <c r="E123" i="38"/>
  <c r="D123" i="38"/>
  <c r="G19" i="66" s="1"/>
  <c r="H19" i="66" s="1"/>
  <c r="I19" i="66" s="1"/>
  <c r="R122" i="38"/>
  <c r="Q2" i="36" s="1"/>
  <c r="D122" i="38"/>
  <c r="G18" i="66" s="1"/>
  <c r="P119" i="38"/>
  <c r="D119" i="40" s="1"/>
  <c r="P116" i="38"/>
  <c r="D116" i="40" s="1"/>
  <c r="P113" i="38"/>
  <c r="D113" i="40" s="1"/>
  <c r="P111" i="38"/>
  <c r="D111" i="40" s="1"/>
  <c r="P109" i="38"/>
  <c r="D109" i="40" s="1"/>
  <c r="P108" i="38"/>
  <c r="D108" i="40" s="1"/>
  <c r="P107" i="38"/>
  <c r="D107" i="40" s="1"/>
  <c r="P105" i="38"/>
  <c r="D105" i="40" s="1"/>
  <c r="P103" i="38"/>
  <c r="D103" i="40" s="1"/>
  <c r="P102" i="38"/>
  <c r="D102" i="40" s="1"/>
  <c r="P96" i="38"/>
  <c r="D96" i="40" s="1"/>
  <c r="P93" i="38"/>
  <c r="D93" i="40" s="1"/>
  <c r="P90" i="38"/>
  <c r="D90" i="40" s="1"/>
  <c r="P89" i="38"/>
  <c r="D89" i="40" s="1"/>
  <c r="P87" i="38"/>
  <c r="D87" i="40" s="1"/>
  <c r="P85" i="38"/>
  <c r="D85" i="40" s="1"/>
  <c r="P84" i="38"/>
  <c r="D84" i="40" s="1"/>
  <c r="P79" i="38"/>
  <c r="D79" i="40" s="1"/>
  <c r="G76" i="40"/>
  <c r="P76" i="38"/>
  <c r="D76" i="38"/>
  <c r="D74" i="38"/>
  <c r="P72" i="38"/>
  <c r="D72" i="40" s="1"/>
  <c r="R68" i="38"/>
  <c r="G68" i="40" s="1"/>
  <c r="P68" i="38"/>
  <c r="P66" i="38"/>
  <c r="D66" i="40" s="1"/>
  <c r="P65" i="38"/>
  <c r="D65" i="40" s="1"/>
  <c r="P63" i="38"/>
  <c r="D63" i="40" s="1"/>
  <c r="G49" i="38"/>
  <c r="U40" i="38"/>
  <c r="D40" i="40" s="1"/>
  <c r="D39" i="38"/>
  <c r="U39" i="38"/>
  <c r="D39" i="40" s="1"/>
  <c r="U38" i="38"/>
  <c r="D38" i="40" s="1"/>
  <c r="D37" i="38"/>
  <c r="U37" i="38"/>
  <c r="D37" i="40" s="1"/>
  <c r="D36" i="38"/>
  <c r="U36" i="38"/>
  <c r="D36" i="40" s="1"/>
  <c r="D35" i="38"/>
  <c r="U35" i="38"/>
  <c r="D35" i="40" s="1"/>
  <c r="D34" i="38"/>
  <c r="U34" i="38"/>
  <c r="D34" i="40" s="1"/>
  <c r="D33" i="38"/>
  <c r="U33" i="38"/>
  <c r="D33" i="40" s="1"/>
  <c r="D32" i="38"/>
  <c r="U32" i="38"/>
  <c r="D32" i="40" s="1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2" i="38"/>
  <c r="BT6" i="36" l="1"/>
  <c r="D125" i="40"/>
  <c r="AJ5" i="36" s="1"/>
  <c r="Q5" i="36"/>
  <c r="D126" i="40"/>
  <c r="AJ6" i="36" s="1"/>
  <c r="Q6" i="36"/>
  <c r="D127" i="40"/>
  <c r="AJ7" i="36" s="1"/>
  <c r="Q7" i="36"/>
  <c r="D122" i="40"/>
  <c r="AJ2" i="36" s="1"/>
  <c r="R2" i="36"/>
  <c r="CG6" i="36"/>
  <c r="J76" i="40"/>
  <c r="D76" i="40"/>
  <c r="D14" i="41"/>
  <c r="D10" i="35" s="1"/>
  <c r="BT2" i="36"/>
  <c r="CG2" i="36"/>
  <c r="D68" i="40"/>
  <c r="O13" i="35"/>
  <c r="Q13" i="35"/>
  <c r="G30" i="66"/>
  <c r="H18" i="66"/>
  <c r="B2" i="40"/>
  <c r="L2" i="40" s="1"/>
  <c r="B3" i="40"/>
  <c r="L3" i="40" s="1"/>
  <c r="B4" i="40"/>
  <c r="L4" i="40" s="1"/>
  <c r="B5" i="40"/>
  <c r="L5" i="40" s="1"/>
  <c r="B6" i="40"/>
  <c r="L6" i="40" s="1"/>
  <c r="B7" i="40"/>
  <c r="L7" i="40" s="1"/>
  <c r="B8" i="40"/>
  <c r="L8" i="40" s="1"/>
  <c r="B9" i="40"/>
  <c r="L9" i="40" s="1"/>
  <c r="B10" i="40"/>
  <c r="L10" i="40" s="1"/>
  <c r="B11" i="40"/>
  <c r="L11" i="40" s="1"/>
  <c r="B12" i="40"/>
  <c r="L12" i="40" s="1"/>
  <c r="B13" i="40"/>
  <c r="L13" i="40" s="1"/>
  <c r="B14" i="40"/>
  <c r="L14" i="40" s="1"/>
  <c r="B15" i="40"/>
  <c r="L15" i="40" s="1"/>
  <c r="B16" i="40"/>
  <c r="L16" i="40" s="1"/>
  <c r="B17" i="40"/>
  <c r="L17" i="40" s="1"/>
  <c r="B18" i="40"/>
  <c r="L18" i="40" s="1"/>
  <c r="B19" i="40"/>
  <c r="L19" i="40" s="1"/>
  <c r="B20" i="40"/>
  <c r="L20" i="40" s="1"/>
  <c r="B21" i="40"/>
  <c r="L21" i="40" s="1"/>
  <c r="B22" i="40"/>
  <c r="L22" i="40" s="1"/>
  <c r="B23" i="40"/>
  <c r="L23" i="40" s="1"/>
  <c r="B24" i="40"/>
  <c r="L24" i="40" s="1"/>
  <c r="B25" i="40"/>
  <c r="L25" i="40" s="1"/>
  <c r="B26" i="40"/>
  <c r="L26" i="40" s="1"/>
  <c r="B27" i="40"/>
  <c r="L27" i="40" s="1"/>
  <c r="B28" i="40"/>
  <c r="L28" i="40" s="1"/>
  <c r="B29" i="40"/>
  <c r="L29" i="40" s="1"/>
  <c r="B30" i="40"/>
  <c r="L30" i="40" s="1"/>
  <c r="B31" i="40"/>
  <c r="L31" i="40" s="1"/>
  <c r="B32" i="40"/>
  <c r="L32" i="40" s="1"/>
  <c r="B33" i="40"/>
  <c r="L33" i="40" s="1"/>
  <c r="B34" i="40"/>
  <c r="L34" i="40" s="1"/>
  <c r="B35" i="40"/>
  <c r="L35" i="40" s="1"/>
  <c r="B36" i="40"/>
  <c r="L36" i="40" s="1"/>
  <c r="B37" i="40"/>
  <c r="L37" i="40" s="1"/>
  <c r="B38" i="40"/>
  <c r="L38" i="40" s="1"/>
  <c r="B39" i="40"/>
  <c r="L39" i="40" s="1"/>
  <c r="B40" i="40"/>
  <c r="L40" i="40" s="1"/>
  <c r="D49" i="40"/>
  <c r="L49" i="40" s="1"/>
  <c r="J63" i="40"/>
  <c r="L63" i="40" s="1"/>
  <c r="J65" i="40"/>
  <c r="L65" i="40" s="1"/>
  <c r="J66" i="40"/>
  <c r="L66" i="40" s="1"/>
  <c r="J68" i="40"/>
  <c r="G69" i="40"/>
  <c r="L69" i="40" s="1"/>
  <c r="J72" i="40"/>
  <c r="L72" i="40" s="1"/>
  <c r="B74" i="40"/>
  <c r="L74" i="40" s="1"/>
  <c r="B76" i="40"/>
  <c r="L76" i="40" s="1"/>
  <c r="J79" i="40"/>
  <c r="L79" i="40" s="1"/>
  <c r="J84" i="40"/>
  <c r="L84" i="40" s="1"/>
  <c r="J85" i="40"/>
  <c r="L85" i="40" s="1"/>
  <c r="J87" i="40"/>
  <c r="L87" i="40" s="1"/>
  <c r="J89" i="40"/>
  <c r="L89" i="40" s="1"/>
  <c r="J90" i="40"/>
  <c r="L90" i="40" s="1"/>
  <c r="J93" i="40"/>
  <c r="L93" i="40" s="1"/>
  <c r="J96" i="40"/>
  <c r="L96" i="40" s="1"/>
  <c r="J102" i="40"/>
  <c r="J103" i="40"/>
  <c r="L103" i="40" s="1"/>
  <c r="J105" i="40"/>
  <c r="L105" i="40" s="1"/>
  <c r="J107" i="40"/>
  <c r="L107" i="40" s="1"/>
  <c r="J108" i="40"/>
  <c r="J109" i="40"/>
  <c r="L109" i="40" s="1"/>
  <c r="J111" i="40"/>
  <c r="J113" i="40"/>
  <c r="L113" i="40" s="1"/>
  <c r="J116" i="40"/>
  <c r="J119" i="40"/>
  <c r="L119" i="40" s="1"/>
  <c r="B122" i="40"/>
  <c r="G122" i="40"/>
  <c r="B123" i="40"/>
  <c r="AH3" i="36" s="1"/>
  <c r="C123" i="40"/>
  <c r="D123" i="40"/>
  <c r="J123" i="40"/>
  <c r="T3" i="36"/>
  <c r="G123" i="40"/>
  <c r="AM3" i="36" s="1"/>
  <c r="B124" i="40"/>
  <c r="C124" i="40"/>
  <c r="AI4" i="36" s="1"/>
  <c r="D124" i="40"/>
  <c r="AJ4" i="36" s="1"/>
  <c r="R4" i="36"/>
  <c r="J124" i="40"/>
  <c r="AP4" i="36" s="1"/>
  <c r="T4" i="36"/>
  <c r="G124" i="40"/>
  <c r="AM4" i="36" s="1"/>
  <c r="B125" i="40"/>
  <c r="R5" i="36"/>
  <c r="J125" i="40"/>
  <c r="AP5" i="36" s="1"/>
  <c r="B126" i="40"/>
  <c r="R6" i="36"/>
  <c r="J126" i="40"/>
  <c r="AP6" i="36" s="1"/>
  <c r="B127" i="40"/>
  <c r="R7" i="36"/>
  <c r="J127" i="40"/>
  <c r="AP7" i="36" s="1"/>
  <c r="P5" i="36"/>
  <c r="P6" i="36"/>
  <c r="P3" i="36"/>
  <c r="P4" i="36"/>
  <c r="P7" i="36"/>
  <c r="Q4" i="36"/>
  <c r="Q3" i="36"/>
  <c r="R3" i="36"/>
  <c r="P2" i="36"/>
  <c r="T2" i="36"/>
  <c r="AL8" i="36"/>
  <c r="BH5" i="36"/>
  <c r="L86" i="39"/>
  <c r="B84" i="39"/>
  <c r="O82" i="39"/>
  <c r="B82" i="39"/>
  <c r="L68" i="40" l="1"/>
  <c r="B15" i="41"/>
  <c r="I18" i="66"/>
  <c r="I30" i="66" s="1"/>
  <c r="H30" i="66"/>
  <c r="AB2" i="36"/>
  <c r="F121" i="40"/>
  <c r="AZ3" i="36"/>
  <c r="BH3" i="36"/>
  <c r="BH4" i="36"/>
  <c r="BF5" i="36"/>
  <c r="Z2" i="36"/>
  <c r="L127" i="40"/>
  <c r="AH7" i="36"/>
  <c r="L126" i="40"/>
  <c r="AH6" i="36"/>
  <c r="AH5" i="36"/>
  <c r="AH4" i="36"/>
  <c r="BZ3" i="36"/>
  <c r="AP3" i="36"/>
  <c r="J15" i="41"/>
  <c r="J11" i="35" s="1"/>
  <c r="CG3" i="36"/>
  <c r="CG4" i="36" s="1"/>
  <c r="BT3" i="36"/>
  <c r="BT4" i="36" s="1"/>
  <c r="AJ3" i="36"/>
  <c r="D15" i="41"/>
  <c r="D11" i="35" s="1"/>
  <c r="CF3" i="36"/>
  <c r="CF4" i="36" s="1"/>
  <c r="BS3" i="36"/>
  <c r="BS4" i="36" s="1"/>
  <c r="AI3" i="36"/>
  <c r="C15" i="41"/>
  <c r="C11" i="35" s="1"/>
  <c r="CJ3" i="36"/>
  <c r="CJ4" i="36" s="1"/>
  <c r="BW3" i="36"/>
  <c r="BW4" i="36" s="1"/>
  <c r="AM2" i="36"/>
  <c r="G15" i="41"/>
  <c r="G11" i="35" s="1"/>
  <c r="L122" i="40"/>
  <c r="CE3" i="36"/>
  <c r="BR3" i="36"/>
  <c r="AH2" i="36"/>
  <c r="B11" i="35"/>
  <c r="L116" i="40"/>
  <c r="BZ6" i="36"/>
  <c r="CM3" i="36"/>
  <c r="J14" i="41"/>
  <c r="L111" i="40"/>
  <c r="BZ2" i="36"/>
  <c r="CB2" i="36" s="1"/>
  <c r="L108" i="40"/>
  <c r="CM6" i="36"/>
  <c r="L102" i="40"/>
  <c r="CM2" i="36"/>
  <c r="CO2" i="36" s="1"/>
  <c r="M97" i="40"/>
  <c r="M25" i="40"/>
  <c r="M49" i="40"/>
  <c r="M13" i="40"/>
  <c r="X2" i="36"/>
  <c r="Y2" i="36"/>
  <c r="AL12" i="36"/>
  <c r="AL13" i="36"/>
  <c r="M37" i="40"/>
  <c r="AL10" i="36"/>
  <c r="AL11" i="36"/>
  <c r="S9" i="36"/>
  <c r="AA3" i="36" s="1"/>
  <c r="M61" i="40"/>
  <c r="F125" i="40" l="1"/>
  <c r="S5" i="36"/>
  <c r="F124" i="40"/>
  <c r="S4" i="36"/>
  <c r="F123" i="40"/>
  <c r="S3" i="36"/>
  <c r="L121" i="40"/>
  <c r="M121" i="40" s="1"/>
  <c r="CI6" i="36"/>
  <c r="CO6" i="36" s="1"/>
  <c r="F14" i="41"/>
  <c r="F10" i="35" s="1"/>
  <c r="BV6" i="36"/>
  <c r="CB6" i="36" s="1"/>
  <c r="M109" i="40"/>
  <c r="J10" i="35"/>
  <c r="CM4" i="36"/>
  <c r="BR4" i="36"/>
  <c r="CE4" i="36"/>
  <c r="BZ4" i="36"/>
  <c r="M73" i="40"/>
  <c r="M85" i="40"/>
  <c r="AD3" i="36"/>
  <c r="AE3" i="36"/>
  <c r="AL9" i="36"/>
  <c r="M10" i="35" l="1"/>
  <c r="AA2" i="36"/>
  <c r="CI3" i="36"/>
  <c r="CI4" i="36" s="1"/>
  <c r="M14" i="41"/>
  <c r="P14" i="41" s="1"/>
  <c r="AL3" i="36"/>
  <c r="BV3" i="36"/>
  <c r="L123" i="40"/>
  <c r="F15" i="41"/>
  <c r="AL4" i="36"/>
  <c r="L124" i="40"/>
  <c r="AL5" i="36"/>
  <c r="L125" i="40"/>
  <c r="AT3" i="36"/>
  <c r="AW3" i="36"/>
  <c r="AV3" i="36"/>
  <c r="AU3" i="36"/>
  <c r="AO16" i="2"/>
  <c r="AT9" i="2" s="1"/>
  <c r="AO17" i="2" s="1"/>
  <c r="AO18" i="2" s="1"/>
  <c r="AO19" i="2" s="1"/>
  <c r="AO20" i="2" s="1"/>
  <c r="AO21" i="2" s="1"/>
  <c r="AO22" i="2" s="1"/>
  <c r="AT8" i="2"/>
  <c r="AN3" i="2" s="1"/>
  <c r="AN4" i="2" s="1"/>
  <c r="AN5" i="2" s="1"/>
  <c r="AN6" i="2" s="1"/>
  <c r="AN7" i="2" s="1"/>
  <c r="AN8" i="2" s="1"/>
  <c r="AN9" i="2" s="1"/>
  <c r="AN10" i="2" s="1"/>
  <c r="AN11" i="2" s="1"/>
  <c r="AN12" i="2" s="1"/>
  <c r="AN13" i="2" s="1"/>
  <c r="AN14" i="2" s="1"/>
  <c r="AN15" i="2" s="1"/>
  <c r="Q10" i="35" l="1"/>
  <c r="O10" i="35"/>
  <c r="AE2" i="36"/>
  <c r="AD2" i="36"/>
  <c r="CO3" i="36"/>
  <c r="CO4" i="36" s="1"/>
  <c r="M123" i="40"/>
  <c r="M15" i="41"/>
  <c r="P15" i="41" s="1"/>
  <c r="F11" i="35"/>
  <c r="M133" i="40"/>
  <c r="BV4" i="36"/>
  <c r="CB3" i="36"/>
  <c r="CB4" i="36" s="1"/>
  <c r="AU2" i="36"/>
  <c r="AW2" i="36"/>
  <c r="AV2" i="36"/>
  <c r="AT2" i="36"/>
  <c r="M11" i="35" l="1"/>
  <c r="Q11" i="35" s="1"/>
  <c r="K20" i="63"/>
  <c r="O11" i="3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tc={B57B95DE-52C6-434D-8FD7-7634516B8186}</author>
    <author>tc={B60DC7FA-42A8-2A41-876E-686E1A396DAA}</author>
    <author>tc={7D74E682-18A8-C248-B3A1-606A50FA46AF}</author>
    <author>tc={C770E971-FEBD-874C-9477-EBF1BD17BAE4}</author>
    <author>tc={89C2378F-F608-1142-B77E-B11490FFD645}</author>
    <author>tc={0B97FBF9-6C5A-1E41-8577-7B63501DA758}</author>
    <author>tc={9F5A5A92-B4FE-414F-973D-96DE8A0F1983}</author>
    <author>tc={AC0CDA43-9164-D84E-B322-E6B9F5EFC117}</author>
    <author>tc={639957F4-86F8-E54F-931F-18F8AFC1B342}</author>
    <author>tc={F3BB8912-4293-0D4A-AA46-28E8B394197C}</author>
    <author>tc={AD4AE63A-F0D9-3C40-9E9C-04D60CF9D014}</author>
    <author>tc={404D9BFB-315F-0B47-A241-D5C95D2A649A}</author>
    <author>tc={BA37FC5F-08FE-1C41-9ABB-967DDD76BF03}</author>
    <author>tc={0A88D4E5-AD74-1045-9D8A-E760A55ABD6B}</author>
    <author>tc={4E3DC510-5DE2-A049-B80C-10265817CD7E}</author>
    <author>tc={5EE27B46-5500-4347-81DC-A2E8B10AD591}</author>
  </authors>
  <commentList>
    <comment ref="A1" authorId="0" shapeId="0" xr:uid="{B57B95DE-52C6-434D-8FD7-7634516B8186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energy consumption at hkust over the years</t>
      </text>
    </comment>
    <comment ref="J1" authorId="1" shapeId="0" xr:uid="{B60DC7FA-42A8-2A41-876E-686E1A396D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Renewable energy generation compared to electricity consumption</t>
      </text>
    </comment>
    <comment ref="R1" authorId="2" shapeId="0" xr:uid="{7D74E682-18A8-C248-B3A1-606A50FA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Electricity breakdown (percentages)</t>
      </text>
    </comment>
    <comment ref="AD1" authorId="3" shapeId="0" xr:uid="{C770E971-FEBD-874C-9477-EBF1BD17BAE4}">
      <text>
        <t>[Threaded comment]
Your version of Excel allows you to read this threaded comment; however, any edits to it will get removed if the file is opened in a newer version of Excel. Learn more: https://go.microsoft.com/fwlink/?linkid=870924
Comment:
    Scope 1&amp;2 ghg emissions trend</t>
      </text>
    </comment>
    <comment ref="AJ1" authorId="4" shapeId="0" xr:uid="{89C2378F-F608-1142-B77E-B11490FFD645}">
      <text>
        <t>[Threaded comment]
Your version of Excel allows you to read this threaded comment; however, any edits to it will get removed if the file is opened in a newer version of Excel. Learn more: https://go.microsoft.com/fwlink/?linkid=870924
Comment:
    Qs ghg projection</t>
      </text>
    </comment>
    <comment ref="AK7" authorId="5" shapeId="0" xr:uid="{0B97FBF9-6C5A-1E41-8577-7B63501DA7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renewables
</t>
      </text>
    </comment>
    <comment ref="AL7" authorId="6" shapeId="0" xr:uid="{9F5A5A92-B4FE-414F-973D-96DE8A0F19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renewables
</t>
      </text>
    </comment>
    <comment ref="AK8" authorId="7" shapeId="0" xr:uid="{AC0CDA43-9164-D84E-B322-E6B9F5EFC11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L8" authorId="8" shapeId="0" xr:uid="{639957F4-86F8-E54F-931F-18F8AFC1B34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K9" authorId="9" shapeId="0" xr:uid="{F3BB8912-4293-0D4A-AA46-28E8B394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L9" authorId="10" shapeId="0" xr:uid="{AD4AE63A-F0D9-3C40-9E9C-04D60CF9D01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K10" authorId="11" shapeId="0" xr:uid="{404D9BFB-315F-0B47-A241-D5C95D2A649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L10" authorId="12" shapeId="0" xr:uid="{BA37FC5F-08FE-1C41-9ABB-967DDD76BF0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K11" authorId="13" shapeId="0" xr:uid="{0A88D4E5-AD74-1045-9D8A-E760A55ABD6B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J16" authorId="14" shapeId="0" xr:uid="{4E3DC510-5DE2-A049-B80C-10265817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40% Reduction Target</t>
      </text>
    </comment>
    <comment ref="AJ23" authorId="15" shapeId="0" xr:uid="{5EE27B46-5500-4347-81DC-A2E8B10AD591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Reduction Target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</authors>
  <commentList>
    <comment ref="B18" authorId="0" shapeId="0" xr:uid="{9D25D150-5AC9-8E46-97C4-69E16E789EB7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Since Jul 2021, it includes SSQ systems.</t>
        </r>
      </text>
    </comment>
    <comment ref="B19" authorId="0" shapeId="0" xr:uid="{D23BF54C-E2C4-934A-9EB2-55A355BEDB79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Since Aug 2021, it includes SSQ and JSQ systems.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  <author>tc={DF7057FB-D4CC-C443-BD41-C52D73ADAD20}</author>
    <author>tc={1A477B7F-F4AC-E64E-B99E-B0F62068970E}</author>
    <author>tc={D0FD46A5-8E7F-CA48-A254-7D1EE3E39E95}</author>
    <author>tc={AAC2E27F-12B4-814A-B0BA-9AA3A3785456}</author>
    <author>CHAN, Joyce</author>
    <author>tc={803C24F5-3426-214C-BDC9-CBD2D6C45281}</author>
  </authors>
  <commentList>
    <comment ref="G1" authorId="0" shapeId="0" xr:uid="{DC2DCCD4-6B7E-9549-A6A2-6113B3DCB164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APCF Switches 1-33</t>
        </r>
      </text>
    </comment>
    <comment ref="H1" authorId="0" shapeId="0" xr:uid="{E41798E2-19C0-4943-816E-8DFC1A2A0268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NDC All Switches</t>
        </r>
      </text>
    </comment>
    <comment ref="I1" authorId="0" shapeId="0" xr:uid="{BF87AD4A-0749-E34E-8B5F-6EECB995B6FC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seawater pump</t>
        </r>
      </text>
    </comment>
    <comment ref="J1" authorId="1" shapeId="0" xr:uid="{DF7057FB-D4CC-C443-BD41-C52D73ADAD2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building</t>
      </text>
    </comment>
    <comment ref="N1" authorId="0" shapeId="0" xr:uid="{4A5F5035-6BF3-0945-BC45-0AC11DA82836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cooling tower</t>
        </r>
      </text>
    </comment>
    <comment ref="Q1" authorId="0" shapeId="0" xr:uid="{5DA5E156-BFDF-3644-851B-41B15C78FB46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SISC Switches 1-3
</t>
        </r>
      </text>
    </comment>
    <comment ref="T1" authorId="2" shapeId="0" xr:uid="{1A477B7F-F4AC-E64E-B99E-B0F62068970E}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  <comment ref="W1" authorId="0" shapeId="0" xr:uid="{117AA898-1B66-F647-AC31-17C6E8B905EF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NewOP GGT 4A Switch</t>
        </r>
      </text>
    </comment>
    <comment ref="X1" authorId="0" shapeId="0" xr:uid="{63AFAE8A-F20E-F04A-99CA-F080A80DC588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Excluding GRUCs consumptions</t>
        </r>
      </text>
    </comment>
    <comment ref="Y1" authorId="0" shapeId="0" xr:uid="{861CB4A6-3BA4-CB4C-9385-677985A5E14A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CLP LPT Group B</t>
        </r>
      </text>
    </comment>
    <comment ref="AD1" authorId="3" shapeId="0" xr:uid="{D0FD46A5-8E7F-CA48-A254-7D1EE3E39E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student housing, need to add when talking about student housing
Reply:
    Currently not included in the CLP total.</t>
      </text>
    </comment>
    <comment ref="AE1" authorId="4" shapeId="0" xr:uid="{AAC2E27F-12B4-814A-B0BA-9AA3A3785456}">
      <text>
        <t>[Threaded comment]
Your version of Excel allows you to read this threaded comment; however, any edits to it will get removed if the file is opened in a newer version of Excel. Learn more: https://go.microsoft.com/fwlink/?linkid=870924
Comment:
    HPC4
Reply:
    already included in EC data, no need to double count
Reply:
    already part of CLP total</t>
      </text>
    </comment>
    <comment ref="K2" authorId="0" shapeId="0" xr:uid="{5F2AEA2D-B8C7-CA4E-8B95-9E7C32A4F8AB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Waiting old data for revision</t>
        </r>
      </text>
    </comment>
    <comment ref="N44" authorId="0" shapeId="0" xr:uid="{B2C01AEC-A046-B74D-901B-BCE7496DCE3B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By interpolation</t>
        </r>
      </text>
    </comment>
    <comment ref="G69" authorId="0" shapeId="0" xr:uid="{7BF5C740-3DCC-3341-B9FA-362A746AA2D4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First Month in Operation</t>
        </r>
      </text>
    </comment>
    <comment ref="Q69" authorId="0" shapeId="0" xr:uid="{4E628B22-2BA0-1345-8F6A-DFFEBB011F6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First Month In Operation</t>
        </r>
      </text>
    </comment>
    <comment ref="X93" authorId="5" shapeId="0" xr:uid="{017FF2F0-350A-7F45-9E6A-63B060525EB4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UG9 reading is lost due to meter replacement. July consumption is used as a reference.  </t>
        </r>
      </text>
    </comment>
    <comment ref="H95" authorId="5" shapeId="0" xr:uid="{0A23B9C5-2777-5D47-A414-90016C8FF8E4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Data Hall Rm2113 consumption added
</t>
        </r>
      </text>
    </comment>
    <comment ref="AA146" authorId="6" shapeId="0" xr:uid="{803C24F5-3426-214C-BDC9-CBD2D6C45281}">
      <text>
        <t>[Threaded comment]
Your version of Excel allows you to read this threaded comment; however, any edits to it will get removed if the file is opened in a newer version of Excel. Learn more: https://go.microsoft.com/fwlink/?linkid=870924
Comment:
    CMO Electricity Excel Originally Put 287,750 as the value, but it contained no formula. It was corrected by subtracting the "Commercial Outlets" value from the "Staff Quarters &amp; Commercial Outlets" value.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tc={13518216-810C-2148-8027-F43D992D9336}</author>
    <author>tc={9A3D3E4F-F86E-C448-A2F0-9DCB7E95A653}</author>
    <author>tc={CC3D0F98-27D6-8B49-AA62-66AAAD39A2A7}</author>
    <author>tc={34B4F42C-4E89-704B-B798-F3B625ACE23D}</author>
  </authors>
  <commentList>
    <comment ref="L1" authorId="0" shapeId="0" xr:uid="{13518216-810C-2148-8027-F43D992D9336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
Reply:
    Calculated at the end of the reporting year
Reply:
    Should remove as it is double-counting. The value is already included in staff quarters</t>
      </text>
    </comment>
    <comment ref="N1" authorId="1" shapeId="0" xr:uid="{9A3D3E4F-F86E-C448-A2F0-9DCB7E95A6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Staff Quarters as a separate category
Reply:
    No need to make a separate category for "Staff Quarter Common Area" as this will double-count with some of the "Staff Quarters" consumption.</t>
      </text>
    </comment>
    <comment ref="O1" authorId="2" shapeId="0" xr:uid="{CC3D0F98-27D6-8B49-AA62-66AAAD39A2A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Commercial Outlets as a separate category</t>
      </text>
    </comment>
    <comment ref="R1" authorId="3" shapeId="0" xr:uid="{34B4F42C-4E89-704B-B798-F3B625ACE23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value from 2025/26 onwards.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  <author>tc={E0727F06-152D-0B4D-A4AA-32BD368D6B85}</author>
    <author>tc={602D08FE-827E-FB4A-BB1C-845597CA9409}</author>
    <author>tc={BB06BE06-86F8-F148-BAC6-F37ECB334C04}</author>
    <author>tc={C2B488B0-42A8-4E4E-AC48-DFD258ED2682}</author>
    <author>tc={168573D0-0A37-9E4F-8B1B-0F4B3FF6E8DA}</author>
    <author>tc={07565FD0-F65E-7441-B7E3-D5D521EB2B8A}</author>
    <author>tc={4264AC6F-CFFD-5A4B-91D3-F0762FC37CAD}</author>
    <author>tc={82E81A72-BD18-BB4A-9641-45DF1AADCE47}</author>
  </authors>
  <commentList>
    <comment ref="H1" authorId="0" shapeId="0" xr:uid="{6B5646D7-AB2D-9F4C-8FA5-5446831A699C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APCF Switches 1-33</t>
        </r>
      </text>
    </comment>
    <comment ref="I1" authorId="0" shapeId="0" xr:uid="{FB66EA8B-6E9A-764B-801F-996FCF1DD24A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NDC All Switches</t>
        </r>
      </text>
    </comment>
    <comment ref="J1" authorId="0" shapeId="0" xr:uid="{FA3858F1-D45C-DE45-A334-560981FDAA3E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seawater pump</t>
        </r>
      </text>
    </comment>
    <comment ref="O1" authorId="0" shapeId="0" xr:uid="{33CEC046-8F68-4747-80F3-07DDEA1783F7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cooling tower</t>
        </r>
      </text>
    </comment>
    <comment ref="R1" authorId="0" shapeId="0" xr:uid="{046DE5E4-B89C-584D-AE03-2F768FDAA01B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SISC Switches 1-3
</t>
        </r>
      </text>
    </comment>
    <comment ref="X1" authorId="0" shapeId="0" xr:uid="{619E8AB1-F133-054F-8C5E-E902DEE53826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NewOP GGT 4A Switch</t>
        </r>
      </text>
    </comment>
    <comment ref="Y1" authorId="0" shapeId="0" xr:uid="{709AD05C-2C36-1F4F-89C8-DB8A626671AC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Excluding GRUCs consumptions</t>
        </r>
      </text>
    </comment>
    <comment ref="Z1" authorId="0" shapeId="0" xr:uid="{B65A5556-9AA9-FE41-8C9A-A75CC0F550B5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CLP LPT Group B</t>
        </r>
      </text>
    </comment>
    <comment ref="AE1" authorId="1" shapeId="0" xr:uid="{E0727F06-152D-0B4D-A4AA-32BD368D6B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student housing, need to add when talking about student housing
Reply:
    Currently not included in the CLP total.</t>
      </text>
    </comment>
    <comment ref="AF1" authorId="2" shapeId="0" xr:uid="{602D08FE-827E-FB4A-BB1C-845597CA9409}">
      <text>
        <t>[Threaded comment]
Your version of Excel allows you to read this threaded comment; however, any edits to it will get removed if the file is opened in a newer version of Excel. Learn more: https://go.microsoft.com/fwlink/?linkid=870924
Comment:
    HPC4
Reply:
    already included in EC data, no need to double count
Reply:
    already part of CLP total</t>
      </text>
    </comment>
    <comment ref="AG1" authorId="3" shapeId="0" xr:uid="{BB06BE06-86F8-F148-BAC6-F37ECB334C04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H1" authorId="4" shapeId="0" xr:uid="{C2B488B0-42A8-4E4E-AC48-DFD258ED2682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I1" authorId="5" shapeId="0" xr:uid="{168573D0-0A37-9E4F-8B1B-0F4B3FF6E8DA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J1" authorId="6" shapeId="0" xr:uid="{07565FD0-F65E-7441-B7E3-D5D521EB2B8A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K1" authorId="7" shapeId="0" xr:uid="{4264AC6F-CFFD-5A4B-91D3-F0762FC37CAD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E12" authorId="8" shapeId="0" xr:uid="{82E81A72-BD18-BB4A-9641-45DF1AADCE4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coming from data centre - normal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SUST</author>
    <author>tc={2DE92DEA-A486-D448-BDC5-D74D2932CA0D}</author>
    <author>tc={2005D121-60EA-2844-B40E-F2E2239D5798}</author>
    <author>tc={AB5B100D-0C8A-0E4B-84FE-87562974D55D}</author>
    <author>tc={0DD29534-6FE0-484B-B85E-92A0C67824B2}</author>
    <author>tc={329AA420-9C51-FE41-A89F-233EEB4DC17F}</author>
    <author>tc={2822D9EB-A007-9440-8BBD-3150E315BCEF}</author>
    <author>tc={86E1A36D-82FE-9C4D-AE8A-86DE79F9FFC9}</author>
    <author>tc={462BE707-B735-ED4F-8FF8-BFA9E9DC6C27}</author>
  </authors>
  <commentList>
    <comment ref="B1" authorId="0" shapeId="0" xr:uid="{18B2CF47-6DDA-5746-84F1-BA395DDF0129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CLP MAB + EC + EC + APCF + New Data Center + WWF + Water Sport Center + SISC</t>
        </r>
      </text>
    </comment>
    <comment ref="J1" authorId="1" shapeId="0" xr:uid="{2DE92DEA-A486-D448-BDC5-D74D2932CA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include Innovation Building as a separate category. Even though it used electricity in 2024/25, do not include it as it was opened to the public only in 2025/26.</t>
      </text>
    </comment>
    <comment ref="L1" authorId="2" shapeId="0" xr:uid="{2005D121-60EA-2844-B40E-F2E2239D5798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
Reply:
    Staff Quarter Common Area is already included in the Staff Quarters figure. Starting 2025/26, omit this value from reporting to avoid double-counting.</t>
      </text>
    </comment>
    <comment ref="N1" authorId="3" shapeId="0" xr:uid="{AB5B100D-0C8A-0E4B-84FE-87562974D5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Staff Quarters as a separate category
Reply:
    No need to make a separate category for "Staff Quarter Common Area" as this will double-count with some of the "Staff Quarters" consumption.</t>
      </text>
    </comment>
    <comment ref="O1" authorId="4" shapeId="0" xr:uid="{0DD29534-6FE0-484B-B85E-92A0C67824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Commercial Outlets as a separate category</t>
      </text>
    </comment>
    <comment ref="B11" authorId="5" shapeId="0" xr:uid="{329AA420-9C51-FE41-A89F-233EEB4DC17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mistakenly includes GGT and double-counts EC3/F</t>
      </text>
    </comment>
    <comment ref="B12" authorId="6" shapeId="0" xr:uid="{2822D9EB-A007-9440-8BBD-3150E315BCE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mistakenly includes GGT and double-counts EC3/F</t>
      </text>
    </comment>
    <comment ref="M13" authorId="7" shapeId="0" xr:uid="{86E1A36D-82FE-9C4D-AE8A-86DE79F9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from yearly overview value because this category includes Student Housing, GGT, and TKOJCH. In the CLP total, TKOJCH is NOT included.</t>
      </text>
    </comment>
    <comment ref="L14" authorId="8" shapeId="0" xr:uid="{462BE707-B735-ED4F-8FF8-BFA9E9DC6C27}">
      <text>
        <t>[Threaded comment]
Your version of Excel allows you to read this threaded comment; however, any edits to it will get removed if the file is opened in a newer version of Excel. Learn more: https://go.microsoft.com/fwlink/?linkid=870924
Comment:
    Omit from 2025/26 onwards because it is double counting some parts of Staff Quarters.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tc={52FBC3D0-134C-C948-92A7-114CB5AE2883}</author>
  </authors>
  <commentList>
    <comment ref="Z1" authorId="0" shapeId="0" xr:uid="{52FBC3D0-134C-C948-92A7-114CB5AE2883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
Reply:
    Calculated at the end of the reporting year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SUST</author>
    <author>tc={531046F7-72B4-F34E-9A3B-0C76028260A1}</author>
  </authors>
  <commentList>
    <comment ref="E1" authorId="0" shapeId="0" xr:uid="{44F81E83-8498-4542-A60F-0B57B44AE13F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 of occupied unit in HKUST staff quarter*HK domestic town gas consumption in total/Number of household in HK 
</t>
        </r>
        <r>
          <rPr>
            <sz val="10"/>
            <color rgb="FF000000"/>
            <rFont val="Calibri"/>
            <family val="2"/>
          </rPr>
          <t xml:space="preserve">*Conversion factor (20833.33)
</t>
        </r>
      </text>
    </comment>
    <comment ref="A2" authorId="1" shapeId="0" xr:uid="{531046F7-72B4-F34E-9A3B-0C76028260A1}">
      <text>
        <t>[Threaded comment]
Your version of Excel allows you to read this threaded comment; however, any edits to it will get removed if the file is opened in a newer version of Excel. Learn more: https://go.microsoft.com/fwlink/?linkid=870924
Comment:
    Jul-23 until Sep-23 Copied from WasteCombinedCharts.xlsx</t>
      </text>
    </comment>
    <comment ref="E14" authorId="0" shapeId="0" xr:uid="{A544844C-1598-364E-9E5A-73516CEDAB67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temp no. from average of 2023-24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tc={BF63B7A2-7E9B-7C42-9693-4CAEAA255FED}</author>
    <author>tc={6DE58029-9EF6-7943-9BBF-4D04BAD613F0}</author>
    <author>tc={ECC6333D-1D8E-5D40-873A-E054E4A3CA7B}</author>
    <author>tc={341E6B11-7CAF-BB4F-A432-62AA25971727}</author>
  </authors>
  <commentList>
    <comment ref="G1" authorId="0" shapeId="0" xr:uid="{BF63B7A2-7E9B-7C42-9693-4CAEAA255FED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off to 0 decimal places</t>
      </text>
    </comment>
    <comment ref="H1" authorId="1" shapeId="0" xr:uid="{6DE58029-9EF6-7943-9BBF-4D04BAD613F0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off to 0 decimal places</t>
      </text>
    </comment>
    <comment ref="I1" authorId="2" shapeId="0" xr:uid="{ECC6333D-1D8E-5D40-873A-E054E4A3CA7B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off to 0 decimal places</t>
      </text>
    </comment>
    <comment ref="A2" authorId="3" shapeId="0" xr:uid="{341E6B11-7CAF-BB4F-A432-62AA25971727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2010-2023 Copied from WasteCombinedCharts.xlsx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tc={65656612-12FF-C54C-B2C4-6D6DD5EC3C9E}</author>
    <author>tc={D3030195-1468-5744-A7DF-409C669AFA0D}</author>
    <author>tc={14C54D4A-2A32-244C-B943-2F70315E12EC}</author>
  </authors>
  <commentList>
    <comment ref="A2" authorId="0" shapeId="0" xr:uid="{65656612-12FF-C54C-B2C4-6D6DD5EC3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2010-2023 Copied from WasteCombinedCharts.xlsx. </t>
      </text>
    </comment>
    <comment ref="K6" authorId="1" shapeId="0" xr:uid="{D3030195-1468-5744-A7DF-409C669AFA0D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Taken from the HKSCC annual report 21-22</t>
      </text>
    </comment>
    <comment ref="K7" authorId="2" shapeId="0" xr:uid="{14C54D4A-2A32-244C-B943-2F70315E12EC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Taken from the HKSCC annual report 21-22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tc={17027BF5-5105-8746-812F-2FFC7BA88631}</author>
    <author>SUST</author>
    <author>tc={D287156F-7D82-2E44-B654-15016AABFE1B}</author>
    <author>tc={76CFE2D2-7DE9-F74E-87C6-8CC15154BF98}</author>
    <author>tc={759A3EF2-0474-A74E-8FBD-B648B31A1B2C}</author>
    <author>tc={7801E4BB-9AED-2742-81A7-40B3B4CE300F}</author>
    <author>tc={174C70EF-6892-894F-BE27-8517F6EA11AA}</author>
  </authors>
  <commentList>
    <comment ref="B1" authorId="0" shapeId="0" xr:uid="{17027BF5-5105-8746-812F-2FFC7BA8863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the "Yearly Electricity Reformatted" value as this includes TKOJCH</t>
      </text>
    </comment>
    <comment ref="B2" authorId="1" shapeId="0" xr:uid="{C9E9D1FB-81A9-7842-8091-EBF4912D90DE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CLP MAB + EC + EC + APCF + New Data Center + WWF + Water Sport Center + SISC</t>
        </r>
      </text>
    </comment>
    <comment ref="J2" authorId="2" shapeId="0" xr:uid="{D287156F-7D82-2E44-B654-15016AABFE1B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</t>
      </text>
    </comment>
    <comment ref="J3" authorId="3" shapeId="0" xr:uid="{76CFE2D2-7DE9-F74E-87C6-8CC15154BF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Staff Quarter Common Area was omitted from the original total value</t>
      </text>
    </comment>
    <comment ref="K3" authorId="4" shapeId="0" xr:uid="{759A3EF2-0474-A74E-8FBD-B648B31A1B2C}">
      <text>
        <t>[Threaded comment]
Your version of Excel allows you to read this threaded comment; however, any edits to it will get removed if the file is opened in a newer version of Excel. Learn more: https://go.microsoft.com/fwlink/?linkid=870924
Comment:
    TKOJCH was not included in this value</t>
      </text>
    </comment>
    <comment ref="J4" authorId="5" shapeId="0" xr:uid="{7801E4BB-9AED-2742-81A7-40B3B4CE30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Staff Quarter Common Area was omitted from the original total value</t>
      </text>
    </comment>
    <comment ref="K4" authorId="6" shapeId="0" xr:uid="{174C70EF-6892-894F-BE27-8517F6EA11AA}">
      <text>
        <t>[Threaded comment]
Your version of Excel allows you to read this threaded comment; however, any edits to it will get removed if the file is opened in a newer version of Excel. Learn more: https://go.microsoft.com/fwlink/?linkid=870924
Comment:
    TKOJCH was not included in this value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tc={6057154A-696D-FF4E-BCB5-4C6F6501BDB4}</author>
  </authors>
  <commentList>
    <comment ref="I43" authorId="0" shapeId="0" xr:uid="{6057154A-696D-FF4E-BCB5-4C6F6501BDB4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formula. 284.27 is the correct value that sums fresh water, sewage, and paper CO2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tc={4F21DDC4-4C87-D843-AC2F-7F951C8C74FB}</author>
  </authors>
  <commentList>
    <comment ref="A2" authorId="0" shapeId="0" xr:uid="{4F21DDC4-4C87-D843-AC2F-7F951C8C74FB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2010-2023 Copied from WasteCombinedCharts.xlsx. All values have been rounded off to 2 decimal places AT MOST, except for 1&amp;2 emissions/capita and 1&amp;2 emissions/GFA.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tc={DFE9F9A2-BCBA-4944-A1B9-8011AF5002E4}</author>
    <author>tc={9027BE26-4223-AF48-8399-B9E39EF25234}</author>
    <author>tc={8DC3290F-0B6A-5A49-BB9B-6534F60AD22E}</author>
    <author>tc={9B5F1F92-DBC2-BD48-A5D9-16AC5B10D040}</author>
    <author>tc={96C92E43-984D-D845-AAC4-017DD16ECFEC}</author>
    <author>tc={1C2A44DC-8D5E-0942-906F-067BD681D949}</author>
    <author>tc={DAAC4C31-A49C-BD48-884E-D43F60086FFF}</author>
    <author>tc={4E92BCCF-2FBB-D843-B145-409B86F96DB8}</author>
  </authors>
  <commentList>
    <comment ref="A1" authorId="0" shapeId="0" xr:uid="{DFE9F9A2-BCBA-4944-A1B9-8011AF5002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copied from WasteCombinedCharts.xlsx. </t>
      </text>
    </comment>
    <comment ref="R39" authorId="1" shapeId="0" xr:uid="{9027BE26-4223-AF48-8399-B9E39EF25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32 in https://www.clpgroup.com/content/dam/clp-group/channels/sustainability/document/sustainability-report/2022/CLP_Sustainability_Report_2022_en.pdf.coredownload.pdf</t>
      </text>
    </comment>
    <comment ref="S39" authorId="2" shapeId="0" xr:uid="{8DC3290F-0B6A-5A49-BB9B-6534F60AD22E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171 in https://www.clpgroup.com/content/dam/clp-group/channels/sustainability/document/sustainability-report/2023/CLP_Sustainability_Report_2023_en.pdf.coredownload.pdf</t>
      </text>
    </comment>
    <comment ref="T39" authorId="3" shapeId="0" xr:uid="{9B5F1F92-DBC2-BD48-A5D9-16AC5B10D040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8 in https://www.clpgroup.com/content/dam/clp-group/channels/sustainability/document/sustainability-report/2024/CLP_Independent_Assurance_Statement_2024.pdf.coredownload.pdf</t>
      </text>
    </comment>
    <comment ref="R40" authorId="4" shapeId="0" xr:uid="{96C92E43-984D-D845-AAC4-017DD16ECFEC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38 in https://www.towngas.com/media/getmedia/c6da701c-519b-4e04-aee9-7557b1d509f4/Towngas_ESG2022_EN.pdf</t>
      </text>
    </comment>
    <comment ref="S40" authorId="5" shapeId="0" xr:uid="{1C2A44DC-8D5E-0942-906F-067BD681D949}">
      <text>
        <t>[Threaded comment]
Your version of Excel allows you to read this threaded comment; however, any edits to it will get removed if the file is opened in a newer version of Excel. Learn more: https://go.microsoft.com/fwlink/?linkid=870924
Comment:
    Pag 37 in https://www.towngas.com/media/getmedia/6b774b8d-c94b-4e39-8fda-0e505cf6d10f/towngas_esgr2023_en.pdf</t>
      </text>
    </comment>
    <comment ref="T45" authorId="6" shapeId="0" xr:uid="{DAAC4C31-A49C-BD48-884E-D43F60086FFF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141 in https://www.wsd.gov.hk/filemanager/common/annual_report/2023_24/pdf/WSD_AR23-24.pdf</t>
      </text>
    </comment>
    <comment ref="T46" authorId="7" shapeId="0" xr:uid="{4E92BCCF-2FBB-D843-B145-409B86F96DB8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115 in https://www.dsd.gov.hk/EN/Files/publication/DSD-ESG-Report-2023-24_Full_Report.pdf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tc={49D364E8-F835-4243-9BAB-6DBF34F2764C}</author>
  </authors>
  <commentList>
    <comment ref="A1" authorId="0" shapeId="0" xr:uid="{49D364E8-F835-4243-9BAB-6DBF34F276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copied from WasteCombinedCharts.xlsx. 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tc={E4A612FD-CFEA-9847-8621-5CE5C9F2CF9A}</author>
    <author>tc={ECED212B-39F1-9D4A-BCF8-D94764B6A174}</author>
    <author>tc={3E4A2541-665F-1448-B6F7-11ECD3A86916}</author>
    <author>tc={A61EC078-450B-DD48-B4E9-0D31596E9B66}</author>
    <author>tc={98E58788-9C40-4525-9EA3-B615CF6812EB}</author>
    <author>tc={6DD27143-4EF4-7E47-91DF-D35AA1CFB3B7}</author>
  </authors>
  <commentList>
    <comment ref="B1" authorId="0" shapeId="0" xr:uid="{E4A612FD-CFEA-9847-8621-5CE5C9F2CF9A}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CYT, LSK, and CL from the MAB value in the CMO monthly reports</t>
      </text>
    </comment>
    <comment ref="H1" authorId="1" shapeId="0" xr:uid="{ECED212B-39F1-9D4A-BCF8-D94764B6A174}">
      <text>
        <t>[Threaded comment]
Your version of Excel allows you to read this threaded comment; however, any edits to it will get removed if the file is opened in a newer version of Excel. Learn more: https://go.microsoft.com/fwlink/?linkid=870924
Comment:
    (Number of Household in Staff Quarter*HK average number of people in a household)*(average water consumption of household/1000)*number of days in that month)</t>
      </text>
    </comment>
    <comment ref="D40" authorId="2" shapeId="0" xr:uid="{3E4A2541-665F-1448-B6F7-11ECD3A869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recorded as 1439</t>
      </text>
    </comment>
    <comment ref="J41" authorId="3" shapeId="0" xr:uid="{A61EC078-450B-DD48-B4E9-0D31596E9B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recorded as 24627</t>
      </text>
    </comment>
    <comment ref="P73" authorId="4" shapeId="0" xr:uid="{98E58788-9C40-4525-9EA3-B615CF6812EB}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CYT, LSK, and CL from the MAB value in the CMO monthly reports</t>
      </text>
    </comment>
    <comment ref="I76" authorId="5" shapeId="0" xr:uid="{6DD27143-4EF4-7E47-91DF-D35AA1CFB3B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surge was due to (1) the temporary usage for flushing purpose at Tower 8-19 due to broken main flushing pipe upstream of Tower 8 which was repaired later in September; and broken underground pipe for cleansing water at Block 11 which will be repaired by BM in October.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tc={3DBC2FF3-3FF5-1F4A-8093-7B6C20812054}</author>
  </authors>
  <commentList>
    <comment ref="A10" authorId="0" shapeId="0" xr:uid="{3DBC2FF3-3FF5-1F4A-8093-7B6C20812054}">
      <text>
        <t>[Threaded comment]
Your version of Excel allows you to read this threaded comment; however, any edits to it will get removed if the file is opened in a newer version of Excel. Learn more: https://go.microsoft.com/fwlink/?linkid=870924
Comment:
    Green = revised values for single-counting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tc={879915F9-F0BA-C14A-ABFF-8029A8F6A63A}</author>
  </authors>
  <commentList>
    <comment ref="B2" authorId="0" shapeId="0" xr:uid="{879915F9-F0BA-C14A-ABFF-8029A8F6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the first 4 meters account for the entire campus seawater consumption. Don't mind the other meters.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tc={9AC61B2F-BE54-604B-80C2-5BCF52D45067}</author>
    <author>tc={CD774BD0-BFD5-5145-81F2-58D82E38BC8B}</author>
  </authors>
  <commentList>
    <comment ref="A2" authorId="0" shapeId="0" xr:uid="{9AC61B2F-BE54-604B-80C2-5BCF52D45067}">
      <text>
        <t>[Threaded comment]
Your version of Excel allows you to read this threaded comment; however, any edits to it will get removed if the file is opened in a newer version of Excel. Learn more: https://go.microsoft.com/fwlink/?linkid=870924
Comment:
    2014-2023 Copied from WasteCombinedCharts.xlsx</t>
      </text>
    </comment>
    <comment ref="D8" authorId="1" shapeId="0" xr:uid="{CD774BD0-BFD5-5145-81F2-58D82E38BC8B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Discrepancy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tc={D3DB2B84-6673-AD49-AA6E-187B3FD44574}</author>
    <author>tc={677D9029-FCE9-8E4B-9CAB-E5F16DAAE803}</author>
    <author>tc={9F3F3482-E744-1A42-AFC7-C6483CE99FED}</author>
  </authors>
  <commentList>
    <comment ref="BD52" authorId="0" shapeId="0" xr:uid="{D3DB2B84-6673-AD49-AA6E-187B3FD445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Normalised with Feb23 - Jun23
Reply:
    Was previously 3,997</t>
      </text>
    </comment>
    <comment ref="BD53" authorId="1" shapeId="0" xr:uid="{677D9029-FCE9-8E4B-9CAB-E5F16DAAE8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Normalised with Mar23 - Jul23
Reply:
    Was previously 9,657</t>
      </text>
    </comment>
    <comment ref="A65" authorId="2" shapeId="0" xr:uid="{9F3F3482-E744-1A42-AFC7-C6483CE99F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Water meters were malfunctioning; December 23 onwards data may be adjusted from time to time 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tc={C2C3C5BC-9072-1F42-9FBF-A21CAC838E6B}</author>
  </authors>
  <commentList>
    <comment ref="A64" authorId="0" shapeId="0" xr:uid="{C2C3C5BC-9072-1F42-9FBF-A21CAC838E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Water meters were malfunctioning; December 23 onwards data may be adjusted from time to time 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tc={AC10E5F0-7627-AF4E-9444-F4126956116B}</author>
    <author>tc={00BE2302-7851-D142-A361-40F904182B0D}</author>
    <author>tc={B09B474A-A86C-0944-A2B8-0C4DBB8FD589}</author>
    <author>tc={D915631A-CD1C-804A-AC98-59DAEECC1DAA}</author>
    <author>tc={471C1004-F1DF-274E-8553-B13231989B8F}</author>
    <author>tc={18A0FB21-A34C-A148-9064-A2A412E29CCF}</author>
    <author>tc={B4E45F71-387A-E942-9678-0181EBE95529}</author>
    <author>tc={A83AA25D-8478-4449-8E5C-649143B26A54}</author>
    <author>tc={C5E94AF8-EE66-DD4C-82EF-5C16D4F79A0B}</author>
    <author>tc={D74D913B-B2A6-A64B-9B61-788658E3B901}</author>
    <author>tc={C3F09E28-37AC-CE43-B7E8-D641A184A9F7}</author>
  </authors>
  <commentList>
    <comment ref="O1" authorId="0" shapeId="0" xr:uid="{AC10E5F0-7627-AF4E-9444-F4126956116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Trash + Yellow Skip</t>
      </text>
    </comment>
    <comment ref="P1" authorId="1" shapeId="0" xr:uid="{00BE2302-7851-D142-A361-40F904182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Paper + Plastic + CD + Ink Cartridge + Toner</t>
      </text>
    </comment>
    <comment ref="Q1" authorId="2" shapeId="0" xr:uid="{B09B474A-A86C-0944-A2B8-0C4DBB8FD589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+ Fluorescent Tube + Florescent Bulb + Wood</t>
      </text>
    </comment>
    <comment ref="R1" authorId="3" shapeId="0" xr:uid="{D915631A-CD1C-804A-AC98-59DAEECC1DAA}">
      <text>
        <t>[Threaded comment]
Your version of Excel allows you to read this threaded comment; however, any edits to it will get removed if the file is opened in a newer version of Excel. Learn more: https://go.microsoft.com/fwlink/?linkid=870924
Comment:
    Glass + Clothes + Rechargeable Battery + Electrical Appliances + Tetra Packs</t>
      </text>
    </comment>
    <comment ref="T1" authorId="4" shapeId="0" xr:uid="{471C1004-F1DF-274E-8553-B13231989B8F}">
      <text>
        <t>[Threaded comment]
Your version of Excel allows you to read this threaded comment; however, any edits to it will get removed if the file is opened in a newer version of Excel. Learn more: https://go.microsoft.com/fwlink/?linkid=870924
Comment:
    Animal Bedding + Landscape</t>
      </text>
    </comment>
    <comment ref="W1" authorId="5" shapeId="0" xr:uid="{18A0FB21-A34C-A148-9064-A2A412E29CCF}">
      <text>
        <t>[Threaded comment]
Your version of Excel allows you to read this threaded comment; however, any edits to it will get removed if the file is opened in a newer version of Excel. Learn more: https://go.microsoft.com/fwlink/?linkid=870924
Comment:
    Trash + Yellow Skip</t>
      </text>
    </comment>
    <comment ref="X1" authorId="6" shapeId="0" xr:uid="{B4E45F71-387A-E942-9678-0181EBE9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Paper + Plastic + CD + Ink Cartridge + Toner</t>
      </text>
    </comment>
    <comment ref="Y1" authorId="7" shapeId="0" xr:uid="{A83AA25D-8478-4449-8E5C-649143B26A54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+ Fluorescent Tube + Florescent Bulb + Wood</t>
      </text>
    </comment>
    <comment ref="Z1" authorId="8" shapeId="0" xr:uid="{C5E94AF8-EE66-DD4C-82EF-5C16D4F79A0B}">
      <text>
        <t>[Threaded comment]
Your version of Excel allows you to read this threaded comment; however, any edits to it will get removed if the file is opened in a newer version of Excel. Learn more: https://go.microsoft.com/fwlink/?linkid=870924
Comment:
    Glass + Clothes + Rechargeable Battery + Electrical Appliances + Tetra Packs</t>
      </text>
    </comment>
    <comment ref="AB1" authorId="9" shapeId="0" xr:uid="{D74D913B-B2A6-A64B-9B61-788658E3B901}">
      <text>
        <t>[Threaded comment]
Your version of Excel allows you to read this threaded comment; however, any edits to it will get removed if the file is opened in a newer version of Excel. Learn more: https://go.microsoft.com/fwlink/?linkid=870924
Comment:
    Animal Bedding + Landscape</t>
      </text>
    </comment>
    <comment ref="F13" authorId="10" shapeId="0" xr:uid="{C3F09E28-37AC-CE43-B7E8-D641A184A9F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Baseline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SUST</author>
    <author>tc={4E314518-B4EA-144A-B2AF-1CDE80C037B7}</author>
    <author>tc={13EA20FD-5826-0547-8558-2E91F0C33707}</author>
    <author>tc={1E793133-4C65-6445-8218-E97094A7D6B6}</author>
    <author>tc={F05ECE4B-2969-6A42-AA70-02FC2F966C7F}</author>
    <author>tc={E7C81AB6-8B8F-D349-A1B3-97ABC48480B0}</author>
    <author>tc={A8B5FC4D-47AD-6744-8B0F-68CCC59E403C}</author>
    <author>tc={EA27A9C4-1CFF-DF49-A330-EF756325CEFC}</author>
    <author>tc={58851594-216E-0C4F-A4CE-6A75F27A6A44}</author>
    <author>tc={E676DAE1-8B92-E444-8E49-F7FDE71E4963}</author>
    <author>tc={02BC4A65-D9B0-8E4D-8375-AC4400CA076A}</author>
    <author>tc={E940BA26-BD25-084A-B075-57C671CF7D3A}</author>
    <author>tc={DB5A8E93-33ED-C042-B183-0C2C4D940F19}</author>
    <author>tc={2E0DB3E0-D2B1-A248-A167-74D3D86A69A2}</author>
    <author>tc={3E2FABC6-5229-9F46-8604-41A2EDB9263E}</author>
    <author>tc={8D9E8BF0-9664-B343-9C5B-0AD1528B561A}</author>
    <author>tc={98346250-71E5-A448-905D-FE9C4C37F75E}</author>
    <author>tc={7C331265-08D7-D447-9567-02408AB2E96B}</author>
    <author>tc={107D3DEA-3713-2E4C-9FB7-4347D5826B36}</author>
    <author>tc={54AB0716-F408-A640-A7D6-29DB532F4CFB}</author>
    <author>tc={6D1BAD2F-3A84-534E-AE6B-B019717CADF4}</author>
    <author>tc={A80C6BFE-B6BA-E040-90FA-4B0B7A237987}</author>
    <author>tc={092FE75B-11C6-6944-82D1-A0237AE3B272}</author>
    <author>tc={08FDCECD-5034-984F-B371-85E1BEB510AA}</author>
    <author>tc={CF21930E-08D3-3A43-A9E6-3009AEEBD239}</author>
    <author>tc={DBB11659-E52C-8A48-88F5-6F8F8D7BD44C}</author>
    <author>tc={5340B439-4669-C544-AB67-5C333DE98B95}</author>
    <author>tc={30BE03FE-4892-CA46-A538-CF42EC536013}</author>
    <author>tc={32943604-CCEF-EF44-9A7D-8F00B3AC8F59}</author>
    <author>tc={496E0B1E-077B-8741-A9CE-B7548DFBDDF2}</author>
    <author>tc={37503934-6FA6-EC40-9D85-39CEC4AE6E94}</author>
    <author>tc={411D276A-290E-C44C-B7BF-6E320C99F8D8}</author>
    <author>tc={5AAAEC42-6E04-F34D-9AEF-282CFCC0D960}</author>
    <author>tc={F96E8E3B-3A68-5D42-A496-80EB27951260}</author>
    <author>tc={0978D730-8509-704D-8D66-B809C0FEAC70}</author>
    <author>tc={EE7A3A6F-1578-EE46-A274-BACF2E9F0F41}</author>
    <author>tc={293CCB56-703F-3440-9CF1-DBA273E70020}</author>
    <author>tc={A056EC00-9A6B-A949-9934-F4FD9AE2DB45}</author>
    <author>tc={9770B87E-9726-C14D-A738-CDCEAC493A84}</author>
    <author>tc={DC664FD2-734D-B046-92E6-905833CBE5E7}</author>
    <author>tc={13E10DB9-4D1C-C847-B1D8-04C5625F951A}</author>
    <author>tc={11CCAEEF-6C2C-7F4F-BF8A-2E9D9EFC7CE4}</author>
    <author>Lily Li</author>
  </authors>
  <commentList>
    <comment ref="B1" authorId="0" shapeId="0" xr:uid="{18055C43-B00B-184C-BA63-CACB2ABF7EDE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Nixon monthly report</t>
        </r>
      </text>
    </comment>
    <comment ref="C1" authorId="0" shapeId="0" xr:uid="{F5D533EA-9F40-444C-941B-1DDD17F9079A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Nixon monthly report</t>
        </r>
      </text>
    </comment>
    <comment ref="D1" authorId="0" shapeId="0" xr:uid="{46871FAD-6D2D-FC42-81D2-DB289F169192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Nixon monthly report
</t>
        </r>
      </text>
    </comment>
    <comment ref="E1" authorId="0" shapeId="0" xr:uid="{B0F687C0-5F38-1F44-98AB-EA7FEAE21A00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Nixon monthly report
</t>
        </r>
      </text>
    </comment>
    <comment ref="F1" authorId="0" shapeId="0" xr:uid="{C94CCA44-704B-6046-8D5B-18E4CB20600C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Nixon monthly</t>
        </r>
      </text>
    </comment>
    <comment ref="G1" authorId="0" shapeId="0" xr:uid="{CB2A1C9E-629D-DC40-88CC-204A6583C9ED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Nixon monthly
</t>
        </r>
        <r>
          <rPr>
            <sz val="10"/>
            <color rgb="FF000000"/>
            <rFont val="Tahoma"/>
            <family val="2"/>
          </rPr>
          <t>report</t>
        </r>
      </text>
    </comment>
    <comment ref="J1" authorId="0" shapeId="0" xr:uid="{5DD76F82-9A94-F349-89DE-3E81AB4771A6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Nixon monthly
</t>
        </r>
        <r>
          <rPr>
            <sz val="10"/>
            <color rgb="FF000000"/>
            <rFont val="Tahoma"/>
            <family val="2"/>
          </rPr>
          <t>report</t>
        </r>
      </text>
    </comment>
    <comment ref="K1" authorId="0" shapeId="0" xr:uid="{83A1C570-44F0-5641-974E-C30641C2ED04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Nixon monthly report</t>
        </r>
      </text>
    </comment>
    <comment ref="L1" authorId="1" shapeId="0" xr:uid="{4E314518-B4EA-144A-B2AF-1CDE80C037B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Expressed in PIECES. There is no estimated weight per piece value in other Excel Workbooks.
Reply:
    This value will be EXCLUDED in the “Others” category in Monthly recycling from months including and before June 2020</t>
      </text>
    </comment>
    <comment ref="M1" authorId="2" shapeId="0" xr:uid="{13EA20FD-5826-0547-8558-2E91F0C337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0.34kg per piece and rounded off.</t>
      </text>
    </comment>
    <comment ref="N1" authorId="3" shapeId="0" xr:uid="{1E793133-4C65-6445-8218-E97094A7D6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0.13kg per piece and rounded off.</t>
      </text>
    </comment>
    <comment ref="O1" authorId="4" shapeId="0" xr:uid="{F05ECE4B-2969-6A42-AA70-02FC2F966C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0.15kg per piece and rounded off.</t>
      </text>
    </comment>
    <comment ref="P1" authorId="0" shapeId="0" xr:uid="{74B44E47-0DC9-3646-A250-5C04AB864F19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CMO Ricky (Alba data)</t>
        </r>
      </text>
    </comment>
    <comment ref="Q1" authorId="0" shapeId="0" xr:uid="{65B26E38-7FC3-A640-B046-A413BAB6280D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Ricky Ng (CMO)</t>
        </r>
      </text>
    </comment>
    <comment ref="R1" authorId="0" shapeId="0" xr:uid="{D69B7229-62AF-EE4C-BD0F-39AADEE8C3D3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CMO</t>
        </r>
      </text>
    </comment>
    <comment ref="T1" authorId="5" shapeId="0" xr:uid="{E7C81AB6-8B8F-D349-A1B3-97ABC48480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Nixon
</t>
      </text>
    </comment>
    <comment ref="V1" authorId="0" shapeId="0" xr:uid="{EBAAF30E-32EA-D14B-A4C8-855AC5C7CEEE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Contact Nixon</t>
        </r>
      </text>
    </comment>
    <comment ref="W1" authorId="0" shapeId="0" xr:uid="{8BBBA23E-F22F-384F-913A-92C3B212F30A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Hong Kong Glass Resoucres email
</t>
        </r>
        <r>
          <rPr>
            <sz val="10"/>
            <color rgb="FF000000"/>
            <rFont val="Tahoma"/>
            <family val="2"/>
          </rPr>
          <t>sometimes it's 0 since they collect on request basis from CMO</t>
        </r>
      </text>
    </comment>
    <comment ref="X1" authorId="0" shapeId="0" xr:uid="{2F229A89-2E02-7747-8128-090F77E1CB6D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>From Friend of Earth email</t>
        </r>
      </text>
    </comment>
    <comment ref="Y1" authorId="0" shapeId="0" xr:uid="{1B892388-EF1E-CC4F-9145-8959483CD4E9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physical receipt that send to Teri</t>
        </r>
      </text>
    </comment>
    <comment ref="Z1" authorId="0" shapeId="0" xr:uid="{775AB1E7-23DA-1047-876A-A70A8203CD80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physical receipt that send to Teri</t>
        </r>
      </text>
    </comment>
    <comment ref="T111" authorId="6" shapeId="0" xr:uid="{A8B5FC4D-47AD-6744-8B0F-68CCC59E40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T113" authorId="7" shapeId="0" xr:uid="{EA27A9C4-1CFF-DF49-A330-EF756325CEF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T115" authorId="8" shapeId="0" xr:uid="{58851594-216E-0C4F-A4CE-6A75F27A6A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V116" authorId="9" shapeId="0" xr:uid="{E676DAE1-8B92-E444-8E49-F7FDE71E496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V118" authorId="10" shapeId="0" xr:uid="{02BC4A65-D9B0-8E4D-8375-AC4400CA076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V119" authorId="11" shapeId="0" xr:uid="{E940BA26-BD25-084A-B075-57C671CF7D3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T120" authorId="12" shapeId="0" xr:uid="{DB5A8E93-33ED-C042-B183-0C2C4D940F1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V120" authorId="13" shapeId="0" xr:uid="{2E0DB3E0-D2B1-A248-A167-74D3D86A69A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Y120" authorId="14" shapeId="0" xr:uid="{3E2FABC6-5229-9F46-8604-41A2EDB92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800</t>
      </text>
    </comment>
    <comment ref="Z120" authorId="15" shapeId="0" xr:uid="{8D9E8BF0-9664-B343-9C5B-0AD1528B5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400</t>
      </text>
    </comment>
    <comment ref="V121" authorId="16" shapeId="0" xr:uid="{98346250-71E5-A448-905D-FE9C4C37F75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Y121" authorId="17" shapeId="0" xr:uid="{7C331265-08D7-D447-9567-02408AB2E9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800</t>
      </text>
    </comment>
    <comment ref="Z121" authorId="18" shapeId="0" xr:uid="{107D3DEA-3713-2E4C-9FB7-4347D5826B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400</t>
      </text>
    </comment>
    <comment ref="B126" authorId="19" shapeId="0" xr:uid="{54AB0716-F408-A640-A7D6-29DB532F4CF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62kg from e-waste sent to landfill by Huaden</t>
      </text>
    </comment>
    <comment ref="P126" authorId="20" shapeId="0" xr:uid="{6D1BAD2F-3A84-534E-AE6B-B019717CADF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additional printer monitor collection by Huaden
Reply:
    Only 391 diverted included. 62 sent to landfill added to trash
Reply:
    How should I cite the data from this cell? Should I list it as 391kg in the monthly recycling tab?</t>
      </text>
    </comment>
    <comment ref="B127" authorId="21" shapeId="0" xr:uid="{A80C6BFE-B6BA-E040-90FA-4B0B7A237987}">
      <text>
        <t>[Threaded comment]
Your version of Excel allows you to read this threaded comment; however, any edits to it will get removed if the file is opened in a newer version of Excel. Learn more: https://go.microsoft.com/fwlink/?linkid=870924
Comment:
    Huaden e-waste disposed to landfill</t>
      </text>
    </comment>
    <comment ref="P127" authorId="22" shapeId="0" xr:uid="{092FE75B-11C6-6944-82D1-A0237AE3B2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Huaden only. Need to add Alba
</t>
      </text>
    </comment>
    <comment ref="B128" authorId="23" shapeId="0" xr:uid="{08FDCECD-5034-984F-B371-85E1BEB510AA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P128" authorId="24" shapeId="0" xr:uid="{CF21930E-08D3-3A43-A9E6-3009AEEBD239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29" authorId="25" shapeId="0" xr:uid="{DBB11659-E52C-8A48-88F5-6F8F8D7BD44C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P129" authorId="26" shapeId="0" xr:uid="{5340B439-4669-C544-AB67-5C333DE98B95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0" authorId="27" shapeId="0" xr:uid="{30BE03FE-4892-CA46-A538-CF42EC536013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P130" authorId="28" shapeId="0" xr:uid="{32943604-CCEF-EF44-9A7D-8F00B3AC8F59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1" authorId="29" shapeId="0" xr:uid="{496E0B1E-077B-8741-A9CE-B7548DFBDDF2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P131" authorId="30" shapeId="0" xr:uid="{37503934-6FA6-EC40-9D85-39CEC4AE6E94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2" authorId="31" shapeId="0" xr:uid="{411D276A-290E-C44C-B7BF-6E320C99F8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E-waste collection this month</t>
      </text>
    </comment>
    <comment ref="P132" authorId="32" shapeId="0" xr:uid="{5AAAEC42-6E04-F34D-9AEF-282CFCC0D960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3" authorId="33" shapeId="0" xr:uid="{F96E8E3B-3A68-5D42-A496-80EB27951260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P133" authorId="34" shapeId="0" xr:uid="{0978D730-8509-704D-8D66-B809C0FEAC70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4" authorId="35" shapeId="0" xr:uid="{EE7A3A6F-1578-EE46-A274-BACF2E9F0F41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P134" authorId="36" shapeId="0" xr:uid="{293CCB56-703F-3440-9CF1-DBA273E70020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5" authorId="37" shapeId="0" xr:uid="{A056EC00-9A6B-A949-9934-F4FD9AE2DB45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P135" authorId="38" shapeId="0" xr:uid="{9770B87E-9726-C14D-A738-CDCEAC493A84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6" authorId="39" shapeId="0" xr:uid="{DC664FD2-734D-B046-92E6-905833CBE5E7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P136" authorId="40" shapeId="0" xr:uid="{13E10DB9-4D1C-C847-B1D8-04C5625F951A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T136" authorId="41" shapeId="0" xr:uid="{11CCAEEF-6C2C-7F4F-BF8A-2E9D9EFC7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Vacant since terminated contract with Mil Mill</t>
      </text>
    </comment>
    <comment ref="Z148" authorId="42" shapeId="0" xr:uid="{645970B1-B668-3649-9DD3-3AB57C6AFE61}">
      <text>
        <r>
          <rPr>
            <b/>
            <sz val="10"/>
            <color rgb="FF000000"/>
            <rFont val="Tahoma"/>
            <family val="2"/>
          </rPr>
          <t>Lily 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1"/>
            <color rgb="FF000000"/>
            <rFont val="Tahoma"/>
            <family val="2"/>
          </rPr>
          <t>should be 400?</t>
        </r>
      </text>
    </comment>
    <comment ref="Y150" authorId="42" shapeId="0" xr:uid="{77D85A9E-CA6A-2D48-B7F7-013C57B2581A}">
      <text>
        <r>
          <rPr>
            <b/>
            <sz val="10"/>
            <color rgb="FF000000"/>
            <rFont val="Tahoma"/>
            <family val="2"/>
          </rPr>
          <t>Lily 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Should be 800?</t>
        </r>
      </text>
    </comment>
    <comment ref="Z150" authorId="42" shapeId="0" xr:uid="{E1A6C195-6F3B-A247-ABF4-FDE6674AFEAB}">
      <text>
        <r>
          <rPr>
            <b/>
            <sz val="10"/>
            <color rgb="FF000000"/>
            <rFont val="Tahoma"/>
            <family val="2"/>
          </rPr>
          <t>Lily 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Should be 400?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tc={BD0011D7-D860-0C40-B816-99383F51C297}</author>
    <author>tc={0678275A-91CF-6146-8E02-6B8281371E5F}</author>
    <author>tc={33CBCC37-A36A-464C-AFB7-1DC123E52451}</author>
    <author>tc={1A6A7C01-7F44-6B46-9637-89BD512AFFAD}</author>
  </authors>
  <commentList>
    <comment ref="C1" authorId="0" shapeId="0" xr:uid="{BD0011D7-D860-0C40-B816-99383F51C29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Expressed in PIECES. There is no estimated weight per piece value in other Excel Workbooks.
Reply:
    This value will be EXCLUDED in the “Others” category in Monthly recycling from months including and before June 2020</t>
      </text>
    </comment>
    <comment ref="D1" authorId="1" shapeId="0" xr:uid="{0678275A-91CF-6146-8E02-6B8281371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0.34kg per piece and rounded off.</t>
      </text>
    </comment>
    <comment ref="E1" authorId="2" shapeId="0" xr:uid="{33CBCC37-A36A-464C-AFB7-1DC123E524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0.13kg per piece and rounded off.</t>
      </text>
    </comment>
    <comment ref="F1" authorId="3" shapeId="0" xr:uid="{1A6A7C01-7F44-6B46-9637-89BD512AFF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0.15kg per piece and rounded off.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tc={D536C5F3-246A-B94C-8264-0B314533B007}</author>
    <author>SUST</author>
  </authors>
  <commentList>
    <comment ref="A1" authorId="0" shapeId="0" xr:uid="{D536C5F3-246A-B94C-8264-0B314533B00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sheet was previously called "Location Breakdown (Waste)"</t>
      </text>
    </comment>
    <comment ref="B1" authorId="1" shapeId="0" xr:uid="{10F15B36-E431-1544-97C5-D39C197B20A6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Greenbrid:</t>
        </r>
        <r>
          <rPr>
            <sz val="10"/>
            <color rgb="FF000000"/>
            <rFont val="Tahoma"/>
            <family val="2"/>
          </rPr>
          <t>香港科技大學學生宿舍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D1" authorId="1" shapeId="0" xr:uid="{CBCCB556-A55C-A64C-82AE-BF7A07B39838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GreenbirdL </t>
        </r>
      </text>
    </comment>
    <comment ref="J1" authorId="1" shapeId="0" xr:uid="{6E4CB98A-C623-BD4C-B839-8FA9A7E17C4F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availability starts from Mar-25</t>
        </r>
      </text>
    </comment>
    <comment ref="E7" authorId="1" shapeId="0" xr:uid="{F0A420DE-546D-EE43-9E1A-1A639863A6FB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source: monthly report from Nixon, different from Greenbird (24,790kg)
</t>
        </r>
      </text>
    </comment>
    <comment ref="E8" authorId="1" shapeId="0" xr:uid="{2161D4B6-13A7-014C-8F16-0B3C9F3127E4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source: monthly report from Nixon, different from Greenbird (20,290kg)
</t>
        </r>
      </text>
    </comment>
    <comment ref="E17" authorId="1" shapeId="0" xr:uid="{A6458393-FCEE-EF45-9FBA-E83BC7BE0275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monthly report from Nixon, different from Greenbird (17,110kg)</t>
        </r>
      </text>
    </comment>
    <comment ref="E19" authorId="1" shapeId="0" xr:uid="{DF9E27BC-92C2-7B43-9FA0-60518E5A5D47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unavailable</t>
        </r>
      </text>
    </comment>
    <comment ref="A20" authorId="1" shapeId="0" xr:uid="{A9436781-C414-874E-9BD7-6348EA0CB5F8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Refuse room closed due to construction, data are from averaging the data from Jul-23 to Jun 25</t>
        </r>
      </text>
    </comment>
    <comment ref="A21" authorId="1" shapeId="0" xr:uid="{15BA225F-32AC-784E-AFC5-DA23FB0C15C2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Refuse room closed due to construction, data are from averaging the data from Jul-23 to Jun 25
</t>
        </r>
      </text>
    </comment>
    <comment ref="E22" authorId="1" shapeId="0" xr:uid="{15EFA7FF-ECFA-C942-89BE-7799EB022511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source: monthly report from Nixon, different from Greenbird (19,310kg)
</t>
        </r>
      </text>
    </comment>
    <comment ref="E25" authorId="1" shapeId="0" xr:uid="{BD21DD9D-201D-354D-AC8B-E3818CF519E5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source: monthly report from Nixon, different from Greenbird (23,560kg)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tc={725D30C6-9444-CF41-B822-EFB209E01AA5}</author>
    <author>tc={B0E438D4-21EE-E840-8141-AC7155466BE4}</author>
    <author>tc={4A33CE36-34DA-FF4E-B845-DFCA4E1EEAD8}</author>
    <author>tc={2D2465AB-0639-0E4E-93D9-3EC91B5A5664}</author>
    <author>tc={FF7A9722-DD1F-CA4A-8EC3-3D9F5A93CB5E}</author>
    <author>tc={82CA7D4D-798C-C14D-8E74-72968E6AA4C8}</author>
  </authors>
  <commentList>
    <comment ref="E1" authorId="0" shapeId="0" xr:uid="{725D30C6-9444-CF41-B822-EFB209E01AA5}">
      <text>
        <t>[Threaded comment]
Your version of Excel allows you to read this threaded comment; however, any edits to it will get removed if the file is opened in a newer version of Excel. Learn more: https://go.microsoft.com/fwlink/?linkid=870924
Comment:
    (starting July 23)</t>
      </text>
    </comment>
    <comment ref="L1" authorId="1" shapeId="0" xr:uid="{B0E438D4-21EE-E840-8141-AC7155466BE4}">
      <text>
        <t>[Threaded comment]
Your version of Excel allows you to read this threaded comment; however, any edits to it will get removed if the file is opened in a newer version of Excel. Learn more: https://go.microsoft.com/fwlink/?linkid=870924
Comment:
    (starting July 2023)</t>
      </text>
    </comment>
    <comment ref="P1" authorId="2" shapeId="0" xr:uid="{4A33CE36-34DA-FF4E-B845-DFCA4E1EEAD8}">
      <text>
        <t>[Threaded comment]
Your version of Excel allows you to read this threaded comment; however, any edits to it will get removed if the file is opened in a newer version of Excel. Learn more: https://go.microsoft.com/fwlink/?linkid=870924
Comment:
    Junior and regular staff quarters</t>
      </text>
    </comment>
    <comment ref="C82" authorId="3" shapeId="0" xr:uid="{2D2465AB-0639-0E4E-93D9-3EC91B5A5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  <comment ref="F82" authorId="4" shapeId="0" xr:uid="{FF7A9722-DD1F-CA4A-8EC3-3D9F5A93CB5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  <comment ref="O82" authorId="5" shapeId="0" xr:uid="{82CA7D4D-798C-C14D-8E74-72968E6AA4C8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tc={A6A704BB-3A51-DF46-B202-5CC0A0B017CD}</author>
    <author>tc={8DB71811-BA3A-0A42-A3A1-882698221BA1}</author>
  </authors>
  <commentList>
    <comment ref="J9" authorId="0" shapeId="0" xr:uid="{A6A704BB-3A51-DF46-B202-5CC0A0B017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Formula for staff quarters was corrected. </t>
      </text>
    </comment>
    <comment ref="K9" authorId="1" shapeId="0" xr:uid="{8DB71811-BA3A-0A42-A3A1-88269822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was corrected. The correct value is 408294.1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tc={40D69639-C9A6-134F-A345-EE2D4620C7F4}</author>
    <author>tc={D635BF5B-6172-C941-B19A-207C867A249D}</author>
    <author>tc={BB555957-A161-0946-B1CC-9B56167A6568}</author>
    <author>tc={DE1A4F4D-9FD2-764F-8543-AE950F546E54}</author>
    <author>tc={C5AFFA22-AC89-2647-961C-2A6CE6FE0C4E}</author>
    <author>tc={6DD110ED-69FD-854F-8E51-D33D90A6960A}</author>
    <author>tc={6DAE8C03-743C-BE41-B4A7-B61BD74E76B2}</author>
    <author>tc={DEFD7018-0493-3D44-A048-471BDD3F2177}</author>
  </authors>
  <commentList>
    <comment ref="B1" authorId="0" shapeId="0" xr:uid="{40D69639-C9A6-134F-A345-EE2D4620C7F4}">
      <text>
        <t>[Threaded comment]
Your version of Excel allows you to read this threaded comment; however, any edits to it will get removed if the file is opened in a newer version of Excel. Learn more: https://go.microsoft.com/fwlink/?linkid=870924
Comment:
    (LG7/SSID + corrugated, office, newspaper)</t>
      </text>
    </comment>
    <comment ref="C1" authorId="1" shapeId="0" xr:uid="{D635BF5B-6172-C941-B19A-207C867A249D}">
      <text>
        <t>[Threaded comment]
Your version of Excel allows you to read this threaded comment; however, any edits to it will get removed if the file is opened in a newer version of Excel. Learn more: https://go.microsoft.com/fwlink/?linkid=870924
Comment:
    (Aluminium + Skip)</t>
      </text>
    </comment>
    <comment ref="D1" authorId="2" shapeId="0" xr:uid="{BB555957-A161-0946-B1CC-9B56167A65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(plastic bottles + polystyrene)
</t>
      </text>
    </comment>
    <comment ref="K1" authorId="3" shapeId="0" xr:uid="{DE1A4F4D-9FD2-764F-8543-AE950F546E54}">
      <text>
        <t>[Threaded comment]
Your version of Excel allows you to read this threaded comment; however, any edits to it will get removed if the file is opened in a newer version of Excel. Learn more: https://go.microsoft.com/fwlink/?linkid=870924
Comment:
    (CD, Clothes, Florescent Tube, Bulb, Rechargable Battery, Toner, Ink Cartridge, Tetra Pack)</t>
      </text>
    </comment>
    <comment ref="A86" authorId="4" shapeId="0" xr:uid="{C5AFFA22-AC89-2647-961C-2A6CE6FE0C4E}">
      <text>
        <t>[Threaded comment]
Your version of Excel allows you to read this threaded comment; however, any edits to it will get removed if the file is opened in a newer version of Excel. Learn more: https://go.microsoft.com/fwlink/?linkid=870924
Comment:
    Jul-20 until Dec-23 Copied from WasteCombinedCharts.xlsx</t>
      </text>
    </comment>
    <comment ref="D125" authorId="5" shapeId="0" xr:uid="{6DD110ED-69FD-854F-8E51-D33D90A6960A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for expanded polystyrene data</t>
      </text>
    </comment>
    <comment ref="J126" authorId="6" shapeId="0" xr:uid="{6DAE8C03-743C-BE41-B4A7-B61BD74E76B2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partially diverted from landfill</t>
      </text>
    </comment>
    <comment ref="J127" authorId="7" shapeId="0" xr:uid="{DEFD7018-0493-3D44-A048-471BDD3F2177}">
      <text>
        <t>[Threaded comment]
Your version of Excel allows you to read this threaded comment; however, any edits to it will get removed if the file is opened in a newer version of Excel. Learn more: https://go.microsoft.com/fwlink/?linkid=870924
Comment:
    Huaden only. Waiting for Alba. Resolve once done.</t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tc={F2497914-4567-C74D-92C3-6BD44764BDE1}</author>
    <author>tc={445C6505-6998-6B4B-8463-B7438A0845C5}</author>
  </authors>
  <commentList>
    <comment ref="A2" authorId="0" shapeId="0" xr:uid="{F2497914-4567-C74D-92C3-6BD44764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2010-2022 Copied from WasteCombinedCharts.xlsx</t>
      </text>
    </comment>
    <comment ref="A18" authorId="1" shapeId="0" xr:uid="{445C6505-6998-6B4B-8463-B7438A0845C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data left in the excel sheet without formulas; may vary from 2022/23</t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tc={E2CC49CB-BAE2-5C47-81CB-866E29441BBD}</author>
  </authors>
  <commentList>
    <comment ref="A1" authorId="0" shapeId="0" xr:uid="{E2CC49CB-BAE2-5C47-81CB-866E29441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Entire chart has been copied from “WasteCombinedCharts.xlsx”. </t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tc={6516E8C1-E62C-4447-8E8B-DD59EB5685A8}</author>
  </authors>
  <commentList>
    <comment ref="A1" authorId="0" shapeId="0" xr:uid="{6516E8C1-E62C-4447-8E8B-DD59EB5685A8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 2011-2023 have been copied from “WasteCombinedCharts.xlsx”. The original values were expressed in TONNES and thus have been converted to KG.</t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tc={2B115174-BC0A-4840-BF37-3A10F0E01179}</author>
  </authors>
  <commentList>
    <comment ref="A1" authorId="0" shapeId="0" xr:uid="{2B115174-BC0A-4840-BF37-3A10F0E01179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 2011-2023 have been copied from “WasteCombinedCharts.xlsx”. The original values were expressed in TONNES and thus have been converted to KG.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<sst xmlns="http://schemas.openxmlformats.org/spreadsheetml/2006/main" count="1952" uniqueCount="744">
  <si>
    <t>Annual Report</t>
  </si>
  <si>
    <t>Yearly Data</t>
  </si>
  <si>
    <t>Energy</t>
  </si>
  <si>
    <t>Renewable</t>
  </si>
  <si>
    <t>Water</t>
  </si>
  <si>
    <t>Electricity (Overview)</t>
  </si>
  <si>
    <t>CYT</t>
  </si>
  <si>
    <t>Waste</t>
  </si>
  <si>
    <t>LSK</t>
  </si>
  <si>
    <t>Towngas (TGU)</t>
  </si>
  <si>
    <t>Half-Year Report</t>
  </si>
  <si>
    <t>Fuel</t>
  </si>
  <si>
    <t>Lab Building</t>
  </si>
  <si>
    <t>GHG (mtCO2)</t>
  </si>
  <si>
    <t>Student Halls</t>
  </si>
  <si>
    <t>Potable Water (Overview)</t>
  </si>
  <si>
    <t>Canteen</t>
  </si>
  <si>
    <t>Potable Water (Meters)</t>
  </si>
  <si>
    <t>Commercial</t>
  </si>
  <si>
    <t>Seawater (m3)</t>
  </si>
  <si>
    <t xml:space="preserve">Monthly Data </t>
  </si>
  <si>
    <t>Recycling (kg)</t>
  </si>
  <si>
    <t>Cooling Towers</t>
  </si>
  <si>
    <t>Paper Distribution (kg)</t>
  </si>
  <si>
    <t>Staff Quarters</t>
  </si>
  <si>
    <t>Raw Data</t>
  </si>
  <si>
    <t>Food Waste</t>
  </si>
  <si>
    <t>Other</t>
  </si>
  <si>
    <t>Date</t>
  </si>
  <si>
    <t>Liquid Fuels/Diesel</t>
  </si>
  <si>
    <t>Towngas</t>
  </si>
  <si>
    <t>Electricity</t>
  </si>
  <si>
    <t>Energy (kWh)</t>
  </si>
  <si>
    <t>Energy per Capita</t>
  </si>
  <si>
    <t>Energy per GFA</t>
  </si>
  <si>
    <t>Electricity Consumption</t>
  </si>
  <si>
    <t>Renewable Generation (kWh)</t>
  </si>
  <si>
    <t>Emission Factor (kg/ KWh)</t>
  </si>
  <si>
    <t>Renewable Generation (CO2 tonnes)</t>
  </si>
  <si>
    <t>Main Acad. Building &amp; Others</t>
  </si>
  <si>
    <t>Cheng Yu Tung Building</t>
  </si>
  <si>
    <t>Main Chiller Plant</t>
  </si>
  <si>
    <t>LSK Chiller Plant</t>
  </si>
  <si>
    <t>LSK Building</t>
  </si>
  <si>
    <t>IAS Building</t>
  </si>
  <si>
    <t>Conference Lodge</t>
  </si>
  <si>
    <t>Staff Quarter Common Area</t>
  </si>
  <si>
    <t>Student Housing</t>
  </si>
  <si>
    <t>Staff Quarters &amp; Commercial Outlets</t>
  </si>
  <si>
    <t>Year</t>
  </si>
  <si>
    <t>Total S1&amp;2</t>
  </si>
  <si>
    <t>Total S3</t>
  </si>
  <si>
    <t>Emissions per Capita</t>
  </si>
  <si>
    <t>Emissions per GFA</t>
  </si>
  <si>
    <t>Academic Year</t>
  </si>
  <si>
    <t>Actual (including renewables)</t>
  </si>
  <si>
    <t>Actual</t>
  </si>
  <si>
    <t>Projected</t>
  </si>
  <si>
    <t>2014/15</t>
  </si>
  <si>
    <t>2023/24 kWh</t>
  </si>
  <si>
    <t>Reduction</t>
  </si>
  <si>
    <t>2015/16</t>
  </si>
  <si>
    <t>2023/24 %</t>
  </si>
  <si>
    <t>2016/17</t>
  </si>
  <si>
    <t>2017/18</t>
  </si>
  <si>
    <t>2018/19</t>
  </si>
  <si>
    <t>2019/20</t>
  </si>
  <si>
    <t>Slopes</t>
  </si>
  <si>
    <t>2020/21</t>
  </si>
  <si>
    <t>2028 Slope</t>
  </si>
  <si>
    <t>2021/22</t>
  </si>
  <si>
    <t>2035 Slope</t>
  </si>
  <si>
    <t>2022/23</t>
  </si>
  <si>
    <t>2045 Slope</t>
  </si>
  <si>
    <t>2023/24</t>
  </si>
  <si>
    <t>2050 Slope</t>
  </si>
  <si>
    <t>2024/25</t>
  </si>
  <si>
    <t>Period</t>
  </si>
  <si>
    <t>LPT Bill</t>
  </si>
  <si>
    <t>SSQ Bill</t>
  </si>
  <si>
    <t>JSQ Bill</t>
  </si>
  <si>
    <t>VC &amp; Guest Lodge</t>
  </si>
  <si>
    <t>Total</t>
  </si>
  <si>
    <t>12-Month Rolling Sum</t>
  </si>
  <si>
    <t xml:space="preserve">Renewable energy generation </t>
  </si>
  <si>
    <t xml:space="preserve">% of total electricity </t>
  </si>
  <si>
    <t xml:space="preserve"> </t>
  </si>
  <si>
    <t>CLP Total</t>
  </si>
  <si>
    <t>Difference</t>
  </si>
  <si>
    <t>LSK Hostel</t>
  </si>
  <si>
    <t xml:space="preserve">Staff Quarters &amp; Commercial Outlets </t>
  </si>
  <si>
    <t>Commercial Outlets</t>
  </si>
  <si>
    <t>Combined Chiller Plants</t>
  </si>
  <si>
    <t>Main Academic Buildings &amp; Other Public Facilities</t>
  </si>
  <si>
    <t>EC</t>
  </si>
  <si>
    <t>Shaw Auditorium</t>
  </si>
  <si>
    <t>APCF 
(R/F Zone L)</t>
  </si>
  <si>
    <t>New Data Centre 
(2/F Zone L)</t>
  </si>
  <si>
    <t>LSKBB</t>
  </si>
  <si>
    <t>IAS</t>
  </si>
  <si>
    <t>WWT</t>
  </si>
  <si>
    <t>Water Sport Centre</t>
  </si>
  <si>
    <t>SISC</t>
  </si>
  <si>
    <t>IB</t>
    <phoneticPr fontId="7" type="noConversion"/>
  </si>
  <si>
    <t>SRD (UG10-13)</t>
    <phoneticPr fontId="7" type="noConversion"/>
  </si>
  <si>
    <t>TA-B</t>
    <phoneticPr fontId="7" type="noConversion"/>
  </si>
  <si>
    <t>GGT</t>
  </si>
  <si>
    <t>Student Housing UG1-UG9, PG1-PG2</t>
  </si>
  <si>
    <t>TKO JC Hall</t>
  </si>
  <si>
    <t>Total + TKOJCH</t>
  </si>
  <si>
    <t>IB</t>
  </si>
  <si>
    <t>2025/26</t>
  </si>
  <si>
    <t xml:space="preserve">Main Academic Buildings and Others </t>
  </si>
  <si>
    <t>Innovation Building</t>
  </si>
  <si>
    <t>Staff Quarters &amp; Commercial Outlet</t>
  </si>
  <si>
    <t>Whole Campus (including staff quarter common area)</t>
  </si>
  <si>
    <t>Whole Campus (excluding staff quarter common area)</t>
  </si>
  <si>
    <t>Staff Quarters &amp; Commercial Outlet (Total)</t>
  </si>
  <si>
    <t>2013/14</t>
  </si>
  <si>
    <t>% total elec</t>
  </si>
  <si>
    <t>% of scope 2</t>
  </si>
  <si>
    <t>Academic Building + Public Facilities</t>
  </si>
  <si>
    <t>Canteens + Commercial Outlets</t>
  </si>
  <si>
    <t>Staff Quarter</t>
  </si>
  <si>
    <t>NB TOTAL (TGU)</t>
  </si>
  <si>
    <t>MJ (x 48 towngas unit)</t>
  </si>
  <si>
    <t>kWh (MJ*0.2777778)</t>
  </si>
  <si>
    <t>Main Academic Buildings</t>
  </si>
  <si>
    <t xml:space="preserve">Staff Quarters </t>
  </si>
  <si>
    <t>Canteens</t>
  </si>
  <si>
    <t>UniLodge &amp; University Center</t>
  </si>
  <si>
    <t>HKSCC Report (kWh) (MJ*0.2777778)</t>
  </si>
  <si>
    <t>Conversion factor</t>
  </si>
  <si>
    <t>2010/11</t>
  </si>
  <si>
    <t>2011/12</t>
  </si>
  <si>
    <t>2012/13</t>
  </si>
  <si>
    <t>1MJ = 0.277778kWh</t>
  </si>
  <si>
    <t>https://www.towngas.com/en/About-Us/Hong-Kong-Gas-Business/Gas-Production</t>
  </si>
  <si>
    <t>Reference for towngas unit: https://ocp.towngas.com/tools/eng/toolsgascalc.aspx</t>
  </si>
  <si>
    <t>https://www.towngas.com/en/Household/Customer-Services/Tariff</t>
  </si>
  <si>
    <t>https://www.towngas.com/en/About-Us/Hong-Kong-Gas-Business/Gas-Production#:~:text=Town%20gas%2C%20produced%20from%20naphtha,it%20can%20be%20detected%20easily.</t>
  </si>
  <si>
    <t>CSO Fuel - Petrol Consumption Cars (from Elsa CSO) (litres)</t>
  </si>
  <si>
    <t>Total Petrol (kWh)</t>
  </si>
  <si>
    <t>Fuel Oil Standby generator (from CMO Kam Tong Yuen)(litres)</t>
  </si>
  <si>
    <t>CMO Fuel - Lorry &amp; Pick Up - Diesel - litres (from Kenny Ho)</t>
  </si>
  <si>
    <t>Total Diesel (kWh)</t>
  </si>
  <si>
    <t>Total Petrol &amp; Diesel (kWh)</t>
  </si>
  <si>
    <t>HKSCC Report (kWh)</t>
  </si>
  <si>
    <t>S1 Stationary Combustion</t>
    <phoneticPr fontId="20" type="noConversion"/>
  </si>
  <si>
    <t>S1 Mobile Combustion</t>
    <phoneticPr fontId="20" type="noConversion"/>
  </si>
  <si>
    <t>S1 Refrigerant and others</t>
    <phoneticPr fontId="20" type="noConversion"/>
  </si>
  <si>
    <t xml:space="preserve">S1 Total </t>
    <phoneticPr fontId="20" type="noConversion"/>
  </si>
  <si>
    <t>Towngas Combustion</t>
    <phoneticPr fontId="20" type="noConversion"/>
  </si>
  <si>
    <t>CSO PC (ULP)</t>
    <phoneticPr fontId="20" type="noConversion"/>
  </si>
  <si>
    <t>CMO PV (ULP)</t>
  </si>
  <si>
    <t>CSO PV (ULP)</t>
    <phoneticPr fontId="20" type="noConversion"/>
  </si>
  <si>
    <t>CLS LGV (Diesel)</t>
    <phoneticPr fontId="20" type="noConversion"/>
  </si>
  <si>
    <t>CMO LGV (Diesel)</t>
  </si>
  <si>
    <t>MAP LGV (ULP)</t>
    <phoneticPr fontId="20" type="noConversion"/>
  </si>
  <si>
    <t>R22 (HCFC-22)</t>
    <phoneticPr fontId="20" type="noConversion"/>
  </si>
  <si>
    <t>R410A</t>
  </si>
  <si>
    <t>R407C (R134a)</t>
    <phoneticPr fontId="20" type="noConversion"/>
  </si>
  <si>
    <t>SF6</t>
    <phoneticPr fontId="20" type="noConversion"/>
  </si>
  <si>
    <t>Amount (L)</t>
    <phoneticPr fontId="20" type="noConversion"/>
  </si>
  <si>
    <t>CO2e  (tonne)</t>
    <phoneticPr fontId="20" type="noConversion"/>
  </si>
  <si>
    <t>Amount (Unit)</t>
    <phoneticPr fontId="20" type="noConversion"/>
  </si>
  <si>
    <t>Leakage (kg)</t>
    <phoneticPr fontId="20" type="noConversion"/>
  </si>
  <si>
    <t>Usage (kg)</t>
  </si>
  <si>
    <t>CO2e  (tonne)</t>
  </si>
  <si>
    <t>2022-23</t>
  </si>
  <si>
    <t>2023-24</t>
  </si>
  <si>
    <t>2024-25</t>
  </si>
  <si>
    <t xml:space="preserve">S2 Purchased Electricity </t>
    <phoneticPr fontId="20" type="noConversion"/>
  </si>
  <si>
    <t>S2 Purchased Towngas</t>
  </si>
  <si>
    <t xml:space="preserve">S2 Total </t>
  </si>
  <si>
    <t xml:space="preserve">Main Academic Buildings and Others (CO2e) </t>
  </si>
  <si>
    <t xml:space="preserve">Main Chiller Plant (CO2e) </t>
  </si>
  <si>
    <t xml:space="preserve">LSK Chiller Plant (CO2e) </t>
  </si>
  <si>
    <t xml:space="preserve">Cheng Yu Tung Building (CO2e) </t>
  </si>
  <si>
    <t xml:space="preserve">LSK Building (CO2e) </t>
  </si>
  <si>
    <t xml:space="preserve">IAS Building (CO2e) </t>
  </si>
  <si>
    <t xml:space="preserve">Innovation Building (CO2e) </t>
  </si>
  <si>
    <t xml:space="preserve">Conference Lodge (CO2e) </t>
  </si>
  <si>
    <t xml:space="preserve">Staff Quarter Common Area (CO2e) </t>
  </si>
  <si>
    <t xml:space="preserve">Student Housing (CO2e) </t>
  </si>
  <si>
    <t xml:space="preserve">Staff Quarters &amp; Commercial Outlet (CO2e) </t>
  </si>
  <si>
    <t>Total Amount (KWh)</t>
  </si>
  <si>
    <t xml:space="preserve">Amount (Unit)  </t>
    <phoneticPr fontId="20" type="noConversion"/>
  </si>
  <si>
    <t>S3 Fresh Water and Sewage</t>
    <phoneticPr fontId="20" type="noConversion"/>
  </si>
  <si>
    <t>S3 Paper Waste</t>
    <phoneticPr fontId="20" type="noConversion"/>
  </si>
  <si>
    <t xml:space="preserve">S3 Total </t>
    <phoneticPr fontId="20" type="noConversion"/>
  </si>
  <si>
    <t>Fresh Water Processing</t>
    <phoneticPr fontId="20" type="noConversion"/>
  </si>
  <si>
    <t>Sewage Water Processing</t>
    <phoneticPr fontId="20" type="noConversion"/>
  </si>
  <si>
    <t>Paper Waste Disposed</t>
    <phoneticPr fontId="20" type="noConversion"/>
  </si>
  <si>
    <t>Paper Waste Recycled</t>
    <phoneticPr fontId="20" type="noConversion"/>
  </si>
  <si>
    <t>m3</t>
    <phoneticPr fontId="20" type="noConversion"/>
  </si>
  <si>
    <t>kg</t>
    <phoneticPr fontId="20" type="noConversion"/>
  </si>
  <si>
    <t>Jul</t>
    <phoneticPr fontId="20" type="noConversion"/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</si>
  <si>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</si>
  <si>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</si>
  <si>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</si>
  <si>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</si>
  <si>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</si>
  <si>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</si>
  <si>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</si>
  <si>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</si>
  <si>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</si>
  <si>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</si>
  <si>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</si>
  <si>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New Boundary Scope 1</t>
  </si>
  <si>
    <t>New Boundary Scope 2</t>
  </si>
  <si>
    <t>New Boundary Scope 3</t>
  </si>
  <si>
    <t>Total S1,2&amp;3</t>
  </si>
  <si>
    <t>Capita</t>
  </si>
  <si>
    <t>GFA</t>
  </si>
  <si>
    <t>1&amp;2 Emissions per Capita</t>
  </si>
  <si>
    <t>1&amp;2 Emssions per GFA</t>
  </si>
  <si>
    <t xml:space="preserve">2013/14 </t>
  </si>
  <si>
    <t>Please update Any changes with emission factor</t>
    <phoneticPr fontId="18" type="noConversion"/>
  </si>
  <si>
    <t>S1. Stationary Combustion</t>
    <phoneticPr fontId="18" type="noConversion"/>
  </si>
  <si>
    <t>CO2</t>
    <phoneticPr fontId="18" type="noConversion"/>
  </si>
  <si>
    <t>CH4</t>
    <phoneticPr fontId="18" type="noConversion"/>
  </si>
  <si>
    <t>N2O</t>
    <phoneticPr fontId="18" type="noConversion"/>
  </si>
  <si>
    <t xml:space="preserve">Total CO2e </t>
    <phoneticPr fontId="18" type="noConversion"/>
  </si>
  <si>
    <t>CO2e of CH4</t>
    <phoneticPr fontId="18" type="noConversion"/>
  </si>
  <si>
    <t>CO2e of N2O</t>
    <phoneticPr fontId="18" type="noConversion"/>
  </si>
  <si>
    <t>Conversion to kWh</t>
    <phoneticPr fontId="18" type="noConversion"/>
  </si>
  <si>
    <t>CO2e/kWh</t>
    <phoneticPr fontId="18" type="noConversion"/>
  </si>
  <si>
    <t xml:space="preserve">Diesel </t>
    <phoneticPr fontId="18" type="noConversion"/>
  </si>
  <si>
    <t>kg/Litre</t>
    <phoneticPr fontId="18" type="noConversion"/>
  </si>
  <si>
    <t>g/Litre</t>
    <phoneticPr fontId="18" type="noConversion"/>
  </si>
  <si>
    <t>Towngas</t>
    <phoneticPr fontId="18" type="noConversion"/>
  </si>
  <si>
    <t>kg/Unit</t>
    <phoneticPr fontId="18" type="noConversion"/>
  </si>
  <si>
    <t>g/Unit</t>
    <phoneticPr fontId="18" type="noConversion"/>
  </si>
  <si>
    <t>*48*0.277778</t>
  </si>
  <si>
    <t>IPCC Second Assessment Report (1995)</t>
    <phoneticPr fontId="18" type="noConversion"/>
  </si>
  <si>
    <t>S1. Mobile Combustion</t>
    <phoneticPr fontId="18" type="noConversion"/>
  </si>
  <si>
    <t>Passenger Car (PC)</t>
    <phoneticPr fontId="18" type="noConversion"/>
  </si>
  <si>
    <t>DO</t>
    <phoneticPr fontId="18" type="noConversion"/>
  </si>
  <si>
    <t>*10.03009027</t>
    <phoneticPr fontId="18" type="noConversion"/>
  </si>
  <si>
    <t>ULP(unleaded petrol)</t>
  </si>
  <si>
    <t>Private Van (PV)</t>
    <phoneticPr fontId="18" type="noConversion"/>
  </si>
  <si>
    <t>*8.834702712</t>
    <phoneticPr fontId="18" type="noConversion"/>
  </si>
  <si>
    <t>Light Goods Vehicle (LGV)</t>
  </si>
  <si>
    <t xml:space="preserve">S1.Refrigerant </t>
    <phoneticPr fontId="18" type="noConversion"/>
  </si>
  <si>
    <t>R22 (HCFC-22)</t>
    <phoneticPr fontId="18" type="noConversion"/>
  </si>
  <si>
    <t>R410A</t>
    <phoneticPr fontId="18" type="noConversion"/>
  </si>
  <si>
    <t>R407C</t>
    <phoneticPr fontId="18" type="noConversion"/>
  </si>
  <si>
    <t>https://www.gov.uk/government/uploads/system/uploads/attachment_data/file/69554/pb13773-ghg-conversion-factors-2012.pdf</t>
  </si>
  <si>
    <t>SF6</t>
    <phoneticPr fontId="18" type="noConversion"/>
  </si>
  <si>
    <t>Defra</t>
    <phoneticPr fontId="18" type="noConversion"/>
  </si>
  <si>
    <t>S2. Energy Indirect Emissions</t>
    <phoneticPr fontId="18" type="noConversion"/>
  </si>
  <si>
    <t>Last updated</t>
    <phoneticPr fontId="18" type="noConversion"/>
  </si>
  <si>
    <t>kg/ KWh</t>
    <phoneticPr fontId="18" type="noConversion"/>
  </si>
  <si>
    <t xml:space="preserve">CLP Sustainability Report </t>
  </si>
  <si>
    <t>kg/ Unit</t>
    <phoneticPr fontId="18" type="noConversion"/>
  </si>
  <si>
    <t xml:space="preserve">Towngas Sustainability Report </t>
    <phoneticPr fontId="18" type="noConversion"/>
  </si>
  <si>
    <t>*48*0.277778</t>
    <phoneticPr fontId="18" type="noConversion"/>
  </si>
  <si>
    <t>S3. Other Indirect Emissions</t>
    <phoneticPr fontId="18" type="noConversion"/>
  </si>
  <si>
    <t>Fresh Water Processing</t>
  </si>
  <si>
    <t>kg/ m3</t>
    <phoneticPr fontId="18" type="noConversion"/>
  </si>
  <si>
    <t>Water Service Department Annual Report</t>
    <phoneticPr fontId="18" type="noConversion"/>
  </si>
  <si>
    <t>Sewage Water Processing</t>
  </si>
  <si>
    <t>Drainage Services Department Sustainability Report</t>
  </si>
  <si>
    <t>Electricity (Pre-Baseline)</t>
  </si>
  <si>
    <t>Towngas (Pre-Baseline)</t>
  </si>
  <si>
    <t>Electricity Performance</t>
  </si>
  <si>
    <t>Towngas Performance</t>
  </si>
  <si>
    <t>DON’T DELETE THIS SHEET</t>
  </si>
  <si>
    <t>Fresh Water</t>
    <phoneticPr fontId="18" type="noConversion"/>
  </si>
  <si>
    <t>Sewage Water</t>
    <phoneticPr fontId="18" type="noConversion"/>
  </si>
  <si>
    <t>Water Consumption Breakdown</t>
  </si>
  <si>
    <t xml:space="preserve">Date </t>
  </si>
  <si>
    <t>LSK Campus</t>
  </si>
  <si>
    <t>Public facilities in campus</t>
  </si>
  <si>
    <t>Canteens and Commercial</t>
  </si>
  <si>
    <t xml:space="preserve">Total Water Consumption </t>
  </si>
  <si>
    <t>Total Water Consumption per capita</t>
  </si>
  <si>
    <t>capita</t>
  </si>
  <si>
    <t>Dec 2024 Rolling 12 months</t>
  </si>
  <si>
    <t>Potable Water</t>
  </si>
  <si>
    <t>Main Academic Buildings + Public Facilities</t>
  </si>
  <si>
    <t>Total (m3)</t>
  </si>
  <si>
    <t>LSKBB and IAS</t>
  </si>
  <si>
    <t>Staff Quarter Household</t>
  </si>
  <si>
    <t>Public Facilities in Staff Quarters</t>
  </si>
  <si>
    <t>HKUST Total</t>
  </si>
  <si>
    <t>Cooling Tower Total</t>
  </si>
  <si>
    <t>Public Facilities</t>
  </si>
  <si>
    <t>Oct 24 - Dec 24</t>
  </si>
  <si>
    <t>Oct 23 - Dec 23</t>
  </si>
  <si>
    <t>New Name</t>
  </si>
  <si>
    <t>Academic Building Cooling Tower</t>
  </si>
  <si>
    <t>Academic Building Cleaning</t>
  </si>
  <si>
    <t>Academic Building Potable</t>
  </si>
  <si>
    <t xml:space="preserve">Lab Building Non Potable Water </t>
  </si>
  <si>
    <t>Seawater Pump House</t>
  </si>
  <si>
    <t xml:space="preserve">Outdoor Swimming Pool Intake </t>
  </si>
  <si>
    <t xml:space="preserve">Outdoor Swimming Pool General </t>
  </si>
  <si>
    <t xml:space="preserve">Outdoor Swimming Pool Cleaning </t>
  </si>
  <si>
    <t>Indoor Swimming Pool Intake</t>
  </si>
  <si>
    <t>Indoor Swimming Pool General</t>
  </si>
  <si>
    <t>Indoor Swimming Pool Cleaning</t>
  </si>
  <si>
    <t>CYT Main (Adjusted)</t>
  </si>
  <si>
    <t>CYT Cleaning</t>
  </si>
  <si>
    <t>AAF General</t>
  </si>
  <si>
    <t>LSKBB Main (Adjusted)</t>
  </si>
  <si>
    <t>LSKBB Cleaning</t>
  </si>
  <si>
    <t>LSKBB Water Feature</t>
  </si>
  <si>
    <t>IAS Cooling Tower</t>
  </si>
  <si>
    <t>IAS Main</t>
  </si>
  <si>
    <t>IAS Cleaning</t>
  </si>
  <si>
    <t>IAS Water Feature</t>
  </si>
  <si>
    <t>CL Main</t>
  </si>
  <si>
    <t>CL Cleaning (Adjusted)</t>
  </si>
  <si>
    <t>Water Sports Center</t>
  </si>
  <si>
    <t>Tsang Shiu Tim Sports Center</t>
  </si>
  <si>
    <t>SA Main</t>
  </si>
  <si>
    <t>SA Cleaning</t>
  </si>
  <si>
    <t>Irrigation around AAF area</t>
  </si>
  <si>
    <t>Irrigation around GGT area</t>
  </si>
  <si>
    <t xml:space="preserve">Five Restaurants at 1/F, G/F &amp; LG1 (#2) </t>
  </si>
  <si>
    <t xml:space="preserve">G/F &amp; LG1's Hydrovents (#3) </t>
  </si>
  <si>
    <t>G/F Starbucks</t>
  </si>
  <si>
    <t xml:space="preserve">LG1 Barbershop </t>
  </si>
  <si>
    <t>LG5 McDonald's</t>
  </si>
  <si>
    <t>LG5 7 Eleven</t>
  </si>
  <si>
    <t>LG7 Asia Pacific</t>
  </si>
  <si>
    <t xml:space="preserve">LG7 Asia Pacific Hydrovent </t>
  </si>
  <si>
    <t>LG7 Gold Rice Bowl</t>
  </si>
  <si>
    <t xml:space="preserve">LG7 Gold Rice Bowl Hydrovent </t>
  </si>
  <si>
    <t>LG7 TT Veggie</t>
  </si>
  <si>
    <t>LG7 Oliver</t>
  </si>
  <si>
    <t>Tower C UniBistro</t>
  </si>
  <si>
    <t>Tower C UniBistro Hydrovent</t>
  </si>
  <si>
    <t>CYT Subway</t>
  </si>
  <si>
    <t>LSKBB Diners</t>
  </si>
  <si>
    <t>LSKBB Pacific Coffee</t>
  </si>
  <si>
    <t>LSKBB Ebenezzer</t>
  </si>
  <si>
    <t>CL UniQue</t>
  </si>
  <si>
    <t>SA HFT Life</t>
  </si>
  <si>
    <t>UG6 G/F Kitchen</t>
  </si>
  <si>
    <t xml:space="preserve">UG6 G/F Kitchen Hydrovent </t>
  </si>
  <si>
    <t>UG2 Hot Water</t>
  </si>
  <si>
    <t>UG4 Hot Water</t>
  </si>
  <si>
    <t xml:space="preserve">UG5 Hot Water </t>
  </si>
  <si>
    <t xml:space="preserve">UG1 &amp; SKCC General </t>
  </si>
  <si>
    <t>UG1 &amp; SKCC Laundry</t>
  </si>
  <si>
    <t xml:space="preserve">UG1 &amp; SKCC Cleaning </t>
  </si>
  <si>
    <t>UG2 General</t>
  </si>
  <si>
    <t>UG2 Laundry</t>
  </si>
  <si>
    <t>UG2 Cleaning</t>
  </si>
  <si>
    <t>UG3 General</t>
  </si>
  <si>
    <t>UG3 Laundry</t>
  </si>
  <si>
    <t>UG3 Cleaning</t>
  </si>
  <si>
    <t>UG4 General</t>
  </si>
  <si>
    <t>UG4 Laundry</t>
  </si>
  <si>
    <t>UG4 Cleaning</t>
  </si>
  <si>
    <t>UG5 General</t>
  </si>
  <si>
    <t xml:space="preserve">UG5 Laundry </t>
  </si>
  <si>
    <t xml:space="preserve">UG5 Cleaning </t>
  </si>
  <si>
    <t>UG6 G/F-5/F General</t>
  </si>
  <si>
    <t xml:space="preserve">UG6 6/F-10/F General </t>
  </si>
  <si>
    <t>UG6 Laundry</t>
  </si>
  <si>
    <t>UG6 Cleaning</t>
  </si>
  <si>
    <t>UG7 General</t>
  </si>
  <si>
    <t>UG7 Laundry</t>
  </si>
  <si>
    <t>UG7 Cleaning</t>
  </si>
  <si>
    <t>UG8 General</t>
  </si>
  <si>
    <t>UG9 General</t>
  </si>
  <si>
    <t>UG9 Laundry</t>
  </si>
  <si>
    <t>UG9 Cleaning</t>
  </si>
  <si>
    <t>GGT General</t>
  </si>
  <si>
    <t>GGT Cleaning</t>
  </si>
  <si>
    <t>GGT Multipurpose room</t>
  </si>
  <si>
    <t>Block 9-12 Guard House</t>
  </si>
  <si>
    <t>Block 9 Cleaning</t>
  </si>
  <si>
    <t>Block 10 Cleaning</t>
  </si>
  <si>
    <t>Block 11 Cleaning</t>
  </si>
  <si>
    <t>Block 12 Cleaning</t>
  </si>
  <si>
    <t>Block P,Q,R,S Cleaning</t>
  </si>
  <si>
    <t>Tower 1 Cleaning</t>
  </si>
  <si>
    <t>Tower 2 G/F Laundry</t>
  </si>
  <si>
    <t>Tower 2 Cleaning</t>
  </si>
  <si>
    <t>Tower 3 Cleaning</t>
  </si>
  <si>
    <t>Tower 4 Cleaning</t>
  </si>
  <si>
    <t>Tower 5 Housing Office</t>
  </si>
  <si>
    <t>Tower 5 Cleaning</t>
  </si>
  <si>
    <t>Tower 6 Cleaning</t>
  </si>
  <si>
    <t>Tower 7 Cleaning</t>
  </si>
  <si>
    <t>Tower 9 Cleaning</t>
  </si>
  <si>
    <t>Tower 10 Cleaning</t>
  </si>
  <si>
    <t>Tower 13 Cleaning</t>
  </si>
  <si>
    <t>Tower 16 Cleaning</t>
  </si>
  <si>
    <t>T17 Housing Office</t>
  </si>
  <si>
    <t>Tower 18 Cleaning</t>
  </si>
  <si>
    <t xml:space="preserve">Tower 18 Kindergarten </t>
  </si>
  <si>
    <t xml:space="preserve">Tower C Toilet + UniBistro (#4) </t>
  </si>
  <si>
    <t>Tower C Refuse Room</t>
  </si>
  <si>
    <t>Tower D Toilet</t>
  </si>
  <si>
    <t>Tower D Refuse Room</t>
  </si>
  <si>
    <t>Rubbish Room No.1 near Tower 12 (Adjusted)</t>
  </si>
  <si>
    <t>Rubbish Room No.2 near Tower 19</t>
  </si>
  <si>
    <t xml:space="preserve">Site B BBQ Toilet </t>
  </si>
  <si>
    <r>
      <rPr>
        <sz val="12"/>
        <color rgb="FF231F20"/>
        <rFont val="Arial"/>
        <family val="2"/>
      </rPr>
      <t>1/F Coffee Shop        #</t>
    </r>
  </si>
  <si>
    <r>
      <rPr>
        <sz val="12"/>
        <color rgb="FF231F20"/>
        <rFont val="Arial"/>
        <family val="2"/>
      </rPr>
      <t>Site B S.H. Rubbish Rm.</t>
    </r>
  </si>
  <si>
    <r>
      <rPr>
        <sz val="12"/>
        <color rgb="FF231F20"/>
        <rFont val="Arial"/>
        <family val="2"/>
      </rPr>
      <t>Site B Tower C Cleaning water</t>
    </r>
  </si>
  <si>
    <r>
      <rPr>
        <sz val="12"/>
        <color rgb="FF231F20"/>
        <rFont val="Arial"/>
        <family val="2"/>
      </rPr>
      <t>Site B Tower D a/c system</t>
    </r>
  </si>
  <si>
    <r>
      <rPr>
        <sz val="12"/>
        <color rgb="FF231F20"/>
        <rFont val="Arial"/>
        <family val="2"/>
      </rPr>
      <t>Site B Tower D Cleaning water</t>
    </r>
  </si>
  <si>
    <r>
      <rPr>
        <sz val="12"/>
        <color rgb="FF231F20"/>
        <rFont val="Arial"/>
        <family val="2"/>
      </rPr>
      <t>NAB G/F catering meter</t>
    </r>
  </si>
  <si>
    <r>
      <rPr>
        <sz val="12"/>
        <color rgb="FF231F20"/>
        <rFont val="Arial"/>
        <family val="2"/>
      </rPr>
      <t>IASR Kitchen water meter</t>
    </r>
  </si>
  <si>
    <t>New Numbers</t>
  </si>
  <si>
    <t>103C</t>
  </si>
  <si>
    <t>104C</t>
  </si>
  <si>
    <t>106C</t>
  </si>
  <si>
    <t xml:space="preserve">113C </t>
  </si>
  <si>
    <t>117C</t>
  </si>
  <si>
    <t>118C</t>
  </si>
  <si>
    <t>201C</t>
  </si>
  <si>
    <t>202C</t>
  </si>
  <si>
    <t>203C</t>
  </si>
  <si>
    <t>Main Academic Building</t>
  </si>
  <si>
    <t>Wind Tunnel (AAF)</t>
  </si>
  <si>
    <t xml:space="preserve">Sport Facilicites </t>
  </si>
  <si>
    <t>Catering</t>
  </si>
  <si>
    <t>Cleaning Water and Irrigation</t>
  </si>
  <si>
    <t>Shaw</t>
  </si>
  <si>
    <t>2021-22</t>
  </si>
  <si>
    <t>Item</t>
  </si>
  <si>
    <t>Pump No.</t>
  </si>
  <si>
    <t>SWPH-P/P-25</t>
  </si>
  <si>
    <t>SWPH-P/P-26</t>
  </si>
  <si>
    <t>SWPH-P/P-27</t>
  </si>
  <si>
    <t>SWPH-P/P-28</t>
  </si>
  <si>
    <t>AB-FTP-1</t>
  </si>
  <si>
    <t>AB-FTP-2</t>
  </si>
  <si>
    <t>AB-FWTP-1</t>
  </si>
  <si>
    <t>AB-FWTP-2</t>
  </si>
  <si>
    <t>AB-FWTP-3</t>
  </si>
  <si>
    <t>AB-FWTP-4</t>
  </si>
  <si>
    <t>UG7-FTP-1</t>
  </si>
  <si>
    <t>UG7-FTP-2</t>
  </si>
  <si>
    <t>AB-FWTP-7</t>
  </si>
  <si>
    <t>AB-FWTP-8</t>
  </si>
  <si>
    <t>PG/UG1-FTP-1</t>
  </si>
  <si>
    <t>PG/UG1-FTP-2</t>
  </si>
  <si>
    <t>PG2-FTP-1</t>
  </si>
  <si>
    <t>PG2-FTP-2</t>
  </si>
  <si>
    <t>LSK-FTP-1</t>
  </si>
  <si>
    <t>LSK-FTP-2</t>
  </si>
  <si>
    <t>LSK-FTJP-3</t>
  </si>
  <si>
    <t>RAB-FWTP-1</t>
  </si>
  <si>
    <t>RAB-FWTP-2</t>
  </si>
  <si>
    <t>Cooling Tower</t>
  </si>
  <si>
    <t>Serving Area</t>
  </si>
  <si>
    <t>Acad. Bldg, Staff Qtr, GRUC</t>
  </si>
  <si>
    <t>Student Housing, CML, Seafront Complex</t>
  </si>
  <si>
    <t>Academic Building</t>
  </si>
  <si>
    <t>SSQ T1-T7</t>
  </si>
  <si>
    <t>JSQ, Ph-2 SSQ</t>
  </si>
  <si>
    <t>UG7</t>
  </si>
  <si>
    <t>GRUC, SSQ  T8-T19, LSK, RAB</t>
  </si>
  <si>
    <t>PG1/UG1 (Suspended)</t>
  </si>
  <si>
    <t>PG2 (Suspended)</t>
  </si>
  <si>
    <t>LSK transfer pump room</t>
  </si>
  <si>
    <t>RAB G/F pump room</t>
  </si>
  <si>
    <t>Total (by month)</t>
  </si>
  <si>
    <t>Total (by meter)</t>
  </si>
  <si>
    <t>Total (by serving area)</t>
  </si>
  <si>
    <t>Annual Total</t>
  </si>
  <si>
    <t>Cooling System</t>
  </si>
  <si>
    <t>Note for cooling - The seawater "consumed" for our cooling system means that the offshore cold seawater is drawn into the HKUST Seawater Pump House to absorb the unwanted heat from the closed-loop condensing water circuit. Before discharging the hot seawater back to sea, part of the hot seawater detours to fill the seawater flushing tank.</t>
  </si>
  <si>
    <t xml:space="preserve">Campus </t>
  </si>
  <si>
    <t>Student halls</t>
  </si>
  <si>
    <t xml:space="preserve">Total </t>
  </si>
  <si>
    <t>Paper</t>
  </si>
  <si>
    <t>Metal</t>
  </si>
  <si>
    <t>Plastic</t>
  </si>
  <si>
    <t>Glass</t>
  </si>
  <si>
    <t>Animal Bedding</t>
  </si>
  <si>
    <t>Landscape</t>
  </si>
  <si>
    <t>Wood</t>
  </si>
  <si>
    <t>Electrical Appliances</t>
  </si>
  <si>
    <t xml:space="preserve">Landfill </t>
  </si>
  <si>
    <t>Total Reycling</t>
  </si>
  <si>
    <t>Capita Number</t>
  </si>
  <si>
    <t>Recycling per capita</t>
  </si>
  <si>
    <t>Landfill per capita</t>
  </si>
  <si>
    <t>Diversion rate</t>
  </si>
  <si>
    <t>Trash</t>
  </si>
  <si>
    <t>Yellow Skip</t>
  </si>
  <si>
    <t>12-Month Rolling Average</t>
  </si>
  <si>
    <t>Office</t>
  </si>
  <si>
    <t>Operations</t>
  </si>
  <si>
    <t>Household</t>
  </si>
  <si>
    <t>Compostables</t>
  </si>
  <si>
    <t>Recyclables</t>
  </si>
  <si>
    <t xml:space="preserve">Plastic </t>
  </si>
  <si>
    <t>Electrical Appliance</t>
  </si>
  <si>
    <t xml:space="preserve">Other </t>
  </si>
  <si>
    <t>Food</t>
  </si>
  <si>
    <t>LG1 Canteen and China Garden</t>
  </si>
  <si>
    <t>LG7 Canteen + McDonald's</t>
  </si>
  <si>
    <t>LG7 Fusion</t>
  </si>
  <si>
    <t>Courtyard (Lift 25)</t>
  </si>
  <si>
    <t>UC Bistro (Tower C)</t>
  </si>
  <si>
    <t xml:space="preserve">UG Halls + Seafront Cafeteria </t>
  </si>
  <si>
    <t>Staff Quarters (All)</t>
  </si>
  <si>
    <t>Change across 6-month period</t>
  </si>
  <si>
    <t>Change across 1-year period</t>
  </si>
  <si>
    <t>Jul23-Dec23</t>
  </si>
  <si>
    <t>Jul 22 to Dec 22</t>
  </si>
  <si>
    <t>Nov 21 to Dec 22</t>
  </si>
  <si>
    <t>Jan24-Jun24</t>
  </si>
  <si>
    <t>Jul 23 to Dec 23</t>
  </si>
  <si>
    <t>Nov 22 to Dec 23</t>
  </si>
  <si>
    <t>% Change</t>
  </si>
  <si>
    <t>Jan 23 to Jun 23</t>
  </si>
  <si>
    <t>May 22 to Jun 23</t>
  </si>
  <si>
    <t>Jan 24 to Jun 24</t>
  </si>
  <si>
    <t>May 23 to Jun 24</t>
  </si>
  <si>
    <t>Jul 24 to Dec 24</t>
  </si>
  <si>
    <t>Trash</t>
    <phoneticPr fontId="0" type="noConversion"/>
  </si>
  <si>
    <t>Paper (LG7/SSID)</t>
    <phoneticPr fontId="0" type="noConversion"/>
  </si>
  <si>
    <t>Paper (corrugated containers+office paper+ newspapers)</t>
  </si>
  <si>
    <t>Metal (Aluminium)</t>
  </si>
  <si>
    <t>Metal Skip (Metal)</t>
  </si>
  <si>
    <t>Plastic (waste plastic bottles + plastic bag)</t>
  </si>
  <si>
    <t>Expanded Polystyrene</t>
  </si>
  <si>
    <t>CD @0.154kg</t>
  </si>
  <si>
    <t>Clothes</t>
  </si>
  <si>
    <t>Rechargeable Battery</t>
  </si>
  <si>
    <t>Toner</t>
  </si>
  <si>
    <t>Ink Cartridge (expressed in PIECES)</t>
  </si>
  <si>
    <t>Electronic Ballast (2x32W) @0.34kg</t>
    <phoneticPr fontId="3" type="noConversion"/>
  </si>
  <si>
    <t>Electronic Ballast (2x36W) @0.13</t>
    <phoneticPr fontId="3" type="noConversion"/>
  </si>
  <si>
    <t>Electronic Ballast (1x36W) @0.15</t>
    <phoneticPr fontId="3" type="noConversion"/>
  </si>
  <si>
    <t>Wood</t>
    <phoneticPr fontId="0" type="noConversion"/>
  </si>
  <si>
    <t>Food Waste (Contractor)</t>
    <phoneticPr fontId="0" type="noConversion"/>
  </si>
  <si>
    <t>Animal Bedding</t>
    <phoneticPr fontId="0" type="noConversion"/>
  </si>
  <si>
    <t>Landscape</t>
    <phoneticPr fontId="0" type="noConversion"/>
  </si>
  <si>
    <t>Tetra Packs</t>
  </si>
  <si>
    <t xml:space="preserve">Monthly Total of Waste to Landfill </t>
  </si>
  <si>
    <t xml:space="preserve">Waste to Landfill 12 month rolling sum </t>
  </si>
  <si>
    <t>Waste to Landfill 12 month rolling average</t>
  </si>
  <si>
    <t>Monthly Total of Recycling</t>
  </si>
  <si>
    <t xml:space="preserve">Recycling 12 month rolling sum </t>
  </si>
  <si>
    <t>Recycling 12 month rolling average</t>
  </si>
  <si>
    <t>Total Waste (12month rolling sum)</t>
  </si>
  <si>
    <t>-</t>
  </si>
  <si>
    <t xml:space="preserve"> - </t>
  </si>
  <si>
    <t>Remarks</t>
    <phoneticPr fontId="0" type="noConversion"/>
  </si>
  <si>
    <t>1) Glass recycling programme launched in Aug 14.</t>
    <phoneticPr fontId="0" type="noConversion"/>
  </si>
  <si>
    <t>2) Clothes recycling programme launched in Oct 14.</t>
    <phoneticPr fontId="0" type="noConversion"/>
  </si>
  <si>
    <t>3) Electrical appliance collection record started in Oct 14.</t>
    <phoneticPr fontId="0" type="noConversion"/>
  </si>
  <si>
    <t>3) Trash record started in Jul 15.</t>
    <phoneticPr fontId="0" type="noConversion"/>
  </si>
  <si>
    <t>4) The estimated trash was 9.71tons per day from Jul 13 to Jun 15.</t>
    <phoneticPr fontId="0" type="noConversion"/>
  </si>
  <si>
    <t>5) From Jul 13, 2000 kg per month has been added for the contractor of PARKnSHOP.</t>
    <phoneticPr fontId="0" type="noConversion"/>
  </si>
  <si>
    <t>6) Food waste collection started on 20 Sep 16.</t>
    <phoneticPr fontId="0" type="noConversion"/>
  </si>
  <si>
    <t>7) E-waste was counted as 100kg per item from Jul 13 to Jun 18.</t>
    <phoneticPr fontId="0" type="noConversion"/>
  </si>
  <si>
    <t>F&amp;B</t>
  </si>
  <si>
    <t>Departments</t>
  </si>
  <si>
    <t>Public Area</t>
  </si>
  <si>
    <t>Laboratory</t>
  </si>
  <si>
    <t>Location</t>
  </si>
  <si>
    <t>Zoning by Green Bird</t>
  </si>
  <si>
    <r>
      <t>香港科技大學</t>
    </r>
    <r>
      <rPr>
        <sz val="12"/>
        <color rgb="FF212121"/>
        <rFont val="Calibri"/>
        <family val="2"/>
      </rPr>
      <t>LG7 , UST Lift 25 Refuse Collection Point</t>
    </r>
  </si>
  <si>
    <t>LAB Area</t>
  </si>
  <si>
    <t>UST CYT , UST Lift 23 Loading Bay</t>
  </si>
  <si>
    <t>UST LSK</t>
  </si>
  <si>
    <t>CL</t>
  </si>
  <si>
    <t>SSQ</t>
  </si>
  <si>
    <r>
      <t>香港科技大學</t>
    </r>
    <r>
      <rPr>
        <sz val="12"/>
        <color rgb="FF212121"/>
        <rFont val="Calibri"/>
        <family val="2"/>
      </rPr>
      <t> SSQ</t>
    </r>
  </si>
  <si>
    <t>Hostel</t>
  </si>
  <si>
    <t>香港科技大學學生宿舍</t>
  </si>
  <si>
    <t>21 Departments (CMO &amp; CD), DSTO, OP office, HRO, ISO….)</t>
  </si>
  <si>
    <t>F&amp;B UST ,  UST LG1 Refuse Chamber , LSK F&amp;B UST</t>
  </si>
  <si>
    <t>UST others</t>
  </si>
  <si>
    <t>UST others (Recyclables), UST LSK (Recyclables)</t>
  </si>
  <si>
    <t>Plastic Bottles</t>
  </si>
  <si>
    <t>Other Plastics</t>
  </si>
  <si>
    <t>Glass Bottles</t>
  </si>
  <si>
    <t>Apr 1-17</t>
  </si>
  <si>
    <t>Apr 18-30</t>
  </si>
  <si>
    <t>LG7 Canteens</t>
  </si>
  <si>
    <t>McDonald's</t>
  </si>
  <si>
    <t>Seafront Cafeteria (now collected at UG6 starting July 23)</t>
  </si>
  <si>
    <t>UG Halls</t>
  </si>
  <si>
    <t>Junior Staff Quarters</t>
  </si>
  <si>
    <t>Total (kg)</t>
  </si>
  <si>
    <t>Yearly Total (kg)</t>
  </si>
  <si>
    <t>UG Halls + Seafront Cafeteria</t>
  </si>
  <si>
    <t>Daily Food Waste</t>
  </si>
  <si>
    <t>Missing formulas for all previous years (except 2024/25).</t>
  </si>
  <si>
    <t>Please do not input any values in columns C, D, J, K, N, and O. This may cause double counting.</t>
  </si>
  <si>
    <t>Quarter</t>
  </si>
  <si>
    <t>Jul13-Sep13</t>
  </si>
  <si>
    <t>Oct13-Dec13</t>
  </si>
  <si>
    <t>Jan14-Mar14</t>
  </si>
  <si>
    <t>Apr14-Jun14</t>
  </si>
  <si>
    <t>Jul14-Sep14</t>
  </si>
  <si>
    <t>Oct14-Dec14</t>
  </si>
  <si>
    <t>Jan15-Mar15</t>
  </si>
  <si>
    <t>Apr15-Jun15</t>
  </si>
  <si>
    <t>Jul15-Sep15</t>
  </si>
  <si>
    <t>Oct15-Dec15</t>
  </si>
  <si>
    <t>Jan16-Mar16</t>
  </si>
  <si>
    <t>Apr16-Jun16</t>
  </si>
  <si>
    <t>Jul16-Sep16</t>
  </si>
  <si>
    <t>Oct16-Dec16</t>
  </si>
  <si>
    <t>Jan17-Mar17</t>
  </si>
  <si>
    <t>Apr17-Jun17</t>
  </si>
  <si>
    <t>Jul17-Sep17</t>
  </si>
  <si>
    <t>Oct17-Dec17</t>
  </si>
  <si>
    <t>Jan18-Mar18</t>
  </si>
  <si>
    <t>Apr18-Jun18</t>
  </si>
  <si>
    <t>Jul18-Sep18</t>
  </si>
  <si>
    <t>Oct18-Dec18</t>
  </si>
  <si>
    <t>Jan19-Mar19</t>
  </si>
  <si>
    <t>Apr19-Jun19</t>
  </si>
  <si>
    <t>Jul19-Sep19</t>
  </si>
  <si>
    <t>Oct19-Dec19</t>
  </si>
  <si>
    <t>Jan20-Mar20</t>
  </si>
  <si>
    <t>Apr20-Jun20</t>
  </si>
  <si>
    <t>Jul20-Sep20</t>
  </si>
  <si>
    <t>Oct20-Dec20</t>
  </si>
  <si>
    <t>Jan21-Mar21</t>
  </si>
  <si>
    <t>Apr21-Jun21</t>
  </si>
  <si>
    <t>Jul21-Sep21</t>
  </si>
  <si>
    <t>Oct21-Dec21</t>
  </si>
  <si>
    <t>Jan22-Mar22</t>
  </si>
  <si>
    <t>Apr22-Jun22</t>
  </si>
  <si>
    <t>Jul22-Sep22</t>
  </si>
  <si>
    <t>Oct22-Dec22</t>
  </si>
  <si>
    <t>Jan23-Mar23</t>
  </si>
  <si>
    <t>Apr23-Jun23</t>
  </si>
  <si>
    <t>Jul23-Sep23</t>
  </si>
  <si>
    <t>Oct23-Dec23</t>
  </si>
  <si>
    <t>Jan24-Mar24</t>
  </si>
  <si>
    <t>Apr24-Jun24</t>
  </si>
  <si>
    <t>Jul24-Sep24</t>
  </si>
  <si>
    <t>Oct24-Dec24</t>
  </si>
  <si>
    <t>Jan25-Mar25</t>
  </si>
  <si>
    <t>Apr25-Jun25</t>
  </si>
  <si>
    <t>Jul25-Sep25</t>
  </si>
  <si>
    <t>Oct25-Dec25</t>
  </si>
  <si>
    <t>Total Recycling</t>
  </si>
  <si>
    <t>Comments</t>
  </si>
  <si>
    <t>Other (clothes, florescent tube+bulb, rechargable battery, toner, ink cartridge, tetra packs)</t>
  </si>
  <si>
    <t>Landfill</t>
  </si>
  <si>
    <t>Waste Per Capita</t>
  </si>
  <si>
    <t>Waste Per GFA</t>
  </si>
  <si>
    <t>Diversion Rate</t>
  </si>
  <si>
    <t>Reduction Rate</t>
  </si>
  <si>
    <t>Paper Consumption</t>
    <phoneticPr fontId="10" type="noConversion"/>
  </si>
  <si>
    <t>Category</t>
    <phoneticPr fontId="10" type="noConversion"/>
  </si>
  <si>
    <t xml:space="preserve">A3 Paper (80gsm) </t>
  </si>
  <si>
    <t>0% Recycled A4 paper</t>
    <phoneticPr fontId="10" type="noConversion"/>
  </si>
  <si>
    <t xml:space="preserve"> 100% Recycled A3 Paper</t>
  </si>
  <si>
    <t xml:space="preserve"> 100% Recycled A4 Paper</t>
    <phoneticPr fontId="10" type="noConversion"/>
  </si>
  <si>
    <t xml:space="preserve">Office Paper Total </t>
    <phoneticPr fontId="10" type="noConversion"/>
  </si>
  <si>
    <t>Toilet Roll</t>
    <phoneticPr fontId="10" type="noConversion"/>
  </si>
  <si>
    <t xml:space="preserve">Paper Towel </t>
    <phoneticPr fontId="10" type="noConversion"/>
  </si>
  <si>
    <t>Toilet Paper Total</t>
    <phoneticPr fontId="10" type="noConversion"/>
  </si>
  <si>
    <t>Paper Waste Disposed</t>
    <phoneticPr fontId="10" type="noConversion"/>
  </si>
  <si>
    <t>Unit</t>
    <phoneticPr fontId="10" type="noConversion"/>
  </si>
  <si>
    <t>ream @ 5kg</t>
  </si>
  <si>
    <t>Kg</t>
    <phoneticPr fontId="10" type="noConversion"/>
  </si>
  <si>
    <t xml:space="preserve">ream  (80gsm) @ 2.5kg </t>
    <phoneticPr fontId="10" type="noConversion"/>
  </si>
  <si>
    <t>ream @ 5kg</t>
    <phoneticPr fontId="10" type="noConversion"/>
  </si>
  <si>
    <t xml:space="preserve">ream  (80gsm)  @2.5kg </t>
    <phoneticPr fontId="10" type="noConversion"/>
  </si>
  <si>
    <t xml:space="preserve">Kg </t>
    <phoneticPr fontId="10" type="noConversion"/>
  </si>
  <si>
    <t xml:space="preserve">Roll @1kg </t>
    <phoneticPr fontId="10" type="noConversion"/>
  </si>
  <si>
    <t>kg</t>
    <phoneticPr fontId="10" type="noConversion"/>
  </si>
  <si>
    <t xml:space="preserve">Roll @1.6kg </t>
    <phoneticPr fontId="10" type="noConversion"/>
  </si>
  <si>
    <t xml:space="preserve">kg </t>
    <phoneticPr fontId="10" type="noConversion"/>
  </si>
  <si>
    <t>Contact ppl</t>
    <phoneticPr fontId="10" type="noConversion"/>
  </si>
  <si>
    <t xml:space="preserve">Working </t>
    <phoneticPr fontId="10" type="noConversion"/>
  </si>
  <si>
    <t> 2712</t>
  </si>
  <si>
    <t> 3396</t>
  </si>
  <si>
    <t> 3864</t>
  </si>
  <si>
    <t> 5436</t>
  </si>
  <si>
    <t> 4212</t>
  </si>
  <si>
    <t> 5868</t>
  </si>
  <si>
    <t> 3852</t>
  </si>
  <si>
    <t> 1848</t>
  </si>
  <si>
    <t> 1800</t>
  </si>
  <si>
    <t> 2664</t>
  </si>
  <si>
    <t> 3096</t>
  </si>
  <si>
    <t> 3876</t>
  </si>
  <si>
    <t>Recycled Paper</t>
  </si>
  <si>
    <t>Non-Recycled Paper</t>
  </si>
  <si>
    <t>Toilet Roll</t>
  </si>
  <si>
    <t>Paper Towel</t>
  </si>
  <si>
    <t>2022 data was collected annually and divided by no. of months. Unclear why the last month seems to have a diferent data from the other months. A3 recycled paper had been merged into recycled A4 paper.</t>
  </si>
  <si>
    <t>What about recycled paper? Shredded paper recycled?</t>
  </si>
  <si>
    <t>Non-recycled paper</t>
  </si>
  <si>
    <t>Recycled paper</t>
  </si>
  <si>
    <t>Non-recycled paper (copied from old version)</t>
  </si>
  <si>
    <t>Non-recycled paper (calculated)</t>
  </si>
  <si>
    <t>Recycled paper (calcuated)</t>
  </si>
  <si>
    <t xml:space="preserve"> Total (original)</t>
  </si>
  <si>
    <t>Total (calculated)</t>
  </si>
  <si>
    <t>This sheet is to tell you there are inconsistency in the numbers</t>
  </si>
  <si>
    <t>The red colour cells are the ones with inconsistency</t>
  </si>
  <si>
    <t>Old version numbers were use</t>
  </si>
  <si>
    <t>Daily Data</t>
  </si>
  <si>
    <t>Electricity (Reformatted)</t>
  </si>
  <si>
    <t>Scope 1 GHG (mtCO2)</t>
  </si>
  <si>
    <t>Scope 2 GHG (mtCO2)</t>
  </si>
  <si>
    <t>Scope 3 GHG (mtCO2)</t>
  </si>
  <si>
    <t>Emission Factor (Original)</t>
  </si>
  <si>
    <t>Emission Factor (Keep Updated)</t>
  </si>
  <si>
    <t>Category Water Data</t>
  </si>
  <si>
    <t>Smart Waste Bin</t>
  </si>
  <si>
    <t>Monthly Waste by Location (kg)</t>
  </si>
  <si>
    <t>Food Waste (kg)</t>
  </si>
  <si>
    <t>Category Waste Data</t>
  </si>
  <si>
    <t>Paper Distribution (match monthly) (kg)</t>
  </si>
  <si>
    <t>Fluorescent Tube @ 0.3kg</t>
  </si>
  <si>
    <t>Lamp @ 0.07kg</t>
  </si>
  <si>
    <t>HPC6</t>
  </si>
  <si>
    <t>RB2</t>
  </si>
  <si>
    <t>EC 3/F Data Centre (Elect)</t>
  </si>
  <si>
    <t>EC 3/F Data Centre (Chiller kWhe)</t>
  </si>
  <si>
    <t>SRD (Chiller kWhe)</t>
  </si>
  <si>
    <t>IB (Chiller kWhe)</t>
  </si>
  <si>
    <t>BMW EV Charger kWh (LG7 &amp; WWT)</t>
  </si>
  <si>
    <t>Corner Stone EV Charger kWh</t>
  </si>
  <si>
    <t>On-Campus Buildings 12-Month Rolling Sum</t>
  </si>
  <si>
    <t>On-Campus Buildings Monthly Total</t>
  </si>
  <si>
    <t>Monthly Total + TKOJCH</t>
  </si>
  <si>
    <t>Research Building 2</t>
  </si>
  <si>
    <t>HPC 6</t>
  </si>
  <si>
    <t>CLP + TKO</t>
  </si>
  <si>
    <t>2025-26</t>
  </si>
  <si>
    <t>HKUST Total (m3)</t>
  </si>
  <si>
    <t>Total Diesel Consumption (litres)</t>
  </si>
  <si>
    <t>CMO Fuel - Light Good Vehicle - Diesel - litres (from Eric Kong)</t>
  </si>
  <si>
    <t>CMO CLS vehicle consumed fuel from DG truck (from Dana WONG)</t>
  </si>
  <si>
    <t>Standby Generator  (Diesel)</t>
  </si>
  <si>
    <t>S1 Stationary Combustion</t>
  </si>
  <si>
    <t>HPC5</t>
  </si>
  <si>
    <t>Yearly Total Waste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</si>
</sst>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[$-409]mmm\-yy;@"/>
    <numFmt numFmtId="167" formatCode="#,##0.000"/>
    <numFmt numFmtId="168" formatCode="0.0%"/>
    <numFmt numFmtId="169" formatCode="0.000"/>
    <numFmt numFmtId="170" formatCode="#,##0.0000"/>
    <numFmt numFmtId="171" formatCode="dd/mm/yyyy;@"/>
    <numFmt numFmtId="172" formatCode="_-* #,##0_-;\-* #,##0_-;_-* &quot;-&quot;??_-;_-@_-"/>
    <numFmt numFmtId="173" formatCode="_(* #,##0_);_(* \(#,##0\);_(* &quot;-&quot;??_);_(@_)"/>
    <numFmt numFmtId="174" formatCode="yyyy\-mm\-dd"/>
    <numFmt numFmtId="175" formatCode="0.0000"/>
  </numFmts>
  <fonts count="48" x14ac:knownFonts="1">
    <font>
      <sz val="11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charset val="136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1"/>
      <charset val="136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charset val="136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u/>
      <sz val="12"/>
      <color theme="10"/>
      <name val="Arial"/>
      <family val="2"/>
    </font>
    <font>
      <b/>
      <sz val="13"/>
      <color theme="3"/>
      <name val="Calibri"/>
      <family val="2"/>
      <scheme val="minor"/>
    </font>
    <font>
      <b/>
      <u/>
      <sz val="12"/>
      <color theme="1"/>
      <name val="Arial"/>
      <family val="2"/>
    </font>
    <font>
      <sz val="8.5"/>
      <name val="Times New Roman"/>
      <family val="1"/>
    </font>
    <font>
      <b/>
      <sz val="14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231F20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Helvetica Neue"/>
      <family val="2"/>
    </font>
    <font>
      <sz val="12"/>
      <color rgb="FF666666"/>
      <name val="Helvetica Neue"/>
      <family val="2"/>
    </font>
    <font>
      <b/>
      <sz val="12"/>
      <color rgb="FF666666"/>
      <name val="Helvetica Neue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5"/>
      <name val="Arial"/>
      <family val="2"/>
    </font>
    <font>
      <sz val="12"/>
      <color rgb="FF212121"/>
      <name val="Calibri"/>
      <family val="2"/>
    </font>
    <font>
      <sz val="12"/>
      <color rgb="FF212121"/>
      <name val="PMingLiU"/>
      <family val="1"/>
      <charset val="136"/>
    </font>
    <font>
      <b/>
      <sz val="20"/>
      <color rgb="FF000000"/>
      <name val="Calibri"/>
      <family val="2"/>
    </font>
    <font>
      <sz val="20"/>
      <color rgb="FFFF0000"/>
      <name val="Calibri"/>
      <family val="2"/>
    </font>
    <font>
      <b/>
      <sz val="11"/>
      <name val="Calibri"/>
      <family val="2"/>
    </font>
    <font>
      <b/>
      <sz val="12"/>
      <color rgb="FF212121"/>
      <name val="Calibri"/>
      <family val="2"/>
    </font>
    <font>
      <sz val="12"/>
      <color rgb="FF9C0006"/>
      <name val="Calibri"/>
      <family val="2"/>
      <scheme val="minor"/>
    </font>
    <font>
      <sz val="30"/>
      <color rgb="FF9C0006"/>
      <name val="Calibri"/>
      <family val="2"/>
      <scheme val="minor"/>
    </font>
    <font>
      <sz val="11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E68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7CE"/>
      </patternFill>
    </fill>
    <fill>
      <patternFill patternType="solid">
        <fgColor rgb="FF956D92"/>
        <bgColor indexed="64"/>
      </patternFill>
    </fill>
    <fill>
      <patternFill patternType="solid">
        <fgColor rgb="FF00B0F0"/>
        <bgColor rgb="FF000000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30549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 vertical="center"/>
    </xf>
    <xf numFmtId="0" fontId="12" fillId="0" borderId="0">
      <alignment vertical="center"/>
    </xf>
    <xf numFmtId="0" fontId="14" fillId="0" borderId="0" applyNumberFormat="0" applyFill="0" applyBorder="0" applyAlignment="0" applyProtection="0"/>
    <xf numFmtId="0" fontId="29" fillId="0" borderId="0"/>
    <xf numFmtId="0" fontId="45" fillId="32" borderId="0" applyNumberFormat="0" applyBorder="0" applyAlignment="0" applyProtection="0"/>
  </cellStyleXfs>
  <cellXfs count="681">
    <xf numFmtId="0" fontId="0" fillId="0" borderId="0" xfId="0"/>
    <xf numFmtId="0" fontId="4" fillId="0" borderId="0" xfId="0" applyFont="1"/>
    <xf numFmtId="164" fontId="5" fillId="2" borderId="1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Alignment="1">
      <alignment vertical="center" wrapText="1"/>
    </xf>
    <xf numFmtId="166" fontId="5" fillId="2" borderId="1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66" fontId="5" fillId="2" borderId="5" xfId="0" applyNumberFormat="1" applyFont="1" applyFill="1" applyBorder="1" applyAlignment="1">
      <alignment horizontal="right" vertical="center" wrapText="1"/>
    </xf>
    <xf numFmtId="166" fontId="5" fillId="2" borderId="1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3" fontId="4" fillId="0" borderId="0" xfId="0" applyNumberFormat="1" applyFont="1"/>
    <xf numFmtId="4" fontId="4" fillId="0" borderId="0" xfId="0" applyNumberFormat="1" applyFont="1"/>
    <xf numFmtId="165" fontId="4" fillId="0" borderId="0" xfId="0" applyNumberFormat="1" applyFont="1"/>
    <xf numFmtId="0" fontId="8" fillId="5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0" fontId="11" fillId="5" borderId="3" xfId="0" applyFont="1" applyFill="1" applyBorder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1" fillId="5" borderId="1" xfId="0" applyFont="1" applyFill="1" applyBorder="1" applyAlignment="1">
      <alignment vertical="center" wrapText="1"/>
    </xf>
    <xf numFmtId="0" fontId="11" fillId="5" borderId="3" xfId="0" applyFont="1" applyFill="1" applyBorder="1" applyAlignment="1">
      <alignment vertical="center" wrapText="1"/>
    </xf>
    <xf numFmtId="0" fontId="11" fillId="0" borderId="0" xfId="0" applyFont="1" applyAlignment="1" applyProtection="1">
      <alignment vertical="center" wrapText="1"/>
      <protection locked="0"/>
    </xf>
    <xf numFmtId="17" fontId="11" fillId="5" borderId="1" xfId="0" applyNumberFormat="1" applyFont="1" applyFill="1" applyBorder="1" applyAlignment="1">
      <alignment vertical="center"/>
    </xf>
    <xf numFmtId="3" fontId="13" fillId="0" borderId="8" xfId="4" applyNumberFormat="1" applyFont="1" applyBorder="1">
      <alignment vertical="center"/>
    </xf>
    <xf numFmtId="3" fontId="11" fillId="0" borderId="8" xfId="4" applyNumberFormat="1" applyFont="1" applyBorder="1">
      <alignment vertical="center"/>
    </xf>
    <xf numFmtId="0" fontId="13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3" fontId="13" fillId="5" borderId="8" xfId="0" applyNumberFormat="1" applyFont="1" applyFill="1" applyBorder="1" applyAlignment="1">
      <alignment vertical="center"/>
    </xf>
    <xf numFmtId="0" fontId="13" fillId="0" borderId="0" xfId="0" applyFont="1" applyAlignment="1" applyProtection="1">
      <alignment vertical="center"/>
      <protection locked="0"/>
    </xf>
    <xf numFmtId="3" fontId="11" fillId="0" borderId="8" xfId="0" applyNumberFormat="1" applyFont="1" applyBorder="1" applyAlignment="1">
      <alignment vertical="center"/>
    </xf>
    <xf numFmtId="3" fontId="13" fillId="5" borderId="8" xfId="4" applyNumberFormat="1" applyFont="1" applyFill="1" applyBorder="1">
      <alignment vertical="center"/>
    </xf>
    <xf numFmtId="0" fontId="13" fillId="5" borderId="8" xfId="0" applyFont="1" applyFill="1" applyBorder="1" applyAlignment="1" applyProtection="1">
      <alignment vertical="center"/>
      <protection locked="0"/>
    </xf>
    <xf numFmtId="3" fontId="13" fillId="5" borderId="8" xfId="4" applyNumberFormat="1" applyFont="1" applyFill="1" applyBorder="1" applyProtection="1">
      <alignment vertical="center"/>
      <protection locked="0"/>
    </xf>
    <xf numFmtId="3" fontId="11" fillId="5" borderId="8" xfId="4" applyNumberFormat="1" applyFont="1" applyFill="1" applyBorder="1" applyProtection="1">
      <alignment vertical="center"/>
      <protection locked="0"/>
    </xf>
    <xf numFmtId="3" fontId="11" fillId="5" borderId="8" xfId="0" applyNumberFormat="1" applyFont="1" applyFill="1" applyBorder="1" applyAlignment="1" applyProtection="1">
      <alignment vertical="center"/>
      <protection locked="0"/>
    </xf>
    <xf numFmtId="3" fontId="13" fillId="5" borderId="8" xfId="0" applyNumberFormat="1" applyFont="1" applyFill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3" fontId="13" fillId="0" borderId="8" xfId="4" applyNumberFormat="1" applyFont="1" applyBorder="1" applyProtection="1">
      <alignment vertical="center"/>
      <protection locked="0"/>
    </xf>
    <xf numFmtId="3" fontId="11" fillId="0" borderId="8" xfId="4" applyNumberFormat="1" applyFont="1" applyBorder="1" applyProtection="1">
      <alignment vertical="center"/>
      <protection locked="0"/>
    </xf>
    <xf numFmtId="3" fontId="11" fillId="0" borderId="8" xfId="0" applyNumberFormat="1" applyFont="1" applyBorder="1" applyAlignment="1" applyProtection="1">
      <alignment vertical="center"/>
      <protection locked="0"/>
    </xf>
    <xf numFmtId="17" fontId="11" fillId="5" borderId="1" xfId="0" applyNumberFormat="1" applyFont="1" applyFill="1" applyBorder="1" applyAlignment="1" applyProtection="1">
      <alignment vertical="center"/>
      <protection locked="0"/>
    </xf>
    <xf numFmtId="3" fontId="13" fillId="0" borderId="8" xfId="0" applyNumberFormat="1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3" fontId="13" fillId="0" borderId="0" xfId="0" applyNumberFormat="1" applyFont="1" applyAlignment="1" applyProtection="1">
      <alignment vertical="center"/>
      <protection locked="0"/>
    </xf>
    <xf numFmtId="0" fontId="13" fillId="0" borderId="8" xfId="0" applyFont="1" applyBorder="1" applyAlignment="1" applyProtection="1">
      <alignment horizontal="right" vertical="center"/>
      <protection locked="0"/>
    </xf>
    <xf numFmtId="1" fontId="13" fillId="0" borderId="8" xfId="0" applyNumberFormat="1" applyFont="1" applyBorder="1" applyAlignment="1" applyProtection="1">
      <alignment vertical="center"/>
      <protection locked="0"/>
    </xf>
    <xf numFmtId="1" fontId="11" fillId="0" borderId="8" xfId="0" applyNumberFormat="1" applyFont="1" applyBorder="1" applyAlignment="1" applyProtection="1">
      <alignment vertical="center"/>
      <protection locked="0"/>
    </xf>
    <xf numFmtId="0" fontId="13" fillId="5" borderId="1" xfId="0" applyFont="1" applyFill="1" applyBorder="1" applyAlignment="1" applyProtection="1">
      <alignment vertical="center"/>
      <protection locked="0"/>
    </xf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168" fontId="4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/>
    </xf>
    <xf numFmtId="4" fontId="4" fillId="0" borderId="0" xfId="0" applyNumberFormat="1" applyFont="1" applyAlignment="1">
      <alignment vertical="center"/>
    </xf>
    <xf numFmtId="4" fontId="4" fillId="4" borderId="0" xfId="0" applyNumberFormat="1" applyFont="1" applyFill="1" applyAlignment="1">
      <alignment vertical="center"/>
    </xf>
    <xf numFmtId="166" fontId="8" fillId="2" borderId="0" xfId="0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167" fontId="8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center" vertical="center" wrapText="1"/>
    </xf>
    <xf numFmtId="166" fontId="8" fillId="2" borderId="0" xfId="3" applyNumberFormat="1" applyFont="1" applyFill="1" applyAlignment="1">
      <alignment horizontal="left" vertical="center" wrapText="1"/>
    </xf>
    <xf numFmtId="166" fontId="8" fillId="2" borderId="0" xfId="0" applyNumberFormat="1" applyFont="1" applyFill="1" applyAlignment="1">
      <alignment horizontal="left" vertical="center"/>
    </xf>
    <xf numFmtId="3" fontId="4" fillId="6" borderId="0" xfId="0" applyNumberFormat="1" applyFont="1" applyFill="1"/>
    <xf numFmtId="4" fontId="4" fillId="6" borderId="0" xfId="0" applyNumberFormat="1" applyFont="1" applyFill="1" applyAlignment="1">
      <alignment horizontal="right" vertical="center" wrapText="1"/>
    </xf>
    <xf numFmtId="4" fontId="4" fillId="6" borderId="0" xfId="0" applyNumberFormat="1" applyFont="1" applyFill="1"/>
    <xf numFmtId="0" fontId="4" fillId="6" borderId="0" xfId="0" applyFont="1" applyFill="1" applyAlignment="1">
      <alignment vertical="center"/>
    </xf>
    <xf numFmtId="4" fontId="4" fillId="6" borderId="0" xfId="0" applyNumberFormat="1" applyFont="1" applyFill="1" applyAlignment="1">
      <alignment vertical="center"/>
    </xf>
    <xf numFmtId="3" fontId="4" fillId="6" borderId="0" xfId="0" applyNumberFormat="1" applyFont="1" applyFill="1" applyAlignment="1">
      <alignment vertical="center"/>
    </xf>
    <xf numFmtId="165" fontId="4" fillId="6" borderId="0" xfId="0" applyNumberFormat="1" applyFont="1" applyFill="1" applyAlignment="1">
      <alignment vertical="center"/>
    </xf>
    <xf numFmtId="3" fontId="4" fillId="6" borderId="0" xfId="2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3" fontId="15" fillId="0" borderId="9" xfId="0" applyNumberFormat="1" applyFont="1" applyBorder="1" applyAlignment="1">
      <alignment vertical="center"/>
    </xf>
    <xf numFmtId="3" fontId="15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6" fillId="0" borderId="0" xfId="0" applyNumberFormat="1" applyFont="1" applyAlignment="1">
      <alignment vertical="center"/>
    </xf>
    <xf numFmtId="0" fontId="17" fillId="0" borderId="0" xfId="5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9" fontId="4" fillId="0" borderId="0" xfId="0" applyNumberFormat="1" applyFont="1" applyAlignment="1">
      <alignment vertical="center"/>
    </xf>
    <xf numFmtId="166" fontId="16" fillId="2" borderId="1" xfId="0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169" fontId="16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170" fontId="4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/>
    </xf>
    <xf numFmtId="3" fontId="15" fillId="7" borderId="9" xfId="0" applyNumberFormat="1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17" fontId="8" fillId="2" borderId="0" xfId="0" applyNumberFormat="1" applyFont="1" applyFill="1" applyAlignment="1">
      <alignment vertical="center"/>
    </xf>
    <xf numFmtId="0" fontId="19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9" fontId="4" fillId="0" borderId="0" xfId="2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169" fontId="4" fillId="4" borderId="1" xfId="0" applyNumberFormat="1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10" borderId="0" xfId="0" applyFont="1" applyFill="1" applyAlignment="1">
      <alignment horizontal="center" vertical="center" wrapText="1"/>
    </xf>
    <xf numFmtId="4" fontId="4" fillId="0" borderId="13" xfId="0" applyNumberFormat="1" applyFont="1" applyBorder="1" applyAlignment="1">
      <alignment vertical="center"/>
    </xf>
    <xf numFmtId="0" fontId="8" fillId="9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/>
    </xf>
    <xf numFmtId="0" fontId="15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165" fontId="15" fillId="0" borderId="0" xfId="0" applyNumberFormat="1" applyFont="1" applyAlignment="1">
      <alignment horizontal="right" vertical="center"/>
    </xf>
    <xf numFmtId="165" fontId="15" fillId="0" borderId="0" xfId="0" applyNumberFormat="1" applyFont="1" applyAlignment="1">
      <alignment vertical="center"/>
    </xf>
    <xf numFmtId="10" fontId="16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0" fontId="8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right"/>
    </xf>
    <xf numFmtId="0" fontId="4" fillId="9" borderId="0" xfId="0" applyFont="1" applyFill="1"/>
    <xf numFmtId="17" fontId="13" fillId="0" borderId="0" xfId="0" applyNumberFormat="1" applyFont="1" applyAlignment="1">
      <alignment vertical="center"/>
    </xf>
    <xf numFmtId="17" fontId="4" fillId="0" borderId="0" xfId="0" applyNumberFormat="1" applyFont="1"/>
    <xf numFmtId="17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16" fillId="9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165" fontId="4" fillId="9" borderId="0" xfId="0" applyNumberFormat="1" applyFont="1" applyFill="1" applyAlignment="1">
      <alignment vertical="center"/>
    </xf>
    <xf numFmtId="4" fontId="4" fillId="9" borderId="0" xfId="0" applyNumberFormat="1" applyFont="1" applyFill="1" applyAlignment="1">
      <alignment vertical="center"/>
    </xf>
    <xf numFmtId="10" fontId="4" fillId="9" borderId="0" xfId="0" applyNumberFormat="1" applyFont="1" applyFill="1" applyAlignment="1">
      <alignment vertical="center"/>
    </xf>
    <xf numFmtId="0" fontId="16" fillId="9" borderId="0" xfId="0" applyFont="1" applyFill="1" applyAlignment="1">
      <alignment vertical="center" wrapText="1"/>
    </xf>
    <xf numFmtId="3" fontId="4" fillId="9" borderId="0" xfId="0" applyNumberFormat="1" applyFont="1" applyFill="1" applyAlignment="1">
      <alignment vertical="center"/>
    </xf>
    <xf numFmtId="4" fontId="4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vertical="center"/>
    </xf>
    <xf numFmtId="0" fontId="8" fillId="2" borderId="0" xfId="0" applyFont="1" applyFill="1" applyAlignment="1">
      <alignment vertical="center" wrapText="1"/>
    </xf>
    <xf numFmtId="10" fontId="4" fillId="0" borderId="0" xfId="0" applyNumberFormat="1" applyFont="1"/>
    <xf numFmtId="170" fontId="4" fillId="0" borderId="0" xfId="0" applyNumberFormat="1" applyFont="1"/>
    <xf numFmtId="167" fontId="4" fillId="0" borderId="0" xfId="0" applyNumberFormat="1" applyFont="1"/>
    <xf numFmtId="17" fontId="8" fillId="2" borderId="0" xfId="0" applyNumberFormat="1" applyFont="1" applyFill="1"/>
    <xf numFmtId="0" fontId="4" fillId="9" borderId="0" xfId="0" applyFont="1" applyFill="1" applyAlignment="1">
      <alignment horizontal="center" vertical="center"/>
    </xf>
    <xf numFmtId="3" fontId="4" fillId="9" borderId="0" xfId="0" applyNumberFormat="1" applyFont="1" applyFill="1"/>
    <xf numFmtId="171" fontId="8" fillId="2" borderId="0" xfId="0" applyNumberFormat="1" applyFont="1" applyFill="1"/>
    <xf numFmtId="0" fontId="6" fillId="20" borderId="1" xfId="0" applyFont="1" applyFill="1" applyBorder="1" applyAlignment="1">
      <alignment horizontal="right" vertical="center" wrapText="1"/>
    </xf>
    <xf numFmtId="0" fontId="7" fillId="21" borderId="1" xfId="0" applyFont="1" applyFill="1" applyBorder="1" applyAlignment="1">
      <alignment horizontal="right" vertical="center" wrapText="1"/>
    </xf>
    <xf numFmtId="3" fontId="26" fillId="0" borderId="21" xfId="0" applyNumberFormat="1" applyFont="1" applyBorder="1" applyAlignment="1">
      <alignment horizontal="center" vertical="top" shrinkToFit="1"/>
    </xf>
    <xf numFmtId="9" fontId="4" fillId="0" borderId="0" xfId="2" applyFont="1"/>
    <xf numFmtId="10" fontId="4" fillId="0" borderId="0" xfId="2" applyNumberFormat="1" applyFont="1"/>
    <xf numFmtId="3" fontId="8" fillId="0" borderId="0" xfId="0" applyNumberFormat="1" applyFont="1" applyAlignment="1">
      <alignment vertical="center"/>
    </xf>
    <xf numFmtId="3" fontId="16" fillId="0" borderId="9" xfId="0" applyNumberFormat="1" applyFont="1" applyBorder="1" applyAlignment="1">
      <alignment vertical="center"/>
    </xf>
    <xf numFmtId="3" fontId="16" fillId="0" borderId="0" xfId="0" applyNumberFormat="1" applyFont="1" applyAlignment="1">
      <alignment vertical="center" wrapText="1"/>
    </xf>
    <xf numFmtId="0" fontId="17" fillId="0" borderId="0" xfId="5" applyFont="1"/>
    <xf numFmtId="0" fontId="8" fillId="14" borderId="1" xfId="3" applyFont="1" applyFill="1" applyBorder="1" applyAlignment="1">
      <alignment horizontal="center" vertical="center" wrapText="1"/>
    </xf>
    <xf numFmtId="0" fontId="8" fillId="14" borderId="15" xfId="3" applyFont="1" applyFill="1" applyBorder="1" applyAlignment="1">
      <alignment horizontal="center" vertical="center" wrapText="1"/>
    </xf>
    <xf numFmtId="0" fontId="5" fillId="14" borderId="15" xfId="3" applyFont="1" applyFill="1" applyBorder="1" applyAlignment="1">
      <alignment horizontal="center" vertical="center" wrapText="1"/>
    </xf>
    <xf numFmtId="0" fontId="8" fillId="8" borderId="15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 wrapText="1"/>
    </xf>
    <xf numFmtId="0" fontId="8" fillId="15" borderId="15" xfId="3" applyFont="1" applyFill="1" applyBorder="1" applyAlignment="1">
      <alignment horizontal="center" vertical="center" wrapText="1"/>
    </xf>
    <xf numFmtId="0" fontId="8" fillId="16" borderId="15" xfId="3" applyFont="1" applyFill="1" applyBorder="1" applyAlignment="1">
      <alignment horizontal="center" vertical="center" wrapText="1"/>
    </xf>
    <xf numFmtId="0" fontId="27" fillId="17" borderId="16" xfId="3" applyFont="1" applyFill="1" applyBorder="1" applyAlignment="1">
      <alignment horizontal="center" vertical="center" wrapText="1"/>
    </xf>
    <xf numFmtId="0" fontId="4" fillId="9" borderId="0" xfId="0" applyFont="1" applyFill="1" applyAlignment="1">
      <alignment vertical="center" wrapText="1"/>
    </xf>
    <xf numFmtId="3" fontId="4" fillId="19" borderId="0" xfId="0" applyNumberFormat="1" applyFont="1" applyFill="1" applyAlignment="1">
      <alignment vertical="center" wrapText="1"/>
    </xf>
    <xf numFmtId="17" fontId="8" fillId="0" borderId="0" xfId="0" applyNumberFormat="1" applyFont="1" applyAlignment="1">
      <alignment vertical="center" wrapText="1"/>
    </xf>
    <xf numFmtId="3" fontId="15" fillId="0" borderId="0" xfId="0" applyNumberFormat="1" applyFont="1" applyAlignment="1">
      <alignment vertical="center" shrinkToFit="1"/>
    </xf>
    <xf numFmtId="0" fontId="8" fillId="11" borderId="0" xfId="0" applyFont="1" applyFill="1" applyAlignment="1">
      <alignment horizontal="left" vertical="center" wrapText="1"/>
    </xf>
    <xf numFmtId="168" fontId="4" fillId="0" borderId="0" xfId="2" applyNumberFormat="1" applyFont="1"/>
    <xf numFmtId="0" fontId="8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right" vertical="center" wrapText="1"/>
    </xf>
    <xf numFmtId="165" fontId="7" fillId="9" borderId="0" xfId="0" applyNumberFormat="1" applyFont="1" applyFill="1" applyAlignment="1">
      <alignment horizontal="right" vertical="center" wrapText="1"/>
    </xf>
    <xf numFmtId="0" fontId="16" fillId="9" borderId="0" xfId="0" applyFont="1" applyFill="1" applyAlignment="1">
      <alignment vertical="center"/>
    </xf>
    <xf numFmtId="17" fontId="4" fillId="2" borderId="0" xfId="0" applyNumberFormat="1" applyFont="1" applyFill="1" applyAlignment="1">
      <alignment vertical="center"/>
    </xf>
    <xf numFmtId="17" fontId="4" fillId="24" borderId="0" xfId="0" applyNumberFormat="1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4" fillId="9" borderId="0" xfId="0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5" fontId="5" fillId="2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right" vertical="center" wrapText="1"/>
    </xf>
    <xf numFmtId="0" fontId="8" fillId="5" borderId="0" xfId="0" applyFont="1" applyFill="1" applyAlignment="1">
      <alignment horizontal="center" vertical="center" wrapText="1"/>
    </xf>
    <xf numFmtId="167" fontId="8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10" fontId="4" fillId="19" borderId="0" xfId="0" applyNumberFormat="1" applyFont="1" applyFill="1" applyAlignment="1">
      <alignment vertical="center"/>
    </xf>
    <xf numFmtId="0" fontId="11" fillId="2" borderId="0" xfId="0" applyFont="1" applyFill="1"/>
    <xf numFmtId="0" fontId="11" fillId="0" borderId="0" xfId="0" applyFont="1" applyAlignment="1">
      <alignment horizontal="center" vertical="center"/>
    </xf>
    <xf numFmtId="9" fontId="4" fillId="0" borderId="0" xfId="0" applyNumberFormat="1" applyFont="1"/>
    <xf numFmtId="0" fontId="11" fillId="12" borderId="0" xfId="0" applyFont="1" applyFill="1"/>
    <xf numFmtId="165" fontId="13" fillId="0" borderId="0" xfId="0" applyNumberFormat="1" applyFont="1"/>
    <xf numFmtId="165" fontId="13" fillId="0" borderId="0" xfId="1" applyNumberFormat="1" applyFont="1"/>
    <xf numFmtId="165" fontId="5" fillId="5" borderId="0" xfId="0" applyNumberFormat="1" applyFont="1" applyFill="1" applyAlignment="1">
      <alignment horizontal="right" vertical="center" wrapText="1"/>
    </xf>
    <xf numFmtId="168" fontId="4" fillId="0" borderId="0" xfId="2" applyNumberFormat="1" applyFont="1" applyAlignment="1">
      <alignment vertical="center"/>
    </xf>
    <xf numFmtId="0" fontId="8" fillId="2" borderId="23" xfId="0" applyFont="1" applyFill="1" applyBorder="1"/>
    <xf numFmtId="4" fontId="4" fillId="0" borderId="24" xfId="0" applyNumberFormat="1" applyFont="1" applyBorder="1"/>
    <xf numFmtId="4" fontId="4" fillId="0" borderId="24" xfId="0" applyNumberFormat="1" applyFont="1" applyBorder="1" applyAlignment="1">
      <alignment vertical="center"/>
    </xf>
    <xf numFmtId="0" fontId="8" fillId="2" borderId="26" xfId="0" applyFont="1" applyFill="1" applyBorder="1"/>
    <xf numFmtId="0" fontId="8" fillId="2" borderId="28" xfId="0" applyFont="1" applyFill="1" applyBorder="1"/>
    <xf numFmtId="4" fontId="4" fillId="0" borderId="29" xfId="0" applyNumberFormat="1" applyFont="1" applyBorder="1"/>
    <xf numFmtId="4" fontId="4" fillId="0" borderId="29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3" fontId="13" fillId="0" borderId="0" xfId="0" applyNumberFormat="1" applyFont="1"/>
    <xf numFmtId="3" fontId="13" fillId="8" borderId="0" xfId="0" applyNumberFormat="1" applyFont="1" applyFill="1"/>
    <xf numFmtId="3" fontId="13" fillId="0" borderId="0" xfId="1" applyNumberFormat="1" applyFont="1"/>
    <xf numFmtId="9" fontId="4" fillId="0" borderId="0" xfId="0" applyNumberFormat="1" applyFont="1" applyAlignment="1">
      <alignment vertical="center"/>
    </xf>
    <xf numFmtId="0" fontId="8" fillId="25" borderId="0" xfId="0" applyFont="1" applyFill="1"/>
    <xf numFmtId="17" fontId="8" fillId="25" borderId="0" xfId="0" applyNumberFormat="1" applyFont="1" applyFill="1"/>
    <xf numFmtId="3" fontId="26" fillId="26" borderId="21" xfId="0" applyNumberFormat="1" applyFont="1" applyFill="1" applyBorder="1" applyAlignment="1">
      <alignment horizontal="center" vertical="top" shrinkToFit="1"/>
    </xf>
    <xf numFmtId="0" fontId="7" fillId="0" borderId="0" xfId="0" applyFont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3" fontId="26" fillId="0" borderId="0" xfId="0" applyNumberFormat="1" applyFont="1" applyAlignment="1">
      <alignment horizontal="center" vertical="top" shrinkToFit="1"/>
    </xf>
    <xf numFmtId="3" fontId="15" fillId="0" borderId="12" xfId="0" applyNumberFormat="1" applyFont="1" applyBorder="1" applyAlignment="1">
      <alignment horizontal="center" vertical="center" wrapText="1" shrinkToFit="1"/>
    </xf>
    <xf numFmtId="1" fontId="15" fillId="0" borderId="12" xfId="0" applyNumberFormat="1" applyFont="1" applyBorder="1" applyAlignment="1">
      <alignment horizontal="center" vertical="center" wrapText="1" shrinkToFit="1"/>
    </xf>
    <xf numFmtId="0" fontId="7" fillId="12" borderId="21" xfId="0" applyFont="1" applyFill="1" applyBorder="1" applyAlignment="1">
      <alignment horizontal="center" vertical="center" wrapText="1"/>
    </xf>
    <xf numFmtId="1" fontId="15" fillId="0" borderId="12" xfId="0" applyNumberFormat="1" applyFont="1" applyBorder="1" applyAlignment="1">
      <alignment horizontal="center" vertical="center" shrinkToFit="1"/>
    </xf>
    <xf numFmtId="1" fontId="15" fillId="0" borderId="22" xfId="0" applyNumberFormat="1" applyFont="1" applyBorder="1" applyAlignment="1">
      <alignment horizontal="center" vertical="center" wrapText="1" shrinkToFit="1"/>
    </xf>
    <xf numFmtId="1" fontId="15" fillId="0" borderId="32" xfId="0" applyNumberFormat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3" fontId="4" fillId="0" borderId="33" xfId="0" applyNumberFormat="1" applyFont="1" applyBorder="1" applyAlignment="1">
      <alignment horizontal="right" vertical="center" wrapText="1"/>
    </xf>
    <xf numFmtId="3" fontId="4" fillId="0" borderId="34" xfId="0" applyNumberFormat="1" applyFont="1" applyBorder="1" applyAlignment="1">
      <alignment horizontal="right" vertical="center" wrapText="1"/>
    </xf>
    <xf numFmtId="4" fontId="8" fillId="5" borderId="52" xfId="0" applyNumberFormat="1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3" fontId="13" fillId="0" borderId="0" xfId="0" applyNumberFormat="1" applyFont="1" applyAlignment="1">
      <alignment vertical="center" wrapText="1"/>
    </xf>
    <xf numFmtId="4" fontId="8" fillId="0" borderId="0" xfId="0" applyNumberFormat="1" applyFont="1" applyAlignment="1">
      <alignment vertical="center"/>
    </xf>
    <xf numFmtId="3" fontId="4" fillId="20" borderId="0" xfId="0" applyNumberFormat="1" applyFont="1" applyFill="1" applyAlignment="1">
      <alignment vertical="center"/>
    </xf>
    <xf numFmtId="4" fontId="4" fillId="0" borderId="0" xfId="0" applyNumberFormat="1" applyFont="1" applyAlignment="1">
      <alignment vertical="center" wrapText="1"/>
    </xf>
    <xf numFmtId="0" fontId="8" fillId="19" borderId="0" xfId="0" applyFont="1" applyFill="1" applyAlignment="1">
      <alignment vertical="center"/>
    </xf>
    <xf numFmtId="4" fontId="4" fillId="19" borderId="0" xfId="0" applyNumberFormat="1" applyFont="1" applyFill="1" applyAlignment="1">
      <alignment vertical="center"/>
    </xf>
    <xf numFmtId="3" fontId="8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4" fontId="13" fillId="0" borderId="0" xfId="0" applyNumberFormat="1" applyFont="1" applyAlignment="1">
      <alignment vertical="center" wrapText="1"/>
    </xf>
    <xf numFmtId="10" fontId="13" fillId="0" borderId="0" xfId="0" applyNumberFormat="1" applyFont="1" applyAlignment="1">
      <alignment vertical="center" wrapText="1"/>
    </xf>
    <xf numFmtId="0" fontId="8" fillId="13" borderId="14" xfId="3" applyFont="1" applyFill="1" applyBorder="1" applyAlignment="1">
      <alignment horizontal="center" vertical="center" wrapText="1"/>
    </xf>
    <xf numFmtId="0" fontId="8" fillId="13" borderId="15" xfId="3" applyFont="1" applyFill="1" applyBorder="1" applyAlignment="1">
      <alignment horizontal="center" vertical="center" wrapText="1"/>
    </xf>
    <xf numFmtId="0" fontId="8" fillId="4" borderId="18" xfId="3" applyFont="1" applyFill="1" applyBorder="1" applyAlignment="1">
      <alignment horizontal="center" vertical="center" wrapText="1"/>
    </xf>
    <xf numFmtId="17" fontId="4" fillId="18" borderId="5" xfId="3" applyNumberFormat="1" applyFont="1" applyFill="1" applyBorder="1" applyAlignment="1">
      <alignment vertical="center" wrapText="1"/>
    </xf>
    <xf numFmtId="3" fontId="4" fillId="18" borderId="5" xfId="3" applyNumberFormat="1" applyFont="1" applyFill="1" applyBorder="1" applyAlignment="1">
      <alignment vertical="center" wrapText="1"/>
    </xf>
    <xf numFmtId="3" fontId="4" fillId="18" borderId="19" xfId="3" applyNumberFormat="1" applyFont="1" applyFill="1" applyBorder="1" applyAlignment="1">
      <alignment vertical="center" wrapText="1"/>
    </xf>
    <xf numFmtId="3" fontId="4" fillId="18" borderId="20" xfId="3" applyNumberFormat="1" applyFont="1" applyFill="1" applyBorder="1" applyAlignment="1">
      <alignment vertical="center" wrapText="1"/>
    </xf>
    <xf numFmtId="3" fontId="4" fillId="18" borderId="1" xfId="3" applyNumberFormat="1" applyFont="1" applyFill="1" applyBorder="1" applyAlignment="1">
      <alignment vertical="center" wrapText="1"/>
    </xf>
    <xf numFmtId="3" fontId="4" fillId="18" borderId="10" xfId="3" applyNumberFormat="1" applyFont="1" applyFill="1" applyBorder="1" applyAlignment="1">
      <alignment vertical="center" wrapText="1"/>
    </xf>
    <xf numFmtId="3" fontId="4" fillId="18" borderId="2" xfId="3" applyNumberFormat="1" applyFont="1" applyFill="1" applyBorder="1" applyAlignment="1">
      <alignment vertical="center" wrapText="1"/>
    </xf>
    <xf numFmtId="3" fontId="7" fillId="18" borderId="5" xfId="3" applyNumberFormat="1" applyFont="1" applyFill="1" applyBorder="1" applyAlignment="1">
      <alignment vertical="center" wrapText="1"/>
    </xf>
    <xf numFmtId="17" fontId="4" fillId="18" borderId="1" xfId="3" applyNumberFormat="1" applyFont="1" applyFill="1" applyBorder="1" applyAlignment="1">
      <alignment vertical="center" wrapText="1"/>
    </xf>
    <xf numFmtId="3" fontId="7" fillId="18" borderId="1" xfId="3" applyNumberFormat="1" applyFont="1" applyFill="1" applyBorder="1" applyAlignment="1">
      <alignment vertical="center" wrapText="1"/>
    </xf>
    <xf numFmtId="17" fontId="4" fillId="11" borderId="1" xfId="3" applyNumberFormat="1" applyFont="1" applyFill="1" applyBorder="1" applyAlignment="1">
      <alignment vertical="center" wrapText="1"/>
    </xf>
    <xf numFmtId="3" fontId="4" fillId="11" borderId="1" xfId="3" applyNumberFormat="1" applyFont="1" applyFill="1" applyBorder="1" applyAlignment="1">
      <alignment vertical="center" wrapText="1"/>
    </xf>
    <xf numFmtId="3" fontId="7" fillId="11" borderId="1" xfId="3" applyNumberFormat="1" applyFont="1" applyFill="1" applyBorder="1" applyAlignment="1">
      <alignment vertical="center" wrapText="1"/>
    </xf>
    <xf numFmtId="3" fontId="4" fillId="11" borderId="10" xfId="3" applyNumberFormat="1" applyFont="1" applyFill="1" applyBorder="1" applyAlignment="1">
      <alignment vertical="center" wrapText="1"/>
    </xf>
    <xf numFmtId="3" fontId="4" fillId="11" borderId="2" xfId="3" applyNumberFormat="1" applyFont="1" applyFill="1" applyBorder="1" applyAlignment="1">
      <alignment vertical="center" wrapText="1"/>
    </xf>
    <xf numFmtId="17" fontId="4" fillId="19" borderId="1" xfId="3" applyNumberFormat="1" applyFont="1" applyFill="1" applyBorder="1" applyAlignment="1">
      <alignment vertical="center" wrapText="1"/>
    </xf>
    <xf numFmtId="3" fontId="4" fillId="19" borderId="1" xfId="3" applyNumberFormat="1" applyFont="1" applyFill="1" applyBorder="1" applyAlignment="1">
      <alignment vertical="center" wrapText="1"/>
    </xf>
    <xf numFmtId="3" fontId="7" fillId="19" borderId="1" xfId="3" applyNumberFormat="1" applyFont="1" applyFill="1" applyBorder="1" applyAlignment="1">
      <alignment vertical="center" wrapText="1"/>
    </xf>
    <xf numFmtId="3" fontId="4" fillId="19" borderId="10" xfId="3" applyNumberFormat="1" applyFont="1" applyFill="1" applyBorder="1" applyAlignment="1">
      <alignment vertical="center" wrapText="1"/>
    </xf>
    <xf numFmtId="3" fontId="4" fillId="19" borderId="2" xfId="3" applyNumberFormat="1" applyFont="1" applyFill="1" applyBorder="1" applyAlignment="1">
      <alignment vertical="center" wrapText="1"/>
    </xf>
    <xf numFmtId="17" fontId="4" fillId="20" borderId="1" xfId="3" applyNumberFormat="1" applyFont="1" applyFill="1" applyBorder="1" applyAlignment="1">
      <alignment vertical="center" wrapText="1"/>
    </xf>
    <xf numFmtId="3" fontId="4" fillId="20" borderId="1" xfId="3" applyNumberFormat="1" applyFont="1" applyFill="1" applyBorder="1" applyAlignment="1">
      <alignment vertical="center" wrapText="1"/>
    </xf>
    <xf numFmtId="3" fontId="7" fillId="20" borderId="1" xfId="3" applyNumberFormat="1" applyFont="1" applyFill="1" applyBorder="1" applyAlignment="1">
      <alignment vertical="center" wrapText="1"/>
    </xf>
    <xf numFmtId="3" fontId="4" fillId="20" borderId="10" xfId="3" applyNumberFormat="1" applyFont="1" applyFill="1" applyBorder="1" applyAlignment="1">
      <alignment vertical="center" wrapText="1"/>
    </xf>
    <xf numFmtId="3" fontId="4" fillId="20" borderId="2" xfId="3" applyNumberFormat="1" applyFont="1" applyFill="1" applyBorder="1" applyAlignment="1">
      <alignment vertical="center" wrapText="1"/>
    </xf>
    <xf numFmtId="3" fontId="6" fillId="20" borderId="1" xfId="3" applyNumberFormat="1" applyFont="1" applyFill="1" applyBorder="1" applyAlignment="1">
      <alignment vertical="center" wrapText="1"/>
    </xf>
    <xf numFmtId="17" fontId="4" fillId="21" borderId="1" xfId="3" applyNumberFormat="1" applyFont="1" applyFill="1" applyBorder="1" applyAlignment="1">
      <alignment vertical="center" wrapText="1"/>
    </xf>
    <xf numFmtId="3" fontId="4" fillId="21" borderId="1" xfId="3" applyNumberFormat="1" applyFont="1" applyFill="1" applyBorder="1" applyAlignment="1">
      <alignment vertical="center" wrapText="1"/>
    </xf>
    <xf numFmtId="3" fontId="7" fillId="21" borderId="1" xfId="3" applyNumberFormat="1" applyFont="1" applyFill="1" applyBorder="1" applyAlignment="1">
      <alignment vertical="center" wrapText="1"/>
    </xf>
    <xf numFmtId="3" fontId="4" fillId="21" borderId="10" xfId="3" applyNumberFormat="1" applyFont="1" applyFill="1" applyBorder="1" applyAlignment="1">
      <alignment vertical="center" wrapText="1"/>
    </xf>
    <xf numFmtId="3" fontId="4" fillId="21" borderId="2" xfId="3" applyNumberFormat="1" applyFont="1" applyFill="1" applyBorder="1" applyAlignment="1">
      <alignment vertical="center" wrapText="1"/>
    </xf>
    <xf numFmtId="17" fontId="7" fillId="21" borderId="1" xfId="3" applyNumberFormat="1" applyFont="1" applyFill="1" applyBorder="1" applyAlignment="1">
      <alignment vertical="center" wrapText="1"/>
    </xf>
    <xf numFmtId="3" fontId="7" fillId="21" borderId="10" xfId="3" applyNumberFormat="1" applyFont="1" applyFill="1" applyBorder="1" applyAlignment="1">
      <alignment vertical="center" wrapText="1"/>
    </xf>
    <xf numFmtId="3" fontId="7" fillId="21" borderId="2" xfId="3" applyNumberFormat="1" applyFont="1" applyFill="1" applyBorder="1" applyAlignment="1">
      <alignment vertical="center" wrapText="1"/>
    </xf>
    <xf numFmtId="3" fontId="7" fillId="19" borderId="2" xfId="3" applyNumberFormat="1" applyFont="1" applyFill="1" applyBorder="1" applyAlignment="1">
      <alignment vertical="center" wrapText="1"/>
    </xf>
    <xf numFmtId="3" fontId="7" fillId="11" borderId="2" xfId="3" applyNumberFormat="1" applyFont="1" applyFill="1" applyBorder="1" applyAlignment="1">
      <alignment vertical="center" wrapText="1"/>
    </xf>
    <xf numFmtId="17" fontId="4" fillId="22" borderId="1" xfId="3" applyNumberFormat="1" applyFont="1" applyFill="1" applyBorder="1" applyAlignment="1">
      <alignment vertical="center" wrapText="1"/>
    </xf>
    <xf numFmtId="3" fontId="7" fillId="22" borderId="1" xfId="3" applyNumberFormat="1" applyFont="1" applyFill="1" applyBorder="1" applyAlignment="1">
      <alignment vertical="center" wrapText="1"/>
    </xf>
    <xf numFmtId="3" fontId="4" fillId="22" borderId="10" xfId="3" applyNumberFormat="1" applyFont="1" applyFill="1" applyBorder="1" applyAlignment="1">
      <alignment vertical="center" wrapText="1"/>
    </xf>
    <xf numFmtId="3" fontId="7" fillId="22" borderId="2" xfId="3" applyNumberFormat="1" applyFont="1" applyFill="1" applyBorder="1" applyAlignment="1">
      <alignment vertical="center" wrapText="1"/>
    </xf>
    <xf numFmtId="3" fontId="7" fillId="20" borderId="2" xfId="3" applyNumberFormat="1" applyFont="1" applyFill="1" applyBorder="1" applyAlignment="1">
      <alignment vertical="center" wrapText="1"/>
    </xf>
    <xf numFmtId="17" fontId="4" fillId="23" borderId="1" xfId="3" applyNumberFormat="1" applyFont="1" applyFill="1" applyBorder="1" applyAlignment="1">
      <alignment vertical="center" wrapText="1"/>
    </xf>
    <xf numFmtId="3" fontId="7" fillId="23" borderId="1" xfId="3" applyNumberFormat="1" applyFont="1" applyFill="1" applyBorder="1" applyAlignment="1">
      <alignment vertical="center" wrapText="1"/>
    </xf>
    <xf numFmtId="3" fontId="4" fillId="23" borderId="10" xfId="3" applyNumberFormat="1" applyFont="1" applyFill="1" applyBorder="1" applyAlignment="1">
      <alignment vertical="center" wrapText="1"/>
    </xf>
    <xf numFmtId="3" fontId="7" fillId="23" borderId="2" xfId="3" applyNumberFormat="1" applyFont="1" applyFill="1" applyBorder="1" applyAlignment="1">
      <alignment vertical="center" wrapText="1"/>
    </xf>
    <xf numFmtId="0" fontId="7" fillId="18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vertical="center" wrapText="1"/>
    </xf>
    <xf numFmtId="3" fontId="4" fillId="21" borderId="1" xfId="0" applyNumberFormat="1" applyFont="1" applyFill="1" applyBorder="1" applyAlignment="1">
      <alignment vertical="center" wrapText="1"/>
    </xf>
    <xf numFmtId="3" fontId="4" fillId="19" borderId="1" xfId="0" applyNumberFormat="1" applyFont="1" applyFill="1" applyBorder="1" applyAlignment="1">
      <alignment vertical="center" wrapText="1"/>
    </xf>
    <xf numFmtId="3" fontId="4" fillId="11" borderId="1" xfId="0" applyNumberFormat="1" applyFont="1" applyFill="1" applyBorder="1" applyAlignment="1">
      <alignment vertical="center" wrapText="1"/>
    </xf>
    <xf numFmtId="3" fontId="4" fillId="22" borderId="1" xfId="0" applyNumberFormat="1" applyFont="1" applyFill="1" applyBorder="1" applyAlignment="1">
      <alignment vertical="center" wrapText="1"/>
    </xf>
    <xf numFmtId="3" fontId="4" fillId="20" borderId="1" xfId="0" applyNumberFormat="1" applyFont="1" applyFill="1" applyBorder="1" applyAlignment="1">
      <alignment vertical="center" wrapText="1"/>
    </xf>
    <xf numFmtId="3" fontId="4" fillId="23" borderId="1" xfId="0" applyNumberFormat="1" applyFont="1" applyFill="1" applyBorder="1" applyAlignment="1">
      <alignment vertical="center" wrapText="1"/>
    </xf>
    <xf numFmtId="0" fontId="13" fillId="0" borderId="0" xfId="0" applyFont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17" fontId="8" fillId="11" borderId="1" xfId="0" applyNumberFormat="1" applyFont="1" applyFill="1" applyBorder="1"/>
    <xf numFmtId="3" fontId="4" fillId="0" borderId="19" xfId="0" applyNumberFormat="1" applyFont="1" applyBorder="1" applyAlignment="1">
      <alignment vertical="center" wrapText="1"/>
    </xf>
    <xf numFmtId="3" fontId="4" fillId="0" borderId="19" xfId="0" applyNumberFormat="1" applyFont="1" applyBorder="1"/>
    <xf numFmtId="17" fontId="8" fillId="21" borderId="1" xfId="0" applyNumberFormat="1" applyFont="1" applyFill="1" applyBorder="1"/>
    <xf numFmtId="17" fontId="8" fillId="20" borderId="1" xfId="0" applyNumberFormat="1" applyFont="1" applyFill="1" applyBorder="1"/>
    <xf numFmtId="17" fontId="8" fillId="19" borderId="5" xfId="0" applyNumberFormat="1" applyFont="1" applyFill="1" applyBorder="1"/>
    <xf numFmtId="17" fontId="8" fillId="19" borderId="1" xfId="0" applyNumberFormat="1" applyFont="1" applyFill="1" applyBorder="1"/>
    <xf numFmtId="17" fontId="8" fillId="10" borderId="5" xfId="0" applyNumberFormat="1" applyFont="1" applyFill="1" applyBorder="1"/>
    <xf numFmtId="17" fontId="8" fillId="10" borderId="1" xfId="0" applyNumberFormat="1" applyFont="1" applyFill="1" applyBorder="1"/>
    <xf numFmtId="17" fontId="8" fillId="10" borderId="1" xfId="0" applyNumberFormat="1" applyFont="1" applyFill="1" applyBorder="1" applyAlignment="1">
      <alignment vertical="center" wrapText="1"/>
    </xf>
    <xf numFmtId="0" fontId="8" fillId="25" borderId="19" xfId="0" applyFont="1" applyFill="1" applyBorder="1"/>
    <xf numFmtId="4" fontId="4" fillId="0" borderId="19" xfId="0" applyNumberFormat="1" applyFont="1" applyBorder="1"/>
    <xf numFmtId="0" fontId="4" fillId="0" borderId="19" xfId="0" applyFont="1" applyBorder="1"/>
    <xf numFmtId="4" fontId="4" fillId="0" borderId="0" xfId="0" applyNumberFormat="1" applyFont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25" borderId="0" xfId="0" applyFont="1" applyFill="1"/>
    <xf numFmtId="0" fontId="30" fillId="0" borderId="0" xfId="0" applyFont="1"/>
    <xf numFmtId="0" fontId="31" fillId="0" borderId="0" xfId="0" applyFont="1"/>
    <xf numFmtId="3" fontId="31" fillId="0" borderId="0" xfId="0" applyNumberFormat="1" applyFont="1"/>
    <xf numFmtId="3" fontId="32" fillId="0" borderId="0" xfId="0" applyNumberFormat="1" applyFont="1"/>
    <xf numFmtId="3" fontId="30" fillId="0" borderId="0" xfId="0" applyNumberFormat="1" applyFont="1"/>
    <xf numFmtId="10" fontId="0" fillId="0" borderId="0" xfId="0" applyNumberFormat="1"/>
    <xf numFmtId="1" fontId="13" fillId="0" borderId="0" xfId="0" applyNumberFormat="1" applyFont="1" applyAlignment="1" applyProtection="1">
      <alignment vertical="center"/>
      <protection locked="0"/>
    </xf>
    <xf numFmtId="4" fontId="4" fillId="0" borderId="1" xfId="1" applyNumberFormat="1" applyFont="1" applyBorder="1" applyAlignment="1">
      <alignment horizontal="right" vertical="center"/>
    </xf>
    <xf numFmtId="4" fontId="4" fillId="3" borderId="1" xfId="1" applyNumberFormat="1" applyFont="1" applyFill="1" applyBorder="1" applyAlignment="1">
      <alignment horizontal="right" vertical="center"/>
    </xf>
    <xf numFmtId="4" fontId="4" fillId="0" borderId="1" xfId="1" applyNumberFormat="1" applyFont="1" applyFill="1" applyBorder="1" applyAlignment="1">
      <alignment horizontal="right" vertical="center"/>
    </xf>
    <xf numFmtId="4" fontId="4" fillId="3" borderId="4" xfId="1" applyNumberFormat="1" applyFont="1" applyFill="1" applyBorder="1" applyAlignment="1">
      <alignment horizontal="right" vertical="center"/>
    </xf>
    <xf numFmtId="4" fontId="4" fillId="3" borderId="2" xfId="1" applyNumberFormat="1" applyFont="1" applyFill="1" applyBorder="1" applyAlignment="1">
      <alignment horizontal="right" vertical="center"/>
    </xf>
    <xf numFmtId="4" fontId="4" fillId="3" borderId="3" xfId="1" applyNumberFormat="1" applyFont="1" applyFill="1" applyBorder="1" applyAlignment="1">
      <alignment horizontal="right" vertical="center"/>
    </xf>
    <xf numFmtId="4" fontId="4" fillId="0" borderId="5" xfId="1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vertical="center"/>
    </xf>
    <xf numFmtId="4" fontId="28" fillId="0" borderId="0" xfId="0" applyNumberFormat="1" applyFont="1"/>
    <xf numFmtId="4" fontId="4" fillId="0" borderId="0" xfId="3" applyNumberFormat="1" applyFont="1">
      <alignment vertical="center"/>
    </xf>
    <xf numFmtId="165" fontId="5" fillId="2" borderId="1" xfId="0" applyNumberFormat="1" applyFont="1" applyFill="1" applyBorder="1" applyAlignment="1">
      <alignment horizontal="center" vertical="center" wrapText="1"/>
    </xf>
    <xf numFmtId="3" fontId="15" fillId="0" borderId="0" xfId="0" applyNumberFormat="1" applyFont="1"/>
    <xf numFmtId="10" fontId="4" fillId="0" borderId="0" xfId="0" applyNumberFormat="1" applyFont="1" applyAlignment="1">
      <alignment vertical="center" wrapText="1"/>
    </xf>
    <xf numFmtId="17" fontId="4" fillId="0" borderId="0" xfId="0" applyNumberFormat="1" applyFont="1" applyAlignment="1">
      <alignment vertical="center" wrapText="1"/>
    </xf>
    <xf numFmtId="16" fontId="4" fillId="0" borderId="0" xfId="0" applyNumberFormat="1" applyFont="1" applyAlignment="1">
      <alignment vertical="center" wrapText="1"/>
    </xf>
    <xf numFmtId="3" fontId="4" fillId="0" borderId="0" xfId="2" applyNumberFormat="1" applyFont="1" applyFill="1" applyAlignment="1">
      <alignment vertical="center"/>
    </xf>
    <xf numFmtId="4" fontId="4" fillId="0" borderId="0" xfId="0" applyNumberFormat="1" applyFont="1" applyAlignment="1">
      <alignment horizontal="right" vertical="center" wrapText="1"/>
    </xf>
    <xf numFmtId="173" fontId="4" fillId="0" borderId="0" xfId="1" applyNumberFormat="1" applyFont="1" applyAlignment="1">
      <alignment vertical="center"/>
    </xf>
    <xf numFmtId="0" fontId="4" fillId="10" borderId="55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3" fontId="4" fillId="12" borderId="0" xfId="0" applyNumberFormat="1" applyFont="1" applyFill="1" applyAlignment="1">
      <alignment vertical="center"/>
    </xf>
    <xf numFmtId="168" fontId="13" fillId="0" borderId="0" xfId="2" applyNumberFormat="1" applyFont="1" applyAlignment="1">
      <alignment vertical="center" wrapText="1"/>
    </xf>
    <xf numFmtId="10" fontId="13" fillId="0" borderId="0" xfId="2" applyNumberFormat="1" applyFont="1" applyAlignment="1">
      <alignment vertical="center" wrapText="1"/>
    </xf>
    <xf numFmtId="3" fontId="15" fillId="0" borderId="0" xfId="0" applyNumberFormat="1" applyFont="1" applyAlignment="1">
      <alignment horizontal="right" vertical="top" wrapText="1" shrinkToFit="1"/>
    </xf>
    <xf numFmtId="3" fontId="4" fillId="0" borderId="0" xfId="0" applyNumberFormat="1" applyFont="1" applyAlignment="1">
      <alignment horizontal="right" vertical="center" wrapText="1"/>
    </xf>
    <xf numFmtId="3" fontId="4" fillId="4" borderId="0" xfId="0" applyNumberFormat="1" applyFont="1" applyFill="1" applyAlignment="1">
      <alignment vertical="center"/>
    </xf>
    <xf numFmtId="0" fontId="8" fillId="5" borderId="0" xfId="0" applyFont="1" applyFill="1" applyAlignment="1">
      <alignment horizontal="right" vertical="center" wrapText="1"/>
    </xf>
    <xf numFmtId="0" fontId="28" fillId="0" borderId="0" xfId="0" applyFont="1" applyAlignment="1">
      <alignment vertical="center"/>
    </xf>
    <xf numFmtId="0" fontId="8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8" fillId="28" borderId="0" xfId="0" applyFont="1" applyFill="1" applyAlignment="1">
      <alignment vertical="center" wrapText="1"/>
    </xf>
    <xf numFmtId="0" fontId="8" fillId="28" borderId="0" xfId="0" applyFont="1" applyFill="1" applyAlignment="1">
      <alignment horizontal="center" vertical="center" wrapText="1"/>
    </xf>
    <xf numFmtId="17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5" borderId="8" xfId="0" applyFont="1" applyFill="1" applyBorder="1" applyAlignment="1">
      <alignment vertical="center"/>
    </xf>
    <xf numFmtId="37" fontId="4" fillId="0" borderId="0" xfId="0" applyNumberFormat="1" applyFont="1" applyAlignment="1">
      <alignment vertical="center"/>
    </xf>
    <xf numFmtId="173" fontId="4" fillId="0" borderId="0" xfId="1" applyNumberFormat="1" applyFont="1" applyAlignment="1">
      <alignment horizontal="center" vertical="center"/>
    </xf>
    <xf numFmtId="173" fontId="5" fillId="2" borderId="0" xfId="1" applyNumberFormat="1" applyFont="1" applyFill="1" applyAlignment="1">
      <alignment horizontal="center" vertical="center" wrapText="1"/>
    </xf>
    <xf numFmtId="173" fontId="5" fillId="2" borderId="6" xfId="1" applyNumberFormat="1" applyFont="1" applyFill="1" applyBorder="1" applyAlignment="1">
      <alignment horizontal="center" vertical="center" wrapText="1"/>
    </xf>
    <xf numFmtId="173" fontId="5" fillId="2" borderId="7" xfId="1" applyNumberFormat="1" applyFont="1" applyFill="1" applyBorder="1" applyAlignment="1">
      <alignment horizontal="right" vertical="center" wrapText="1"/>
    </xf>
    <xf numFmtId="173" fontId="4" fillId="0" borderId="0" xfId="1" applyNumberFormat="1" applyFont="1" applyAlignment="1">
      <alignment horizontal="center" vertical="center" wrapText="1"/>
    </xf>
    <xf numFmtId="173" fontId="7" fillId="6" borderId="5" xfId="1" applyNumberFormat="1" applyFont="1" applyFill="1" applyBorder="1" applyAlignment="1">
      <alignment horizontal="right" vertical="center" wrapText="1"/>
    </xf>
    <xf numFmtId="173" fontId="6" fillId="6" borderId="5" xfId="1" applyNumberFormat="1" applyFont="1" applyFill="1" applyBorder="1" applyAlignment="1">
      <alignment horizontal="right" vertical="center" wrapText="1"/>
    </xf>
    <xf numFmtId="173" fontId="7" fillId="6" borderId="6" xfId="1" applyNumberFormat="1" applyFont="1" applyFill="1" applyBorder="1" applyAlignment="1">
      <alignment horizontal="right" vertical="center"/>
    </xf>
    <xf numFmtId="173" fontId="7" fillId="6" borderId="1" xfId="1" applyNumberFormat="1" applyFont="1" applyFill="1" applyBorder="1" applyAlignment="1">
      <alignment horizontal="right" vertical="center"/>
    </xf>
    <xf numFmtId="173" fontId="7" fillId="0" borderId="1" xfId="1" applyNumberFormat="1" applyFont="1" applyBorder="1" applyAlignment="1">
      <alignment horizontal="right" vertical="center" wrapText="1"/>
    </xf>
    <xf numFmtId="173" fontId="5" fillId="6" borderId="5" xfId="1" applyNumberFormat="1" applyFont="1" applyFill="1" applyBorder="1" applyAlignment="1">
      <alignment horizontal="right" vertical="center" wrapText="1"/>
    </xf>
    <xf numFmtId="173" fontId="7" fillId="6" borderId="1" xfId="1" applyNumberFormat="1" applyFont="1" applyFill="1" applyBorder="1" applyAlignment="1">
      <alignment horizontal="right" vertical="center" wrapText="1"/>
    </xf>
    <xf numFmtId="173" fontId="6" fillId="6" borderId="1" xfId="1" applyNumberFormat="1" applyFont="1" applyFill="1" applyBorder="1" applyAlignment="1">
      <alignment horizontal="right" vertical="center" wrapText="1"/>
    </xf>
    <xf numFmtId="173" fontId="4" fillId="6" borderId="1" xfId="1" applyNumberFormat="1" applyFont="1" applyFill="1" applyBorder="1" applyAlignment="1">
      <alignment vertical="center" wrapText="1"/>
    </xf>
    <xf numFmtId="173" fontId="6" fillId="0" borderId="1" xfId="1" applyNumberFormat="1" applyFont="1" applyBorder="1" applyAlignment="1">
      <alignment horizontal="right" vertical="center" wrapText="1"/>
    </xf>
    <xf numFmtId="173" fontId="7" fillId="0" borderId="6" xfId="1" applyNumberFormat="1" applyFont="1" applyBorder="1" applyAlignment="1">
      <alignment horizontal="right" vertical="center"/>
    </xf>
    <xf numFmtId="173" fontId="7" fillId="0" borderId="1" xfId="1" applyNumberFormat="1" applyFont="1" applyBorder="1" applyAlignment="1">
      <alignment horizontal="right" vertical="center"/>
    </xf>
    <xf numFmtId="173" fontId="4" fillId="0" borderId="1" xfId="1" applyNumberFormat="1" applyFont="1" applyBorder="1" applyAlignment="1">
      <alignment vertical="center" wrapText="1"/>
    </xf>
    <xf numFmtId="173" fontId="7" fillId="0" borderId="1" xfId="1" applyNumberFormat="1" applyFont="1" applyFill="1" applyBorder="1" applyAlignment="1">
      <alignment horizontal="right" vertical="center" wrapText="1"/>
    </xf>
    <xf numFmtId="173" fontId="7" fillId="0" borderId="6" xfId="1" applyNumberFormat="1" applyFont="1" applyFill="1" applyBorder="1" applyAlignment="1">
      <alignment horizontal="right" vertical="center"/>
    </xf>
    <xf numFmtId="173" fontId="7" fillId="0" borderId="1" xfId="1" applyNumberFormat="1" applyFont="1" applyFill="1" applyBorder="1" applyAlignment="1">
      <alignment horizontal="right" vertical="center"/>
    </xf>
    <xf numFmtId="173" fontId="7" fillId="0" borderId="7" xfId="1" applyNumberFormat="1" applyFont="1" applyFill="1" applyBorder="1" applyAlignment="1">
      <alignment horizontal="right" vertical="center"/>
    </xf>
    <xf numFmtId="173" fontId="4" fillId="6" borderId="1" xfId="1" applyNumberFormat="1" applyFont="1" applyFill="1" applyBorder="1" applyAlignment="1">
      <alignment vertical="center"/>
    </xf>
    <xf numFmtId="173" fontId="4" fillId="6" borderId="1" xfId="1" applyNumberFormat="1" applyFont="1" applyFill="1" applyBorder="1" applyAlignment="1">
      <alignment horizontal="right" vertical="center" wrapText="1"/>
    </xf>
    <xf numFmtId="173" fontId="4" fillId="6" borderId="0" xfId="1" applyNumberFormat="1" applyFont="1" applyFill="1" applyAlignment="1">
      <alignment vertical="center"/>
    </xf>
    <xf numFmtId="173" fontId="3" fillId="6" borderId="1" xfId="1" applyNumberFormat="1" applyFont="1" applyFill="1" applyBorder="1" applyAlignment="1">
      <alignment vertical="center"/>
    </xf>
    <xf numFmtId="173" fontId="4" fillId="0" borderId="1" xfId="1" applyNumberFormat="1" applyFont="1" applyBorder="1" applyAlignment="1">
      <alignment vertical="center"/>
    </xf>
    <xf numFmtId="173" fontId="7" fillId="3" borderId="1" xfId="1" applyNumberFormat="1" applyFont="1" applyFill="1" applyBorder="1" applyAlignment="1">
      <alignment horizontal="right" vertical="center" wrapText="1"/>
    </xf>
    <xf numFmtId="173" fontId="4" fillId="0" borderId="0" xfId="1" applyNumberFormat="1" applyFont="1"/>
    <xf numFmtId="173" fontId="7" fillId="0" borderId="0" xfId="1" applyNumberFormat="1" applyFont="1" applyFill="1" applyBorder="1" applyAlignment="1">
      <alignment horizontal="center" vertical="center" wrapText="1"/>
    </xf>
    <xf numFmtId="173" fontId="7" fillId="0" borderId="0" xfId="1" applyNumberFormat="1" applyFont="1" applyFill="1" applyBorder="1" applyAlignment="1">
      <alignment horizontal="right" vertical="center" wrapText="1"/>
    </xf>
    <xf numFmtId="173" fontId="4" fillId="0" borderId="0" xfId="1" applyNumberFormat="1" applyFont="1" applyAlignment="1">
      <alignment vertical="center" wrapText="1"/>
    </xf>
    <xf numFmtId="173" fontId="4" fillId="0" borderId="0" xfId="1" applyNumberFormat="1" applyFont="1" applyAlignment="1">
      <alignment horizontal="left" vertical="center" wrapText="1"/>
    </xf>
    <xf numFmtId="9" fontId="15" fillId="0" borderId="0" xfId="2" applyFont="1" applyAlignment="1">
      <alignment vertical="center"/>
    </xf>
    <xf numFmtId="9" fontId="4" fillId="0" borderId="0" xfId="2" applyFont="1" applyAlignment="1">
      <alignment vertical="center"/>
    </xf>
    <xf numFmtId="173" fontId="15" fillId="0" borderId="0" xfId="1" applyNumberFormat="1" applyFont="1" applyAlignment="1">
      <alignment vertical="center" wrapText="1"/>
    </xf>
    <xf numFmtId="9" fontId="15" fillId="0" borderId="0" xfId="2" applyFont="1" applyAlignment="1">
      <alignment vertical="center" wrapText="1"/>
    </xf>
    <xf numFmtId="40" fontId="36" fillId="5" borderId="38" xfId="0" applyNumberFormat="1" applyFont="1" applyFill="1" applyBorder="1" applyAlignment="1">
      <alignment vertical="center"/>
    </xf>
    <xf numFmtId="40" fontId="36" fillId="5" borderId="45" xfId="0" applyNumberFormat="1" applyFont="1" applyFill="1" applyBorder="1" applyAlignment="1">
      <alignment vertical="center" wrapText="1"/>
    </xf>
    <xf numFmtId="40" fontId="38" fillId="0" borderId="1" xfId="0" applyNumberFormat="1" applyFont="1" applyBorder="1" applyAlignment="1">
      <alignment vertical="center" wrapText="1"/>
    </xf>
    <xf numFmtId="40" fontId="37" fillId="5" borderId="4" xfId="0" applyNumberFormat="1" applyFont="1" applyFill="1" applyBorder="1" applyAlignment="1">
      <alignment vertical="center" wrapText="1"/>
    </xf>
    <xf numFmtId="40" fontId="36" fillId="5" borderId="4" xfId="0" applyNumberFormat="1" applyFont="1" applyFill="1" applyBorder="1" applyAlignment="1">
      <alignment vertical="center" wrapText="1"/>
    </xf>
    <xf numFmtId="0" fontId="13" fillId="6" borderId="8" xfId="0" applyFont="1" applyFill="1" applyBorder="1" applyAlignment="1" applyProtection="1">
      <alignment vertical="center"/>
      <protection locked="0"/>
    </xf>
    <xf numFmtId="0" fontId="0" fillId="29" borderId="1" xfId="0" applyFill="1" applyBorder="1"/>
    <xf numFmtId="17" fontId="0" fillId="30" borderId="1" xfId="0" applyNumberFormat="1" applyFill="1" applyBorder="1"/>
    <xf numFmtId="3" fontId="0" fillId="6" borderId="1" xfId="0" applyNumberFormat="1" applyFill="1" applyBorder="1"/>
    <xf numFmtId="3" fontId="0" fillId="6" borderId="1" xfId="0" applyNumberFormat="1" applyFill="1" applyBorder="1" applyAlignment="1">
      <alignment horizontal="center" vertical="center"/>
    </xf>
    <xf numFmtId="0" fontId="39" fillId="0" borderId="0" xfId="0" applyFont="1"/>
    <xf numFmtId="0" fontId="40" fillId="0" borderId="0" xfId="0" applyFont="1"/>
    <xf numFmtId="3" fontId="0" fillId="0" borderId="0" xfId="0" applyNumberFormat="1"/>
    <xf numFmtId="0" fontId="41" fillId="4" borderId="57" xfId="0" applyFont="1" applyFill="1" applyBorder="1" applyAlignment="1">
      <alignment horizontal="center" vertical="center" wrapText="1" readingOrder="1"/>
    </xf>
    <xf numFmtId="3" fontId="42" fillId="4" borderId="58" xfId="0" applyNumberFormat="1" applyFont="1" applyFill="1" applyBorder="1" applyAlignment="1">
      <alignment horizontal="center" vertical="center" wrapText="1" readingOrder="1"/>
    </xf>
    <xf numFmtId="3" fontId="42" fillId="4" borderId="31" xfId="0" applyNumberFormat="1" applyFont="1" applyFill="1" applyBorder="1" applyAlignment="1">
      <alignment horizontal="center" vertical="center" wrapText="1" readingOrder="1"/>
    </xf>
    <xf numFmtId="168" fontId="0" fillId="0" borderId="0" xfId="0" applyNumberFormat="1"/>
    <xf numFmtId="164" fontId="0" fillId="0" borderId="0" xfId="0" applyNumberFormat="1"/>
    <xf numFmtId="0" fontId="43" fillId="0" borderId="1" xfId="0" applyFont="1" applyBorder="1" applyAlignment="1">
      <alignment horizontal="center" vertical="top"/>
    </xf>
    <xf numFmtId="0" fontId="43" fillId="0" borderId="1" xfId="0" applyFont="1" applyBorder="1" applyAlignment="1">
      <alignment horizontal="center" vertical="top" wrapText="1"/>
    </xf>
    <xf numFmtId="174" fontId="0" fillId="0" borderId="0" xfId="0" applyNumberFormat="1"/>
    <xf numFmtId="4" fontId="4" fillId="0" borderId="59" xfId="0" applyNumberFormat="1" applyFont="1" applyBorder="1" applyAlignment="1">
      <alignment readingOrder="1"/>
    </xf>
    <xf numFmtId="0" fontId="4" fillId="0" borderId="60" xfId="0" applyFont="1" applyBorder="1" applyAlignment="1">
      <alignment readingOrder="1"/>
    </xf>
    <xf numFmtId="0" fontId="4" fillId="0" borderId="61" xfId="0" applyFont="1" applyBorder="1" applyAlignment="1">
      <alignment readingOrder="1"/>
    </xf>
    <xf numFmtId="4" fontId="4" fillId="5" borderId="4" xfId="0" applyNumberFormat="1" applyFont="1" applyFill="1" applyBorder="1" applyAlignment="1">
      <alignment vertical="center" wrapText="1"/>
    </xf>
    <xf numFmtId="4" fontId="4" fillId="5" borderId="43" xfId="0" applyNumberFormat="1" applyFont="1" applyFill="1" applyBorder="1" applyAlignment="1">
      <alignment vertical="center" wrapText="1"/>
    </xf>
    <xf numFmtId="0" fontId="13" fillId="0" borderId="0" xfId="0" applyFont="1"/>
    <xf numFmtId="40" fontId="37" fillId="0" borderId="35" xfId="0" applyNumberFormat="1" applyFont="1" applyBorder="1" applyAlignment="1">
      <alignment vertical="center"/>
    </xf>
    <xf numFmtId="40" fontId="37" fillId="5" borderId="37" xfId="0" applyNumberFormat="1" applyFont="1" applyFill="1" applyBorder="1" applyAlignment="1">
      <alignment horizontal="center" vertical="center" wrapText="1"/>
    </xf>
    <xf numFmtId="40" fontId="37" fillId="5" borderId="37" xfId="0" applyNumberFormat="1" applyFont="1" applyFill="1" applyBorder="1" applyAlignment="1">
      <alignment horizontal="center" vertical="center"/>
    </xf>
    <xf numFmtId="0" fontId="36" fillId="0" borderId="1" xfId="0" applyFont="1" applyBorder="1"/>
    <xf numFmtId="0" fontId="37" fillId="0" borderId="1" xfId="0" applyFont="1" applyBorder="1"/>
    <xf numFmtId="4" fontId="37" fillId="0" borderId="1" xfId="0" applyNumberFormat="1" applyFont="1" applyBorder="1"/>
    <xf numFmtId="4" fontId="8" fillId="5" borderId="47" xfId="0" applyNumberFormat="1" applyFont="1" applyFill="1" applyBorder="1" applyAlignment="1">
      <alignment horizontal="center" vertical="center" wrapText="1"/>
    </xf>
    <xf numFmtId="4" fontId="4" fillId="5" borderId="13" xfId="0" applyNumberFormat="1" applyFont="1" applyFill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4" fontId="7" fillId="0" borderId="1" xfId="0" applyNumberFormat="1" applyFont="1" applyBorder="1" applyAlignment="1">
      <alignment vertical="center" wrapText="1"/>
    </xf>
    <xf numFmtId="4" fontId="4" fillId="0" borderId="5" xfId="0" applyNumberFormat="1" applyFont="1" applyBorder="1" applyAlignment="1">
      <alignment vertical="center" wrapText="1"/>
    </xf>
    <xf numFmtId="4" fontId="8" fillId="5" borderId="49" xfId="0" applyNumberFormat="1" applyFont="1" applyFill="1" applyBorder="1" applyAlignment="1">
      <alignment vertical="center" wrapText="1"/>
    </xf>
    <xf numFmtId="4" fontId="4" fillId="0" borderId="3" xfId="0" applyNumberFormat="1" applyFont="1" applyBorder="1" applyAlignment="1">
      <alignment vertical="center" wrapText="1"/>
    </xf>
    <xf numFmtId="40" fontId="4" fillId="0" borderId="46" xfId="0" applyNumberFormat="1" applyFont="1" applyBorder="1" applyAlignment="1">
      <alignment horizontal="center" vertical="center" wrapText="1"/>
    </xf>
    <xf numFmtId="3" fontId="6" fillId="4" borderId="5" xfId="0" applyNumberFormat="1" applyFont="1" applyFill="1" applyBorder="1" applyAlignment="1">
      <alignment vertical="center" wrapText="1"/>
    </xf>
    <xf numFmtId="4" fontId="4" fillId="0" borderId="35" xfId="0" applyNumberFormat="1" applyFont="1" applyBorder="1" applyAlignment="1">
      <alignment vertical="center"/>
    </xf>
    <xf numFmtId="4" fontId="8" fillId="0" borderId="1" xfId="0" applyNumberFormat="1" applyFont="1" applyBorder="1" applyAlignment="1">
      <alignment vertical="center" wrapText="1"/>
    </xf>
    <xf numFmtId="3" fontId="6" fillId="4" borderId="1" xfId="0" applyNumberFormat="1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center"/>
    </xf>
    <xf numFmtId="4" fontId="8" fillId="0" borderId="5" xfId="0" applyNumberFormat="1" applyFont="1" applyBorder="1" applyAlignment="1">
      <alignment vertical="center" wrapText="1"/>
    </xf>
    <xf numFmtId="4" fontId="4" fillId="0" borderId="5" xfId="0" applyNumberFormat="1" applyFont="1" applyBorder="1" applyAlignment="1">
      <alignment vertical="center"/>
    </xf>
    <xf numFmtId="4" fontId="4" fillId="5" borderId="17" xfId="0" applyNumberFormat="1" applyFont="1" applyFill="1" applyBorder="1" applyAlignment="1">
      <alignment vertical="center" wrapText="1"/>
    </xf>
    <xf numFmtId="4" fontId="4" fillId="5" borderId="16" xfId="0" applyNumberFormat="1" applyFont="1" applyFill="1" applyBorder="1" applyAlignment="1">
      <alignment vertical="center" wrapText="1"/>
    </xf>
    <xf numFmtId="4" fontId="4" fillId="5" borderId="18" xfId="0" applyNumberFormat="1" applyFont="1" applyFill="1" applyBorder="1" applyAlignment="1">
      <alignment vertical="center" wrapText="1"/>
    </xf>
    <xf numFmtId="4" fontId="8" fillId="5" borderId="51" xfId="0" applyNumberFormat="1" applyFont="1" applyFill="1" applyBorder="1" applyAlignment="1">
      <alignment vertical="center" wrapText="1"/>
    </xf>
    <xf numFmtId="4" fontId="4" fillId="5" borderId="49" xfId="0" applyNumberFormat="1" applyFont="1" applyFill="1" applyBorder="1" applyAlignment="1">
      <alignment vertical="center" wrapText="1"/>
    </xf>
    <xf numFmtId="3" fontId="4" fillId="5" borderId="51" xfId="0" applyNumberFormat="1" applyFont="1" applyFill="1" applyBorder="1" applyAlignment="1">
      <alignment vertical="center" wrapText="1"/>
    </xf>
    <xf numFmtId="4" fontId="8" fillId="5" borderId="18" xfId="0" applyNumberFormat="1" applyFont="1" applyFill="1" applyBorder="1" applyAlignment="1">
      <alignment vertical="center" wrapText="1"/>
    </xf>
    <xf numFmtId="4" fontId="6" fillId="4" borderId="41" xfId="0" applyNumberFormat="1" applyFont="1" applyFill="1" applyBorder="1" applyAlignment="1">
      <alignment vertical="center"/>
    </xf>
    <xf numFmtId="4" fontId="6" fillId="4" borderId="3" xfId="0" applyNumberFormat="1" applyFont="1" applyFill="1" applyBorder="1" applyAlignment="1">
      <alignment vertical="center"/>
    </xf>
    <xf numFmtId="4" fontId="4" fillId="0" borderId="3" xfId="0" applyNumberFormat="1" applyFont="1" applyBorder="1" applyAlignment="1">
      <alignment vertical="center"/>
    </xf>
    <xf numFmtId="40" fontId="4" fillId="5" borderId="38" xfId="0" applyNumberFormat="1" applyFont="1" applyFill="1" applyBorder="1" applyAlignment="1">
      <alignment vertical="center"/>
    </xf>
    <xf numFmtId="40" fontId="4" fillId="5" borderId="48" xfId="0" applyNumberFormat="1" applyFont="1" applyFill="1" applyBorder="1" applyAlignment="1">
      <alignment vertical="center"/>
    </xf>
    <xf numFmtId="4" fontId="8" fillId="5" borderId="49" xfId="0" applyNumberFormat="1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0" borderId="19" xfId="0" applyFont="1" applyBorder="1" applyAlignment="1">
      <alignment vertical="center"/>
    </xf>
    <xf numFmtId="17" fontId="8" fillId="20" borderId="1" xfId="0" applyNumberFormat="1" applyFont="1" applyFill="1" applyBorder="1" applyAlignment="1">
      <alignment vertical="center" wrapText="1"/>
    </xf>
    <xf numFmtId="169" fontId="4" fillId="0" borderId="0" xfId="0" applyNumberFormat="1" applyFont="1" applyAlignment="1">
      <alignment vertical="center" wrapText="1"/>
    </xf>
    <xf numFmtId="0" fontId="0" fillId="0" borderId="1" xfId="0" applyBorder="1"/>
    <xf numFmtId="17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3" fontId="4" fillId="0" borderId="20" xfId="0" applyNumberFormat="1" applyFont="1" applyBorder="1" applyAlignment="1">
      <alignment vertical="center" wrapText="1"/>
    </xf>
    <xf numFmtId="170" fontId="15" fillId="0" borderId="0" xfId="0" applyNumberFormat="1" applyFont="1" applyAlignment="1">
      <alignment vertical="center"/>
    </xf>
    <xf numFmtId="170" fontId="4" fillId="0" borderId="60" xfId="0" applyNumberFormat="1" applyFont="1" applyBorder="1" applyAlignment="1">
      <alignment readingOrder="1"/>
    </xf>
    <xf numFmtId="3" fontId="4" fillId="0" borderId="60" xfId="0" applyNumberFormat="1" applyFont="1" applyBorder="1" applyAlignment="1">
      <alignment readingOrder="1"/>
    </xf>
    <xf numFmtId="4" fontId="4" fillId="0" borderId="60" xfId="0" applyNumberFormat="1" applyFont="1" applyBorder="1" applyAlignment="1">
      <alignment readingOrder="1"/>
    </xf>
    <xf numFmtId="3" fontId="37" fillId="0" borderId="1" xfId="0" applyNumberFormat="1" applyFont="1" applyBorder="1"/>
    <xf numFmtId="170" fontId="37" fillId="0" borderId="1" xfId="0" applyNumberFormat="1" applyFont="1" applyBorder="1"/>
    <xf numFmtId="165" fontId="37" fillId="0" borderId="1" xfId="0" applyNumberFormat="1" applyFont="1" applyBorder="1"/>
    <xf numFmtId="1" fontId="4" fillId="0" borderId="0" xfId="0" applyNumberFormat="1" applyFont="1"/>
    <xf numFmtId="165" fontId="4" fillId="0" borderId="0" xfId="0" quotePrefix="1" applyNumberFormat="1" applyFont="1" applyAlignment="1">
      <alignment vertical="center"/>
    </xf>
    <xf numFmtId="4" fontId="4" fillId="0" borderId="25" xfId="0" applyNumberFormat="1" applyFont="1" applyBorder="1" applyAlignment="1">
      <alignment vertical="center"/>
    </xf>
    <xf numFmtId="4" fontId="4" fillId="0" borderId="27" xfId="0" applyNumberFormat="1" applyFont="1" applyBorder="1" applyAlignment="1">
      <alignment vertical="center"/>
    </xf>
    <xf numFmtId="4" fontId="4" fillId="0" borderId="30" xfId="0" applyNumberFormat="1" applyFont="1" applyBorder="1" applyAlignment="1">
      <alignment vertical="center"/>
    </xf>
    <xf numFmtId="4" fontId="15" fillId="0" borderId="0" xfId="0" applyNumberFormat="1" applyFont="1"/>
    <xf numFmtId="2" fontId="4" fillId="0" borderId="0" xfId="0" applyNumberFormat="1" applyFont="1"/>
    <xf numFmtId="4" fontId="4" fillId="8" borderId="1" xfId="0" applyNumberFormat="1" applyFont="1" applyFill="1" applyBorder="1" applyAlignment="1">
      <alignment vertical="center" wrapText="1"/>
    </xf>
    <xf numFmtId="164" fontId="8" fillId="2" borderId="0" xfId="0" applyNumberFormat="1" applyFont="1" applyFill="1" applyAlignment="1">
      <alignment horizontal="center" vertical="center" wrapText="1"/>
    </xf>
    <xf numFmtId="4" fontId="8" fillId="8" borderId="0" xfId="0" applyNumberFormat="1" applyFont="1" applyFill="1" applyAlignment="1">
      <alignment vertical="center" wrapText="1"/>
    </xf>
    <xf numFmtId="10" fontId="13" fillId="0" borderId="0" xfId="0" applyNumberFormat="1" applyFont="1"/>
    <xf numFmtId="10" fontId="13" fillId="0" borderId="8" xfId="0" applyNumberFormat="1" applyFont="1" applyBorder="1" applyAlignment="1" applyProtection="1">
      <alignment vertical="center"/>
      <protection locked="0"/>
    </xf>
    <xf numFmtId="166" fontId="5" fillId="2" borderId="5" xfId="0" applyNumberFormat="1" applyFont="1" applyFill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166" fontId="5" fillId="2" borderId="64" xfId="0" applyNumberFormat="1" applyFont="1" applyFill="1" applyBorder="1" applyAlignment="1">
      <alignment horizontal="right" vertical="center"/>
    </xf>
    <xf numFmtId="4" fontId="4" fillId="0" borderId="64" xfId="1" applyNumberFormat="1" applyFont="1" applyFill="1" applyBorder="1" applyAlignment="1">
      <alignment horizontal="right" vertical="center"/>
    </xf>
    <xf numFmtId="4" fontId="4" fillId="0" borderId="64" xfId="1" applyNumberFormat="1" applyFont="1" applyBorder="1" applyAlignment="1">
      <alignment horizontal="right" vertical="center"/>
    </xf>
    <xf numFmtId="165" fontId="4" fillId="0" borderId="29" xfId="0" applyNumberFormat="1" applyFont="1" applyBorder="1" applyAlignment="1">
      <alignment vertical="center"/>
    </xf>
    <xf numFmtId="4" fontId="4" fillId="0" borderId="64" xfId="0" applyNumberFormat="1" applyFont="1" applyBorder="1" applyAlignment="1">
      <alignment vertical="center"/>
    </xf>
    <xf numFmtId="164" fontId="0" fillId="0" borderId="1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right"/>
    </xf>
    <xf numFmtId="9" fontId="0" fillId="0" borderId="0" xfId="2" applyFont="1"/>
    <xf numFmtId="0" fontId="8" fillId="17" borderId="16" xfId="3" applyFont="1" applyFill="1" applyBorder="1" applyAlignment="1">
      <alignment horizontal="center" vertical="center" wrapText="1"/>
    </xf>
    <xf numFmtId="0" fontId="8" fillId="17" borderId="17" xfId="3" applyFont="1" applyFill="1" applyBorder="1" applyAlignment="1">
      <alignment horizontal="center" vertical="center" wrapText="1"/>
    </xf>
    <xf numFmtId="17" fontId="8" fillId="23" borderId="1" xfId="0" applyNumberFormat="1" applyFont="1" applyFill="1" applyBorder="1" applyAlignment="1">
      <alignment vertical="center" wrapText="1"/>
    </xf>
    <xf numFmtId="165" fontId="4" fillId="20" borderId="0" xfId="0" applyNumberFormat="1" applyFont="1" applyFill="1" applyAlignment="1">
      <alignment vertical="center"/>
    </xf>
    <xf numFmtId="0" fontId="8" fillId="4" borderId="0" xfId="0" applyFont="1" applyFill="1" applyAlignment="1">
      <alignment horizontal="right" vertical="center"/>
    </xf>
    <xf numFmtId="10" fontId="4" fillId="0" borderId="0" xfId="2" applyNumberFormat="1" applyFont="1" applyAlignment="1">
      <alignment vertical="center"/>
    </xf>
    <xf numFmtId="0" fontId="44" fillId="0" borderId="0" xfId="0" applyFont="1"/>
    <xf numFmtId="3" fontId="4" fillId="0" borderId="0" xfId="0" applyNumberFormat="1" applyFont="1" applyAlignment="1">
      <alignment horizontal="center" vertical="center" wrapText="1"/>
    </xf>
    <xf numFmtId="0" fontId="8" fillId="33" borderId="0" xfId="0" applyFont="1" applyFill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9" fontId="13" fillId="0" borderId="0" xfId="2" applyFont="1"/>
    <xf numFmtId="168" fontId="13" fillId="0" borderId="0" xfId="2" applyNumberFormat="1" applyFont="1"/>
    <xf numFmtId="168" fontId="4" fillId="0" borderId="0" xfId="2" applyNumberFormat="1" applyFont="1" applyAlignment="1">
      <alignment vertical="center" wrapText="1"/>
    </xf>
    <xf numFmtId="168" fontId="7" fillId="0" borderId="1" xfId="2" applyNumberFormat="1" applyFont="1" applyBorder="1" applyAlignment="1">
      <alignment vertical="center" wrapText="1"/>
    </xf>
    <xf numFmtId="168" fontId="4" fillId="5" borderId="0" xfId="2" applyNumberFormat="1" applyFont="1" applyFill="1" applyAlignment="1">
      <alignment horizontal="right" vertical="center"/>
    </xf>
    <xf numFmtId="40" fontId="4" fillId="5" borderId="49" xfId="0" applyNumberFormat="1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vertical="center" wrapText="1"/>
    </xf>
    <xf numFmtId="43" fontId="4" fillId="0" borderId="0" xfId="1" applyFont="1"/>
    <xf numFmtId="4" fontId="4" fillId="0" borderId="0" xfId="2" applyNumberFormat="1" applyFont="1"/>
    <xf numFmtId="175" fontId="4" fillId="0" borderId="0" xfId="0" applyNumberFormat="1" applyFont="1"/>
    <xf numFmtId="0" fontId="8" fillId="12" borderId="0" xfId="0" applyFont="1" applyFill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3" fontId="4" fillId="0" borderId="55" xfId="0" applyNumberFormat="1" applyFont="1" applyBorder="1"/>
    <xf numFmtId="3" fontId="4" fillId="0" borderId="8" xfId="0" applyNumberFormat="1" applyFont="1" applyBorder="1"/>
    <xf numFmtId="3" fontId="4" fillId="0" borderId="11" xfId="0" applyNumberFormat="1" applyFont="1" applyBorder="1"/>
    <xf numFmtId="164" fontId="4" fillId="0" borderId="29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4" fontId="4" fillId="0" borderId="0" xfId="2" applyNumberFormat="1" applyFont="1" applyFill="1"/>
    <xf numFmtId="173" fontId="4" fillId="0" borderId="0" xfId="1" applyNumberFormat="1" applyFont="1" applyFill="1" applyAlignment="1">
      <alignment vertical="center"/>
    </xf>
    <xf numFmtId="173" fontId="4" fillId="0" borderId="0" xfId="1" applyNumberFormat="1" applyFont="1" applyFill="1" applyAlignment="1">
      <alignment vertical="center" wrapText="1"/>
    </xf>
    <xf numFmtId="9" fontId="15" fillId="0" borderId="0" xfId="2" applyFont="1" applyFill="1" applyAlignment="1">
      <alignment vertical="center" wrapText="1"/>
    </xf>
    <xf numFmtId="10" fontId="7" fillId="6" borderId="1" xfId="1" applyNumberFormat="1" applyFont="1" applyFill="1" applyBorder="1" applyAlignment="1">
      <alignment horizontal="right" vertical="center" wrapText="1"/>
    </xf>
    <xf numFmtId="17" fontId="8" fillId="11" borderId="2" xfId="0" applyNumberFormat="1" applyFont="1" applyFill="1" applyBorder="1"/>
    <xf numFmtId="17" fontId="8" fillId="21" borderId="2" xfId="0" applyNumberFormat="1" applyFont="1" applyFill="1" applyBorder="1"/>
    <xf numFmtId="17" fontId="8" fillId="20" borderId="2" xfId="0" applyNumberFormat="1" applyFont="1" applyFill="1" applyBorder="1"/>
    <xf numFmtId="17" fontId="8" fillId="19" borderId="20" xfId="0" applyNumberFormat="1" applyFont="1" applyFill="1" applyBorder="1"/>
    <xf numFmtId="17" fontId="8" fillId="19" borderId="2" xfId="0" applyNumberFormat="1" applyFont="1" applyFill="1" applyBorder="1"/>
    <xf numFmtId="17" fontId="8" fillId="10" borderId="20" xfId="0" applyNumberFormat="1" applyFont="1" applyFill="1" applyBorder="1"/>
    <xf numFmtId="17" fontId="8" fillId="10" borderId="2" xfId="0" applyNumberFormat="1" applyFont="1" applyFill="1" applyBorder="1"/>
    <xf numFmtId="17" fontId="8" fillId="10" borderId="2" xfId="0" applyNumberFormat="1" applyFont="1" applyFill="1" applyBorder="1" applyAlignment="1">
      <alignment vertical="center" wrapText="1"/>
    </xf>
    <xf numFmtId="17" fontId="8" fillId="20" borderId="2" xfId="0" applyNumberFormat="1" applyFont="1" applyFill="1" applyBorder="1" applyAlignment="1">
      <alignment vertical="center" wrapText="1"/>
    </xf>
    <xf numFmtId="0" fontId="8" fillId="0" borderId="0" xfId="5" applyFont="1"/>
    <xf numFmtId="0" fontId="8" fillId="0" borderId="19" xfId="0" applyFont="1" applyBorder="1" applyAlignment="1">
      <alignment vertical="center"/>
    </xf>
    <xf numFmtId="3" fontId="7" fillId="6" borderId="6" xfId="1" applyNumberFormat="1" applyFont="1" applyFill="1" applyBorder="1" applyAlignment="1">
      <alignment horizontal="right" vertical="center"/>
    </xf>
    <xf numFmtId="3" fontId="7" fillId="0" borderId="6" xfId="1" applyNumberFormat="1" applyFont="1" applyBorder="1" applyAlignment="1">
      <alignment horizontal="right" vertical="center"/>
    </xf>
    <xf numFmtId="3" fontId="7" fillId="0" borderId="6" xfId="1" applyNumberFormat="1" applyFont="1" applyFill="1" applyBorder="1" applyAlignment="1">
      <alignment horizontal="right" vertical="center"/>
    </xf>
    <xf numFmtId="3" fontId="7" fillId="0" borderId="1" xfId="1" applyNumberFormat="1" applyFont="1" applyFill="1" applyBorder="1" applyAlignment="1">
      <alignment horizontal="right" vertical="center"/>
    </xf>
    <xf numFmtId="3" fontId="4" fillId="6" borderId="1" xfId="1" applyNumberFormat="1" applyFont="1" applyFill="1" applyBorder="1" applyAlignment="1">
      <alignment vertical="center"/>
    </xf>
    <xf numFmtId="3" fontId="7" fillId="6" borderId="1" xfId="1" applyNumberFormat="1" applyFont="1" applyFill="1" applyBorder="1" applyAlignment="1">
      <alignment horizontal="right" vertical="center"/>
    </xf>
    <xf numFmtId="3" fontId="7" fillId="6" borderId="1" xfId="1" applyNumberFormat="1" applyFont="1" applyFill="1" applyBorder="1" applyAlignment="1">
      <alignment horizontal="right" vertical="center" wrapText="1"/>
    </xf>
    <xf numFmtId="3" fontId="7" fillId="0" borderId="1" xfId="1" applyNumberFormat="1" applyFont="1" applyBorder="1" applyAlignment="1">
      <alignment horizontal="right" vertical="center" wrapText="1"/>
    </xf>
    <xf numFmtId="3" fontId="4" fillId="0" borderId="0" xfId="1" applyNumberFormat="1" applyFont="1" applyAlignment="1">
      <alignment vertical="center"/>
    </xf>
    <xf numFmtId="3" fontId="4" fillId="0" borderId="0" xfId="1" applyNumberFormat="1" applyFont="1" applyFill="1" applyAlignment="1">
      <alignment vertical="center"/>
    </xf>
    <xf numFmtId="3" fontId="7" fillId="6" borderId="2" xfId="1" applyNumberFormat="1" applyFont="1" applyFill="1" applyBorder="1" applyAlignment="1">
      <alignment horizontal="right" vertical="center"/>
    </xf>
    <xf numFmtId="0" fontId="16" fillId="34" borderId="66" xfId="0" applyFont="1" applyFill="1" applyBorder="1" applyAlignment="1">
      <alignment horizontal="center" vertical="center" wrapText="1"/>
    </xf>
    <xf numFmtId="0" fontId="16" fillId="31" borderId="66" xfId="0" applyFont="1" applyFill="1" applyBorder="1" applyAlignment="1">
      <alignment horizontal="center" vertical="center" wrapText="1"/>
    </xf>
    <xf numFmtId="0" fontId="8" fillId="9" borderId="51" xfId="3" applyFont="1" applyFill="1" applyBorder="1" applyAlignment="1">
      <alignment horizontal="center" vertical="center" wrapText="1"/>
    </xf>
    <xf numFmtId="0" fontId="8" fillId="16" borderId="49" xfId="0" applyFont="1" applyFill="1" applyBorder="1" applyAlignment="1">
      <alignment horizontal="center" vertical="center" wrapText="1"/>
    </xf>
    <xf numFmtId="0" fontId="8" fillId="14" borderId="49" xfId="3" applyFont="1" applyFill="1" applyBorder="1" applyAlignment="1">
      <alignment horizontal="center" vertical="center" wrapText="1"/>
    </xf>
    <xf numFmtId="0" fontId="8" fillId="4" borderId="49" xfId="3" applyFont="1" applyFill="1" applyBorder="1" applyAlignment="1">
      <alignment horizontal="center" vertical="center" wrapText="1"/>
    </xf>
    <xf numFmtId="0" fontId="8" fillId="15" borderId="49" xfId="3" applyFont="1" applyFill="1" applyBorder="1" applyAlignment="1">
      <alignment horizontal="center" vertical="center" wrapText="1"/>
    </xf>
    <xf numFmtId="3" fontId="4" fillId="9" borderId="20" xfId="3" applyNumberFormat="1" applyFont="1" applyFill="1" applyBorder="1" applyAlignment="1">
      <alignment vertical="center" wrapText="1"/>
    </xf>
    <xf numFmtId="0" fontId="7" fillId="18" borderId="5" xfId="0" applyFont="1" applyFill="1" applyBorder="1" applyAlignment="1">
      <alignment vertical="center" wrapText="1"/>
    </xf>
    <xf numFmtId="3" fontId="4" fillId="9" borderId="2" xfId="3" applyNumberFormat="1" applyFont="1" applyFill="1" applyBorder="1" applyAlignment="1">
      <alignment vertical="center" wrapText="1"/>
    </xf>
    <xf numFmtId="3" fontId="7" fillId="9" borderId="2" xfId="3" applyNumberFormat="1" applyFont="1" applyFill="1" applyBorder="1" applyAlignment="1">
      <alignment vertical="center" wrapText="1"/>
    </xf>
    <xf numFmtId="0" fontId="1" fillId="20" borderId="1" xfId="0" applyFont="1" applyFill="1" applyBorder="1" applyAlignment="1">
      <alignment vertical="center" wrapText="1"/>
    </xf>
    <xf numFmtId="3" fontId="4" fillId="9" borderId="1" xfId="3" applyNumberFormat="1" applyFont="1" applyFill="1" applyBorder="1" applyAlignment="1">
      <alignment vertical="center" wrapText="1"/>
    </xf>
    <xf numFmtId="3" fontId="7" fillId="9" borderId="1" xfId="3" applyNumberFormat="1" applyFont="1" applyFill="1" applyBorder="1" applyAlignment="1">
      <alignment vertical="center" wrapText="1"/>
    </xf>
    <xf numFmtId="3" fontId="4" fillId="9" borderId="0" xfId="0" applyNumberFormat="1" applyFont="1" applyFill="1" applyAlignment="1">
      <alignment vertical="center" wrapText="1"/>
    </xf>
    <xf numFmtId="9" fontId="4" fillId="0" borderId="0" xfId="2" applyFont="1" applyAlignment="1">
      <alignment vertical="center" wrapText="1"/>
    </xf>
    <xf numFmtId="9" fontId="4" fillId="9" borderId="0" xfId="2" applyFont="1" applyFill="1" applyAlignment="1">
      <alignment vertical="center" wrapText="1"/>
    </xf>
    <xf numFmtId="0" fontId="16" fillId="31" borderId="15" xfId="0" applyFont="1" applyFill="1" applyBorder="1" applyAlignment="1">
      <alignment horizontal="center" vertical="center" wrapText="1"/>
    </xf>
    <xf numFmtId="0" fontId="27" fillId="17" borderId="17" xfId="3" applyFont="1" applyFill="1" applyBorder="1" applyAlignment="1">
      <alignment horizontal="center" vertical="center" wrapText="1"/>
    </xf>
    <xf numFmtId="165" fontId="4" fillId="4" borderId="0" xfId="0" applyNumberFormat="1" applyFont="1" applyFill="1" applyAlignment="1">
      <alignment vertical="center"/>
    </xf>
    <xf numFmtId="3" fontId="4" fillId="4" borderId="0" xfId="0" applyNumberFormat="1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right" vertical="center" wrapText="1"/>
    </xf>
    <xf numFmtId="17" fontId="8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8" fillId="4" borderId="0" xfId="0" applyNumberFormat="1" applyFont="1" applyFill="1" applyAlignment="1">
      <alignment vertical="center"/>
    </xf>
    <xf numFmtId="0" fontId="14" fillId="0" borderId="0" xfId="5" applyAlignment="1">
      <alignment vertical="center"/>
    </xf>
    <xf numFmtId="165" fontId="15" fillId="4" borderId="0" xfId="0" applyNumberFormat="1" applyFont="1" applyFill="1" applyAlignment="1">
      <alignment vertical="center"/>
    </xf>
    <xf numFmtId="0" fontId="8" fillId="2" borderId="14" xfId="3" applyFont="1" applyFill="1" applyBorder="1" applyAlignment="1">
      <alignment horizontal="center" vertical="center" wrapText="1"/>
    </xf>
    <xf numFmtId="166" fontId="5" fillId="27" borderId="6" xfId="0" applyNumberFormat="1" applyFont="1" applyFill="1" applyBorder="1" applyAlignment="1">
      <alignment horizontal="right" vertical="center"/>
    </xf>
    <xf numFmtId="166" fontId="5" fillId="21" borderId="6" xfId="0" applyNumberFormat="1" applyFont="1" applyFill="1" applyBorder="1" applyAlignment="1">
      <alignment horizontal="right" vertical="center"/>
    </xf>
    <xf numFmtId="166" fontId="5" fillId="20" borderId="6" xfId="0" applyNumberFormat="1" applyFont="1" applyFill="1" applyBorder="1" applyAlignment="1">
      <alignment horizontal="right" vertical="center"/>
    </xf>
    <xf numFmtId="166" fontId="5" fillId="23" borderId="6" xfId="0" applyNumberFormat="1" applyFont="1" applyFill="1" applyBorder="1" applyAlignment="1">
      <alignment horizontal="right" vertical="center"/>
    </xf>
    <xf numFmtId="166" fontId="5" fillId="21" borderId="54" xfId="0" applyNumberFormat="1" applyFont="1" applyFill="1" applyBorder="1" applyAlignment="1">
      <alignment horizontal="right" vertical="center"/>
    </xf>
    <xf numFmtId="166" fontId="5" fillId="20" borderId="54" xfId="0" applyNumberFormat="1" applyFont="1" applyFill="1" applyBorder="1" applyAlignment="1">
      <alignment horizontal="right" vertical="center"/>
    </xf>
    <xf numFmtId="172" fontId="7" fillId="0" borderId="0" xfId="0" applyNumberFormat="1" applyFont="1" applyAlignment="1">
      <alignment horizontal="right" vertical="center" wrapText="1"/>
    </xf>
    <xf numFmtId="17" fontId="8" fillId="20" borderId="1" xfId="3" applyNumberFormat="1" applyFont="1" applyFill="1" applyBorder="1" applyAlignment="1">
      <alignment vertical="center" wrapText="1"/>
    </xf>
    <xf numFmtId="17" fontId="8" fillId="23" borderId="1" xfId="3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right" vertical="center" wrapText="1"/>
    </xf>
    <xf numFmtId="3" fontId="13" fillId="4" borderId="0" xfId="0" applyNumberFormat="1" applyFont="1" applyFill="1" applyAlignment="1">
      <alignment vertical="center" wrapText="1"/>
    </xf>
    <xf numFmtId="168" fontId="13" fillId="4" borderId="0" xfId="2" applyNumberFormat="1" applyFont="1" applyFill="1" applyAlignment="1">
      <alignment vertical="center" wrapText="1"/>
    </xf>
    <xf numFmtId="173" fontId="4" fillId="0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173" fontId="4" fillId="0" borderId="0" xfId="1" applyNumberFormat="1" applyFont="1" applyFill="1" applyAlignment="1">
      <alignment horizontal="left" vertical="center" wrapText="1"/>
    </xf>
    <xf numFmtId="173" fontId="15" fillId="0" borderId="0" xfId="1" applyNumberFormat="1" applyFont="1" applyFill="1" applyAlignment="1">
      <alignment vertical="center" wrapText="1"/>
    </xf>
    <xf numFmtId="173" fontId="15" fillId="0" borderId="0" xfId="2" applyNumberFormat="1" applyFont="1" applyFill="1" applyAlignment="1">
      <alignment vertical="center"/>
    </xf>
    <xf numFmtId="9" fontId="15" fillId="0" borderId="0" xfId="2" applyFont="1" applyFill="1" applyAlignment="1">
      <alignment vertical="center"/>
    </xf>
    <xf numFmtId="173" fontId="15" fillId="0" borderId="0" xfId="2" applyNumberFormat="1" applyFont="1" applyFill="1" applyAlignment="1">
      <alignment vertical="center" wrapText="1"/>
    </xf>
    <xf numFmtId="3" fontId="15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3" fontId="15" fillId="0" borderId="17" xfId="0" applyNumberFormat="1" applyFont="1" applyBorder="1" applyAlignment="1">
      <alignment vertical="center" wrapText="1"/>
    </xf>
    <xf numFmtId="3" fontId="15" fillId="0" borderId="51" xfId="0" applyNumberFormat="1" applyFont="1" applyBorder="1" applyAlignment="1">
      <alignment vertical="center" wrapText="1"/>
    </xf>
    <xf numFmtId="3" fontId="4" fillId="0" borderId="55" xfId="0" applyNumberFormat="1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0" fontId="37" fillId="5" borderId="39" xfId="0" applyNumberFormat="1" applyFont="1" applyFill="1" applyBorder="1" applyAlignment="1">
      <alignment horizontal="center" vertical="center"/>
    </xf>
    <xf numFmtId="40" fontId="37" fillId="5" borderId="40" xfId="0" applyNumberFormat="1" applyFont="1" applyFill="1" applyBorder="1" applyAlignment="1">
      <alignment horizontal="center" vertical="center"/>
    </xf>
    <xf numFmtId="40" fontId="37" fillId="5" borderId="35" xfId="0" applyNumberFormat="1" applyFont="1" applyFill="1" applyBorder="1" applyAlignment="1">
      <alignment horizontal="center" vertical="center" wrapText="1"/>
    </xf>
    <xf numFmtId="40" fontId="37" fillId="5" borderId="42" xfId="0" applyNumberFormat="1" applyFont="1" applyFill="1" applyBorder="1" applyAlignment="1">
      <alignment horizontal="center" vertical="center" wrapText="1"/>
    </xf>
    <xf numFmtId="40" fontId="37" fillId="5" borderId="20" xfId="0" applyNumberFormat="1" applyFont="1" applyFill="1" applyBorder="1" applyAlignment="1">
      <alignment horizontal="center" vertical="center" wrapText="1"/>
    </xf>
    <xf numFmtId="40" fontId="37" fillId="5" borderId="41" xfId="0" applyNumberFormat="1" applyFont="1" applyFill="1" applyBorder="1" applyAlignment="1">
      <alignment horizontal="center" vertical="center" wrapText="1"/>
    </xf>
    <xf numFmtId="40" fontId="36" fillId="5" borderId="4" xfId="0" applyNumberFormat="1" applyFont="1" applyFill="1" applyBorder="1" applyAlignment="1">
      <alignment horizontal="center" vertical="center" wrapText="1"/>
    </xf>
    <xf numFmtId="40" fontId="36" fillId="5" borderId="5" xfId="0" applyNumberFormat="1" applyFont="1" applyFill="1" applyBorder="1" applyAlignment="1">
      <alignment horizontal="center" vertical="center" wrapText="1"/>
    </xf>
    <xf numFmtId="40" fontId="37" fillId="5" borderId="35" xfId="0" applyNumberFormat="1" applyFont="1" applyFill="1" applyBorder="1" applyAlignment="1">
      <alignment horizontal="center" vertical="center"/>
    </xf>
    <xf numFmtId="40" fontId="37" fillId="5" borderId="42" xfId="0" applyNumberFormat="1" applyFont="1" applyFill="1" applyBorder="1" applyAlignment="1">
      <alignment horizontal="center" vertical="center"/>
    </xf>
    <xf numFmtId="40" fontId="37" fillId="5" borderId="20" xfId="0" applyNumberFormat="1" applyFont="1" applyFill="1" applyBorder="1" applyAlignment="1">
      <alignment horizontal="center" vertical="center"/>
    </xf>
    <xf numFmtId="40" fontId="37" fillId="5" borderId="41" xfId="0" applyNumberFormat="1" applyFont="1" applyFill="1" applyBorder="1" applyAlignment="1">
      <alignment horizontal="center" vertical="center"/>
    </xf>
    <xf numFmtId="40" fontId="36" fillId="5" borderId="43" xfId="0" applyNumberFormat="1" applyFont="1" applyFill="1" applyBorder="1" applyAlignment="1">
      <alignment horizontal="center" vertical="center"/>
    </xf>
    <xf numFmtId="40" fontId="36" fillId="5" borderId="44" xfId="0" applyNumberFormat="1" applyFont="1" applyFill="1" applyBorder="1" applyAlignment="1">
      <alignment horizontal="center" vertical="center"/>
    </xf>
    <xf numFmtId="40" fontId="37" fillId="5" borderId="36" xfId="0" applyNumberFormat="1" applyFont="1" applyFill="1" applyBorder="1" applyAlignment="1">
      <alignment horizontal="center" vertical="center" wrapText="1"/>
    </xf>
    <xf numFmtId="40" fontId="37" fillId="5" borderId="37" xfId="0" applyNumberFormat="1" applyFont="1" applyFill="1" applyBorder="1" applyAlignment="1">
      <alignment horizontal="center" vertical="center" wrapText="1"/>
    </xf>
    <xf numFmtId="40" fontId="37" fillId="5" borderId="56" xfId="0" applyNumberFormat="1" applyFont="1" applyFill="1" applyBorder="1" applyAlignment="1">
      <alignment horizontal="center" vertical="center" wrapText="1"/>
    </xf>
    <xf numFmtId="40" fontId="37" fillId="5" borderId="2" xfId="0" applyNumberFormat="1" applyFont="1" applyFill="1" applyBorder="1" applyAlignment="1">
      <alignment horizontal="center" vertical="center"/>
    </xf>
    <xf numFmtId="40" fontId="37" fillId="5" borderId="10" xfId="0" applyNumberFormat="1" applyFont="1" applyFill="1" applyBorder="1" applyAlignment="1">
      <alignment horizontal="center" vertical="center"/>
    </xf>
    <xf numFmtId="40" fontId="37" fillId="5" borderId="3" xfId="0" applyNumberFormat="1" applyFont="1" applyFill="1" applyBorder="1" applyAlignment="1">
      <alignment horizontal="center" vertical="center"/>
    </xf>
    <xf numFmtId="4" fontId="4" fillId="5" borderId="2" xfId="0" applyNumberFormat="1" applyFont="1" applyFill="1" applyBorder="1" applyAlignment="1">
      <alignment horizontal="center" vertical="center" wrapText="1"/>
    </xf>
    <xf numFmtId="4" fontId="4" fillId="5" borderId="62" xfId="0" applyNumberFormat="1" applyFont="1" applyFill="1" applyBorder="1" applyAlignment="1">
      <alignment horizontal="center" vertical="center" wrapText="1"/>
    </xf>
    <xf numFmtId="4" fontId="4" fillId="5" borderId="13" xfId="0" applyNumberFormat="1" applyFont="1" applyFill="1" applyBorder="1" applyAlignment="1">
      <alignment horizontal="center" vertical="center" wrapText="1"/>
    </xf>
    <xf numFmtId="4" fontId="4" fillId="5" borderId="42" xfId="0" applyNumberFormat="1" applyFont="1" applyFill="1" applyBorder="1" applyAlignment="1">
      <alignment horizontal="center" vertical="center" wrapText="1"/>
    </xf>
    <xf numFmtId="4" fontId="8" fillId="5" borderId="52" xfId="0" applyNumberFormat="1" applyFont="1" applyFill="1" applyBorder="1" applyAlignment="1">
      <alignment horizontal="center" vertical="center"/>
    </xf>
    <xf numFmtId="4" fontId="8" fillId="5" borderId="63" xfId="0" applyNumberFormat="1" applyFont="1" applyFill="1" applyBorder="1" applyAlignment="1">
      <alignment horizontal="center" vertical="center"/>
    </xf>
    <xf numFmtId="4" fontId="4" fillId="5" borderId="17" xfId="0" applyNumberFormat="1" applyFont="1" applyFill="1" applyBorder="1" applyAlignment="1">
      <alignment horizontal="center" vertical="center" wrapText="1"/>
    </xf>
    <xf numFmtId="4" fontId="4" fillId="5" borderId="50" xfId="0" applyNumberFormat="1" applyFont="1" applyFill="1" applyBorder="1" applyAlignment="1">
      <alignment horizontal="center" vertical="center" wrapText="1"/>
    </xf>
    <xf numFmtId="4" fontId="4" fillId="5" borderId="51" xfId="0" applyNumberFormat="1" applyFont="1" applyFill="1" applyBorder="1" applyAlignment="1">
      <alignment horizontal="center" vertical="center" wrapText="1"/>
    </xf>
    <xf numFmtId="40" fontId="4" fillId="5" borderId="39" xfId="0" applyNumberFormat="1" applyFont="1" applyFill="1" applyBorder="1" applyAlignment="1">
      <alignment horizontal="center" vertical="center"/>
    </xf>
    <xf numFmtId="40" fontId="4" fillId="5" borderId="40" xfId="0" applyNumberFormat="1" applyFont="1" applyFill="1" applyBorder="1" applyAlignment="1">
      <alignment horizontal="center" vertical="center"/>
    </xf>
    <xf numFmtId="4" fontId="4" fillId="5" borderId="23" xfId="0" applyNumberFormat="1" applyFont="1" applyFill="1" applyBorder="1" applyAlignment="1">
      <alignment horizontal="center" vertical="center" wrapText="1"/>
    </xf>
    <xf numFmtId="4" fontId="4" fillId="5" borderId="53" xfId="0" applyNumberFormat="1" applyFont="1" applyFill="1" applyBorder="1" applyAlignment="1">
      <alignment horizontal="center" vertical="center" wrapText="1"/>
    </xf>
    <xf numFmtId="4" fontId="4" fillId="5" borderId="26" xfId="0" applyNumberFormat="1" applyFont="1" applyFill="1" applyBorder="1" applyAlignment="1">
      <alignment horizontal="center" vertical="center" wrapText="1"/>
    </xf>
    <xf numFmtId="4" fontId="4" fillId="5" borderId="8" xfId="0" applyNumberFormat="1" applyFont="1" applyFill="1" applyBorder="1" applyAlignment="1">
      <alignment horizontal="center" vertical="center" wrapText="1"/>
    </xf>
    <xf numFmtId="4" fontId="4" fillId="5" borderId="25" xfId="0" applyNumberFormat="1" applyFont="1" applyFill="1" applyBorder="1" applyAlignment="1">
      <alignment horizontal="center" vertical="center" wrapText="1"/>
    </xf>
    <xf numFmtId="4" fontId="4" fillId="5" borderId="27" xfId="0" applyNumberFormat="1" applyFont="1" applyFill="1" applyBorder="1" applyAlignment="1">
      <alignment horizontal="center" vertical="center" wrapText="1"/>
    </xf>
    <xf numFmtId="4" fontId="8" fillId="5" borderId="52" xfId="0" applyNumberFormat="1" applyFont="1" applyFill="1" applyBorder="1" applyAlignment="1">
      <alignment horizontal="center" vertical="center" wrapText="1"/>
    </xf>
    <xf numFmtId="4" fontId="8" fillId="5" borderId="63" xfId="0" applyNumberFormat="1" applyFont="1" applyFill="1" applyBorder="1" applyAlignment="1">
      <alignment horizontal="center" vertical="center" wrapText="1"/>
    </xf>
    <xf numFmtId="3" fontId="4" fillId="5" borderId="24" xfId="0" applyNumberFormat="1" applyFont="1" applyFill="1" applyBorder="1" applyAlignment="1">
      <alignment horizontal="center" vertical="center" wrapText="1"/>
    </xf>
    <xf numFmtId="3" fontId="4" fillId="5" borderId="0" xfId="0" applyNumberFormat="1" applyFont="1" applyFill="1" applyAlignment="1">
      <alignment horizontal="center" vertical="center" wrapText="1"/>
    </xf>
    <xf numFmtId="4" fontId="8" fillId="5" borderId="25" xfId="0" applyNumberFormat="1" applyFont="1" applyFill="1" applyBorder="1" applyAlignment="1">
      <alignment horizontal="center" vertical="center" wrapText="1"/>
    </xf>
    <xf numFmtId="4" fontId="8" fillId="5" borderId="27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6" fillId="32" borderId="0" xfId="7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73" fontId="4" fillId="0" borderId="0" xfId="1" applyNumberFormat="1" applyFont="1" applyFill="1" applyAlignment="1">
      <alignment horizontal="left" vertical="center" wrapText="1"/>
    </xf>
    <xf numFmtId="173" fontId="4" fillId="0" borderId="0" xfId="1" applyNumberFormat="1" applyFont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8">
    <cellStyle name="Bad" xfId="7" builtinId="27"/>
    <cellStyle name="Comma" xfId="1" builtinId="3"/>
    <cellStyle name="Hyperlink" xfId="5" builtinId="8"/>
    <cellStyle name="Normal" xfId="0" builtinId="0"/>
    <cellStyle name="Normal 2" xfId="3" xr:uid="{942EC5A8-FF38-9A4E-BA43-05A2026DEABF}"/>
    <cellStyle name="Normal 3" xfId="6" xr:uid="{1B1E7881-5B5F-4B83-93C5-7EE14298A3C1}"/>
    <cellStyle name="Per cent" xfId="2" builtinId="5"/>
    <cellStyle name="一般 2" xfId="4" xr:uid="{216CEA07-18BC-E944-94E9-9C48DDA71644}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56D92"/>
      <color rgb="FFFFEB4E"/>
      <color rgb="FF00FF09"/>
      <color rgb="FFBAFFF3"/>
      <color rgb="FFB8E68E"/>
      <color rgb="FFF1FDA2"/>
      <color rgb="FFE1E68B"/>
      <color rgb="FFEEAEE9"/>
      <color rgb="FFA778E8"/>
      <color rgb="FFA498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Energy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'Annual Report (Energy)'!$D$1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(Energy)'!$D$2:$D$11</c:f>
              <c:numCache>
                <c:formatCode>#,##0</c:formatCode>
                <c:ptCount val="10"/>
                <c:pt idx="0">
                  <c:v>93067207</c:v>
                </c:pt>
                <c:pt idx="1">
                  <c:v>95800070</c:v>
                </c:pt>
                <c:pt idx="2">
                  <c:v>94486358</c:v>
                </c:pt>
                <c:pt idx="3">
                  <c:v>92966450</c:v>
                </c:pt>
                <c:pt idx="4">
                  <c:v>90186094</c:v>
                </c:pt>
                <c:pt idx="5">
                  <c:v>87353244</c:v>
                </c:pt>
                <c:pt idx="6">
                  <c:v>88318175</c:v>
                </c:pt>
                <c:pt idx="7">
                  <c:v>89692408</c:v>
                </c:pt>
                <c:pt idx="8">
                  <c:v>93932338</c:v>
                </c:pt>
                <c:pt idx="9">
                  <c:v>96709341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67-6B49-9DC9-49784AE71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247392"/>
        <c:axId val="754249120"/>
      </c:lineChart>
      <c:lineChart>
        <c:grouping val="standard"/>
        <c:varyColors val="0"/>
        <c:ser>
          <c:idx val="0"/>
          <c:order val="0"/>
          <c:tx>
            <c:strRef>
              <c:f>'Annual Report (Energy)'!$B$1</c:f>
              <c:strCache>
                <c:ptCount val="1"/>
                <c:pt idx="0">
                  <c:v>Liquid Fuels/Diesel</c:v>
                </c:pt>
              </c:strCache>
            </c:strRef>
          </c:tx>
          <c:spPr>
            <a:ln w="28575" cap="rnd">
              <a:solidFill>
                <a:srgbClr val="86BE4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6BE43"/>
              </a:solidFill>
              <a:ln w="12700">
                <a:solidFill>
                  <a:srgbClr val="86BE43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(Energy)'!$B$2:$B$11</c:f>
              <c:numCache>
                <c:formatCode>#,##0.0</c:formatCode>
                <c:ptCount val="10"/>
                <c:pt idx="0">
                  <c:v>280000</c:v>
                </c:pt>
                <c:pt idx="1">
                  <c:v>370000</c:v>
                </c:pt>
                <c:pt idx="2">
                  <c:v>201980.5</c:v>
                </c:pt>
                <c:pt idx="3">
                  <c:v>221452.21</c:v>
                </c:pt>
                <c:pt idx="4">
                  <c:v>205172.45</c:v>
                </c:pt>
                <c:pt idx="5">
                  <c:v>181092.19</c:v>
                </c:pt>
                <c:pt idx="6">
                  <c:v>224833.4</c:v>
                </c:pt>
                <c:pt idx="7">
                  <c:v>234812</c:v>
                </c:pt>
                <c:pt idx="8">
                  <c:v>292973.4277</c:v>
                </c:pt>
                <c:pt idx="9">
                  <c:v>243473.34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7-6B49-9DC9-49784AE71D49}"/>
            </c:ext>
          </c:extLst>
        </c:ser>
        <c:ser>
          <c:idx val="1"/>
          <c:order val="1"/>
          <c:tx>
            <c:strRef>
              <c:f>'Annual Report (Energy)'!$C$1</c:f>
              <c:strCache>
                <c:ptCount val="1"/>
                <c:pt idx="0">
                  <c:v>Towngas</c:v>
                </c:pt>
              </c:strCache>
            </c:strRef>
          </c:tx>
          <c:spPr>
            <a:ln w="28575" cap="rnd">
              <a:solidFill>
                <a:srgbClr val="00CA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CAF0"/>
              </a:solidFill>
              <a:ln w="12700">
                <a:solidFill>
                  <a:srgbClr val="00CAF0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(Energy)'!$C$2:$C$11</c:f>
              <c:numCache>
                <c:formatCode>#,##0.0</c:formatCode>
                <c:ptCount val="10"/>
                <c:pt idx="0">
                  <c:v>5874308</c:v>
                </c:pt>
                <c:pt idx="1">
                  <c:v>7232698</c:v>
                </c:pt>
                <c:pt idx="2">
                  <c:v>6584444</c:v>
                </c:pt>
                <c:pt idx="3">
                  <c:v>5665933</c:v>
                </c:pt>
                <c:pt idx="4">
                  <c:v>6128182</c:v>
                </c:pt>
                <c:pt idx="5">
                  <c:v>4520415</c:v>
                </c:pt>
                <c:pt idx="6">
                  <c:v>4701278</c:v>
                </c:pt>
                <c:pt idx="7">
                  <c:v>5113008</c:v>
                </c:pt>
                <c:pt idx="8">
                  <c:v>5491373</c:v>
                </c:pt>
                <c:pt idx="9">
                  <c:v>5826263.4049007529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67-6B49-9DC9-49784AE71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969136"/>
        <c:axId val="763966160"/>
      </c:lineChart>
      <c:catAx>
        <c:axId val="75424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249120"/>
        <c:crosses val="autoZero"/>
        <c:auto val="1"/>
        <c:lblAlgn val="ctr"/>
        <c:lblOffset val="100"/>
        <c:noMultiLvlLbl val="0"/>
      </c:catAx>
      <c:valAx>
        <c:axId val="754249120"/>
        <c:scaling>
          <c:orientation val="minMax"/>
          <c:max val="100000000"/>
          <c:min val="2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80]0;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247392"/>
        <c:crosses val="autoZero"/>
        <c:crossBetween val="between"/>
        <c:majorUnit val="5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>
                      <a:latin typeface="Arial" panose="020B0604020202020204" pitchFamily="34" charset="0"/>
                      <a:cs typeface="Arial" panose="020B0604020202020204" pitchFamily="34" charset="0"/>
                    </a:rPr>
                    <a:t>Million</a:t>
                  </a:r>
                  <a:r>
                    <a:rPr lang="en-GB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kWh</a:t>
                  </a:r>
                  <a:endParaRPr lang="en-GB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B"/>
              </a:p>
            </c:txPr>
          </c:dispUnitsLbl>
        </c:dispUnits>
      </c:valAx>
      <c:valAx>
        <c:axId val="763966160"/>
        <c:scaling>
          <c:orientation val="minMax"/>
          <c:max val="15000000"/>
        </c:scaling>
        <c:delete val="0"/>
        <c:axPos val="r"/>
        <c:numFmt formatCode="[&lt;=10]0;;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969136"/>
        <c:crosses val="max"/>
        <c:crossBetween val="between"/>
        <c:majorUnit val="1000000"/>
        <c:dispUnits>
          <c:builtInUnit val="millions"/>
        </c:dispUnits>
      </c:valAx>
      <c:catAx>
        <c:axId val="76396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966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Renewable Energy Generation Compared to Electricity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Report (Energy)'!$K$1</c:f>
              <c:strCache>
                <c:ptCount val="1"/>
                <c:pt idx="0">
                  <c:v>Electricity 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'Annual Report (Energy)'!$J$2:$J$12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(Energy)'!$K$2:$K$12</c:f>
              <c:numCache>
                <c:formatCode>#,##0</c:formatCode>
                <c:ptCount val="11"/>
                <c:pt idx="0">
                  <c:v>93067207</c:v>
                </c:pt>
                <c:pt idx="1">
                  <c:v>95800070</c:v>
                </c:pt>
                <c:pt idx="2">
                  <c:v>94486358</c:v>
                </c:pt>
                <c:pt idx="3">
                  <c:v>92966450</c:v>
                </c:pt>
                <c:pt idx="4">
                  <c:v>90186094</c:v>
                </c:pt>
                <c:pt idx="5">
                  <c:v>87353244</c:v>
                </c:pt>
                <c:pt idx="6">
                  <c:v>88318175</c:v>
                </c:pt>
                <c:pt idx="7">
                  <c:v>89692408</c:v>
                </c:pt>
                <c:pt idx="8">
                  <c:v>93932338</c:v>
                </c:pt>
                <c:pt idx="9">
                  <c:v>96709341</c:v>
                </c:pt>
                <c:pt idx="10">
                  <c:v>105238070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3-E045-8D94-BB5A2B2EE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475008"/>
        <c:axId val="485462912"/>
      </c:barChart>
      <c:lineChart>
        <c:grouping val="standard"/>
        <c:varyColors val="0"/>
        <c:ser>
          <c:idx val="1"/>
          <c:order val="1"/>
          <c:tx>
            <c:strRef>
              <c:f>'Annual Report (Energy)'!$L$1</c:f>
              <c:strCache>
                <c:ptCount val="1"/>
                <c:pt idx="0">
                  <c:v>Renewable Generation (kWh)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12700">
                <a:solidFill>
                  <a:srgbClr val="92D050"/>
                </a:solidFill>
              </a:ln>
              <a:effectLst/>
            </c:spPr>
          </c:marker>
          <c:cat>
            <c:strRef>
              <c:f>'Annual Report (Energy)'!$J$2:$J$12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(Energy)'!$L$2:$L$12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2920</c:v>
                </c:pt>
                <c:pt idx="6" formatCode="#,##0">
                  <c:v>391443</c:v>
                </c:pt>
                <c:pt idx="7" formatCode="#,##0">
                  <c:v>1912724</c:v>
                </c:pt>
                <c:pt idx="8" formatCode="#,##0">
                  <c:v>2319773</c:v>
                </c:pt>
                <c:pt idx="9" formatCode="#,##0">
                  <c:v>2334777</c:v>
                </c:pt>
                <c:pt idx="10" formatCode="#,##0">
                  <c:v>2728619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3-E045-8D94-BB5A2B2EE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722544"/>
        <c:axId val="1502200256"/>
      </c:lineChart>
      <c:catAx>
        <c:axId val="4854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5462912"/>
        <c:crosses val="autoZero"/>
        <c:auto val="1"/>
        <c:lblAlgn val="ctr"/>
        <c:lblOffset val="100"/>
        <c:noMultiLvlLbl val="0"/>
      </c:catAx>
      <c:valAx>
        <c:axId val="485462912"/>
        <c:scaling>
          <c:orientation val="minMax"/>
          <c:max val="1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5475008"/>
        <c:crosses val="autoZero"/>
        <c:crossBetween val="between"/>
        <c:majorUnit val="10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>
                      <a:latin typeface="Arial" panose="020B0604020202020204" pitchFamily="34" charset="0"/>
                      <a:cs typeface="Arial" panose="020B0604020202020204" pitchFamily="34" charset="0"/>
                    </a:rPr>
                    <a:t>Million</a:t>
                  </a:r>
                  <a:r>
                    <a:rPr lang="en-GB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kWh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15022002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2722544"/>
        <c:crosses val="max"/>
        <c:crossBetween val="between"/>
        <c:dispUnits>
          <c:builtInUnit val="millions"/>
        </c:dispUnits>
      </c:valAx>
      <c:catAx>
        <c:axId val="1472722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2200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&amp; 2 GHG Emissions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Report (Energy)'!$AE$1</c:f>
              <c:strCache>
                <c:ptCount val="1"/>
                <c:pt idx="0">
                  <c:v>Total S1&amp;2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(Energy)'!$AE$2:$AE$12</c:f>
              <c:numCache>
                <c:formatCode>#,##0.000</c:formatCode>
                <c:ptCount val="11"/>
                <c:pt idx="0">
                  <c:v>61233.387065652874</c:v>
                </c:pt>
                <c:pt idx="1">
                  <c:v>53623.842001102537</c:v>
                </c:pt>
                <c:pt idx="2">
                  <c:v>52655.500400613339</c:v>
                </c:pt>
                <c:pt idx="3">
                  <c:v>48812.938000415605</c:v>
                </c:pt>
                <c:pt idx="4">
                  <c:v>47481.825634589179</c:v>
                </c:pt>
                <c:pt idx="5">
                  <c:v>44850.269450658227</c:v>
                </c:pt>
                <c:pt idx="6">
                  <c:v>33904.269181722149</c:v>
                </c:pt>
                <c:pt idx="7">
                  <c:v>36252.173681919507</c:v>
                </c:pt>
                <c:pt idx="8">
                  <c:v>38013.728460178099</c:v>
                </c:pt>
                <c:pt idx="9">
                  <c:v>40466.06</c:v>
                </c:pt>
                <c:pt idx="10">
                  <c:v>41443.099556619316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B-034E-B0DC-08A228DE4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657856"/>
        <c:axId val="728659568"/>
      </c:barChart>
      <c:lineChart>
        <c:grouping val="standard"/>
        <c:varyColors val="0"/>
        <c:ser>
          <c:idx val="1"/>
          <c:order val="1"/>
          <c:tx>
            <c:strRef>
              <c:f>'Annual Report (Energy)'!$AG$1</c:f>
              <c:strCache>
                <c:ptCount val="1"/>
                <c:pt idx="0">
                  <c:v>Emissions per Capita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(Energy)'!$AG$2:$AG$12</c:f>
              <c:numCache>
                <c:formatCode>#,##0.0000</c:formatCode>
                <c:ptCount val="11"/>
                <c:pt idx="0">
                  <c:v>3.7474533087914854</c:v>
                </c:pt>
                <c:pt idx="1">
                  <c:v>3.2262705012395485</c:v>
                </c:pt>
                <c:pt idx="2">
                  <c:v>3.0437585132872824</c:v>
                </c:pt>
                <c:pt idx="3">
                  <c:v>2.7234043574310602</c:v>
                </c:pt>
                <c:pt idx="4">
                  <c:v>2.5654064691676353</c:v>
                </c:pt>
                <c:pt idx="5">
                  <c:v>2.5369234374488503</c:v>
                </c:pt>
                <c:pt idx="6">
                  <c:v>1.7195450211351702</c:v>
                </c:pt>
                <c:pt idx="7">
                  <c:v>1.7646971563023661</c:v>
                </c:pt>
                <c:pt idx="8">
                  <c:v>1.7683271368180722</c:v>
                </c:pt>
                <c:pt idx="9">
                  <c:v>1.8253443998376109</c:v>
                </c:pt>
                <c:pt idx="10">
                  <c:v>1.735691232425318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B-034E-B0DC-08A228DE4039}"/>
            </c:ext>
          </c:extLst>
        </c:ser>
        <c:ser>
          <c:idx val="2"/>
          <c:order val="2"/>
          <c:tx>
            <c:strRef>
              <c:f>'Annual Report (Energy)'!$AH$1</c:f>
              <c:strCache>
                <c:ptCount val="1"/>
                <c:pt idx="0">
                  <c:v>Emissions per GFA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(Energy)'!$AH$2:$AH$12</c:f>
              <c:numCache>
                <c:formatCode>#,##0.0000</c:formatCode>
                <c:ptCount val="11"/>
                <c:pt idx="0">
                  <c:v>1.2930420789433648</c:v>
                </c:pt>
                <c:pt idx="1">
                  <c:v>1.1169458219005084</c:v>
                </c:pt>
                <c:pt idx="2">
                  <c:v>1.0365255984372705</c:v>
                </c:pt>
                <c:pt idx="3">
                  <c:v>0.95222461083093912</c:v>
                </c:pt>
                <c:pt idx="4">
                  <c:v>0.92178901042936745</c:v>
                </c:pt>
                <c:pt idx="5">
                  <c:v>0.87070126183808516</c:v>
                </c:pt>
                <c:pt idx="6">
                  <c:v>0.60157150403609239</c:v>
                </c:pt>
                <c:pt idx="7">
                  <c:v>0.62719236967909153</c:v>
                </c:pt>
                <c:pt idx="8">
                  <c:v>0.65766899812940149</c:v>
                </c:pt>
                <c:pt idx="9">
                  <c:v>0.68902794521294342</c:v>
                </c:pt>
                <c:pt idx="10">
                  <c:v>0.70566429572715639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AB-034E-B0DC-08A228DE4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484832"/>
        <c:axId val="1607645008"/>
      </c:lineChart>
      <c:catAx>
        <c:axId val="7286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8659568"/>
        <c:crosses val="autoZero"/>
        <c:auto val="1"/>
        <c:lblAlgn val="ctr"/>
        <c:lblOffset val="100"/>
        <c:noMultiLvlLbl val="0"/>
      </c:catAx>
      <c:valAx>
        <c:axId val="728659568"/>
        <c:scaling>
          <c:orientation val="minMax"/>
          <c:max val="6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8657856"/>
        <c:crosses val="autoZero"/>
        <c:crossBetween val="between"/>
      </c:valAx>
      <c:valAx>
        <c:axId val="1607645008"/>
        <c:scaling>
          <c:orientation val="minMax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8484832"/>
        <c:crosses val="max"/>
        <c:crossBetween val="between"/>
      </c:valAx>
      <c:catAx>
        <c:axId val="1608484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7645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&amp; 2 GHG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Projection and Plans for 2045 and 2050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'Annual Report (Energy)'!$AK$1</c:f>
              <c:strCache>
                <c:ptCount val="1"/>
                <c:pt idx="0">
                  <c:v>Actual (including renewables)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Report (Energy)'!$AJ$2:$AJ$38</c:f>
              <c:numCache>
                <c:formatCode>General</c:formatCode>
                <c:ptCount val="3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</c:numCache>
            </c:numRef>
          </c:cat>
          <c:val>
            <c:numRef>
              <c:f>'Annual Report (Energy)'!$AK$2:$AK$38</c:f>
              <c:numCache>
                <c:formatCode>#,##0</c:formatCode>
                <c:ptCount val="37"/>
                <c:pt idx="0">
                  <c:v>61233</c:v>
                </c:pt>
                <c:pt idx="1">
                  <c:v>53624</c:v>
                </c:pt>
                <c:pt idx="2">
                  <c:v>52656</c:v>
                </c:pt>
                <c:pt idx="3">
                  <c:v>48813</c:v>
                </c:pt>
                <c:pt idx="4">
                  <c:v>47482</c:v>
                </c:pt>
                <c:pt idx="5">
                  <c:v>44848.510799999996</c:v>
                </c:pt>
                <c:pt idx="6">
                  <c:v>33759.166089999999</c:v>
                </c:pt>
                <c:pt idx="7">
                  <c:v>35506.037640000002</c:v>
                </c:pt>
                <c:pt idx="8">
                  <c:v>37109.288529999998</c:v>
                </c:pt>
                <c:pt idx="9">
                  <c:v>39555.436970000002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B-7244-8C54-648272336BD8}"/>
            </c:ext>
          </c:extLst>
        </c:ser>
        <c:ser>
          <c:idx val="2"/>
          <c:order val="1"/>
          <c:tx>
            <c:strRef>
              <c:f>'Annual Report (Energy)'!$AM$1</c:f>
              <c:strCache>
                <c:ptCount val="1"/>
                <c:pt idx="0">
                  <c:v>Projected</c:v>
                </c:pt>
              </c:strCache>
            </c:strRef>
          </c:tx>
          <c:spPr>
            <a:noFill/>
            <a:ln w="15875">
              <a:solidFill>
                <a:schemeClr val="accent2"/>
              </a:solidFill>
              <a:prstDash val="sysDot"/>
            </a:ln>
            <a:effectLst/>
          </c:spPr>
          <c:invertIfNegative val="0"/>
          <c:cat>
            <c:numRef>
              <c:f>'Annual Report (Energy)'!$AJ$2:$AJ$38</c:f>
              <c:numCache>
                <c:formatCode>General</c:formatCode>
                <c:ptCount val="3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</c:numCache>
            </c:numRef>
          </c:cat>
          <c:val>
            <c:numRef>
              <c:f>'Annual Report (Energy)'!$AM$2:$AM$38</c:f>
              <c:numCache>
                <c:formatCode>#,##0</c:formatCode>
                <c:ptCount val="37"/>
                <c:pt idx="9">
                  <c:v>38236.385701799998</c:v>
                </c:pt>
                <c:pt idx="10">
                  <c:v>37131.515416709997</c:v>
                </c:pt>
                <c:pt idx="11">
                  <c:v>37121.752470874497</c:v>
                </c:pt>
                <c:pt idx="12">
                  <c:v>43405.671539999996</c:v>
                </c:pt>
                <c:pt idx="13">
                  <c:v>41891.02478</c:v>
                </c:pt>
                <c:pt idx="14">
                  <c:v>47439.701399999998</c:v>
                </c:pt>
                <c:pt idx="15">
                  <c:v>45117.054640000002</c:v>
                </c:pt>
                <c:pt idx="16">
                  <c:v>49445.731260000008</c:v>
                </c:pt>
                <c:pt idx="17">
                  <c:v>47614.407880000006</c:v>
                </c:pt>
                <c:pt idx="18">
                  <c:v>44815.761119999996</c:v>
                </c:pt>
                <c:pt idx="19">
                  <c:v>42948.437740000001</c:v>
                </c:pt>
                <c:pt idx="20">
                  <c:v>41741.11436</c:v>
                </c:pt>
                <c:pt idx="21">
                  <c:v>39843.790979999998</c:v>
                </c:pt>
                <c:pt idx="22">
                  <c:v>39066.467600000004</c:v>
                </c:pt>
                <c:pt idx="23">
                  <c:v>37113.144220000002</c:v>
                </c:pt>
                <c:pt idx="24">
                  <c:v>35699.820839999993</c:v>
                </c:pt>
                <c:pt idx="25">
                  <c:v>33716.497459999999</c:v>
                </c:pt>
                <c:pt idx="26">
                  <c:v>32613.174080000001</c:v>
                </c:pt>
                <c:pt idx="27">
                  <c:v>30574.850699999999</c:v>
                </c:pt>
                <c:pt idx="28">
                  <c:v>31114.850699999999</c:v>
                </c:pt>
                <c:pt idx="29">
                  <c:v>29040.527320000005</c:v>
                </c:pt>
                <c:pt idx="30">
                  <c:v>27434.203940000003</c:v>
                </c:pt>
                <c:pt idx="31">
                  <c:v>25323.880559999998</c:v>
                </c:pt>
                <c:pt idx="32">
                  <c:v>25983.880559999998</c:v>
                </c:pt>
                <c:pt idx="33">
                  <c:v>23818.55718</c:v>
                </c:pt>
                <c:pt idx="34">
                  <c:v>24214.55718</c:v>
                </c:pt>
                <c:pt idx="35">
                  <c:v>22013.233800000002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3B-7244-8C54-64827233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0903408"/>
        <c:axId val="370891456"/>
      </c:barChart>
      <c:lineChart>
        <c:grouping val="standard"/>
        <c:varyColors val="0"/>
        <c:ser>
          <c:idx val="0"/>
          <c:order val="2"/>
          <c:tx>
            <c:strRef>
              <c:f>'Annual Report (Energy)'!$AN$1</c:f>
              <c:strCache>
                <c:ptCount val="1"/>
                <c:pt idx="0">
                  <c:v>2028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1905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9B3B-7244-8C54-648272336BD8}"/>
              </c:ext>
            </c:extLst>
          </c:dPt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3B-7244-8C54-648272336BD8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'Annual Report (Energy)'!$AN$2:$AN$16</c:f>
              <c:numCache>
                <c:formatCode>#,##0</c:formatCode>
                <c:ptCount val="15"/>
                <c:pt idx="0">
                  <c:v>61233</c:v>
                </c:pt>
                <c:pt idx="1">
                  <c:v>59483.485714285714</c:v>
                </c:pt>
                <c:pt idx="2">
                  <c:v>57733.971428571429</c:v>
                </c:pt>
                <c:pt idx="3">
                  <c:v>55984.457142857143</c:v>
                </c:pt>
                <c:pt idx="4">
                  <c:v>54234.942857142858</c:v>
                </c:pt>
                <c:pt idx="5">
                  <c:v>52485.428571428572</c:v>
                </c:pt>
                <c:pt idx="6">
                  <c:v>50735.914285714287</c:v>
                </c:pt>
                <c:pt idx="7">
                  <c:v>48986.400000000001</c:v>
                </c:pt>
                <c:pt idx="8">
                  <c:v>47236.885714285716</c:v>
                </c:pt>
                <c:pt idx="9">
                  <c:v>45487.37142857143</c:v>
                </c:pt>
                <c:pt idx="10">
                  <c:v>43737.857142857145</c:v>
                </c:pt>
                <c:pt idx="11">
                  <c:v>41988.342857142859</c:v>
                </c:pt>
                <c:pt idx="12">
                  <c:v>40238.828571428574</c:v>
                </c:pt>
                <c:pt idx="13">
                  <c:v>38489.314285714288</c:v>
                </c:pt>
                <c:pt idx="14">
                  <c:v>36739.799999999996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3B-7244-8C54-648272336BD8}"/>
            </c:ext>
          </c:extLst>
        </c:ser>
        <c:ser>
          <c:idx val="3"/>
          <c:order val="3"/>
          <c:tx>
            <c:strRef>
              <c:f>'Annual Report (Energy)'!$AO$1</c:f>
              <c:strCache>
                <c:ptCount val="1"/>
                <c:pt idx="0">
                  <c:v>2035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circle"/>
              <c:size val="5"/>
              <c:spPr>
                <a:solidFill>
                  <a:schemeClr val="accent4"/>
                </a:solidFill>
                <a:ln w="1905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9B3B-7244-8C54-648272336BD8}"/>
              </c:ext>
            </c:extLst>
          </c:dPt>
          <c:dLbls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B3B-7244-8C54-648272336BD8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'Annual Report (Energy)'!$AO$2:$AO$23</c:f>
              <c:numCache>
                <c:formatCode>#,##0.0</c:formatCode>
                <c:ptCount val="22"/>
                <c:pt idx="14" formatCode="#,##0">
                  <c:v>36739.799999999996</c:v>
                </c:pt>
                <c:pt idx="15" formatCode="#,##0">
                  <c:v>35865.042857142857</c:v>
                </c:pt>
                <c:pt idx="16" formatCode="#,##0">
                  <c:v>34990.285714285717</c:v>
                </c:pt>
                <c:pt idx="17" formatCode="#,##0">
                  <c:v>34115.528571428578</c:v>
                </c:pt>
                <c:pt idx="18" formatCode="#,##0">
                  <c:v>33240.771428571439</c:v>
                </c:pt>
                <c:pt idx="19" formatCode="#,##0">
                  <c:v>32366.014285714296</c:v>
                </c:pt>
                <c:pt idx="20" formatCode="#,##0">
                  <c:v>31491.257142857154</c:v>
                </c:pt>
                <c:pt idx="21" formatCode="#,##0">
                  <c:v>30616.5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B3B-7244-8C54-648272336BD8}"/>
            </c:ext>
          </c:extLst>
        </c:ser>
        <c:ser>
          <c:idx val="4"/>
          <c:order val="4"/>
          <c:tx>
            <c:strRef>
              <c:f>'Annual Report (Energy)'!$AP$1</c:f>
              <c:strCache>
                <c:ptCount val="1"/>
                <c:pt idx="0">
                  <c:v>2045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'Annual Report (Energy)'!$AP$2:$AP$33</c:f>
              <c:numCache>
                <c:formatCode>#,##0.0</c:formatCode>
                <c:ptCount val="32"/>
                <c:pt idx="21" formatCode="#,##0">
                  <c:v>30616.5</c:v>
                </c:pt>
                <c:pt idx="22" formatCode="#,##0">
                  <c:v>27554.85</c:v>
                </c:pt>
                <c:pt idx="23" formatCode="#,##0">
                  <c:v>24493.199999999997</c:v>
                </c:pt>
                <c:pt idx="24" formatCode="#,##0">
                  <c:v>21431.549999999996</c:v>
                </c:pt>
                <c:pt idx="25" formatCode="#,##0">
                  <c:v>18369.899999999994</c:v>
                </c:pt>
                <c:pt idx="26" formatCode="#,##0">
                  <c:v>15308.249999999995</c:v>
                </c:pt>
                <c:pt idx="27" formatCode="#,##0">
                  <c:v>12246.599999999995</c:v>
                </c:pt>
                <c:pt idx="28" formatCode="#,##0">
                  <c:v>9184.9499999999953</c:v>
                </c:pt>
                <c:pt idx="29" formatCode="#,##0">
                  <c:v>6123.2999999999956</c:v>
                </c:pt>
                <c:pt idx="30" formatCode="#,##0">
                  <c:v>3061.6499999999955</c:v>
                </c:pt>
                <c:pt idx="31" formatCode="#,##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B3B-7244-8C54-648272336BD8}"/>
            </c:ext>
          </c:extLst>
        </c:ser>
        <c:ser>
          <c:idx val="5"/>
          <c:order val="5"/>
          <c:tx>
            <c:strRef>
              <c:f>'Annual Report (Energy)'!$AQ$1</c:f>
              <c:strCache>
                <c:ptCount val="1"/>
                <c:pt idx="0">
                  <c:v>2050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2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9B3B-7244-8C54-648272336BD8}"/>
              </c:ext>
            </c:extLst>
          </c:dPt>
          <c:dLbls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3B-7244-8C54-648272336BD8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'Annual Report (Energy)'!$AQ$2:$AQ$38</c:f>
              <c:numCache>
                <c:formatCode>#,##0.0</c:formatCode>
                <c:ptCount val="37"/>
                <c:pt idx="21" formatCode="#,##0">
                  <c:v>30616.5</c:v>
                </c:pt>
                <c:pt idx="22" formatCode="#,##0">
                  <c:v>28575.4</c:v>
                </c:pt>
                <c:pt idx="23" formatCode="#,##0">
                  <c:v>26534.300000000003</c:v>
                </c:pt>
                <c:pt idx="24" formatCode="#,##0">
                  <c:v>24493.200000000004</c:v>
                </c:pt>
                <c:pt idx="25" formatCode="#,##0">
                  <c:v>22452.100000000006</c:v>
                </c:pt>
                <c:pt idx="26" formatCode="#,##0">
                  <c:v>20411.000000000007</c:v>
                </c:pt>
                <c:pt idx="27" formatCode="#,##0">
                  <c:v>18369.900000000009</c:v>
                </c:pt>
                <c:pt idx="28" formatCode="#,##0">
                  <c:v>16328.800000000008</c:v>
                </c:pt>
                <c:pt idx="29" formatCode="#,##0">
                  <c:v>14287.700000000008</c:v>
                </c:pt>
                <c:pt idx="30" formatCode="#,##0">
                  <c:v>12246.600000000008</c:v>
                </c:pt>
                <c:pt idx="31" formatCode="#,##0">
                  <c:v>10205.500000000007</c:v>
                </c:pt>
                <c:pt idx="32" formatCode="#,##0">
                  <c:v>8164.4000000000069</c:v>
                </c:pt>
                <c:pt idx="33" formatCode="#,##0">
                  <c:v>6123.3000000000065</c:v>
                </c:pt>
                <c:pt idx="34" formatCode="#,##0">
                  <c:v>4082.2000000000066</c:v>
                </c:pt>
                <c:pt idx="35" formatCode="#,##0">
                  <c:v>2041.1000000000067</c:v>
                </c:pt>
                <c:pt idx="36" formatCode="#,##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3B-7244-8C54-64827233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903408"/>
        <c:axId val="370891456"/>
      </c:lineChart>
      <c:catAx>
        <c:axId val="37090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0891456"/>
        <c:crosses val="autoZero"/>
        <c:auto val="1"/>
        <c:lblAlgn val="ctr"/>
        <c:lblOffset val="100"/>
        <c:noMultiLvlLbl val="0"/>
      </c:catAx>
      <c:valAx>
        <c:axId val="3708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Metric Tonnes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> of CO2</a:t>
                </a:r>
                <a:endParaRPr lang="en-GB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090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'Annual Report (Energy)'!$AK$1</c:f>
              <c:strCache>
                <c:ptCount val="1"/>
                <c:pt idx="0">
                  <c:v>Actual (including renewables)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Report (Energy)'!$AJ$2:$AJ$33</c:f>
              <c:numCache>
                <c:formatCode>General</c:formatCode>
                <c:ptCount val="3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</c:numCache>
            </c:numRef>
          </c:cat>
          <c:val>
            <c:numRef>
              <c:f>'Annual Report (Energy)'!$AK$2:$AK$33</c:f>
              <c:numCache>
                <c:formatCode>#,##0</c:formatCode>
                <c:ptCount val="32"/>
                <c:pt idx="0">
                  <c:v>61233</c:v>
                </c:pt>
                <c:pt idx="1">
                  <c:v>53624</c:v>
                </c:pt>
                <c:pt idx="2">
                  <c:v>52656</c:v>
                </c:pt>
                <c:pt idx="3">
                  <c:v>48813</c:v>
                </c:pt>
                <c:pt idx="4">
                  <c:v>47482</c:v>
                </c:pt>
                <c:pt idx="5">
                  <c:v>44848.510799999996</c:v>
                </c:pt>
                <c:pt idx="6">
                  <c:v>33759.166089999999</c:v>
                </c:pt>
                <c:pt idx="7">
                  <c:v>35506.037640000002</c:v>
                </c:pt>
                <c:pt idx="8">
                  <c:v>37109.288529999998</c:v>
                </c:pt>
                <c:pt idx="9">
                  <c:v>39555.436970000002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9-684C-B595-C5B4D6C98DBA}"/>
            </c:ext>
          </c:extLst>
        </c:ser>
        <c:ser>
          <c:idx val="2"/>
          <c:order val="1"/>
          <c:tx>
            <c:strRef>
              <c:f>'Annual Report (Energy)'!$AM$1</c:f>
              <c:strCache>
                <c:ptCount val="1"/>
                <c:pt idx="0">
                  <c:v>Projected</c:v>
                </c:pt>
              </c:strCache>
            </c:strRef>
          </c:tx>
          <c:spPr>
            <a:noFill/>
            <a:ln w="15875">
              <a:solidFill>
                <a:schemeClr val="accent2"/>
              </a:solidFill>
              <a:prstDash val="sysDot"/>
            </a:ln>
            <a:effectLst/>
          </c:spPr>
          <c:invertIfNegative val="0"/>
          <c:cat>
            <c:numRef>
              <c:f>'Annual Report (Energy)'!$AJ$2:$AJ$33</c:f>
              <c:numCache>
                <c:formatCode>General</c:formatCode>
                <c:ptCount val="3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</c:numCache>
            </c:numRef>
          </c:cat>
          <c:val>
            <c:numRef>
              <c:f>'Annual Report (Energy)'!$AM$2:$AM$33</c:f>
              <c:numCache>
                <c:formatCode>#,##0</c:formatCode>
                <c:ptCount val="32"/>
                <c:pt idx="9">
                  <c:v>38236.385701799998</c:v>
                </c:pt>
                <c:pt idx="10">
                  <c:v>37131.515416709997</c:v>
                </c:pt>
                <c:pt idx="11">
                  <c:v>37121.752470874497</c:v>
                </c:pt>
                <c:pt idx="12">
                  <c:v>43405.671539999996</c:v>
                </c:pt>
                <c:pt idx="13">
                  <c:v>41891.02478</c:v>
                </c:pt>
                <c:pt idx="14">
                  <c:v>47439.701399999998</c:v>
                </c:pt>
                <c:pt idx="15">
                  <c:v>45117.054640000002</c:v>
                </c:pt>
                <c:pt idx="16">
                  <c:v>49445.731260000008</c:v>
                </c:pt>
                <c:pt idx="17">
                  <c:v>47614.407880000006</c:v>
                </c:pt>
                <c:pt idx="18">
                  <c:v>44815.761119999996</c:v>
                </c:pt>
                <c:pt idx="19">
                  <c:v>42948.437740000001</c:v>
                </c:pt>
                <c:pt idx="20">
                  <c:v>41741.11436</c:v>
                </c:pt>
                <c:pt idx="21">
                  <c:v>39843.790979999998</c:v>
                </c:pt>
                <c:pt idx="22">
                  <c:v>39066.467600000004</c:v>
                </c:pt>
                <c:pt idx="23">
                  <c:v>37113.144220000002</c:v>
                </c:pt>
                <c:pt idx="24">
                  <c:v>35699.820839999993</c:v>
                </c:pt>
                <c:pt idx="25">
                  <c:v>33716.497459999999</c:v>
                </c:pt>
                <c:pt idx="26">
                  <c:v>32613.174080000001</c:v>
                </c:pt>
                <c:pt idx="27">
                  <c:v>30574.850699999999</c:v>
                </c:pt>
                <c:pt idx="28">
                  <c:v>31114.850699999999</c:v>
                </c:pt>
                <c:pt idx="29">
                  <c:v>29040.527320000005</c:v>
                </c:pt>
                <c:pt idx="30">
                  <c:v>27434.203940000003</c:v>
                </c:pt>
                <c:pt idx="31">
                  <c:v>25323.880559999998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9-684C-B595-C5B4D6C98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6120624"/>
        <c:axId val="1626425520"/>
      </c:barChart>
      <c:dateAx>
        <c:axId val="91612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6425520"/>
        <c:crosses val="autoZero"/>
        <c:auto val="0"/>
        <c:lblOffset val="100"/>
        <c:baseTimeUnit val="days"/>
      </c:dateAx>
      <c:valAx>
        <c:axId val="16264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2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3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2024 progress</a:t>
            </a:r>
            <a:r>
              <a:rPr lang="en-GB" sz="13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against </a:t>
            </a:r>
            <a:r>
              <a:rPr lang="en-GB" sz="13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and 2 GHG</a:t>
            </a:r>
            <a:r>
              <a:rPr lang="en-GB" sz="13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reduction targets for 2028, 2035 and 2045 </a:t>
            </a:r>
            <a:endParaRPr lang="en-GB" sz="13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'Annual Report (Energy)'!$AL$1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144-E047-B517-EB7B7F9F5AC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144-E047-B517-EB7B7F9F5AC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144-E047-B517-EB7B7F9F5AC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144-E047-B517-EB7B7F9F5AC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144-E047-B517-EB7B7F9F5AC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144-E047-B517-EB7B7F9F5AC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44-E047-B517-EB7B7F9F5AC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144-E047-B517-EB7B7F9F5AC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CD-EC47-BCD2-77F354D3DDB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3525455205355033E-2"/>
                      <c:h val="3.40153315611782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144-E047-B517-EB7B7F9F5AC2}"/>
                </c:ext>
              </c:extLst>
            </c:dLbl>
            <c:dLbl>
              <c:idx val="10"/>
              <c:layout>
                <c:manualLayout>
                  <c:x val="-4.4614521805871644E-2"/>
                  <c:y val="-0.249112414428904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57-D94C-A59F-E74522BD2936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'Annual Report (Energy)'!$AJ$2:$AJ$33</c:f>
              <c:numCache>
                <c:formatCode>General</c:formatCode>
                <c:ptCount val="3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</c:numCache>
            </c:numRef>
          </c:cat>
          <c:val>
            <c:numRef>
              <c:f>'Annual Report (Energy)'!$AL$2:$AL$38</c:f>
              <c:numCache>
                <c:formatCode>#,##0</c:formatCode>
                <c:ptCount val="37"/>
                <c:pt idx="0">
                  <c:v>61233</c:v>
                </c:pt>
                <c:pt idx="1">
                  <c:v>53624</c:v>
                </c:pt>
                <c:pt idx="2">
                  <c:v>52656</c:v>
                </c:pt>
                <c:pt idx="3">
                  <c:v>48813</c:v>
                </c:pt>
                <c:pt idx="4">
                  <c:v>47482</c:v>
                </c:pt>
                <c:pt idx="5">
                  <c:v>44850</c:v>
                </c:pt>
                <c:pt idx="6">
                  <c:v>33904</c:v>
                </c:pt>
                <c:pt idx="7">
                  <c:v>36252</c:v>
                </c:pt>
                <c:pt idx="8">
                  <c:v>38014</c:v>
                </c:pt>
                <c:pt idx="9">
                  <c:v>40466</c:v>
                </c:pt>
                <c:pt idx="10">
                  <c:v>41443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D-EC47-BCD2-77F354D3D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0903408"/>
        <c:axId val="370891456"/>
      </c:barChart>
      <c:lineChart>
        <c:grouping val="standard"/>
        <c:varyColors val="0"/>
        <c:ser>
          <c:idx val="0"/>
          <c:order val="1"/>
          <c:tx>
            <c:strRef>
              <c:f>'Annual Report (Energy)'!$AN$1</c:f>
              <c:strCache>
                <c:ptCount val="1"/>
                <c:pt idx="0">
                  <c:v>2028</c:v>
                </c:pt>
              </c:strCache>
            </c:strRef>
          </c:tx>
          <c:spPr>
            <a:ln w="28575" cap="rnd">
              <a:solidFill>
                <a:schemeClr val="accent6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10"/>
              <c:spPr>
                <a:solidFill>
                  <a:schemeClr val="accent6">
                    <a:shade val="53000"/>
                  </a:schemeClr>
                </a:solidFill>
                <a:ln w="9525">
                  <a:solidFill>
                    <a:schemeClr val="accent6">
                      <a:shade val="53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6CD-EC47-BCD2-77F354D3DDBA}"/>
              </c:ext>
            </c:extLst>
          </c:dPt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CD-EC47-BCD2-77F354D3DDBA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'Annual Report (Energy)'!$AN$2:$AN$16</c:f>
              <c:numCache>
                <c:formatCode>#,##0</c:formatCode>
                <c:ptCount val="15"/>
                <c:pt idx="0">
                  <c:v>61233</c:v>
                </c:pt>
                <c:pt idx="1">
                  <c:v>59483.485714285714</c:v>
                </c:pt>
                <c:pt idx="2">
                  <c:v>57733.971428571429</c:v>
                </c:pt>
                <c:pt idx="3">
                  <c:v>55984.457142857143</c:v>
                </c:pt>
                <c:pt idx="4">
                  <c:v>54234.942857142858</c:v>
                </c:pt>
                <c:pt idx="5">
                  <c:v>52485.428571428572</c:v>
                </c:pt>
                <c:pt idx="6">
                  <c:v>50735.914285714287</c:v>
                </c:pt>
                <c:pt idx="7">
                  <c:v>48986.400000000001</c:v>
                </c:pt>
                <c:pt idx="8">
                  <c:v>47236.885714285716</c:v>
                </c:pt>
                <c:pt idx="9">
                  <c:v>45487.37142857143</c:v>
                </c:pt>
                <c:pt idx="10">
                  <c:v>43737.857142857145</c:v>
                </c:pt>
                <c:pt idx="11">
                  <c:v>41988.342857142859</c:v>
                </c:pt>
                <c:pt idx="12">
                  <c:v>40238.828571428574</c:v>
                </c:pt>
                <c:pt idx="13">
                  <c:v>38489.314285714288</c:v>
                </c:pt>
                <c:pt idx="14">
                  <c:v>36739.799999999996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CD-EC47-BCD2-77F354D3DDBA}"/>
            </c:ext>
          </c:extLst>
        </c:ser>
        <c:ser>
          <c:idx val="3"/>
          <c:order val="2"/>
          <c:tx>
            <c:strRef>
              <c:f>'Annual Report (Energy)'!$AO$1</c:f>
              <c:strCache>
                <c:ptCount val="1"/>
                <c:pt idx="0">
                  <c:v>2035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circle"/>
              <c:size val="10"/>
              <c:spPr>
                <a:solidFill>
                  <a:schemeClr val="accent6">
                    <a:tint val="77000"/>
                  </a:schemeClr>
                </a:solidFill>
                <a:ln w="9525">
                  <a:solidFill>
                    <a:schemeClr val="accent6">
                      <a:tint val="77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6CD-EC47-BCD2-77F354D3DDBA}"/>
              </c:ext>
            </c:extLst>
          </c:dPt>
          <c:dLbls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CD-EC47-BCD2-77F354D3DDBA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CD-EC47-BCD2-77F354D3DDBA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'Annual Report (Energy)'!$AO$2:$AO$23</c:f>
              <c:numCache>
                <c:formatCode>#,##0.0</c:formatCode>
                <c:ptCount val="22"/>
                <c:pt idx="14" formatCode="#,##0">
                  <c:v>36739.799999999996</c:v>
                </c:pt>
                <c:pt idx="15" formatCode="#,##0">
                  <c:v>35865.042857142857</c:v>
                </c:pt>
                <c:pt idx="16" formatCode="#,##0">
                  <c:v>34990.285714285717</c:v>
                </c:pt>
                <c:pt idx="17" formatCode="#,##0">
                  <c:v>34115.528571428578</c:v>
                </c:pt>
                <c:pt idx="18" formatCode="#,##0">
                  <c:v>33240.771428571439</c:v>
                </c:pt>
                <c:pt idx="19" formatCode="#,##0">
                  <c:v>32366.014285714296</c:v>
                </c:pt>
                <c:pt idx="20" formatCode="#,##0">
                  <c:v>31491.257142857154</c:v>
                </c:pt>
                <c:pt idx="21" formatCode="#,##0">
                  <c:v>30616.5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CD-EC47-BCD2-77F354D3DDBA}"/>
            </c:ext>
          </c:extLst>
        </c:ser>
        <c:ser>
          <c:idx val="4"/>
          <c:order val="3"/>
          <c:tx>
            <c:strRef>
              <c:f>'Annual Report (Energy)'!$AP$1</c:f>
              <c:strCache>
                <c:ptCount val="1"/>
                <c:pt idx="0">
                  <c:v>2045</c:v>
                </c:pt>
              </c:strCache>
            </c:strRef>
          </c:tx>
          <c:spPr>
            <a:ln w="28575" cap="rnd">
              <a:solidFill>
                <a:schemeClr val="accent6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1"/>
            <c:marker>
              <c:symbol val="circle"/>
              <c:size val="10"/>
              <c:spPr>
                <a:solidFill>
                  <a:schemeClr val="accent6">
                    <a:tint val="54000"/>
                  </a:schemeClr>
                </a:solidFill>
                <a:ln w="9525">
                  <a:solidFill>
                    <a:schemeClr val="accent6">
                      <a:tint val="54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6CD-EC47-BCD2-77F354D3DDBA}"/>
              </c:ext>
            </c:extLst>
          </c:dPt>
          <c:dPt>
            <c:idx val="31"/>
            <c:marker>
              <c:symbol val="circle"/>
              <c:size val="10"/>
              <c:spPr>
                <a:solidFill>
                  <a:schemeClr val="accent6">
                    <a:tint val="54000"/>
                  </a:schemeClr>
                </a:solidFill>
                <a:ln w="9525">
                  <a:solidFill>
                    <a:schemeClr val="accent6">
                      <a:tint val="54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6CD-EC47-BCD2-77F354D3DDBA}"/>
              </c:ext>
            </c:extLst>
          </c:dPt>
          <c:val>
            <c:numRef>
              <c:f>'Annual Report (Energy)'!$AP$2:$AP$33</c:f>
              <c:numCache>
                <c:formatCode>#,##0.0</c:formatCode>
                <c:ptCount val="32"/>
                <c:pt idx="21" formatCode="#,##0">
                  <c:v>30616.5</c:v>
                </c:pt>
                <c:pt idx="22" formatCode="#,##0">
                  <c:v>27554.85</c:v>
                </c:pt>
                <c:pt idx="23" formatCode="#,##0">
                  <c:v>24493.199999999997</c:v>
                </c:pt>
                <c:pt idx="24" formatCode="#,##0">
                  <c:v>21431.549999999996</c:v>
                </c:pt>
                <c:pt idx="25" formatCode="#,##0">
                  <c:v>18369.899999999994</c:v>
                </c:pt>
                <c:pt idx="26" formatCode="#,##0">
                  <c:v>15308.249999999995</c:v>
                </c:pt>
                <c:pt idx="27" formatCode="#,##0">
                  <c:v>12246.599999999995</c:v>
                </c:pt>
                <c:pt idx="28" formatCode="#,##0">
                  <c:v>9184.9499999999953</c:v>
                </c:pt>
                <c:pt idx="29" formatCode="#,##0">
                  <c:v>6123.2999999999956</c:v>
                </c:pt>
                <c:pt idx="30" formatCode="#,##0">
                  <c:v>3061.6499999999955</c:v>
                </c:pt>
                <c:pt idx="31" formatCode="#,##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CD-EC47-BCD2-77F354D3D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903408"/>
        <c:axId val="370891456"/>
      </c:lineChart>
      <c:catAx>
        <c:axId val="37090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0891456"/>
        <c:crosses val="autoZero"/>
        <c:auto val="1"/>
        <c:lblAlgn val="ctr"/>
        <c:lblOffset val="100"/>
        <c:noMultiLvlLbl val="0"/>
      </c:catAx>
      <c:valAx>
        <c:axId val="3708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 Absolute Carbon Emissions - Scope 1 &amp; 2 (Tonnes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> of CO2e)</a:t>
                </a:r>
                <a:endParaRPr lang="en-GB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090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1&amp;2, and 3 GHG Emissions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'Annual Report (Energy)'!$AE$1</c:f>
              <c:strCache>
                <c:ptCount val="1"/>
                <c:pt idx="0">
                  <c:v>Total S1&amp;2</c:v>
                </c:pt>
              </c:strCache>
            </c:strRef>
          </c:tx>
          <c:spPr>
            <a:solidFill>
              <a:srgbClr val="9CCB3C"/>
            </a:solidFill>
            <a:ln>
              <a:noFill/>
            </a:ln>
            <a:effectLst/>
          </c:spPr>
          <c:invertIfNegative val="0"/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(Energy)'!$AE$2:$AE$12</c:f>
              <c:numCache>
                <c:formatCode>#,##0.000</c:formatCode>
                <c:ptCount val="11"/>
                <c:pt idx="0">
                  <c:v>61233.387065652874</c:v>
                </c:pt>
                <c:pt idx="1">
                  <c:v>53623.842001102537</c:v>
                </c:pt>
                <c:pt idx="2">
                  <c:v>52655.500400613339</c:v>
                </c:pt>
                <c:pt idx="3">
                  <c:v>48812.938000415605</c:v>
                </c:pt>
                <c:pt idx="4">
                  <c:v>47481.825634589179</c:v>
                </c:pt>
                <c:pt idx="5">
                  <c:v>44850.269450658227</c:v>
                </c:pt>
                <c:pt idx="6">
                  <c:v>33904.269181722149</c:v>
                </c:pt>
                <c:pt idx="7">
                  <c:v>36252.173681919507</c:v>
                </c:pt>
                <c:pt idx="8">
                  <c:v>38013.728460178099</c:v>
                </c:pt>
                <c:pt idx="9">
                  <c:v>40466.06</c:v>
                </c:pt>
                <c:pt idx="10">
                  <c:v>41443.099556619316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0-1D40-A283-FF8B3A18466D}"/>
            </c:ext>
          </c:extLst>
        </c:ser>
        <c:ser>
          <c:idx val="1"/>
          <c:order val="1"/>
          <c:tx>
            <c:strRef>
              <c:f>'Annual Report (Energy)'!$AF$1</c:f>
              <c:strCache>
                <c:ptCount val="1"/>
                <c:pt idx="0">
                  <c:v>Total S3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(Energy)'!$AF$2:$AF$12</c:f>
              <c:numCache>
                <c:formatCode>#,##0.00</c:formatCode>
                <c:ptCount val="11"/>
                <c:pt idx="0">
                  <c:v>795.24598702799994</c:v>
                </c:pt>
                <c:pt idx="1">
                  <c:v>865.87690612799997</c:v>
                </c:pt>
                <c:pt idx="2">
                  <c:v>662.19891291520003</c:v>
                </c:pt>
                <c:pt idx="3">
                  <c:v>639.41977355847359</c:v>
                </c:pt>
                <c:pt idx="4">
                  <c:v>656.55334308672002</c:v>
                </c:pt>
                <c:pt idx="5">
                  <c:v>241.89825599999998</c:v>
                </c:pt>
                <c:pt idx="6">
                  <c:v>124.753760052</c:v>
                </c:pt>
                <c:pt idx="7">
                  <c:v>258.65208525200001</c:v>
                </c:pt>
                <c:pt idx="8">
                  <c:v>555.67177890799996</c:v>
                </c:pt>
                <c:pt idx="9">
                  <c:v>425.79</c:v>
                </c:pt>
                <c:pt idx="10">
                  <c:v>284.31866955679999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30-1D40-A283-FF8B3A184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5552799"/>
        <c:axId val="855080111"/>
      </c:barChart>
      <c:lineChart>
        <c:grouping val="standard"/>
        <c:varyColors val="0"/>
        <c:ser>
          <c:idx val="2"/>
          <c:order val="2"/>
          <c:tx>
            <c:strRef>
              <c:f>'Annual Report (Energy)'!$AG$1</c:f>
              <c:strCache>
                <c:ptCount val="1"/>
                <c:pt idx="0">
                  <c:v>Emissions per Capita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1507279668213414E-2"/>
                  <c:y val="-9.82462198799910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A30-1D40-A283-FF8B3A18466D}"/>
                </c:ext>
              </c:extLst>
            </c:dLbl>
            <c:dLbl>
              <c:idx val="4"/>
              <c:layout>
                <c:manualLayout>
                  <c:x val="-1.1477047170844613E-2"/>
                  <c:y val="-1.3898477639866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A30-1D40-A283-FF8B3A18466D}"/>
                </c:ext>
              </c:extLst>
            </c:dLbl>
            <c:dLbl>
              <c:idx val="6"/>
              <c:layout>
                <c:manualLayout>
                  <c:x val="-4.5908188683379293E-3"/>
                  <c:y val="1.3898477639866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A30-1D40-A283-FF8B3A18466D}"/>
                </c:ext>
              </c:extLst>
            </c:dLbl>
            <c:dLbl>
              <c:idx val="7"/>
              <c:layout>
                <c:manualLayout>
                  <c:x val="-9.1816377366757754E-3"/>
                  <c:y val="1.3898477639866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A30-1D40-A283-FF8B3A18466D}"/>
                </c:ext>
              </c:extLst>
            </c:dLbl>
            <c:dLbl>
              <c:idx val="8"/>
              <c:layout>
                <c:manualLayout>
                  <c:x val="-4.5908188683378452E-3"/>
                  <c:y val="1.7869471251256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A30-1D40-A283-FF8B3A18466D}"/>
                </c:ext>
              </c:extLst>
            </c:dLbl>
            <c:dLbl>
              <c:idx val="9"/>
              <c:layout>
                <c:manualLayout>
                  <c:x val="-4.5908188683378452E-3"/>
                  <c:y val="-7.28007085421605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A30-1D40-A283-FF8B3A18466D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(Energy)'!$AG$2:$AG$12</c:f>
              <c:numCache>
                <c:formatCode>#,##0.0000</c:formatCode>
                <c:ptCount val="11"/>
                <c:pt idx="0">
                  <c:v>3.7474533087914854</c:v>
                </c:pt>
                <c:pt idx="1">
                  <c:v>3.2262705012395485</c:v>
                </c:pt>
                <c:pt idx="2">
                  <c:v>3.0437585132872824</c:v>
                </c:pt>
                <c:pt idx="3">
                  <c:v>2.7234043574310602</c:v>
                </c:pt>
                <c:pt idx="4">
                  <c:v>2.5654064691676353</c:v>
                </c:pt>
                <c:pt idx="5">
                  <c:v>2.5369234374488503</c:v>
                </c:pt>
                <c:pt idx="6">
                  <c:v>1.7195450211351702</c:v>
                </c:pt>
                <c:pt idx="7">
                  <c:v>1.7646971563023661</c:v>
                </c:pt>
                <c:pt idx="8">
                  <c:v>1.7683271368180722</c:v>
                </c:pt>
                <c:pt idx="9">
                  <c:v>1.8253443998376109</c:v>
                </c:pt>
                <c:pt idx="10">
                  <c:v>1.735691232425318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0-1D40-A283-FF8B3A18466D}"/>
            </c:ext>
          </c:extLst>
        </c:ser>
        <c:ser>
          <c:idx val="3"/>
          <c:order val="3"/>
          <c:tx>
            <c:strRef>
              <c:f>'Annual Report (Energy)'!$AH$1</c:f>
              <c:strCache>
                <c:ptCount val="1"/>
                <c:pt idx="0">
                  <c:v>Emissions per GFA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3014559336427252E-3"/>
                  <c:y val="-7.85969759039928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A30-1D40-A283-FF8B3A18466D}"/>
                </c:ext>
              </c:extLst>
            </c:dLbl>
            <c:dLbl>
              <c:idx val="2"/>
              <c:layout>
                <c:manualLayout>
                  <c:x val="-2.3014559336427252E-3"/>
                  <c:y val="-7.85969759039928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A30-1D40-A283-FF8B3A18466D}"/>
                </c:ext>
              </c:extLst>
            </c:dLbl>
            <c:dLbl>
              <c:idx val="3"/>
              <c:layout>
                <c:manualLayout>
                  <c:x val="-4.6029118672853654E-3"/>
                  <c:y val="-1.5719395180798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A30-1D40-A283-FF8B3A18466D}"/>
                </c:ext>
              </c:extLst>
            </c:dLbl>
            <c:dLbl>
              <c:idx val="4"/>
              <c:layout>
                <c:manualLayout>
                  <c:x val="-6.9043678009280485E-3"/>
                  <c:y val="-1.375447078319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A30-1D40-A283-FF8B3A18466D}"/>
                </c:ext>
              </c:extLst>
            </c:dLbl>
            <c:dLbl>
              <c:idx val="6"/>
              <c:layout>
                <c:manualLayout>
                  <c:x val="-6.9043678009281326E-3"/>
                  <c:y val="1.5719395180798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A30-1D40-A283-FF8B3A18466D}"/>
                </c:ext>
              </c:extLst>
            </c:dLbl>
            <c:dLbl>
              <c:idx val="7"/>
              <c:layout>
                <c:manualLayout>
                  <c:x val="-9.2058237345707308E-3"/>
                  <c:y val="1.5719395180798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A30-1D40-A283-FF8B3A18466D}"/>
                </c:ext>
              </c:extLst>
            </c:dLbl>
            <c:dLbl>
              <c:idx val="8"/>
              <c:layout>
                <c:manualLayout>
                  <c:x val="-1.3808735601856097E-2"/>
                  <c:y val="1.5719395180798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A30-1D40-A283-FF8B3A18466D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(Energy)'!$AH$2:$AH$12</c:f>
              <c:numCache>
                <c:formatCode>#,##0.0000</c:formatCode>
                <c:ptCount val="11"/>
                <c:pt idx="0">
                  <c:v>1.2930420789433648</c:v>
                </c:pt>
                <c:pt idx="1">
                  <c:v>1.1169458219005084</c:v>
                </c:pt>
                <c:pt idx="2">
                  <c:v>1.0365255984372705</c:v>
                </c:pt>
                <c:pt idx="3">
                  <c:v>0.95222461083093912</c:v>
                </c:pt>
                <c:pt idx="4">
                  <c:v>0.92178901042936745</c:v>
                </c:pt>
                <c:pt idx="5">
                  <c:v>0.87070126183808516</c:v>
                </c:pt>
                <c:pt idx="6">
                  <c:v>0.60157150403609239</c:v>
                </c:pt>
                <c:pt idx="7">
                  <c:v>0.62719236967909153</c:v>
                </c:pt>
                <c:pt idx="8">
                  <c:v>0.65766899812940149</c:v>
                </c:pt>
                <c:pt idx="9">
                  <c:v>0.68902794521294342</c:v>
                </c:pt>
                <c:pt idx="10">
                  <c:v>0.70566429572715639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30-1D40-A283-FF8B3A184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150431"/>
        <c:axId val="666562975"/>
      </c:lineChart>
      <c:catAx>
        <c:axId val="85555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5080111"/>
        <c:crosses val="autoZero"/>
        <c:auto val="1"/>
        <c:lblAlgn val="ctr"/>
        <c:lblOffset val="100"/>
        <c:noMultiLvlLbl val="0"/>
      </c:catAx>
      <c:valAx>
        <c:axId val="85508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Bar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> Chart: Thousand of </a:t>
                </a: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Metric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> Tons of CO2</a:t>
                </a:r>
                <a:endParaRPr lang="en-GB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5552799"/>
        <c:crosses val="autoZero"/>
        <c:crossBetween val="between"/>
        <c:dispUnits>
          <c:builtInUnit val="thousands"/>
        </c:dispUnits>
      </c:valAx>
      <c:valAx>
        <c:axId val="6665629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Line Chart: Metric Tons of 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1150431"/>
        <c:crosses val="max"/>
        <c:crossBetween val="between"/>
      </c:valAx>
      <c:catAx>
        <c:axId val="851150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656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Energy Consumption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'Annual Report (Energy)'!$D$1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9CCB3C"/>
            </a:solidFill>
            <a:ln>
              <a:noFill/>
            </a:ln>
            <a:effectLst/>
          </c:spPr>
          <c:invertIfNegative val="0"/>
          <c:cat>
            <c:strRef>
              <c:f>'Annual Report (Energy)'!$A$2:$A$12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(Energy)'!$D$2:$D$12</c:f>
              <c:numCache>
                <c:formatCode>#,##0</c:formatCode>
                <c:ptCount val="11"/>
                <c:pt idx="0">
                  <c:v>93067207</c:v>
                </c:pt>
                <c:pt idx="1">
                  <c:v>95800070</c:v>
                </c:pt>
                <c:pt idx="2">
                  <c:v>94486358</c:v>
                </c:pt>
                <c:pt idx="3">
                  <c:v>92966450</c:v>
                </c:pt>
                <c:pt idx="4">
                  <c:v>90186094</c:v>
                </c:pt>
                <c:pt idx="5">
                  <c:v>87353244</c:v>
                </c:pt>
                <c:pt idx="6">
                  <c:v>88318175</c:v>
                </c:pt>
                <c:pt idx="7">
                  <c:v>89692408</c:v>
                </c:pt>
                <c:pt idx="8">
                  <c:v>93932338</c:v>
                </c:pt>
                <c:pt idx="9">
                  <c:v>96709341</c:v>
                </c:pt>
                <c:pt idx="10">
                  <c:v>105238070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36-7E44-97DA-BA3146C45E34}"/>
            </c:ext>
          </c:extLst>
        </c:ser>
        <c:ser>
          <c:idx val="1"/>
          <c:order val="1"/>
          <c:tx>
            <c:strRef>
              <c:f>'Annual Report (Energy)'!$C$1</c:f>
              <c:strCache>
                <c:ptCount val="1"/>
                <c:pt idx="0">
                  <c:v>Towngas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'Annual Report (Energy)'!$A$2:$A$12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(Energy)'!$C$2:$C$12</c:f>
              <c:numCache>
                <c:formatCode>#,##0.0</c:formatCode>
                <c:ptCount val="11"/>
                <c:pt idx="0">
                  <c:v>5874308</c:v>
                </c:pt>
                <c:pt idx="1">
                  <c:v>7232698</c:v>
                </c:pt>
                <c:pt idx="2">
                  <c:v>6584444</c:v>
                </c:pt>
                <c:pt idx="3">
                  <c:v>5665933</c:v>
                </c:pt>
                <c:pt idx="4">
                  <c:v>6128182</c:v>
                </c:pt>
                <c:pt idx="5">
                  <c:v>4520415</c:v>
                </c:pt>
                <c:pt idx="6">
                  <c:v>4701278</c:v>
                </c:pt>
                <c:pt idx="7">
                  <c:v>5113008</c:v>
                </c:pt>
                <c:pt idx="8">
                  <c:v>5491373</c:v>
                </c:pt>
                <c:pt idx="9">
                  <c:v>5826263.4049007529</c:v>
                </c:pt>
                <c:pt idx="10">
                  <c:v>5633744.3785816217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36-7E44-97DA-BA3146C45E34}"/>
            </c:ext>
          </c:extLst>
        </c:ser>
        <c:ser>
          <c:idx val="0"/>
          <c:order val="2"/>
          <c:tx>
            <c:strRef>
              <c:f>'Annual Report (Energy)'!$B$1</c:f>
              <c:strCache>
                <c:ptCount val="1"/>
                <c:pt idx="0">
                  <c:v>Liquid Fuels/Diesel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'Annual Report (Energy)'!$A$2:$A$12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(Energy)'!$B$2:$B$12</c:f>
              <c:numCache>
                <c:formatCode>#,##0.0</c:formatCode>
                <c:ptCount val="11"/>
                <c:pt idx="0">
                  <c:v>280000</c:v>
                </c:pt>
                <c:pt idx="1">
                  <c:v>370000</c:v>
                </c:pt>
                <c:pt idx="2">
                  <c:v>201980.5</c:v>
                </c:pt>
                <c:pt idx="3">
                  <c:v>221452.21</c:v>
                </c:pt>
                <c:pt idx="4">
                  <c:v>205172.45</c:v>
                </c:pt>
                <c:pt idx="5">
                  <c:v>181092.19</c:v>
                </c:pt>
                <c:pt idx="6">
                  <c:v>224833.4</c:v>
                </c:pt>
                <c:pt idx="7">
                  <c:v>234812</c:v>
                </c:pt>
                <c:pt idx="8">
                  <c:v>292973.4277</c:v>
                </c:pt>
                <c:pt idx="9">
                  <c:v>243473.34</c:v>
                </c:pt>
                <c:pt idx="10">
                  <c:v>219309.77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6-7E44-97DA-BA3146C45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4319616"/>
        <c:axId val="714213728"/>
      </c:barChart>
      <c:lineChart>
        <c:grouping val="standard"/>
        <c:varyColors val="0"/>
        <c:ser>
          <c:idx val="4"/>
          <c:order val="3"/>
          <c:tx>
            <c:strRef>
              <c:f>'Annual Report (Energy)'!$F$1</c:f>
              <c:strCache>
                <c:ptCount val="1"/>
                <c:pt idx="0">
                  <c:v>Energy per Capita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493177387914246E-2"/>
                  <c:y val="1.3805004314063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36-7E44-97DA-BA3146C45E34}"/>
                </c:ext>
              </c:extLst>
            </c:dLbl>
            <c:dLbl>
              <c:idx val="4"/>
              <c:layout>
                <c:manualLayout>
                  <c:x val="-1.5594541910331383E-2"/>
                  <c:y val="1.55306298533218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E36-7E44-97DA-BA3146C45E34}"/>
                </c:ext>
              </c:extLst>
            </c:dLbl>
            <c:dLbl>
              <c:idx val="6"/>
              <c:layout>
                <c:manualLayout>
                  <c:x val="-1.5594541910331312E-2"/>
                  <c:y val="-1.7256255392579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36-7E44-97DA-BA3146C45E34}"/>
                </c:ext>
              </c:extLst>
            </c:dLbl>
            <c:dLbl>
              <c:idx val="7"/>
              <c:layout>
                <c:manualLayout>
                  <c:x val="-2.3391812865497075E-2"/>
                  <c:y val="1.7256255392579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E36-7E44-97DA-BA3146C45E34}"/>
                </c:ext>
              </c:extLst>
            </c:dLbl>
            <c:dLbl>
              <c:idx val="8"/>
              <c:layout>
                <c:manualLayout>
                  <c:x val="-1.7543859649122948E-2"/>
                  <c:y val="1.3805004314063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E36-7E44-97DA-BA3146C45E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(Energy)'!$F$2:$F$12</c:f>
              <c:numCache>
                <c:formatCode>#,##0.0</c:formatCode>
                <c:ptCount val="11"/>
                <c:pt idx="0">
                  <c:v>6072.3081395348836</c:v>
                </c:pt>
                <c:pt idx="1">
                  <c:v>6221.2122014319239</c:v>
                </c:pt>
                <c:pt idx="2">
                  <c:v>5854.0872568571349</c:v>
                </c:pt>
                <c:pt idx="3">
                  <c:v>5515.3198432225845</c:v>
                </c:pt>
                <c:pt idx="4">
                  <c:v>5214.871461760813</c:v>
                </c:pt>
                <c:pt idx="5">
                  <c:v>5207.0112104757054</c:v>
                </c:pt>
                <c:pt idx="6">
                  <c:v>4729.1315311659991</c:v>
                </c:pt>
                <c:pt idx="7">
                  <c:v>4626.4045173538434</c:v>
                </c:pt>
                <c:pt idx="8">
                  <c:v>4638.6325732753403</c:v>
                </c:pt>
                <c:pt idx="9">
                  <c:v>4636.162106766239</c:v>
                </c:pt>
                <c:pt idx="10">
                  <c:v>4652.6416278670531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36-7E44-97DA-BA3146C45E34}"/>
            </c:ext>
          </c:extLst>
        </c:ser>
        <c:ser>
          <c:idx val="3"/>
          <c:order val="4"/>
          <c:tx>
            <c:strRef>
              <c:f>'Annual Report (Energy)'!$G$1</c:f>
              <c:strCache>
                <c:ptCount val="1"/>
                <c:pt idx="0">
                  <c:v>Energy per GFA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(Energy)'!$G$2:$G$12</c:f>
              <c:numCache>
                <c:formatCode>#,##0.0</c:formatCode>
                <c:ptCount val="11"/>
                <c:pt idx="0">
                  <c:v>209.5222887049394</c:v>
                </c:pt>
                <c:pt idx="1">
                  <c:v>215.38048259983486</c:v>
                </c:pt>
                <c:pt idx="2">
                  <c:v>199.35587106299212</c:v>
                </c:pt>
                <c:pt idx="3">
                  <c:v>192.84037924778588</c:v>
                </c:pt>
                <c:pt idx="4">
                  <c:v>187.37815087105935</c:v>
                </c:pt>
                <c:pt idx="5">
                  <c:v>178.71060531197688</c:v>
                </c:pt>
                <c:pt idx="6">
                  <c:v>165.445552923642</c:v>
                </c:pt>
                <c:pt idx="7">
                  <c:v>164.42739775322886</c:v>
                </c:pt>
                <c:pt idx="8">
                  <c:v>172.51812595297289</c:v>
                </c:pt>
                <c:pt idx="9">
                  <c:v>175.00507029705963</c:v>
                </c:pt>
                <c:pt idx="10">
                  <c:v>189.15824521461491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36-7E44-97DA-BA3146C45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012576"/>
        <c:axId val="685009616"/>
      </c:lineChart>
      <c:catAx>
        <c:axId val="7143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4213728"/>
        <c:crosses val="autoZero"/>
        <c:auto val="1"/>
        <c:lblAlgn val="ctr"/>
        <c:lblOffset val="100"/>
        <c:noMultiLvlLbl val="0"/>
      </c:catAx>
      <c:valAx>
        <c:axId val="714213728"/>
        <c:scaling>
          <c:orientation val="minMax"/>
          <c:max val="115000000"/>
          <c:min val="3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4319616"/>
        <c:crosses val="autoZero"/>
        <c:crossBetween val="between"/>
        <c:majorUnit val="5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/>
                    <a:t>Bar Chart: Millions of kWh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685009616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5012576"/>
        <c:crosses val="max"/>
        <c:crossBetween val="between"/>
        <c:dispUnits>
          <c:builtInUnit val="hundre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/>
                    <a:t>Line Chart: Hundreds of kWh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catAx>
        <c:axId val="685012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5009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'Yearly Renewable'!$F$1</c:f>
              <c:strCache>
                <c:ptCount val="1"/>
                <c:pt idx="0">
                  <c:v>Renewable energy generation </c:v>
                </c:pt>
              </c:strCache>
            </c:strRef>
          </c:tx>
          <c:spPr>
            <a:solidFill>
              <a:srgbClr val="86BE43"/>
            </a:solidFill>
            <a:ln>
              <a:solidFill>
                <a:srgbClr val="86BE43"/>
              </a:solidFill>
            </a:ln>
            <a:effectLst/>
          </c:spPr>
          <c:cat>
            <c:strRef>
              <c:f>'Yearly Renewable'!$A$2:$A$11</c:f>
              <c:strCache>
                <c:ptCount val="10"/>
                <c:pt idx="0">
                  <c:v>2015/16</c:v>
                </c:pt>
                <c:pt idx="1">
                  <c:v>2016/17</c:v>
                </c:pt>
                <c:pt idx="2">
                  <c:v>2017/18</c:v>
                </c:pt>
                <c:pt idx="3">
                  <c:v>2018/19</c:v>
                </c:pt>
                <c:pt idx="4">
                  <c:v>2019/20</c:v>
                </c:pt>
                <c:pt idx="5">
                  <c:v>2020/21</c:v>
                </c:pt>
                <c:pt idx="6">
                  <c:v>2021/22</c:v>
                </c:pt>
                <c:pt idx="7">
                  <c:v>2022/23</c:v>
                </c:pt>
                <c:pt idx="8">
                  <c:v>2023/24</c:v>
                </c:pt>
                <c:pt idx="9">
                  <c:v>2024/25</c:v>
                </c:pt>
              </c:strCache>
            </c:strRef>
          </c:cat>
          <c:val>
            <c:numRef>
              <c:f>'Yearly Renewable'!$F$2:$F$11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2920</c:v>
                </c:pt>
                <c:pt idx="5" formatCode="#,##0">
                  <c:v>391443</c:v>
                </c:pt>
                <c:pt idx="6" formatCode="#,##0">
                  <c:v>1912724</c:v>
                </c:pt>
                <c:pt idx="7" formatCode="#,##0">
                  <c:v>2325806</c:v>
                </c:pt>
                <c:pt idx="8" formatCode="#,##0">
                  <c:v>2334777</c:v>
                </c:pt>
                <c:pt idx="9" formatCode="#,##0">
                  <c:v>2728619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3-EF44-918C-E91F3D867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837328"/>
        <c:axId val="959839056"/>
      </c:areaChart>
      <c:catAx>
        <c:axId val="95983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39056"/>
        <c:crosses val="autoZero"/>
        <c:auto val="1"/>
        <c:lblAlgn val="ctr"/>
        <c:lblOffset val="100"/>
        <c:noMultiLvlLbl val="0"/>
      </c:catAx>
      <c:valAx>
        <c:axId val="9598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37328"/>
        <c:crosses val="autoZero"/>
        <c:crossBetween val="midCat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kWh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HK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Electricity Breakdown</a:t>
            </a:r>
            <a:endParaRPr lang="en-HK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HK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'Yearly Electricity Reformatted'!$B$1</c:f>
              <c:strCache>
                <c:ptCount val="1"/>
                <c:pt idx="0">
                  <c:v>Main Academic Buildings and Others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Reformatted'!$B$3:$B$13</c:f>
              <c:numCache>
                <c:formatCode>#,##0</c:formatCode>
                <c:ptCount val="11"/>
                <c:pt idx="0">
                  <c:v>67393898</c:v>
                </c:pt>
                <c:pt idx="1">
                  <c:v>49463702</c:v>
                </c:pt>
                <c:pt idx="2">
                  <c:v>48006917</c:v>
                </c:pt>
                <c:pt idx="3">
                  <c:v>45714514</c:v>
                </c:pt>
                <c:pt idx="4">
                  <c:v>45233408</c:v>
                </c:pt>
                <c:pt idx="5">
                  <c:v>47175537</c:v>
                </c:pt>
                <c:pt idx="6">
                  <c:v>47127781.249896392</c:v>
                </c:pt>
                <c:pt idx="7">
                  <c:v>47800292.8000848</c:v>
                </c:pt>
                <c:pt idx="8">
                  <c:v>48777120.4142472</c:v>
                </c:pt>
                <c:pt idx="9">
                  <c:v>46952373</c:v>
                </c:pt>
                <c:pt idx="10">
                  <c:v>51413032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71A-AEEC-7B721F5C3F2F}"/>
            </c:ext>
          </c:extLst>
        </c:ser>
        <c:ser>
          <c:idx val="1"/>
          <c:order val="1"/>
          <c:tx>
            <c:strRef>
              <c:f>'Yearly Electricity Reformatted'!$C$1</c:f>
              <c:strCache>
                <c:ptCount val="1"/>
                <c:pt idx="0">
                  <c:v>Main Chiller Plant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Reformatted'!$C$3:$C$13</c:f>
              <c:numCache>
                <c:formatCode>#,##0</c:formatCode>
                <c:ptCount val="11"/>
                <c:pt idx="1">
                  <c:v>16770100</c:v>
                </c:pt>
                <c:pt idx="2">
                  <c:v>16665790</c:v>
                </c:pt>
                <c:pt idx="3">
                  <c:v>16384824</c:v>
                </c:pt>
                <c:pt idx="4">
                  <c:v>17377146</c:v>
                </c:pt>
                <c:pt idx="5">
                  <c:v>14469480</c:v>
                </c:pt>
                <c:pt idx="6">
                  <c:v>16098298.750103623</c:v>
                </c:pt>
                <c:pt idx="7">
                  <c:v>16113173.199915197</c:v>
                </c:pt>
                <c:pt idx="8">
                  <c:v>16935746.5857528</c:v>
                </c:pt>
                <c:pt idx="9">
                  <c:v>17672272</c:v>
                </c:pt>
                <c:pt idx="10">
                  <c:v>17987598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1-471A-AEEC-7B721F5C3F2F}"/>
            </c:ext>
          </c:extLst>
        </c:ser>
        <c:ser>
          <c:idx val="2"/>
          <c:order val="2"/>
          <c:tx>
            <c:strRef>
              <c:f>'Yearly Electricity Reformatted'!$D$1</c:f>
              <c:strCache>
                <c:ptCount val="1"/>
                <c:pt idx="0">
                  <c:v>LSK Chiller Plant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Reformatted'!$D$3:$D$13</c:f>
              <c:numCache>
                <c:formatCode>#,##0</c:formatCode>
                <c:ptCount val="11"/>
                <c:pt idx="1">
                  <c:v>1700914</c:v>
                </c:pt>
                <c:pt idx="2">
                  <c:v>1730081</c:v>
                </c:pt>
                <c:pt idx="3">
                  <c:v>1804895</c:v>
                </c:pt>
                <c:pt idx="4">
                  <c:v>1782046</c:v>
                </c:pt>
                <c:pt idx="5">
                  <c:v>1734286</c:v>
                </c:pt>
                <c:pt idx="6">
                  <c:v>1731267</c:v>
                </c:pt>
                <c:pt idx="7">
                  <c:v>1606903</c:v>
                </c:pt>
                <c:pt idx="8">
                  <c:v>1632560</c:v>
                </c:pt>
                <c:pt idx="9">
                  <c:v>1497696</c:v>
                </c:pt>
                <c:pt idx="10">
                  <c:v>1344476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1-471A-AEEC-7B721F5C3F2F}"/>
            </c:ext>
          </c:extLst>
        </c:ser>
        <c:ser>
          <c:idx val="3"/>
          <c:order val="3"/>
          <c:tx>
            <c:strRef>
              <c:f>'Yearly Electricity Reformatted'!$E$1</c:f>
              <c:strCache>
                <c:ptCount val="1"/>
                <c:pt idx="0">
                  <c:v>Cheng Yu Tung Building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Reformatted'!$E$3:$E$13</c:f>
              <c:numCache>
                <c:formatCode>#,##0</c:formatCode>
                <c:ptCount val="11"/>
                <c:pt idx="1">
                  <c:v>3645309</c:v>
                </c:pt>
                <c:pt idx="2">
                  <c:v>5024155</c:v>
                </c:pt>
                <c:pt idx="3">
                  <c:v>5097362</c:v>
                </c:pt>
                <c:pt idx="4">
                  <c:v>5130335</c:v>
                </c:pt>
                <c:pt idx="5">
                  <c:v>4687192</c:v>
                </c:pt>
                <c:pt idx="6">
                  <c:v>4563321</c:v>
                </c:pt>
                <c:pt idx="7">
                  <c:v>4504535</c:v>
                </c:pt>
                <c:pt idx="8">
                  <c:v>4412027</c:v>
                </c:pt>
                <c:pt idx="9">
                  <c:v>4746630</c:v>
                </c:pt>
                <c:pt idx="10">
                  <c:v>4931340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11-471A-AEEC-7B721F5C3F2F}"/>
            </c:ext>
          </c:extLst>
        </c:ser>
        <c:ser>
          <c:idx val="4"/>
          <c:order val="4"/>
          <c:tx>
            <c:strRef>
              <c:f>'Yearly Electricity Reformatted'!$F$1</c:f>
              <c:strCache>
                <c:ptCount val="1"/>
                <c:pt idx="0">
                  <c:v>LSK Building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Reformatted'!$F$3:$F$13</c:f>
              <c:numCache>
                <c:formatCode>#,##0</c:formatCode>
                <c:ptCount val="11"/>
                <c:pt idx="0">
                  <c:v>5600308</c:v>
                </c:pt>
                <c:pt idx="1">
                  <c:v>3131115</c:v>
                </c:pt>
                <c:pt idx="2">
                  <c:v>3213275</c:v>
                </c:pt>
                <c:pt idx="3">
                  <c:v>3326876</c:v>
                </c:pt>
                <c:pt idx="4">
                  <c:v>3145915</c:v>
                </c:pt>
                <c:pt idx="5">
                  <c:v>2809718</c:v>
                </c:pt>
                <c:pt idx="6">
                  <c:v>2719509</c:v>
                </c:pt>
                <c:pt idx="7">
                  <c:v>2688466</c:v>
                </c:pt>
                <c:pt idx="8">
                  <c:v>2699255</c:v>
                </c:pt>
                <c:pt idx="9">
                  <c:v>2713600</c:v>
                </c:pt>
                <c:pt idx="10">
                  <c:v>2904600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11-471A-AEEC-7B721F5C3F2F}"/>
            </c:ext>
          </c:extLst>
        </c:ser>
        <c:ser>
          <c:idx val="5"/>
          <c:order val="5"/>
          <c:tx>
            <c:strRef>
              <c:f>'Yearly Electricity Reformatted'!$G$1</c:f>
              <c:strCache>
                <c:ptCount val="1"/>
                <c:pt idx="0">
                  <c:v>IAS Building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Reformatted'!$G$3:$G$13</c:f>
              <c:numCache>
                <c:formatCode>#,##0</c:formatCode>
                <c:ptCount val="11"/>
                <c:pt idx="1">
                  <c:v>2552993</c:v>
                </c:pt>
                <c:pt idx="2">
                  <c:v>2598423</c:v>
                </c:pt>
                <c:pt idx="3">
                  <c:v>2668682</c:v>
                </c:pt>
                <c:pt idx="4">
                  <c:v>681596</c:v>
                </c:pt>
                <c:pt idx="5">
                  <c:v>645509</c:v>
                </c:pt>
                <c:pt idx="6">
                  <c:v>706462</c:v>
                </c:pt>
                <c:pt idx="7">
                  <c:v>625243</c:v>
                </c:pt>
                <c:pt idx="8">
                  <c:v>654339</c:v>
                </c:pt>
                <c:pt idx="9">
                  <c:v>588506</c:v>
                </c:pt>
                <c:pt idx="10">
                  <c:v>597167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11-471A-AEEC-7B721F5C3F2F}"/>
            </c:ext>
          </c:extLst>
        </c:ser>
        <c:ser>
          <c:idx val="6"/>
          <c:order val="6"/>
          <c:tx>
            <c:strRef>
              <c:f>'Yearly Electricity Reformatted'!$J$1</c:f>
              <c:strCache>
                <c:ptCount val="1"/>
                <c:pt idx="0">
                  <c:v>Innovation Building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Reformatted'!$J$3:$J$13</c:f>
              <c:numCache>
                <c:formatCode>#,##0</c:formatCode>
                <c:ptCount val="11"/>
                <c:pt idx="10">
                  <c:v>191396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11-471A-AEEC-7B721F5C3F2F}"/>
            </c:ext>
          </c:extLst>
        </c:ser>
        <c:ser>
          <c:idx val="7"/>
          <c:order val="7"/>
          <c:tx>
            <c:strRef>
              <c:f>'Yearly Electricity Reformatted'!$K$1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Reformatted'!$K$3:$K$13</c:f>
              <c:numCache>
                <c:formatCode>#,##0</c:formatCode>
                <c:ptCount val="11"/>
                <c:pt idx="1">
                  <c:v>1485087</c:v>
                </c:pt>
                <c:pt idx="2">
                  <c:v>1687180</c:v>
                </c:pt>
                <c:pt idx="3">
                  <c:v>1903435</c:v>
                </c:pt>
                <c:pt idx="4">
                  <c:v>1649404</c:v>
                </c:pt>
                <c:pt idx="5">
                  <c:v>1315160</c:v>
                </c:pt>
                <c:pt idx="6">
                  <c:v>1012439</c:v>
                </c:pt>
                <c:pt idx="7">
                  <c:v>1013635</c:v>
                </c:pt>
                <c:pt idx="8">
                  <c:v>1222009</c:v>
                </c:pt>
                <c:pt idx="9">
                  <c:v>1461410</c:v>
                </c:pt>
                <c:pt idx="10">
                  <c:v>1386485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11-471A-AEEC-7B721F5C3F2F}"/>
            </c:ext>
          </c:extLst>
        </c:ser>
        <c:ser>
          <c:idx val="8"/>
          <c:order val="8"/>
          <c:tx>
            <c:strRef>
              <c:f>'Yearly Electricity Reformatted'!$L$1</c:f>
              <c:strCache>
                <c:ptCount val="1"/>
                <c:pt idx="0">
                  <c:v>Staff Quarter Common Area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Reformatted'!$L$3:$L$13</c:f>
              <c:numCache>
                <c:formatCode>#,##0</c:formatCode>
                <c:ptCount val="11"/>
                <c:pt idx="0">
                  <c:v>1858865</c:v>
                </c:pt>
                <c:pt idx="1">
                  <c:v>1698200</c:v>
                </c:pt>
                <c:pt idx="2">
                  <c:v>1234776</c:v>
                </c:pt>
                <c:pt idx="3">
                  <c:v>2016215</c:v>
                </c:pt>
                <c:pt idx="4">
                  <c:v>913798</c:v>
                </c:pt>
                <c:pt idx="5">
                  <c:v>870935</c:v>
                </c:pt>
                <c:pt idx="6">
                  <c:v>915556</c:v>
                </c:pt>
                <c:pt idx="7">
                  <c:v>876124</c:v>
                </c:pt>
                <c:pt idx="8">
                  <c:v>861699</c:v>
                </c:pt>
                <c:pt idx="9">
                  <c:v>909181</c:v>
                </c:pt>
                <c:pt idx="10">
                  <c:v>818470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11-471A-AEEC-7B721F5C3F2F}"/>
            </c:ext>
          </c:extLst>
        </c:ser>
        <c:ser>
          <c:idx val="9"/>
          <c:order val="9"/>
          <c:tx>
            <c:strRef>
              <c:f>'Yearly Electricity Reformatted'!$M$1</c:f>
              <c:strCache>
                <c:ptCount val="1"/>
                <c:pt idx="0">
                  <c:v>Student Housing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Reformatted'!$M$3:$M$13</c:f>
              <c:numCache>
                <c:formatCode>#,##0</c:formatCode>
                <c:ptCount val="11"/>
                <c:pt idx="0">
                  <c:v>9972879</c:v>
                </c:pt>
                <c:pt idx="1">
                  <c:v>7357743</c:v>
                </c:pt>
                <c:pt idx="2">
                  <c:v>7229580</c:v>
                </c:pt>
                <c:pt idx="3">
                  <c:v>6776467</c:v>
                </c:pt>
                <c:pt idx="4">
                  <c:v>6477491</c:v>
                </c:pt>
                <c:pt idx="5">
                  <c:v>5611932</c:v>
                </c:pt>
                <c:pt idx="6">
                  <c:v>7235988</c:v>
                </c:pt>
                <c:pt idx="7">
                  <c:v>8034434</c:v>
                </c:pt>
                <c:pt idx="8">
                  <c:v>10037977</c:v>
                </c:pt>
                <c:pt idx="9">
                  <c:v>12953638</c:v>
                </c:pt>
                <c:pt idx="10">
                  <c:v>13667138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11-471A-AEEC-7B721F5C3F2F}"/>
            </c:ext>
          </c:extLst>
        </c:ser>
        <c:ser>
          <c:idx val="10"/>
          <c:order val="10"/>
          <c:tx>
            <c:strRef>
              <c:f>'Yearly Electricity Reformatted'!$P$1</c:f>
              <c:strCache>
                <c:ptCount val="1"/>
                <c:pt idx="0">
                  <c:v>Staff Quarters &amp; Commercial Outlet (Total)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Reformatted'!$P$3:$P$13</c:f>
            </c:numRef>
          </c:val>
          <c:extLst>
            <c:ext xmlns:c16="http://schemas.microsoft.com/office/drawing/2014/chart" uri="{C3380CC4-5D6E-409C-BE32-E72D297353CC}">
              <c16:uniqueId val="{0000000A-9E11-471A-AEEC-7B721F5C3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770943"/>
        <c:axId val="1903352527"/>
      </c:areaChart>
      <c:catAx>
        <c:axId val="4377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3352527"/>
        <c:crosses val="autoZero"/>
        <c:auto val="1"/>
        <c:lblAlgn val="ctr"/>
        <c:lblOffset val="100"/>
        <c:noMultiLvlLbl val="0"/>
      </c:catAx>
      <c:valAx>
        <c:axId val="19033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7770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HK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Electricity Breakdown</a:t>
            </a:r>
            <a:endParaRPr lang="en-HK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HK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'Yearly Electricity Reformatted'!$B$1</c:f>
              <c:strCache>
                <c:ptCount val="1"/>
                <c:pt idx="0">
                  <c:v>Main Academic Buildings and Others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Reformatted'!$B$3:$B$13</c:f>
              <c:numCache>
                <c:formatCode>#,##0</c:formatCode>
                <c:ptCount val="11"/>
                <c:pt idx="0">
                  <c:v>67393898</c:v>
                </c:pt>
                <c:pt idx="1">
                  <c:v>49463702</c:v>
                </c:pt>
                <c:pt idx="2">
                  <c:v>48006917</c:v>
                </c:pt>
                <c:pt idx="3">
                  <c:v>45714514</c:v>
                </c:pt>
                <c:pt idx="4">
                  <c:v>45233408</c:v>
                </c:pt>
                <c:pt idx="5">
                  <c:v>47175537</c:v>
                </c:pt>
                <c:pt idx="6">
                  <c:v>47127781.249896392</c:v>
                </c:pt>
                <c:pt idx="7">
                  <c:v>47800292.8000848</c:v>
                </c:pt>
                <c:pt idx="8">
                  <c:v>48777120.4142472</c:v>
                </c:pt>
                <c:pt idx="9">
                  <c:v>46952373</c:v>
                </c:pt>
                <c:pt idx="10">
                  <c:v>51413032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71A-AEEC-7B721F5C3F2F}"/>
            </c:ext>
          </c:extLst>
        </c:ser>
        <c:ser>
          <c:idx val="1"/>
          <c:order val="1"/>
          <c:tx>
            <c:strRef>
              <c:f>'Yearly Electricity Reformatted'!$C$1</c:f>
              <c:strCache>
                <c:ptCount val="1"/>
                <c:pt idx="0">
                  <c:v>Main Chiller Plant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Reformatted'!$C$3:$C$13</c:f>
              <c:numCache>
                <c:formatCode>#,##0</c:formatCode>
                <c:ptCount val="11"/>
                <c:pt idx="1">
                  <c:v>16770100</c:v>
                </c:pt>
                <c:pt idx="2">
                  <c:v>16665790</c:v>
                </c:pt>
                <c:pt idx="3">
                  <c:v>16384824</c:v>
                </c:pt>
                <c:pt idx="4">
                  <c:v>17377146</c:v>
                </c:pt>
                <c:pt idx="5">
                  <c:v>14469480</c:v>
                </c:pt>
                <c:pt idx="6">
                  <c:v>16098298.750103623</c:v>
                </c:pt>
                <c:pt idx="7">
                  <c:v>16113173.199915197</c:v>
                </c:pt>
                <c:pt idx="8">
                  <c:v>16935746.5857528</c:v>
                </c:pt>
                <c:pt idx="9">
                  <c:v>17672272</c:v>
                </c:pt>
                <c:pt idx="10">
                  <c:v>17987598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1-471A-AEEC-7B721F5C3F2F}"/>
            </c:ext>
          </c:extLst>
        </c:ser>
        <c:ser>
          <c:idx val="2"/>
          <c:order val="2"/>
          <c:tx>
            <c:strRef>
              <c:f>'Yearly Electricity Reformatted'!$D$1</c:f>
              <c:strCache>
                <c:ptCount val="1"/>
                <c:pt idx="0">
                  <c:v>LSK Chiller Plant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Reformatted'!$D$3:$D$13</c:f>
              <c:numCache>
                <c:formatCode>#,##0</c:formatCode>
                <c:ptCount val="11"/>
                <c:pt idx="1">
                  <c:v>1700914</c:v>
                </c:pt>
                <c:pt idx="2">
                  <c:v>1730081</c:v>
                </c:pt>
                <c:pt idx="3">
                  <c:v>1804895</c:v>
                </c:pt>
                <c:pt idx="4">
                  <c:v>1782046</c:v>
                </c:pt>
                <c:pt idx="5">
                  <c:v>1734286</c:v>
                </c:pt>
                <c:pt idx="6">
                  <c:v>1731267</c:v>
                </c:pt>
                <c:pt idx="7">
                  <c:v>1606903</c:v>
                </c:pt>
                <c:pt idx="8">
                  <c:v>1632560</c:v>
                </c:pt>
                <c:pt idx="9">
                  <c:v>1497696</c:v>
                </c:pt>
                <c:pt idx="10">
                  <c:v>1344476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1-471A-AEEC-7B721F5C3F2F}"/>
            </c:ext>
          </c:extLst>
        </c:ser>
        <c:ser>
          <c:idx val="3"/>
          <c:order val="3"/>
          <c:tx>
            <c:strRef>
              <c:f>'Yearly Electricity Reformatted'!$E$1</c:f>
              <c:strCache>
                <c:ptCount val="1"/>
                <c:pt idx="0">
                  <c:v>Cheng Yu Tung Building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Reformatted'!$E$3:$E$13</c:f>
              <c:numCache>
                <c:formatCode>#,##0</c:formatCode>
                <c:ptCount val="11"/>
                <c:pt idx="1">
                  <c:v>3645309</c:v>
                </c:pt>
                <c:pt idx="2">
                  <c:v>5024155</c:v>
                </c:pt>
                <c:pt idx="3">
                  <c:v>5097362</c:v>
                </c:pt>
                <c:pt idx="4">
                  <c:v>5130335</c:v>
                </c:pt>
                <c:pt idx="5">
                  <c:v>4687192</c:v>
                </c:pt>
                <c:pt idx="6">
                  <c:v>4563321</c:v>
                </c:pt>
                <c:pt idx="7">
                  <c:v>4504535</c:v>
                </c:pt>
                <c:pt idx="8">
                  <c:v>4412027</c:v>
                </c:pt>
                <c:pt idx="9">
                  <c:v>4746630</c:v>
                </c:pt>
                <c:pt idx="10">
                  <c:v>4931340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11-471A-AEEC-7B721F5C3F2F}"/>
            </c:ext>
          </c:extLst>
        </c:ser>
        <c:ser>
          <c:idx val="4"/>
          <c:order val="4"/>
          <c:tx>
            <c:strRef>
              <c:f>'Yearly Electricity Reformatted'!$F$1</c:f>
              <c:strCache>
                <c:ptCount val="1"/>
                <c:pt idx="0">
                  <c:v>LSK Building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Reformatted'!$F$3:$F$13</c:f>
              <c:numCache>
                <c:formatCode>#,##0</c:formatCode>
                <c:ptCount val="11"/>
                <c:pt idx="0">
                  <c:v>5600308</c:v>
                </c:pt>
                <c:pt idx="1">
                  <c:v>3131115</c:v>
                </c:pt>
                <c:pt idx="2">
                  <c:v>3213275</c:v>
                </c:pt>
                <c:pt idx="3">
                  <c:v>3326876</c:v>
                </c:pt>
                <c:pt idx="4">
                  <c:v>3145915</c:v>
                </c:pt>
                <c:pt idx="5">
                  <c:v>2809718</c:v>
                </c:pt>
                <c:pt idx="6">
                  <c:v>2719509</c:v>
                </c:pt>
                <c:pt idx="7">
                  <c:v>2688466</c:v>
                </c:pt>
                <c:pt idx="8">
                  <c:v>2699255</c:v>
                </c:pt>
                <c:pt idx="9">
                  <c:v>2713600</c:v>
                </c:pt>
                <c:pt idx="10">
                  <c:v>2904600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11-471A-AEEC-7B721F5C3F2F}"/>
            </c:ext>
          </c:extLst>
        </c:ser>
        <c:ser>
          <c:idx val="5"/>
          <c:order val="5"/>
          <c:tx>
            <c:strRef>
              <c:f>'Yearly Electricity Reformatted'!$G$1</c:f>
              <c:strCache>
                <c:ptCount val="1"/>
                <c:pt idx="0">
                  <c:v>IAS Building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Reformatted'!$G$3:$G$13</c:f>
              <c:numCache>
                <c:formatCode>#,##0</c:formatCode>
                <c:ptCount val="11"/>
                <c:pt idx="1">
                  <c:v>2552993</c:v>
                </c:pt>
                <c:pt idx="2">
                  <c:v>2598423</c:v>
                </c:pt>
                <c:pt idx="3">
                  <c:v>2668682</c:v>
                </c:pt>
                <c:pt idx="4">
                  <c:v>681596</c:v>
                </c:pt>
                <c:pt idx="5">
                  <c:v>645509</c:v>
                </c:pt>
                <c:pt idx="6">
                  <c:v>706462</c:v>
                </c:pt>
                <c:pt idx="7">
                  <c:v>625243</c:v>
                </c:pt>
                <c:pt idx="8">
                  <c:v>654339</c:v>
                </c:pt>
                <c:pt idx="9">
                  <c:v>588506</c:v>
                </c:pt>
                <c:pt idx="10">
                  <c:v>597167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11-471A-AEEC-7B721F5C3F2F}"/>
            </c:ext>
          </c:extLst>
        </c:ser>
        <c:ser>
          <c:idx val="6"/>
          <c:order val="6"/>
          <c:tx>
            <c:strRef>
              <c:f>'Yearly Electricity Reformatted'!$J$1</c:f>
              <c:strCache>
                <c:ptCount val="1"/>
                <c:pt idx="0">
                  <c:v>Innovation Building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Reformatted'!$J$3:$J$13</c:f>
              <c:numCache>
                <c:formatCode>#,##0</c:formatCode>
                <c:ptCount val="11"/>
                <c:pt idx="10">
                  <c:v>191396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11-471A-AEEC-7B721F5C3F2F}"/>
            </c:ext>
          </c:extLst>
        </c:ser>
        <c:ser>
          <c:idx val="7"/>
          <c:order val="7"/>
          <c:tx>
            <c:strRef>
              <c:f>'Yearly Electricity Reformatted'!$K$1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Reformatted'!$K$3:$K$13</c:f>
              <c:numCache>
                <c:formatCode>#,##0</c:formatCode>
                <c:ptCount val="11"/>
                <c:pt idx="1">
                  <c:v>1485087</c:v>
                </c:pt>
                <c:pt idx="2">
                  <c:v>1687180</c:v>
                </c:pt>
                <c:pt idx="3">
                  <c:v>1903435</c:v>
                </c:pt>
                <c:pt idx="4">
                  <c:v>1649404</c:v>
                </c:pt>
                <c:pt idx="5">
                  <c:v>1315160</c:v>
                </c:pt>
                <c:pt idx="6">
                  <c:v>1012439</c:v>
                </c:pt>
                <c:pt idx="7">
                  <c:v>1013635</c:v>
                </c:pt>
                <c:pt idx="8">
                  <c:v>1222009</c:v>
                </c:pt>
                <c:pt idx="9">
                  <c:v>1461410</c:v>
                </c:pt>
                <c:pt idx="10">
                  <c:v>1386485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11-471A-AEEC-7B721F5C3F2F}"/>
            </c:ext>
          </c:extLst>
        </c:ser>
        <c:ser>
          <c:idx val="8"/>
          <c:order val="8"/>
          <c:tx>
            <c:strRef>
              <c:f>'Yearly Electricity Reformatted'!$L$1</c:f>
              <c:strCache>
                <c:ptCount val="1"/>
                <c:pt idx="0">
                  <c:v>Staff Quarter Common Area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Reformatted'!$L$3:$L$13</c:f>
              <c:numCache>
                <c:formatCode>#,##0</c:formatCode>
                <c:ptCount val="11"/>
                <c:pt idx="0">
                  <c:v>1858865</c:v>
                </c:pt>
                <c:pt idx="1">
                  <c:v>1698200</c:v>
                </c:pt>
                <c:pt idx="2">
                  <c:v>1234776</c:v>
                </c:pt>
                <c:pt idx="3">
                  <c:v>2016215</c:v>
                </c:pt>
                <c:pt idx="4">
                  <c:v>913798</c:v>
                </c:pt>
                <c:pt idx="5">
                  <c:v>870935</c:v>
                </c:pt>
                <c:pt idx="6">
                  <c:v>915556</c:v>
                </c:pt>
                <c:pt idx="7">
                  <c:v>876124</c:v>
                </c:pt>
                <c:pt idx="8">
                  <c:v>861699</c:v>
                </c:pt>
                <c:pt idx="9">
                  <c:v>909181</c:v>
                </c:pt>
                <c:pt idx="10">
                  <c:v>818470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11-471A-AEEC-7B721F5C3F2F}"/>
            </c:ext>
          </c:extLst>
        </c:ser>
        <c:ser>
          <c:idx val="9"/>
          <c:order val="9"/>
          <c:tx>
            <c:strRef>
              <c:f>'Yearly Electricity Reformatted'!$M$1</c:f>
              <c:strCache>
                <c:ptCount val="1"/>
                <c:pt idx="0">
                  <c:v>Student Housing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Reformatted'!$M$3:$M$13</c:f>
              <c:numCache>
                <c:formatCode>#,##0</c:formatCode>
                <c:ptCount val="11"/>
                <c:pt idx="0">
                  <c:v>9972879</c:v>
                </c:pt>
                <c:pt idx="1">
                  <c:v>7357743</c:v>
                </c:pt>
                <c:pt idx="2">
                  <c:v>7229580</c:v>
                </c:pt>
                <c:pt idx="3">
                  <c:v>6776467</c:v>
                </c:pt>
                <c:pt idx="4">
                  <c:v>6477491</c:v>
                </c:pt>
                <c:pt idx="5">
                  <c:v>5611932</c:v>
                </c:pt>
                <c:pt idx="6">
                  <c:v>7235988</c:v>
                </c:pt>
                <c:pt idx="7">
                  <c:v>8034434</c:v>
                </c:pt>
                <c:pt idx="8">
                  <c:v>10037977</c:v>
                </c:pt>
                <c:pt idx="9">
                  <c:v>12953638</c:v>
                </c:pt>
                <c:pt idx="10">
                  <c:v>13667138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11-471A-AEEC-7B721F5C3F2F}"/>
            </c:ext>
          </c:extLst>
        </c:ser>
        <c:ser>
          <c:idx val="10"/>
          <c:order val="10"/>
          <c:tx>
            <c:strRef>
              <c:f>'Yearly Electricity Reformatted'!$N$1</c:f>
              <c:strCache>
                <c:ptCount val="1"/>
                <c:pt idx="0">
                  <c:v>Staff Quarters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Reformatted'!$N$3:$N$13</c:f>
              <c:numCache>
                <c:formatCode>#,##0</c:formatCode>
                <c:ptCount val="11"/>
                <c:pt idx="0">
                  <c:v>4661493</c:v>
                </c:pt>
                <c:pt idx="1">
                  <c:v>4436843</c:v>
                </c:pt>
                <c:pt idx="2">
                  <c:v>3439106</c:v>
                </c:pt>
                <c:pt idx="3">
                  <c:v>4000347</c:v>
                </c:pt>
                <c:pt idx="4">
                  <c:v>3939463</c:v>
                </c:pt>
                <c:pt idx="5">
                  <c:v>4707939</c:v>
                </c:pt>
                <c:pt idx="6">
                  <c:v>4931331</c:v>
                </c:pt>
                <c:pt idx="7">
                  <c:v>4653391</c:v>
                </c:pt>
                <c:pt idx="8">
                  <c:v>4585511</c:v>
                </c:pt>
                <c:pt idx="9">
                  <c:v>4891328</c:v>
                </c:pt>
                <c:pt idx="10">
                  <c:v>5118600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2-D746-A70C-EAF276CEB3E1}"/>
            </c:ext>
          </c:extLst>
        </c:ser>
        <c:ser>
          <c:idx val="11"/>
          <c:order val="11"/>
          <c:tx>
            <c:strRef>
              <c:f>'Yearly Electricity Reformatted'!$O$1</c:f>
              <c:strCache>
                <c:ptCount val="1"/>
                <c:pt idx="0">
                  <c:v>Commercial Outlets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Reformatted'!$O$3:$O$13</c:f>
              <c:numCache>
                <c:formatCode>#,##0</c:formatCode>
                <c:ptCount val="11"/>
                <c:pt idx="0">
                  <c:v>3418093</c:v>
                </c:pt>
                <c:pt idx="1">
                  <c:v>3558064</c:v>
                </c:pt>
                <c:pt idx="2">
                  <c:v>3657075</c:v>
                </c:pt>
                <c:pt idx="3">
                  <c:v>3272833</c:v>
                </c:pt>
                <c:pt idx="4">
                  <c:v>3855492</c:v>
                </c:pt>
                <c:pt idx="5">
                  <c:v>3325556</c:v>
                </c:pt>
                <c:pt idx="6">
                  <c:v>3263145</c:v>
                </c:pt>
                <c:pt idx="7">
                  <c:v>3480083</c:v>
                </c:pt>
                <c:pt idx="8">
                  <c:v>4058505</c:v>
                </c:pt>
                <c:pt idx="9">
                  <c:v>4291088</c:v>
                </c:pt>
                <c:pt idx="10">
                  <c:v>4697943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2-D746-A70C-EAF276CE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770943"/>
        <c:axId val="1903352527"/>
      </c:areaChart>
      <c:catAx>
        <c:axId val="4377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3352527"/>
        <c:crosses val="autoZero"/>
        <c:auto val="1"/>
        <c:lblAlgn val="ctr"/>
        <c:lblOffset val="100"/>
        <c:noMultiLvlLbl val="0"/>
      </c:catAx>
      <c:valAx>
        <c:axId val="19033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7770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GHG Emissions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v>Refrigerant and Others</c:v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'Scope 1'!$A$5:$A$7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1'!$AB$5:$AB$7</c:f>
              <c:numCache>
                <c:formatCode>#,##0.0000</c:formatCode>
                <c:ptCount val="3"/>
                <c:pt idx="0">
                  <c:v>111.9956</c:v>
                </c:pt>
                <c:pt idx="1">
                  <c:v>1311.08844</c:v>
                </c:pt>
                <c:pt idx="2">
                  <c:v>79.263559999999998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7C8-2448-87E7-5E462CF5F24D}"/>
            </c:ext>
          </c:extLst>
        </c:ser>
        <c:ser>
          <c:idx val="0"/>
          <c:order val="1"/>
          <c:tx>
            <c:v>Stationary Combustion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'Scope 1'!$A$5:$A$7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1'!$F$5:$F$7</c:f>
              <c:numCache>
                <c:formatCode>#,##0.0000</c:formatCode>
                <c:ptCount val="3"/>
                <c:pt idx="0">
                  <c:v>1059.3420969328231</c:v>
                </c:pt>
                <c:pt idx="1">
                  <c:v>1122.3113087001102</c:v>
                </c:pt>
                <c:pt idx="2">
                  <c:v>1085.3649127578763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8-2448-87E7-5E462CF5F24D}"/>
            </c:ext>
          </c:extLst>
        </c:ser>
        <c:ser>
          <c:idx val="1"/>
          <c:order val="2"/>
          <c:tx>
            <c:v>Mobile Combustion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'Scope 1'!$A$5:$A$7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1'!$S$5:$S$7</c:f>
              <c:numCache>
                <c:formatCode>#,##0.0000</c:formatCode>
                <c:ptCount val="3"/>
                <c:pt idx="0">
                  <c:v>78.371644070689996</c:v>
                </c:pt>
                <c:pt idx="1">
                  <c:v>64.322268032769998</c:v>
                </c:pt>
                <c:pt idx="2">
                  <c:v>56.457608425489994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7C8-2448-87E7-5E462CF5F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88671"/>
        <c:axId val="194774335"/>
      </c:areaChart>
      <c:catAx>
        <c:axId val="194788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74335"/>
        <c:crosses val="autoZero"/>
        <c:auto val="1"/>
        <c:lblAlgn val="ctr"/>
        <c:lblOffset val="100"/>
        <c:noMultiLvlLbl val="0"/>
      </c:catAx>
      <c:valAx>
        <c:axId val="1947743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Metric Tonnes of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88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2 GHG Emissions Breakdown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Main Academic Buildings and Others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2'!$B$3:$B$5</c:f>
              <c:numCache>
                <c:formatCode>#,##0.00</c:formatCode>
                <c:ptCount val="3"/>
                <c:pt idx="0">
                  <c:v>19445.509146653305</c:v>
                </c:pt>
                <c:pt idx="1">
                  <c:v>19710.821785200002</c:v>
                </c:pt>
                <c:pt idx="2">
                  <c:v>21226.737186000002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9-8546-92F5-A448ABD1DD9D}"/>
            </c:ext>
          </c:extLst>
        </c:ser>
        <c:ser>
          <c:idx val="1"/>
          <c:order val="1"/>
          <c:tx>
            <c:v>Main Chiller Plant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2'!$C$3:$C$5</c:f>
              <c:numCache>
                <c:formatCode>#,##0.00</c:formatCode>
                <c:ptCount val="3"/>
                <c:pt idx="0">
                  <c:v>6604.9413833466961</c:v>
                </c:pt>
                <c:pt idx="1">
                  <c:v>6884.8404378000005</c:v>
                </c:pt>
                <c:pt idx="2">
                  <c:v>6835.2869740000006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79-8546-92F5-A448ABD1DD9D}"/>
            </c:ext>
          </c:extLst>
        </c:ser>
        <c:ser>
          <c:idx val="2"/>
          <c:order val="2"/>
          <c:tx>
            <c:v>LSK Chiller Plant</c:v>
          </c:tx>
          <c:spPr>
            <a:solidFill>
              <a:schemeClr val="accent3">
                <a:lumMod val="75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2'!$D$3:$D$5</c:f>
              <c:numCache>
                <c:formatCode>#,##0.00</c:formatCode>
                <c:ptCount val="3"/>
                <c:pt idx="0">
                  <c:v>636.69839999999999</c:v>
                </c:pt>
                <c:pt idx="1">
                  <c:v>584.10144000000003</c:v>
                </c:pt>
                <c:pt idx="2">
                  <c:v>510.90088000000003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79-8546-92F5-A448ABD1DD9D}"/>
            </c:ext>
          </c:extLst>
        </c:ser>
        <c:ser>
          <c:idx val="3"/>
          <c:order val="3"/>
          <c:tx>
            <c:v>Cheng Yu Tung Building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2'!$E$3:$E$5</c:f>
              <c:numCache>
                <c:formatCode>#,##0.00</c:formatCode>
                <c:ptCount val="3"/>
                <c:pt idx="0">
                  <c:v>1720.6905300000001</c:v>
                </c:pt>
                <c:pt idx="1">
                  <c:v>1851.1857</c:v>
                </c:pt>
                <c:pt idx="2">
                  <c:v>1873.9092000000001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79-8546-92F5-A448ABD1DD9D}"/>
            </c:ext>
          </c:extLst>
        </c:ser>
        <c:ser>
          <c:idx val="4"/>
          <c:order val="4"/>
          <c:tx>
            <c:v>LSK Building</c:v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2'!$F$3:$F$5</c:f>
              <c:numCache>
                <c:formatCode>#,##0.00</c:formatCode>
                <c:ptCount val="3"/>
                <c:pt idx="0">
                  <c:v>1052.7094500000001</c:v>
                </c:pt>
                <c:pt idx="1">
                  <c:v>1058.3040000000001</c:v>
                </c:pt>
                <c:pt idx="2">
                  <c:v>1103.748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79-8546-92F5-A448ABD1DD9D}"/>
            </c:ext>
          </c:extLst>
        </c:ser>
        <c:ser>
          <c:idx val="5"/>
          <c:order val="5"/>
          <c:tx>
            <c:v>IAS Building</c:v>
          </c:tx>
          <c:spPr>
            <a:solidFill>
              <a:srgbClr val="B8E68E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2'!$G$3:$G$5</c:f>
              <c:numCache>
                <c:formatCode>#,##0.00</c:formatCode>
                <c:ptCount val="3"/>
                <c:pt idx="0">
                  <c:v>255.19221000000002</c:v>
                </c:pt>
                <c:pt idx="1">
                  <c:v>229.51733999999999</c:v>
                </c:pt>
                <c:pt idx="2">
                  <c:v>226.92346000000001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79-8546-92F5-A448ABD1DD9D}"/>
            </c:ext>
          </c:extLst>
        </c:ser>
        <c:ser>
          <c:idx val="6"/>
          <c:order val="6"/>
          <c:tx>
            <c:v>Innovation Building</c:v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2'!$H$3:$H$5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79-8546-92F5-A448ABD1DD9D}"/>
            </c:ext>
          </c:extLst>
        </c:ser>
        <c:ser>
          <c:idx val="7"/>
          <c:order val="7"/>
          <c:tx>
            <c:v>Conference Lodge</c:v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2'!$I$3:$I$5</c:f>
              <c:numCache>
                <c:formatCode>#,##0.00</c:formatCode>
                <c:ptCount val="3"/>
                <c:pt idx="0">
                  <c:v>476.58350999999999</c:v>
                </c:pt>
                <c:pt idx="1">
                  <c:v>576.76827000000003</c:v>
                </c:pt>
                <c:pt idx="2">
                  <c:v>526.86430000000007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79-8546-92F5-A448ABD1DD9D}"/>
            </c:ext>
          </c:extLst>
        </c:ser>
        <c:ser>
          <c:idx val="8"/>
          <c:order val="8"/>
          <c:tx>
            <c:v>Staff Quarter Common Area</c:v>
          </c:tx>
          <c:spPr>
            <a:solidFill>
              <a:srgbClr val="BAFFF3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2'!$J$3:$J$5</c:f>
              <c:numCache>
                <c:formatCode>#,##0.00</c:formatCode>
                <c:ptCount val="3"/>
                <c:pt idx="2">
                  <c:v>311.01859999999999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79-8546-92F5-A448ABD1DD9D}"/>
            </c:ext>
          </c:extLst>
        </c:ser>
        <c:ser>
          <c:idx val="9"/>
          <c:order val="9"/>
          <c:tx>
            <c:v>Student Housing</c:v>
          </c:tx>
          <c:spPr>
            <a:solidFill>
              <a:schemeClr val="accent6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2'!$K$3:$K$5</c:f>
              <c:numCache>
                <c:formatCode>#,##0.00</c:formatCode>
                <c:ptCount val="3"/>
                <c:pt idx="0">
                  <c:v>3070.12095</c:v>
                </c:pt>
                <c:pt idx="1">
                  <c:v>3239.9616599999999</c:v>
                </c:pt>
                <c:pt idx="2">
                  <c:v>3644.7912800000004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179-8546-92F5-A448ABD1DD9D}"/>
            </c:ext>
          </c:extLst>
        </c:ser>
        <c:ser>
          <c:idx val="10"/>
          <c:order val="10"/>
          <c:tx>
            <c:v>Staff Quarters &amp; Commercial Outlet</c:v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2'!$L$3:$L$5</c:f>
              <c:numCache>
                <c:formatCode>#,##0.00</c:formatCode>
                <c:ptCount val="3"/>
                <c:pt idx="0">
                  <c:v>3371.16624</c:v>
                </c:pt>
                <c:pt idx="1">
                  <c:v>3581.1422400000001</c:v>
                </c:pt>
                <c:pt idx="2">
                  <c:v>3730.2863399999997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79-8546-92F5-A448ABD1DD9D}"/>
            </c:ext>
          </c:extLst>
        </c:ser>
        <c:ser>
          <c:idx val="11"/>
          <c:order val="11"/>
          <c:tx>
            <c:v>Towngas</c:v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2'!$P$3:$P$5</c:f>
              <c:numCache>
                <c:formatCode>#,##0.00</c:formatCode>
                <c:ptCount val="3"/>
                <c:pt idx="0">
                  <c:v>237.22730749172018</c:v>
                </c:pt>
                <c:pt idx="1">
                  <c:v>251.69471999999996</c:v>
                </c:pt>
                <c:pt idx="2">
                  <c:v>231.54687543595463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179-8546-92F5-A448ABD1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425791"/>
        <c:axId val="1555428031"/>
      </c:areaChart>
      <c:catAx>
        <c:axId val="1555425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428031"/>
        <c:crosses val="autoZero"/>
        <c:auto val="1"/>
        <c:lblAlgn val="ctr"/>
        <c:lblOffset val="100"/>
        <c:noMultiLvlLbl val="0"/>
      </c:catAx>
      <c:valAx>
        <c:axId val="15554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Metric Tonnes of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425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Campus GFA &amp; Capita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GHG (mCO2)'!$G$1</c:f>
              <c:strCache>
                <c:ptCount val="1"/>
                <c:pt idx="0">
                  <c:v>Capita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'Yearly GHG (mCO2)'!$A$2:$A$16</c:f>
              <c:strCache>
                <c:ptCount val="15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 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</c:strCache>
            </c:strRef>
          </c:cat>
          <c:val>
            <c:numRef>
              <c:f>'Yearly GHG (mCO2)'!$G$2:$G$16</c:f>
              <c:numCache>
                <c:formatCode>#,##0.0</c:formatCode>
                <c:ptCount val="15"/>
                <c:pt idx="0">
                  <c:v>12358.5</c:v>
                </c:pt>
                <c:pt idx="1">
                  <c:v>12836.5</c:v>
                </c:pt>
                <c:pt idx="2">
                  <c:v>15176</c:v>
                </c:pt>
                <c:pt idx="3" formatCode="#,##0.00">
                  <c:v>15828.5</c:v>
                </c:pt>
                <c:pt idx="4" formatCode="#,##0.00">
                  <c:v>16340</c:v>
                </c:pt>
                <c:pt idx="5" formatCode="#,##0.00">
                  <c:v>16621</c:v>
                </c:pt>
                <c:pt idx="6" formatCode="#,##0.00">
                  <c:v>17299.5</c:v>
                </c:pt>
                <c:pt idx="7" formatCode="#,##0.00">
                  <c:v>17923.5</c:v>
                </c:pt>
                <c:pt idx="8" formatCode="#,##0.00">
                  <c:v>18508.5</c:v>
                </c:pt>
                <c:pt idx="9" formatCode="#,##0.00">
                  <c:v>17679</c:v>
                </c:pt>
                <c:pt idx="10" formatCode="#,##0.00">
                  <c:v>19717</c:v>
                </c:pt>
                <c:pt idx="11" formatCode="#,##0.00">
                  <c:v>20543</c:v>
                </c:pt>
                <c:pt idx="12" formatCode="#,##0.00">
                  <c:v>21497</c:v>
                </c:pt>
                <c:pt idx="13" formatCode="#,##0.00">
                  <c:v>22169</c:v>
                </c:pt>
                <c:pt idx="14" formatCode="#,##0.00">
                  <c:v>23877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5-470B-8626-82D51799C00F}"/>
            </c:ext>
          </c:extLst>
        </c:ser>
        <c:ser>
          <c:idx val="1"/>
          <c:order val="1"/>
          <c:tx>
            <c:strRef>
              <c:f>'Yearly GHG (mCO2)'!$H$1</c:f>
              <c:strCache>
                <c:ptCount val="1"/>
                <c:pt idx="0">
                  <c:v>GFA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'Yearly GHG (mCO2)'!$A$2:$A$16</c:f>
              <c:strCache>
                <c:ptCount val="15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 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</c:strCache>
            </c:strRef>
          </c:cat>
          <c:val>
            <c:numRef>
              <c:f>'Yearly GHG (mCO2)'!$H$2:$H$16</c:f>
              <c:numCache>
                <c:formatCode>#,##0.00</c:formatCode>
                <c:ptCount val="15"/>
                <c:pt idx="0">
                  <c:v>396061.68800000014</c:v>
                </c:pt>
                <c:pt idx="1">
                  <c:v>396150.50800000015</c:v>
                </c:pt>
                <c:pt idx="2">
                  <c:v>397633.34600000014</c:v>
                </c:pt>
                <c:pt idx="3">
                  <c:v>451064.35200000013</c:v>
                </c:pt>
                <c:pt idx="4">
                  <c:v>473560.66800000018</c:v>
                </c:pt>
                <c:pt idx="5">
                  <c:v>480093.4920000002</c:v>
                </c:pt>
                <c:pt idx="6">
                  <c:v>508000</c:v>
                </c:pt>
                <c:pt idx="7">
                  <c:v>512620</c:v>
                </c:pt>
                <c:pt idx="8">
                  <c:v>515105.13900000002</c:v>
                </c:pt>
                <c:pt idx="9">
                  <c:v>515105.13900000002</c:v>
                </c:pt>
                <c:pt idx="10">
                  <c:v>563595</c:v>
                </c:pt>
                <c:pt idx="11">
                  <c:v>578007.25</c:v>
                </c:pt>
                <c:pt idx="12">
                  <c:v>578007</c:v>
                </c:pt>
                <c:pt idx="13">
                  <c:v>587292</c:v>
                </c:pt>
                <c:pt idx="14">
                  <c:v>587292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75-470B-8626-82D51799C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461383"/>
        <c:axId val="1327463431"/>
      </c:lineChart>
      <c:catAx>
        <c:axId val="1327461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63431"/>
        <c:crosses val="autoZero"/>
        <c:auto val="1"/>
        <c:lblAlgn val="ctr"/>
        <c:lblOffset val="100"/>
        <c:noMultiLvlLbl val="0"/>
      </c:catAx>
      <c:valAx>
        <c:axId val="1327463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61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and Scope 2 GHG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Emissions Trend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Scope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GHG (mCO2)'!$A$6:$A$16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GHG (mCO2)'!$B$6:$B$16</c:f>
              <c:numCache>
                <c:formatCode>#,##0.00</c:formatCode>
                <c:ptCount val="11"/>
                <c:pt idx="0">
                  <c:v>1405.200312029305</c:v>
                </c:pt>
                <c:pt idx="1">
                  <c:v>1563.6205354876383</c:v>
                </c:pt>
                <c:pt idx="2">
                  <c:v>1337.0609269059973</c:v>
                </c:pt>
                <c:pt idx="3">
                  <c:v>1148.4810877614743</c:v>
                </c:pt>
                <c:pt idx="4">
                  <c:v>1227.695594864362</c:v>
                </c:pt>
                <c:pt idx="5">
                  <c:v>971.24594365821793</c:v>
                </c:pt>
                <c:pt idx="6">
                  <c:v>1017.8076872774918</c:v>
                </c:pt>
                <c:pt idx="7">
                  <c:v>1046.650922770445</c:v>
                </c:pt>
                <c:pt idx="8">
                  <c:v>1142.8893326863972</c:v>
                </c:pt>
                <c:pt idx="9">
                  <c:v>2497.7199999999998</c:v>
                </c:pt>
                <c:pt idx="10">
                  <c:v>1221.0860811833663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E-4748-9D40-F4533711D4E1}"/>
            </c:ext>
          </c:extLst>
        </c:ser>
        <c:ser>
          <c:idx val="1"/>
          <c:order val="1"/>
          <c:tx>
            <c:v>Scope 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'Yearly GHG (mCO2)'!$A$6:$A$16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GHG (mCO2)'!$C$6:$C$16</c:f>
              <c:numCache>
                <c:formatCode>#,##0.00</c:formatCode>
                <c:ptCount val="11"/>
                <c:pt idx="0">
                  <c:v>59828.186753623566</c:v>
                </c:pt>
                <c:pt idx="1">
                  <c:v>52060.221465614901</c:v>
                </c:pt>
                <c:pt idx="2">
                  <c:v>51318.439473707338</c:v>
                </c:pt>
                <c:pt idx="3">
                  <c:v>47664.456912654132</c:v>
                </c:pt>
                <c:pt idx="4">
                  <c:v>46254.13003972482</c:v>
                </c:pt>
                <c:pt idx="5">
                  <c:v>43879.023507000005</c:v>
                </c:pt>
                <c:pt idx="6">
                  <c:v>32886.461494444658</c:v>
                </c:pt>
                <c:pt idx="7">
                  <c:v>35205.522759149062</c:v>
                </c:pt>
                <c:pt idx="8">
                  <c:v>36870.839127491701</c:v>
                </c:pt>
                <c:pt idx="9">
                  <c:v>37968.339999999997</c:v>
                </c:pt>
                <c:pt idx="10">
                  <c:v>40222.013475435953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E-4748-9D40-F4533711D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4661887"/>
        <c:axId val="444349311"/>
      </c:barChart>
      <c:lineChart>
        <c:grouping val="standard"/>
        <c:varyColors val="0"/>
        <c:ser>
          <c:idx val="2"/>
          <c:order val="2"/>
          <c:tx>
            <c:v>Scope 1 &amp; 2 GHG per capita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'Yearly GHG (mCO2)'!$A$6:$A$16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GHG (mCO2)'!$I$6:$I$16</c:f>
              <c:numCache>
                <c:formatCode>#,##0.00</c:formatCode>
                <c:ptCount val="11"/>
                <c:pt idx="0">
                  <c:v>3.7474533087914854</c:v>
                </c:pt>
                <c:pt idx="1">
                  <c:v>3.2262705012395485</c:v>
                </c:pt>
                <c:pt idx="2">
                  <c:v>3.0437585132872824</c:v>
                </c:pt>
                <c:pt idx="3">
                  <c:v>2.7234043574310602</c:v>
                </c:pt>
                <c:pt idx="4">
                  <c:v>2.5654064691676353</c:v>
                </c:pt>
                <c:pt idx="5">
                  <c:v>2.5369234374488503</c:v>
                </c:pt>
                <c:pt idx="6">
                  <c:v>1.7195450211351702</c:v>
                </c:pt>
                <c:pt idx="7">
                  <c:v>1.7646971563023661</c:v>
                </c:pt>
                <c:pt idx="8">
                  <c:v>1.7683271368180722</c:v>
                </c:pt>
                <c:pt idx="9">
                  <c:v>1.8253443998376109</c:v>
                </c:pt>
                <c:pt idx="10">
                  <c:v>1.735691232425318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6E-4748-9D40-F4533711D4E1}"/>
            </c:ext>
          </c:extLst>
        </c:ser>
        <c:ser>
          <c:idx val="3"/>
          <c:order val="3"/>
          <c:tx>
            <c:v>Scope 1 &amp; 2 GHG per GFA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'Yearly GHG (mCO2)'!$A$6:$A$16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GHG (mCO2)'!$J$6:$J$16</c:f>
              <c:numCache>
                <c:formatCode>#,##0.00</c:formatCode>
                <c:ptCount val="11"/>
                <c:pt idx="0">
                  <c:v>1.2930420789433648</c:v>
                </c:pt>
                <c:pt idx="1">
                  <c:v>1.1169458219005084</c:v>
                </c:pt>
                <c:pt idx="2">
                  <c:v>1.0365255984372705</c:v>
                </c:pt>
                <c:pt idx="3">
                  <c:v>0.95222461083093912</c:v>
                </c:pt>
                <c:pt idx="4">
                  <c:v>0.92178901042936745</c:v>
                </c:pt>
                <c:pt idx="5">
                  <c:v>0.87070126183808516</c:v>
                </c:pt>
                <c:pt idx="6">
                  <c:v>0.60157150403609239</c:v>
                </c:pt>
                <c:pt idx="7">
                  <c:v>0.62719236967909153</c:v>
                </c:pt>
                <c:pt idx="8">
                  <c:v>0.65766899812940149</c:v>
                </c:pt>
                <c:pt idx="9">
                  <c:v>0.68902794521294342</c:v>
                </c:pt>
                <c:pt idx="10">
                  <c:v>0.70566429572715639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6E-4748-9D40-F4533711D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336319"/>
        <c:axId val="444339903"/>
      </c:lineChart>
      <c:catAx>
        <c:axId val="43466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349311"/>
        <c:crosses val="autoZero"/>
        <c:auto val="1"/>
        <c:lblAlgn val="ctr"/>
        <c:lblOffset val="100"/>
        <c:noMultiLvlLbl val="0"/>
      </c:catAx>
      <c:valAx>
        <c:axId val="444349311"/>
        <c:scaling>
          <c:orientation val="minMax"/>
          <c:max val="6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Metric Tonnes of</a:t>
                </a:r>
                <a:r>
                  <a:rPr lang="en-GB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CO2e</a:t>
                </a:r>
                <a:endParaRPr lang="en-GB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4661887"/>
        <c:crosses val="autoZero"/>
        <c:crossBetween val="between"/>
      </c:valAx>
      <c:valAx>
        <c:axId val="4443399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Metric Tonnes of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336319"/>
        <c:crosses val="max"/>
        <c:crossBetween val="between"/>
      </c:valAx>
      <c:catAx>
        <c:axId val="4443363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33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CO2 COEFFICIENTS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'Emission Factor (new)'!$E$59</c:f>
              <c:strCache>
                <c:ptCount val="1"/>
                <c:pt idx="0">
                  <c:v>Electricity (Pre-Baseline)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'Emission Factor (new)'!$F$58:$O$58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 (new)'!$F$59:$O$59</c:f>
              <c:numCache>
                <c:formatCode>General</c:formatCode>
                <c:ptCount val="10"/>
                <c:pt idx="0">
                  <c:v>0.54</c:v>
                </c:pt>
                <c:pt idx="1">
                  <c:v>0.59</c:v>
                </c:pt>
                <c:pt idx="2">
                  <c:v>0.57999999999999996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2-C342-BF41-D908AC19F36E}"/>
            </c:ext>
          </c:extLst>
        </c:ser>
        <c:ser>
          <c:idx val="2"/>
          <c:order val="2"/>
          <c:tx>
            <c:strRef>
              <c:f>'Emission Factor (new)'!$E$61</c:f>
              <c:strCache>
                <c:ptCount val="1"/>
                <c:pt idx="0">
                  <c:v>Electricity Performance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'Emission Factor (new)'!$F$58:$O$58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 (new)'!$F$61:$O$61</c:f>
              <c:numCache>
                <c:formatCode>General</c:formatCode>
                <c:ptCount val="10"/>
                <c:pt idx="4">
                  <c:v>0.64</c:v>
                </c:pt>
                <c:pt idx="5">
                  <c:v>0.54</c:v>
                </c:pt>
                <c:pt idx="6">
                  <c:v>0.54</c:v>
                </c:pt>
                <c:pt idx="7">
                  <c:v>0.51</c:v>
                </c:pt>
                <c:pt idx="8">
                  <c:v>0.51</c:v>
                </c:pt>
                <c:pt idx="9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2-C342-BF41-D908AC19F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3012160"/>
        <c:axId val="973013888"/>
      </c:barChart>
      <c:lineChart>
        <c:grouping val="standard"/>
        <c:varyColors val="0"/>
        <c:ser>
          <c:idx val="1"/>
          <c:order val="1"/>
          <c:tx>
            <c:strRef>
              <c:f>'Emission Factor (new)'!$E$60</c:f>
              <c:strCache>
                <c:ptCount val="1"/>
                <c:pt idx="0">
                  <c:v>Towngas (Pre-Baseline)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'Emission Factor (new)'!$F$58:$O$58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 (new)'!$F$60:$O$60</c:f>
              <c:numCache>
                <c:formatCode>General</c:formatCode>
                <c:ptCount val="10"/>
                <c:pt idx="0">
                  <c:v>0.62</c:v>
                </c:pt>
                <c:pt idx="1">
                  <c:v>0.61799999999999999</c:v>
                </c:pt>
                <c:pt idx="2">
                  <c:v>0.61</c:v>
                </c:pt>
                <c:pt idx="3">
                  <c:v>0.62</c:v>
                </c:pt>
                <c:pt idx="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E2-C342-BF41-D908AC19F36E}"/>
            </c:ext>
          </c:extLst>
        </c:ser>
        <c:ser>
          <c:idx val="3"/>
          <c:order val="3"/>
          <c:tx>
            <c:strRef>
              <c:f>'Emission Factor (new)'!$E$62</c:f>
              <c:strCache>
                <c:ptCount val="1"/>
                <c:pt idx="0">
                  <c:v>Towngas Performance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'Emission Factor (new)'!$F$58:$O$58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 (new)'!$F$62:$O$62</c:f>
              <c:numCache>
                <c:formatCode>General</c:formatCode>
                <c:ptCount val="10"/>
                <c:pt idx="4">
                  <c:v>0.6</c:v>
                </c:pt>
                <c:pt idx="5">
                  <c:v>0.60499999999999998</c:v>
                </c:pt>
                <c:pt idx="6">
                  <c:v>0.59899999999999998</c:v>
                </c:pt>
                <c:pt idx="7">
                  <c:v>0.59199999999999997</c:v>
                </c:pt>
                <c:pt idx="8">
                  <c:v>0.56399999999999995</c:v>
                </c:pt>
                <c:pt idx="9">
                  <c:v>0.56399999999999995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E2-C342-BF41-D908AC19F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035472"/>
        <c:axId val="973033744"/>
      </c:lineChart>
      <c:catAx>
        <c:axId val="97301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13888"/>
        <c:crosses val="autoZero"/>
        <c:auto val="1"/>
        <c:lblAlgn val="ctr"/>
        <c:lblOffset val="100"/>
        <c:noMultiLvlLbl val="0"/>
      </c:catAx>
      <c:valAx>
        <c:axId val="9730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12160"/>
        <c:crosses val="autoZero"/>
        <c:crossBetween val="between"/>
      </c:valAx>
      <c:valAx>
        <c:axId val="973033744"/>
        <c:scaling>
          <c:orientation val="minMax"/>
          <c:max val="0.63"/>
          <c:min val="0.53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35472"/>
        <c:crosses val="max"/>
        <c:crossBetween val="between"/>
        <c:majorUnit val="0.01"/>
      </c:valAx>
      <c:catAx>
        <c:axId val="973035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303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CO2 COEFFICIENTS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'Emission Factor'!$E$59</c:f>
              <c:strCache>
                <c:ptCount val="1"/>
                <c:pt idx="0">
                  <c:v>Electricity (Pre-Baseline)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'Emission Factor'!$F$58:$O$58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Factor'!$F$59:$O$59</c:f>
              <c:numCache>
                <c:formatCode>General</c:formatCode>
                <c:ptCount val="10"/>
                <c:pt idx="0">
                  <c:v>0.54</c:v>
                </c:pt>
                <c:pt idx="1">
                  <c:v>0.59</c:v>
                </c:pt>
                <c:pt idx="2">
                  <c:v>0.57999999999999996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E-864D-BE87-EB18F98FDD9D}"/>
            </c:ext>
          </c:extLst>
        </c:ser>
        <c:ser>
          <c:idx val="2"/>
          <c:order val="2"/>
          <c:tx>
            <c:strRef>
              <c:f>'Emission Factor'!$E$61</c:f>
              <c:strCache>
                <c:ptCount val="1"/>
                <c:pt idx="0">
                  <c:v>Electricity Performance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'Emission Factor'!$F$58:$O$58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Factor'!$F$61:$O$61</c:f>
              <c:numCache>
                <c:formatCode>General</c:formatCode>
                <c:ptCount val="10"/>
                <c:pt idx="4">
                  <c:v>0.64</c:v>
                </c:pt>
                <c:pt idx="5">
                  <c:v>0.54</c:v>
                </c:pt>
                <c:pt idx="6">
                  <c:v>0.54</c:v>
                </c:pt>
                <c:pt idx="7">
                  <c:v>0.51</c:v>
                </c:pt>
                <c:pt idx="8">
                  <c:v>0.51</c:v>
                </c:pt>
                <c:pt idx="9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BE-864D-BE87-EB18F98F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3012160"/>
        <c:axId val="973013888"/>
      </c:barChart>
      <c:lineChart>
        <c:grouping val="standard"/>
        <c:varyColors val="0"/>
        <c:ser>
          <c:idx val="1"/>
          <c:order val="1"/>
          <c:tx>
            <c:strRef>
              <c:f>'Emission Factor'!$E$60</c:f>
              <c:strCache>
                <c:ptCount val="1"/>
                <c:pt idx="0">
                  <c:v>Towngas (Pre-Baseline)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'Emission Factor'!$F$58:$O$58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Factor'!$F$60:$O$60</c:f>
              <c:numCache>
                <c:formatCode>General</c:formatCode>
                <c:ptCount val="10"/>
                <c:pt idx="0">
                  <c:v>0.62</c:v>
                </c:pt>
                <c:pt idx="1">
                  <c:v>0.61799999999999999</c:v>
                </c:pt>
                <c:pt idx="2">
                  <c:v>0.61</c:v>
                </c:pt>
                <c:pt idx="3">
                  <c:v>0.62</c:v>
                </c:pt>
                <c:pt idx="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E-864D-BE87-EB18F98FDD9D}"/>
            </c:ext>
          </c:extLst>
        </c:ser>
        <c:ser>
          <c:idx val="3"/>
          <c:order val="3"/>
          <c:tx>
            <c:strRef>
              <c:f>'Emission Factor'!$E$62</c:f>
              <c:strCache>
                <c:ptCount val="1"/>
                <c:pt idx="0">
                  <c:v>Towngas Performance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'Emission Factor'!$F$58:$O$58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Factor'!$F$62:$O$62</c:f>
              <c:numCache>
                <c:formatCode>General</c:formatCode>
                <c:ptCount val="10"/>
                <c:pt idx="4">
                  <c:v>0.6</c:v>
                </c:pt>
                <c:pt idx="5">
                  <c:v>0.60499999999999998</c:v>
                </c:pt>
                <c:pt idx="6">
                  <c:v>0.59899999999999998</c:v>
                </c:pt>
                <c:pt idx="7">
                  <c:v>0.59199999999999997</c:v>
                </c:pt>
                <c:pt idx="8">
                  <c:v>0.56399999999999995</c:v>
                </c:pt>
                <c:pt idx="9">
                  <c:v>0.56399999999999995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BE-864D-BE87-EB18F98F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035472"/>
        <c:axId val="973033744"/>
      </c:lineChart>
      <c:catAx>
        <c:axId val="97301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13888"/>
        <c:crosses val="autoZero"/>
        <c:auto val="1"/>
        <c:lblAlgn val="ctr"/>
        <c:lblOffset val="100"/>
        <c:noMultiLvlLbl val="0"/>
      </c:catAx>
      <c:valAx>
        <c:axId val="9730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12160"/>
        <c:crosses val="autoZero"/>
        <c:crossBetween val="between"/>
      </c:valAx>
      <c:valAx>
        <c:axId val="973033744"/>
        <c:scaling>
          <c:orientation val="minMax"/>
          <c:max val="0.63"/>
          <c:min val="0.53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35472"/>
        <c:crosses val="max"/>
        <c:crossBetween val="between"/>
        <c:majorUnit val="0.01"/>
      </c:valAx>
      <c:catAx>
        <c:axId val="973035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303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'Annual Report (Water)'!$N$16:$N$26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Dec 2024 Rolling 12 months</c:v>
                </c:pt>
              </c:strCache>
            </c:strRef>
          </c:cat>
          <c:val>
            <c:numRef>
              <c:f>'Annual Report (Water)'!$O$16:$O$26</c:f>
              <c:numCache>
                <c:formatCode>#,##0</c:formatCode>
                <c:ptCount val="11"/>
                <c:pt idx="0">
                  <c:v>516007.78399999999</c:v>
                </c:pt>
                <c:pt idx="1">
                  <c:v>419818.95600000001</c:v>
                </c:pt>
                <c:pt idx="2">
                  <c:v>426360.05559999996</c:v>
                </c:pt>
                <c:pt idx="3">
                  <c:v>398367.45288</c:v>
                </c:pt>
                <c:pt idx="4">
                  <c:v>395898.65664</c:v>
                </c:pt>
                <c:pt idx="5">
                  <c:v>342669.10800000001</c:v>
                </c:pt>
                <c:pt idx="6">
                  <c:v>336162</c:v>
                </c:pt>
                <c:pt idx="7">
                  <c:v>377686.65399999998</c:v>
                </c:pt>
                <c:pt idx="8">
                  <c:v>470431.67</c:v>
                </c:pt>
                <c:pt idx="9">
                  <c:v>463486</c:v>
                </c:pt>
                <c:pt idx="10">
                  <c:v>441256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E-4593-8973-8F140C49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56080"/>
        <c:axId val="150155600"/>
      </c:barChart>
      <c:catAx>
        <c:axId val="15015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5600"/>
        <c:crosses val="autoZero"/>
        <c:auto val="1"/>
        <c:lblAlgn val="ctr"/>
        <c:lblOffset val="100"/>
        <c:noMultiLvlLbl val="0"/>
      </c:catAx>
      <c:valAx>
        <c:axId val="15015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Potable Water Consumption (m3)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Yearly Water Consumption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'Annual Report (Water)'!$F$2</c:f>
              <c:strCache>
                <c:ptCount val="1"/>
                <c:pt idx="0">
                  <c:v>Student Housing</c:v>
                </c:pt>
              </c:strCache>
            </c:strRef>
          </c:tx>
          <c:spPr>
            <a:solidFill>
              <a:srgbClr val="956D92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(Water)'!$F$3:$F$13</c:f>
              <c:numCache>
                <c:formatCode>#,##0</c:formatCode>
                <c:ptCount val="11"/>
                <c:pt idx="0">
                  <c:v>7484</c:v>
                </c:pt>
                <c:pt idx="1">
                  <c:v>117734</c:v>
                </c:pt>
                <c:pt idx="2">
                  <c:v>114980</c:v>
                </c:pt>
                <c:pt idx="3">
                  <c:v>108941</c:v>
                </c:pt>
                <c:pt idx="4">
                  <c:v>103073</c:v>
                </c:pt>
                <c:pt idx="5">
                  <c:v>66051</c:v>
                </c:pt>
                <c:pt idx="6">
                  <c:v>59072</c:v>
                </c:pt>
                <c:pt idx="7">
                  <c:v>87311</c:v>
                </c:pt>
                <c:pt idx="8">
                  <c:v>115671</c:v>
                </c:pt>
                <c:pt idx="9">
                  <c:v>107801</c:v>
                </c:pt>
                <c:pt idx="10">
                  <c:v>101607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CF-A547-B05F-306158EAD3DF}"/>
            </c:ext>
          </c:extLst>
        </c:ser>
        <c:ser>
          <c:idx val="7"/>
          <c:order val="1"/>
          <c:tx>
            <c:strRef>
              <c:f>'Annual Report (Water)'!$I$2</c:f>
              <c:strCache>
                <c:ptCount val="1"/>
                <c:pt idx="0">
                  <c:v>Staff Quarters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(Water)'!$I$3:$I$13</c:f>
              <c:numCache>
                <c:formatCode>#,##0</c:formatCode>
                <c:ptCount val="11"/>
                <c:pt idx="0">
                  <c:v>61598.784000000014</c:v>
                </c:pt>
                <c:pt idx="1">
                  <c:v>68814.956000000006</c:v>
                </c:pt>
                <c:pt idx="2">
                  <c:v>69931.055599999992</c:v>
                </c:pt>
                <c:pt idx="3">
                  <c:v>53724.452880000012</c:v>
                </c:pt>
                <c:pt idx="4">
                  <c:v>54959.656639999994</c:v>
                </c:pt>
                <c:pt idx="5">
                  <c:v>53434.107999999993</c:v>
                </c:pt>
                <c:pt idx="6">
                  <c:v>54429</c:v>
                </c:pt>
                <c:pt idx="7">
                  <c:v>55371.65400000001</c:v>
                </c:pt>
                <c:pt idx="8">
                  <c:v>53901.665999999997</c:v>
                </c:pt>
                <c:pt idx="9">
                  <c:v>59195</c:v>
                </c:pt>
                <c:pt idx="10">
                  <c:v>56316.826799999995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CF-A547-B05F-306158EAD3DF}"/>
            </c:ext>
          </c:extLst>
        </c:ser>
        <c:ser>
          <c:idx val="5"/>
          <c:order val="2"/>
          <c:tx>
            <c:strRef>
              <c:f>'Annual Report (Water)'!$G$2</c:f>
              <c:strCache>
                <c:ptCount val="1"/>
                <c:pt idx="0">
                  <c:v>Public facilities in campus</c:v>
                </c:pt>
              </c:strCache>
            </c:strRef>
          </c:tx>
          <c:spPr>
            <a:solidFill>
              <a:srgbClr val="FFEB4E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(Water)'!$G$3:$G$13</c:f>
              <c:numCache>
                <c:formatCode>#,##0</c:formatCode>
                <c:ptCount val="11"/>
                <c:pt idx="0">
                  <c:v>116140</c:v>
                </c:pt>
                <c:pt idx="1">
                  <c:v>6611</c:v>
                </c:pt>
                <c:pt idx="2">
                  <c:v>7503</c:v>
                </c:pt>
                <c:pt idx="3">
                  <c:v>7341</c:v>
                </c:pt>
                <c:pt idx="4">
                  <c:v>6187</c:v>
                </c:pt>
                <c:pt idx="5">
                  <c:v>20850</c:v>
                </c:pt>
                <c:pt idx="6">
                  <c:v>15359</c:v>
                </c:pt>
                <c:pt idx="7">
                  <c:v>10548</c:v>
                </c:pt>
                <c:pt idx="8">
                  <c:v>9005</c:v>
                </c:pt>
                <c:pt idx="9">
                  <c:v>8563</c:v>
                </c:pt>
                <c:pt idx="10">
                  <c:v>8963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CF-A547-B05F-306158EAD3DF}"/>
            </c:ext>
          </c:extLst>
        </c:ser>
        <c:ser>
          <c:idx val="0"/>
          <c:order val="3"/>
          <c:tx>
            <c:strRef>
              <c:f>'Annual Report (Water)'!$B$2</c:f>
              <c:strCache>
                <c:ptCount val="1"/>
                <c:pt idx="0">
                  <c:v>Main Academic Buildings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(Water)'!$B$3:$B$13</c:f>
              <c:numCache>
                <c:formatCode>#,##0</c:formatCode>
                <c:ptCount val="11"/>
                <c:pt idx="0">
                  <c:v>90262</c:v>
                </c:pt>
                <c:pt idx="1">
                  <c:v>97307</c:v>
                </c:pt>
                <c:pt idx="2">
                  <c:v>87033</c:v>
                </c:pt>
                <c:pt idx="3">
                  <c:v>83776</c:v>
                </c:pt>
                <c:pt idx="4">
                  <c:v>83643</c:v>
                </c:pt>
                <c:pt idx="5">
                  <c:v>74165</c:v>
                </c:pt>
                <c:pt idx="6">
                  <c:v>81810</c:v>
                </c:pt>
                <c:pt idx="7">
                  <c:v>85216</c:v>
                </c:pt>
                <c:pt idx="8">
                  <c:v>145694</c:v>
                </c:pt>
                <c:pt idx="9">
                  <c:v>133507</c:v>
                </c:pt>
                <c:pt idx="10">
                  <c:v>166053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F-A547-B05F-306158EAD3DF}"/>
            </c:ext>
          </c:extLst>
        </c:ser>
        <c:ser>
          <c:idx val="2"/>
          <c:order val="4"/>
          <c:tx>
            <c:strRef>
              <c:f>'Annual Report (Water)'!$D$2</c:f>
              <c:strCache>
                <c:ptCount val="1"/>
                <c:pt idx="0">
                  <c:v>LSK Campus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(Water)'!$D$3:$D$13</c:f>
              <c:numCache>
                <c:formatCode>#,##0</c:formatCode>
                <c:ptCount val="11"/>
                <c:pt idx="0">
                  <c:v>124383</c:v>
                </c:pt>
                <c:pt idx="1">
                  <c:v>2424</c:v>
                </c:pt>
                <c:pt idx="2">
                  <c:v>6762</c:v>
                </c:pt>
                <c:pt idx="3">
                  <c:v>25843</c:v>
                </c:pt>
                <c:pt idx="4">
                  <c:v>25305</c:v>
                </c:pt>
                <c:pt idx="5">
                  <c:v>21793</c:v>
                </c:pt>
                <c:pt idx="6">
                  <c:v>21744</c:v>
                </c:pt>
                <c:pt idx="7">
                  <c:v>16319</c:v>
                </c:pt>
                <c:pt idx="8">
                  <c:v>21086</c:v>
                </c:pt>
                <c:pt idx="9">
                  <c:v>29197</c:v>
                </c:pt>
                <c:pt idx="10">
                  <c:v>14415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F-A547-B05F-306158EAD3DF}"/>
            </c:ext>
          </c:extLst>
        </c:ser>
        <c:ser>
          <c:idx val="3"/>
          <c:order val="5"/>
          <c:tx>
            <c:strRef>
              <c:f>'Annual Report (Water)'!$E$2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(Water)'!$E$3:$E$13</c:f>
              <c:numCache>
                <c:formatCode>#,##0</c:formatCode>
                <c:ptCount val="11"/>
                <c:pt idx="0">
                  <c:v>0</c:v>
                </c:pt>
                <c:pt idx="1">
                  <c:v>1727</c:v>
                </c:pt>
                <c:pt idx="2">
                  <c:v>1608</c:v>
                </c:pt>
                <c:pt idx="3">
                  <c:v>1862</c:v>
                </c:pt>
                <c:pt idx="4">
                  <c:v>2127</c:v>
                </c:pt>
                <c:pt idx="5">
                  <c:v>2569</c:v>
                </c:pt>
                <c:pt idx="6">
                  <c:v>1645</c:v>
                </c:pt>
                <c:pt idx="7">
                  <c:v>914</c:v>
                </c:pt>
                <c:pt idx="8">
                  <c:v>843</c:v>
                </c:pt>
                <c:pt idx="9">
                  <c:v>4976</c:v>
                </c:pt>
                <c:pt idx="10">
                  <c:v>1842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CF-A547-B05F-306158EAD3DF}"/>
            </c:ext>
          </c:extLst>
        </c:ser>
        <c:ser>
          <c:idx val="1"/>
          <c:order val="6"/>
          <c:tx>
            <c:strRef>
              <c:f>'Annual Report (Water)'!$C$2</c:f>
              <c:strCache>
                <c:ptCount val="1"/>
                <c:pt idx="0">
                  <c:v>Cheng Yu Tung Building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(Water)'!$C$3:$C$13</c:f>
              <c:numCache>
                <c:formatCode>#,##0</c:formatCode>
                <c:ptCount val="11"/>
                <c:pt idx="0">
                  <c:v>0</c:v>
                </c:pt>
                <c:pt idx="1">
                  <c:v>7383</c:v>
                </c:pt>
                <c:pt idx="2">
                  <c:v>13328</c:v>
                </c:pt>
                <c:pt idx="3">
                  <c:v>22095</c:v>
                </c:pt>
                <c:pt idx="4">
                  <c:v>18381</c:v>
                </c:pt>
                <c:pt idx="5">
                  <c:v>13180</c:v>
                </c:pt>
                <c:pt idx="6">
                  <c:v>15361</c:v>
                </c:pt>
                <c:pt idx="7">
                  <c:v>15114</c:v>
                </c:pt>
                <c:pt idx="8">
                  <c:v>16633</c:v>
                </c:pt>
                <c:pt idx="9">
                  <c:v>11706</c:v>
                </c:pt>
                <c:pt idx="10">
                  <c:v>15227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F-A547-B05F-306158EAD3DF}"/>
            </c:ext>
          </c:extLst>
        </c:ser>
        <c:ser>
          <c:idx val="6"/>
          <c:order val="7"/>
          <c:tx>
            <c:strRef>
              <c:f>'Annual Report (Water)'!$H$2</c:f>
              <c:strCache>
                <c:ptCount val="1"/>
                <c:pt idx="0">
                  <c:v>Canteens and Commercial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(Water)'!$H$3:$H$13</c:f>
              <c:numCache>
                <c:formatCode>#,##0</c:formatCode>
                <c:ptCount val="11"/>
                <c:pt idx="0">
                  <c:v>116140</c:v>
                </c:pt>
                <c:pt idx="1">
                  <c:v>117818</c:v>
                </c:pt>
                <c:pt idx="2">
                  <c:v>125215</c:v>
                </c:pt>
                <c:pt idx="3">
                  <c:v>94785</c:v>
                </c:pt>
                <c:pt idx="4">
                  <c:v>102223</c:v>
                </c:pt>
                <c:pt idx="5">
                  <c:v>90627</c:v>
                </c:pt>
                <c:pt idx="6">
                  <c:v>86742</c:v>
                </c:pt>
                <c:pt idx="7">
                  <c:v>85163</c:v>
                </c:pt>
                <c:pt idx="8">
                  <c:v>107598</c:v>
                </c:pt>
                <c:pt idx="9">
                  <c:v>108541</c:v>
                </c:pt>
                <c:pt idx="10">
                  <c:v>119568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CF-A547-B05F-306158EAD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17458367"/>
        <c:axId val="1277637759"/>
      </c:barChart>
      <c:lineChart>
        <c:grouping val="standard"/>
        <c:varyColors val="0"/>
        <c:ser>
          <c:idx val="9"/>
          <c:order val="8"/>
          <c:tx>
            <c:strRef>
              <c:f>'Annual Report (Water)'!$K$2</c:f>
              <c:strCache>
                <c:ptCount val="1"/>
                <c:pt idx="0">
                  <c:v>Total Water Consumption per capita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(Water)'!$K$3:$K$13</c:f>
              <c:numCache>
                <c:formatCode>#,##0.0</c:formatCode>
                <c:ptCount val="11"/>
                <c:pt idx="0">
                  <c:v>31.579423745410036</c:v>
                </c:pt>
                <c:pt idx="1">
                  <c:v>25.258345225919019</c:v>
                </c:pt>
                <c:pt idx="2">
                  <c:v>24.645802225497846</c:v>
                </c:pt>
                <c:pt idx="3">
                  <c:v>22.225985598794878</c:v>
                </c:pt>
                <c:pt idx="4">
                  <c:v>21.390099502390793</c:v>
                </c:pt>
                <c:pt idx="5">
                  <c:v>19.382833191922622</c:v>
                </c:pt>
                <c:pt idx="6">
                  <c:v>17.049348278135618</c:v>
                </c:pt>
                <c:pt idx="7">
                  <c:v>17.327393954144963</c:v>
                </c:pt>
                <c:pt idx="8">
                  <c:v>21.883596129692513</c:v>
                </c:pt>
                <c:pt idx="9">
                  <c:v>20.90694212639271</c:v>
                </c:pt>
                <c:pt idx="10">
                  <c:v>20.270210947774007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CF-A547-B05F-306158EAD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901311"/>
        <c:axId val="1443521279"/>
      </c:lineChart>
      <c:catAx>
        <c:axId val="141745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7637759"/>
        <c:crosses val="autoZero"/>
        <c:auto val="1"/>
        <c:lblAlgn val="ctr"/>
        <c:lblOffset val="100"/>
        <c:noMultiLvlLbl val="0"/>
      </c:catAx>
      <c:valAx>
        <c:axId val="1277637759"/>
        <c:scaling>
          <c:orientation val="minMax"/>
          <c:max val="5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7458367"/>
        <c:crosses val="autoZero"/>
        <c:crossBetween val="between"/>
        <c:majorUnit val="50000"/>
      </c:valAx>
      <c:valAx>
        <c:axId val="14435212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m3/capita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3901311"/>
        <c:crosses val="max"/>
        <c:crossBetween val="between"/>
      </c:valAx>
      <c:catAx>
        <c:axId val="1183901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3521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Jul 23 - Dec 23 Potable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'Half-Year Report (Water)'!$B$2</c:f>
              <c:strCache>
                <c:ptCount val="1"/>
                <c:pt idx="0">
                  <c:v>Main Academic Buildings + Public Facilities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(Water)'!$B$3:$B$8</c:f>
              <c:numCache>
                <c:formatCode>General</c:formatCode>
                <c:ptCount val="6"/>
                <c:pt idx="0" formatCode="#,##0">
                  <c:v>15525</c:v>
                </c:pt>
                <c:pt idx="1">
                  <c:v>13190</c:v>
                </c:pt>
                <c:pt idx="2">
                  <c:v>9180</c:v>
                </c:pt>
                <c:pt idx="3">
                  <c:v>11141</c:v>
                </c:pt>
                <c:pt idx="4">
                  <c:v>7139</c:v>
                </c:pt>
                <c:pt idx="5">
                  <c:v>8690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D-5B43-8EA0-50F374CE5B0F}"/>
            </c:ext>
          </c:extLst>
        </c:ser>
        <c:ser>
          <c:idx val="1"/>
          <c:order val="1"/>
          <c:tx>
            <c:strRef>
              <c:f>'Half-Year Report (Water)'!$C$2</c:f>
              <c:strCache>
                <c:ptCount val="1"/>
                <c:pt idx="0">
                  <c:v>Cheng Yu Tung Building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(Water)'!$C$3:$C$8</c:f>
              <c:numCache>
                <c:formatCode>General</c:formatCode>
                <c:ptCount val="6"/>
                <c:pt idx="0">
                  <c:v>1122</c:v>
                </c:pt>
                <c:pt idx="1">
                  <c:v>870</c:v>
                </c:pt>
                <c:pt idx="2">
                  <c:v>817</c:v>
                </c:pt>
                <c:pt idx="3">
                  <c:v>1366</c:v>
                </c:pt>
                <c:pt idx="4">
                  <c:v>1155</c:v>
                </c:pt>
                <c:pt idx="5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D-5B43-8EA0-50F374CE5B0F}"/>
            </c:ext>
          </c:extLst>
        </c:ser>
        <c:ser>
          <c:idx val="2"/>
          <c:order val="2"/>
          <c:tx>
            <c:strRef>
              <c:f>'Half-Year Report (Water)'!$D$2</c:f>
              <c:strCache>
                <c:ptCount val="1"/>
                <c:pt idx="0">
                  <c:v>LSK Campus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(Water)'!$D$3:$D$8</c:f>
              <c:numCache>
                <c:formatCode>General</c:formatCode>
                <c:ptCount val="6"/>
                <c:pt idx="0">
                  <c:v>2675</c:v>
                </c:pt>
                <c:pt idx="1">
                  <c:v>2587</c:v>
                </c:pt>
                <c:pt idx="2">
                  <c:v>6279</c:v>
                </c:pt>
                <c:pt idx="3">
                  <c:v>4385</c:v>
                </c:pt>
                <c:pt idx="4">
                  <c:v>5099</c:v>
                </c:pt>
                <c:pt idx="5">
                  <c:v>1891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D-5B43-8EA0-50F374CE5B0F}"/>
            </c:ext>
          </c:extLst>
        </c:ser>
        <c:ser>
          <c:idx val="3"/>
          <c:order val="3"/>
          <c:tx>
            <c:strRef>
              <c:f>'Half-Year Report (Water)'!$E$2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(Water)'!$E$3:$E$8</c:f>
              <c:numCache>
                <c:formatCode>General</c:formatCode>
                <c:ptCount val="6"/>
                <c:pt idx="0">
                  <c:v>123</c:v>
                </c:pt>
                <c:pt idx="1">
                  <c:v>201</c:v>
                </c:pt>
                <c:pt idx="2">
                  <c:v>1297</c:v>
                </c:pt>
                <c:pt idx="3">
                  <c:v>740</c:v>
                </c:pt>
                <c:pt idx="4">
                  <c:v>1127</c:v>
                </c:pt>
                <c:pt idx="5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0D-5B43-8EA0-50F374CE5B0F}"/>
            </c:ext>
          </c:extLst>
        </c:ser>
        <c:ser>
          <c:idx val="4"/>
          <c:order val="4"/>
          <c:tx>
            <c:strRef>
              <c:f>'Half-Year Report (Water)'!$F$2</c:f>
              <c:strCache>
                <c:ptCount val="1"/>
                <c:pt idx="0">
                  <c:v>Student Housing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(Water)'!$F$3:$F$8</c:f>
              <c:numCache>
                <c:formatCode>General</c:formatCode>
                <c:ptCount val="6"/>
                <c:pt idx="0">
                  <c:v>5054</c:v>
                </c:pt>
                <c:pt idx="1">
                  <c:v>3906</c:v>
                </c:pt>
                <c:pt idx="2">
                  <c:v>11143</c:v>
                </c:pt>
                <c:pt idx="3">
                  <c:v>12101</c:v>
                </c:pt>
                <c:pt idx="4">
                  <c:v>12345</c:v>
                </c:pt>
                <c:pt idx="5">
                  <c:v>12811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0D-5B43-8EA0-50F374CE5B0F}"/>
            </c:ext>
          </c:extLst>
        </c:ser>
        <c:ser>
          <c:idx val="5"/>
          <c:order val="5"/>
          <c:tx>
            <c:strRef>
              <c:f>'Half-Year Report (Water)'!$G$2</c:f>
              <c:strCache>
                <c:ptCount val="1"/>
                <c:pt idx="0">
                  <c:v>Canteens and Commercial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(Water)'!$G$3:$G$8</c:f>
              <c:numCache>
                <c:formatCode>General</c:formatCode>
                <c:ptCount val="6"/>
                <c:pt idx="0">
                  <c:v>8918</c:v>
                </c:pt>
                <c:pt idx="1">
                  <c:v>8003</c:v>
                </c:pt>
                <c:pt idx="2">
                  <c:v>10310</c:v>
                </c:pt>
                <c:pt idx="3">
                  <c:v>11555</c:v>
                </c:pt>
                <c:pt idx="4">
                  <c:v>9609</c:v>
                </c:pt>
                <c:pt idx="5">
                  <c:v>9607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0D-5B43-8EA0-50F374CE5B0F}"/>
            </c:ext>
          </c:extLst>
        </c:ser>
        <c:ser>
          <c:idx val="6"/>
          <c:order val="6"/>
          <c:tx>
            <c:strRef>
              <c:f>'Half-Year Report (Water)'!$H$2</c:f>
              <c:strCache>
                <c:ptCount val="1"/>
                <c:pt idx="0">
                  <c:v>Staff Quarters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(Water)'!$H$3:$H$8</c:f>
              <c:numCache>
                <c:formatCode>General</c:formatCode>
                <c:ptCount val="6"/>
                <c:pt idx="0">
                  <c:v>5033</c:v>
                </c:pt>
                <c:pt idx="1">
                  <c:v>5033</c:v>
                </c:pt>
                <c:pt idx="2">
                  <c:v>4870</c:v>
                </c:pt>
                <c:pt idx="3">
                  <c:v>5010</c:v>
                </c:pt>
                <c:pt idx="4">
                  <c:v>4848</c:v>
                </c:pt>
                <c:pt idx="5">
                  <c:v>5010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0D-5B43-8EA0-50F374CE5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312096"/>
        <c:axId val="410340832"/>
      </c:barChart>
      <c:dateAx>
        <c:axId val="410312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340832"/>
        <c:crosses val="autoZero"/>
        <c:auto val="1"/>
        <c:lblOffset val="100"/>
        <c:baseTimeUnit val="months"/>
      </c:dateAx>
      <c:valAx>
        <c:axId val="410340832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31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Jan 24 -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Jun 24 Potable Water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'Half-Year Report (Water)'!$B$30</c:f>
              <c:strCache>
                <c:ptCount val="1"/>
                <c:pt idx="0">
                  <c:v>Main Academic Buildings + Public Facilities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(Water)'!$B$31:$B$36</c:f>
              <c:numCache>
                <c:formatCode>General</c:formatCode>
                <c:ptCount val="6"/>
                <c:pt idx="0" formatCode="#,##0">
                  <c:v>5770</c:v>
                </c:pt>
                <c:pt idx="1">
                  <c:v>8413</c:v>
                </c:pt>
                <c:pt idx="2">
                  <c:v>10100</c:v>
                </c:pt>
                <c:pt idx="3">
                  <c:v>15117</c:v>
                </c:pt>
                <c:pt idx="4">
                  <c:v>14227</c:v>
                </c:pt>
                <c:pt idx="5">
                  <c:v>15015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C-674D-95CD-1CD9BB2E80DB}"/>
            </c:ext>
          </c:extLst>
        </c:ser>
        <c:ser>
          <c:idx val="1"/>
          <c:order val="1"/>
          <c:tx>
            <c:strRef>
              <c:f>'Half-Year Report (Water)'!$C$30</c:f>
              <c:strCache>
                <c:ptCount val="1"/>
                <c:pt idx="0">
                  <c:v>Cheng Yu Tung Building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(Water)'!$C$31:$C$36</c:f>
              <c:numCache>
                <c:formatCode>General</c:formatCode>
                <c:ptCount val="6"/>
                <c:pt idx="0">
                  <c:v>1150</c:v>
                </c:pt>
                <c:pt idx="1">
                  <c:v>752</c:v>
                </c:pt>
                <c:pt idx="2">
                  <c:v>908</c:v>
                </c:pt>
                <c:pt idx="3">
                  <c:v>890</c:v>
                </c:pt>
                <c:pt idx="4">
                  <c:v>852</c:v>
                </c:pt>
                <c:pt idx="5">
                  <c:v>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C-674D-95CD-1CD9BB2E80DB}"/>
            </c:ext>
          </c:extLst>
        </c:ser>
        <c:ser>
          <c:idx val="2"/>
          <c:order val="2"/>
          <c:tx>
            <c:strRef>
              <c:f>'Half-Year Report (Water)'!$D$30</c:f>
              <c:strCache>
                <c:ptCount val="1"/>
                <c:pt idx="0">
                  <c:v>LSK Campus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(Water)'!$D$31:$D$36</c:f>
              <c:numCache>
                <c:formatCode>General</c:formatCode>
                <c:ptCount val="6"/>
                <c:pt idx="0">
                  <c:v>1617</c:v>
                </c:pt>
                <c:pt idx="1">
                  <c:v>602</c:v>
                </c:pt>
                <c:pt idx="2">
                  <c:v>640</c:v>
                </c:pt>
                <c:pt idx="3">
                  <c:v>1150</c:v>
                </c:pt>
                <c:pt idx="4">
                  <c:v>1062</c:v>
                </c:pt>
                <c:pt idx="5">
                  <c:v>1210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BC-674D-95CD-1CD9BB2E80DB}"/>
            </c:ext>
          </c:extLst>
        </c:ser>
        <c:ser>
          <c:idx val="3"/>
          <c:order val="3"/>
          <c:tx>
            <c:strRef>
              <c:f>'Half-Year Report (Water)'!$E$30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(Water)'!$E$31:$E$36</c:f>
              <c:numCache>
                <c:formatCode>General</c:formatCode>
                <c:ptCount val="6"/>
                <c:pt idx="0">
                  <c:v>205</c:v>
                </c:pt>
                <c:pt idx="1">
                  <c:v>485</c:v>
                </c:pt>
                <c:pt idx="2">
                  <c:v>218</c:v>
                </c:pt>
                <c:pt idx="3">
                  <c:v>131</c:v>
                </c:pt>
                <c:pt idx="4">
                  <c:v>173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BC-674D-95CD-1CD9BB2E80DB}"/>
            </c:ext>
          </c:extLst>
        </c:ser>
        <c:ser>
          <c:idx val="4"/>
          <c:order val="4"/>
          <c:tx>
            <c:strRef>
              <c:f>'Half-Year Report (Water)'!$F$30</c:f>
              <c:strCache>
                <c:ptCount val="1"/>
                <c:pt idx="0">
                  <c:v>Student Housing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(Water)'!$F$31:$F$36</c:f>
              <c:numCache>
                <c:formatCode>General</c:formatCode>
                <c:ptCount val="6"/>
                <c:pt idx="0">
                  <c:v>5012</c:v>
                </c:pt>
                <c:pt idx="1">
                  <c:v>8652</c:v>
                </c:pt>
                <c:pt idx="2">
                  <c:v>10837</c:v>
                </c:pt>
                <c:pt idx="3">
                  <c:v>10675</c:v>
                </c:pt>
                <c:pt idx="4">
                  <c:v>10554</c:v>
                </c:pt>
                <c:pt idx="5">
                  <c:v>4711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BC-674D-95CD-1CD9BB2E80DB}"/>
            </c:ext>
          </c:extLst>
        </c:ser>
        <c:ser>
          <c:idx val="5"/>
          <c:order val="5"/>
          <c:tx>
            <c:strRef>
              <c:f>'Half-Year Report (Water)'!$G$30</c:f>
              <c:strCache>
                <c:ptCount val="1"/>
                <c:pt idx="0">
                  <c:v>Canteens and Commercial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(Water)'!$G$31:$G$36</c:f>
              <c:numCache>
                <c:formatCode>General</c:formatCode>
                <c:ptCount val="6"/>
                <c:pt idx="0">
                  <c:v>7282</c:v>
                </c:pt>
                <c:pt idx="1">
                  <c:v>7959</c:v>
                </c:pt>
                <c:pt idx="2">
                  <c:v>8977</c:v>
                </c:pt>
                <c:pt idx="3">
                  <c:v>9445</c:v>
                </c:pt>
                <c:pt idx="4">
                  <c:v>9380</c:v>
                </c:pt>
                <c:pt idx="5">
                  <c:v>7496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BC-674D-95CD-1CD9BB2E80DB}"/>
            </c:ext>
          </c:extLst>
        </c:ser>
        <c:ser>
          <c:idx val="6"/>
          <c:order val="6"/>
          <c:tx>
            <c:strRef>
              <c:f>'Half-Year Report (Water)'!$H$30</c:f>
              <c:strCache>
                <c:ptCount val="1"/>
                <c:pt idx="0">
                  <c:v>Staff Quarters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(Water)'!$H$31:$H$36</c:f>
              <c:numCache>
                <c:formatCode>General</c:formatCode>
                <c:ptCount val="6"/>
                <c:pt idx="0">
                  <c:v>4988</c:v>
                </c:pt>
                <c:pt idx="1">
                  <c:v>4687</c:v>
                </c:pt>
                <c:pt idx="2">
                  <c:v>5010</c:v>
                </c:pt>
                <c:pt idx="3">
                  <c:v>4848</c:v>
                </c:pt>
                <c:pt idx="4">
                  <c:v>5010</c:v>
                </c:pt>
                <c:pt idx="5">
                  <c:v>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BC-674D-95CD-1CD9BB2E8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410976"/>
        <c:axId val="410412688"/>
      </c:barChart>
      <c:dateAx>
        <c:axId val="4104109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412688"/>
        <c:crosses val="autoZero"/>
        <c:auto val="1"/>
        <c:lblOffset val="100"/>
        <c:baseTimeUnit val="months"/>
      </c:dateAx>
      <c:valAx>
        <c:axId val="41041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41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Potable (Overview)'!$J$1</c:f>
              <c:strCache>
                <c:ptCount val="1"/>
                <c:pt idx="0">
                  <c:v>HKUST Total (m3)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'Monthly Potable (Overview)'!$A$65:$A$76</c:f>
              <c:numCache>
                <c:formatCode>mmm\-yy</c:formatCode>
                <c:ptCount val="12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</c:numCache>
            </c:numRef>
          </c:cat>
          <c:val>
            <c:numRef>
              <c:f>'Monthly Potable (Overview)'!$J$65:$J$76</c:f>
              <c:numCache>
                <c:formatCode>#,##0</c:formatCode>
                <c:ptCount val="12"/>
                <c:pt idx="0">
                  <c:v>46931</c:v>
                </c:pt>
                <c:pt idx="1">
                  <c:v>42223</c:v>
                </c:pt>
                <c:pt idx="2">
                  <c:v>40055</c:v>
                </c:pt>
                <c:pt idx="3">
                  <c:v>26743</c:v>
                </c:pt>
                <c:pt idx="4">
                  <c:v>32137</c:v>
                </c:pt>
                <c:pt idx="5">
                  <c:v>37258</c:v>
                </c:pt>
                <c:pt idx="6">
                  <c:v>42927</c:v>
                </c:pt>
                <c:pt idx="7">
                  <c:v>41853</c:v>
                </c:pt>
                <c:pt idx="8">
                  <c:v>34786</c:v>
                </c:pt>
                <c:pt idx="9">
                  <c:v>40469.748480000002</c:v>
                </c:pt>
                <c:pt idx="10">
                  <c:v>37566.982400000001</c:v>
                </c:pt>
                <c:pt idx="11">
                  <c:v>46261.982400000001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5-49AD-82E6-EA61F00A7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02383"/>
        <c:axId val="114734063"/>
      </c:barChart>
      <c:dateAx>
        <c:axId val="1147023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4063"/>
        <c:crosses val="autoZero"/>
        <c:auto val="1"/>
        <c:lblOffset val="100"/>
        <c:baseTimeUnit val="months"/>
      </c:dateAx>
      <c:valAx>
        <c:axId val="1147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Potable Water Consumption (m3)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Potable (Overview)'!$J$1</c:f>
              <c:strCache>
                <c:ptCount val="1"/>
                <c:pt idx="0">
                  <c:v>Total (m3)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Potable (Overview)'!$A$3:$A$13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Potable (Overview)'!$J$3:$J$13</c:f>
              <c:numCache>
                <c:formatCode>#,##0.00</c:formatCode>
                <c:ptCount val="11"/>
                <c:pt idx="0">
                  <c:v>516007.78399999999</c:v>
                </c:pt>
                <c:pt idx="1">
                  <c:v>419818.95600000001</c:v>
                </c:pt>
                <c:pt idx="2">
                  <c:v>426360.05559999996</c:v>
                </c:pt>
                <c:pt idx="3">
                  <c:v>398367.45288</c:v>
                </c:pt>
                <c:pt idx="4">
                  <c:v>395898.65664</c:v>
                </c:pt>
                <c:pt idx="5">
                  <c:v>342669.10800000001</c:v>
                </c:pt>
                <c:pt idx="6">
                  <c:v>336162</c:v>
                </c:pt>
                <c:pt idx="7">
                  <c:v>355956.65399999998</c:v>
                </c:pt>
                <c:pt idx="8">
                  <c:v>470431.66599999997</c:v>
                </c:pt>
                <c:pt idx="9">
                  <c:v>463486</c:v>
                </c:pt>
                <c:pt idx="10">
                  <c:v>483991.82679999998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5-44A1-BAE7-41A393199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858191"/>
        <c:axId val="934793711"/>
      </c:barChart>
      <c:catAx>
        <c:axId val="144485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93711"/>
        <c:crosses val="autoZero"/>
        <c:auto val="1"/>
        <c:lblAlgn val="ctr"/>
        <c:lblOffset val="100"/>
        <c:noMultiLvlLbl val="0"/>
      </c:catAx>
      <c:valAx>
        <c:axId val="93479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 dirty="0">
                    <a:solidFill>
                      <a:schemeClr val="tx1"/>
                    </a:solidFill>
                  </a:rPr>
                  <a:t>Potable Water Consumption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5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'Category Water Data'!$B$1</c:f>
              <c:strCache>
                <c:ptCount val="1"/>
                <c:pt idx="0">
                  <c:v>Main Academic Building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Data'!$B$49:$B$73</c:f>
              <c:numCache>
                <c:formatCode>General</c:formatCode>
                <c:ptCount val="25"/>
                <c:pt idx="0">
                  <c:v>3696</c:v>
                </c:pt>
                <c:pt idx="1">
                  <c:v>3343</c:v>
                </c:pt>
                <c:pt idx="2">
                  <c:v>2963</c:v>
                </c:pt>
                <c:pt idx="3">
                  <c:v>2804</c:v>
                </c:pt>
                <c:pt idx="4">
                  <c:v>2897</c:v>
                </c:pt>
                <c:pt idx="5">
                  <c:v>3124</c:v>
                </c:pt>
                <c:pt idx="6">
                  <c:v>3028</c:v>
                </c:pt>
                <c:pt idx="7">
                  <c:v>3089</c:v>
                </c:pt>
                <c:pt idx="8">
                  <c:v>2720</c:v>
                </c:pt>
                <c:pt idx="9">
                  <c:v>2681</c:v>
                </c:pt>
                <c:pt idx="10">
                  <c:v>3153</c:v>
                </c:pt>
                <c:pt idx="11">
                  <c:v>2927</c:v>
                </c:pt>
                <c:pt idx="12">
                  <c:v>2965</c:v>
                </c:pt>
                <c:pt idx="13">
                  <c:v>3839</c:v>
                </c:pt>
                <c:pt idx="14">
                  <c:v>3619</c:v>
                </c:pt>
                <c:pt idx="15">
                  <c:v>3183</c:v>
                </c:pt>
                <c:pt idx="16">
                  <c:v>2905</c:v>
                </c:pt>
                <c:pt idx="17">
                  <c:v>3318</c:v>
                </c:pt>
                <c:pt idx="18">
                  <c:v>3034</c:v>
                </c:pt>
                <c:pt idx="19">
                  <c:v>3224</c:v>
                </c:pt>
                <c:pt idx="20">
                  <c:v>3111</c:v>
                </c:pt>
                <c:pt idx="21">
                  <c:v>2478</c:v>
                </c:pt>
                <c:pt idx="22">
                  <c:v>3919</c:v>
                </c:pt>
                <c:pt idx="23">
                  <c:v>3569</c:v>
                </c:pt>
                <c:pt idx="24">
                  <c:v>2810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6-C54E-9D14-05CA1FF13453}"/>
            </c:ext>
          </c:extLst>
        </c:ser>
        <c:ser>
          <c:idx val="1"/>
          <c:order val="1"/>
          <c:tx>
            <c:strRef>
              <c:f>'Category Water Data'!$C$1</c:f>
              <c:strCache>
                <c:ptCount val="1"/>
                <c:pt idx="0">
                  <c:v>LSK Campus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Data'!$C$49:$C$73</c:f>
              <c:numCache>
                <c:formatCode>General</c:formatCode>
                <c:ptCount val="25"/>
                <c:pt idx="0">
                  <c:v>282</c:v>
                </c:pt>
                <c:pt idx="1">
                  <c:v>504</c:v>
                </c:pt>
                <c:pt idx="2">
                  <c:v>225</c:v>
                </c:pt>
                <c:pt idx="3">
                  <c:v>258</c:v>
                </c:pt>
                <c:pt idx="4">
                  <c:v>207</c:v>
                </c:pt>
                <c:pt idx="5">
                  <c:v>299</c:v>
                </c:pt>
                <c:pt idx="6">
                  <c:v>260</c:v>
                </c:pt>
                <c:pt idx="7">
                  <c:v>267</c:v>
                </c:pt>
                <c:pt idx="8">
                  <c:v>316</c:v>
                </c:pt>
                <c:pt idx="9">
                  <c:v>351</c:v>
                </c:pt>
                <c:pt idx="10">
                  <c:v>416</c:v>
                </c:pt>
                <c:pt idx="11">
                  <c:v>459</c:v>
                </c:pt>
                <c:pt idx="12">
                  <c:v>3361</c:v>
                </c:pt>
                <c:pt idx="13">
                  <c:v>2351</c:v>
                </c:pt>
                <c:pt idx="14">
                  <c:v>3727</c:v>
                </c:pt>
                <c:pt idx="15">
                  <c:v>471</c:v>
                </c:pt>
                <c:pt idx="16">
                  <c:v>477</c:v>
                </c:pt>
                <c:pt idx="17">
                  <c:v>342</c:v>
                </c:pt>
                <c:pt idx="18">
                  <c:v>422</c:v>
                </c:pt>
                <c:pt idx="19">
                  <c:v>352</c:v>
                </c:pt>
                <c:pt idx="20">
                  <c:v>323</c:v>
                </c:pt>
                <c:pt idx="21">
                  <c:v>476</c:v>
                </c:pt>
                <c:pt idx="22">
                  <c:v>267</c:v>
                </c:pt>
                <c:pt idx="23">
                  <c:v>321</c:v>
                </c:pt>
                <c:pt idx="24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6-C54E-9D14-05CA1FF13453}"/>
            </c:ext>
          </c:extLst>
        </c:ser>
        <c:ser>
          <c:idx val="2"/>
          <c:order val="2"/>
          <c:tx>
            <c:strRef>
              <c:f>'Category Water Data'!$D$1</c:f>
              <c:strCache>
                <c:ptCount val="1"/>
                <c:pt idx="0">
                  <c:v>CYT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Data'!$D$49:$D$73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679</c:v>
                </c:pt>
                <c:pt idx="18">
                  <c:v>904</c:v>
                </c:pt>
                <c:pt idx="19">
                  <c:v>918</c:v>
                </c:pt>
                <c:pt idx="20">
                  <c:v>820</c:v>
                </c:pt>
                <c:pt idx="21">
                  <c:v>719</c:v>
                </c:pt>
                <c:pt idx="22">
                  <c:v>1007</c:v>
                </c:pt>
                <c:pt idx="23">
                  <c:v>893</c:v>
                </c:pt>
                <c:pt idx="24">
                  <c:v>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6-C54E-9D14-05CA1FF13453}"/>
            </c:ext>
          </c:extLst>
        </c:ser>
        <c:ser>
          <c:idx val="3"/>
          <c:order val="3"/>
          <c:tx>
            <c:strRef>
              <c:f>'Category Water Data'!$E$1</c:f>
              <c:strCache>
                <c:ptCount val="1"/>
                <c:pt idx="0">
                  <c:v>Wind Tunnel (AAF)</c:v>
                </c:pt>
              </c:strCache>
            </c:strRef>
          </c:tx>
          <c:spPr>
            <a:solidFill>
              <a:srgbClr val="F8B6FF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Data'!$E$49:$E$73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7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F6-C54E-9D14-05CA1FF13453}"/>
            </c:ext>
          </c:extLst>
        </c:ser>
        <c:ser>
          <c:idx val="4"/>
          <c:order val="4"/>
          <c:tx>
            <c:strRef>
              <c:f>'Category Water Data'!$F$1</c:f>
              <c:strCache>
                <c:ptCount val="1"/>
                <c:pt idx="0">
                  <c:v>Student Halls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Data'!$F$49:$F$73</c:f>
              <c:numCache>
                <c:formatCode>General</c:formatCode>
                <c:ptCount val="25"/>
                <c:pt idx="0">
                  <c:v>10359</c:v>
                </c:pt>
                <c:pt idx="1">
                  <c:v>12245</c:v>
                </c:pt>
                <c:pt idx="2">
                  <c:v>12598.4</c:v>
                </c:pt>
                <c:pt idx="3">
                  <c:v>11845.8</c:v>
                </c:pt>
                <c:pt idx="4">
                  <c:v>6617</c:v>
                </c:pt>
                <c:pt idx="5">
                  <c:v>10997</c:v>
                </c:pt>
                <c:pt idx="6">
                  <c:v>12505</c:v>
                </c:pt>
                <c:pt idx="7">
                  <c:v>11259</c:v>
                </c:pt>
                <c:pt idx="8">
                  <c:v>10377</c:v>
                </c:pt>
                <c:pt idx="9">
                  <c:v>6477</c:v>
                </c:pt>
                <c:pt idx="10">
                  <c:v>5100</c:v>
                </c:pt>
                <c:pt idx="11">
                  <c:v>3959</c:v>
                </c:pt>
                <c:pt idx="12">
                  <c:v>11426</c:v>
                </c:pt>
                <c:pt idx="13">
                  <c:v>12644</c:v>
                </c:pt>
                <c:pt idx="14">
                  <c:v>12986</c:v>
                </c:pt>
                <c:pt idx="15">
                  <c:v>13339</c:v>
                </c:pt>
                <c:pt idx="16">
                  <c:v>5194</c:v>
                </c:pt>
                <c:pt idx="17">
                  <c:v>9691</c:v>
                </c:pt>
                <c:pt idx="18">
                  <c:v>12320</c:v>
                </c:pt>
                <c:pt idx="19">
                  <c:v>11674</c:v>
                </c:pt>
                <c:pt idx="20">
                  <c:v>11515</c:v>
                </c:pt>
                <c:pt idx="21">
                  <c:v>5013</c:v>
                </c:pt>
                <c:pt idx="22">
                  <c:v>3992</c:v>
                </c:pt>
                <c:pt idx="23">
                  <c:v>3298</c:v>
                </c:pt>
                <c:pt idx="24">
                  <c:v>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F6-C54E-9D14-05CA1FF13453}"/>
            </c:ext>
          </c:extLst>
        </c:ser>
        <c:ser>
          <c:idx val="5"/>
          <c:order val="5"/>
          <c:tx>
            <c:strRef>
              <c:f>'Category Water Data'!$G$1</c:f>
              <c:strCache>
                <c:ptCount val="1"/>
                <c:pt idx="0">
                  <c:v>Cooling Towers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Data'!$G$49:$G$73</c:f>
              <c:numCache>
                <c:formatCode>General</c:formatCode>
                <c:ptCount val="25"/>
                <c:pt idx="0">
                  <c:v>10871</c:v>
                </c:pt>
                <c:pt idx="1">
                  <c:v>8876</c:v>
                </c:pt>
                <c:pt idx="2">
                  <c:v>7673</c:v>
                </c:pt>
                <c:pt idx="3">
                  <c:v>1121</c:v>
                </c:pt>
                <c:pt idx="4">
                  <c:v>1093</c:v>
                </c:pt>
                <c:pt idx="5">
                  <c:v>1727</c:v>
                </c:pt>
                <c:pt idx="6">
                  <c:v>3550</c:v>
                </c:pt>
                <c:pt idx="7">
                  <c:v>5861</c:v>
                </c:pt>
                <c:pt idx="8">
                  <c:v>9229</c:v>
                </c:pt>
                <c:pt idx="9">
                  <c:v>11403</c:v>
                </c:pt>
                <c:pt idx="10">
                  <c:v>12405</c:v>
                </c:pt>
                <c:pt idx="11">
                  <c:v>11967</c:v>
                </c:pt>
                <c:pt idx="12">
                  <c:v>11433</c:v>
                </c:pt>
                <c:pt idx="13">
                  <c:v>9030</c:v>
                </c:pt>
                <c:pt idx="14">
                  <c:v>5627</c:v>
                </c:pt>
                <c:pt idx="15">
                  <c:v>2879</c:v>
                </c:pt>
                <c:pt idx="16">
                  <c:v>1638</c:v>
                </c:pt>
                <c:pt idx="17">
                  <c:v>1841</c:v>
                </c:pt>
                <c:pt idx="18">
                  <c:v>3651</c:v>
                </c:pt>
                <c:pt idx="19">
                  <c:v>8941</c:v>
                </c:pt>
                <c:pt idx="20">
                  <c:v>8326</c:v>
                </c:pt>
                <c:pt idx="21">
                  <c:v>10011</c:v>
                </c:pt>
                <c:pt idx="22">
                  <c:v>12425</c:v>
                </c:pt>
                <c:pt idx="23">
                  <c:v>11169</c:v>
                </c:pt>
                <c:pt idx="24">
                  <c:v>11492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F6-C54E-9D14-05CA1FF13453}"/>
            </c:ext>
          </c:extLst>
        </c:ser>
        <c:ser>
          <c:idx val="6"/>
          <c:order val="6"/>
          <c:tx>
            <c:strRef>
              <c:f>'Category Water Data'!$H$1</c:f>
              <c:strCache>
                <c:ptCount val="1"/>
                <c:pt idx="0">
                  <c:v>Sport Facilicites 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Data'!$H$49:$H$73</c:f>
              <c:numCache>
                <c:formatCode>General</c:formatCode>
                <c:ptCount val="25"/>
                <c:pt idx="0">
                  <c:v>299</c:v>
                </c:pt>
                <c:pt idx="1">
                  <c:v>4263</c:v>
                </c:pt>
                <c:pt idx="2">
                  <c:v>554</c:v>
                </c:pt>
                <c:pt idx="3">
                  <c:v>186</c:v>
                </c:pt>
                <c:pt idx="4">
                  <c:v>142</c:v>
                </c:pt>
                <c:pt idx="5">
                  <c:v>213</c:v>
                </c:pt>
                <c:pt idx="6">
                  <c:v>227</c:v>
                </c:pt>
                <c:pt idx="7">
                  <c:v>631</c:v>
                </c:pt>
                <c:pt idx="8">
                  <c:v>353</c:v>
                </c:pt>
                <c:pt idx="9">
                  <c:v>298</c:v>
                </c:pt>
                <c:pt idx="10">
                  <c:v>455</c:v>
                </c:pt>
                <c:pt idx="11">
                  <c:v>354</c:v>
                </c:pt>
                <c:pt idx="12">
                  <c:v>459</c:v>
                </c:pt>
                <c:pt idx="13">
                  <c:v>460</c:v>
                </c:pt>
                <c:pt idx="14">
                  <c:v>417</c:v>
                </c:pt>
                <c:pt idx="15">
                  <c:v>297</c:v>
                </c:pt>
                <c:pt idx="16">
                  <c:v>187</c:v>
                </c:pt>
                <c:pt idx="17">
                  <c:v>279</c:v>
                </c:pt>
                <c:pt idx="18">
                  <c:v>293</c:v>
                </c:pt>
                <c:pt idx="19">
                  <c:v>390</c:v>
                </c:pt>
                <c:pt idx="20">
                  <c:v>281</c:v>
                </c:pt>
                <c:pt idx="21">
                  <c:v>401</c:v>
                </c:pt>
                <c:pt idx="22">
                  <c:v>507</c:v>
                </c:pt>
                <c:pt idx="23">
                  <c:v>489</c:v>
                </c:pt>
                <c:pt idx="24">
                  <c:v>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F6-C54E-9D14-05CA1FF13453}"/>
            </c:ext>
          </c:extLst>
        </c:ser>
        <c:ser>
          <c:idx val="7"/>
          <c:order val="7"/>
          <c:tx>
            <c:strRef>
              <c:f>'Category Water Data'!$I$1</c:f>
              <c:strCache>
                <c:ptCount val="1"/>
                <c:pt idx="0">
                  <c:v>Catering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Data'!$I$49:$I$73</c:f>
              <c:numCache>
                <c:formatCode>General</c:formatCode>
                <c:ptCount val="25"/>
                <c:pt idx="0">
                  <c:v>9027</c:v>
                </c:pt>
                <c:pt idx="1">
                  <c:v>9727</c:v>
                </c:pt>
                <c:pt idx="2">
                  <c:v>8831</c:v>
                </c:pt>
                <c:pt idx="3">
                  <c:v>7473</c:v>
                </c:pt>
                <c:pt idx="4">
                  <c:v>6773</c:v>
                </c:pt>
                <c:pt idx="5">
                  <c:v>7785</c:v>
                </c:pt>
                <c:pt idx="6">
                  <c:v>8745</c:v>
                </c:pt>
                <c:pt idx="7">
                  <c:v>9934</c:v>
                </c:pt>
                <c:pt idx="8">
                  <c:v>8056</c:v>
                </c:pt>
                <c:pt idx="9">
                  <c:v>7276</c:v>
                </c:pt>
                <c:pt idx="10">
                  <c:v>7936</c:v>
                </c:pt>
                <c:pt idx="11">
                  <c:v>7064</c:v>
                </c:pt>
                <c:pt idx="12">
                  <c:v>9199</c:v>
                </c:pt>
                <c:pt idx="13">
                  <c:v>10293</c:v>
                </c:pt>
                <c:pt idx="14">
                  <c:v>8459</c:v>
                </c:pt>
                <c:pt idx="15">
                  <c:v>8462</c:v>
                </c:pt>
                <c:pt idx="16">
                  <c:v>6337</c:v>
                </c:pt>
                <c:pt idx="17">
                  <c:v>7923</c:v>
                </c:pt>
                <c:pt idx="18">
                  <c:v>8934</c:v>
                </c:pt>
                <c:pt idx="19">
                  <c:v>9400</c:v>
                </c:pt>
                <c:pt idx="20">
                  <c:v>9337</c:v>
                </c:pt>
                <c:pt idx="21">
                  <c:v>7464</c:v>
                </c:pt>
                <c:pt idx="22">
                  <c:v>8909</c:v>
                </c:pt>
                <c:pt idx="23">
                  <c:v>9012</c:v>
                </c:pt>
                <c:pt idx="24">
                  <c:v>11817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F6-C54E-9D14-05CA1FF13453}"/>
            </c:ext>
          </c:extLst>
        </c:ser>
        <c:ser>
          <c:idx val="8"/>
          <c:order val="8"/>
          <c:tx>
            <c:strRef>
              <c:f>'Category Water Data'!$J$1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Data'!$J$49:$J$73</c:f>
              <c:numCache>
                <c:formatCode>General</c:formatCode>
                <c:ptCount val="25"/>
                <c:pt idx="0">
                  <c:v>40</c:v>
                </c:pt>
                <c:pt idx="1">
                  <c:v>40</c:v>
                </c:pt>
                <c:pt idx="2">
                  <c:v>49</c:v>
                </c:pt>
                <c:pt idx="3">
                  <c:v>39</c:v>
                </c:pt>
                <c:pt idx="4">
                  <c:v>40</c:v>
                </c:pt>
                <c:pt idx="5">
                  <c:v>38</c:v>
                </c:pt>
                <c:pt idx="6">
                  <c:v>34</c:v>
                </c:pt>
                <c:pt idx="7">
                  <c:v>38</c:v>
                </c:pt>
                <c:pt idx="8">
                  <c:v>32</c:v>
                </c:pt>
                <c:pt idx="9">
                  <c:v>28</c:v>
                </c:pt>
                <c:pt idx="10">
                  <c:v>28</c:v>
                </c:pt>
                <c:pt idx="11">
                  <c:v>26</c:v>
                </c:pt>
                <c:pt idx="12">
                  <c:v>30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28</c:v>
                </c:pt>
                <c:pt idx="17">
                  <c:v>36</c:v>
                </c:pt>
                <c:pt idx="18">
                  <c:v>43</c:v>
                </c:pt>
                <c:pt idx="19">
                  <c:v>45</c:v>
                </c:pt>
                <c:pt idx="20">
                  <c:v>43</c:v>
                </c:pt>
                <c:pt idx="21">
                  <c:v>32</c:v>
                </c:pt>
                <c:pt idx="22">
                  <c:v>31</c:v>
                </c:pt>
                <c:pt idx="23">
                  <c:v>31</c:v>
                </c:pt>
                <c:pt idx="2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F6-C54E-9D14-05CA1FF13453}"/>
            </c:ext>
          </c:extLst>
        </c:ser>
        <c:ser>
          <c:idx val="9"/>
          <c:order val="9"/>
          <c:tx>
            <c:strRef>
              <c:f>'Category Water Data'!$K$1</c:f>
              <c:strCache>
                <c:ptCount val="1"/>
                <c:pt idx="0">
                  <c:v>Cleaning Water and Irrigation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Data'!$K$49:$K$73</c:f>
              <c:numCache>
                <c:formatCode>General</c:formatCode>
                <c:ptCount val="25"/>
                <c:pt idx="0">
                  <c:v>1789</c:v>
                </c:pt>
                <c:pt idx="1">
                  <c:v>1317</c:v>
                </c:pt>
                <c:pt idx="2">
                  <c:v>3612</c:v>
                </c:pt>
                <c:pt idx="3">
                  <c:v>2506</c:v>
                </c:pt>
                <c:pt idx="4">
                  <c:v>2966</c:v>
                </c:pt>
                <c:pt idx="5">
                  <c:v>2419</c:v>
                </c:pt>
                <c:pt idx="6">
                  <c:v>2685</c:v>
                </c:pt>
                <c:pt idx="7">
                  <c:v>2326</c:v>
                </c:pt>
                <c:pt idx="8">
                  <c:v>2163</c:v>
                </c:pt>
                <c:pt idx="9">
                  <c:v>2191</c:v>
                </c:pt>
                <c:pt idx="10">
                  <c:v>1929</c:v>
                </c:pt>
                <c:pt idx="11">
                  <c:v>934</c:v>
                </c:pt>
                <c:pt idx="12">
                  <c:v>788</c:v>
                </c:pt>
                <c:pt idx="13">
                  <c:v>1323</c:v>
                </c:pt>
                <c:pt idx="14">
                  <c:v>1743</c:v>
                </c:pt>
                <c:pt idx="15">
                  <c:v>1977</c:v>
                </c:pt>
                <c:pt idx="16">
                  <c:v>1632</c:v>
                </c:pt>
                <c:pt idx="17">
                  <c:v>2204</c:v>
                </c:pt>
                <c:pt idx="18">
                  <c:v>2498</c:v>
                </c:pt>
                <c:pt idx="19">
                  <c:v>2603</c:v>
                </c:pt>
                <c:pt idx="20">
                  <c:v>1609</c:v>
                </c:pt>
                <c:pt idx="21">
                  <c:v>1494</c:v>
                </c:pt>
                <c:pt idx="22">
                  <c:v>1583</c:v>
                </c:pt>
                <c:pt idx="23">
                  <c:v>1458</c:v>
                </c:pt>
                <c:pt idx="24">
                  <c:v>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F6-C54E-9D14-05CA1FF13453}"/>
            </c:ext>
          </c:extLst>
        </c:ser>
        <c:ser>
          <c:idx val="10"/>
          <c:order val="10"/>
          <c:tx>
            <c:strRef>
              <c:f>'Category Water Data'!$L$1</c:f>
              <c:strCache>
                <c:ptCount val="1"/>
                <c:pt idx="0">
                  <c:v>Lab Building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Data'!$L$49:$L$73</c:f>
              <c:numCache>
                <c:formatCode>General</c:formatCode>
                <c:ptCount val="25"/>
                <c:pt idx="0">
                  <c:v>3170</c:v>
                </c:pt>
                <c:pt idx="1">
                  <c:v>3167</c:v>
                </c:pt>
                <c:pt idx="2">
                  <c:v>3119</c:v>
                </c:pt>
                <c:pt idx="3">
                  <c:v>2856</c:v>
                </c:pt>
                <c:pt idx="4">
                  <c:v>2984</c:v>
                </c:pt>
                <c:pt idx="5">
                  <c:v>2680</c:v>
                </c:pt>
                <c:pt idx="6">
                  <c:v>3095</c:v>
                </c:pt>
                <c:pt idx="7">
                  <c:v>3287</c:v>
                </c:pt>
                <c:pt idx="8">
                  <c:v>3086</c:v>
                </c:pt>
                <c:pt idx="9">
                  <c:v>3015</c:v>
                </c:pt>
                <c:pt idx="10">
                  <c:v>3033</c:v>
                </c:pt>
                <c:pt idx="11">
                  <c:v>2162</c:v>
                </c:pt>
                <c:pt idx="12">
                  <c:v>3324</c:v>
                </c:pt>
                <c:pt idx="13">
                  <c:v>3561</c:v>
                </c:pt>
                <c:pt idx="14">
                  <c:v>3102</c:v>
                </c:pt>
                <c:pt idx="15">
                  <c:v>3864</c:v>
                </c:pt>
                <c:pt idx="16">
                  <c:v>3068</c:v>
                </c:pt>
                <c:pt idx="17">
                  <c:v>2668</c:v>
                </c:pt>
                <c:pt idx="18">
                  <c:v>2970</c:v>
                </c:pt>
                <c:pt idx="19">
                  <c:v>3007</c:v>
                </c:pt>
                <c:pt idx="20">
                  <c:v>2882</c:v>
                </c:pt>
                <c:pt idx="21">
                  <c:v>2709</c:v>
                </c:pt>
                <c:pt idx="22">
                  <c:v>3419</c:v>
                </c:pt>
                <c:pt idx="23">
                  <c:v>3098</c:v>
                </c:pt>
                <c:pt idx="24">
                  <c:v>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F6-C54E-9D14-05CA1FF13453}"/>
            </c:ext>
          </c:extLst>
        </c:ser>
        <c:ser>
          <c:idx val="11"/>
          <c:order val="11"/>
          <c:tx>
            <c:strRef>
              <c:f>'Category Water Data'!$M$1</c:f>
              <c:strCache>
                <c:ptCount val="1"/>
                <c:pt idx="0">
                  <c:v>Shaw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Data'!$M$49:$M$73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24</c:v>
                </c:pt>
                <c:pt idx="19">
                  <c:v>25</c:v>
                </c:pt>
                <c:pt idx="20">
                  <c:v>20</c:v>
                </c:pt>
                <c:pt idx="21">
                  <c:v>11</c:v>
                </c:pt>
                <c:pt idx="22">
                  <c:v>12</c:v>
                </c:pt>
                <c:pt idx="23">
                  <c:v>14</c:v>
                </c:pt>
                <c:pt idx="2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F6-C54E-9D14-05CA1FF13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118848"/>
        <c:axId val="1165006272"/>
      </c:areaChart>
      <c:dateAx>
        <c:axId val="447118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06272"/>
        <c:crosses val="autoZero"/>
        <c:auto val="1"/>
        <c:lblOffset val="100"/>
        <c:baseTimeUnit val="months"/>
      </c:dateAx>
      <c:valAx>
        <c:axId val="11650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Potable Water Consumption (m3)</a:t>
                </a:r>
                <a:endParaRPr lang="en-H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18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latin typeface="Arial" panose="020B0604020202020204" pitchFamily="34" charset="0"/>
                <a:cs typeface="Arial" panose="020B0604020202020204" pitchFamily="34" charset="0"/>
              </a:rPr>
              <a:t>Waste and Recycling Generation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0"/>
          <c:order val="0"/>
          <c:tx>
            <c:strRef>
              <c:f>'Annual Report (Waste)'!$L$1</c:f>
              <c:strCache>
                <c:ptCount val="1"/>
                <c:pt idx="0">
                  <c:v>Landfill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(Waste)'!$L$2:$L$11</c:f>
              <c:numCache>
                <c:formatCode>#,##0</c:formatCode>
                <c:ptCount val="10"/>
                <c:pt idx="0">
                  <c:v>3322000</c:v>
                </c:pt>
                <c:pt idx="1">
                  <c:v>3187000</c:v>
                </c:pt>
                <c:pt idx="2">
                  <c:v>2961000</c:v>
                </c:pt>
                <c:pt idx="3">
                  <c:v>2902000</c:v>
                </c:pt>
                <c:pt idx="4">
                  <c:v>2323000</c:v>
                </c:pt>
                <c:pt idx="5">
                  <c:v>1790000</c:v>
                </c:pt>
                <c:pt idx="6">
                  <c:v>1440000</c:v>
                </c:pt>
                <c:pt idx="7">
                  <c:v>1575000</c:v>
                </c:pt>
                <c:pt idx="8">
                  <c:v>1828310</c:v>
                </c:pt>
                <c:pt idx="9">
                  <c:v>1752328.5999999999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FF-6A4F-9495-4CCC07059632}"/>
            </c:ext>
          </c:extLst>
        </c:ser>
        <c:ser>
          <c:idx val="9"/>
          <c:order val="1"/>
          <c:tx>
            <c:strRef>
              <c:f>'Annual Report (Waste)'!$K$1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(Waste)'!$K$2:$K$11</c:f>
              <c:numCache>
                <c:formatCode>#,##0.00</c:formatCode>
                <c:ptCount val="10"/>
                <c:pt idx="0">
                  <c:v>5568.6609999999928</c:v>
                </c:pt>
                <c:pt idx="1">
                  <c:v>6179.601999999999</c:v>
                </c:pt>
                <c:pt idx="2">
                  <c:v>8734.442999999912</c:v>
                </c:pt>
                <c:pt idx="3">
                  <c:v>8559.4940000000643</c:v>
                </c:pt>
                <c:pt idx="4">
                  <c:v>6606.6600000000326</c:v>
                </c:pt>
                <c:pt idx="5">
                  <c:v>3948.4450000000652</c:v>
                </c:pt>
                <c:pt idx="6">
                  <c:v>4471.9290000000001</c:v>
                </c:pt>
                <c:pt idx="7">
                  <c:v>5233.8680000000004</c:v>
                </c:pt>
                <c:pt idx="8">
                  <c:v>1429</c:v>
                </c:pt>
                <c:pt idx="9">
                  <c:v>1532.3999999999999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FF-6A4F-9495-4CCC07059632}"/>
            </c:ext>
          </c:extLst>
        </c:ser>
        <c:ser>
          <c:idx val="8"/>
          <c:order val="2"/>
          <c:tx>
            <c:strRef>
              <c:f>'Annual Report (Waste)'!$J$1</c:f>
              <c:strCache>
                <c:ptCount val="1"/>
                <c:pt idx="0">
                  <c:v>Electrical Appliances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(Waste)'!$J$2:$J$11</c:f>
              <c:numCache>
                <c:formatCode>#,##0</c:formatCode>
                <c:ptCount val="10"/>
                <c:pt idx="0">
                  <c:v>10000</c:v>
                </c:pt>
                <c:pt idx="1">
                  <c:v>18400</c:v>
                </c:pt>
                <c:pt idx="2">
                  <c:v>28600.000000000004</c:v>
                </c:pt>
                <c:pt idx="3">
                  <c:v>16200</c:v>
                </c:pt>
                <c:pt idx="4">
                  <c:v>4456</c:v>
                </c:pt>
                <c:pt idx="5">
                  <c:v>4373</c:v>
                </c:pt>
                <c:pt idx="6">
                  <c:v>4627</c:v>
                </c:pt>
                <c:pt idx="7">
                  <c:v>5621</c:v>
                </c:pt>
                <c:pt idx="8">
                  <c:v>3882</c:v>
                </c:pt>
                <c:pt idx="9">
                  <c:v>7093.1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FF-6A4F-9495-4CCC07059632}"/>
            </c:ext>
          </c:extLst>
        </c:ser>
        <c:ser>
          <c:idx val="7"/>
          <c:order val="3"/>
          <c:tx>
            <c:strRef>
              <c:f>'Annual Report (Waste)'!$I$1</c:f>
              <c:strCache>
                <c:ptCount val="1"/>
                <c:pt idx="0">
                  <c:v>Wood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(Waste)'!$I$2:$I$11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47870</c:v>
                </c:pt>
                <c:pt idx="4">
                  <c:v>91500</c:v>
                </c:pt>
                <c:pt idx="5">
                  <c:v>156900</c:v>
                </c:pt>
                <c:pt idx="6">
                  <c:v>156100</c:v>
                </c:pt>
                <c:pt idx="7">
                  <c:v>125058</c:v>
                </c:pt>
                <c:pt idx="8">
                  <c:v>162000</c:v>
                </c:pt>
                <c:pt idx="9">
                  <c:v>183000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FF-6A4F-9495-4CCC07059632}"/>
            </c:ext>
          </c:extLst>
        </c:ser>
        <c:ser>
          <c:idx val="6"/>
          <c:order val="4"/>
          <c:tx>
            <c:strRef>
              <c:f>'Annual Report (Waste)'!$H$1</c:f>
              <c:strCache>
                <c:ptCount val="1"/>
                <c:pt idx="0">
                  <c:v>Landscape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(Waste)'!$H$2:$H$11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21000</c:v>
                </c:pt>
                <c:pt idx="4">
                  <c:v>145000</c:v>
                </c:pt>
                <c:pt idx="5">
                  <c:v>210000</c:v>
                </c:pt>
                <c:pt idx="6">
                  <c:v>230500</c:v>
                </c:pt>
                <c:pt idx="7">
                  <c:v>343000</c:v>
                </c:pt>
                <c:pt idx="8">
                  <c:v>318500</c:v>
                </c:pt>
                <c:pt idx="9">
                  <c:v>177062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FF-6A4F-9495-4CCC07059632}"/>
            </c:ext>
          </c:extLst>
        </c:ser>
        <c:ser>
          <c:idx val="5"/>
          <c:order val="5"/>
          <c:tx>
            <c:strRef>
              <c:f>'Annual Report (Waste)'!$G$1</c:f>
              <c:strCache>
                <c:ptCount val="1"/>
                <c:pt idx="0">
                  <c:v>Animal Bedding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(Waste)'!$G$2:$G$11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128.5</c:v>
                </c:pt>
                <c:pt idx="3">
                  <c:v>0</c:v>
                </c:pt>
                <c:pt idx="4">
                  <c:v>46080</c:v>
                </c:pt>
                <c:pt idx="5">
                  <c:v>75520</c:v>
                </c:pt>
                <c:pt idx="6">
                  <c:v>59200</c:v>
                </c:pt>
                <c:pt idx="7">
                  <c:v>78400</c:v>
                </c:pt>
                <c:pt idx="8">
                  <c:v>80000</c:v>
                </c:pt>
                <c:pt idx="9">
                  <c:v>135941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FF-6A4F-9495-4CCC07059632}"/>
            </c:ext>
          </c:extLst>
        </c:ser>
        <c:ser>
          <c:idx val="4"/>
          <c:order val="6"/>
          <c:tx>
            <c:strRef>
              <c:f>'Annual Report (Waste)'!$F$1</c:f>
              <c:strCache>
                <c:ptCount val="1"/>
                <c:pt idx="0">
                  <c:v>Food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(Waste)'!$F$2:$F$11</c:f>
              <c:numCache>
                <c:formatCode>#,##0.0</c:formatCode>
                <c:ptCount val="10"/>
                <c:pt idx="0">
                  <c:v>2851.0000000000005</c:v>
                </c:pt>
                <c:pt idx="1">
                  <c:v>7846.0000000000009</c:v>
                </c:pt>
                <c:pt idx="2">
                  <c:v>185918</c:v>
                </c:pt>
                <c:pt idx="3">
                  <c:v>304749.99999999994</c:v>
                </c:pt>
                <c:pt idx="4">
                  <c:v>304621.44999999995</c:v>
                </c:pt>
                <c:pt idx="5">
                  <c:v>268845.5</c:v>
                </c:pt>
                <c:pt idx="6">
                  <c:v>392921</c:v>
                </c:pt>
                <c:pt idx="7">
                  <c:v>389824</c:v>
                </c:pt>
                <c:pt idx="8">
                  <c:v>431763.1</c:v>
                </c:pt>
                <c:pt idx="9">
                  <c:v>409447.3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FF-6A4F-9495-4CCC07059632}"/>
            </c:ext>
          </c:extLst>
        </c:ser>
        <c:ser>
          <c:idx val="3"/>
          <c:order val="7"/>
          <c:tx>
            <c:strRef>
              <c:f>'Annual Report (Waste)'!$E$1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(Waste)'!$E$2:$E$11</c:f>
              <c:numCache>
                <c:formatCode>#,##0</c:formatCode>
                <c:ptCount val="10"/>
                <c:pt idx="0">
                  <c:v>11567</c:v>
                </c:pt>
                <c:pt idx="1">
                  <c:v>20945</c:v>
                </c:pt>
                <c:pt idx="2">
                  <c:v>22872</c:v>
                </c:pt>
                <c:pt idx="3">
                  <c:v>24517.999999999993</c:v>
                </c:pt>
                <c:pt idx="4">
                  <c:v>18298</c:v>
                </c:pt>
                <c:pt idx="5">
                  <c:v>12691</c:v>
                </c:pt>
                <c:pt idx="6">
                  <c:v>8395</c:v>
                </c:pt>
                <c:pt idx="7">
                  <c:v>6526</c:v>
                </c:pt>
                <c:pt idx="8">
                  <c:v>7874</c:v>
                </c:pt>
                <c:pt idx="9">
                  <c:v>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FF-6A4F-9495-4CCC07059632}"/>
            </c:ext>
          </c:extLst>
        </c:ser>
        <c:ser>
          <c:idx val="2"/>
          <c:order val="8"/>
          <c:tx>
            <c:strRef>
              <c:f>'Annual Report (Waste)'!$D$1</c:f>
              <c:strCache>
                <c:ptCount val="1"/>
                <c:pt idx="0">
                  <c:v>Plastic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(Waste)'!$D$2:$D$11</c:f>
              <c:numCache>
                <c:formatCode>#,##0.00</c:formatCode>
                <c:ptCount val="10"/>
                <c:pt idx="0">
                  <c:v>4940</c:v>
                </c:pt>
                <c:pt idx="1">
                  <c:v>5530</c:v>
                </c:pt>
                <c:pt idx="2">
                  <c:v>21116.999999999996</c:v>
                </c:pt>
                <c:pt idx="3">
                  <c:v>11869.7</c:v>
                </c:pt>
                <c:pt idx="4">
                  <c:v>10285.750000000002</c:v>
                </c:pt>
                <c:pt idx="5">
                  <c:v>5562.75</c:v>
                </c:pt>
                <c:pt idx="6">
                  <c:v>6493</c:v>
                </c:pt>
                <c:pt idx="7">
                  <c:v>4504</c:v>
                </c:pt>
                <c:pt idx="8">
                  <c:v>1006227.5000000002</c:v>
                </c:pt>
                <c:pt idx="9">
                  <c:v>918636.94999999984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FF-6A4F-9495-4CCC07059632}"/>
            </c:ext>
          </c:extLst>
        </c:ser>
        <c:ser>
          <c:idx val="1"/>
          <c:order val="9"/>
          <c:tx>
            <c:strRef>
              <c:f>'Annual Report (Waste)'!$C$1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(Waste)'!$C$2:$C$11</c:f>
              <c:numCache>
                <c:formatCode>#,##0</c:formatCode>
                <c:ptCount val="10"/>
                <c:pt idx="0">
                  <c:v>2370</c:v>
                </c:pt>
                <c:pt idx="1">
                  <c:v>2019.9999999999995</c:v>
                </c:pt>
                <c:pt idx="2">
                  <c:v>2989.9999999999995</c:v>
                </c:pt>
                <c:pt idx="3">
                  <c:v>2849.9999999999995</c:v>
                </c:pt>
                <c:pt idx="4">
                  <c:v>2299.9999999999995</c:v>
                </c:pt>
                <c:pt idx="5">
                  <c:v>7251</c:v>
                </c:pt>
                <c:pt idx="6">
                  <c:v>10127</c:v>
                </c:pt>
                <c:pt idx="7">
                  <c:v>8474</c:v>
                </c:pt>
                <c:pt idx="8">
                  <c:v>10957</c:v>
                </c:pt>
                <c:pt idx="9">
                  <c:v>8584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F-6A4F-9495-4CCC07059632}"/>
            </c:ext>
          </c:extLst>
        </c:ser>
        <c:ser>
          <c:idx val="0"/>
          <c:order val="10"/>
          <c:tx>
            <c:strRef>
              <c:f>'Annual Report (Waste)'!$B$1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(Waste)'!$B$2:$B$11</c:f>
              <c:numCache>
                <c:formatCode>#,##0.00</c:formatCode>
                <c:ptCount val="10"/>
                <c:pt idx="0">
                  <c:v>76830</c:v>
                </c:pt>
                <c:pt idx="1">
                  <c:v>73386.849998000005</c:v>
                </c:pt>
                <c:pt idx="2">
                  <c:v>126070.09999899998</c:v>
                </c:pt>
                <c:pt idx="3">
                  <c:v>128138.75000000001</c:v>
                </c:pt>
                <c:pt idx="4">
                  <c:v>116432</c:v>
                </c:pt>
                <c:pt idx="5">
                  <c:v>152149.6</c:v>
                </c:pt>
                <c:pt idx="6">
                  <c:v>158697</c:v>
                </c:pt>
                <c:pt idx="7">
                  <c:v>153272</c:v>
                </c:pt>
                <c:pt idx="8">
                  <c:v>134937</c:v>
                </c:pt>
                <c:pt idx="9">
                  <c:v>148677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F-6A4F-9495-4CCC07059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808918256"/>
        <c:axId val="1789430864"/>
      </c:barChart>
      <c:catAx>
        <c:axId val="180891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430864"/>
        <c:crosses val="autoZero"/>
        <c:auto val="1"/>
        <c:lblAlgn val="ctr"/>
        <c:lblOffset val="100"/>
        <c:noMultiLvlLbl val="0"/>
      </c:catAx>
      <c:valAx>
        <c:axId val="1789430864"/>
        <c:scaling>
          <c:orientation val="minMax"/>
          <c:max val="3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8918256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>
                      <a:latin typeface="Arial" panose="020B0604020202020204" pitchFamily="34" charset="0"/>
                      <a:cs typeface="Arial" panose="020B0604020202020204" pitchFamily="34" charset="0"/>
                    </a:rPr>
                    <a:t>Million</a:t>
                  </a:r>
                  <a:r>
                    <a:rPr lang="en-GB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KG</a:t>
                  </a:r>
                  <a:endParaRPr lang="en-GB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B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and Recycling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0"/>
          <c:order val="1"/>
          <c:tx>
            <c:strRef>
              <c:f>'Annual Report (Waste)'!$L$1</c:f>
              <c:strCache>
                <c:ptCount val="1"/>
                <c:pt idx="0">
                  <c:v>Landfill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(Waste)'!$L$2:$L$12</c:f>
              <c:numCache>
                <c:formatCode>#,##0</c:formatCode>
                <c:ptCount val="11"/>
                <c:pt idx="0">
                  <c:v>3322000</c:v>
                </c:pt>
                <c:pt idx="1">
                  <c:v>3187000</c:v>
                </c:pt>
                <c:pt idx="2">
                  <c:v>2961000</c:v>
                </c:pt>
                <c:pt idx="3">
                  <c:v>2902000</c:v>
                </c:pt>
                <c:pt idx="4">
                  <c:v>2323000</c:v>
                </c:pt>
                <c:pt idx="5">
                  <c:v>1790000</c:v>
                </c:pt>
                <c:pt idx="6">
                  <c:v>1440000</c:v>
                </c:pt>
                <c:pt idx="7">
                  <c:v>1575000</c:v>
                </c:pt>
                <c:pt idx="8">
                  <c:v>1828310</c:v>
                </c:pt>
                <c:pt idx="9">
                  <c:v>1752328.5999999999</c:v>
                </c:pt>
                <c:pt idx="10">
                  <c:v>1793997.6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AB-2F4F-9001-CEEF50F63CC4}"/>
            </c:ext>
          </c:extLst>
        </c:ser>
        <c:ser>
          <c:idx val="9"/>
          <c:order val="2"/>
          <c:tx>
            <c:strRef>
              <c:f>'Annual Report (Waste)'!$K$1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(Waste)'!$K$2:$K$12</c:f>
              <c:numCache>
                <c:formatCode>#,##0.00</c:formatCode>
                <c:ptCount val="11"/>
                <c:pt idx="0">
                  <c:v>5568.6609999999928</c:v>
                </c:pt>
                <c:pt idx="1">
                  <c:v>6179.601999999999</c:v>
                </c:pt>
                <c:pt idx="2">
                  <c:v>8734.442999999912</c:v>
                </c:pt>
                <c:pt idx="3">
                  <c:v>8559.4940000000643</c:v>
                </c:pt>
                <c:pt idx="4">
                  <c:v>6606.6600000000326</c:v>
                </c:pt>
                <c:pt idx="5">
                  <c:v>3948.4450000000652</c:v>
                </c:pt>
                <c:pt idx="6">
                  <c:v>4471.9290000000001</c:v>
                </c:pt>
                <c:pt idx="7">
                  <c:v>5233.8680000000004</c:v>
                </c:pt>
                <c:pt idx="8">
                  <c:v>1429</c:v>
                </c:pt>
                <c:pt idx="9">
                  <c:v>1532.3999999999999</c:v>
                </c:pt>
                <c:pt idx="10">
                  <c:v>1493.6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AB-2F4F-9001-CEEF50F63CC4}"/>
            </c:ext>
          </c:extLst>
        </c:ser>
        <c:ser>
          <c:idx val="8"/>
          <c:order val="3"/>
          <c:tx>
            <c:strRef>
              <c:f>'Annual Report (Waste)'!$J$1</c:f>
              <c:strCache>
                <c:ptCount val="1"/>
                <c:pt idx="0">
                  <c:v>Electrical Appliances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(Waste)'!$J$2:$J$12</c:f>
              <c:numCache>
                <c:formatCode>#,##0</c:formatCode>
                <c:ptCount val="11"/>
                <c:pt idx="0">
                  <c:v>10000</c:v>
                </c:pt>
                <c:pt idx="1">
                  <c:v>18400</c:v>
                </c:pt>
                <c:pt idx="2">
                  <c:v>28600.000000000004</c:v>
                </c:pt>
                <c:pt idx="3">
                  <c:v>16200</c:v>
                </c:pt>
                <c:pt idx="4">
                  <c:v>4456</c:v>
                </c:pt>
                <c:pt idx="5">
                  <c:v>4373</c:v>
                </c:pt>
                <c:pt idx="6">
                  <c:v>4627</c:v>
                </c:pt>
                <c:pt idx="7">
                  <c:v>5621</c:v>
                </c:pt>
                <c:pt idx="8">
                  <c:v>3882</c:v>
                </c:pt>
                <c:pt idx="9">
                  <c:v>7093.1</c:v>
                </c:pt>
                <c:pt idx="10">
                  <c:v>8654.5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AB-2F4F-9001-CEEF50F63CC4}"/>
            </c:ext>
          </c:extLst>
        </c:ser>
        <c:ser>
          <c:idx val="7"/>
          <c:order val="4"/>
          <c:tx>
            <c:strRef>
              <c:f>'Annual Report (Waste)'!$I$1</c:f>
              <c:strCache>
                <c:ptCount val="1"/>
                <c:pt idx="0">
                  <c:v>Wood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(Waste)'!$I$2:$I$12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47870</c:v>
                </c:pt>
                <c:pt idx="4">
                  <c:v>91500</c:v>
                </c:pt>
                <c:pt idx="5">
                  <c:v>156900</c:v>
                </c:pt>
                <c:pt idx="6">
                  <c:v>156100</c:v>
                </c:pt>
                <c:pt idx="7">
                  <c:v>125058</c:v>
                </c:pt>
                <c:pt idx="8">
                  <c:v>162000</c:v>
                </c:pt>
                <c:pt idx="9">
                  <c:v>183000</c:v>
                </c:pt>
                <c:pt idx="10">
                  <c:v>189000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AB-2F4F-9001-CEEF50F63CC4}"/>
            </c:ext>
          </c:extLst>
        </c:ser>
        <c:ser>
          <c:idx val="6"/>
          <c:order val="5"/>
          <c:tx>
            <c:strRef>
              <c:f>'Annual Report (Waste)'!$H$1</c:f>
              <c:strCache>
                <c:ptCount val="1"/>
                <c:pt idx="0">
                  <c:v>Landscape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(Waste)'!$H$2:$H$12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21000</c:v>
                </c:pt>
                <c:pt idx="4">
                  <c:v>145000</c:v>
                </c:pt>
                <c:pt idx="5">
                  <c:v>210000</c:v>
                </c:pt>
                <c:pt idx="6">
                  <c:v>230500</c:v>
                </c:pt>
                <c:pt idx="7">
                  <c:v>343000</c:v>
                </c:pt>
                <c:pt idx="8">
                  <c:v>318500</c:v>
                </c:pt>
                <c:pt idx="9">
                  <c:v>177062</c:v>
                </c:pt>
                <c:pt idx="10">
                  <c:v>163926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AB-2F4F-9001-CEEF50F63CC4}"/>
            </c:ext>
          </c:extLst>
        </c:ser>
        <c:ser>
          <c:idx val="5"/>
          <c:order val="6"/>
          <c:tx>
            <c:strRef>
              <c:f>'Annual Report (Waste)'!$G$1</c:f>
              <c:strCache>
                <c:ptCount val="1"/>
                <c:pt idx="0">
                  <c:v>Animal Bedding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(Waste)'!$G$2:$G$12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128.5</c:v>
                </c:pt>
                <c:pt idx="3">
                  <c:v>0</c:v>
                </c:pt>
                <c:pt idx="4">
                  <c:v>46080</c:v>
                </c:pt>
                <c:pt idx="5">
                  <c:v>75520</c:v>
                </c:pt>
                <c:pt idx="6">
                  <c:v>59200</c:v>
                </c:pt>
                <c:pt idx="7">
                  <c:v>78400</c:v>
                </c:pt>
                <c:pt idx="8">
                  <c:v>80000</c:v>
                </c:pt>
                <c:pt idx="9">
                  <c:v>135941</c:v>
                </c:pt>
                <c:pt idx="10">
                  <c:v>74338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AB-2F4F-9001-CEEF50F63CC4}"/>
            </c:ext>
          </c:extLst>
        </c:ser>
        <c:ser>
          <c:idx val="4"/>
          <c:order val="7"/>
          <c:tx>
            <c:strRef>
              <c:f>'Annual Report (Waste)'!$F$1</c:f>
              <c:strCache>
                <c:ptCount val="1"/>
                <c:pt idx="0">
                  <c:v>Food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(Waste)'!$F$2:$F$12</c:f>
              <c:numCache>
                <c:formatCode>#,##0.0</c:formatCode>
                <c:ptCount val="11"/>
                <c:pt idx="0">
                  <c:v>2851.0000000000005</c:v>
                </c:pt>
                <c:pt idx="1">
                  <c:v>7846.0000000000009</c:v>
                </c:pt>
                <c:pt idx="2">
                  <c:v>185918</c:v>
                </c:pt>
                <c:pt idx="3">
                  <c:v>304749.99999999994</c:v>
                </c:pt>
                <c:pt idx="4">
                  <c:v>304621.44999999995</c:v>
                </c:pt>
                <c:pt idx="5">
                  <c:v>268845.5</c:v>
                </c:pt>
                <c:pt idx="6">
                  <c:v>392921</c:v>
                </c:pt>
                <c:pt idx="7">
                  <c:v>389824</c:v>
                </c:pt>
                <c:pt idx="8">
                  <c:v>431763.1</c:v>
                </c:pt>
                <c:pt idx="9">
                  <c:v>409447.3</c:v>
                </c:pt>
                <c:pt idx="10">
                  <c:v>502530.9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AB-2F4F-9001-CEEF50F63CC4}"/>
            </c:ext>
          </c:extLst>
        </c:ser>
        <c:ser>
          <c:idx val="3"/>
          <c:order val="8"/>
          <c:tx>
            <c:strRef>
              <c:f>'Annual Report (Waste)'!$E$1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(Waste)'!$E$2:$E$12</c:f>
              <c:numCache>
                <c:formatCode>#,##0</c:formatCode>
                <c:ptCount val="11"/>
                <c:pt idx="0">
                  <c:v>11567</c:v>
                </c:pt>
                <c:pt idx="1">
                  <c:v>20945</c:v>
                </c:pt>
                <c:pt idx="2">
                  <c:v>22872</c:v>
                </c:pt>
                <c:pt idx="3">
                  <c:v>24517.999999999993</c:v>
                </c:pt>
                <c:pt idx="4">
                  <c:v>18298</c:v>
                </c:pt>
                <c:pt idx="5">
                  <c:v>12691</c:v>
                </c:pt>
                <c:pt idx="6">
                  <c:v>8395</c:v>
                </c:pt>
                <c:pt idx="7">
                  <c:v>6526</c:v>
                </c:pt>
                <c:pt idx="8">
                  <c:v>7874</c:v>
                </c:pt>
                <c:pt idx="9">
                  <c:v>8057</c:v>
                </c:pt>
                <c:pt idx="10">
                  <c:v>6040.8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AB-2F4F-9001-CEEF50F63CC4}"/>
            </c:ext>
          </c:extLst>
        </c:ser>
        <c:ser>
          <c:idx val="2"/>
          <c:order val="9"/>
          <c:tx>
            <c:strRef>
              <c:f>'Annual Report (Waste)'!$D$1</c:f>
              <c:strCache>
                <c:ptCount val="1"/>
                <c:pt idx="0">
                  <c:v>Plastic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(Waste)'!$D$2:$D$12</c:f>
              <c:numCache>
                <c:formatCode>#,##0.00</c:formatCode>
                <c:ptCount val="11"/>
                <c:pt idx="0">
                  <c:v>4940</c:v>
                </c:pt>
                <c:pt idx="1">
                  <c:v>5530</c:v>
                </c:pt>
                <c:pt idx="2">
                  <c:v>21116.999999999996</c:v>
                </c:pt>
                <c:pt idx="3">
                  <c:v>11869.7</c:v>
                </c:pt>
                <c:pt idx="4">
                  <c:v>10285.750000000002</c:v>
                </c:pt>
                <c:pt idx="5">
                  <c:v>5562.75</c:v>
                </c:pt>
                <c:pt idx="6">
                  <c:v>6493</c:v>
                </c:pt>
                <c:pt idx="7">
                  <c:v>4504</c:v>
                </c:pt>
                <c:pt idx="8">
                  <c:v>1006227.5000000002</c:v>
                </c:pt>
                <c:pt idx="9">
                  <c:v>918636.94999999984</c:v>
                </c:pt>
                <c:pt idx="10">
                  <c:v>945494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AB-2F4F-9001-CEEF50F63CC4}"/>
            </c:ext>
          </c:extLst>
        </c:ser>
        <c:ser>
          <c:idx val="1"/>
          <c:order val="10"/>
          <c:tx>
            <c:strRef>
              <c:f>'Annual Report (Waste)'!$C$1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(Waste)'!$C$2:$C$12</c:f>
              <c:numCache>
                <c:formatCode>#,##0</c:formatCode>
                <c:ptCount val="11"/>
                <c:pt idx="0">
                  <c:v>2370</c:v>
                </c:pt>
                <c:pt idx="1">
                  <c:v>2019.9999999999995</c:v>
                </c:pt>
                <c:pt idx="2">
                  <c:v>2989.9999999999995</c:v>
                </c:pt>
                <c:pt idx="3">
                  <c:v>2849.9999999999995</c:v>
                </c:pt>
                <c:pt idx="4">
                  <c:v>2299.9999999999995</c:v>
                </c:pt>
                <c:pt idx="5">
                  <c:v>7251</c:v>
                </c:pt>
                <c:pt idx="6">
                  <c:v>10127</c:v>
                </c:pt>
                <c:pt idx="7">
                  <c:v>8474</c:v>
                </c:pt>
                <c:pt idx="8">
                  <c:v>10957</c:v>
                </c:pt>
                <c:pt idx="9">
                  <c:v>8584</c:v>
                </c:pt>
                <c:pt idx="10">
                  <c:v>10331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B-2F4F-9001-CEEF50F63CC4}"/>
            </c:ext>
          </c:extLst>
        </c:ser>
        <c:ser>
          <c:idx val="0"/>
          <c:order val="11"/>
          <c:tx>
            <c:strRef>
              <c:f>'Annual Report (Waste)'!$B$1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(Waste)'!$B$2:$B$12</c:f>
              <c:numCache>
                <c:formatCode>#,##0.00</c:formatCode>
                <c:ptCount val="11"/>
                <c:pt idx="0">
                  <c:v>76830</c:v>
                </c:pt>
                <c:pt idx="1">
                  <c:v>73386.849998000005</c:v>
                </c:pt>
                <c:pt idx="2">
                  <c:v>126070.09999899998</c:v>
                </c:pt>
                <c:pt idx="3">
                  <c:v>128138.75000000001</c:v>
                </c:pt>
                <c:pt idx="4">
                  <c:v>116432</c:v>
                </c:pt>
                <c:pt idx="5">
                  <c:v>152149.6</c:v>
                </c:pt>
                <c:pt idx="6">
                  <c:v>158697</c:v>
                </c:pt>
                <c:pt idx="7">
                  <c:v>153272</c:v>
                </c:pt>
                <c:pt idx="8">
                  <c:v>134937</c:v>
                </c:pt>
                <c:pt idx="9">
                  <c:v>148677</c:v>
                </c:pt>
                <c:pt idx="10">
                  <c:v>159850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B-2F4F-9001-CEEF50F63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74443823"/>
        <c:axId val="877418496"/>
      </c:barChart>
      <c:lineChart>
        <c:grouping val="standard"/>
        <c:varyColors val="0"/>
        <c:ser>
          <c:idx val="12"/>
          <c:order val="0"/>
          <c:tx>
            <c:strRef>
              <c:f>'Annual Report (Waste)'!$P$1</c:f>
              <c:strCache>
                <c:ptCount val="1"/>
                <c:pt idx="0">
                  <c:v>Landfill per capita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(Waste)'!$P$2:$P$12</c:f>
              <c:numCache>
                <c:formatCode>#,##0</c:formatCode>
                <c:ptCount val="11"/>
                <c:pt idx="0">
                  <c:v>203.30477356181152</c:v>
                </c:pt>
                <c:pt idx="1">
                  <c:v>191.7453823476325</c:v>
                </c:pt>
                <c:pt idx="2">
                  <c:v>171.16101621434146</c:v>
                </c:pt>
                <c:pt idx="3">
                  <c:v>161.91034117220408</c:v>
                </c:pt>
                <c:pt idx="4">
                  <c:v>125.50990085636329</c:v>
                </c:pt>
                <c:pt idx="5">
                  <c:v>101.25007070535663</c:v>
                </c:pt>
                <c:pt idx="6">
                  <c:v>73.033422934523514</c:v>
                </c:pt>
                <c:pt idx="7">
                  <c:v>76.668451540670787</c:v>
                </c:pt>
                <c:pt idx="8">
                  <c:v>85.049541796529752</c:v>
                </c:pt>
                <c:pt idx="9">
                  <c:v>79.044097613785013</c:v>
                </c:pt>
                <c:pt idx="10">
                  <c:v>75.134966704359854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AB-2F4F-9001-CEEF50F63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208015"/>
        <c:axId val="1917205119"/>
      </c:lineChart>
      <c:catAx>
        <c:axId val="57444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7418496"/>
        <c:crosses val="autoZero"/>
        <c:auto val="1"/>
        <c:lblAlgn val="ctr"/>
        <c:lblOffset val="100"/>
        <c:noMultiLvlLbl val="0"/>
      </c:catAx>
      <c:valAx>
        <c:axId val="877418496"/>
        <c:scaling>
          <c:orientation val="minMax"/>
          <c:max val="37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4443823"/>
        <c:crosses val="autoZero"/>
        <c:crossBetween val="between"/>
        <c:dispUnits>
          <c:builtInUnit val="thousands"/>
        </c:dispUnits>
      </c:valAx>
      <c:valAx>
        <c:axId val="1917205119"/>
        <c:scaling>
          <c:orientation val="minMax"/>
          <c:max val="22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Landfill Waste kg/capita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7208015"/>
        <c:crosses val="max"/>
        <c:crossBetween val="between"/>
      </c:valAx>
      <c:catAx>
        <c:axId val="1917208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720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12-Month Rolling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Average (formatted until Jun-24)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'Half-Year Report (Waste)'!$A$13:$A$130</c:f>
              <c:numCache>
                <c:formatCode>mmm\-yy</c:formatCode>
                <c:ptCount val="118"/>
                <c:pt idx="0">
                  <c:v>41791</c:v>
                </c:pt>
                <c:pt idx="1">
                  <c:v>41821</c:v>
                </c:pt>
                <c:pt idx="2">
                  <c:v>41852</c:v>
                </c:pt>
                <c:pt idx="3">
                  <c:v>41883</c:v>
                </c:pt>
                <c:pt idx="4">
                  <c:v>41913</c:v>
                </c:pt>
                <c:pt idx="5">
                  <c:v>41944</c:v>
                </c:pt>
                <c:pt idx="6">
                  <c:v>41974</c:v>
                </c:pt>
                <c:pt idx="7">
                  <c:v>42005</c:v>
                </c:pt>
                <c:pt idx="8">
                  <c:v>42036</c:v>
                </c:pt>
                <c:pt idx="9">
                  <c:v>42064</c:v>
                </c:pt>
                <c:pt idx="10">
                  <c:v>42095</c:v>
                </c:pt>
                <c:pt idx="11">
                  <c:v>42125</c:v>
                </c:pt>
                <c:pt idx="12">
                  <c:v>42156</c:v>
                </c:pt>
                <c:pt idx="13">
                  <c:v>42186</c:v>
                </c:pt>
                <c:pt idx="14">
                  <c:v>42217</c:v>
                </c:pt>
                <c:pt idx="15">
                  <c:v>42248</c:v>
                </c:pt>
                <c:pt idx="16">
                  <c:v>42278</c:v>
                </c:pt>
                <c:pt idx="17">
                  <c:v>42309</c:v>
                </c:pt>
                <c:pt idx="18">
                  <c:v>42339</c:v>
                </c:pt>
                <c:pt idx="19">
                  <c:v>42370</c:v>
                </c:pt>
                <c:pt idx="20">
                  <c:v>42401</c:v>
                </c:pt>
                <c:pt idx="21">
                  <c:v>42430</c:v>
                </c:pt>
                <c:pt idx="22">
                  <c:v>42461</c:v>
                </c:pt>
                <c:pt idx="23">
                  <c:v>42491</c:v>
                </c:pt>
                <c:pt idx="24">
                  <c:v>42522</c:v>
                </c:pt>
                <c:pt idx="25">
                  <c:v>42552</c:v>
                </c:pt>
                <c:pt idx="26">
                  <c:v>42583</c:v>
                </c:pt>
                <c:pt idx="27">
                  <c:v>42614</c:v>
                </c:pt>
                <c:pt idx="28">
                  <c:v>42644</c:v>
                </c:pt>
                <c:pt idx="29">
                  <c:v>42675</c:v>
                </c:pt>
                <c:pt idx="30">
                  <c:v>42705</c:v>
                </c:pt>
                <c:pt idx="31">
                  <c:v>42736</c:v>
                </c:pt>
                <c:pt idx="32">
                  <c:v>42767</c:v>
                </c:pt>
                <c:pt idx="33">
                  <c:v>42795</c:v>
                </c:pt>
                <c:pt idx="34">
                  <c:v>42826</c:v>
                </c:pt>
                <c:pt idx="35">
                  <c:v>42856</c:v>
                </c:pt>
                <c:pt idx="36">
                  <c:v>42887</c:v>
                </c:pt>
                <c:pt idx="37">
                  <c:v>42917</c:v>
                </c:pt>
                <c:pt idx="38">
                  <c:v>42948</c:v>
                </c:pt>
                <c:pt idx="39">
                  <c:v>42979</c:v>
                </c:pt>
                <c:pt idx="40">
                  <c:v>43009</c:v>
                </c:pt>
                <c:pt idx="41">
                  <c:v>43040</c:v>
                </c:pt>
                <c:pt idx="42">
                  <c:v>43070</c:v>
                </c:pt>
                <c:pt idx="43">
                  <c:v>43101</c:v>
                </c:pt>
                <c:pt idx="44">
                  <c:v>43132</c:v>
                </c:pt>
                <c:pt idx="45">
                  <c:v>43160</c:v>
                </c:pt>
                <c:pt idx="46">
                  <c:v>43191</c:v>
                </c:pt>
                <c:pt idx="47">
                  <c:v>43221</c:v>
                </c:pt>
                <c:pt idx="48">
                  <c:v>43252</c:v>
                </c:pt>
                <c:pt idx="49">
                  <c:v>43282</c:v>
                </c:pt>
                <c:pt idx="50">
                  <c:v>43313</c:v>
                </c:pt>
                <c:pt idx="51">
                  <c:v>43344</c:v>
                </c:pt>
                <c:pt idx="52">
                  <c:v>43374</c:v>
                </c:pt>
                <c:pt idx="53">
                  <c:v>43405</c:v>
                </c:pt>
                <c:pt idx="54">
                  <c:v>43435</c:v>
                </c:pt>
                <c:pt idx="55">
                  <c:v>43466</c:v>
                </c:pt>
                <c:pt idx="56">
                  <c:v>43497</c:v>
                </c:pt>
                <c:pt idx="57">
                  <c:v>43525</c:v>
                </c:pt>
                <c:pt idx="58">
                  <c:v>43556</c:v>
                </c:pt>
                <c:pt idx="59">
                  <c:v>43586</c:v>
                </c:pt>
                <c:pt idx="60">
                  <c:v>43617</c:v>
                </c:pt>
                <c:pt idx="61">
                  <c:v>43647</c:v>
                </c:pt>
                <c:pt idx="62">
                  <c:v>43678</c:v>
                </c:pt>
                <c:pt idx="63">
                  <c:v>43709</c:v>
                </c:pt>
                <c:pt idx="64">
                  <c:v>43739</c:v>
                </c:pt>
                <c:pt idx="65">
                  <c:v>43770</c:v>
                </c:pt>
                <c:pt idx="66">
                  <c:v>43800</c:v>
                </c:pt>
                <c:pt idx="67">
                  <c:v>43831</c:v>
                </c:pt>
                <c:pt idx="68">
                  <c:v>43862</c:v>
                </c:pt>
                <c:pt idx="69">
                  <c:v>43891</c:v>
                </c:pt>
                <c:pt idx="70">
                  <c:v>43922</c:v>
                </c:pt>
                <c:pt idx="71">
                  <c:v>43952</c:v>
                </c:pt>
                <c:pt idx="72">
                  <c:v>43983</c:v>
                </c:pt>
                <c:pt idx="73">
                  <c:v>44013</c:v>
                </c:pt>
                <c:pt idx="74">
                  <c:v>44044</c:v>
                </c:pt>
                <c:pt idx="75">
                  <c:v>44075</c:v>
                </c:pt>
                <c:pt idx="76">
                  <c:v>44105</c:v>
                </c:pt>
                <c:pt idx="77">
                  <c:v>44136</c:v>
                </c:pt>
                <c:pt idx="78">
                  <c:v>44166</c:v>
                </c:pt>
                <c:pt idx="79">
                  <c:v>44197</c:v>
                </c:pt>
                <c:pt idx="80">
                  <c:v>44228</c:v>
                </c:pt>
                <c:pt idx="81">
                  <c:v>44256</c:v>
                </c:pt>
                <c:pt idx="82">
                  <c:v>44287</c:v>
                </c:pt>
                <c:pt idx="83">
                  <c:v>44317</c:v>
                </c:pt>
                <c:pt idx="84">
                  <c:v>44348</c:v>
                </c:pt>
                <c:pt idx="85">
                  <c:v>44378</c:v>
                </c:pt>
                <c:pt idx="86">
                  <c:v>44409</c:v>
                </c:pt>
                <c:pt idx="87">
                  <c:v>44440</c:v>
                </c:pt>
                <c:pt idx="88">
                  <c:v>44470</c:v>
                </c:pt>
                <c:pt idx="89">
                  <c:v>44501</c:v>
                </c:pt>
                <c:pt idx="90">
                  <c:v>44531</c:v>
                </c:pt>
                <c:pt idx="91">
                  <c:v>44562</c:v>
                </c:pt>
                <c:pt idx="92">
                  <c:v>44593</c:v>
                </c:pt>
                <c:pt idx="93">
                  <c:v>44621</c:v>
                </c:pt>
                <c:pt idx="94">
                  <c:v>44652</c:v>
                </c:pt>
                <c:pt idx="95">
                  <c:v>44682</c:v>
                </c:pt>
                <c:pt idx="96">
                  <c:v>44713</c:v>
                </c:pt>
                <c:pt idx="97">
                  <c:v>44743</c:v>
                </c:pt>
                <c:pt idx="98">
                  <c:v>44774</c:v>
                </c:pt>
                <c:pt idx="99">
                  <c:v>44805</c:v>
                </c:pt>
                <c:pt idx="100">
                  <c:v>44835</c:v>
                </c:pt>
                <c:pt idx="101">
                  <c:v>44866</c:v>
                </c:pt>
                <c:pt idx="102">
                  <c:v>44896</c:v>
                </c:pt>
                <c:pt idx="103">
                  <c:v>44927</c:v>
                </c:pt>
                <c:pt idx="104">
                  <c:v>44958</c:v>
                </c:pt>
                <c:pt idx="105">
                  <c:v>44986</c:v>
                </c:pt>
                <c:pt idx="106">
                  <c:v>45017</c:v>
                </c:pt>
                <c:pt idx="107">
                  <c:v>45047</c:v>
                </c:pt>
                <c:pt idx="108">
                  <c:v>45078</c:v>
                </c:pt>
                <c:pt idx="109">
                  <c:v>45108</c:v>
                </c:pt>
                <c:pt idx="110">
                  <c:v>45139</c:v>
                </c:pt>
                <c:pt idx="111">
                  <c:v>45170</c:v>
                </c:pt>
                <c:pt idx="112">
                  <c:v>45200</c:v>
                </c:pt>
                <c:pt idx="113">
                  <c:v>45231</c:v>
                </c:pt>
                <c:pt idx="114">
                  <c:v>45261</c:v>
                </c:pt>
                <c:pt idx="115">
                  <c:v>45292</c:v>
                </c:pt>
                <c:pt idx="116">
                  <c:v>45323</c:v>
                </c:pt>
                <c:pt idx="117">
                  <c:v>45352</c:v>
                </c:pt>
              </c:numCache>
            </c:numRef>
          </c:cat>
          <c:val>
            <c:numRef>
              <c:f>'Half-Year Report (Waste)'!$F$13:$F$130</c:f>
              <c:numCache>
                <c:formatCode>#,##0.00</c:formatCode>
                <c:ptCount val="118"/>
                <c:pt idx="0">
                  <c:v>276791.66666666669</c:v>
                </c:pt>
                <c:pt idx="1">
                  <c:v>276791.66666666669</c:v>
                </c:pt>
                <c:pt idx="2">
                  <c:v>276791.66666666669</c:v>
                </c:pt>
                <c:pt idx="3">
                  <c:v>276791.66666666669</c:v>
                </c:pt>
                <c:pt idx="4">
                  <c:v>276791.66666666669</c:v>
                </c:pt>
                <c:pt idx="5">
                  <c:v>276791.66666666669</c:v>
                </c:pt>
                <c:pt idx="6">
                  <c:v>276791.66666666669</c:v>
                </c:pt>
                <c:pt idx="7">
                  <c:v>276791.66666666669</c:v>
                </c:pt>
                <c:pt idx="8">
                  <c:v>276791.66666666669</c:v>
                </c:pt>
                <c:pt idx="9">
                  <c:v>276791.66666666669</c:v>
                </c:pt>
                <c:pt idx="10">
                  <c:v>276791.66666666669</c:v>
                </c:pt>
                <c:pt idx="11">
                  <c:v>276791.66666666669</c:v>
                </c:pt>
                <c:pt idx="12">
                  <c:v>276791.66666666669</c:v>
                </c:pt>
                <c:pt idx="13">
                  <c:v>272565.83333333331</c:v>
                </c:pt>
                <c:pt idx="14">
                  <c:v>272519.16666666669</c:v>
                </c:pt>
                <c:pt idx="15">
                  <c:v>272509.16666666669</c:v>
                </c:pt>
                <c:pt idx="16">
                  <c:v>272417.5</c:v>
                </c:pt>
                <c:pt idx="17">
                  <c:v>272525</c:v>
                </c:pt>
                <c:pt idx="18">
                  <c:v>271340</c:v>
                </c:pt>
                <c:pt idx="19">
                  <c:v>270315</c:v>
                </c:pt>
                <c:pt idx="20">
                  <c:v>269123.33333333331</c:v>
                </c:pt>
                <c:pt idx="21">
                  <c:v>267555.83333333331</c:v>
                </c:pt>
                <c:pt idx="22">
                  <c:v>266480.83333333331</c:v>
                </c:pt>
                <c:pt idx="23">
                  <c:v>266245.83333333331</c:v>
                </c:pt>
                <c:pt idx="24">
                  <c:v>265604.16666666669</c:v>
                </c:pt>
                <c:pt idx="25">
                  <c:v>265546.66666666669</c:v>
                </c:pt>
                <c:pt idx="26">
                  <c:v>262866.66666666669</c:v>
                </c:pt>
                <c:pt idx="27">
                  <c:v>261930.83333333334</c:v>
                </c:pt>
                <c:pt idx="28">
                  <c:v>260089.16666666666</c:v>
                </c:pt>
                <c:pt idx="29">
                  <c:v>259119.16666666666</c:v>
                </c:pt>
                <c:pt idx="30">
                  <c:v>257413.33333333334</c:v>
                </c:pt>
                <c:pt idx="31">
                  <c:v>253891.66666666666</c:v>
                </c:pt>
                <c:pt idx="32">
                  <c:v>254188.33333333334</c:v>
                </c:pt>
                <c:pt idx="33">
                  <c:v>253178.33333333334</c:v>
                </c:pt>
                <c:pt idx="34">
                  <c:v>251170</c:v>
                </c:pt>
                <c:pt idx="35">
                  <c:v>247541.66666666666</c:v>
                </c:pt>
                <c:pt idx="36">
                  <c:v>246776.66666666666</c:v>
                </c:pt>
                <c:pt idx="37">
                  <c:v>246349.16666666666</c:v>
                </c:pt>
                <c:pt idx="38">
                  <c:v>246753.33333333334</c:v>
                </c:pt>
                <c:pt idx="39">
                  <c:v>246615</c:v>
                </c:pt>
                <c:pt idx="40">
                  <c:v>247643.33333333334</c:v>
                </c:pt>
                <c:pt idx="41">
                  <c:v>250098.33333333334</c:v>
                </c:pt>
                <c:pt idx="42">
                  <c:v>249228.33333333334</c:v>
                </c:pt>
                <c:pt idx="43">
                  <c:v>253544.16666666666</c:v>
                </c:pt>
                <c:pt idx="44">
                  <c:v>251625.83333333334</c:v>
                </c:pt>
                <c:pt idx="45">
                  <c:v>250420.83333333334</c:v>
                </c:pt>
                <c:pt idx="46">
                  <c:v>247664.16666666666</c:v>
                </c:pt>
                <c:pt idx="47">
                  <c:v>245491.66666666666</c:v>
                </c:pt>
                <c:pt idx="48">
                  <c:v>241889.16666666666</c:v>
                </c:pt>
                <c:pt idx="49">
                  <c:v>241063.33333333334</c:v>
                </c:pt>
                <c:pt idx="50">
                  <c:v>237046.66666666666</c:v>
                </c:pt>
                <c:pt idx="51">
                  <c:v>231776.66666666666</c:v>
                </c:pt>
                <c:pt idx="52">
                  <c:v>226315</c:v>
                </c:pt>
                <c:pt idx="53">
                  <c:v>221452.5</c:v>
                </c:pt>
                <c:pt idx="54">
                  <c:v>221217.5</c:v>
                </c:pt>
                <c:pt idx="55">
                  <c:v>212074.18856666668</c:v>
                </c:pt>
                <c:pt idx="56">
                  <c:v>206924.51543333335</c:v>
                </c:pt>
                <c:pt idx="57">
                  <c:v>201922.27731666664</c:v>
                </c:pt>
                <c:pt idx="58">
                  <c:v>197372.08102499999</c:v>
                </c:pt>
                <c:pt idx="59">
                  <c:v>195233.19569166668</c:v>
                </c:pt>
                <c:pt idx="60">
                  <c:v>193603.89108333329</c:v>
                </c:pt>
                <c:pt idx="61">
                  <c:v>190633.89108333329</c:v>
                </c:pt>
                <c:pt idx="62">
                  <c:v>190324.72441666666</c:v>
                </c:pt>
                <c:pt idx="63">
                  <c:v>190713.89108333332</c:v>
                </c:pt>
                <c:pt idx="64">
                  <c:v>189659.72441666666</c:v>
                </c:pt>
                <c:pt idx="65">
                  <c:v>183155.55775000001</c:v>
                </c:pt>
                <c:pt idx="66">
                  <c:v>177885.55775000001</c:v>
                </c:pt>
                <c:pt idx="67">
                  <c:v>173298.86918333333</c:v>
                </c:pt>
                <c:pt idx="68">
                  <c:v>167105.20898333332</c:v>
                </c:pt>
                <c:pt idx="69">
                  <c:v>160555.78043333333</c:v>
                </c:pt>
                <c:pt idx="70">
                  <c:v>156744.31005833333</c:v>
                </c:pt>
                <c:pt idx="71">
                  <c:v>153270.69539166667</c:v>
                </c:pt>
                <c:pt idx="72">
                  <c:v>149170</c:v>
                </c:pt>
                <c:pt idx="73">
                  <c:v>144584.16666666666</c:v>
                </c:pt>
                <c:pt idx="74">
                  <c:v>137998.33333333334</c:v>
                </c:pt>
                <c:pt idx="75">
                  <c:v>132040.83333333334</c:v>
                </c:pt>
                <c:pt idx="76">
                  <c:v>125823.33333333333</c:v>
                </c:pt>
                <c:pt idx="77">
                  <c:v>122945.83333333333</c:v>
                </c:pt>
                <c:pt idx="78">
                  <c:v>118033.33333333333</c:v>
                </c:pt>
                <c:pt idx="79">
                  <c:v>116975</c:v>
                </c:pt>
                <c:pt idx="80">
                  <c:v>118900.83333333333</c:v>
                </c:pt>
                <c:pt idx="81">
                  <c:v>121431.66666666667</c:v>
                </c:pt>
                <c:pt idx="82">
                  <c:v>123168.33333333333</c:v>
                </c:pt>
                <c:pt idx="83">
                  <c:v>122713.33333333333</c:v>
                </c:pt>
                <c:pt idx="84">
                  <c:v>119968.33333333333</c:v>
                </c:pt>
                <c:pt idx="85">
                  <c:v>119363.33333333333</c:v>
                </c:pt>
                <c:pt idx="86">
                  <c:v>120107.5</c:v>
                </c:pt>
                <c:pt idx="87">
                  <c:v>122154.16666666667</c:v>
                </c:pt>
                <c:pt idx="88">
                  <c:v>124248.33333333333</c:v>
                </c:pt>
                <c:pt idx="89">
                  <c:v>126217.5</c:v>
                </c:pt>
                <c:pt idx="90">
                  <c:v>128861.41666666667</c:v>
                </c:pt>
                <c:pt idx="91">
                  <c:v>132373.91666666666</c:v>
                </c:pt>
                <c:pt idx="92">
                  <c:v>132568.08333333334</c:v>
                </c:pt>
                <c:pt idx="93">
                  <c:v>131219.75</c:v>
                </c:pt>
                <c:pt idx="94">
                  <c:v>130074.75</c:v>
                </c:pt>
                <c:pt idx="95">
                  <c:v>129401.41666666667</c:v>
                </c:pt>
                <c:pt idx="96">
                  <c:v>131232.25</c:v>
                </c:pt>
                <c:pt idx="97">
                  <c:v>132573.91666666666</c:v>
                </c:pt>
                <c:pt idx="98">
                  <c:v>133438.91666666666</c:v>
                </c:pt>
                <c:pt idx="99">
                  <c:v>134994.75</c:v>
                </c:pt>
                <c:pt idx="100">
                  <c:v>137035.58333333334</c:v>
                </c:pt>
                <c:pt idx="101">
                  <c:v>138872.25</c:v>
                </c:pt>
                <c:pt idx="102">
                  <c:v>139735</c:v>
                </c:pt>
                <c:pt idx="103">
                  <c:v>138080</c:v>
                </c:pt>
                <c:pt idx="104">
                  <c:v>141554.16666666666</c:v>
                </c:pt>
                <c:pt idx="105">
                  <c:v>146355</c:v>
                </c:pt>
                <c:pt idx="106">
                  <c:v>149672.5</c:v>
                </c:pt>
                <c:pt idx="107">
                  <c:v>151605</c:v>
                </c:pt>
                <c:pt idx="108">
                  <c:v>152359.16666666666</c:v>
                </c:pt>
                <c:pt idx="109">
                  <c:v>152596.66666666666</c:v>
                </c:pt>
                <c:pt idx="110">
                  <c:v>153471.66666666666</c:v>
                </c:pt>
                <c:pt idx="111">
                  <c:v>152198.33333333334</c:v>
                </c:pt>
                <c:pt idx="112">
                  <c:v>150834.16666666666</c:v>
                </c:pt>
                <c:pt idx="113">
                  <c:v>150118.5</c:v>
                </c:pt>
                <c:pt idx="114">
                  <c:v>149674.16666666666</c:v>
                </c:pt>
                <c:pt idx="115">
                  <c:v>150189</c:v>
                </c:pt>
                <c:pt idx="116">
                  <c:v>147769.82499999998</c:v>
                </c:pt>
                <c:pt idx="117">
                  <c:v>145424.79999999999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E-CC48-9327-C84BB1A3C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073936"/>
        <c:axId val="942075664"/>
      </c:areaChart>
      <c:dateAx>
        <c:axId val="942073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075664"/>
        <c:crosses val="autoZero"/>
        <c:auto val="1"/>
        <c:lblOffset val="100"/>
        <c:baseTimeUnit val="months"/>
      </c:dateAx>
      <c:valAx>
        <c:axId val="9420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073936"/>
        <c:crosses val="autoZero"/>
        <c:crossBetween val="midCat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US">
                      <a:latin typeface="Arial" panose="020B0604020202020204" pitchFamily="34" charset="0"/>
                      <a:cs typeface="Arial" panose="020B0604020202020204" pitchFamily="34" charset="0"/>
                    </a:rPr>
                    <a:t>Thousand</a:t>
                  </a:r>
                  <a:r>
                    <a:rPr lang="en-US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kg</a:t>
                  </a:r>
                  <a:endParaRPr lang="en-US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&amp; Recycling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Distribution (Jul23-Dec23)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(Waste)'!$N$2</c:f>
              <c:strCache>
                <c:ptCount val="1"/>
                <c:pt idx="0">
                  <c:v>Jul-23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78B-B645-887F-63C6FFF0B6F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(Waste)'!$O$2:$T$2</c:f>
              <c:numCache>
                <c:formatCode>#,##0</c:formatCode>
                <c:ptCount val="6"/>
                <c:pt idx="0">
                  <c:v>136680</c:v>
                </c:pt>
                <c:pt idx="1">
                  <c:v>10929.5</c:v>
                </c:pt>
                <c:pt idx="2">
                  <c:v>61584.5</c:v>
                </c:pt>
                <c:pt idx="3">
                  <c:v>64879</c:v>
                </c:pt>
                <c:pt idx="4">
                  <c:v>23296.5</c:v>
                </c:pt>
                <c:pt idx="5">
                  <c:v>21670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4-6A4F-881C-66DD7567344C}"/>
            </c:ext>
          </c:extLst>
        </c:ser>
        <c:ser>
          <c:idx val="1"/>
          <c:order val="1"/>
          <c:tx>
            <c:strRef>
              <c:f>'Half-Year Report (Waste)'!$N$3</c:f>
              <c:strCache>
                <c:ptCount val="1"/>
                <c:pt idx="0">
                  <c:v>Aug-23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78B-B645-887F-63C6FFF0B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(Waste)'!$O$3:$T$3</c:f>
              <c:numCache>
                <c:formatCode>#,##0</c:formatCode>
                <c:ptCount val="6"/>
                <c:pt idx="0">
                  <c:v>153100</c:v>
                </c:pt>
                <c:pt idx="1">
                  <c:v>11012.9</c:v>
                </c:pt>
                <c:pt idx="2">
                  <c:v>60898</c:v>
                </c:pt>
                <c:pt idx="3">
                  <c:v>72672.600000000006</c:v>
                </c:pt>
                <c:pt idx="4">
                  <c:v>28190.499999999996</c:v>
                </c:pt>
                <c:pt idx="5">
                  <c:v>27270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4-6A4F-881C-66DD7567344C}"/>
            </c:ext>
          </c:extLst>
        </c:ser>
        <c:ser>
          <c:idx val="2"/>
          <c:order val="2"/>
          <c:tx>
            <c:strRef>
              <c:f>'Half-Year Report (Waste)'!$N$4</c:f>
              <c:strCache>
                <c:ptCount val="1"/>
                <c:pt idx="0">
                  <c:v>Sep-23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78B-B645-887F-63C6FFF0B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(Waste)'!$O$4:$T$4</c:f>
              <c:numCache>
                <c:formatCode>#,##0</c:formatCode>
                <c:ptCount val="6"/>
                <c:pt idx="0">
                  <c:v>157880</c:v>
                </c:pt>
                <c:pt idx="1">
                  <c:v>11439.75</c:v>
                </c:pt>
                <c:pt idx="2">
                  <c:v>81832.350000000006</c:v>
                </c:pt>
                <c:pt idx="3">
                  <c:v>95840.950000000012</c:v>
                </c:pt>
                <c:pt idx="4">
                  <c:v>30387</c:v>
                </c:pt>
                <c:pt idx="5">
                  <c:v>48985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54-6A4F-881C-66DD7567344C}"/>
            </c:ext>
          </c:extLst>
        </c:ser>
        <c:ser>
          <c:idx val="3"/>
          <c:order val="3"/>
          <c:tx>
            <c:strRef>
              <c:f>'Half-Year Report (Waste)'!$N$5</c:f>
              <c:strCache>
                <c:ptCount val="1"/>
                <c:pt idx="0">
                  <c:v>Oct-23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78B-B645-887F-63C6FFF0B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(Waste)'!$O$5:$T$5</c:f>
              <c:numCache>
                <c:formatCode>#,##0</c:formatCode>
                <c:ptCount val="6"/>
                <c:pt idx="0">
                  <c:v>151690</c:v>
                </c:pt>
                <c:pt idx="1">
                  <c:v>11646.6</c:v>
                </c:pt>
                <c:pt idx="2">
                  <c:v>63851.1</c:v>
                </c:pt>
                <c:pt idx="3">
                  <c:v>78116.100000000006</c:v>
                </c:pt>
                <c:pt idx="4">
                  <c:v>30156.499999999996</c:v>
                </c:pt>
                <c:pt idx="5">
                  <c:v>30475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54-6A4F-881C-66DD7567344C}"/>
            </c:ext>
          </c:extLst>
        </c:ser>
        <c:ser>
          <c:idx val="4"/>
          <c:order val="4"/>
          <c:tx>
            <c:strRef>
              <c:f>'Half-Year Report (Waste)'!$N$6</c:f>
              <c:strCache>
                <c:ptCount val="1"/>
                <c:pt idx="0">
                  <c:v>Nov-23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78B-B645-887F-63C6FFF0B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(Waste)'!$O$6:$T$6</c:f>
              <c:numCache>
                <c:formatCode>#,##0</c:formatCode>
                <c:ptCount val="6"/>
                <c:pt idx="0">
                  <c:v>158262</c:v>
                </c:pt>
                <c:pt idx="1">
                  <c:v>13879.6</c:v>
                </c:pt>
                <c:pt idx="2">
                  <c:v>51652.299999999996</c:v>
                </c:pt>
                <c:pt idx="3">
                  <c:v>81080.899999999994</c:v>
                </c:pt>
                <c:pt idx="4">
                  <c:v>42615.9</c:v>
                </c:pt>
                <c:pt idx="5">
                  <c:v>23750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54-6A4F-881C-66DD7567344C}"/>
            </c:ext>
          </c:extLst>
        </c:ser>
        <c:ser>
          <c:idx val="5"/>
          <c:order val="5"/>
          <c:tx>
            <c:strRef>
              <c:f>'Half-Year Report (Waste)'!$N$7</c:f>
              <c:strCache>
                <c:ptCount val="1"/>
                <c:pt idx="0">
                  <c:v>Dec-23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78B-B645-887F-63C6FFF0B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(Waste)'!$O$7:$T$7</c:f>
              <c:numCache>
                <c:formatCode>#,##0</c:formatCode>
                <c:ptCount val="6"/>
                <c:pt idx="0">
                  <c:v>148708</c:v>
                </c:pt>
                <c:pt idx="1">
                  <c:v>13838.8</c:v>
                </c:pt>
                <c:pt idx="2">
                  <c:v>62198.8</c:v>
                </c:pt>
                <c:pt idx="3">
                  <c:v>82035.099999999991</c:v>
                </c:pt>
                <c:pt idx="4">
                  <c:v>35693.299999999996</c:v>
                </c:pt>
                <c:pt idx="5">
                  <c:v>27718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54-6A4F-881C-66DD7567344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&amp; Recycling Distribution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(Jan24-Jun24)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(Waste)'!$N$8</c:f>
              <c:strCache>
                <c:ptCount val="1"/>
                <c:pt idx="0">
                  <c:v>Jan-24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3FA-DA47-8B4D-07DBC2B1D6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3FA-DA47-8B4D-07DBC2B1D6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0D-9B47-A046-7F777A132163}"/>
              </c:ext>
            </c:extLst>
          </c:dPt>
          <c:dLbls>
            <c:dLbl>
              <c:idx val="1"/>
              <c:layout>
                <c:manualLayout>
                  <c:x val="-4.488778054862843E-2"/>
                  <c:y val="0.146341744462731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3FA-DA47-8B4D-07DBC2B1D67F}"/>
                </c:ext>
              </c:extLst>
            </c:dLbl>
            <c:dLbl>
              <c:idx val="2"/>
              <c:layout>
                <c:manualLayout>
                  <c:x val="-4.4887780548628443E-2"/>
                  <c:y val="8.9431066060558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3FA-DA47-8B4D-07DBC2B1D67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(Waste)'!$O$8:$T$8</c:f>
              <c:numCache>
                <c:formatCode>#,##0</c:formatCode>
                <c:ptCount val="6"/>
                <c:pt idx="0">
                  <c:v>130338</c:v>
                </c:pt>
                <c:pt idx="1">
                  <c:v>13922.8</c:v>
                </c:pt>
                <c:pt idx="2">
                  <c:v>68877.3</c:v>
                </c:pt>
                <c:pt idx="3">
                  <c:v>79614.7</c:v>
                </c:pt>
                <c:pt idx="4">
                  <c:v>29377.9</c:v>
                </c:pt>
                <c:pt idx="5">
                  <c:v>29300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A-DA47-8B4D-07DBC2B1D67F}"/>
            </c:ext>
          </c:extLst>
        </c:ser>
        <c:ser>
          <c:idx val="1"/>
          <c:order val="1"/>
          <c:tx>
            <c:strRef>
              <c:f>'Half-Year Report (Waste)'!$N$9</c:f>
              <c:strCache>
                <c:ptCount val="1"/>
                <c:pt idx="0">
                  <c:v>Feb-24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00D-9B47-A046-7F777A132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00D-9B47-A046-7F777A1321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00D-9B47-A046-7F777A132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(Waste)'!$O$9:$T$9</c:f>
              <c:numCache>
                <c:formatCode>#,##0</c:formatCode>
                <c:ptCount val="6"/>
                <c:pt idx="0">
                  <c:v>123019.9</c:v>
                </c:pt>
                <c:pt idx="1">
                  <c:v>13075.4</c:v>
                </c:pt>
                <c:pt idx="2">
                  <c:v>54675.199999999997</c:v>
                </c:pt>
                <c:pt idx="3">
                  <c:v>74568.599999999991</c:v>
                </c:pt>
                <c:pt idx="4">
                  <c:v>35652.6</c:v>
                </c:pt>
                <c:pt idx="5">
                  <c:v>21810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A-DA47-8B4D-07DBC2B1D67F}"/>
            </c:ext>
          </c:extLst>
        </c:ser>
        <c:ser>
          <c:idx val="2"/>
          <c:order val="2"/>
          <c:tx>
            <c:strRef>
              <c:f>'Half-Year Report (Waste)'!$N$10</c:f>
              <c:strCache>
                <c:ptCount val="1"/>
                <c:pt idx="0">
                  <c:v>Mar-24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00D-9B47-A046-7F777A132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00D-9B47-A046-7F777A1321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00D-9B47-A046-7F777A132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(Waste)'!$O$10:$T$10</c:f>
              <c:numCache>
                <c:formatCode>#,##0</c:formatCode>
                <c:ptCount val="6"/>
                <c:pt idx="0">
                  <c:v>141749.70000000001</c:v>
                </c:pt>
                <c:pt idx="1">
                  <c:v>13876.8</c:v>
                </c:pt>
                <c:pt idx="2">
                  <c:v>57105.4</c:v>
                </c:pt>
                <c:pt idx="3">
                  <c:v>85301.800000000017</c:v>
                </c:pt>
                <c:pt idx="4">
                  <c:v>43510.8</c:v>
                </c:pt>
                <c:pt idx="5">
                  <c:v>24205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FA-DA47-8B4D-07DBC2B1D67F}"/>
            </c:ext>
          </c:extLst>
        </c:ser>
        <c:ser>
          <c:idx val="3"/>
          <c:order val="3"/>
          <c:tx>
            <c:strRef>
              <c:f>'Half-Year Report (Waste)'!$N$11</c:f>
              <c:strCache>
                <c:ptCount val="1"/>
                <c:pt idx="0">
                  <c:v>Apr-24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00D-9B47-A046-7F777A132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00D-9B47-A046-7F777A1321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00D-9B47-A046-7F777A132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(Waste)'!$O$11:$T$11</c:f>
              <c:numCache>
                <c:formatCode>#,##0</c:formatCode>
                <c:ptCount val="6"/>
                <c:pt idx="0">
                  <c:v>136279</c:v>
                </c:pt>
                <c:pt idx="1">
                  <c:v>13058.8</c:v>
                </c:pt>
                <c:pt idx="2">
                  <c:v>52848.600000000006</c:v>
                </c:pt>
                <c:pt idx="3">
                  <c:v>76413.400000000009</c:v>
                </c:pt>
                <c:pt idx="4">
                  <c:v>39601</c:v>
                </c:pt>
                <c:pt idx="5">
                  <c:v>19415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FA-DA47-8B4D-07DBC2B1D67F}"/>
            </c:ext>
          </c:extLst>
        </c:ser>
        <c:ser>
          <c:idx val="4"/>
          <c:order val="4"/>
          <c:tx>
            <c:strRef>
              <c:f>'Half-Year Report (Waste)'!$N$12</c:f>
              <c:strCache>
                <c:ptCount val="1"/>
                <c:pt idx="0">
                  <c:v>May-24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00D-9B47-A046-7F777A132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00D-9B47-A046-7F777A1321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00D-9B47-A046-7F777A132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(Waste)'!$O$12:$T$12</c:f>
              <c:numCache>
                <c:formatCode>#,##0</c:formatCode>
                <c:ptCount val="6"/>
                <c:pt idx="0">
                  <c:v>168240</c:v>
                </c:pt>
                <c:pt idx="1">
                  <c:v>13974.2</c:v>
                </c:pt>
                <c:pt idx="2">
                  <c:v>46277.9</c:v>
                </c:pt>
                <c:pt idx="3">
                  <c:v>73661.899999999994</c:v>
                </c:pt>
                <c:pt idx="4">
                  <c:v>40905.300000000003</c:v>
                </c:pt>
                <c:pt idx="5">
                  <c:v>19270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FA-DA47-8B4D-07DBC2B1D67F}"/>
            </c:ext>
          </c:extLst>
        </c:ser>
        <c:ser>
          <c:idx val="5"/>
          <c:order val="5"/>
          <c:tx>
            <c:strRef>
              <c:f>'Half-Year Report (Waste)'!$N$13</c:f>
              <c:strCache>
                <c:ptCount val="1"/>
                <c:pt idx="0">
                  <c:v>Jun-24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00D-9B47-A046-7F777A132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00D-9B47-A046-7F777A1321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00D-9B47-A046-7F777A132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(Waste)'!$O$13:$T$13</c:f>
              <c:numCache>
                <c:formatCode>#,##0</c:formatCode>
                <c:ptCount val="6"/>
                <c:pt idx="0">
                  <c:v>146382</c:v>
                </c:pt>
                <c:pt idx="1">
                  <c:v>13225</c:v>
                </c:pt>
                <c:pt idx="2">
                  <c:v>58071.199999999997</c:v>
                </c:pt>
                <c:pt idx="3">
                  <c:v>68850.399999999994</c:v>
                </c:pt>
                <c:pt idx="4">
                  <c:v>30060</c:v>
                </c:pt>
                <c:pt idx="5">
                  <c:v>19135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FA-DA47-8B4D-07DBC2B1D67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Recycling Distribution (Jul23-Dec23)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(Waste)'!$AG$2</c:f>
              <c:strCache>
                <c:ptCount val="1"/>
                <c:pt idx="0">
                  <c:v>Jul-23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18-534E-85E3-D3BC3D35E98E}"/>
              </c:ext>
            </c:extLst>
          </c:dPt>
          <c:dLbls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(Waste)'!$AH$2:$AQ$2</c:f>
              <c:numCache>
                <c:formatCode>#,##0</c:formatCode>
                <c:ptCount val="10"/>
                <c:pt idx="0">
                  <c:v>10670</c:v>
                </c:pt>
                <c:pt idx="1">
                  <c:v>915</c:v>
                </c:pt>
                <c:pt idx="2">
                  <c:v>63739</c:v>
                </c:pt>
                <c:pt idx="3">
                  <c:v>673</c:v>
                </c:pt>
                <c:pt idx="4">
                  <c:v>23296.5</c:v>
                </c:pt>
                <c:pt idx="5">
                  <c:v>7185</c:v>
                </c:pt>
                <c:pt idx="6">
                  <c:v>14485</c:v>
                </c:pt>
                <c:pt idx="7">
                  <c:v>18000</c:v>
                </c:pt>
                <c:pt idx="8">
                  <c:v>513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B-084A-8E5B-D9B5ECE029F8}"/>
            </c:ext>
          </c:extLst>
        </c:ser>
        <c:ser>
          <c:idx val="1"/>
          <c:order val="1"/>
          <c:tx>
            <c:strRef>
              <c:f>'Half-Year Report (Waste)'!$AG$3</c:f>
              <c:strCache>
                <c:ptCount val="1"/>
                <c:pt idx="0">
                  <c:v>Aug-23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C18-534E-85E3-D3BC3D35E98E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(Waste)'!$AH$3:$AQ$3</c:f>
              <c:numCache>
                <c:formatCode>#,##0</c:formatCode>
                <c:ptCount val="10"/>
                <c:pt idx="0">
                  <c:v>10732</c:v>
                </c:pt>
                <c:pt idx="1">
                  <c:v>872</c:v>
                </c:pt>
                <c:pt idx="2">
                  <c:v>71197.5</c:v>
                </c:pt>
                <c:pt idx="3">
                  <c:v>996</c:v>
                </c:pt>
                <c:pt idx="4">
                  <c:v>28190.499999999996</c:v>
                </c:pt>
                <c:pt idx="5">
                  <c:v>7200</c:v>
                </c:pt>
                <c:pt idx="6">
                  <c:v>20070</c:v>
                </c:pt>
                <c:pt idx="7">
                  <c:v>15000</c:v>
                </c:pt>
                <c:pt idx="8">
                  <c:v>435</c:v>
                </c:pt>
                <c:pt idx="9">
                  <c:v>21.1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B-084A-8E5B-D9B5ECE029F8}"/>
            </c:ext>
          </c:extLst>
        </c:ser>
        <c:ser>
          <c:idx val="2"/>
          <c:order val="2"/>
          <c:tx>
            <c:strRef>
              <c:f>'Half-Year Report (Waste)'!$AG$4</c:f>
              <c:strCache>
                <c:ptCount val="1"/>
                <c:pt idx="0">
                  <c:v>Sep-23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C18-534E-85E3-D3BC3D35E98E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(Waste)'!$AH$4:$AQ$4</c:f>
              <c:numCache>
                <c:formatCode>#,##0</c:formatCode>
                <c:ptCount val="10"/>
                <c:pt idx="0">
                  <c:v>11135</c:v>
                </c:pt>
                <c:pt idx="1">
                  <c:v>801</c:v>
                </c:pt>
                <c:pt idx="2">
                  <c:v>95299.35</c:v>
                </c:pt>
                <c:pt idx="3">
                  <c:v>0</c:v>
                </c:pt>
                <c:pt idx="4">
                  <c:v>30387</c:v>
                </c:pt>
                <c:pt idx="5">
                  <c:v>11215</c:v>
                </c:pt>
                <c:pt idx="6">
                  <c:v>37770</c:v>
                </c:pt>
                <c:pt idx="7">
                  <c:v>15000</c:v>
                </c:pt>
                <c:pt idx="8">
                  <c:v>531</c:v>
                </c:pt>
                <c:pt idx="9">
                  <c:v>91.6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7B-084A-8E5B-D9B5ECE029F8}"/>
            </c:ext>
          </c:extLst>
        </c:ser>
        <c:ser>
          <c:idx val="3"/>
          <c:order val="3"/>
          <c:tx>
            <c:strRef>
              <c:f>'Half-Year Report (Waste)'!$AG$5</c:f>
              <c:strCache>
                <c:ptCount val="1"/>
                <c:pt idx="0">
                  <c:v>Oct-23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4C18-534E-85E3-D3BC3D35E98E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(Waste)'!$AH$5:$AQ$5</c:f>
              <c:numCache>
                <c:formatCode>#,##0</c:formatCode>
                <c:ptCount val="10"/>
                <c:pt idx="0">
                  <c:v>11304</c:v>
                </c:pt>
                <c:pt idx="1">
                  <c:v>733</c:v>
                </c:pt>
                <c:pt idx="2">
                  <c:v>76415.600000000006</c:v>
                </c:pt>
                <c:pt idx="3">
                  <c:v>1412</c:v>
                </c:pt>
                <c:pt idx="4">
                  <c:v>30156.499999999996</c:v>
                </c:pt>
                <c:pt idx="5">
                  <c:v>9565</c:v>
                </c:pt>
                <c:pt idx="6">
                  <c:v>20910</c:v>
                </c:pt>
                <c:pt idx="7">
                  <c:v>15000</c:v>
                </c:pt>
                <c:pt idx="8">
                  <c:v>364.5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7B-084A-8E5B-D9B5ECE029F8}"/>
            </c:ext>
          </c:extLst>
        </c:ser>
        <c:ser>
          <c:idx val="4"/>
          <c:order val="4"/>
          <c:tx>
            <c:strRef>
              <c:f>'Half-Year Report (Waste)'!$AG$6</c:f>
              <c:strCache>
                <c:ptCount val="1"/>
                <c:pt idx="0">
                  <c:v>Nov-23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4C18-534E-85E3-D3BC3D35E98E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(Waste)'!$AH$6:$AQ$6</c:f>
              <c:numCache>
                <c:formatCode>#,##0</c:formatCode>
                <c:ptCount val="10"/>
                <c:pt idx="0">
                  <c:v>13460</c:v>
                </c:pt>
                <c:pt idx="1">
                  <c:v>752</c:v>
                </c:pt>
                <c:pt idx="2">
                  <c:v>79550.2</c:v>
                </c:pt>
                <c:pt idx="3">
                  <c:v>975</c:v>
                </c:pt>
                <c:pt idx="4">
                  <c:v>42615.9</c:v>
                </c:pt>
                <c:pt idx="5">
                  <c:v>7803</c:v>
                </c:pt>
                <c:pt idx="6">
                  <c:v>15947</c:v>
                </c:pt>
                <c:pt idx="7">
                  <c:v>12000</c:v>
                </c:pt>
                <c:pt idx="8">
                  <c:v>737.5</c:v>
                </c:pt>
                <c:pt idx="9">
                  <c:v>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7B-084A-8E5B-D9B5ECE029F8}"/>
            </c:ext>
          </c:extLst>
        </c:ser>
        <c:ser>
          <c:idx val="5"/>
          <c:order val="5"/>
          <c:tx>
            <c:strRef>
              <c:f>'Half-Year Report (Waste)'!$AG$7</c:f>
              <c:strCache>
                <c:ptCount val="1"/>
                <c:pt idx="0">
                  <c:v>Dec-23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4C18-534E-85E3-D3BC3D35E98E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(Waste)'!$AH$7:$AQ$7</c:f>
              <c:numCache>
                <c:formatCode>#,##0</c:formatCode>
                <c:ptCount val="10"/>
                <c:pt idx="0">
                  <c:v>13442</c:v>
                </c:pt>
                <c:pt idx="1">
                  <c:v>342</c:v>
                </c:pt>
                <c:pt idx="2">
                  <c:v>80093.099999999991</c:v>
                </c:pt>
                <c:pt idx="3">
                  <c:v>856</c:v>
                </c:pt>
                <c:pt idx="4">
                  <c:v>35693.299999999996</c:v>
                </c:pt>
                <c:pt idx="5">
                  <c:v>19833</c:v>
                </c:pt>
                <c:pt idx="6">
                  <c:v>7885</c:v>
                </c:pt>
                <c:pt idx="7">
                  <c:v>15000</c:v>
                </c:pt>
                <c:pt idx="8">
                  <c:v>1285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7B-084A-8E5B-D9B5ECE0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Food Waste by Location (Jul23-Dec23)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(Waste)'!$AY$2</c:f>
              <c:strCache>
                <c:ptCount val="1"/>
                <c:pt idx="0">
                  <c:v>Jul-23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E2E-054B-93BC-F74987AE71B7}"/>
              </c:ext>
            </c:extLst>
          </c:dPt>
          <c:dLbls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(Waste)'!$AZ$2:$BH$2</c:f>
              <c:numCache>
                <c:formatCode>General</c:formatCode>
                <c:ptCount val="9"/>
                <c:pt idx="0">
                  <c:v>7456</c:v>
                </c:pt>
                <c:pt idx="1">
                  <c:v>7333.6</c:v>
                </c:pt>
                <c:pt idx="2">
                  <c:v>1940.5</c:v>
                </c:pt>
                <c:pt idx="3">
                  <c:v>1322.5</c:v>
                </c:pt>
                <c:pt idx="4">
                  <c:v>427.5</c:v>
                </c:pt>
                <c:pt idx="5">
                  <c:v>1793.5</c:v>
                </c:pt>
                <c:pt idx="6">
                  <c:v>0</c:v>
                </c:pt>
                <c:pt idx="7">
                  <c:v>738.5</c:v>
                </c:pt>
                <c:pt idx="8">
                  <c:v>2284.4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B-1640-982A-60E3C75AB916}"/>
            </c:ext>
          </c:extLst>
        </c:ser>
        <c:ser>
          <c:idx val="1"/>
          <c:order val="1"/>
          <c:tx>
            <c:strRef>
              <c:f>'Half-Year Report (Waste)'!$AY$3</c:f>
              <c:strCache>
                <c:ptCount val="1"/>
                <c:pt idx="0">
                  <c:v>Aug-23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E2E-054B-93BC-F74987AE71B7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(Waste)'!$AZ$3:$BH$3</c:f>
              <c:numCache>
                <c:formatCode>General</c:formatCode>
                <c:ptCount val="9"/>
                <c:pt idx="0">
                  <c:v>10135</c:v>
                </c:pt>
                <c:pt idx="1">
                  <c:v>10227.799999999999</c:v>
                </c:pt>
                <c:pt idx="2">
                  <c:v>1272</c:v>
                </c:pt>
                <c:pt idx="3">
                  <c:v>1102</c:v>
                </c:pt>
                <c:pt idx="4">
                  <c:v>456</c:v>
                </c:pt>
                <c:pt idx="5">
                  <c:v>2079</c:v>
                </c:pt>
                <c:pt idx="6">
                  <c:v>123</c:v>
                </c:pt>
                <c:pt idx="7">
                  <c:v>589.6</c:v>
                </c:pt>
                <c:pt idx="8">
                  <c:v>2206.1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B-1640-982A-60E3C75AB916}"/>
            </c:ext>
          </c:extLst>
        </c:ser>
        <c:ser>
          <c:idx val="2"/>
          <c:order val="2"/>
          <c:tx>
            <c:strRef>
              <c:f>'Half-Year Report (Waste)'!$AY$4</c:f>
              <c:strCache>
                <c:ptCount val="1"/>
                <c:pt idx="0">
                  <c:v>Sep-23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E2E-054B-93BC-F74987AE71B7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(Waste)'!$AZ$4:$BH$4</c:f>
              <c:numCache>
                <c:formatCode>General</c:formatCode>
                <c:ptCount val="9"/>
                <c:pt idx="0">
                  <c:v>10338</c:v>
                </c:pt>
                <c:pt idx="1">
                  <c:v>11338.2</c:v>
                </c:pt>
                <c:pt idx="2">
                  <c:v>464.9</c:v>
                </c:pt>
                <c:pt idx="3">
                  <c:v>1964.4</c:v>
                </c:pt>
                <c:pt idx="4">
                  <c:v>628</c:v>
                </c:pt>
                <c:pt idx="5">
                  <c:v>2438.6999999999998</c:v>
                </c:pt>
                <c:pt idx="6">
                  <c:v>525.9</c:v>
                </c:pt>
                <c:pt idx="7">
                  <c:v>530.6</c:v>
                </c:pt>
                <c:pt idx="8">
                  <c:v>2158.3000000000002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B-1640-982A-60E3C75AB916}"/>
            </c:ext>
          </c:extLst>
        </c:ser>
        <c:ser>
          <c:idx val="3"/>
          <c:order val="3"/>
          <c:tx>
            <c:strRef>
              <c:f>'Half-Year Report (Waste)'!$AY$5</c:f>
              <c:strCache>
                <c:ptCount val="1"/>
                <c:pt idx="0">
                  <c:v>Oct-23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E2E-054B-93BC-F74987AE71B7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(Waste)'!$AZ$5:$BH$5</c:f>
              <c:numCache>
                <c:formatCode>General</c:formatCode>
                <c:ptCount val="9"/>
                <c:pt idx="0">
                  <c:v>10324.6</c:v>
                </c:pt>
                <c:pt idx="1">
                  <c:v>10794.8</c:v>
                </c:pt>
                <c:pt idx="2">
                  <c:v>1523</c:v>
                </c:pt>
                <c:pt idx="3">
                  <c:v>1648.9</c:v>
                </c:pt>
                <c:pt idx="4">
                  <c:v>410.9</c:v>
                </c:pt>
                <c:pt idx="5">
                  <c:v>2014.9</c:v>
                </c:pt>
                <c:pt idx="6">
                  <c:v>476.79999999999995</c:v>
                </c:pt>
                <c:pt idx="7">
                  <c:v>564</c:v>
                </c:pt>
                <c:pt idx="8">
                  <c:v>2398.6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FB-1640-982A-60E3C75AB916}"/>
            </c:ext>
          </c:extLst>
        </c:ser>
        <c:ser>
          <c:idx val="4"/>
          <c:order val="4"/>
          <c:tx>
            <c:strRef>
              <c:f>'Half-Year Report (Waste)'!$AY$6</c:f>
              <c:strCache>
                <c:ptCount val="1"/>
                <c:pt idx="0">
                  <c:v>Nov-23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E2E-054B-93BC-F74987AE71B7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(Waste)'!$AZ$6:$BH$6</c:f>
              <c:numCache>
                <c:formatCode>General</c:formatCode>
                <c:ptCount val="9"/>
                <c:pt idx="0">
                  <c:v>14389.8</c:v>
                </c:pt>
                <c:pt idx="1">
                  <c:v>17059.3</c:v>
                </c:pt>
                <c:pt idx="2">
                  <c:v>797.5</c:v>
                </c:pt>
                <c:pt idx="3">
                  <c:v>2422</c:v>
                </c:pt>
                <c:pt idx="4">
                  <c:v>545.79999999999995</c:v>
                </c:pt>
                <c:pt idx="5">
                  <c:v>3703.9</c:v>
                </c:pt>
                <c:pt idx="6">
                  <c:v>770.6</c:v>
                </c:pt>
                <c:pt idx="7">
                  <c:v>650.6</c:v>
                </c:pt>
                <c:pt idx="8">
                  <c:v>2276.4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FB-1640-982A-60E3C75AB916}"/>
            </c:ext>
          </c:extLst>
        </c:ser>
        <c:ser>
          <c:idx val="5"/>
          <c:order val="5"/>
          <c:tx>
            <c:strRef>
              <c:f>'Half-Year Report (Waste)'!$AY$7</c:f>
              <c:strCache>
                <c:ptCount val="1"/>
                <c:pt idx="0">
                  <c:v>Dec-23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2E2E-054B-93BC-F74987AE71B7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(Waste)'!$AZ$7:$BH$7</c:f>
              <c:numCache>
                <c:formatCode>General</c:formatCode>
                <c:ptCount val="9"/>
                <c:pt idx="0">
                  <c:v>13139.5</c:v>
                </c:pt>
                <c:pt idx="1">
                  <c:v>12822.3</c:v>
                </c:pt>
                <c:pt idx="2">
                  <c:v>714.5</c:v>
                </c:pt>
                <c:pt idx="3">
                  <c:v>1756.1</c:v>
                </c:pt>
                <c:pt idx="4">
                  <c:v>746.4</c:v>
                </c:pt>
                <c:pt idx="5">
                  <c:v>2987.4</c:v>
                </c:pt>
                <c:pt idx="6">
                  <c:v>490.1</c:v>
                </c:pt>
                <c:pt idx="7">
                  <c:v>796.8</c:v>
                </c:pt>
                <c:pt idx="8">
                  <c:v>2240.1999999999998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FB-1640-982A-60E3C75AB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803342941507301"/>
          <c:y val="0.30494355630571368"/>
          <c:w val="0.3378779041508701"/>
          <c:h val="0.695056589408423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Food Waste by Location (Jan24-Jun24)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(Waste)'!$AY$8</c:f>
              <c:strCache>
                <c:ptCount val="1"/>
                <c:pt idx="0">
                  <c:v>Jan-24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02-1F42-94BE-0496BCFD742C}"/>
              </c:ext>
            </c:extLst>
          </c:dPt>
          <c:dLbls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(Waste)'!$AZ$8:$BH$8</c:f>
              <c:numCache>
                <c:formatCode>General</c:formatCode>
                <c:ptCount val="9"/>
                <c:pt idx="0">
                  <c:v>10440.200000000001</c:v>
                </c:pt>
                <c:pt idx="1">
                  <c:v>10518.7</c:v>
                </c:pt>
                <c:pt idx="2">
                  <c:v>549.9</c:v>
                </c:pt>
                <c:pt idx="3">
                  <c:v>1402.4</c:v>
                </c:pt>
                <c:pt idx="4">
                  <c:v>413.5</c:v>
                </c:pt>
                <c:pt idx="5">
                  <c:v>2540.4</c:v>
                </c:pt>
                <c:pt idx="6">
                  <c:v>221.8</c:v>
                </c:pt>
                <c:pt idx="7">
                  <c:v>870.1</c:v>
                </c:pt>
                <c:pt idx="8">
                  <c:v>2420.9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9-7847-8BD4-98246A13A420}"/>
            </c:ext>
          </c:extLst>
        </c:ser>
        <c:ser>
          <c:idx val="1"/>
          <c:order val="1"/>
          <c:tx>
            <c:strRef>
              <c:f>'Half-Year Report (Waste)'!$AY$9</c:f>
              <c:strCache>
                <c:ptCount val="1"/>
                <c:pt idx="0">
                  <c:v>Feb-24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902-1F42-94BE-0496BCFD742C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(Waste)'!$AZ$9:$BH$9</c:f>
              <c:numCache>
                <c:formatCode>General</c:formatCode>
                <c:ptCount val="9"/>
                <c:pt idx="0">
                  <c:v>13343</c:v>
                </c:pt>
                <c:pt idx="1">
                  <c:v>12271.5</c:v>
                </c:pt>
                <c:pt idx="2">
                  <c:v>372.5</c:v>
                </c:pt>
                <c:pt idx="3">
                  <c:v>2301.4</c:v>
                </c:pt>
                <c:pt idx="4">
                  <c:v>438.2</c:v>
                </c:pt>
                <c:pt idx="5">
                  <c:v>2848.4</c:v>
                </c:pt>
                <c:pt idx="6">
                  <c:v>612</c:v>
                </c:pt>
                <c:pt idx="7">
                  <c:v>790.2</c:v>
                </c:pt>
                <c:pt idx="8">
                  <c:v>2675.4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9-7847-8BD4-98246A13A420}"/>
            </c:ext>
          </c:extLst>
        </c:ser>
        <c:ser>
          <c:idx val="2"/>
          <c:order val="2"/>
          <c:tx>
            <c:strRef>
              <c:f>'Half-Year Report (Waste)'!$AY$10</c:f>
              <c:strCache>
                <c:ptCount val="1"/>
                <c:pt idx="0">
                  <c:v>Mar-24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902-1F42-94BE-0496BCFD742C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(Waste)'!$AZ$10:$BH$10</c:f>
              <c:numCache>
                <c:formatCode>General</c:formatCode>
                <c:ptCount val="9"/>
                <c:pt idx="0">
                  <c:v>16211.6</c:v>
                </c:pt>
                <c:pt idx="1">
                  <c:v>15475.8</c:v>
                </c:pt>
                <c:pt idx="2">
                  <c:v>384.1</c:v>
                </c:pt>
                <c:pt idx="3">
                  <c:v>2645.1</c:v>
                </c:pt>
                <c:pt idx="4">
                  <c:v>504.3</c:v>
                </c:pt>
                <c:pt idx="5">
                  <c:v>3490.9</c:v>
                </c:pt>
                <c:pt idx="6">
                  <c:v>733.1</c:v>
                </c:pt>
                <c:pt idx="7">
                  <c:v>947</c:v>
                </c:pt>
                <c:pt idx="8">
                  <c:v>3118.9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59-7847-8BD4-98246A13A420}"/>
            </c:ext>
          </c:extLst>
        </c:ser>
        <c:ser>
          <c:idx val="3"/>
          <c:order val="3"/>
          <c:tx>
            <c:strRef>
              <c:f>'Half-Year Report (Waste)'!$AY$11</c:f>
              <c:strCache>
                <c:ptCount val="1"/>
                <c:pt idx="0">
                  <c:v>Apr-24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902-1F42-94BE-0496BCFD742C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(Waste)'!$AZ$11:$BH$11</c:f>
              <c:numCache>
                <c:formatCode>General</c:formatCode>
                <c:ptCount val="9"/>
                <c:pt idx="0">
                  <c:v>14442.9</c:v>
                </c:pt>
                <c:pt idx="1">
                  <c:v>14528.1</c:v>
                </c:pt>
                <c:pt idx="2">
                  <c:v>462.4</c:v>
                </c:pt>
                <c:pt idx="3">
                  <c:v>2136.4</c:v>
                </c:pt>
                <c:pt idx="4">
                  <c:v>361.5</c:v>
                </c:pt>
                <c:pt idx="5">
                  <c:v>3084.1</c:v>
                </c:pt>
                <c:pt idx="6">
                  <c:v>601.20000000000005</c:v>
                </c:pt>
                <c:pt idx="7">
                  <c:v>744.9</c:v>
                </c:pt>
                <c:pt idx="8">
                  <c:v>3239.5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59-7847-8BD4-98246A13A420}"/>
            </c:ext>
          </c:extLst>
        </c:ser>
        <c:ser>
          <c:idx val="4"/>
          <c:order val="4"/>
          <c:tx>
            <c:strRef>
              <c:f>'Half-Year Report (Waste)'!$AY$12</c:f>
              <c:strCache>
                <c:ptCount val="1"/>
                <c:pt idx="0">
                  <c:v>May-24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902-1F42-94BE-0496BCFD742C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(Waste)'!$AZ$12:$BH$12</c:f>
              <c:numCache>
                <c:formatCode>General</c:formatCode>
                <c:ptCount val="9"/>
                <c:pt idx="0">
                  <c:v>15427.9</c:v>
                </c:pt>
                <c:pt idx="1">
                  <c:v>14693.7</c:v>
                </c:pt>
                <c:pt idx="2">
                  <c:v>495.5</c:v>
                </c:pt>
                <c:pt idx="3">
                  <c:v>2215.9</c:v>
                </c:pt>
                <c:pt idx="4">
                  <c:v>576.4</c:v>
                </c:pt>
                <c:pt idx="5">
                  <c:v>2978.3</c:v>
                </c:pt>
                <c:pt idx="6">
                  <c:v>590</c:v>
                </c:pt>
                <c:pt idx="7">
                  <c:v>894</c:v>
                </c:pt>
                <c:pt idx="8">
                  <c:v>3033.6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59-7847-8BD4-98246A13A420}"/>
            </c:ext>
          </c:extLst>
        </c:ser>
        <c:ser>
          <c:idx val="5"/>
          <c:order val="5"/>
          <c:tx>
            <c:strRef>
              <c:f>'Half-Year Report (Waste)'!$AY$13</c:f>
              <c:strCache>
                <c:ptCount val="1"/>
                <c:pt idx="0">
                  <c:v>Jun-24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0902-1F42-94BE-0496BCFD742C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(Waste)'!$AZ$13:$BH$13</c:f>
              <c:numCache>
                <c:formatCode>General</c:formatCode>
                <c:ptCount val="9"/>
                <c:pt idx="0">
                  <c:v>11557.2</c:v>
                </c:pt>
                <c:pt idx="1">
                  <c:v>9417.7000000000007</c:v>
                </c:pt>
                <c:pt idx="2">
                  <c:v>586</c:v>
                </c:pt>
                <c:pt idx="3">
                  <c:v>1702.6</c:v>
                </c:pt>
                <c:pt idx="4">
                  <c:v>503.8</c:v>
                </c:pt>
                <c:pt idx="5">
                  <c:v>2130.4</c:v>
                </c:pt>
                <c:pt idx="6">
                  <c:v>208.2</c:v>
                </c:pt>
                <c:pt idx="7">
                  <c:v>920</c:v>
                </c:pt>
                <c:pt idx="8">
                  <c:v>3034.1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59-7847-8BD4-98246A13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512515053265406"/>
          <c:y val="0.30214692992998471"/>
          <c:w val="0.34029587772116721"/>
          <c:h val="0.50367012626626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Recycling Distribution (Jan24-Jun24)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(Waste)'!$AG$8</c:f>
              <c:strCache>
                <c:ptCount val="1"/>
                <c:pt idx="0">
                  <c:v>Jan-24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6E9-6148-96D7-31DA55EE7846}"/>
              </c:ext>
            </c:extLst>
          </c:dPt>
          <c:dLbls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(Waste)'!$AH$8:$AQ$8</c:f>
              <c:numCache>
                <c:formatCode>#,##0</c:formatCode>
                <c:ptCount val="10"/>
                <c:pt idx="0">
                  <c:v>13416</c:v>
                </c:pt>
                <c:pt idx="1">
                  <c:v>735</c:v>
                </c:pt>
                <c:pt idx="2">
                  <c:v>78479.199999999997</c:v>
                </c:pt>
                <c:pt idx="3">
                  <c:v>0</c:v>
                </c:pt>
                <c:pt idx="4">
                  <c:v>29377.9</c:v>
                </c:pt>
                <c:pt idx="5">
                  <c:v>21650</c:v>
                </c:pt>
                <c:pt idx="6">
                  <c:v>7650</c:v>
                </c:pt>
                <c:pt idx="7">
                  <c:v>18000</c:v>
                </c:pt>
                <c:pt idx="8">
                  <c:v>917.5</c:v>
                </c:pt>
                <c:pt idx="9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7-C941-9339-81B200A889D4}"/>
            </c:ext>
          </c:extLst>
        </c:ser>
        <c:ser>
          <c:idx val="1"/>
          <c:order val="1"/>
          <c:tx>
            <c:strRef>
              <c:f>'Half-Year Report (Waste)'!$AG$9</c:f>
              <c:strCache>
                <c:ptCount val="1"/>
                <c:pt idx="0">
                  <c:v>Feb-24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6E9-6148-96D7-31DA55EE7846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(Waste)'!$AH$9:$AQ$9</c:f>
              <c:numCache>
                <c:formatCode>#,##0</c:formatCode>
                <c:ptCount val="10"/>
                <c:pt idx="0">
                  <c:v>12589</c:v>
                </c:pt>
                <c:pt idx="1">
                  <c:v>318</c:v>
                </c:pt>
                <c:pt idx="2">
                  <c:v>73507.799999999988</c:v>
                </c:pt>
                <c:pt idx="3">
                  <c:v>698</c:v>
                </c:pt>
                <c:pt idx="4">
                  <c:v>35652.6</c:v>
                </c:pt>
                <c:pt idx="5">
                  <c:v>15470</c:v>
                </c:pt>
                <c:pt idx="6">
                  <c:v>6340</c:v>
                </c:pt>
                <c:pt idx="7">
                  <c:v>15000</c:v>
                </c:pt>
                <c:pt idx="8">
                  <c:v>353.1</c:v>
                </c:pt>
                <c:pt idx="9">
                  <c:v>320.7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7-C941-9339-81B200A889D4}"/>
            </c:ext>
          </c:extLst>
        </c:ser>
        <c:ser>
          <c:idx val="2"/>
          <c:order val="2"/>
          <c:tx>
            <c:strRef>
              <c:f>'Half-Year Report (Waste)'!$AG$10</c:f>
              <c:strCache>
                <c:ptCount val="1"/>
                <c:pt idx="0">
                  <c:v>Mar-24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6E9-6148-96D7-31DA55EE7846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(Waste)'!$AH$10:$AQ$10</c:f>
              <c:numCache>
                <c:formatCode>#,##0</c:formatCode>
                <c:ptCount val="10"/>
                <c:pt idx="0">
                  <c:v>13346</c:v>
                </c:pt>
                <c:pt idx="1">
                  <c:v>533</c:v>
                </c:pt>
                <c:pt idx="2">
                  <c:v>83949.200000000012</c:v>
                </c:pt>
                <c:pt idx="3">
                  <c:v>597</c:v>
                </c:pt>
                <c:pt idx="4">
                  <c:v>43510.8</c:v>
                </c:pt>
                <c:pt idx="5">
                  <c:v>17465</c:v>
                </c:pt>
                <c:pt idx="6">
                  <c:v>6740</c:v>
                </c:pt>
                <c:pt idx="7">
                  <c:v>15000</c:v>
                </c:pt>
                <c:pt idx="8">
                  <c:v>785</c:v>
                </c:pt>
                <c:pt idx="9">
                  <c:v>32.6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37-C941-9339-81B200A889D4}"/>
            </c:ext>
          </c:extLst>
        </c:ser>
        <c:ser>
          <c:idx val="3"/>
          <c:order val="3"/>
          <c:tx>
            <c:strRef>
              <c:f>'Half-Year Report (Waste)'!$AG$11</c:f>
              <c:strCache>
                <c:ptCount val="1"/>
                <c:pt idx="0">
                  <c:v>Apr-24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66E9-6148-96D7-31DA55EE7846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(Waste)'!$AH$11:$AQ$11</c:f>
              <c:numCache>
                <c:formatCode>#,##0</c:formatCode>
                <c:ptCount val="10"/>
                <c:pt idx="0">
                  <c:v>12371</c:v>
                </c:pt>
                <c:pt idx="1">
                  <c:v>739</c:v>
                </c:pt>
                <c:pt idx="2">
                  <c:v>75206.600000000006</c:v>
                </c:pt>
                <c:pt idx="3">
                  <c:v>917</c:v>
                </c:pt>
                <c:pt idx="4">
                  <c:v>39601</c:v>
                </c:pt>
                <c:pt idx="5">
                  <c:v>6415</c:v>
                </c:pt>
                <c:pt idx="6">
                  <c:v>13000</c:v>
                </c:pt>
                <c:pt idx="7">
                  <c:v>15000</c:v>
                </c:pt>
                <c:pt idx="8">
                  <c:v>440</c:v>
                </c:pt>
                <c:pt idx="9">
                  <c:v>272.8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37-C941-9339-81B200A889D4}"/>
            </c:ext>
          </c:extLst>
        </c:ser>
        <c:ser>
          <c:idx val="4"/>
          <c:order val="4"/>
          <c:tx>
            <c:strRef>
              <c:f>'Half-Year Report (Waste)'!$AG$12</c:f>
              <c:strCache>
                <c:ptCount val="1"/>
                <c:pt idx="0">
                  <c:v>May-24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66E9-6148-96D7-31DA55EE7846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(Waste)'!$AH$12:$AQ$12</c:f>
              <c:numCache>
                <c:formatCode>#,##0</c:formatCode>
                <c:ptCount val="10"/>
                <c:pt idx="0">
                  <c:v>13434</c:v>
                </c:pt>
                <c:pt idx="1">
                  <c:v>757</c:v>
                </c:pt>
                <c:pt idx="2">
                  <c:v>73151.199999999997</c:v>
                </c:pt>
                <c:pt idx="3">
                  <c:v>321</c:v>
                </c:pt>
                <c:pt idx="4">
                  <c:v>40905.300000000003</c:v>
                </c:pt>
                <c:pt idx="5">
                  <c:v>7575</c:v>
                </c:pt>
                <c:pt idx="6">
                  <c:v>11695</c:v>
                </c:pt>
                <c:pt idx="7">
                  <c:v>12000</c:v>
                </c:pt>
                <c:pt idx="8">
                  <c:v>359</c:v>
                </c:pt>
                <c:pt idx="9">
                  <c:v>150.69999999999999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37-C941-9339-81B200A889D4}"/>
            </c:ext>
          </c:extLst>
        </c:ser>
        <c:ser>
          <c:idx val="5"/>
          <c:order val="5"/>
          <c:tx>
            <c:strRef>
              <c:f>'Half-Year Report (Waste)'!$AG$13</c:f>
              <c:strCache>
                <c:ptCount val="1"/>
                <c:pt idx="0">
                  <c:v>Jun-24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66E9-6148-96D7-31DA55EE7846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(Waste)'!$AH$13:$AQ$13</c:f>
              <c:numCache>
                <c:formatCode>#,##0</c:formatCode>
                <c:ptCount val="10"/>
                <c:pt idx="0">
                  <c:v>12778</c:v>
                </c:pt>
                <c:pt idx="1">
                  <c:v>1087</c:v>
                </c:pt>
                <c:pt idx="2">
                  <c:v>68048.2</c:v>
                </c:pt>
                <c:pt idx="3">
                  <c:v>612</c:v>
                </c:pt>
                <c:pt idx="4">
                  <c:v>30060</c:v>
                </c:pt>
                <c:pt idx="5">
                  <c:v>4565</c:v>
                </c:pt>
                <c:pt idx="6">
                  <c:v>14570</c:v>
                </c:pt>
                <c:pt idx="7">
                  <c:v>18000</c:v>
                </c:pt>
                <c:pt idx="8">
                  <c:v>372.5</c:v>
                </c:pt>
                <c:pt idx="9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37-C941-9339-81B200A88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Staff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'Smart Waste Bin (Staff Quarter)'!$B$1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'Smart Waste Bin (Staff Quarter)'!$A$3:$A$10</c:f>
              <c:numCache>
                <c:formatCode>mmm\-yy</c:formatCode>
                <c:ptCount val="8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</c:numCache>
            </c:numRef>
          </c:cat>
          <c:val>
            <c:numRef>
              <c:f>'Smart Waste Bin (Staff Quarter)'!$B$3:$B$10</c:f>
              <c:numCache>
                <c:formatCode>0.0</c:formatCode>
                <c:ptCount val="8"/>
                <c:pt idx="0">
                  <c:v>308.2</c:v>
                </c:pt>
                <c:pt idx="1">
                  <c:v>254.2</c:v>
                </c:pt>
                <c:pt idx="2">
                  <c:v>509.7</c:v>
                </c:pt>
                <c:pt idx="3">
                  <c:v>411.2</c:v>
                </c:pt>
                <c:pt idx="4">
                  <c:v>208.7</c:v>
                </c:pt>
                <c:pt idx="5">
                  <c:v>197.5</c:v>
                </c:pt>
                <c:pt idx="6">
                  <c:v>263.2</c:v>
                </c:pt>
                <c:pt idx="7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9-4A4F-86EF-39BF89339EB6}"/>
            </c:ext>
          </c:extLst>
        </c:ser>
        <c:ser>
          <c:idx val="1"/>
          <c:order val="1"/>
          <c:tx>
            <c:strRef>
              <c:f>'Smart Waste Bin (Staff Quarter)'!$C$1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'Smart Waste Bin (Staff Quarter)'!$A$3:$A$10</c:f>
              <c:numCache>
                <c:formatCode>mmm\-yy</c:formatCode>
                <c:ptCount val="8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</c:numCache>
            </c:numRef>
          </c:cat>
          <c:val>
            <c:numRef>
              <c:f>'Smart Waste Bin (Staff Quarter)'!$C$3:$C$10</c:f>
              <c:numCache>
                <c:formatCode>0.0</c:formatCode>
                <c:ptCount val="8"/>
                <c:pt idx="0">
                  <c:v>25.3</c:v>
                </c:pt>
                <c:pt idx="1">
                  <c:v>12.7</c:v>
                </c:pt>
                <c:pt idx="2">
                  <c:v>16.100000000000001</c:v>
                </c:pt>
                <c:pt idx="3">
                  <c:v>12</c:v>
                </c:pt>
                <c:pt idx="4">
                  <c:v>11.1</c:v>
                </c:pt>
                <c:pt idx="5">
                  <c:v>21.4</c:v>
                </c:pt>
                <c:pt idx="6">
                  <c:v>11.9</c:v>
                </c:pt>
                <c:pt idx="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9-4A4F-86EF-39BF89339EB6}"/>
            </c:ext>
          </c:extLst>
        </c:ser>
        <c:ser>
          <c:idx val="2"/>
          <c:order val="2"/>
          <c:tx>
            <c:strRef>
              <c:f>'Smart Waste Bin (Staff Quarter)'!$D$1</c:f>
              <c:strCache>
                <c:ptCount val="1"/>
                <c:pt idx="0">
                  <c:v>Plastic Bottles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'Smart Waste Bin (Staff Quarter)'!$A$3:$A$10</c:f>
              <c:numCache>
                <c:formatCode>mmm\-yy</c:formatCode>
                <c:ptCount val="8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</c:numCache>
            </c:numRef>
          </c:cat>
          <c:val>
            <c:numRef>
              <c:f>'Smart Waste Bin (Staff Quarter)'!$D$3:$D$10</c:f>
              <c:numCache>
                <c:formatCode>0.0</c:formatCode>
                <c:ptCount val="8"/>
                <c:pt idx="0">
                  <c:v>92.5</c:v>
                </c:pt>
                <c:pt idx="1">
                  <c:v>58.3</c:v>
                </c:pt>
                <c:pt idx="2">
                  <c:v>55</c:v>
                </c:pt>
                <c:pt idx="3">
                  <c:v>83.1</c:v>
                </c:pt>
                <c:pt idx="4">
                  <c:v>83.1</c:v>
                </c:pt>
                <c:pt idx="5">
                  <c:v>68.3</c:v>
                </c:pt>
                <c:pt idx="6">
                  <c:v>59.5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9-4A4F-86EF-39BF89339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8560816"/>
        <c:axId val="1248554576"/>
      </c:barChart>
      <c:dateAx>
        <c:axId val="1248560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54576"/>
        <c:crosses val="autoZero"/>
        <c:auto val="1"/>
        <c:lblOffset val="100"/>
        <c:baseTimeUnit val="months"/>
      </c:dateAx>
      <c:valAx>
        <c:axId val="12485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6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Academic Building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'Smart Waste Bin (Canteen)'!$B$1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'Smart Waste Bin (Canteen)'!$A$2:$A$11</c:f>
              <c:strCache>
                <c:ptCount val="10"/>
                <c:pt idx="0">
                  <c:v>Apr 1-17</c:v>
                </c:pt>
                <c:pt idx="1">
                  <c:v>Apr 18-30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</c:strCache>
            </c:strRef>
          </c:cat>
          <c:val>
            <c:numRef>
              <c:f>'Smart Waste Bin (Canteen)'!$B$2:$B$11</c:f>
              <c:numCache>
                <c:formatCode>0.0</c:formatCode>
                <c:ptCount val="10"/>
                <c:pt idx="0">
                  <c:v>68.400000000000006</c:v>
                </c:pt>
                <c:pt idx="1">
                  <c:v>57.9</c:v>
                </c:pt>
                <c:pt idx="2">
                  <c:v>139.30000000000001</c:v>
                </c:pt>
                <c:pt idx="3">
                  <c:v>155.5</c:v>
                </c:pt>
                <c:pt idx="4">
                  <c:v>210.4</c:v>
                </c:pt>
                <c:pt idx="5">
                  <c:v>170.4</c:v>
                </c:pt>
                <c:pt idx="6">
                  <c:v>234.7</c:v>
                </c:pt>
                <c:pt idx="7">
                  <c:v>181.1</c:v>
                </c:pt>
                <c:pt idx="8">
                  <c:v>165.3</c:v>
                </c:pt>
                <c:pt idx="9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8-4005-8822-032E22D675B2}"/>
            </c:ext>
          </c:extLst>
        </c:ser>
        <c:ser>
          <c:idx val="1"/>
          <c:order val="1"/>
          <c:tx>
            <c:strRef>
              <c:f>'Smart Waste Bin (Canteen)'!$C$1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'Smart Waste Bin (Canteen)'!$A$2:$A$11</c:f>
              <c:strCache>
                <c:ptCount val="10"/>
                <c:pt idx="0">
                  <c:v>Apr 1-17</c:v>
                </c:pt>
                <c:pt idx="1">
                  <c:v>Apr 18-30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</c:strCache>
            </c:strRef>
          </c:cat>
          <c:val>
            <c:numRef>
              <c:f>'Smart Waste Bin (Canteen)'!$C$2:$C$11</c:f>
              <c:numCache>
                <c:formatCode>0.0</c:formatCode>
                <c:ptCount val="10"/>
                <c:pt idx="0">
                  <c:v>4.4000000000000004</c:v>
                </c:pt>
                <c:pt idx="1">
                  <c:v>6.5</c:v>
                </c:pt>
                <c:pt idx="2">
                  <c:v>7.9</c:v>
                </c:pt>
                <c:pt idx="3">
                  <c:v>31.7</c:v>
                </c:pt>
                <c:pt idx="4">
                  <c:v>16.3</c:v>
                </c:pt>
                <c:pt idx="5">
                  <c:v>13.3</c:v>
                </c:pt>
                <c:pt idx="6">
                  <c:v>16.399999999999999</c:v>
                </c:pt>
                <c:pt idx="7">
                  <c:v>16.600000000000001</c:v>
                </c:pt>
                <c:pt idx="8">
                  <c:v>15.2</c:v>
                </c:pt>
                <c:pt idx="9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8-4005-8822-032E22D675B2}"/>
            </c:ext>
          </c:extLst>
        </c:ser>
        <c:ser>
          <c:idx val="2"/>
          <c:order val="2"/>
          <c:tx>
            <c:strRef>
              <c:f>'Smart Waste Bin (Canteen)'!$D$1</c:f>
              <c:strCache>
                <c:ptCount val="1"/>
                <c:pt idx="0">
                  <c:v>Plastic Bottles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'Smart Waste Bin (Canteen)'!$A$2:$A$11</c:f>
              <c:strCache>
                <c:ptCount val="10"/>
                <c:pt idx="0">
                  <c:v>Apr 1-17</c:v>
                </c:pt>
                <c:pt idx="1">
                  <c:v>Apr 18-30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</c:strCache>
            </c:strRef>
          </c:cat>
          <c:val>
            <c:numRef>
              <c:f>'Smart Waste Bin (Canteen)'!$D$2:$D$11</c:f>
              <c:numCache>
                <c:formatCode>0.0</c:formatCode>
                <c:ptCount val="10"/>
                <c:pt idx="0">
                  <c:v>25.3</c:v>
                </c:pt>
                <c:pt idx="1">
                  <c:v>8.8000000000000007</c:v>
                </c:pt>
                <c:pt idx="2">
                  <c:v>55.2</c:v>
                </c:pt>
                <c:pt idx="3">
                  <c:v>48.4</c:v>
                </c:pt>
                <c:pt idx="4">
                  <c:v>67</c:v>
                </c:pt>
                <c:pt idx="5">
                  <c:v>55.9</c:v>
                </c:pt>
                <c:pt idx="6">
                  <c:v>72.8</c:v>
                </c:pt>
                <c:pt idx="7">
                  <c:v>65.099999999999994</c:v>
                </c:pt>
                <c:pt idx="8">
                  <c:v>71.599999999999994</c:v>
                </c:pt>
                <c:pt idx="9">
                  <c:v>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38-4005-8822-032E22D675B2}"/>
            </c:ext>
          </c:extLst>
        </c:ser>
        <c:ser>
          <c:idx val="3"/>
          <c:order val="3"/>
          <c:tx>
            <c:strRef>
              <c:f>'Smart Waste Bin (Canteen)'!$E$1</c:f>
              <c:strCache>
                <c:ptCount val="1"/>
                <c:pt idx="0">
                  <c:v>Other Plastics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'Smart Waste Bin (Canteen)'!$A$2:$A$11</c:f>
              <c:strCache>
                <c:ptCount val="10"/>
                <c:pt idx="0">
                  <c:v>Apr 1-17</c:v>
                </c:pt>
                <c:pt idx="1">
                  <c:v>Apr 18-30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</c:strCache>
            </c:strRef>
          </c:cat>
          <c:val>
            <c:numRef>
              <c:f>'Smart Waste Bin (Canteen)'!$E$2:$E$11</c:f>
            </c:numRef>
          </c:val>
          <c:extLst>
            <c:ext xmlns:c16="http://schemas.microsoft.com/office/drawing/2014/chart" uri="{C3380CC4-5D6E-409C-BE32-E72D297353CC}">
              <c16:uniqueId val="{00000003-6238-4005-8822-032E22D675B2}"/>
            </c:ext>
          </c:extLst>
        </c:ser>
        <c:ser>
          <c:idx val="4"/>
          <c:order val="4"/>
          <c:tx>
            <c:strRef>
              <c:f>'Smart Waste Bin (Canteen)'!$F$1</c:f>
              <c:strCache>
                <c:ptCount val="1"/>
                <c:pt idx="0">
                  <c:v>Glass Bottles</c:v>
                </c:pt>
              </c:strCache>
            </c:strRef>
          </c:tx>
          <c:spPr>
            <a:solidFill>
              <a:srgbClr val="855E31"/>
            </a:solidFill>
            <a:ln>
              <a:noFill/>
            </a:ln>
            <a:effectLst/>
          </c:spPr>
          <c:invertIfNegative val="0"/>
          <c:cat>
            <c:strRef>
              <c:f>'Smart Waste Bin (Canteen)'!$A$2:$A$11</c:f>
              <c:strCache>
                <c:ptCount val="10"/>
                <c:pt idx="0">
                  <c:v>Apr 1-17</c:v>
                </c:pt>
                <c:pt idx="1">
                  <c:v>Apr 18-30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</c:strCache>
            </c:strRef>
          </c:cat>
          <c:val>
            <c:numRef>
              <c:f>'Smart Waste Bin (Canteen)'!$F$2:$F$11</c:f>
              <c:numCache>
                <c:formatCode>0.0</c:formatCode>
                <c:ptCount val="10"/>
                <c:pt idx="0">
                  <c:v>24.7</c:v>
                </c:pt>
                <c:pt idx="1">
                  <c:v>20.7</c:v>
                </c:pt>
                <c:pt idx="2">
                  <c:v>56.5</c:v>
                </c:pt>
                <c:pt idx="3">
                  <c:v>34.5</c:v>
                </c:pt>
                <c:pt idx="4">
                  <c:v>81.2</c:v>
                </c:pt>
                <c:pt idx="5">
                  <c:v>80</c:v>
                </c:pt>
                <c:pt idx="6">
                  <c:v>63.6</c:v>
                </c:pt>
                <c:pt idx="7">
                  <c:v>61.2</c:v>
                </c:pt>
                <c:pt idx="8">
                  <c:v>69</c:v>
                </c:pt>
                <c:pt idx="9">
                  <c:v>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38-4005-8822-032E22D67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6872112"/>
        <c:axId val="756861072"/>
      </c:barChart>
      <c:catAx>
        <c:axId val="7568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61072"/>
        <c:crosses val="autoZero"/>
        <c:auto val="1"/>
        <c:lblAlgn val="ctr"/>
        <c:lblOffset val="100"/>
        <c:noMultiLvlLbl val="0"/>
      </c:catAx>
      <c:valAx>
        <c:axId val="75686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Food</a:t>
            </a:r>
            <a:r>
              <a:rPr lang="en-GB" baseline="0"/>
              <a:t> Waste Recycling Breakdown (monthly)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'Raw Food Data (KG)'!$B$1</c:f>
              <c:strCache>
                <c:ptCount val="1"/>
                <c:pt idx="0">
                  <c:v>LG1 Canteen and China Garden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(KG)'!$B$83:$B$106</c:f>
              <c:numCache>
                <c:formatCode>#,##0.00</c:formatCode>
                <c:ptCount val="24"/>
                <c:pt idx="0">
                  <c:v>7456</c:v>
                </c:pt>
                <c:pt idx="1">
                  <c:v>10135</c:v>
                </c:pt>
                <c:pt idx="2">
                  <c:v>10338</c:v>
                </c:pt>
                <c:pt idx="3">
                  <c:v>10324.6</c:v>
                </c:pt>
                <c:pt idx="4">
                  <c:v>14389.8</c:v>
                </c:pt>
                <c:pt idx="5">
                  <c:v>13139.5</c:v>
                </c:pt>
                <c:pt idx="6">
                  <c:v>10440.200000000001</c:v>
                </c:pt>
                <c:pt idx="7">
                  <c:v>13343</c:v>
                </c:pt>
                <c:pt idx="8">
                  <c:v>16211.6</c:v>
                </c:pt>
                <c:pt idx="9">
                  <c:v>14442.9</c:v>
                </c:pt>
                <c:pt idx="10">
                  <c:v>15427.9</c:v>
                </c:pt>
                <c:pt idx="11">
                  <c:v>11557.2</c:v>
                </c:pt>
                <c:pt idx="12">
                  <c:v>12616.3</c:v>
                </c:pt>
                <c:pt idx="13">
                  <c:v>13470.8</c:v>
                </c:pt>
                <c:pt idx="14">
                  <c:v>15432.9</c:v>
                </c:pt>
                <c:pt idx="15">
                  <c:v>17066.900000000001</c:v>
                </c:pt>
                <c:pt idx="16">
                  <c:v>17036.900000000001</c:v>
                </c:pt>
                <c:pt idx="17">
                  <c:v>14307.6</c:v>
                </c:pt>
                <c:pt idx="18">
                  <c:v>11380</c:v>
                </c:pt>
                <c:pt idx="19">
                  <c:v>14291.7</c:v>
                </c:pt>
                <c:pt idx="20">
                  <c:v>16689.5</c:v>
                </c:pt>
                <c:pt idx="21">
                  <c:v>14808.3</c:v>
                </c:pt>
                <c:pt idx="22">
                  <c:v>14697.1</c:v>
                </c:pt>
                <c:pt idx="23">
                  <c:v>11953.9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2-FE49-BED3-15A7D364C918}"/>
            </c:ext>
          </c:extLst>
        </c:ser>
        <c:ser>
          <c:idx val="1"/>
          <c:order val="1"/>
          <c:tx>
            <c:strRef>
              <c:f>'Raw Food Data (KG)'!$C$1</c:f>
              <c:strCache>
                <c:ptCount val="1"/>
                <c:pt idx="0">
                  <c:v>LG7 Canteens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(KG)'!$C$83:$C$106</c:f>
            </c:numRef>
          </c:val>
          <c:extLst>
            <c:ext xmlns:c16="http://schemas.microsoft.com/office/drawing/2014/chart" uri="{C3380CC4-5D6E-409C-BE32-E72D297353CC}">
              <c16:uniqueId val="{00000001-0B92-FE49-BED3-15A7D364C918}"/>
            </c:ext>
          </c:extLst>
        </c:ser>
        <c:ser>
          <c:idx val="2"/>
          <c:order val="2"/>
          <c:tx>
            <c:strRef>
              <c:f>'Raw Food Data (KG)'!$D$1</c:f>
              <c:strCache>
                <c:ptCount val="1"/>
                <c:pt idx="0">
                  <c:v>McDonald's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(KG)'!$D$83:$D$106</c:f>
            </c:numRef>
          </c:val>
          <c:extLst>
            <c:ext xmlns:c16="http://schemas.microsoft.com/office/drawing/2014/chart" uri="{C3380CC4-5D6E-409C-BE32-E72D297353CC}">
              <c16:uniqueId val="{00000002-0B92-FE49-BED3-15A7D364C918}"/>
            </c:ext>
          </c:extLst>
        </c:ser>
        <c:ser>
          <c:idx val="3"/>
          <c:order val="3"/>
          <c:tx>
            <c:strRef>
              <c:f>'Raw Food Data (KG)'!$E$1</c:f>
              <c:strCache>
                <c:ptCount val="1"/>
                <c:pt idx="0">
                  <c:v>LG7 Canteen + McDonald's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(KG)'!$E$83:$E$106</c:f>
              <c:numCache>
                <c:formatCode>#,##0.00</c:formatCode>
                <c:ptCount val="24"/>
                <c:pt idx="0">
                  <c:v>7333.6</c:v>
                </c:pt>
                <c:pt idx="1">
                  <c:v>10227.799999999999</c:v>
                </c:pt>
                <c:pt idx="2">
                  <c:v>11338.2</c:v>
                </c:pt>
                <c:pt idx="3">
                  <c:v>10794.8</c:v>
                </c:pt>
                <c:pt idx="4">
                  <c:v>17059.3</c:v>
                </c:pt>
                <c:pt idx="5">
                  <c:v>12822.3</c:v>
                </c:pt>
                <c:pt idx="6">
                  <c:v>10518.7</c:v>
                </c:pt>
                <c:pt idx="7">
                  <c:v>12271.5</c:v>
                </c:pt>
                <c:pt idx="8">
                  <c:v>15475.8</c:v>
                </c:pt>
                <c:pt idx="9">
                  <c:v>14528.1</c:v>
                </c:pt>
                <c:pt idx="10">
                  <c:v>14693.7</c:v>
                </c:pt>
                <c:pt idx="11">
                  <c:v>9417.7000000000007</c:v>
                </c:pt>
                <c:pt idx="12">
                  <c:v>12850.5</c:v>
                </c:pt>
                <c:pt idx="13">
                  <c:v>13539.6</c:v>
                </c:pt>
                <c:pt idx="14">
                  <c:v>19435.400000000001</c:v>
                </c:pt>
                <c:pt idx="15">
                  <c:v>21511.200000000001</c:v>
                </c:pt>
                <c:pt idx="16">
                  <c:v>21337.200000000001</c:v>
                </c:pt>
                <c:pt idx="17">
                  <c:v>18821.3</c:v>
                </c:pt>
                <c:pt idx="18">
                  <c:v>12982.1</c:v>
                </c:pt>
                <c:pt idx="19">
                  <c:v>17364</c:v>
                </c:pt>
                <c:pt idx="20">
                  <c:v>20873.5</c:v>
                </c:pt>
                <c:pt idx="21">
                  <c:v>17587.2</c:v>
                </c:pt>
                <c:pt idx="22">
                  <c:v>19797.900000000001</c:v>
                </c:pt>
                <c:pt idx="23">
                  <c:v>12025.4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92-FE49-BED3-15A7D364C918}"/>
            </c:ext>
          </c:extLst>
        </c:ser>
        <c:ser>
          <c:idx val="4"/>
          <c:order val="4"/>
          <c:tx>
            <c:strRef>
              <c:f>'Raw Food Data (KG)'!$F$1</c:f>
              <c:strCache>
                <c:ptCount val="1"/>
                <c:pt idx="0">
                  <c:v>LG7 Fusion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(KG)'!$F$83:$F$106</c:f>
              <c:numCache>
                <c:formatCode>#,##0.00</c:formatCode>
                <c:ptCount val="24"/>
                <c:pt idx="0">
                  <c:v>1940.5</c:v>
                </c:pt>
                <c:pt idx="1">
                  <c:v>1272</c:v>
                </c:pt>
                <c:pt idx="2">
                  <c:v>464.9</c:v>
                </c:pt>
                <c:pt idx="3">
                  <c:v>1523</c:v>
                </c:pt>
                <c:pt idx="4">
                  <c:v>797.5</c:v>
                </c:pt>
                <c:pt idx="5">
                  <c:v>714.5</c:v>
                </c:pt>
                <c:pt idx="6">
                  <c:v>549.9</c:v>
                </c:pt>
                <c:pt idx="7">
                  <c:v>372.5</c:v>
                </c:pt>
                <c:pt idx="8">
                  <c:v>384.1</c:v>
                </c:pt>
                <c:pt idx="9">
                  <c:v>462.4</c:v>
                </c:pt>
                <c:pt idx="10">
                  <c:v>495.5</c:v>
                </c:pt>
                <c:pt idx="11">
                  <c:v>586</c:v>
                </c:pt>
                <c:pt idx="12">
                  <c:v>644.6</c:v>
                </c:pt>
                <c:pt idx="13">
                  <c:v>406.6</c:v>
                </c:pt>
                <c:pt idx="14">
                  <c:v>414.7</c:v>
                </c:pt>
                <c:pt idx="15">
                  <c:v>340.3</c:v>
                </c:pt>
                <c:pt idx="16">
                  <c:v>276.39999999999998</c:v>
                </c:pt>
                <c:pt idx="17">
                  <c:v>409.8</c:v>
                </c:pt>
                <c:pt idx="18">
                  <c:v>422.8</c:v>
                </c:pt>
                <c:pt idx="19">
                  <c:v>291</c:v>
                </c:pt>
                <c:pt idx="20">
                  <c:v>217.9</c:v>
                </c:pt>
                <c:pt idx="21">
                  <c:v>180.9</c:v>
                </c:pt>
                <c:pt idx="22">
                  <c:v>201.9</c:v>
                </c:pt>
                <c:pt idx="23">
                  <c:v>275.8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2-FE49-BED3-15A7D364C918}"/>
            </c:ext>
          </c:extLst>
        </c:ser>
        <c:ser>
          <c:idx val="5"/>
          <c:order val="5"/>
          <c:tx>
            <c:strRef>
              <c:f>'Raw Food Data (KG)'!$G$1</c:f>
              <c:strCache>
                <c:ptCount val="1"/>
                <c:pt idx="0">
                  <c:v>Courtyard (Lift 25)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(KG)'!$G$83:$G$106</c:f>
              <c:numCache>
                <c:formatCode>#,##0.00</c:formatCode>
                <c:ptCount val="24"/>
                <c:pt idx="0">
                  <c:v>1322.5</c:v>
                </c:pt>
                <c:pt idx="1">
                  <c:v>1102</c:v>
                </c:pt>
                <c:pt idx="2">
                  <c:v>1964.4</c:v>
                </c:pt>
                <c:pt idx="3">
                  <c:v>1648.9</c:v>
                </c:pt>
                <c:pt idx="4">
                  <c:v>2422</c:v>
                </c:pt>
                <c:pt idx="5">
                  <c:v>1756.1</c:v>
                </c:pt>
                <c:pt idx="6">
                  <c:v>1402.4</c:v>
                </c:pt>
                <c:pt idx="7">
                  <c:v>2301.4</c:v>
                </c:pt>
                <c:pt idx="8">
                  <c:v>2645.1</c:v>
                </c:pt>
                <c:pt idx="9">
                  <c:v>2136.4</c:v>
                </c:pt>
                <c:pt idx="10">
                  <c:v>2215.9</c:v>
                </c:pt>
                <c:pt idx="11">
                  <c:v>1702.6</c:v>
                </c:pt>
                <c:pt idx="12">
                  <c:v>1284.7</c:v>
                </c:pt>
                <c:pt idx="13">
                  <c:v>1969.5</c:v>
                </c:pt>
                <c:pt idx="14">
                  <c:v>2528.6</c:v>
                </c:pt>
                <c:pt idx="15">
                  <c:v>3013.3</c:v>
                </c:pt>
                <c:pt idx="16">
                  <c:v>3075.9</c:v>
                </c:pt>
                <c:pt idx="17">
                  <c:v>1746.9</c:v>
                </c:pt>
                <c:pt idx="18">
                  <c:v>1253</c:v>
                </c:pt>
                <c:pt idx="19">
                  <c:v>2200.1</c:v>
                </c:pt>
                <c:pt idx="20">
                  <c:v>3040.7</c:v>
                </c:pt>
                <c:pt idx="21">
                  <c:v>2598.6</c:v>
                </c:pt>
                <c:pt idx="22">
                  <c:v>2501</c:v>
                </c:pt>
                <c:pt idx="23">
                  <c:v>1250.5999999999999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92-FE49-BED3-15A7D364C918}"/>
            </c:ext>
          </c:extLst>
        </c:ser>
        <c:ser>
          <c:idx val="6"/>
          <c:order val="6"/>
          <c:tx>
            <c:strRef>
              <c:f>'Raw Food Data (KG)'!$H$1</c:f>
              <c:strCache>
                <c:ptCount val="1"/>
                <c:pt idx="0">
                  <c:v>UC Bistro (Tower C)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(KG)'!$H$83:$H$106</c:f>
              <c:numCache>
                <c:formatCode>#,##0.00</c:formatCode>
                <c:ptCount val="24"/>
                <c:pt idx="0">
                  <c:v>427.5</c:v>
                </c:pt>
                <c:pt idx="1">
                  <c:v>456</c:v>
                </c:pt>
                <c:pt idx="2">
                  <c:v>628</c:v>
                </c:pt>
                <c:pt idx="3">
                  <c:v>410.9</c:v>
                </c:pt>
                <c:pt idx="4">
                  <c:v>545.79999999999995</c:v>
                </c:pt>
                <c:pt idx="5">
                  <c:v>746.4</c:v>
                </c:pt>
                <c:pt idx="6">
                  <c:v>413.5</c:v>
                </c:pt>
                <c:pt idx="7">
                  <c:v>438.2</c:v>
                </c:pt>
                <c:pt idx="8">
                  <c:v>504.3</c:v>
                </c:pt>
                <c:pt idx="9">
                  <c:v>361.5</c:v>
                </c:pt>
                <c:pt idx="10">
                  <c:v>576.4</c:v>
                </c:pt>
                <c:pt idx="11">
                  <c:v>503.8</c:v>
                </c:pt>
                <c:pt idx="12">
                  <c:v>425.3</c:v>
                </c:pt>
                <c:pt idx="13">
                  <c:v>430.9</c:v>
                </c:pt>
                <c:pt idx="14">
                  <c:v>437.8</c:v>
                </c:pt>
                <c:pt idx="15">
                  <c:v>339.2</c:v>
                </c:pt>
                <c:pt idx="16">
                  <c:v>597.29999999999995</c:v>
                </c:pt>
                <c:pt idx="17">
                  <c:v>558.5</c:v>
                </c:pt>
                <c:pt idx="18">
                  <c:v>292.3</c:v>
                </c:pt>
                <c:pt idx="19">
                  <c:v>521.29999999999995</c:v>
                </c:pt>
                <c:pt idx="20">
                  <c:v>543.6</c:v>
                </c:pt>
                <c:pt idx="21">
                  <c:v>395.5</c:v>
                </c:pt>
                <c:pt idx="22">
                  <c:v>563</c:v>
                </c:pt>
                <c:pt idx="23">
                  <c:v>445.6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92-FE49-BED3-15A7D364C918}"/>
            </c:ext>
          </c:extLst>
        </c:ser>
        <c:ser>
          <c:idx val="7"/>
          <c:order val="7"/>
          <c:tx>
            <c:strRef>
              <c:f>'Raw Food Data (KG)'!$I$1</c:f>
              <c:strCache>
                <c:ptCount val="1"/>
                <c:pt idx="0">
                  <c:v>LSK Campus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(KG)'!$I$83:$I$106</c:f>
              <c:numCache>
                <c:formatCode>#,##0.00</c:formatCode>
                <c:ptCount val="24"/>
                <c:pt idx="0">
                  <c:v>1793.5</c:v>
                </c:pt>
                <c:pt idx="1">
                  <c:v>2079</c:v>
                </c:pt>
                <c:pt idx="2">
                  <c:v>2438.6999999999998</c:v>
                </c:pt>
                <c:pt idx="3">
                  <c:v>2014.9</c:v>
                </c:pt>
                <c:pt idx="4">
                  <c:v>3703.9</c:v>
                </c:pt>
                <c:pt idx="5">
                  <c:v>2987.4</c:v>
                </c:pt>
                <c:pt idx="6">
                  <c:v>2540.4</c:v>
                </c:pt>
                <c:pt idx="7">
                  <c:v>2848.4</c:v>
                </c:pt>
                <c:pt idx="8">
                  <c:v>3490.9</c:v>
                </c:pt>
                <c:pt idx="9">
                  <c:v>3084.1</c:v>
                </c:pt>
                <c:pt idx="10">
                  <c:v>2978.3</c:v>
                </c:pt>
                <c:pt idx="11">
                  <c:v>2130.4</c:v>
                </c:pt>
                <c:pt idx="12">
                  <c:v>2178.1999999999998</c:v>
                </c:pt>
                <c:pt idx="13">
                  <c:v>2499.5</c:v>
                </c:pt>
                <c:pt idx="14">
                  <c:v>3537.8</c:v>
                </c:pt>
                <c:pt idx="15">
                  <c:v>3904.1</c:v>
                </c:pt>
                <c:pt idx="16">
                  <c:v>3829.2</c:v>
                </c:pt>
                <c:pt idx="17">
                  <c:v>2897</c:v>
                </c:pt>
                <c:pt idx="18">
                  <c:v>2142.1</c:v>
                </c:pt>
                <c:pt idx="19">
                  <c:v>3128.6</c:v>
                </c:pt>
                <c:pt idx="20">
                  <c:v>4006.5</c:v>
                </c:pt>
                <c:pt idx="21">
                  <c:v>3247.9</c:v>
                </c:pt>
                <c:pt idx="22">
                  <c:v>3505.2</c:v>
                </c:pt>
                <c:pt idx="23">
                  <c:v>2717.6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92-FE49-BED3-15A7D364C918}"/>
            </c:ext>
          </c:extLst>
        </c:ser>
        <c:ser>
          <c:idx val="8"/>
          <c:order val="8"/>
          <c:tx>
            <c:strRef>
              <c:f>'Raw Food Data (KG)'!$J$1</c:f>
              <c:strCache>
                <c:ptCount val="1"/>
                <c:pt idx="0">
                  <c:v>Seafront Cafeteria (now collected at UG6 starting July 23)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(KG)'!$J$83:$J$106</c:f>
            </c:numRef>
          </c:val>
          <c:extLst>
            <c:ext xmlns:c16="http://schemas.microsoft.com/office/drawing/2014/chart" uri="{C3380CC4-5D6E-409C-BE32-E72D297353CC}">
              <c16:uniqueId val="{00000008-0B92-FE49-BED3-15A7D364C918}"/>
            </c:ext>
          </c:extLst>
        </c:ser>
        <c:ser>
          <c:idx val="9"/>
          <c:order val="9"/>
          <c:tx>
            <c:strRef>
              <c:f>'Raw Food Data (KG)'!$K$1</c:f>
              <c:strCache>
                <c:ptCount val="1"/>
                <c:pt idx="0">
                  <c:v>UG Halls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(KG)'!$K$83:$K$106</c:f>
            </c:numRef>
          </c:val>
          <c:extLst>
            <c:ext xmlns:c16="http://schemas.microsoft.com/office/drawing/2014/chart" uri="{C3380CC4-5D6E-409C-BE32-E72D297353CC}">
              <c16:uniqueId val="{00000009-0B92-FE49-BED3-15A7D364C918}"/>
            </c:ext>
          </c:extLst>
        </c:ser>
        <c:ser>
          <c:idx val="10"/>
          <c:order val="10"/>
          <c:tx>
            <c:strRef>
              <c:f>'Raw Food Data (KG)'!$L$1</c:f>
              <c:strCache>
                <c:ptCount val="1"/>
                <c:pt idx="0">
                  <c:v>UG Halls + Seafront Cafeteria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(KG)'!$L$83:$L$106</c:f>
              <c:numCache>
                <c:formatCode>#,##0.00</c:formatCode>
                <c:ptCount val="24"/>
                <c:pt idx="0">
                  <c:v>0</c:v>
                </c:pt>
                <c:pt idx="1">
                  <c:v>123</c:v>
                </c:pt>
                <c:pt idx="2">
                  <c:v>525.9</c:v>
                </c:pt>
                <c:pt idx="3">
                  <c:v>476.79999999999995</c:v>
                </c:pt>
                <c:pt idx="4">
                  <c:v>770.6</c:v>
                </c:pt>
                <c:pt idx="5">
                  <c:v>490.1</c:v>
                </c:pt>
                <c:pt idx="6">
                  <c:v>221.8</c:v>
                </c:pt>
                <c:pt idx="7">
                  <c:v>612</c:v>
                </c:pt>
                <c:pt idx="8">
                  <c:v>733.1</c:v>
                </c:pt>
                <c:pt idx="9">
                  <c:v>601.20000000000005</c:v>
                </c:pt>
                <c:pt idx="10">
                  <c:v>590</c:v>
                </c:pt>
                <c:pt idx="11">
                  <c:v>208.2</c:v>
                </c:pt>
                <c:pt idx="12">
                  <c:v>239.8</c:v>
                </c:pt>
                <c:pt idx="13">
                  <c:v>309.3</c:v>
                </c:pt>
                <c:pt idx="14">
                  <c:v>568.1</c:v>
                </c:pt>
                <c:pt idx="15">
                  <c:v>672.3</c:v>
                </c:pt>
                <c:pt idx="16">
                  <c:v>640</c:v>
                </c:pt>
                <c:pt idx="17" formatCode="#,##0.0">
                  <c:v>435.6</c:v>
                </c:pt>
                <c:pt idx="18">
                  <c:v>193.4</c:v>
                </c:pt>
                <c:pt idx="19">
                  <c:v>533.9</c:v>
                </c:pt>
                <c:pt idx="20">
                  <c:v>707.7</c:v>
                </c:pt>
                <c:pt idx="21">
                  <c:v>543.1</c:v>
                </c:pt>
                <c:pt idx="22">
                  <c:v>486.6</c:v>
                </c:pt>
                <c:pt idx="23">
                  <c:v>195.1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92-FE49-BED3-15A7D364C918}"/>
            </c:ext>
          </c:extLst>
        </c:ser>
        <c:ser>
          <c:idx val="11"/>
          <c:order val="11"/>
          <c:tx>
            <c:strRef>
              <c:f>'Raw Food Data (KG)'!$M$1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(KG)'!$M$83:$M$106</c:f>
              <c:numCache>
                <c:formatCode>#,##0.00</c:formatCode>
                <c:ptCount val="24"/>
                <c:pt idx="0">
                  <c:v>738.5</c:v>
                </c:pt>
                <c:pt idx="1">
                  <c:v>589.6</c:v>
                </c:pt>
                <c:pt idx="2">
                  <c:v>530.6</c:v>
                </c:pt>
                <c:pt idx="3">
                  <c:v>564</c:v>
                </c:pt>
                <c:pt idx="4">
                  <c:v>650.6</c:v>
                </c:pt>
                <c:pt idx="5">
                  <c:v>796.8</c:v>
                </c:pt>
                <c:pt idx="6">
                  <c:v>870.1</c:v>
                </c:pt>
                <c:pt idx="7">
                  <c:v>790.2</c:v>
                </c:pt>
                <c:pt idx="8">
                  <c:v>947</c:v>
                </c:pt>
                <c:pt idx="9">
                  <c:v>744.9</c:v>
                </c:pt>
                <c:pt idx="10">
                  <c:v>894</c:v>
                </c:pt>
                <c:pt idx="11">
                  <c:v>920</c:v>
                </c:pt>
                <c:pt idx="12">
                  <c:v>734.1</c:v>
                </c:pt>
                <c:pt idx="13">
                  <c:v>749.4</c:v>
                </c:pt>
                <c:pt idx="14">
                  <c:v>843.4</c:v>
                </c:pt>
                <c:pt idx="15">
                  <c:v>996.4</c:v>
                </c:pt>
                <c:pt idx="16">
                  <c:v>1211.5</c:v>
                </c:pt>
                <c:pt idx="17">
                  <c:v>1199.3</c:v>
                </c:pt>
                <c:pt idx="18">
                  <c:v>871.4</c:v>
                </c:pt>
                <c:pt idx="19">
                  <c:v>820.9</c:v>
                </c:pt>
                <c:pt idx="20">
                  <c:v>839.6</c:v>
                </c:pt>
                <c:pt idx="21">
                  <c:v>904.8</c:v>
                </c:pt>
                <c:pt idx="22">
                  <c:v>923.2</c:v>
                </c:pt>
                <c:pt idx="23">
                  <c:v>718.4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92-FE49-BED3-15A7D364C918}"/>
            </c:ext>
          </c:extLst>
        </c:ser>
        <c:ser>
          <c:idx val="12"/>
          <c:order val="12"/>
          <c:tx>
            <c:strRef>
              <c:f>'Raw Food Data (KG)'!$N$1</c:f>
              <c:strCache>
                <c:ptCount val="1"/>
                <c:pt idx="0">
                  <c:v>Staff Quarters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(KG)'!$N$83:$N$106</c:f>
            </c:numRef>
          </c:val>
          <c:extLst>
            <c:ext xmlns:c16="http://schemas.microsoft.com/office/drawing/2014/chart" uri="{C3380CC4-5D6E-409C-BE32-E72D297353CC}">
              <c16:uniqueId val="{0000000C-0B92-FE49-BED3-15A7D364C918}"/>
            </c:ext>
          </c:extLst>
        </c:ser>
        <c:ser>
          <c:idx val="13"/>
          <c:order val="13"/>
          <c:tx>
            <c:strRef>
              <c:f>'Raw Food Data (KG)'!$O$1</c:f>
              <c:strCache>
                <c:ptCount val="1"/>
                <c:pt idx="0">
                  <c:v>Junior Staff Quarters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(KG)'!$O$83:$O$106</c:f>
            </c:numRef>
          </c:val>
          <c:extLst>
            <c:ext xmlns:c16="http://schemas.microsoft.com/office/drawing/2014/chart" uri="{C3380CC4-5D6E-409C-BE32-E72D297353CC}">
              <c16:uniqueId val="{0000000D-0B92-FE49-BED3-15A7D364C918}"/>
            </c:ext>
          </c:extLst>
        </c:ser>
        <c:ser>
          <c:idx val="14"/>
          <c:order val="14"/>
          <c:tx>
            <c:strRef>
              <c:f>'Raw Food Data (KG)'!$P$1</c:f>
              <c:strCache>
                <c:ptCount val="1"/>
                <c:pt idx="0">
                  <c:v>Staff Quarters (All)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(KG)'!$P$83:$P$106</c:f>
              <c:numCache>
                <c:formatCode>#,##0.00</c:formatCode>
                <c:ptCount val="24"/>
                <c:pt idx="0">
                  <c:v>2284.4</c:v>
                </c:pt>
                <c:pt idx="1">
                  <c:v>2206.1</c:v>
                </c:pt>
                <c:pt idx="2">
                  <c:v>2158.3000000000002</c:v>
                </c:pt>
                <c:pt idx="3">
                  <c:v>2398.6</c:v>
                </c:pt>
                <c:pt idx="4">
                  <c:v>2276.4</c:v>
                </c:pt>
                <c:pt idx="5">
                  <c:v>2240.1999999999998</c:v>
                </c:pt>
                <c:pt idx="6">
                  <c:v>2420.9</c:v>
                </c:pt>
                <c:pt idx="7">
                  <c:v>2675.4</c:v>
                </c:pt>
                <c:pt idx="8">
                  <c:v>3118.9</c:v>
                </c:pt>
                <c:pt idx="9">
                  <c:v>3239.5</c:v>
                </c:pt>
                <c:pt idx="10">
                  <c:v>3033.6</c:v>
                </c:pt>
                <c:pt idx="11">
                  <c:v>3034.1</c:v>
                </c:pt>
                <c:pt idx="12">
                  <c:v>3135.2999999999997</c:v>
                </c:pt>
                <c:pt idx="13">
                  <c:v>3219.9</c:v>
                </c:pt>
                <c:pt idx="14">
                  <c:v>2913</c:v>
                </c:pt>
                <c:pt idx="15">
                  <c:v>2698.5</c:v>
                </c:pt>
                <c:pt idx="16">
                  <c:v>2738</c:v>
                </c:pt>
                <c:pt idx="17">
                  <c:v>2401</c:v>
                </c:pt>
                <c:pt idx="18">
                  <c:v>2517.9</c:v>
                </c:pt>
                <c:pt idx="19">
                  <c:v>2421.8000000000002</c:v>
                </c:pt>
                <c:pt idx="20">
                  <c:v>2500.1</c:v>
                </c:pt>
                <c:pt idx="21">
                  <c:v>2026.8</c:v>
                </c:pt>
                <c:pt idx="22">
                  <c:v>2102.5</c:v>
                </c:pt>
                <c:pt idx="23">
                  <c:v>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92-FE49-BED3-15A7D364C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21488"/>
        <c:axId val="434323200"/>
      </c:areaChart>
      <c:dateAx>
        <c:axId val="43432148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23200"/>
        <c:crosses val="autoZero"/>
        <c:auto val="1"/>
        <c:lblOffset val="100"/>
        <c:baseTimeUnit val="months"/>
      </c:dateAx>
      <c:valAx>
        <c:axId val="43432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2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Waste and Recycling Distribution (From start of 2024/25 academic year to Jun</a:t>
            </a:r>
            <a:r>
              <a:rPr lang="en-US" baseline="0"/>
              <a:t>e 25</a:t>
            </a:r>
            <a:r>
              <a:rPr lang="en-US"/>
              <a:t>)</a:t>
            </a:r>
            <a:endParaRPr lang="en-H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E3-D04A-AB67-2F8DC03870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E3-D04A-AB67-2F8DC03870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E3-D04A-AB67-2F8DC03870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FE3-D04A-AB67-2F8DC03870C8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E3-D04A-AB67-2F8DC03870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FE3-D04A-AB67-2F8DC03870C8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rgbClr val="0070C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0070C0"/>
                        </a:solidFill>
                      </a:rPr>
                      <a:t>Trash</a:t>
                    </a:r>
                    <a:r>
                      <a:rPr lang="en-US" baseline="0">
                        <a:solidFill>
                          <a:srgbClr val="0070C0"/>
                        </a:solidFill>
                      </a:rPr>
                      <a:t> </a:t>
                    </a:r>
                  </a:p>
                  <a:p>
                    <a:pPr>
                      <a:defRPr b="1">
                        <a:solidFill>
                          <a:srgbClr val="0070C0"/>
                        </a:solidFill>
                      </a:defRPr>
                    </a:pPr>
                    <a:r>
                      <a:rPr lang="en-US" baseline="0">
                        <a:solidFill>
                          <a:srgbClr val="0070C0"/>
                        </a:solidFill>
                      </a:rPr>
                      <a:t>61%</a:t>
                    </a:r>
                    <a:endParaRPr lang="en-US">
                      <a:solidFill>
                        <a:srgbClr val="0070C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FE3-D04A-AB67-2F8DC03870C8}"/>
                </c:ext>
              </c:extLst>
            </c:dLbl>
            <c:dLbl>
              <c:idx val="1"/>
              <c:layout>
                <c:manualLayout>
                  <c:x val="1.3888888888888888E-2"/>
                  <c:y val="1.85185185185183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2"/>
                        </a:solidFill>
                      </a:rPr>
                      <a:t>Office</a:t>
                    </a:r>
                    <a:r>
                      <a:rPr lang="en-US" baseline="0">
                        <a:solidFill>
                          <a:schemeClr val="accent2"/>
                        </a:solidFill>
                      </a:rPr>
                      <a:t> </a:t>
                    </a:r>
                  </a:p>
                  <a:p>
                    <a:pPr>
                      <a:defRPr b="1">
                        <a:solidFill>
                          <a:schemeClr val="accent2"/>
                        </a:solidFill>
                      </a:defRPr>
                    </a:pPr>
                    <a:r>
                      <a:rPr lang="en-US" baseline="0">
                        <a:solidFill>
                          <a:schemeClr val="accent2"/>
                        </a:solidFill>
                      </a:rPr>
                      <a:t>6%</a:t>
                    </a:r>
                    <a:endParaRPr lang="en-US">
                      <a:solidFill>
                        <a:schemeClr val="accent2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FE3-D04A-AB67-2F8DC03870C8}"/>
                </c:ext>
              </c:extLst>
            </c:dLbl>
            <c:dLbl>
              <c:idx val="2"/>
              <c:layout>
                <c:manualLayout>
                  <c:x val="0"/>
                  <c:y val="2.31481481481481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3"/>
                        </a:solidFill>
                      </a:rPr>
                      <a:t>Operation 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FE3-D04A-AB67-2F8DC03870C8}"/>
                </c:ext>
              </c:extLst>
            </c:dLbl>
            <c:dLbl>
              <c:idx val="3"/>
              <c:layout>
                <c:manualLayout>
                  <c:x val="0"/>
                  <c:y val="-2.31481481481481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4"/>
                        </a:solidFill>
                      </a:rPr>
                      <a:t>Household 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FE3-D04A-AB67-2F8DC03870C8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rgbClr val="7030A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Food Waste 16%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FE3-D04A-AB67-2F8DC03870C8}"/>
                </c:ext>
              </c:extLst>
            </c:dLbl>
            <c:dLbl>
              <c:idx val="5"/>
              <c:layout>
                <c:manualLayout>
                  <c:x val="2.7777777777777779E-3"/>
                  <c:y val="4.629629629629629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6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6"/>
                        </a:solidFill>
                      </a:rPr>
                      <a:t>Compostable</a:t>
                    </a:r>
                    <a:r>
                      <a:rPr lang="en-US" baseline="0">
                        <a:solidFill>
                          <a:schemeClr val="accent6"/>
                        </a:solidFill>
                      </a:rPr>
                      <a:t> 9%</a:t>
                    </a:r>
                    <a:endParaRPr lang="en-US">
                      <a:solidFill>
                        <a:schemeClr val="accent6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FE3-D04A-AB67-2F8DC03870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'Category Waste Data'!$B$1:$G$1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'Category Waste Data'!$B$149:$G$149</c:f>
              <c:numCache>
                <c:formatCode>0%</c:formatCode>
                <c:ptCount val="6"/>
                <c:pt idx="0">
                  <c:v>0.25171664598092791</c:v>
                </c:pt>
                <c:pt idx="1">
                  <c:v>0.4176724460221764</c:v>
                </c:pt>
                <c:pt idx="2">
                  <c:v>9.2254119827582554E-2</c:v>
                </c:pt>
                <c:pt idx="3">
                  <c:v>0.13441550776415701</c:v>
                </c:pt>
                <c:pt idx="4">
                  <c:v>7.0510346641365129E-2</c:v>
                </c:pt>
                <c:pt idx="5">
                  <c:v>3.3430933763790881E-2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3-D04A-AB67-2F8DC03870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Recycling Trend (formatted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until Jun-24)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'Monthly Recycling'!$B$1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Recycling'!$B$88:$B$136</c:f>
              <c:numCache>
                <c:formatCode>#,##0</c:formatCode>
                <c:ptCount val="49"/>
                <c:pt idx="0">
                  <c:v>12331</c:v>
                </c:pt>
                <c:pt idx="1">
                  <c:v>13196</c:v>
                </c:pt>
                <c:pt idx="2">
                  <c:v>11978</c:v>
                </c:pt>
                <c:pt idx="3">
                  <c:v>11422</c:v>
                </c:pt>
                <c:pt idx="4">
                  <c:v>12557</c:v>
                </c:pt>
                <c:pt idx="5">
                  <c:v>11838</c:v>
                </c:pt>
                <c:pt idx="6">
                  <c:v>14191</c:v>
                </c:pt>
                <c:pt idx="7">
                  <c:v>12749</c:v>
                </c:pt>
                <c:pt idx="8">
                  <c:v>12531</c:v>
                </c:pt>
                <c:pt idx="9">
                  <c:v>13034</c:v>
                </c:pt>
                <c:pt idx="10">
                  <c:v>12407</c:v>
                </c:pt>
                <c:pt idx="11">
                  <c:v>14252</c:v>
                </c:pt>
                <c:pt idx="12">
                  <c:v>15030</c:v>
                </c:pt>
                <c:pt idx="13">
                  <c:v>12985</c:v>
                </c:pt>
                <c:pt idx="14">
                  <c:v>13164</c:v>
                </c:pt>
                <c:pt idx="15">
                  <c:v>13435</c:v>
                </c:pt>
                <c:pt idx="16">
                  <c:v>13422</c:v>
                </c:pt>
                <c:pt idx="17">
                  <c:v>9823</c:v>
                </c:pt>
                <c:pt idx="18">
                  <c:v>9495</c:v>
                </c:pt>
                <c:pt idx="19">
                  <c:v>9308</c:v>
                </c:pt>
                <c:pt idx="20">
                  <c:v>10020</c:v>
                </c:pt>
                <c:pt idx="21">
                  <c:v>10130</c:v>
                </c:pt>
                <c:pt idx="22">
                  <c:v>10024</c:v>
                </c:pt>
                <c:pt idx="23">
                  <c:v>11052</c:v>
                </c:pt>
                <c:pt idx="24">
                  <c:v>12231</c:v>
                </c:pt>
                <c:pt idx="25">
                  <c:v>11893</c:v>
                </c:pt>
                <c:pt idx="26">
                  <c:v>11445</c:v>
                </c:pt>
                <c:pt idx="27">
                  <c:v>11105</c:v>
                </c:pt>
                <c:pt idx="28">
                  <c:v>9350</c:v>
                </c:pt>
                <c:pt idx="29">
                  <c:v>10379</c:v>
                </c:pt>
                <c:pt idx="30">
                  <c:v>11198</c:v>
                </c:pt>
                <c:pt idx="31">
                  <c:v>10871</c:v>
                </c:pt>
                <c:pt idx="32">
                  <c:v>10533</c:v>
                </c:pt>
                <c:pt idx="33">
                  <c:v>10392</c:v>
                </c:pt>
                <c:pt idx="34">
                  <c:v>10670</c:v>
                </c:pt>
                <c:pt idx="35">
                  <c:v>10732</c:v>
                </c:pt>
                <c:pt idx="36">
                  <c:v>11135</c:v>
                </c:pt>
                <c:pt idx="37">
                  <c:v>11304</c:v>
                </c:pt>
                <c:pt idx="38">
                  <c:v>13460</c:v>
                </c:pt>
                <c:pt idx="39">
                  <c:v>13442</c:v>
                </c:pt>
                <c:pt idx="40">
                  <c:v>13416</c:v>
                </c:pt>
                <c:pt idx="41">
                  <c:v>12589</c:v>
                </c:pt>
                <c:pt idx="42">
                  <c:v>13346</c:v>
                </c:pt>
                <c:pt idx="43">
                  <c:v>12371</c:v>
                </c:pt>
                <c:pt idx="44">
                  <c:v>13434</c:v>
                </c:pt>
                <c:pt idx="45">
                  <c:v>12778</c:v>
                </c:pt>
                <c:pt idx="46">
                  <c:v>12412</c:v>
                </c:pt>
                <c:pt idx="47">
                  <c:v>13553</c:v>
                </c:pt>
                <c:pt idx="48">
                  <c:v>13355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9-B54B-B406-FF50871376FC}"/>
            </c:ext>
          </c:extLst>
        </c:ser>
        <c:ser>
          <c:idx val="1"/>
          <c:order val="1"/>
          <c:tx>
            <c:strRef>
              <c:f>'Monthly Recycling'!$C$1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Recycling'!$C$88:$C$136</c:f>
              <c:numCache>
                <c:formatCode>#,##0</c:formatCode>
                <c:ptCount val="49"/>
                <c:pt idx="0">
                  <c:v>371</c:v>
                </c:pt>
                <c:pt idx="1">
                  <c:v>345</c:v>
                </c:pt>
                <c:pt idx="2">
                  <c:v>421</c:v>
                </c:pt>
                <c:pt idx="3">
                  <c:v>407</c:v>
                </c:pt>
                <c:pt idx="4">
                  <c:v>344</c:v>
                </c:pt>
                <c:pt idx="5">
                  <c:v>1790</c:v>
                </c:pt>
                <c:pt idx="6">
                  <c:v>341</c:v>
                </c:pt>
                <c:pt idx="7">
                  <c:v>1351</c:v>
                </c:pt>
                <c:pt idx="8">
                  <c:v>879</c:v>
                </c:pt>
                <c:pt idx="9">
                  <c:v>332</c:v>
                </c:pt>
                <c:pt idx="10">
                  <c:v>1128</c:v>
                </c:pt>
                <c:pt idx="11">
                  <c:v>376</c:v>
                </c:pt>
                <c:pt idx="12">
                  <c:v>902</c:v>
                </c:pt>
                <c:pt idx="13">
                  <c:v>992</c:v>
                </c:pt>
                <c:pt idx="14">
                  <c:v>370</c:v>
                </c:pt>
                <c:pt idx="15">
                  <c:v>1071</c:v>
                </c:pt>
                <c:pt idx="16">
                  <c:v>1212</c:v>
                </c:pt>
                <c:pt idx="17">
                  <c:v>313</c:v>
                </c:pt>
                <c:pt idx="18">
                  <c:v>389</c:v>
                </c:pt>
                <c:pt idx="19">
                  <c:v>1101</c:v>
                </c:pt>
                <c:pt idx="20">
                  <c:v>316</c:v>
                </c:pt>
                <c:pt idx="21">
                  <c:v>304</c:v>
                </c:pt>
                <c:pt idx="22">
                  <c:v>810</c:v>
                </c:pt>
                <c:pt idx="23">
                  <c:v>1303</c:v>
                </c:pt>
                <c:pt idx="24">
                  <c:v>631</c:v>
                </c:pt>
                <c:pt idx="25">
                  <c:v>726</c:v>
                </c:pt>
                <c:pt idx="26">
                  <c:v>736</c:v>
                </c:pt>
                <c:pt idx="27">
                  <c:v>1633</c:v>
                </c:pt>
                <c:pt idx="28">
                  <c:v>772</c:v>
                </c:pt>
                <c:pt idx="29">
                  <c:v>1110</c:v>
                </c:pt>
                <c:pt idx="30">
                  <c:v>974</c:v>
                </c:pt>
                <c:pt idx="31">
                  <c:v>727</c:v>
                </c:pt>
                <c:pt idx="32">
                  <c:v>638</c:v>
                </c:pt>
                <c:pt idx="33">
                  <c:v>897</c:v>
                </c:pt>
                <c:pt idx="34">
                  <c:v>915</c:v>
                </c:pt>
                <c:pt idx="35">
                  <c:v>872</c:v>
                </c:pt>
                <c:pt idx="36">
                  <c:v>801</c:v>
                </c:pt>
                <c:pt idx="37">
                  <c:v>733</c:v>
                </c:pt>
                <c:pt idx="38">
                  <c:v>752</c:v>
                </c:pt>
                <c:pt idx="39">
                  <c:v>342</c:v>
                </c:pt>
                <c:pt idx="40">
                  <c:v>735</c:v>
                </c:pt>
                <c:pt idx="41">
                  <c:v>318</c:v>
                </c:pt>
                <c:pt idx="42">
                  <c:v>533</c:v>
                </c:pt>
                <c:pt idx="43">
                  <c:v>739</c:v>
                </c:pt>
                <c:pt idx="44">
                  <c:v>757</c:v>
                </c:pt>
                <c:pt idx="45">
                  <c:v>1087</c:v>
                </c:pt>
                <c:pt idx="46">
                  <c:v>894</c:v>
                </c:pt>
                <c:pt idx="47">
                  <c:v>387</c:v>
                </c:pt>
                <c:pt idx="48">
                  <c:v>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9-B54B-B406-FF50871376FC}"/>
            </c:ext>
          </c:extLst>
        </c:ser>
        <c:ser>
          <c:idx val="2"/>
          <c:order val="2"/>
          <c:tx>
            <c:strRef>
              <c:f>'Monthly Recycling'!$D$1</c:f>
              <c:strCache>
                <c:ptCount val="1"/>
                <c:pt idx="0">
                  <c:v>Plastic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Recycling'!$D$88:$D$136</c:f>
              <c:numCache>
                <c:formatCode>General</c:formatCode>
                <c:ptCount val="49"/>
                <c:pt idx="0">
                  <c:v>69057.948999999993</c:v>
                </c:pt>
                <c:pt idx="1">
                  <c:v>74682.319999999992</c:v>
                </c:pt>
                <c:pt idx="2">
                  <c:v>75092.364000000001</c:v>
                </c:pt>
                <c:pt idx="3">
                  <c:v>62971.978000000003</c:v>
                </c:pt>
                <c:pt idx="4">
                  <c:v>80676.23</c:v>
                </c:pt>
                <c:pt idx="5">
                  <c:v>55565.461000000003</c:v>
                </c:pt>
                <c:pt idx="6">
                  <c:v>76888.663</c:v>
                </c:pt>
                <c:pt idx="7">
                  <c:v>83742.706000000006</c:v>
                </c:pt>
                <c:pt idx="8">
                  <c:v>76461.664999999994</c:v>
                </c:pt>
                <c:pt idx="9">
                  <c:v>77281.968000000008</c:v>
                </c:pt>
                <c:pt idx="10">
                  <c:v>83859.218000000008</c:v>
                </c:pt>
                <c:pt idx="11">
                  <c:v>90350.093000000008</c:v>
                </c:pt>
                <c:pt idx="12">
                  <c:v>80373.05</c:v>
                </c:pt>
                <c:pt idx="13">
                  <c:v>95334.35</c:v>
                </c:pt>
                <c:pt idx="14">
                  <c:v>92044.383999999991</c:v>
                </c:pt>
                <c:pt idx="15">
                  <c:v>92562.237000000008</c:v>
                </c:pt>
                <c:pt idx="16">
                  <c:v>89140.65</c:v>
                </c:pt>
                <c:pt idx="17">
                  <c:v>53031.481</c:v>
                </c:pt>
                <c:pt idx="18">
                  <c:v>63623.15</c:v>
                </c:pt>
                <c:pt idx="19">
                  <c:v>67926.381000000008</c:v>
                </c:pt>
                <c:pt idx="20">
                  <c:v>79137.350000000006</c:v>
                </c:pt>
                <c:pt idx="21">
                  <c:v>76702.8</c:v>
                </c:pt>
                <c:pt idx="22">
                  <c:v>69475.95</c:v>
                </c:pt>
                <c:pt idx="23">
                  <c:v>81234.25</c:v>
                </c:pt>
                <c:pt idx="24">
                  <c:v>88390.85</c:v>
                </c:pt>
                <c:pt idx="25">
                  <c:v>91572.55</c:v>
                </c:pt>
                <c:pt idx="26">
                  <c:v>93234.5</c:v>
                </c:pt>
                <c:pt idx="27">
                  <c:v>95239</c:v>
                </c:pt>
                <c:pt idx="28">
                  <c:v>88728</c:v>
                </c:pt>
                <c:pt idx="29">
                  <c:v>68279.399999999994</c:v>
                </c:pt>
                <c:pt idx="30">
                  <c:v>83136.3</c:v>
                </c:pt>
                <c:pt idx="31">
                  <c:v>78858.75</c:v>
                </c:pt>
                <c:pt idx="32">
                  <c:v>83077.899999999994</c:v>
                </c:pt>
                <c:pt idx="33">
                  <c:v>85000.05</c:v>
                </c:pt>
                <c:pt idx="34">
                  <c:v>63739</c:v>
                </c:pt>
                <c:pt idx="35">
                  <c:v>71197.5</c:v>
                </c:pt>
                <c:pt idx="36">
                  <c:v>95299.35</c:v>
                </c:pt>
                <c:pt idx="37">
                  <c:v>76415.600000000006</c:v>
                </c:pt>
                <c:pt idx="38">
                  <c:v>79550.2</c:v>
                </c:pt>
                <c:pt idx="39">
                  <c:v>80093.099999999991</c:v>
                </c:pt>
                <c:pt idx="40">
                  <c:v>78479.199999999997</c:v>
                </c:pt>
                <c:pt idx="41">
                  <c:v>73507.799999999988</c:v>
                </c:pt>
                <c:pt idx="42">
                  <c:v>83949.200000000012</c:v>
                </c:pt>
                <c:pt idx="43">
                  <c:v>75206.600000000006</c:v>
                </c:pt>
                <c:pt idx="44">
                  <c:v>73151.199999999997</c:v>
                </c:pt>
                <c:pt idx="45">
                  <c:v>68048.2</c:v>
                </c:pt>
                <c:pt idx="46">
                  <c:v>73773</c:v>
                </c:pt>
                <c:pt idx="47">
                  <c:v>82941.7</c:v>
                </c:pt>
                <c:pt idx="48">
                  <c:v>84378.3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9-B54B-B406-FF50871376FC}"/>
            </c:ext>
          </c:extLst>
        </c:ser>
        <c:ser>
          <c:idx val="3"/>
          <c:order val="3"/>
          <c:tx>
            <c:strRef>
              <c:f>'Monthly Recycling'!$E$1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Recycling'!$E$88:$E$136</c:f>
              <c:numCache>
                <c:formatCode>#,##0</c:formatCode>
                <c:ptCount val="49"/>
                <c:pt idx="0">
                  <c:v>643</c:v>
                </c:pt>
                <c:pt idx="1">
                  <c:v>971</c:v>
                </c:pt>
                <c:pt idx="2">
                  <c:v>781</c:v>
                </c:pt>
                <c:pt idx="3">
                  <c:v>971</c:v>
                </c:pt>
                <c:pt idx="4">
                  <c:v>1544</c:v>
                </c:pt>
                <c:pt idx="5">
                  <c:v>0</c:v>
                </c:pt>
                <c:pt idx="6">
                  <c:v>758</c:v>
                </c:pt>
                <c:pt idx="7">
                  <c:v>0</c:v>
                </c:pt>
                <c:pt idx="8">
                  <c:v>1085</c:v>
                </c:pt>
                <c:pt idx="9">
                  <c:v>908</c:v>
                </c:pt>
                <c:pt idx="10">
                  <c:v>1043</c:v>
                </c:pt>
                <c:pt idx="11">
                  <c:v>0</c:v>
                </c:pt>
                <c:pt idx="12">
                  <c:v>1006</c:v>
                </c:pt>
                <c:pt idx="13">
                  <c:v>891</c:v>
                </c:pt>
                <c:pt idx="14">
                  <c:v>625</c:v>
                </c:pt>
                <c:pt idx="15">
                  <c:v>0</c:v>
                </c:pt>
                <c:pt idx="16">
                  <c:v>0</c:v>
                </c:pt>
                <c:pt idx="17">
                  <c:v>869</c:v>
                </c:pt>
                <c:pt idx="18">
                  <c:v>0</c:v>
                </c:pt>
                <c:pt idx="19">
                  <c:v>1036</c:v>
                </c:pt>
                <c:pt idx="20">
                  <c:v>0</c:v>
                </c:pt>
                <c:pt idx="21">
                  <c:v>1056</c:v>
                </c:pt>
                <c:pt idx="22">
                  <c:v>0</c:v>
                </c:pt>
                <c:pt idx="23">
                  <c:v>1973</c:v>
                </c:pt>
                <c:pt idx="24">
                  <c:v>0</c:v>
                </c:pt>
                <c:pt idx="25">
                  <c:v>1009</c:v>
                </c:pt>
                <c:pt idx="26">
                  <c:v>993</c:v>
                </c:pt>
                <c:pt idx="27">
                  <c:v>762</c:v>
                </c:pt>
                <c:pt idx="28">
                  <c:v>757</c:v>
                </c:pt>
                <c:pt idx="29">
                  <c:v>670</c:v>
                </c:pt>
                <c:pt idx="30">
                  <c:v>603</c:v>
                </c:pt>
                <c:pt idx="31">
                  <c:v>499</c:v>
                </c:pt>
                <c:pt idx="32">
                  <c:v>0</c:v>
                </c:pt>
                <c:pt idx="33">
                  <c:v>608</c:v>
                </c:pt>
                <c:pt idx="34">
                  <c:v>673</c:v>
                </c:pt>
                <c:pt idx="35">
                  <c:v>996</c:v>
                </c:pt>
                <c:pt idx="36">
                  <c:v>0</c:v>
                </c:pt>
                <c:pt idx="37">
                  <c:v>1412</c:v>
                </c:pt>
                <c:pt idx="38">
                  <c:v>975</c:v>
                </c:pt>
                <c:pt idx="39">
                  <c:v>856</c:v>
                </c:pt>
                <c:pt idx="40">
                  <c:v>0</c:v>
                </c:pt>
                <c:pt idx="41">
                  <c:v>698</c:v>
                </c:pt>
                <c:pt idx="42">
                  <c:v>597</c:v>
                </c:pt>
                <c:pt idx="43">
                  <c:v>917</c:v>
                </c:pt>
                <c:pt idx="44">
                  <c:v>321</c:v>
                </c:pt>
                <c:pt idx="45">
                  <c:v>612</c:v>
                </c:pt>
                <c:pt idx="46">
                  <c:v>704</c:v>
                </c:pt>
                <c:pt idx="47">
                  <c:v>479</c:v>
                </c:pt>
                <c:pt idx="48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19-B54B-B406-FF50871376FC}"/>
            </c:ext>
          </c:extLst>
        </c:ser>
        <c:ser>
          <c:idx val="4"/>
          <c:order val="4"/>
          <c:tx>
            <c:strRef>
              <c:f>'Monthly Recycling'!$F$1</c:f>
              <c:strCache>
                <c:ptCount val="1"/>
                <c:pt idx="0">
                  <c:v>Food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Recycling'!$F$88:$F$136</c:f>
              <c:numCache>
                <c:formatCode>#,##0.0</c:formatCode>
                <c:ptCount val="49"/>
                <c:pt idx="0">
                  <c:v>28611</c:v>
                </c:pt>
                <c:pt idx="1">
                  <c:v>31009</c:v>
                </c:pt>
                <c:pt idx="2">
                  <c:v>34289</c:v>
                </c:pt>
                <c:pt idx="3">
                  <c:v>33360</c:v>
                </c:pt>
                <c:pt idx="4">
                  <c:v>33517</c:v>
                </c:pt>
                <c:pt idx="5">
                  <c:v>29468</c:v>
                </c:pt>
                <c:pt idx="6">
                  <c:v>35447</c:v>
                </c:pt>
                <c:pt idx="7">
                  <c:v>43497</c:v>
                </c:pt>
                <c:pt idx="8">
                  <c:v>40188</c:v>
                </c:pt>
                <c:pt idx="9">
                  <c:v>35583</c:v>
                </c:pt>
                <c:pt idx="10">
                  <c:v>36437</c:v>
                </c:pt>
                <c:pt idx="11">
                  <c:v>33584</c:v>
                </c:pt>
                <c:pt idx="12">
                  <c:v>35376</c:v>
                </c:pt>
                <c:pt idx="13">
                  <c:v>45400</c:v>
                </c:pt>
                <c:pt idx="14">
                  <c:v>42665</c:v>
                </c:pt>
                <c:pt idx="15">
                  <c:v>41338</c:v>
                </c:pt>
                <c:pt idx="16">
                  <c:v>33071</c:v>
                </c:pt>
                <c:pt idx="17">
                  <c:v>24947</c:v>
                </c:pt>
                <c:pt idx="18">
                  <c:v>22091</c:v>
                </c:pt>
                <c:pt idx="19">
                  <c:v>24586.6</c:v>
                </c:pt>
                <c:pt idx="20">
                  <c:v>27462</c:v>
                </c:pt>
                <c:pt idx="21">
                  <c:v>22866</c:v>
                </c:pt>
                <c:pt idx="22">
                  <c:v>25176</c:v>
                </c:pt>
                <c:pt idx="23">
                  <c:v>26660</c:v>
                </c:pt>
                <c:pt idx="24">
                  <c:v>35619</c:v>
                </c:pt>
                <c:pt idx="25">
                  <c:v>39851</c:v>
                </c:pt>
                <c:pt idx="26">
                  <c:v>42228</c:v>
                </c:pt>
                <c:pt idx="27">
                  <c:v>44338</c:v>
                </c:pt>
                <c:pt idx="28">
                  <c:v>34407</c:v>
                </c:pt>
                <c:pt idx="29">
                  <c:v>28553</c:v>
                </c:pt>
                <c:pt idx="30">
                  <c:v>35187</c:v>
                </c:pt>
                <c:pt idx="31">
                  <c:v>39810.5</c:v>
                </c:pt>
                <c:pt idx="32">
                  <c:v>39784</c:v>
                </c:pt>
                <c:pt idx="33">
                  <c:v>40149.599999999999</c:v>
                </c:pt>
                <c:pt idx="34">
                  <c:v>23296.5</c:v>
                </c:pt>
                <c:pt idx="35">
                  <c:v>28190.499999999996</c:v>
                </c:pt>
                <c:pt idx="36">
                  <c:v>30387</c:v>
                </c:pt>
                <c:pt idx="37">
                  <c:v>30156.499999999996</c:v>
                </c:pt>
                <c:pt idx="38">
                  <c:v>42615.9</c:v>
                </c:pt>
                <c:pt idx="39">
                  <c:v>35693.299999999996</c:v>
                </c:pt>
                <c:pt idx="40">
                  <c:v>29377.9</c:v>
                </c:pt>
                <c:pt idx="41">
                  <c:v>35652.6</c:v>
                </c:pt>
                <c:pt idx="42">
                  <c:v>43510.8</c:v>
                </c:pt>
                <c:pt idx="43">
                  <c:v>39601</c:v>
                </c:pt>
                <c:pt idx="44">
                  <c:v>40905.300000000003</c:v>
                </c:pt>
                <c:pt idx="45">
                  <c:v>30060</c:v>
                </c:pt>
                <c:pt idx="46">
                  <c:v>34108.800000000003</c:v>
                </c:pt>
                <c:pt idx="47">
                  <c:v>36595.5</c:v>
                </c:pt>
                <c:pt idx="48">
                  <c:v>46111.7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9-B54B-B406-FF50871376FC}"/>
            </c:ext>
          </c:extLst>
        </c:ser>
        <c:ser>
          <c:idx val="5"/>
          <c:order val="5"/>
          <c:tx>
            <c:strRef>
              <c:f>'Monthly Recycling'!$G$1</c:f>
              <c:strCache>
                <c:ptCount val="1"/>
                <c:pt idx="0">
                  <c:v>Animal Bedding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Recycling'!$G$88:$G$136</c:f>
              <c:numCache>
                <c:formatCode>#,##0</c:formatCode>
                <c:ptCount val="49"/>
                <c:pt idx="0">
                  <c:v>6400</c:v>
                </c:pt>
                <c:pt idx="1">
                  <c:v>4800</c:v>
                </c:pt>
                <c:pt idx="2">
                  <c:v>3200</c:v>
                </c:pt>
                <c:pt idx="3">
                  <c:v>3200</c:v>
                </c:pt>
                <c:pt idx="4">
                  <c:v>3200</c:v>
                </c:pt>
                <c:pt idx="5">
                  <c:v>4800</c:v>
                </c:pt>
                <c:pt idx="6">
                  <c:v>8000</c:v>
                </c:pt>
                <c:pt idx="7">
                  <c:v>4800</c:v>
                </c:pt>
                <c:pt idx="8">
                  <c:v>6400</c:v>
                </c:pt>
                <c:pt idx="9">
                  <c:v>4800</c:v>
                </c:pt>
                <c:pt idx="10">
                  <c:v>8000</c:v>
                </c:pt>
                <c:pt idx="11">
                  <c:v>6400</c:v>
                </c:pt>
                <c:pt idx="12">
                  <c:v>6400</c:v>
                </c:pt>
                <c:pt idx="13">
                  <c:v>6400</c:v>
                </c:pt>
                <c:pt idx="14">
                  <c:v>4800</c:v>
                </c:pt>
                <c:pt idx="15">
                  <c:v>8000</c:v>
                </c:pt>
                <c:pt idx="16">
                  <c:v>6400</c:v>
                </c:pt>
                <c:pt idx="17">
                  <c:v>4800</c:v>
                </c:pt>
                <c:pt idx="18">
                  <c:v>6400</c:v>
                </c:pt>
                <c:pt idx="19">
                  <c:v>6400</c:v>
                </c:pt>
                <c:pt idx="20">
                  <c:v>6400</c:v>
                </c:pt>
                <c:pt idx="21">
                  <c:v>8000</c:v>
                </c:pt>
                <c:pt idx="22">
                  <c:v>6400</c:v>
                </c:pt>
                <c:pt idx="23">
                  <c:v>6400</c:v>
                </c:pt>
                <c:pt idx="24">
                  <c:v>8000</c:v>
                </c:pt>
                <c:pt idx="25">
                  <c:v>6400</c:v>
                </c:pt>
                <c:pt idx="26">
                  <c:v>6400</c:v>
                </c:pt>
                <c:pt idx="27">
                  <c:v>6400</c:v>
                </c:pt>
                <c:pt idx="28">
                  <c:v>6400</c:v>
                </c:pt>
                <c:pt idx="29">
                  <c:v>6400</c:v>
                </c:pt>
                <c:pt idx="30">
                  <c:v>8000</c:v>
                </c:pt>
                <c:pt idx="31">
                  <c:v>4800</c:v>
                </c:pt>
                <c:pt idx="32">
                  <c:v>6400</c:v>
                </c:pt>
                <c:pt idx="33">
                  <c:v>8000</c:v>
                </c:pt>
                <c:pt idx="34">
                  <c:v>7185</c:v>
                </c:pt>
                <c:pt idx="35">
                  <c:v>7200</c:v>
                </c:pt>
                <c:pt idx="36">
                  <c:v>11215</c:v>
                </c:pt>
                <c:pt idx="37">
                  <c:v>9565</c:v>
                </c:pt>
                <c:pt idx="38">
                  <c:v>7803</c:v>
                </c:pt>
                <c:pt idx="39">
                  <c:v>19833</c:v>
                </c:pt>
                <c:pt idx="40">
                  <c:v>21650</c:v>
                </c:pt>
                <c:pt idx="41">
                  <c:v>15470</c:v>
                </c:pt>
                <c:pt idx="42">
                  <c:v>17465</c:v>
                </c:pt>
                <c:pt idx="43">
                  <c:v>6415</c:v>
                </c:pt>
                <c:pt idx="44">
                  <c:v>7575</c:v>
                </c:pt>
                <c:pt idx="45">
                  <c:v>4565</c:v>
                </c:pt>
                <c:pt idx="46">
                  <c:v>6540</c:v>
                </c:pt>
                <c:pt idx="47">
                  <c:v>7880</c:v>
                </c:pt>
                <c:pt idx="48">
                  <c:v>6620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19-B54B-B406-FF50871376FC}"/>
            </c:ext>
          </c:extLst>
        </c:ser>
        <c:ser>
          <c:idx val="6"/>
          <c:order val="6"/>
          <c:tx>
            <c:strRef>
              <c:f>'Monthly Recycling'!$H$1</c:f>
              <c:strCache>
                <c:ptCount val="1"/>
                <c:pt idx="0">
                  <c:v>Landscape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Recycling'!$H$88:$H$136</c:f>
              <c:numCache>
                <c:formatCode>#,##0</c:formatCode>
                <c:ptCount val="49"/>
                <c:pt idx="0">
                  <c:v>21000</c:v>
                </c:pt>
                <c:pt idx="1">
                  <c:v>24500</c:v>
                </c:pt>
                <c:pt idx="2">
                  <c:v>21000</c:v>
                </c:pt>
                <c:pt idx="3">
                  <c:v>10500</c:v>
                </c:pt>
                <c:pt idx="4">
                  <c:v>24500</c:v>
                </c:pt>
                <c:pt idx="5">
                  <c:v>14000</c:v>
                </c:pt>
                <c:pt idx="6">
                  <c:v>17500</c:v>
                </c:pt>
                <c:pt idx="7">
                  <c:v>14000</c:v>
                </c:pt>
                <c:pt idx="8">
                  <c:v>17500</c:v>
                </c:pt>
                <c:pt idx="9">
                  <c:v>24500</c:v>
                </c:pt>
                <c:pt idx="10">
                  <c:v>21000</c:v>
                </c:pt>
                <c:pt idx="11">
                  <c:v>35000</c:v>
                </c:pt>
                <c:pt idx="12">
                  <c:v>28000</c:v>
                </c:pt>
                <c:pt idx="13">
                  <c:v>35000</c:v>
                </c:pt>
                <c:pt idx="14">
                  <c:v>35000</c:v>
                </c:pt>
                <c:pt idx="15">
                  <c:v>31500</c:v>
                </c:pt>
                <c:pt idx="16">
                  <c:v>28000</c:v>
                </c:pt>
                <c:pt idx="17">
                  <c:v>14000</c:v>
                </c:pt>
                <c:pt idx="18">
                  <c:v>24500</c:v>
                </c:pt>
                <c:pt idx="19">
                  <c:v>24500</c:v>
                </c:pt>
                <c:pt idx="20">
                  <c:v>31500</c:v>
                </c:pt>
                <c:pt idx="21">
                  <c:v>35000</c:v>
                </c:pt>
                <c:pt idx="22">
                  <c:v>24500</c:v>
                </c:pt>
                <c:pt idx="23">
                  <c:v>31500</c:v>
                </c:pt>
                <c:pt idx="24">
                  <c:v>31500</c:v>
                </c:pt>
                <c:pt idx="25">
                  <c:v>28000</c:v>
                </c:pt>
                <c:pt idx="26">
                  <c:v>31500</c:v>
                </c:pt>
                <c:pt idx="27">
                  <c:v>28000</c:v>
                </c:pt>
                <c:pt idx="28">
                  <c:v>31500</c:v>
                </c:pt>
                <c:pt idx="29">
                  <c:v>21000</c:v>
                </c:pt>
                <c:pt idx="30">
                  <c:v>24500</c:v>
                </c:pt>
                <c:pt idx="31">
                  <c:v>17500</c:v>
                </c:pt>
                <c:pt idx="32">
                  <c:v>24500</c:v>
                </c:pt>
                <c:pt idx="33">
                  <c:v>24500</c:v>
                </c:pt>
                <c:pt idx="34">
                  <c:v>14485</c:v>
                </c:pt>
                <c:pt idx="35">
                  <c:v>20070</c:v>
                </c:pt>
                <c:pt idx="36">
                  <c:v>37770</c:v>
                </c:pt>
                <c:pt idx="37">
                  <c:v>20910</c:v>
                </c:pt>
                <c:pt idx="38">
                  <c:v>15947</c:v>
                </c:pt>
                <c:pt idx="39">
                  <c:v>7885</c:v>
                </c:pt>
                <c:pt idx="40">
                  <c:v>7650</c:v>
                </c:pt>
                <c:pt idx="41">
                  <c:v>6340</c:v>
                </c:pt>
                <c:pt idx="42">
                  <c:v>6740</c:v>
                </c:pt>
                <c:pt idx="43">
                  <c:v>13000</c:v>
                </c:pt>
                <c:pt idx="44">
                  <c:v>11695</c:v>
                </c:pt>
                <c:pt idx="45">
                  <c:v>14570</c:v>
                </c:pt>
                <c:pt idx="46">
                  <c:v>13230</c:v>
                </c:pt>
                <c:pt idx="47">
                  <c:v>16335</c:v>
                </c:pt>
                <c:pt idx="48">
                  <c:v>17160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19-B54B-B406-FF50871376FC}"/>
            </c:ext>
          </c:extLst>
        </c:ser>
        <c:ser>
          <c:idx val="7"/>
          <c:order val="7"/>
          <c:tx>
            <c:strRef>
              <c:f>'Monthly Recycling'!$I$1</c:f>
              <c:strCache>
                <c:ptCount val="1"/>
                <c:pt idx="0">
                  <c:v>Wood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Recycling'!$I$88:$I$136</c:f>
              <c:numCache>
                <c:formatCode>#,##0</c:formatCode>
                <c:ptCount val="49"/>
                <c:pt idx="0">
                  <c:v>10400</c:v>
                </c:pt>
                <c:pt idx="1">
                  <c:v>12200</c:v>
                </c:pt>
                <c:pt idx="2">
                  <c:v>13500</c:v>
                </c:pt>
                <c:pt idx="3">
                  <c:v>14600</c:v>
                </c:pt>
                <c:pt idx="4">
                  <c:v>18700</c:v>
                </c:pt>
                <c:pt idx="5">
                  <c:v>6000</c:v>
                </c:pt>
                <c:pt idx="6">
                  <c:v>14700</c:v>
                </c:pt>
                <c:pt idx="7">
                  <c:v>20500</c:v>
                </c:pt>
                <c:pt idx="8">
                  <c:v>10400</c:v>
                </c:pt>
                <c:pt idx="9">
                  <c:v>10400</c:v>
                </c:pt>
                <c:pt idx="10">
                  <c:v>16700</c:v>
                </c:pt>
                <c:pt idx="11">
                  <c:v>13700</c:v>
                </c:pt>
                <c:pt idx="12">
                  <c:v>9500</c:v>
                </c:pt>
                <c:pt idx="13">
                  <c:v>7830</c:v>
                </c:pt>
                <c:pt idx="14">
                  <c:v>5800</c:v>
                </c:pt>
                <c:pt idx="15">
                  <c:v>10180</c:v>
                </c:pt>
                <c:pt idx="16">
                  <c:v>19838</c:v>
                </c:pt>
                <c:pt idx="17">
                  <c:v>7420</c:v>
                </c:pt>
                <c:pt idx="18">
                  <c:v>9700</c:v>
                </c:pt>
                <c:pt idx="19">
                  <c:v>10420</c:v>
                </c:pt>
                <c:pt idx="20">
                  <c:v>12000</c:v>
                </c:pt>
                <c:pt idx="21">
                  <c:v>9000</c:v>
                </c:pt>
                <c:pt idx="22">
                  <c:v>12000</c:v>
                </c:pt>
                <c:pt idx="23">
                  <c:v>15000</c:v>
                </c:pt>
                <c:pt idx="24">
                  <c:v>12000</c:v>
                </c:pt>
                <c:pt idx="25">
                  <c:v>15000</c:v>
                </c:pt>
                <c:pt idx="26">
                  <c:v>12000</c:v>
                </c:pt>
                <c:pt idx="27">
                  <c:v>15000</c:v>
                </c:pt>
                <c:pt idx="28">
                  <c:v>15000</c:v>
                </c:pt>
                <c:pt idx="29">
                  <c:v>12000</c:v>
                </c:pt>
                <c:pt idx="30">
                  <c:v>15000</c:v>
                </c:pt>
                <c:pt idx="31">
                  <c:v>15000</c:v>
                </c:pt>
                <c:pt idx="32">
                  <c:v>12000</c:v>
                </c:pt>
                <c:pt idx="33">
                  <c:v>12000</c:v>
                </c:pt>
                <c:pt idx="34">
                  <c:v>18000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12000</c:v>
                </c:pt>
                <c:pt idx="39">
                  <c:v>15000</c:v>
                </c:pt>
                <c:pt idx="40">
                  <c:v>18000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12000</c:v>
                </c:pt>
                <c:pt idx="45">
                  <c:v>18000</c:v>
                </c:pt>
                <c:pt idx="46">
                  <c:v>18000</c:v>
                </c:pt>
                <c:pt idx="47">
                  <c:v>21000</c:v>
                </c:pt>
                <c:pt idx="48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19-B54B-B406-FF50871376FC}"/>
            </c:ext>
          </c:extLst>
        </c:ser>
        <c:ser>
          <c:idx val="8"/>
          <c:order val="8"/>
          <c:tx>
            <c:strRef>
              <c:f>'Monthly Recycling'!$J$1</c:f>
              <c:strCache>
                <c:ptCount val="1"/>
                <c:pt idx="0">
                  <c:v>Electrical Appliance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Recycling'!$J$88:$J$136</c:f>
              <c:numCache>
                <c:formatCode>#,##0</c:formatCode>
                <c:ptCount val="49"/>
                <c:pt idx="0">
                  <c:v>0</c:v>
                </c:pt>
                <c:pt idx="1">
                  <c:v>792</c:v>
                </c:pt>
                <c:pt idx="2">
                  <c:v>1427</c:v>
                </c:pt>
                <c:pt idx="3">
                  <c:v>0</c:v>
                </c:pt>
                <c:pt idx="4">
                  <c:v>0</c:v>
                </c:pt>
                <c:pt idx="5">
                  <c:v>652.5</c:v>
                </c:pt>
                <c:pt idx="6">
                  <c:v>0</c:v>
                </c:pt>
                <c:pt idx="7">
                  <c:v>0</c:v>
                </c:pt>
                <c:pt idx="8">
                  <c:v>675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1971</c:v>
                </c:pt>
                <c:pt idx="15">
                  <c:v>355.5</c:v>
                </c:pt>
                <c:pt idx="16">
                  <c:v>0</c:v>
                </c:pt>
                <c:pt idx="17">
                  <c:v>256.5</c:v>
                </c:pt>
                <c:pt idx="18">
                  <c:v>0</c:v>
                </c:pt>
                <c:pt idx="19">
                  <c:v>1482</c:v>
                </c:pt>
                <c:pt idx="20">
                  <c:v>736</c:v>
                </c:pt>
                <c:pt idx="21">
                  <c:v>819</c:v>
                </c:pt>
                <c:pt idx="22">
                  <c:v>0</c:v>
                </c:pt>
                <c:pt idx="23">
                  <c:v>604</c:v>
                </c:pt>
                <c:pt idx="24">
                  <c:v>0</c:v>
                </c:pt>
                <c:pt idx="25">
                  <c:v>731</c:v>
                </c:pt>
                <c:pt idx="26">
                  <c:v>0</c:v>
                </c:pt>
                <c:pt idx="27">
                  <c:v>0</c:v>
                </c:pt>
                <c:pt idx="28">
                  <c:v>1109</c:v>
                </c:pt>
                <c:pt idx="29">
                  <c:v>0</c:v>
                </c:pt>
                <c:pt idx="30">
                  <c:v>0</c:v>
                </c:pt>
                <c:pt idx="31">
                  <c:v>1438</c:v>
                </c:pt>
                <c:pt idx="32">
                  <c:v>0</c:v>
                </c:pt>
                <c:pt idx="33">
                  <c:v>0</c:v>
                </c:pt>
                <c:pt idx="34">
                  <c:v>513</c:v>
                </c:pt>
                <c:pt idx="35">
                  <c:v>435</c:v>
                </c:pt>
                <c:pt idx="36">
                  <c:v>531</c:v>
                </c:pt>
                <c:pt idx="37">
                  <c:v>364.5</c:v>
                </c:pt>
                <c:pt idx="38">
                  <c:v>737.5</c:v>
                </c:pt>
                <c:pt idx="39">
                  <c:v>1285</c:v>
                </c:pt>
                <c:pt idx="40">
                  <c:v>917.5</c:v>
                </c:pt>
                <c:pt idx="41">
                  <c:v>353.1</c:v>
                </c:pt>
                <c:pt idx="42">
                  <c:v>785</c:v>
                </c:pt>
                <c:pt idx="43">
                  <c:v>440</c:v>
                </c:pt>
                <c:pt idx="44">
                  <c:v>359</c:v>
                </c:pt>
                <c:pt idx="45">
                  <c:v>372.5</c:v>
                </c:pt>
                <c:pt idx="46">
                  <c:v>1459.5</c:v>
                </c:pt>
                <c:pt idx="47">
                  <c:v>574</c:v>
                </c:pt>
                <c:pt idx="48">
                  <c:v>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19-B54B-B406-FF50871376FC}"/>
            </c:ext>
          </c:extLst>
        </c:ser>
        <c:ser>
          <c:idx val="9"/>
          <c:order val="9"/>
          <c:tx>
            <c:strRef>
              <c:f>'Monthly Recycling'!$K$1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Recycling'!$K$88:$K$136</c:f>
              <c:numCache>
                <c:formatCode>#,##0.00</c:formatCode>
                <c:ptCount val="49"/>
                <c:pt idx="0">
                  <c:v>83.199000000000012</c:v>
                </c:pt>
                <c:pt idx="1">
                  <c:v>57.620000000000005</c:v>
                </c:pt>
                <c:pt idx="2">
                  <c:v>84.213999999999999</c:v>
                </c:pt>
                <c:pt idx="3">
                  <c:v>67.927999999999997</c:v>
                </c:pt>
                <c:pt idx="4">
                  <c:v>79.680000000000007</c:v>
                </c:pt>
                <c:pt idx="5">
                  <c:v>3.911</c:v>
                </c:pt>
                <c:pt idx="6">
                  <c:v>78.063000000000002</c:v>
                </c:pt>
                <c:pt idx="7">
                  <c:v>120.956</c:v>
                </c:pt>
                <c:pt idx="8">
                  <c:v>129.36500000000001</c:v>
                </c:pt>
                <c:pt idx="9">
                  <c:v>84.268000000000001</c:v>
                </c:pt>
                <c:pt idx="10">
                  <c:v>104.36799999999999</c:v>
                </c:pt>
                <c:pt idx="11">
                  <c:v>122.14300000000001</c:v>
                </c:pt>
                <c:pt idx="12">
                  <c:v>67</c:v>
                </c:pt>
                <c:pt idx="13">
                  <c:v>0</c:v>
                </c:pt>
                <c:pt idx="14">
                  <c:v>173.63400000000001</c:v>
                </c:pt>
                <c:pt idx="15">
                  <c:v>80.787000000000006</c:v>
                </c:pt>
                <c:pt idx="16">
                  <c:v>0</c:v>
                </c:pt>
                <c:pt idx="17">
                  <c:v>126.331</c:v>
                </c:pt>
                <c:pt idx="18">
                  <c:v>0</c:v>
                </c:pt>
                <c:pt idx="19">
                  <c:v>72.981000000000009</c:v>
                </c:pt>
                <c:pt idx="20">
                  <c:v>0</c:v>
                </c:pt>
                <c:pt idx="21">
                  <c:v>102</c:v>
                </c:pt>
                <c:pt idx="22">
                  <c:v>435</c:v>
                </c:pt>
                <c:pt idx="23">
                  <c:v>165</c:v>
                </c:pt>
                <c:pt idx="24">
                  <c:v>61.6</c:v>
                </c:pt>
                <c:pt idx="25">
                  <c:v>67</c:v>
                </c:pt>
                <c:pt idx="26">
                  <c:v>110.5</c:v>
                </c:pt>
                <c:pt idx="27">
                  <c:v>118</c:v>
                </c:pt>
                <c:pt idx="28">
                  <c:v>9.5</c:v>
                </c:pt>
                <c:pt idx="29">
                  <c:v>109.4</c:v>
                </c:pt>
                <c:pt idx="30">
                  <c:v>128.5</c:v>
                </c:pt>
                <c:pt idx="31">
                  <c:v>54.5</c:v>
                </c:pt>
                <c:pt idx="32">
                  <c:v>105</c:v>
                </c:pt>
                <c:pt idx="33">
                  <c:v>65</c:v>
                </c:pt>
                <c:pt idx="34">
                  <c:v>0</c:v>
                </c:pt>
                <c:pt idx="35">
                  <c:v>21.1</c:v>
                </c:pt>
                <c:pt idx="36">
                  <c:v>91.6</c:v>
                </c:pt>
                <c:pt idx="37">
                  <c:v>77</c:v>
                </c:pt>
                <c:pt idx="38">
                  <c:v>27.2</c:v>
                </c:pt>
                <c:pt idx="39">
                  <c:v>0</c:v>
                </c:pt>
                <c:pt idx="40">
                  <c:v>505</c:v>
                </c:pt>
                <c:pt idx="41">
                  <c:v>320.7</c:v>
                </c:pt>
                <c:pt idx="42">
                  <c:v>32.6</c:v>
                </c:pt>
                <c:pt idx="43">
                  <c:v>272.8</c:v>
                </c:pt>
                <c:pt idx="44">
                  <c:v>150.69999999999999</c:v>
                </c:pt>
                <c:pt idx="45">
                  <c:v>33.700000000000003</c:v>
                </c:pt>
                <c:pt idx="46">
                  <c:v>11.7</c:v>
                </c:pt>
                <c:pt idx="47">
                  <c:v>126.2</c:v>
                </c:pt>
                <c:pt idx="48">
                  <c:v>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19-B54B-B406-FF5087137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8335"/>
        <c:axId val="346937823"/>
      </c:areaChart>
      <c:dateAx>
        <c:axId val="3761833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6937823"/>
        <c:crosses val="autoZero"/>
        <c:auto val="1"/>
        <c:lblOffset val="100"/>
        <c:baseTimeUnit val="months"/>
      </c:dateAx>
      <c:valAx>
        <c:axId val="34693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61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'Yearly Paper Distribution'!$B$1</c:f>
              <c:strCache>
                <c:ptCount val="1"/>
                <c:pt idx="0">
                  <c:v>Non-recycled 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Paper Distribution'!$A$2:$A$15</c:f>
              <c:strCache>
                <c:ptCount val="14"/>
                <c:pt idx="0">
                  <c:v>2011/12</c:v>
                </c:pt>
                <c:pt idx="1">
                  <c:v>2012/13</c:v>
                </c:pt>
                <c:pt idx="2">
                  <c:v>2013/14</c:v>
                </c:pt>
                <c:pt idx="3">
                  <c:v>2014/15</c:v>
                </c:pt>
                <c:pt idx="4">
                  <c:v>2015/16</c:v>
                </c:pt>
                <c:pt idx="5">
                  <c:v>2016/17</c:v>
                </c:pt>
                <c:pt idx="6">
                  <c:v>2017/18</c:v>
                </c:pt>
                <c:pt idx="7">
                  <c:v>2018/19</c:v>
                </c:pt>
                <c:pt idx="8">
                  <c:v>2019/20</c:v>
                </c:pt>
                <c:pt idx="9">
                  <c:v>2020/21</c:v>
                </c:pt>
                <c:pt idx="10">
                  <c:v>2021/22</c:v>
                </c:pt>
                <c:pt idx="11">
                  <c:v>2022/23</c:v>
                </c:pt>
                <c:pt idx="12">
                  <c:v>2023/24</c:v>
                </c:pt>
                <c:pt idx="13">
                  <c:v>2024/25</c:v>
                </c:pt>
              </c:strCache>
            </c:strRef>
          </c:cat>
          <c:val>
            <c:numRef>
              <c:f>'Yearly Paper Distribution'!$B$2:$B$15</c:f>
              <c:numCache>
                <c:formatCode>#,##0</c:formatCode>
                <c:ptCount val="14"/>
                <c:pt idx="0">
                  <c:v>37000000</c:v>
                </c:pt>
                <c:pt idx="1">
                  <c:v>35850000</c:v>
                </c:pt>
                <c:pt idx="2">
                  <c:v>36765000</c:v>
                </c:pt>
                <c:pt idx="3">
                  <c:v>31720000</c:v>
                </c:pt>
                <c:pt idx="4">
                  <c:v>31370000</c:v>
                </c:pt>
                <c:pt idx="5">
                  <c:v>25635000</c:v>
                </c:pt>
                <c:pt idx="6">
                  <c:v>20745000</c:v>
                </c:pt>
                <c:pt idx="7">
                  <c:v>18710000</c:v>
                </c:pt>
                <c:pt idx="8">
                  <c:v>16141000</c:v>
                </c:pt>
                <c:pt idx="9">
                  <c:v>11502000</c:v>
                </c:pt>
                <c:pt idx="10">
                  <c:v>8436000</c:v>
                </c:pt>
                <c:pt idx="11">
                  <c:v>15930000</c:v>
                </c:pt>
                <c:pt idx="12">
                  <c:v>8419000</c:v>
                </c:pt>
                <c:pt idx="13">
                  <c:v>7866000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E-4DDF-B616-AF3F4DE32660}"/>
            </c:ext>
          </c:extLst>
        </c:ser>
        <c:ser>
          <c:idx val="1"/>
          <c:order val="1"/>
          <c:tx>
            <c:strRef>
              <c:f>'Yearly Paper Distribution'!$C$1</c:f>
              <c:strCache>
                <c:ptCount val="1"/>
                <c:pt idx="0">
                  <c:v>Recycled paper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'Yearly Paper Distribution'!$A$2:$A$15</c:f>
              <c:strCache>
                <c:ptCount val="14"/>
                <c:pt idx="0">
                  <c:v>2011/12</c:v>
                </c:pt>
                <c:pt idx="1">
                  <c:v>2012/13</c:v>
                </c:pt>
                <c:pt idx="2">
                  <c:v>2013/14</c:v>
                </c:pt>
                <c:pt idx="3">
                  <c:v>2014/15</c:v>
                </c:pt>
                <c:pt idx="4">
                  <c:v>2015/16</c:v>
                </c:pt>
                <c:pt idx="5">
                  <c:v>2016/17</c:v>
                </c:pt>
                <c:pt idx="6">
                  <c:v>2017/18</c:v>
                </c:pt>
                <c:pt idx="7">
                  <c:v>2018/19</c:v>
                </c:pt>
                <c:pt idx="8">
                  <c:v>2019/20</c:v>
                </c:pt>
                <c:pt idx="9">
                  <c:v>2020/21</c:v>
                </c:pt>
                <c:pt idx="10">
                  <c:v>2021/22</c:v>
                </c:pt>
                <c:pt idx="11">
                  <c:v>2022/23</c:v>
                </c:pt>
                <c:pt idx="12">
                  <c:v>2023/24</c:v>
                </c:pt>
                <c:pt idx="13">
                  <c:v>2024/25</c:v>
                </c:pt>
              </c:strCache>
            </c:strRef>
          </c:cat>
          <c:val>
            <c:numRef>
              <c:f>'Yearly Paper Distribution'!$C$2:$C$15</c:f>
              <c:numCache>
                <c:formatCode>#,##0</c:formatCode>
                <c:ptCount val="14"/>
                <c:pt idx="0">
                  <c:v>3265000</c:v>
                </c:pt>
                <c:pt idx="1">
                  <c:v>6890000</c:v>
                </c:pt>
                <c:pt idx="2">
                  <c:v>6775000</c:v>
                </c:pt>
                <c:pt idx="3">
                  <c:v>7600000</c:v>
                </c:pt>
                <c:pt idx="4">
                  <c:v>7510000</c:v>
                </c:pt>
                <c:pt idx="5">
                  <c:v>12510000</c:v>
                </c:pt>
                <c:pt idx="6">
                  <c:v>15195000</c:v>
                </c:pt>
                <c:pt idx="7">
                  <c:v>15330000</c:v>
                </c:pt>
                <c:pt idx="8">
                  <c:v>8040000</c:v>
                </c:pt>
                <c:pt idx="9">
                  <c:v>4546000</c:v>
                </c:pt>
                <c:pt idx="10">
                  <c:v>11032000</c:v>
                </c:pt>
                <c:pt idx="11">
                  <c:v>4408000</c:v>
                </c:pt>
                <c:pt idx="12">
                  <c:v>5395000</c:v>
                </c:pt>
                <c:pt idx="13">
                  <c:v>7508000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CE-4DDF-B616-AF3F4DE32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50021895"/>
        <c:axId val="1250023943"/>
      </c:barChart>
      <c:catAx>
        <c:axId val="1250021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0023943"/>
        <c:crosses val="autoZero"/>
        <c:auto val="1"/>
        <c:lblAlgn val="ctr"/>
        <c:lblOffset val="100"/>
        <c:noMultiLvlLbl val="0"/>
      </c:catAx>
      <c:valAx>
        <c:axId val="1250023943"/>
        <c:scaling>
          <c:orientation val="minMax"/>
          <c:max val="4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 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002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830318</xdr:colOff>
      <xdr:row>81</xdr:row>
      <xdr:rowOff>158319</xdr:rowOff>
    </xdr:from>
    <xdr:to>
      <xdr:col>7</xdr:col>
      <xdr:colOff>707887</xdr:colOff>
      <xdr:row>117</xdr:row>
      <xdr:rowOff>153035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3735AF-8EB8-A223-F952-5148E3876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3834</xdr:colOff>
      <xdr:row>14</xdr:row>
      <xdr:rowOff>5708</xdr:rowOff>
    </xdr:from>
    <xdr:to>
      <xdr:col>15</xdr:col>
      <xdr:colOff>466444</xdr:colOff>
      <xdr:row>39</xdr:row>
      <xdr:rowOff>143819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6DBA03-FB5D-DC30-9A4F-2AD39A428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27021</xdr:colOff>
      <xdr:row>58</xdr:row>
      <xdr:rowOff>196716</xdr:rowOff>
    </xdr:from>
    <xdr:to>
      <xdr:col>33</xdr:col>
      <xdr:colOff>1364573</xdr:colOff>
      <xdr:row>83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7ADD56-70DF-DB41-A5D2-30CC54F4C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391160</xdr:colOff>
      <xdr:row>0</xdr:row>
      <xdr:rowOff>0</xdr:rowOff>
    </xdr:from>
    <xdr:to>
      <xdr:col>59</xdr:col>
      <xdr:colOff>650240</xdr:colOff>
      <xdr:row>21</xdr:row>
      <xdr:rowOff>142240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1BC4C207-66F3-1C03-1E2C-6A71AED75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377473</xdr:colOff>
      <xdr:row>22</xdr:row>
      <xdr:rowOff>30689</xdr:rowOff>
    </xdr:from>
    <xdr:to>
      <xdr:col>60</xdr:col>
      <xdr:colOff>8820</xdr:colOff>
      <xdr:row>42</xdr:row>
      <xdr:rowOff>149930</xdr:rowOff>
    </xdr:to>
    <xdr:graphicFrame macro="">
      <xdr:nvGraphicFramePr>
        <xdr:cNvPr id="38" name="Chart 8">
          <a:extLst>
            <a:ext uri="{FF2B5EF4-FFF2-40B4-BE49-F238E27FC236}">
              <a16:creationId xmlns:a16="http://schemas.microsoft.com/office/drawing/2014/main" id="{8CAD27F7-8948-2ACA-556A-9AE42C31E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2059</xdr:colOff>
      <xdr:row>43</xdr:row>
      <xdr:rowOff>201587</xdr:rowOff>
    </xdr:from>
    <xdr:to>
      <xdr:col>47</xdr:col>
      <xdr:colOff>117969</xdr:colOff>
      <xdr:row>69</xdr:row>
      <xdr:rowOff>27586</xdr:rowOff>
    </xdr:to>
    <xdr:grpSp>
      <xdr:nvGrpSpPr>
        <xdr:cNvPr id="49" name="Group 13">
          <a:extLst>
            <a:ext uri="{FF2B5EF4-FFF2-40B4-BE49-F238E27FC236}">
              <a16:creationId xmlns:a16="http://schemas.microsoft.com/office/drawing/2014/main" id="{FEFBC6AE-2BDC-DB4F-B142-717EE83F63F9}"/>
            </a:ext>
          </a:extLst>
        </xdr:cNvPr>
        <xdr:cNvGrpSpPr/>
      </xdr:nvGrpSpPr>
      <xdr:grpSpPr>
        <a:xfrm>
          <a:off x="35917659" y="9599587"/>
          <a:ext cx="8840810" cy="5109199"/>
          <a:chOff x="62600417" y="10054167"/>
          <a:chExt cx="8972691" cy="5098767"/>
        </a:xfrm>
      </xdr:grpSpPr>
      <xdr:grpSp>
        <xdr:nvGrpSpPr>
          <xdr:cNvPr id="50" name="Group 14">
            <a:extLst>
              <a:ext uri="{FF2B5EF4-FFF2-40B4-BE49-F238E27FC236}">
                <a16:creationId xmlns:a16="http://schemas.microsoft.com/office/drawing/2014/main" id="{E5DB388F-DD3B-9453-8F4B-DE1AF7C8DAB1}"/>
              </a:ext>
            </a:extLst>
          </xdr:cNvPr>
          <xdr:cNvGrpSpPr/>
        </xdr:nvGrpSpPr>
        <xdr:grpSpPr>
          <a:xfrm>
            <a:off x="62600417" y="10054167"/>
            <a:ext cx="8972691" cy="5098767"/>
            <a:chOff x="59839930" y="9719028"/>
            <a:chExt cx="8972692" cy="5098767"/>
          </a:xfrm>
        </xdr:grpSpPr>
        <xdr:graphicFrame macro="">
          <xdr:nvGraphicFramePr>
            <xdr:cNvPr id="51" name="Chart 6">
              <a:extLst>
                <a:ext uri="{FF2B5EF4-FFF2-40B4-BE49-F238E27FC236}">
                  <a16:creationId xmlns:a16="http://schemas.microsoft.com/office/drawing/2014/main" id="{46B60CDA-AFF5-A92E-C28E-3462A23798C3}"/>
                </a:ext>
              </a:extLst>
            </xdr:cNvPr>
            <xdr:cNvGraphicFramePr>
              <a:graphicFrameLocks/>
            </xdr:cNvGraphicFramePr>
          </xdr:nvGraphicFramePr>
          <xdr:xfrm>
            <a:off x="59839930" y="9719028"/>
            <a:ext cx="8972692" cy="509876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52" name="TextBox 17">
              <a:extLst>
                <a:ext uri="{FF2B5EF4-FFF2-40B4-BE49-F238E27FC236}">
                  <a16:creationId xmlns:a16="http://schemas.microsoft.com/office/drawing/2014/main" id="{0BDD80A9-1A64-DAA6-D541-0A46F1162BD8}"/>
                </a:ext>
              </a:extLst>
            </xdr:cNvPr>
            <xdr:cNvSpPr txBox="1"/>
          </xdr:nvSpPr>
          <xdr:spPr>
            <a:xfrm>
              <a:off x="63414912" y="11517950"/>
              <a:ext cx="70064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1400" b="1">
                  <a:solidFill>
                    <a:srgbClr val="00B050"/>
                  </a:solidFill>
                </a:rPr>
                <a:t>↓ 40%</a:t>
              </a:r>
            </a:p>
          </xdr:txBody>
        </xdr:sp>
        <xdr:sp macro="" textlink="">
          <xdr:nvSpPr>
            <xdr:cNvPr id="53" name="TextBox 18">
              <a:extLst>
                <a:ext uri="{FF2B5EF4-FFF2-40B4-BE49-F238E27FC236}">
                  <a16:creationId xmlns:a16="http://schemas.microsoft.com/office/drawing/2014/main" id="{06B42CE2-4F95-3FFD-FFD4-C80C6C7B1563}"/>
                </a:ext>
              </a:extLst>
            </xdr:cNvPr>
            <xdr:cNvSpPr txBox="1"/>
          </xdr:nvSpPr>
          <xdr:spPr>
            <a:xfrm>
              <a:off x="64929570" y="11882403"/>
              <a:ext cx="70064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1400" b="1">
                  <a:solidFill>
                    <a:srgbClr val="00B050"/>
                  </a:solidFill>
                </a:rPr>
                <a:t>↓ 50%</a:t>
              </a:r>
            </a:p>
          </xdr:txBody>
        </xdr:sp>
        <xdr:sp macro="" textlink="">
          <xdr:nvSpPr>
            <xdr:cNvPr id="54" name="TextBox 19">
              <a:extLst>
                <a:ext uri="{FF2B5EF4-FFF2-40B4-BE49-F238E27FC236}">
                  <a16:creationId xmlns:a16="http://schemas.microsoft.com/office/drawing/2014/main" id="{C22111FC-403F-58CF-9AFE-25D9B463CAFD}"/>
                </a:ext>
              </a:extLst>
            </xdr:cNvPr>
            <xdr:cNvSpPr txBox="1"/>
          </xdr:nvSpPr>
          <xdr:spPr>
            <a:xfrm>
              <a:off x="60369088" y="14349237"/>
              <a:ext cx="631904" cy="4053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GB" sz="1000" b="1">
                  <a:solidFill>
                    <a:srgbClr val="00B050"/>
                  </a:solidFill>
                </a:rPr>
                <a:t>Baseline</a:t>
              </a:r>
            </a:p>
            <a:p>
              <a:pPr algn="ctr"/>
              <a:r>
                <a:rPr lang="en-GB" sz="1000" b="1">
                  <a:solidFill>
                    <a:srgbClr val="00B050"/>
                  </a:solidFill>
                </a:rPr>
                <a:t>Year</a:t>
              </a:r>
            </a:p>
          </xdr:txBody>
        </xdr:sp>
        <xdr:sp macro="" textlink="">
          <xdr:nvSpPr>
            <xdr:cNvPr id="55" name="TextBox 20">
              <a:extLst>
                <a:ext uri="{FF2B5EF4-FFF2-40B4-BE49-F238E27FC236}">
                  <a16:creationId xmlns:a16="http://schemas.microsoft.com/office/drawing/2014/main" id="{0251F612-29A0-56AF-6F62-3D3EDF0FA49E}"/>
                </a:ext>
              </a:extLst>
            </xdr:cNvPr>
            <xdr:cNvSpPr txBox="1"/>
          </xdr:nvSpPr>
          <xdr:spPr>
            <a:xfrm>
              <a:off x="67142421" y="14366877"/>
              <a:ext cx="686726" cy="4053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GB" sz="1000" b="1">
                  <a:solidFill>
                    <a:srgbClr val="00B050"/>
                  </a:solidFill>
                </a:rPr>
                <a:t>Net-Zero</a:t>
              </a:r>
              <a:r>
                <a:rPr lang="en-GB" sz="1000" b="1" baseline="0">
                  <a:solidFill>
                    <a:srgbClr val="00B050"/>
                  </a:solidFill>
                </a:rPr>
                <a:t> </a:t>
              </a:r>
            </a:p>
            <a:p>
              <a:pPr algn="ctr"/>
              <a:r>
                <a:rPr lang="en-GB" sz="1000" b="1">
                  <a:solidFill>
                    <a:srgbClr val="00B050"/>
                  </a:solidFill>
                </a:rPr>
                <a:t>Year</a:t>
              </a:r>
            </a:p>
          </xdr:txBody>
        </xdr:sp>
      </xdr:grpSp>
      <xdr:sp macro="" textlink="">
        <xdr:nvSpPr>
          <xdr:cNvPr id="56" name="TextBox 15">
            <a:extLst>
              <a:ext uri="{FF2B5EF4-FFF2-40B4-BE49-F238E27FC236}">
                <a16:creationId xmlns:a16="http://schemas.microsoft.com/office/drawing/2014/main" id="{FCEC479C-7B8A-2C4C-FF1B-5EFDD8DFC2F2}"/>
              </a:ext>
            </a:extLst>
          </xdr:cNvPr>
          <xdr:cNvSpPr txBox="1"/>
        </xdr:nvSpPr>
        <xdr:spPr>
          <a:xfrm>
            <a:off x="65334021" y="11575181"/>
            <a:ext cx="700641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GB" sz="1400" b="1">
                <a:solidFill>
                  <a:srgbClr val="00B050"/>
                </a:solidFill>
              </a:rPr>
              <a:t>↓ 32%</a:t>
            </a:r>
          </a:p>
        </xdr:txBody>
      </xdr:sp>
    </xdr:grpSp>
    <xdr:clientData/>
  </xdr:twoCellAnchor>
  <xdr:twoCellAnchor>
    <xdr:from>
      <xdr:col>29</xdr:col>
      <xdr:colOff>11044</xdr:colOff>
      <xdr:row>19</xdr:row>
      <xdr:rowOff>149086</xdr:rowOff>
    </xdr:from>
    <xdr:to>
      <xdr:col>33</xdr:col>
      <xdr:colOff>1371600</xdr:colOff>
      <xdr:row>55</xdr:row>
      <xdr:rowOff>190500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F51D4D94-94B0-CC92-CA72-1247095A5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109220</xdr:colOff>
      <xdr:row>14</xdr:row>
      <xdr:rowOff>167640</xdr:rowOff>
    </xdr:from>
    <xdr:to>
      <xdr:col>7</xdr:col>
      <xdr:colOff>858520</xdr:colOff>
      <xdr:row>51</xdr:row>
      <xdr:rowOff>8890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2C98992-AE16-F908-EF89-7A631F6D797D}"/>
            </a:ext>
            <a:ext uri="{147F2762-F138-4A5C-976F-8EAC2B608ADB}">
              <a16:predDERef xmlns:a16="http://schemas.microsoft.com/office/drawing/2014/main" pred="{F51D4D94-94B0-CC92-CA72-1247095A5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139700</xdr:colOff>
      <xdr:row>51</xdr:row>
      <xdr:rowOff>165100</xdr:rowOff>
    </xdr:from>
    <xdr:to>
      <xdr:col>7</xdr:col>
      <xdr:colOff>901700</xdr:colOff>
      <xdr:row>88</xdr:row>
      <xdr:rowOff>25400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78FDA2A8-5930-D165-0E5B-9A3508FCF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5700" y="11188700"/>
          <a:ext cx="6883400" cy="737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869950</xdr:colOff>
      <xdr:row>3</xdr:row>
      <xdr:rowOff>12700</xdr:rowOff>
    </xdr:from>
    <xdr:to>
      <xdr:col>19</xdr:col>
      <xdr:colOff>12700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BED844-83F4-2BC9-C815-41A87228B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1559010</xdr:colOff>
      <xdr:row>21</xdr:row>
      <xdr:rowOff>186380</xdr:rowOff>
    </xdr:from>
    <xdr:to>
      <xdr:col>12</xdr:col>
      <xdr:colOff>0</xdr:colOff>
      <xdr:row>46</xdr:row>
      <xdr:rowOff>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1A4E96B3-4F4D-DF6C-648C-55FC28961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1528</xdr:colOff>
      <xdr:row>21</xdr:row>
      <xdr:rowOff>160980</xdr:rowOff>
    </xdr:from>
    <xdr:to>
      <xdr:col>20</xdr:col>
      <xdr:colOff>0</xdr:colOff>
      <xdr:row>45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00955-CC04-AC9B-FE9B-F3976335C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4053</xdr:colOff>
      <xdr:row>9</xdr:row>
      <xdr:rowOff>175365</xdr:rowOff>
    </xdr:from>
    <xdr:to>
      <xdr:col>9</xdr:col>
      <xdr:colOff>13510</xdr:colOff>
      <xdr:row>38</xdr:row>
      <xdr:rowOff>13510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62326B-B064-62EC-A3B9-E46DC161F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984250</xdr:colOff>
      <xdr:row>7</xdr:row>
      <xdr:rowOff>12700</xdr:rowOff>
    </xdr:from>
    <xdr:to>
      <xdr:col>10</xdr:col>
      <xdr:colOff>596900</xdr:colOff>
      <xdr:row>34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2E71990-D484-4B09-E6C3-B82E0B92F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</xdr:row>
      <xdr:rowOff>133350</xdr:rowOff>
    </xdr:from>
    <xdr:to>
      <xdr:col>18</xdr:col>
      <xdr:colOff>152400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D81E63-484E-EC9A-2403-633A329D7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254005</xdr:colOff>
      <xdr:row>16</xdr:row>
      <xdr:rowOff>14118</xdr:rowOff>
    </xdr:from>
    <xdr:to>
      <xdr:col>21</xdr:col>
      <xdr:colOff>38100</xdr:colOff>
      <xdr:row>49</xdr:row>
      <xdr:rowOff>38100</xdr:rowOff>
    </xdr:to>
    <xdr:graphicFrame macro="">
      <xdr:nvGraphicFramePr>
        <xdr:cNvPr id="193" name="Chart 3">
          <a:extLst>
            <a:ext uri="{FF2B5EF4-FFF2-40B4-BE49-F238E27FC236}">
              <a16:creationId xmlns:a16="http://schemas.microsoft.com/office/drawing/2014/main" id="{8B58BA0A-ACC2-FE70-9FEB-AD97EAA83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64</xdr:row>
      <xdr:rowOff>152400</xdr:rowOff>
    </xdr:from>
    <xdr:to>
      <xdr:col>10</xdr:col>
      <xdr:colOff>558800</xdr:colOff>
      <xdr:row>78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DB037-8E4E-EE43-8EC2-A3EE2617B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64</xdr:row>
      <xdr:rowOff>152400</xdr:rowOff>
    </xdr:from>
    <xdr:to>
      <xdr:col>10</xdr:col>
      <xdr:colOff>558800</xdr:colOff>
      <xdr:row>78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F71192-90CF-79CD-C4BD-758AEEC8F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224517</xdr:colOff>
      <xdr:row>12</xdr:row>
      <xdr:rowOff>171449</xdr:rowOff>
    </xdr:from>
    <xdr:to>
      <xdr:col>30</xdr:col>
      <xdr:colOff>485774</xdr:colOff>
      <xdr:row>33</xdr:row>
      <xdr:rowOff>195694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73BDBFF-FE56-7C97-72B4-C3120BE305BE}"/>
            </a:ext>
            <a:ext uri="{147F2762-F138-4A5C-976F-8EAC2B608ADB}">
              <a16:predDERef xmlns:a16="http://schemas.microsoft.com/office/drawing/2014/main" pred="{479FE847-42FF-5940-385F-2C03C9816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387350</xdr:colOff>
      <xdr:row>16</xdr:row>
      <xdr:rowOff>25400</xdr:rowOff>
    </xdr:from>
    <xdr:to>
      <xdr:col>11</xdr:col>
      <xdr:colOff>76200</xdr:colOff>
      <xdr:row>45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C321B-0066-2A55-CEA0-4B51E76B0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9</xdr:row>
      <xdr:rowOff>38100</xdr:rowOff>
    </xdr:from>
    <xdr:to>
      <xdr:col>8</xdr:col>
      <xdr:colOff>787400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08909-FAD5-A760-4371-36049FB2E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50800</xdr:rowOff>
    </xdr:from>
    <xdr:to>
      <xdr:col>8</xdr:col>
      <xdr:colOff>711200</xdr:colOff>
      <xdr:row>55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A3E7F1-6F4C-B03C-E688-72F06178A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207829</xdr:colOff>
      <xdr:row>51</xdr:row>
      <xdr:rowOff>166255</xdr:rowOff>
    </xdr:from>
    <xdr:to>
      <xdr:col>17</xdr:col>
      <xdr:colOff>290957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86A98F-91BB-74DA-01D7-00D4C6D46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22983</xdr:colOff>
      <xdr:row>15</xdr:row>
      <xdr:rowOff>4678</xdr:rowOff>
    </xdr:from>
    <xdr:to>
      <xdr:col>8</xdr:col>
      <xdr:colOff>182567</xdr:colOff>
      <xdr:row>36</xdr:row>
      <xdr:rowOff>60025</xdr:rowOff>
    </xdr:to>
    <xdr:graphicFrame macro="">
      <xdr:nvGraphicFramePr>
        <xdr:cNvPr id="28" name="Chart 3">
          <a:extLst>
            <a:ext uri="{FF2B5EF4-FFF2-40B4-BE49-F238E27FC236}">
              <a16:creationId xmlns:a16="http://schemas.microsoft.com/office/drawing/2014/main" id="{BB557A49-AF5A-E7C4-ED33-174185495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652208</xdr:colOff>
      <xdr:row>82</xdr:row>
      <xdr:rowOff>78468</xdr:rowOff>
    </xdr:from>
    <xdr:to>
      <xdr:col>12</xdr:col>
      <xdr:colOff>285846</xdr:colOff>
      <xdr:row>115</xdr:row>
      <xdr:rowOff>104294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59168C13-B76E-65D4-81F9-060042A8A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480000</xdr:colOff>
      <xdr:row>17</xdr:row>
      <xdr:rowOff>0</xdr:rowOff>
    </xdr:from>
    <xdr:to>
      <xdr:col>48</xdr:col>
      <xdr:colOff>532741</xdr:colOff>
      <xdr:row>42</xdr:row>
      <xdr:rowOff>52760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4BB24-5C13-C6D5-A349-9F90A39CA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9242</xdr:colOff>
      <xdr:row>16</xdr:row>
      <xdr:rowOff>177806</xdr:rowOff>
    </xdr:from>
    <xdr:to>
      <xdr:col>12</xdr:col>
      <xdr:colOff>622299</xdr:colOff>
      <xdr:row>49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AF7B85-75E6-13A0-33A6-E8AD2FE75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73660</xdr:colOff>
      <xdr:row>1</xdr:row>
      <xdr:rowOff>76200</xdr:rowOff>
    </xdr:from>
    <xdr:to>
      <xdr:col>11</xdr:col>
      <xdr:colOff>990600</xdr:colOff>
      <xdr:row>23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B113E0-F540-3FC3-9FEE-6143F1BFC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1003300</xdr:colOff>
      <xdr:row>6</xdr:row>
      <xdr:rowOff>25406</xdr:rowOff>
    </xdr:from>
    <xdr:to>
      <xdr:col>25</xdr:col>
      <xdr:colOff>203200</xdr:colOff>
      <xdr:row>21</xdr:row>
      <xdr:rowOff>88900</xdr:rowOff>
    </xdr:to>
    <xdr:graphicFrame macro="">
      <xdr:nvGraphicFramePr>
        <xdr:cNvPr id="405" name="Chart 1">
          <a:extLst>
            <a:ext uri="{FF2B5EF4-FFF2-40B4-BE49-F238E27FC236}">
              <a16:creationId xmlns:a16="http://schemas.microsoft.com/office/drawing/2014/main" id="{BFC3A04E-FE42-337F-0141-0D7A49137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533400</xdr:colOff>
      <xdr:row>6</xdr:row>
      <xdr:rowOff>12706</xdr:rowOff>
    </xdr:from>
    <xdr:to>
      <xdr:col>29</xdr:col>
      <xdr:colOff>1104900</xdr:colOff>
      <xdr:row>21</xdr:row>
      <xdr:rowOff>88900</xdr:rowOff>
    </xdr:to>
    <xdr:graphicFrame macro="">
      <xdr:nvGraphicFramePr>
        <xdr:cNvPr id="408" name="Chart 3">
          <a:extLst>
            <a:ext uri="{FF2B5EF4-FFF2-40B4-BE49-F238E27FC236}">
              <a16:creationId xmlns:a16="http://schemas.microsoft.com/office/drawing/2014/main" id="{802DC1E6-A872-B200-2025-105E437E0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190500</xdr:colOff>
      <xdr:row>4</xdr:row>
      <xdr:rowOff>12706</xdr:rowOff>
    </xdr:from>
    <xdr:to>
      <xdr:col>48</xdr:col>
      <xdr:colOff>711200</xdr:colOff>
      <xdr:row>21</xdr:row>
      <xdr:rowOff>165100</xdr:rowOff>
    </xdr:to>
    <xdr:graphicFrame macro="">
      <xdr:nvGraphicFramePr>
        <xdr:cNvPr id="384" name="Chart 4">
          <a:extLst>
            <a:ext uri="{FF2B5EF4-FFF2-40B4-BE49-F238E27FC236}">
              <a16:creationId xmlns:a16="http://schemas.microsoft.com/office/drawing/2014/main" id="{9B0F86F6-1E77-9DA3-20D2-69BC26B1F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60</xdr:col>
      <xdr:colOff>469900</xdr:colOff>
      <xdr:row>1</xdr:row>
      <xdr:rowOff>88906</xdr:rowOff>
    </xdr:from>
    <xdr:to>
      <xdr:col>66</xdr:col>
      <xdr:colOff>508000</xdr:colOff>
      <xdr:row>19</xdr:row>
      <xdr:rowOff>12700</xdr:rowOff>
    </xdr:to>
    <xdr:graphicFrame macro="">
      <xdr:nvGraphicFramePr>
        <xdr:cNvPr id="417" name="Chart 5">
          <a:extLst>
            <a:ext uri="{FF2B5EF4-FFF2-40B4-BE49-F238E27FC236}">
              <a16:creationId xmlns:a16="http://schemas.microsoft.com/office/drawing/2014/main" id="{17701316-D1FF-DCB0-8051-38620E96A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60</xdr:col>
      <xdr:colOff>469900</xdr:colOff>
      <xdr:row>19</xdr:row>
      <xdr:rowOff>190506</xdr:rowOff>
    </xdr:from>
    <xdr:to>
      <xdr:col>66</xdr:col>
      <xdr:colOff>533400</xdr:colOff>
      <xdr:row>37</xdr:row>
      <xdr:rowOff>152400</xdr:rowOff>
    </xdr:to>
    <xdr:graphicFrame macro="">
      <xdr:nvGraphicFramePr>
        <xdr:cNvPr id="429" name="Chart 6">
          <a:extLst>
            <a:ext uri="{FF2B5EF4-FFF2-40B4-BE49-F238E27FC236}">
              <a16:creationId xmlns:a16="http://schemas.microsoft.com/office/drawing/2014/main" id="{773414FB-FFAC-DCF5-6365-8CB4E1D9F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215900</xdr:colOff>
      <xdr:row>22</xdr:row>
      <xdr:rowOff>63506</xdr:rowOff>
    </xdr:from>
    <xdr:to>
      <xdr:col>48</xdr:col>
      <xdr:colOff>711200</xdr:colOff>
      <xdr:row>39</xdr:row>
      <xdr:rowOff>114300</xdr:rowOff>
    </xdr:to>
    <xdr:graphicFrame macro="">
      <xdr:nvGraphicFramePr>
        <xdr:cNvPr id="403" name="Chart 8">
          <a:extLst>
            <a:ext uri="{FF2B5EF4-FFF2-40B4-BE49-F238E27FC236}">
              <a16:creationId xmlns:a16="http://schemas.microsoft.com/office/drawing/2014/main" id="{D3A81E01-67D5-72FB-B4DD-D32AFC235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398780</xdr:colOff>
      <xdr:row>5</xdr:row>
      <xdr:rowOff>59690</xdr:rowOff>
    </xdr:from>
    <xdr:to>
      <xdr:col>14</xdr:col>
      <xdr:colOff>261620</xdr:colOff>
      <xdr:row>20</xdr:row>
      <xdr:rowOff>59690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4D10E-BF73-EE79-BFDE-F83B36C48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810260</xdr:colOff>
      <xdr:row>4</xdr:row>
      <xdr:rowOff>67310</xdr:rowOff>
    </xdr:from>
    <xdr:to>
      <xdr:col>16</xdr:col>
      <xdr:colOff>673100</xdr:colOff>
      <xdr:row>19</xdr:row>
      <xdr:rowOff>67310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4F0BB-4AA1-25BD-8273-6DA032A47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36461</xdr:colOff>
      <xdr:row>127</xdr:row>
      <xdr:rowOff>167500</xdr:rowOff>
    </xdr:from>
    <xdr:to>
      <xdr:col>17</xdr:col>
      <xdr:colOff>262538</xdr:colOff>
      <xdr:row>150</xdr:row>
      <xdr:rowOff>180613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F494C79-BCB0-FAE3-4EF6-D95651C6C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64576</xdr:colOff>
      <xdr:row>152</xdr:row>
      <xdr:rowOff>645</xdr:rowOff>
    </xdr:from>
    <xdr:to>
      <xdr:col>6</xdr:col>
      <xdr:colOff>1042905</xdr:colOff>
      <xdr:row>167</xdr:row>
      <xdr:rowOff>139913</xdr:rowOff>
    </xdr:to>
    <xdr:graphicFrame macro="">
      <xdr:nvGraphicFramePr>
        <xdr:cNvPr id="33" name="Chart 1">
          <a:extLst>
            <a:ext uri="{FF2B5EF4-FFF2-40B4-BE49-F238E27FC236}">
              <a16:creationId xmlns:a16="http://schemas.microsoft.com/office/drawing/2014/main" id="{120675DF-BFAC-13B5-DF08-81EAA727E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406400</xdr:colOff>
      <xdr:row>111</xdr:row>
      <xdr:rowOff>30480</xdr:rowOff>
    </xdr:from>
    <xdr:to>
      <xdr:col>28</xdr:col>
      <xdr:colOff>0</xdr:colOff>
      <xdr:row>132</xdr:row>
      <xdr:rowOff>203199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167F40-F3B3-9A0A-655F-C0FA838FA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13511</xdr:colOff>
      <xdr:row>5</xdr:row>
      <xdr:rowOff>22881</xdr:rowOff>
    </xdr:from>
    <xdr:to>
      <xdr:col>15</xdr:col>
      <xdr:colOff>0</xdr:colOff>
      <xdr:row>41</xdr:row>
      <xdr:rowOff>189147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B28A2-CE00-D95C-B737-F9FFBAFEE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eri TAN" id="{5E674B0A-7174-F64A-87F6-0DEAF666D9C4}" userId="S::teritan@ust.hk::fdbe55a3-6283-4647-b331-fdd08419a017" providerId="AD"/>
  <person displayName="Kin Ming CHUI" id="{86533C91-3626-F747-A6D0-B9006EEB8AB0}" userId="S::eokmchui@ust.hk::35cdcb79-f0d7-4788-9aa9-c6dff20fbd48" providerId="AD"/>
  <person displayName="Louis Law" id="{3755386D-89B5-DA48-87BF-491797B92A51}" userId="S::louislaw@ust.hk::16f2ced0-85e2-430b-9b97-9f8a7204a74c" providerId="AD"/>
  <person displayName="MAKALINAO Constancia Maria Panganiban" id="{E5A5185B-5DC6-A34D-B229-89FBC887B204}" userId="S::cmpmakalinao@connect.ust.hk::d93ddac7-8c05-417e-9092-61a164e6161e" providerId="AD"/>
  <person displayName="MAKALINAO Constancia Maria Panganiban" id="{E84AD44B-5929-324A-9497-3536122BE7BB}" userId="S::cmpmakalinao_connect.ust.hk#ext#@gohkust.onmicrosoft.com::93ad9fcc-12cc-40ba-aa11-a133c7d6e59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0-23T03:27:46.45" personId="{E5A5185B-5DC6-A34D-B229-89FBC887B204}" id="{B57B95DE-52C6-434D-8FD7-7634516B8186}">
    <text>Total energy consumption at hkust over the years</text>
  </threadedComment>
  <threadedComment ref="J1" dT="2024-10-23T03:28:03.93" personId="{E5A5185B-5DC6-A34D-B229-89FBC887B204}" id="{B60DC7FA-42A8-2A41-876E-686E1A396DAA}">
    <text>Renewable energy generation compared to electricity consumption</text>
  </threadedComment>
  <threadedComment ref="R1" dT="2024-10-23T03:28:17.37" personId="{E5A5185B-5DC6-A34D-B229-89FBC887B204}" id="{7D74E682-18A8-C248-B3A1-606A50FA46AF}">
    <text>Electricity breakdown (percentages)</text>
  </threadedComment>
  <threadedComment ref="AD1" dT="2024-10-23T03:28:34.19" personId="{E5A5185B-5DC6-A34D-B229-89FBC887B204}" id="{C770E971-FEBD-874C-9477-EBF1BD17BAE4}">
    <text>Scope 1&amp;2 ghg emissions trend</text>
  </threadedComment>
  <threadedComment ref="AJ1" dT="2024-10-23T03:28:46.09" personId="{E5A5185B-5DC6-A34D-B229-89FBC887B204}" id="{89C2378F-F608-1142-B77E-B11490FFD645}">
    <text>Qs ghg projection</text>
  </threadedComment>
  <threadedComment ref="AK7" dT="2024-03-19T04:05:31.28" personId="{5E674B0A-7174-F64A-87F6-0DEAF666D9C4}" id="{0B97FBF9-6C5A-1E41-8577-7B63501DA758}">
    <text xml:space="preserve">Including renewables
</text>
  </threadedComment>
  <threadedComment ref="AL7" dT="2024-03-19T04:05:31.28" personId="{5E674B0A-7174-F64A-87F6-0DEAF666D9C4}" id="{9F5A5A92-B4FE-414F-973D-96DE8A0F1983}">
    <text xml:space="preserve">Including renewables
</text>
  </threadedComment>
  <threadedComment ref="AK8" dT="2024-03-19T04:05:39.96" personId="{5E674B0A-7174-F64A-87F6-0DEAF666D9C4}" id="{AC0CDA43-9164-D84E-B322-E6B9F5EFC117}">
    <text>Including renewables</text>
  </threadedComment>
  <threadedComment ref="AL8" dT="2024-03-19T04:05:39.96" personId="{5E674B0A-7174-F64A-87F6-0DEAF666D9C4}" id="{639957F4-86F8-E54F-931F-18F8AFC1B342}">
    <text>Including renewables</text>
  </threadedComment>
  <threadedComment ref="AK9" dT="2024-03-19T04:05:50.52" personId="{5E674B0A-7174-F64A-87F6-0DEAF666D9C4}" id="{F3BB8912-4293-0D4A-AA46-28E8B394197C}">
    <text>Including renewables</text>
  </threadedComment>
  <threadedComment ref="AL9" dT="2024-03-19T04:05:50.52" personId="{5E674B0A-7174-F64A-87F6-0DEAF666D9C4}" id="{AD4AE63A-F0D9-3C40-9E9C-04D60CF9D014}">
    <text>Including renewables</text>
  </threadedComment>
  <threadedComment ref="AK10" dT="2024-03-19T04:06:00.55" personId="{5E674B0A-7174-F64A-87F6-0DEAF666D9C4}" id="{404D9BFB-315F-0B47-A241-D5C95D2A649A}">
    <text>Including renewables</text>
  </threadedComment>
  <threadedComment ref="AL10" dT="2024-03-19T04:06:00.55" personId="{5E674B0A-7174-F64A-87F6-0DEAF666D9C4}" id="{BA37FC5F-08FE-1C41-9ABB-967DDD76BF03}">
    <text>Including renewables</text>
  </threadedComment>
  <threadedComment ref="AK11" dT="2025-09-18T03:41:18.90" personId="{E5A5185B-5DC6-A34D-B229-89FBC887B204}" id="{0A88D4E5-AD74-1045-9D8A-E760A55ABD6B}">
    <text>Including renewables</text>
  </threadedComment>
  <threadedComment ref="AJ16" dT="2024-03-11T09:30:30.87" personId="{E5A5185B-5DC6-A34D-B229-89FBC887B204}" id="{4E3DC510-5DE2-A049-B80C-10265817CD7E}">
    <text>40% Reduction Target</text>
  </threadedComment>
  <threadedComment ref="AJ23" dT="2024-03-11T09:30:37.48" personId="{E5A5185B-5DC6-A34D-B229-89FBC887B204}" id="{5EE27B46-5500-4347-81DC-A2E8B10AD591}">
    <text>50% Reduction Target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5-03-10T06:41:23.21" personId="{E5A5185B-5DC6-A34D-B229-89FBC887B204}" id="{DF7057FB-D4CC-C443-BD41-C52D73ADAD20}">
    <text>New building</text>
  </threadedComment>
  <threadedComment ref="T1" dT="2024-10-19T07:03:10.21" personId="{86533C91-3626-F747-A6D0-B9006EEB8AB0}" id="{1A477B7F-F4AC-E64E-B99E-B0F62068970E}">
    <text>EC-20 &amp; EC-21</text>
  </threadedComment>
  <threadedComment ref="AD1" dT="2025-09-18T01:29:39.28" personId="{E5A5185B-5DC6-A34D-B229-89FBC887B204}" id="{D0FD46A5-8E7F-CA48-A254-7D1EE3E39E95}">
    <text>not included in student housing, need to add when talking about student housing</text>
  </threadedComment>
  <threadedComment ref="AD1" dT="2026-05-14T04:06:35.88" personId="{E5A5185B-5DC6-A34D-B229-89FBC887B204}" id="{C647B3B8-E72C-5743-87AC-AE7BF9212511}" parentId="{D0FD46A5-8E7F-CA48-A254-7D1EE3E39E95}">
    <text>Currently not included in the CLP total.</text>
  </threadedComment>
  <threadedComment ref="AE1" dT="2025-03-25T02:27:36.03" personId="{3755386D-89B5-DA48-87BF-491797B92A51}" id="{AAC2E27F-12B4-814A-B0BA-9AA3A3785456}">
    <text xml:space="preserve">HPC4
</text>
  </threadedComment>
  <threadedComment ref="AE1" dT="2025-09-18T01:29:58.05" personId="{E5A5185B-5DC6-A34D-B229-89FBC887B204}" id="{19586B35-0445-B441-A4A6-8AA60109347D}" parentId="{AAC2E27F-12B4-814A-B0BA-9AA3A3785456}">
    <text>already included in EC data, no need to double count</text>
  </threadedComment>
  <threadedComment ref="AE1" dT="2026-05-14T04:07:01.15" personId="{E5A5185B-5DC6-A34D-B229-89FBC887B204}" id="{429473C1-C229-A941-B477-0ED9E4A123E7}" parentId="{AAC2E27F-12B4-814A-B0BA-9AA3A3785456}">
    <text>already part of CLP total</text>
  </threadedComment>
  <threadedComment ref="AA146" dT="2026-05-15T02:27:05.62" personId="{E5A5185B-5DC6-A34D-B229-89FBC887B204}" id="{803C24F5-3426-214C-BDC9-CBD2D6C45281}">
    <text>CMO Electricity Excel Originally Put 287,750 as the value, but it contained no formula. It was corrected by subtracting the "Commercial Outlets" value from the "Staff Quarters &amp; Commercial Outlets" value.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4-10-23T07:30:26.94" personId="{E5A5185B-5DC6-A34D-B229-89FBC887B204}" id="{13518216-810C-2148-8027-F43D992D9336}">
    <text>Copied from old version</text>
  </threadedComment>
  <threadedComment ref="L1" dT="2025-09-18T03:07:44.16" personId="{E5A5185B-5DC6-A34D-B229-89FBC887B204}" id="{7F5DD660-D1B4-D449-B315-170BA30FFED4}" parentId="{13518216-810C-2148-8027-F43D992D9336}">
    <text>Calculated at the end of the reporting year</text>
  </threadedComment>
  <threadedComment ref="L1" dT="2026-01-27T04:08:20.79" personId="{E5A5185B-5DC6-A34D-B229-89FBC887B204}" id="{DB948FF1-E93B-914D-BC5A-FC3811BAC406}" parentId="{13518216-810C-2148-8027-F43D992D9336}">
    <text>Should remove as it is double-counting. The value is already included in staff quarters</text>
  </threadedComment>
  <threadedComment ref="N1" dT="2026-03-11T02:56:03.66" personId="{E5A5185B-5DC6-A34D-B229-89FBC887B204}" id="{9A3D3E4F-F86E-C448-A2F0-9DCB7E95A653}">
    <text>Starting 2025/26, report Staff Quarters as a separate category</text>
  </threadedComment>
  <threadedComment ref="N1" dT="2026-05-15T03:23:27.12" personId="{E5A5185B-5DC6-A34D-B229-89FBC887B204}" id="{8824B1E4-7ED3-414D-9F72-CF376BEBC91F}" parentId="{9A3D3E4F-F86E-C448-A2F0-9DCB7E95A653}">
    <text>No need to make a separate category for "Staff Quarter Common Area" as this will double-count with some of the "Staff Quarters" consumption.</text>
  </threadedComment>
  <threadedComment ref="O1" dT="2026-03-11T02:56:14.89" personId="{E5A5185B-5DC6-A34D-B229-89FBC887B204}" id="{CC3D0F98-27D6-8B49-AA62-66AAAD39A2A7}">
    <text>Starting 2025/26, report Commercial Outlets as a separate category</text>
  </threadedComment>
  <threadedComment ref="R1" dT="2026-03-11T07:06:51.95" personId="{E5A5185B-5DC6-A34D-B229-89FBC887B204}" id="{34B4F42C-4E89-704B-B798-F3B625ACE23D}">
    <text>Use this value from 2025/26 onwards.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E1" dT="2025-09-18T01:29:39.28" personId="{E5A5185B-5DC6-A34D-B229-89FBC887B204}" id="{E0727F06-152D-0B4D-A4AA-32BD368D6B85}">
    <text>not included in student housing, need to add when talking about student housing</text>
  </threadedComment>
  <threadedComment ref="AE1" dT="2026-05-14T04:06:35.88" personId="{E5A5185B-5DC6-A34D-B229-89FBC887B204}" id="{6BF39689-FA79-834A-AF62-CD532F529B62}" parentId="{E0727F06-152D-0B4D-A4AA-32BD368D6B85}">
    <text>Currently not included in the CLP total.</text>
  </threadedComment>
  <threadedComment ref="AF1" dT="2025-03-25T02:27:36.03" personId="{3755386D-89B5-DA48-87BF-491797B92A51}" id="{602D08FE-827E-FB4A-BB1C-845597CA9409}">
    <text xml:space="preserve">HPC4
</text>
  </threadedComment>
  <threadedComment ref="AF1" dT="2025-09-18T01:29:58.05" personId="{E5A5185B-5DC6-A34D-B229-89FBC887B204}" id="{2DDA5710-58F4-D948-A9D5-A08D58357D36}" parentId="{602D08FE-827E-FB4A-BB1C-845597CA9409}">
    <text>already included in EC data, no need to double count</text>
  </threadedComment>
  <threadedComment ref="AF1" dT="2026-05-14T04:07:01.15" personId="{E5A5185B-5DC6-A34D-B229-89FBC887B204}" id="{61A6929F-D3CA-6A44-9F75-641F87AC1892}" parentId="{602D08FE-827E-FB4A-BB1C-845597CA9409}">
    <text>already part of CLP total</text>
  </threadedComment>
  <threadedComment ref="AG1" dT="2026-05-15T02:45:01.62" personId="{E5A5185B-5DC6-A34D-B229-89FBC887B204}" id="{BB06BE06-86F8-F148-BAC6-F37ECB334C04}">
    <text>Already part of CLP total</text>
  </threadedComment>
  <threadedComment ref="AH1" dT="2026-05-15T02:45:05.15" personId="{E5A5185B-5DC6-A34D-B229-89FBC887B204}" id="{C2B488B0-42A8-4E4E-AC48-DFD258ED2682}">
    <text>Already part of CLP total</text>
  </threadedComment>
  <threadedComment ref="AI1" dT="2026-05-15T02:45:08.89" personId="{E5A5185B-5DC6-A34D-B229-89FBC887B204}" id="{168573D0-0A37-9E4F-8B1B-0F4B3FF6E8DA}">
    <text>Already part of CLP total</text>
  </threadedComment>
  <threadedComment ref="AJ1" dT="2026-05-15T02:45:12.48" personId="{E5A5185B-5DC6-A34D-B229-89FBC887B204}" id="{07565FD0-F65E-7441-B7E3-D5D521EB2B8A}">
    <text>Already part of CLP total</text>
  </threadedComment>
  <threadedComment ref="AK1" dT="2026-05-15T02:45:16.27" personId="{E5A5185B-5DC6-A34D-B229-89FBC887B204}" id="{4264AC6F-CFFD-5A4B-91D3-F0762FC37CAD}">
    <text>Already part of CLP total</text>
  </threadedComment>
  <threadedComment ref="E12" dT="2025-09-18T01:28:11.93" personId="{E5A5185B-5DC6-A34D-B229-89FBC887B204}" id="{82E81A72-BD18-BB4A-9641-45DF1AADCE47}">
    <text>increase coming from data centre - normal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1" dT="2026-03-12T05:36:10.32" personId="{E5A5185B-5DC6-A34D-B229-89FBC887B204}" id="{2DE92DEA-A486-D448-BDC5-D74D2932CA0D}">
    <text>Starting 2025/26, include Innovation Building as a separate category. Even though it used electricity in 2024/25, do not include it as it was opened to the public only in 2025/26.</text>
  </threadedComment>
  <threadedComment ref="L1" dT="2024-10-23T07:30:26.94" personId="{E5A5185B-5DC6-A34D-B229-89FBC887B204}" id="{2005D121-60EA-2844-B40E-F2E2239D5798}">
    <text>Copied from old version</text>
  </threadedComment>
  <threadedComment ref="L1" dT="2026-03-11T02:57:00.11" personId="{E5A5185B-5DC6-A34D-B229-89FBC887B204}" id="{FF4F6937-C77D-1C40-8155-DA5CA1C82E86}" parentId="{2005D121-60EA-2844-B40E-F2E2239D5798}">
    <text>Staff Quarter Common Area is already included in the Staff Quarters figure. Starting 2025/26, omit this value from reporting to avoid double-counting.</text>
  </threadedComment>
  <threadedComment ref="N1" dT="2026-03-11T02:56:03.66" personId="{E5A5185B-5DC6-A34D-B229-89FBC887B204}" id="{AB5B100D-0C8A-0E4B-84FE-87562974D55D}">
    <text>Starting 2025/26, report Staff Quarters as a separate category</text>
  </threadedComment>
  <threadedComment ref="N1" dT="2026-05-15T03:24:51.89" personId="{E5A5185B-5DC6-A34D-B229-89FBC887B204}" id="{39CB71EA-5C7E-BD46-BE49-03EF6F27B50B}" parentId="{AB5B100D-0C8A-0E4B-84FE-87562974D55D}">
    <text>No need to make a separate category for "Staff Quarter Common Area" as this will double-count with some of the "Staff Quarters" consumption.</text>
  </threadedComment>
  <threadedComment ref="O1" dT="2026-03-11T02:56:14.89" personId="{E5A5185B-5DC6-A34D-B229-89FBC887B204}" id="{0DD29534-6FE0-484B-B85E-92A0C67824B2}">
    <text>Starting 2025/26, report Commercial Outlets as a separate category</text>
  </threadedComment>
  <threadedComment ref="B11" dT="2026-03-05T07:05:44.70" personId="{E5A5185B-5DC6-A34D-B229-89FBC887B204}" id="{329AA420-9C51-FE41-A89F-233EEB4DC17F}">
    <text>This value mistakenly includes GGT and double-counts EC3/F</text>
  </threadedComment>
  <threadedComment ref="B12" dT="2026-03-05T07:05:48.30" personId="{E5A5185B-5DC6-A34D-B229-89FBC887B204}" id="{2822D9EB-A007-9440-8BBD-3150E315BCEF}">
    <text>This value mistakenly includes GGT and double-counts EC3/F</text>
  </threadedComment>
  <threadedComment ref="M13" dT="2025-09-05T01:38:03.33" personId="{E5A5185B-5DC6-A34D-B229-89FBC887B204}" id="{86E1A36D-82FE-9C4D-AE8A-86DE79F9FFC9}">
    <text>different from yearly overview value because this category includes Student Housing, GGT, and TKOJCH. In the CLP total, TKOJCH is NOT included.</text>
  </threadedComment>
  <threadedComment ref="L14" dT="2026-03-05T05:34:07.11" personId="{E5A5185B-5DC6-A34D-B229-89FBC887B204}" id="{462BE707-B735-ED4F-8FF8-BFA9E9DC6C27}">
    <text>Omit from 2025/26 onwards because it is double counting some parts of Staff Quarters.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Z1" dT="2024-10-23T07:30:26.94" personId="{E5A5185B-5DC6-A34D-B229-89FBC887B204}" id="{52FBC3D0-134C-C948-92A7-114CB5AE2883}">
    <text>Copied from old version</text>
  </threadedComment>
  <threadedComment ref="Z1" dT="2025-09-18T03:07:44.16" personId="{E5A5185B-5DC6-A34D-B229-89FBC887B204}" id="{27B743F4-57E8-A64C-9FB4-87C74E244E97}" parentId="{52FBC3D0-134C-C948-92A7-114CB5AE2883}">
    <text>Calculated at the end of the reporting year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2" dT="2024-02-08T10:12:05.17" personId="{E5A5185B-5DC6-A34D-B229-89FBC887B204}" id="{531046F7-72B4-F34E-9A3B-0C76028260A1}">
    <text>Jul-23 until Sep-23 Copied from WasteCombinedCharts.xlsx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1" dT="2024-02-08T10:07:32.06" personId="{E5A5185B-5DC6-A34D-B229-89FBC887B204}" id="{BF63B7A2-7E9B-7C42-9693-4CAEAA255FED}">
    <text>Rounded off to 0 decimal places</text>
  </threadedComment>
  <threadedComment ref="H1" dT="2024-02-08T10:07:49.53" personId="{E5A5185B-5DC6-A34D-B229-89FBC887B204}" id="{6DE58029-9EF6-7943-9BBF-4D04BAD613F0}">
    <text>Rounded off to 0 decimal places</text>
  </threadedComment>
  <threadedComment ref="I1" dT="2024-02-08T10:07:53.00" personId="{E5A5185B-5DC6-A34D-B229-89FBC887B204}" id="{ECC6333D-1D8E-5D40-873A-E054E4A3CA7B}">
    <text>Rounded off to 0 decimal places</text>
  </threadedComment>
  <threadedComment ref="A2" dT="2024-02-08T09:57:53.03" personId="{E5A5185B-5DC6-A34D-B229-89FBC887B204}" id="{341E6B11-7CAF-BB4F-A432-62AA25971727}">
    <text>2010-2023 Copied from WasteCombinedCharts.xlsx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" dT="2024-02-08T10:26:36.83" personId="{E5A5185B-5DC6-A34D-B229-89FBC887B204}" id="{65656612-12FF-C54C-B2C4-6D6DD5EC3C9E}">
    <text xml:space="preserve">2010-2023 Copied from WasteCombinedCharts.xlsx. </text>
  </threadedComment>
  <threadedComment ref="K6" dT="2023-12-31T09:57:13.49" personId="{E5A5185B-5DC6-A34D-B229-89FBC887B204}" id="{D3030195-1468-5744-A7DF-409C669AFA0D}">
    <text>Taken from the HKSCC annual report 21-22</text>
  </threadedComment>
  <threadedComment ref="K7" dT="2024-02-08T10:27:15.80" personId="{E5A5185B-5DC6-A34D-B229-89FBC887B204}" id="{14C54D4A-2A32-244C-B943-2F70315E12EC}">
    <text>Taken from the HKSCC annual report 21-22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1" dT="2026-03-05T05:38:26.07" personId="{E5A5185B-5DC6-A34D-B229-89FBC887B204}" id="{17027BF5-5105-8746-812F-2FFC7BA88631}">
    <text>Use the "Yearly Electricity Reformatted" value as this includes TKOJCH</text>
  </threadedComment>
  <threadedComment ref="J2" dT="2024-10-23T07:30:26.94" personId="{E5A5185B-5DC6-A34D-B229-89FBC887B204}" id="{D287156F-7D82-2E44-B654-15016AABFE1B}">
    <text>Copied from old version</text>
  </threadedComment>
  <threadedComment ref="J3" dT="2026-03-05T07:25:30.25" personId="{E5A5185B-5DC6-A34D-B229-89FBC887B204}" id="{76CFE2D2-7DE9-F74E-87C6-8CC15154BF98}">
    <text>Staff Quarter Common Area was omitted from the original total value</text>
  </threadedComment>
  <threadedComment ref="K3" dT="2026-03-05T06:17:16.41" personId="{E5A5185B-5DC6-A34D-B229-89FBC887B204}" id="{759A3EF2-0474-A74E-8FBD-B648B31A1B2C}">
    <text>TKOJCH was not included in this value</text>
  </threadedComment>
  <threadedComment ref="J4" dT="2026-03-05T07:25:33.56" personId="{E5A5185B-5DC6-A34D-B229-89FBC887B204}" id="{7801E4BB-9AED-2742-81A7-40B3B4CE300F}">
    <text>Staff Quarter Common Area was omitted from the original total value</text>
  </threadedComment>
  <threadedComment ref="K4" dT="2026-03-05T06:17:20.06" personId="{E5A5185B-5DC6-A34D-B229-89FBC887B204}" id="{174C70EF-6892-894F-BE27-8517F6EA11AA}">
    <text>TKOJCH was not included in this value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I43" dT="2025-09-25T01:11:23.56" personId="{E5A5185B-5DC6-A34D-B229-89FBC887B204}" id="{6057154A-696D-FF4E-BCB5-4C6F6501BDB4}">
    <text>Fixed formula. 284.27 is the correct value that sums fresh water, sewage, and paper CO2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" dT="2024-02-08T10:21:11.46" personId="{E5A5185B-5DC6-A34D-B229-89FBC887B204}" id="{4F21DDC4-4C87-D843-AC2F-7F951C8C74FB}">
    <text>2010-2023 Copied from WasteCombinedCharts.xlsx. All values have been rounded off to 2 decimal places AT MOST, except for 1&amp;2 emissions/capita and 1&amp;2 emissions/GFA.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1" dT="2024-02-09T02:53:34.77" personId="{E5A5185B-5DC6-A34D-B229-89FBC887B204}" id="{DFE9F9A2-BCBA-4944-A1B9-8011AF5002E4}">
    <text xml:space="preserve">All copied from WasteCombinedCharts.xlsx. </text>
  </threadedComment>
  <threadedComment ref="R39" dT="2025-09-25T06:05:55.08" personId="{E5A5185B-5DC6-A34D-B229-89FBC887B204}" id="{9027BE26-4223-AF48-8399-B9E39EF25234}">
    <text>Page 32 in https://www.clpgroup.com/content/dam/clp-group/channels/sustainability/document/sustainability-report/2022/CLP_Sustainability_Report_2022_en.pdf.coredownload.pdf</text>
    <extLst>
      <x:ext xmlns:xltc2="http://schemas.microsoft.com/office/spreadsheetml/2020/threadedcomments2" uri="{F7C98A9C-CBB3-438F-8F68-D28B6AF4A901}">
        <xltc2:checksum>3326786698</xltc2:checksum>
        <xltc2:hyperlink startIndex="11" length="161" url="https://www.clpgroup.com/content/dam/clp-group/channels/sustainability/document/sustainability-report/2022/CLP_Sustainability_Report_2022_en.pdf.coredownload.pdf"/>
      </x:ext>
    </extLst>
  </threadedComment>
  <threadedComment ref="S39" dT="2025-09-25T06:08:00.20" personId="{E5A5185B-5DC6-A34D-B229-89FBC887B204}" id="{8DC3290F-0B6A-5A49-BB9B-6534F60AD22E}">
    <text>Page 171 in https://www.clpgroup.com/content/dam/clp-group/channels/sustainability/document/sustainability-report/2023/CLP_Sustainability_Report_2023_en.pdf.coredownload.pdf</text>
    <extLst>
      <x:ext xmlns:xltc2="http://schemas.microsoft.com/office/spreadsheetml/2020/threadedcomments2" uri="{F7C98A9C-CBB3-438F-8F68-D28B6AF4A901}">
        <xltc2:checksum>145708249</xltc2:checksum>
        <xltc2:hyperlink startIndex="12" length="161" url="https://www.clpgroup.com/content/dam/clp-group/channels/sustainability/document/sustainability-report/2023/CLP_Sustainability_Report_2023_en.pdf.coredownload.pdf"/>
      </x:ext>
    </extLst>
  </threadedComment>
  <threadedComment ref="T39" dT="2025-09-25T09:06:29.90" personId="{E5A5185B-5DC6-A34D-B229-89FBC887B204}" id="{9B5F1F92-DBC2-BD48-A5D9-16AC5B10D040}">
    <text>Page 8 in https://www.clpgroup.com/content/dam/clp-group/channels/sustainability/document/sustainability-report/2024/CLP_Independent_Assurance_Statement_2024.pdf.coredownload.pdf</text>
    <extLst>
      <x:ext xmlns:xltc2="http://schemas.microsoft.com/office/spreadsheetml/2020/threadedcomments2" uri="{F7C98A9C-CBB3-438F-8F68-D28B6AF4A901}">
        <xltc2:checksum>1303743556</xltc2:checksum>
        <xltc2:hyperlink startIndex="10" length="168" url="https://www.clpgroup.com/content/dam/clp-group/channels/sustainability/document/sustainability-report/2024/CLP_Independent_Assurance_Statement_2024.pdf.coredownload.pdf"/>
      </x:ext>
    </extLst>
  </threadedComment>
  <threadedComment ref="R40" dT="2025-08-30T06:36:03.96" personId="{E5A5185B-5DC6-A34D-B229-89FBC887B204}" id="{96C92E43-984D-D845-AAC4-017DD16ECFEC}">
    <text>Page 38 in https://www.towngas.com/media/getmedia/c6da701c-519b-4e04-aee9-7557b1d509f4/Towngas_ESG2022_EN.pdf</text>
    <extLst>
      <x:ext xmlns:xltc2="http://schemas.microsoft.com/office/spreadsheetml/2020/threadedcomments2" uri="{F7C98A9C-CBB3-438F-8F68-D28B6AF4A901}">
        <xltc2:checksum>2303420088</xltc2:checksum>
        <xltc2:hyperlink startIndex="11" length="98" url="https://www.towngas.com/media/getmedia/c6da701c-519b-4e04-aee9-7557b1d509f4/Towngas_ESG2022_EN.pdf"/>
      </x:ext>
    </extLst>
  </threadedComment>
  <threadedComment ref="S40" dT="2025-08-30T06:37:54.70" personId="{E5A5185B-5DC6-A34D-B229-89FBC887B204}" id="{1C2A44DC-8D5E-0942-906F-067BD681D949}">
    <text>Pag 37 in https://www.towngas.com/media/getmedia/6b774b8d-c94b-4e39-8fda-0e505cf6d10f/towngas_esgr2023_en.pdf</text>
    <extLst>
      <x:ext xmlns:xltc2="http://schemas.microsoft.com/office/spreadsheetml/2020/threadedcomments2" uri="{F7C98A9C-CBB3-438F-8F68-D28B6AF4A901}">
        <xltc2:checksum>3339563383</xltc2:checksum>
        <xltc2:hyperlink startIndex="10" length="99" url="https://www.towngas.com/media/getmedia/6b774b8d-c94b-4e39-8fda-0e505cf6d10f/towngas_esgr2023_en.pdf"/>
      </x:ext>
    </extLst>
  </threadedComment>
  <threadedComment ref="T45" dT="2025-08-30T08:35:33.60" personId="{E5A5185B-5DC6-A34D-B229-89FBC887B204}" id="{DAAC4C31-A49C-BD48-884E-D43F60086FFF}">
    <text>Page 141 in https://www.wsd.gov.hk/filemanager/common/annual_report/2023_24/pdf/WSD_AR23-24.pdf</text>
    <extLst>
      <x:ext xmlns:xltc2="http://schemas.microsoft.com/office/spreadsheetml/2020/threadedcomments2" uri="{F7C98A9C-CBB3-438F-8F68-D28B6AF4A901}">
        <xltc2:checksum>2974031439</xltc2:checksum>
        <xltc2:hyperlink startIndex="12" length="83" url="https://www.wsd.gov.hk/filemanager/common/annual_report/2023_24/pdf/WSD_AR23-24.pdf"/>
      </x:ext>
    </extLst>
  </threadedComment>
  <threadedComment ref="T46" dT="2025-08-30T09:01:13.73" personId="{E5A5185B-5DC6-A34D-B229-89FBC887B204}" id="{4E92BCCF-2FBB-D843-B145-409B86F96DB8}">
    <text>Page 115 in https://www.dsd.gov.hk/EN/Files/publication/DSD-ESG-Report-2023-24_Full_Report.pdf</text>
    <extLst>
      <x:ext xmlns:xltc2="http://schemas.microsoft.com/office/spreadsheetml/2020/threadedcomments2" uri="{F7C98A9C-CBB3-438F-8F68-D28B6AF4A901}">
        <xltc2:checksum>752803475</xltc2:checksum>
        <xltc2:hyperlink startIndex="12" length="82" url="https://www.dsd.gov.hk/EN/Files/publication/DSD-ESG-Report-2023-24_Full_Report.pdf"/>
      </x:ext>
    </extLs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1" dT="2024-02-09T02:53:34.77" personId="{E5A5185B-5DC6-A34D-B229-89FBC887B204}" id="{49D364E8-F835-4243-9BAB-6DBF34F2764C}">
    <text xml:space="preserve">All copied from WasteCombinedCharts.xlsx. 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B1" dT="2024-10-02T03:02:34.01" personId="{E5A5185B-5DC6-A34D-B229-89FBC887B204}" id="{E4A612FD-CFEA-9847-8621-5CE5C9F2CF9A}">
    <text>Subtract CYT, LSK, and CL from the MAB value in the CMO monthly reports</text>
  </threadedComment>
  <threadedComment ref="H1" dT="2025-08-22T01:39:48.83" personId="{3755386D-89B5-DA48-87BF-491797B92A51}" id="{ECED212B-39F1-9D4A-BCF8-D94764B6A174}">
    <text>(Number of Household in Staff Quarter*HK average number of people in a household)*(average water consumption of household/1000)*number of days in that month)</text>
  </threadedComment>
  <threadedComment ref="D40" dT="2024-11-06T05:15:05.89" personId="{E5A5185B-5DC6-A34D-B229-89FBC887B204}" id="{3E4A2541-665F-1448-B6F7-11ECD3A86916}">
    <text>Previously recorded as 1439</text>
  </threadedComment>
  <threadedComment ref="J41" dT="2024-11-06T05:14:38.28" personId="{E5A5185B-5DC6-A34D-B229-89FBC887B204}" id="{A61EC078-450B-DD48-B4E9-0D31596E9B66}">
    <text>Previously recorded as 24627</text>
  </threadedComment>
  <threadedComment ref="P73" dT="2024-10-02T03:02:34.01" personId="{E5A5185B-5DC6-A34D-B229-89FBC887B204}" id="{98E58788-9C40-4525-9EA3-B615CF6812EB}">
    <text>Subtract CYT, LSK, and CL from the MAB value in the CMO monthly reports</text>
  </threadedComment>
  <threadedComment ref="I76" dT="2024-10-21T07:11:01.62" personId="{3755386D-89B5-DA48-87BF-491797B92A51}" id="{6DD27143-4EF4-7E47-91DF-D35AA1CFB3B7}">
    <text>The surge was due to (1) the temporary usage for flushing purpose at Tower 8-19 due to broken main flushing pipe upstream of Tower 8 which was repaired later in September; and broken underground pipe for cleansing water at Block 11 which will be repaired by BM in October.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A10" dT="2024-11-06T06:32:29.40" personId="{E5A5185B-5DC6-A34D-B229-89FBC887B204}" id="{3DBC2FF3-3FF5-1F4A-8093-7B6C20812054}">
    <text>Green = revised values for single-counting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B2" dT="2025-11-06T01:43:49.05" personId="{E5A5185B-5DC6-A34D-B229-89FBC887B204}" id="{879915F9-F0BA-C14A-ABFF-8029A8F6A63A}">
    <text>Only the first 4 meters account for the entire campus seawater consumption. Don't mind the other meters.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2" dT="2024-02-09T02:48:12.84" personId="{E5A5185B-5DC6-A34D-B229-89FBC887B204}" id="{9AC61B2F-BE54-604B-80C2-5BCF52D45067}">
    <text>2014-2023 Copied from WasteCombinedCharts.xlsx</text>
  </threadedComment>
  <threadedComment ref="D8" dT="2025-02-19T06:54:15.34" personId="{E5A5185B-5DC6-A34D-B229-89FBC887B204}" id="{CD774BD0-BFD5-5145-81F2-58D82E38BC8B}">
    <text>Discrepancy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BD52" dT="2024-06-05T02:16:17.12" personId="{E5A5185B-5DC6-A34D-B229-89FBC887B204}" id="{D3DB2B84-6673-AD49-AA6E-187B3FD44574}">
    <text>Normalised with Feb23 - Jun23</text>
  </threadedComment>
  <threadedComment ref="BD52" dT="2024-06-05T02:17:00.12" personId="{E5A5185B-5DC6-A34D-B229-89FBC887B204}" id="{23D9327A-8324-E84E-ADBF-70B7FD890F80}" parentId="{D3DB2B84-6673-AD49-AA6E-187B3FD44574}">
    <text>Was previously 3,997</text>
  </threadedComment>
  <threadedComment ref="BD53" dT="2024-06-05T02:16:29.63" personId="{E5A5185B-5DC6-A34D-B229-89FBC887B204}" id="{677D9029-FCE9-8E4B-9CAB-E5F16DAAE803}">
    <text>Normalised with Mar23 - Jul23</text>
  </threadedComment>
  <threadedComment ref="BD53" dT="2024-06-05T02:17:12.78" personId="{E5A5185B-5DC6-A34D-B229-89FBC887B204}" id="{D0EC7B40-FA1C-1E4D-B59F-33B21F3D5E46}" parentId="{677D9029-FCE9-8E4B-9CAB-E5F16DAAE803}">
    <text>Was previously 9,657</text>
  </threadedComment>
  <threadedComment ref="A65" dT="2024-02-28T09:51:10.79" personId="{E5A5185B-5DC6-A34D-B229-89FBC887B204}" id="{9F3F3482-E744-1A42-AFC7-C6483CE99FED}">
    <text xml:space="preserve">Water meters were malfunctioning; December 23 onwards data may be adjusted from time to time 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A64" dT="2024-02-28T09:51:10.79" personId="{E5A5185B-5DC6-A34D-B229-89FBC887B204}" id="{C2C3C5BC-9072-1F42-9FBF-A21CAC838E6B}">
    <text xml:space="preserve">Water meters were malfunctioning; December 23 onwards data may be adjusted from time to time 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O1" dT="2024-03-11T02:48:55.37" personId="{E5A5185B-5DC6-A34D-B229-89FBC887B204}" id="{AC10E5F0-7627-AF4E-9444-F4126956116B}">
    <text>Trash + Yellow Skip</text>
  </threadedComment>
  <threadedComment ref="P1" dT="2024-03-11T02:49:17.65" personId="{E5A5185B-5DC6-A34D-B229-89FBC887B204}" id="{00BE2302-7851-D142-A361-40F904182B0D}">
    <text>Paper + Plastic + CD + Ink Cartridge + Toner</text>
  </threadedComment>
  <threadedComment ref="Q1" dT="2024-03-11T02:49:36.89" personId="{E5A5185B-5DC6-A34D-B229-89FBC887B204}" id="{B09B474A-A86C-0944-A2B8-0C4DBB8FD589}">
    <text>Metal + Fluorescent Tube + Florescent Bulb + Wood</text>
  </threadedComment>
  <threadedComment ref="R1" dT="2024-03-11T02:50:00.78" personId="{E5A5185B-5DC6-A34D-B229-89FBC887B204}" id="{D915631A-CD1C-804A-AC98-59DAEECC1DAA}">
    <text>Glass + Clothes + Rechargeable Battery + Electrical Appliances + Tetra Packs</text>
  </threadedComment>
  <threadedComment ref="T1" dT="2024-03-11T02:50:17.16" personId="{E5A5185B-5DC6-A34D-B229-89FBC887B204}" id="{471C1004-F1DF-274E-8553-B13231989B8F}">
    <text>Animal Bedding + Landscape</text>
  </threadedComment>
  <threadedComment ref="W1" dT="2024-03-11T02:48:55.37" personId="{E5A5185B-5DC6-A34D-B229-89FBC887B204}" id="{18A0FB21-A34C-A148-9064-A2A412E29CCF}">
    <text>Trash + Yellow Skip</text>
  </threadedComment>
  <threadedComment ref="X1" dT="2024-03-11T02:49:17.65" personId="{E5A5185B-5DC6-A34D-B229-89FBC887B204}" id="{B4E45F71-387A-E942-9678-0181EBE95529}">
    <text>Paper + Plastic + CD + Ink Cartridge + Toner</text>
  </threadedComment>
  <threadedComment ref="Y1" dT="2024-03-11T02:49:36.89" personId="{E5A5185B-5DC6-A34D-B229-89FBC887B204}" id="{A83AA25D-8478-4449-8E5C-649143B26A54}">
    <text>Metal + Fluorescent Tube + Florescent Bulb + Wood</text>
  </threadedComment>
  <threadedComment ref="Z1" dT="2024-03-11T02:50:00.78" personId="{E5A5185B-5DC6-A34D-B229-89FBC887B204}" id="{C5E94AF8-EE66-DD4C-82EF-5C16D4F79A0B}">
    <text>Glass + Clothes + Rechargeable Battery + Electrical Appliances + Tetra Packs</text>
  </threadedComment>
  <threadedComment ref="AB1" dT="2024-03-11T02:50:17.16" personId="{E5A5185B-5DC6-A34D-B229-89FBC887B204}" id="{D74D913B-B2A6-A64B-9B61-788658E3B901}">
    <text>Animal Bedding + Landscape</text>
  </threadedComment>
  <threadedComment ref="F13" dT="2024-02-14T06:25:36.11" personId="{E5A5185B-5DC6-A34D-B229-89FBC887B204}" id="{C3F09E28-37AC-CE43-B7E8-D641A184A9F7}">
    <text>Baseline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L1" dT="2024-02-07T06:31:16.95" personId="{E5A5185B-5DC6-A34D-B229-89FBC887B204}" id="{4E314518-B4EA-144A-B2AF-1CDE80C037B7}">
    <text>Expressed in PIECES. There is no estimated weight per piece value in other Excel Workbooks.</text>
  </threadedComment>
  <threadedComment ref="L1" dT="2024-02-08T09:15:22.50" personId="{E5A5185B-5DC6-A34D-B229-89FBC887B204}" id="{440D0312-F89E-0349-8825-91B881216150}" parentId="{4E314518-B4EA-144A-B2AF-1CDE80C037B7}">
    <text>This value will be EXCLUDED in the “Others” category in Monthly recycling from months including and before June 2020</text>
  </threadedComment>
  <threadedComment ref="M1" dT="2024-02-07T06:51:12.18" personId="{E5A5185B-5DC6-A34D-B229-89FBC887B204}" id="{13EA20FD-5826-0547-8558-2E91F0C33707}">
    <text>Previously expressed in pieces. Multiplied by a factor of 0.34kg per piece and rounded off.</text>
  </threadedComment>
  <threadedComment ref="N1" dT="2024-02-07T06:51:22.61" personId="{E5A5185B-5DC6-A34D-B229-89FBC887B204}" id="{1E793133-4C65-6445-8218-E97094A7D6B6}">
    <text>Previously expressed in pieces. Multiplied by a factor of 0.13kg per piece and rounded off.</text>
  </threadedComment>
  <threadedComment ref="O1" dT="2024-02-07T06:51:30.36" personId="{E5A5185B-5DC6-A34D-B229-89FBC887B204}" id="{F05ECE4B-2969-6A42-AA70-02FC2F966C7F}">
    <text>Previously expressed in pieces. Multiplied by a factor of 0.15kg per piece and rounded off.</text>
  </threadedComment>
  <threadedComment ref="T1" dT="2025-02-26T02:20:25.99" personId="{3755386D-89B5-DA48-87BF-491797B92A51}" id="{E7C81AB6-8B8F-D349-A1B3-97ABC48480B0}">
    <text xml:space="preserve">From Nixon
</text>
  </threadedComment>
  <threadedComment ref="T111" dT="2024-01-11T07:54:34.05" personId="{E5A5185B-5DC6-A34D-B229-89FBC887B204}" id="{A8B5FC4D-47AD-6744-8B0F-68CCC59E403C}">
    <text>Not available</text>
  </threadedComment>
  <threadedComment ref="T113" dT="2024-01-11T07:54:39.30" personId="{E5A5185B-5DC6-A34D-B229-89FBC887B204}" id="{EA27A9C4-1CFF-DF49-A330-EF756325CEFC}">
    <text>Not available</text>
  </threadedComment>
  <threadedComment ref="T115" dT="2024-01-11T07:54:45.35" personId="{E5A5185B-5DC6-A34D-B229-89FBC887B204}" id="{58851594-216E-0C4F-A4CE-6A75F27A6A44}">
    <text>Not available</text>
  </threadedComment>
  <threadedComment ref="V116" dT="2024-01-03T04:48:36.47" personId="{5E674B0A-7174-F64A-87F6-0DEAF666D9C4}" id="{E676DAE1-8B92-E444-8E49-F7FDE71E4963}">
    <text>Data updated to match actual receipts</text>
  </threadedComment>
  <threadedComment ref="V118" dT="2024-01-03T04:48:41.80" personId="{5E674B0A-7174-F64A-87F6-0DEAF666D9C4}" id="{02BC4A65-D9B0-8E4D-8375-AC4400CA076A}">
    <text>Data updated to match actual receipts</text>
  </threadedComment>
  <threadedComment ref="V119" dT="2024-01-03T04:48:48.65" personId="{5E674B0A-7174-F64A-87F6-0DEAF666D9C4}" id="{E940BA26-BD25-084A-B075-57C671CF7D3A}">
    <text>Data updated to match actual receipts</text>
  </threadedComment>
  <threadedComment ref="T120" dT="2024-01-11T07:54:49.99" personId="{E5A5185B-5DC6-A34D-B229-89FBC887B204}" id="{DB5A8E93-33ED-C042-B183-0C2C4D940F19}">
    <text>Not available</text>
  </threadedComment>
  <threadedComment ref="V120" dT="2024-01-03T04:48:54.32" personId="{5E674B0A-7174-F64A-87F6-0DEAF666D9C4}" id="{2E0DB3E0-D2B1-A248-A167-74D3D86A69A2}">
    <text>Data updated to match actual receipts</text>
  </threadedComment>
  <threadedComment ref="Y120" dT="2023-11-14T06:22:40.76" personId="{E84AD44B-5929-324A-9497-3536122BE7BB}" id="{3E2FABC6-5229-9F46-8604-41A2EDB9263E}">
    <text>Previously 800</text>
  </threadedComment>
  <threadedComment ref="Z120" dT="2023-11-14T06:22:27.07" personId="{E84AD44B-5929-324A-9497-3536122BE7BB}" id="{8D9E8BF0-9664-B343-9C5B-0AD1528B561A}">
    <text>Previously 400</text>
  </threadedComment>
  <threadedComment ref="V121" dT="2024-01-03T04:48:59.89" personId="{5E674B0A-7174-F64A-87F6-0DEAF666D9C4}" id="{98346250-71E5-A448-905D-FE9C4C37F75E}">
    <text>Data updated to match actual receipts</text>
  </threadedComment>
  <threadedComment ref="Y121" dT="2023-11-14T06:22:54.37" personId="{E84AD44B-5929-324A-9497-3536122BE7BB}" id="{7C331265-08D7-D447-9567-02408AB2E96B}">
    <text>previously 800</text>
  </threadedComment>
  <threadedComment ref="Z121" dT="2023-11-14T06:23:20.52" personId="{E84AD44B-5929-324A-9497-3536122BE7BB}" id="{107D3DEA-3713-2E4C-9FB7-4347D5826B36}">
    <text>Previously 400</text>
  </threadedComment>
  <threadedComment ref="B126" dT="2024-01-03T04:27:31.39" personId="{5E674B0A-7174-F64A-87F6-0DEAF666D9C4}" id="{54AB0716-F408-A640-A7D6-29DB532F4CFB}">
    <text>Added 62kg from e-waste sent to landfill by Huaden</text>
  </threadedComment>
  <threadedComment ref="P126" dT="2024-01-03T04:23:56.38" personId="{5E674B0A-7174-F64A-87F6-0DEAF666D9C4}" id="{6D1BAD2F-3A84-534E-AE6B-B019717CADF4}">
    <text>Includes additional printer monitor collection by Huaden</text>
  </threadedComment>
  <threadedComment ref="P126" dT="2024-01-03T04:26:26.14" personId="{5E674B0A-7174-F64A-87F6-0DEAF666D9C4}" id="{AEE899C3-E417-724A-A622-1253D2E6BDCA}" parentId="{6D1BAD2F-3A84-534E-AE6B-B019717CADF4}">
    <text xml:space="preserve">Only 391 diverted included. 62 sent to landfill added to trash
</text>
  </threadedComment>
  <threadedComment ref="P126" dT="2024-01-11T07:38:34.53" personId="{E5A5185B-5DC6-A34D-B229-89FBC887B204}" id="{7B29B39A-E35B-B74D-8187-5650D7CA6838}" parentId="{6D1BAD2F-3A84-534E-AE6B-B019717CADF4}">
    <text>How should I cite the data from this cell? Should I list it as 391kg in the monthly recycling tab?</text>
  </threadedComment>
  <threadedComment ref="B127" dT="2024-01-04T02:05:05.40" personId="{5E674B0A-7174-F64A-87F6-0DEAF666D9C4}" id="{A80C6BFE-B6BA-E040-90FA-4B0B7A237987}">
    <text>Huaden e-waste disposed to landfill</text>
  </threadedComment>
  <threadedComment ref="P127" dT="2024-01-04T02:04:30.78" personId="{5E674B0A-7174-F64A-87F6-0DEAF666D9C4}" id="{092FE75B-11C6-6944-82D1-A0237AE3B272}">
    <text xml:space="preserve">Huaden only. Need to add Alba
</text>
  </threadedComment>
  <threadedComment ref="B128" dT="2024-04-19T02:23:18.11" personId="{3755386D-89B5-DA48-87BF-491797B92A51}" id="{08FDCECD-5034-984F-B371-85E1BEB510AA}">
    <text>E-Waste to landfill added</text>
  </threadedComment>
  <threadedComment ref="P128" dT="2024-04-19T03:15:32.30" personId="{3755386D-89B5-DA48-87BF-491797B92A51}" id="{CF21930E-08D3-3A43-A9E6-3009AEEBD239}">
    <text>Alba added</text>
  </threadedComment>
  <threadedComment ref="B129" dT="2024-04-19T02:24:04.21" personId="{3755386D-89B5-DA48-87BF-491797B92A51}" id="{DBB11659-E52C-8A48-88F5-6F8F8D7BD44C}">
    <text>E-Waste to landfill added</text>
  </threadedComment>
  <threadedComment ref="P129" dT="2024-04-19T02:41:38.70" personId="{3755386D-89B5-DA48-87BF-491797B92A51}" id="{5340B439-4669-C544-AB67-5C333DE98B95}">
    <text>Alba added</text>
  </threadedComment>
  <threadedComment ref="B130" dT="2024-04-19T02:24:17.57" personId="{3755386D-89B5-DA48-87BF-491797B92A51}" id="{30BE03FE-4892-CA46-A538-CF42EC536013}">
    <text>E-Waste to landfill added</text>
  </threadedComment>
  <threadedComment ref="P130" dT="2024-04-19T02:41:45.99" personId="{3755386D-89B5-DA48-87BF-491797B92A51}" id="{32943604-CCEF-EF44-9A7D-8F00B3AC8F59}">
    <text>Alba added</text>
  </threadedComment>
  <threadedComment ref="B131" dT="2024-07-29T03:10:16.99" personId="{3755386D-89B5-DA48-87BF-491797B92A51}" id="{496E0B1E-077B-8741-A9CE-B7548DFBDDF2}">
    <text>E-waste to landfill added</text>
  </threadedComment>
  <threadedComment ref="P131" dT="2024-04-19T02:41:53.25" personId="{3755386D-89B5-DA48-87BF-491797B92A51}" id="{37503934-6FA6-EC40-9D85-39CEC4AE6E94}">
    <text>Alba added</text>
  </threadedComment>
  <threadedComment ref="B132" dT="2024-07-29T03:09:29.97" personId="{3755386D-89B5-DA48-87BF-491797B92A51}" id="{411D276A-290E-C44C-B7BF-6E320C99F8D8}">
    <text>No E-waste collection this month</text>
  </threadedComment>
  <threadedComment ref="P132" dT="2024-07-02T03:49:03.35" personId="{3755386D-89B5-DA48-87BF-491797B92A51}" id="{5AAAEC42-6E04-F34D-9AEF-282CFCC0D960}">
    <text>Alba added</text>
  </threadedComment>
  <threadedComment ref="B133" dT="2024-07-29T02:59:55.50" personId="{3755386D-89B5-DA48-87BF-491797B92A51}" id="{F96E8E3B-3A68-5D42-A496-80EB27951260}">
    <text>E-waste to landfill added</text>
  </threadedComment>
  <threadedComment ref="P133" dT="2024-07-24T09:12:46.59" personId="{3755386D-89B5-DA48-87BF-491797B92A51}" id="{0978D730-8509-704D-8D66-B809C0FEAC70}">
    <text>Alba added</text>
  </threadedComment>
  <threadedComment ref="B134" dT="2024-10-21T06:16:35.35" personId="{3755386D-89B5-DA48-87BF-491797B92A51}" id="{EE7A3A6F-1578-EE46-A274-BACF2E9F0F41}">
    <text>E-waste to landfill added</text>
  </threadedComment>
  <threadedComment ref="P134" dT="2024-10-21T06:49:39.84" personId="{3755386D-89B5-DA48-87BF-491797B92A51}" id="{293CCB56-703F-3440-9CF1-DBA273E70020}">
    <text>Alba added</text>
  </threadedComment>
  <threadedComment ref="B135" dT="2024-10-21T06:16:41.34" personId="{3755386D-89B5-DA48-87BF-491797B92A51}" id="{A056EC00-9A6B-A949-9934-F4FD9AE2DB45}">
    <text>E-waste to landfill added</text>
  </threadedComment>
  <threadedComment ref="P135" dT="2024-10-21T06:49:56.38" personId="{3755386D-89B5-DA48-87BF-491797B92A51}" id="{9770B87E-9726-C14D-A738-CDCEAC493A84}">
    <text>Alba added</text>
  </threadedComment>
  <threadedComment ref="B136" dT="2024-10-21T06:49:23.84" personId="{3755386D-89B5-DA48-87BF-491797B92A51}" id="{DC664FD2-734D-B046-92E6-905833CBE5E7}">
    <text>E-waste to landfill added</text>
  </threadedComment>
  <threadedComment ref="P136" dT="2024-10-23T01:09:32.87" personId="{3755386D-89B5-DA48-87BF-491797B92A51}" id="{13E10DB9-4D1C-C847-B1D8-04C5625F951A}">
    <text>Alba added</text>
  </threadedComment>
  <threadedComment ref="T136" dT="2025-02-26T02:20:56.39" personId="{3755386D-89B5-DA48-87BF-491797B92A51}" id="{11CCAEEF-6C2C-7F4F-BF8A-2E9D9EFC7CE4}">
    <text>Vacant since terminated contract with Mil Mill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C1" dT="2024-02-07T06:31:16.95" personId="{E5A5185B-5DC6-A34D-B229-89FBC887B204}" id="{BD0011D7-D860-0C40-B816-99383F51C297}">
    <text>Expressed in PIECES. There is no estimated weight per piece value in other Excel Workbooks.</text>
  </threadedComment>
  <threadedComment ref="C1" dT="2024-02-08T09:15:22.50" personId="{E5A5185B-5DC6-A34D-B229-89FBC887B204}" id="{E4C4A7C1-D899-4D42-9B4A-FF22DFEC1905}" parentId="{BD0011D7-D860-0C40-B816-99383F51C297}">
    <text>This value will be EXCLUDED in the “Others” category in Monthly recycling from months including and before June 2020</text>
  </threadedComment>
  <threadedComment ref="D1" dT="2024-02-07T06:51:12.18" personId="{E5A5185B-5DC6-A34D-B229-89FBC887B204}" id="{0678275A-91CF-6146-8E02-6B8281371E5F}">
    <text>Previously expressed in pieces. Multiplied by a factor of 0.34kg per piece and rounded off.</text>
  </threadedComment>
  <threadedComment ref="E1" dT="2024-02-07T06:51:22.61" personId="{E5A5185B-5DC6-A34D-B229-89FBC887B204}" id="{33CBCC37-A36A-464C-AFB7-1DC123E52451}">
    <text>Previously expressed in pieces. Multiplied by a factor of 0.13kg per piece and rounded off.</text>
  </threadedComment>
  <threadedComment ref="F1" dT="2024-02-07T06:51:30.36" personId="{E5A5185B-5DC6-A34D-B229-89FBC887B204}" id="{1A6A7C01-7F44-6B46-9637-89BD512AFFAD}">
    <text>Previously expressed in pieces. Multiplied by a factor of 0.15kg per piece and rounded off.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A1" dT="2026-03-12T05:30:44.27" personId="{E5A5185B-5DC6-A34D-B229-89FBC887B204}" id="{D536C5F3-246A-B94C-8264-0B314533B007}">
    <text>This sheet was previously called "Location Breakdown (Waste)"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E1" dT="2024-01-12T07:08:51.22" personId="{E5A5185B-5DC6-A34D-B229-89FBC887B204}" id="{725D30C6-9444-CF41-B822-EFB209E01AA5}">
    <text>(starting July 23)</text>
  </threadedComment>
  <threadedComment ref="L1" dT="2024-01-12T07:08:59.90" personId="{E5A5185B-5DC6-A34D-B229-89FBC887B204}" id="{B0E438D4-21EE-E840-8141-AC7155466BE4}">
    <text>(starting July 2023)</text>
  </threadedComment>
  <threadedComment ref="P1" dT="2024-02-26T07:36:01.40" personId="{E5A5185B-5DC6-A34D-B229-89FBC887B204}" id="{4A33CE36-34DA-FF4E-B845-DFCA4E1EEAD8}">
    <text>Junior and regular staff quarters</text>
  </threadedComment>
  <threadedComment ref="C82" dT="2024-01-03T04:53:35.82" personId="{5E674B0A-7174-F64A-87F6-0DEAF666D9C4}" id="{2D2465AB-0639-0E4E-93D9-3EC91B5A5664}">
    <text>changed to reflect actual</text>
  </threadedComment>
  <threadedComment ref="F82" dT="2024-01-03T04:53:41.71" personId="{5E674B0A-7174-F64A-87F6-0DEAF666D9C4}" id="{FF7A9722-DD1F-CA4A-8EC3-3D9F5A93CB5E}">
    <text>changed to reflect actual</text>
  </threadedComment>
  <threadedComment ref="O82" dT="2024-01-03T04:53:48.84" personId="{5E674B0A-7174-F64A-87F6-0DEAF666D9C4}" id="{82CA7D4D-798C-C14D-8E74-72968E6AA4C8}">
    <text>changed to reflect actual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J9" dT="2025-09-25T08:42:08.49" personId="{E5A5185B-5DC6-A34D-B229-89FBC887B204}" id="{A6A704BB-3A51-DF46-B202-5CC0A0B017CD}">
    <text xml:space="preserve">Formula for staff quarters was corrected. </text>
  </threadedComment>
  <threadedComment ref="K9" dT="2025-09-25T08:41:52.06" personId="{E5A5185B-5DC6-A34D-B229-89FBC887B204}" id="{8DB71811-BA3A-0A42-A3A1-882698221BA1}">
    <text>Formula was corrected. The correct value is 408294.1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B1" dT="2024-01-11T15:47:33.52" personId="{E5A5185B-5DC6-A34D-B229-89FBC887B204}" id="{40D69639-C9A6-134F-A345-EE2D4620C7F4}">
    <text>(LG7/SSID + corrugated, office, newspaper)</text>
  </threadedComment>
  <threadedComment ref="C1" dT="2024-01-11T15:47:59.33" personId="{E5A5185B-5DC6-A34D-B229-89FBC887B204}" id="{D635BF5B-6172-C941-B19A-207C867A249D}">
    <text>(Aluminium + Skip)</text>
  </threadedComment>
  <threadedComment ref="D1" dT="2024-01-11T15:47:48.25" personId="{E5A5185B-5DC6-A34D-B229-89FBC887B204}" id="{BB555957-A161-0946-B1CC-9B56167A6568}">
    <text xml:space="preserve">(plastic bottles + polystyrene)_x000D_
</text>
  </threadedComment>
  <threadedComment ref="K1" dT="2024-01-11T15:46:14.81" personId="{E5A5185B-5DC6-A34D-B229-89FBC887B204}" id="{DE1A4F4D-9FD2-764F-8543-AE950F546E54}">
    <text>(CD, Clothes, Florescent Tube, Bulb, Rechargable Battery, Toner, Ink Cartridge, Tetra Pack)</text>
  </threadedComment>
  <threadedComment ref="A86" dT="2024-02-08T09:35:07.70" personId="{E5A5185B-5DC6-A34D-B229-89FBC887B204}" id="{C5AFFA22-AC89-2647-961C-2A6CE6FE0C4E}">
    <text>Jul-20 until Dec-23 Copied from WasteCombinedCharts.xlsx</text>
  </threadedComment>
  <threadedComment ref="D125" dT="2024-01-11T09:28:28.68" personId="{E5A5185B-5DC6-A34D-B229-89FBC887B204}" id="{6DD110ED-69FD-854F-8E51-D33D90A6960A}">
    <text>Waiting for expanded polystyrene data</text>
  </threadedComment>
  <threadedComment ref="J126" dT="2024-01-11T07:39:05.06" personId="{E5A5185B-5DC6-A34D-B229-89FBC887B204}" id="{6DAE8C03-743C-BE41-B4A7-B61BD74E76B2}">
    <text>Only partially diverted from landfill</text>
  </threadedComment>
  <threadedComment ref="J127" dT="2024-01-11T07:37:47.13" personId="{E5A5185B-5DC6-A34D-B229-89FBC887B204}" id="{DEFD7018-0493-3D44-A048-471BDD3F2177}">
    <text>Huaden only. Waiting for Alba. Resolve once done.</text>
  </threadedComment>
</ThreadedComments>
</file>

<file path=xl/threadedComments/threadedComment28.xml><?xml version="1.0" encoding="utf-8"?>
<ThreadedComments xmlns="http://schemas.microsoft.com/office/spreadsheetml/2018/threadedcomments" xmlns:x="http://schemas.openxmlformats.org/spreadsheetml/2006/main">
  <threadedComment ref="A2" dT="2024-02-05T09:30:45.33" personId="{E5A5185B-5DC6-A34D-B229-89FBC887B204}" id="{F2497914-4567-C74D-92C3-6BD44764BDE1}">
    <text>2010-2022 Copied from WasteCombinedCharts.xlsx</text>
  </threadedComment>
  <threadedComment ref="A18" dT="2024-02-05T09:22:48.68" personId="{E5A5185B-5DC6-A34D-B229-89FBC887B204}" id="{445C6505-6998-6B4B-8463-B7438A0845C5}">
    <text>Old data left in the excel sheet without formulas; may vary from 2022/23</text>
  </threadedComment>
</ThreadedComments>
</file>

<file path=xl/threadedComments/threadedComment29.xml><?xml version="1.0" encoding="utf-8"?>
<ThreadedComments xmlns="http://schemas.microsoft.com/office/spreadsheetml/2018/threadedcomments" xmlns:x="http://schemas.openxmlformats.org/spreadsheetml/2006/main">
  <threadedComment ref="A1" dT="2024-02-07T06:18:06.62" personId="{E5A5185B-5DC6-A34D-B229-89FBC887B204}" id="{E2CC49CB-BAE2-5C47-81CB-866E29441BBD}">
    <text xml:space="preserve">Entire chart has been copied from “WasteCombinedCharts.xlsx”. </text>
  </threadedComment>
</ThreadedComments>
</file>

<file path=xl/threadedComments/threadedComment30.xml><?xml version="1.0" encoding="utf-8"?>
<ThreadedComments xmlns="http://schemas.microsoft.com/office/spreadsheetml/2018/threadedcomments" xmlns:x="http://schemas.openxmlformats.org/spreadsheetml/2006/main">
  <threadedComment ref="A1" dT="2024-02-07T06:15:39.18" personId="{E5A5185B-5DC6-A34D-B229-89FBC887B204}" id="{6516E8C1-E62C-4447-8E8B-DD59EB5685A8}">
    <text>Years 2011-2023 have been copied from “WasteCombinedCharts.xlsx”. The original values were expressed in TONNES and thus have been converted to KG.</text>
  </threadedComment>
</ThreadedComments>
</file>

<file path=xl/threadedComments/threadedComment31.xml><?xml version="1.0" encoding="utf-8"?>
<ThreadedComments xmlns="http://schemas.microsoft.com/office/spreadsheetml/2018/threadedcomments" xmlns:x="http://schemas.openxmlformats.org/spreadsheetml/2006/main">
  <threadedComment ref="A1" dT="2024-02-07T06:15:39.18" personId="{E5A5185B-5DC6-A34D-B229-89FBC887B204}" id="{2B115174-BC0A-4840-BF37-3A10F0E01179}">
    <text>Years 2011-2023 have been copied from “WasteCombinedCharts.xlsx”. The original values were expressed in TONNES and thus have been converted to KG.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5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wngas.com/en/Household/Customer-Services/Tariff" TargetMode="External"/><Relationship Id="rId2" Type="http://schemas.openxmlformats.org/officeDocument/2006/relationships/hyperlink" Target="https://www.towngas.com/en/About-Us/Hong-Kong-Gas-Business/Gas-Production" TargetMode="External"/><Relationship Id="rId1" Type="http://schemas.openxmlformats.org/officeDocument/2006/relationships/hyperlink" Target="https://www.towngas.com/en/About-Us/Hong-Kong-Gas-Business/Gas-Production" TargetMode="External"/><Relationship Id="rId6" Type="http://schemas.microsoft.com/office/2017/10/relationships/threadedComment" Target="../threadedComments/threadedComment8.xml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0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5.xml"/><Relationship Id="rId4" Type="http://schemas.openxmlformats.org/officeDocument/2006/relationships/comments" Target="../comments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6.xml"/><Relationship Id="rId4" Type="http://schemas.openxmlformats.org/officeDocument/2006/relationships/comments" Target="../comments17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15.xml"/><Relationship Id="rId4" Type="http://schemas.microsoft.com/office/2017/10/relationships/threadedComment" Target="../threadedComments/threadedComment21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3.x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4.xml"/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25.xml"/><Relationship Id="rId4" Type="http://schemas.openxmlformats.org/officeDocument/2006/relationships/comments" Target="../comments26.xml"/></Relationships>
</file>

<file path=xl/worksheets/_rels/sheet3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6.xml"/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27.xml"/><Relationship Id="rId4" Type="http://schemas.openxmlformats.org/officeDocument/2006/relationships/comments" Target="../comments28.xml"/></Relationships>
</file>

<file path=xl/worksheets/_rels/sheet3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8.xml"/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4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9.xml"/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21.xml"/><Relationship Id="rId4" Type="http://schemas.microsoft.com/office/2017/10/relationships/threadedComment" Target="../threadedComments/threadedComment30.xml"/></Relationships>
</file>

<file path=xl/worksheets/_rels/sheet4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1.xml"/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5E78-C698-4E15-BB71-E513AEABF0A3}">
  <dimension ref="A1:E41"/>
  <sheetViews>
    <sheetView workbookViewId="0">
      <selection activeCell="C3" sqref="C3"/>
    </sheetView>
  </sheetViews>
  <sheetFormatPr baseColWidth="10" defaultColWidth="8.6640625" defaultRowHeight="16" x14ac:dyDescent="0.2"/>
  <cols>
    <col min="1" max="1" width="31.1640625" style="1" bestFit="1" customWidth="1"/>
    <col min="2" max="2" width="8.6640625" style="1"/>
    <col min="3" max="3" width="30" style="1" bestFit="1" customWidth="1"/>
    <col min="4" max="4" width="8.6640625" style="1"/>
    <col min="5" max="5" width="37.33203125" style="1" bestFit="1" customWidth="1"/>
    <col min="6" max="16384" width="8.6640625" style="1"/>
  </cols>
  <sheetData>
    <row r="1" spans="1:5" x14ac:dyDescent="0.2">
      <c r="A1" s="13" t="s">
        <v>0</v>
      </c>
      <c r="C1" s="13" t="s">
        <v>20</v>
      </c>
      <c r="E1" s="13" t="s">
        <v>1</v>
      </c>
    </row>
    <row r="2" spans="1:5" x14ac:dyDescent="0.2">
      <c r="A2" s="168" t="s">
        <v>2</v>
      </c>
      <c r="C2" s="168" t="s">
        <v>3</v>
      </c>
      <c r="E2" s="168" t="s">
        <v>3</v>
      </c>
    </row>
    <row r="3" spans="1:5" x14ac:dyDescent="0.2">
      <c r="A3" s="168" t="s">
        <v>4</v>
      </c>
      <c r="C3" s="168" t="s">
        <v>5</v>
      </c>
      <c r="E3" s="168" t="s">
        <v>5</v>
      </c>
    </row>
    <row r="4" spans="1:5" x14ac:dyDescent="0.2">
      <c r="A4" s="168" t="s">
        <v>7</v>
      </c>
      <c r="C4" s="168" t="s">
        <v>707</v>
      </c>
      <c r="E4" s="168" t="s">
        <v>707</v>
      </c>
    </row>
    <row r="5" spans="1:5" x14ac:dyDescent="0.2">
      <c r="C5" s="168" t="s">
        <v>9</v>
      </c>
      <c r="E5" s="168" t="s">
        <v>9</v>
      </c>
    </row>
    <row r="6" spans="1:5" x14ac:dyDescent="0.2">
      <c r="A6" s="13" t="s">
        <v>10</v>
      </c>
      <c r="C6" s="168" t="s">
        <v>15</v>
      </c>
      <c r="E6" s="168" t="s">
        <v>11</v>
      </c>
    </row>
    <row r="7" spans="1:5" x14ac:dyDescent="0.2">
      <c r="A7" s="168" t="s">
        <v>4</v>
      </c>
      <c r="C7" s="168" t="s">
        <v>17</v>
      </c>
      <c r="E7" s="168" t="s">
        <v>708</v>
      </c>
    </row>
    <row r="8" spans="1:5" x14ac:dyDescent="0.2">
      <c r="A8" s="168" t="s">
        <v>7</v>
      </c>
      <c r="C8" s="168" t="s">
        <v>19</v>
      </c>
      <c r="E8" s="168" t="s">
        <v>709</v>
      </c>
    </row>
    <row r="9" spans="1:5" x14ac:dyDescent="0.2">
      <c r="A9" s="168"/>
      <c r="C9" s="168" t="s">
        <v>713</v>
      </c>
      <c r="E9" s="168" t="s">
        <v>710</v>
      </c>
    </row>
    <row r="10" spans="1:5" x14ac:dyDescent="0.2">
      <c r="A10" s="13" t="s">
        <v>25</v>
      </c>
      <c r="C10" s="168" t="s">
        <v>715</v>
      </c>
      <c r="E10" s="168" t="s">
        <v>13</v>
      </c>
    </row>
    <row r="11" spans="1:5" x14ac:dyDescent="0.2">
      <c r="A11" s="168" t="s">
        <v>7</v>
      </c>
      <c r="C11" s="168" t="s">
        <v>717</v>
      </c>
      <c r="E11" s="168" t="s">
        <v>15</v>
      </c>
    </row>
    <row r="12" spans="1:5" x14ac:dyDescent="0.2">
      <c r="A12" s="168" t="s">
        <v>26</v>
      </c>
      <c r="C12" s="168" t="s">
        <v>21</v>
      </c>
      <c r="E12" s="168" t="s">
        <v>17</v>
      </c>
    </row>
    <row r="13" spans="1:5" x14ac:dyDescent="0.2">
      <c r="C13" s="168" t="s">
        <v>23</v>
      </c>
      <c r="E13" s="168" t="s">
        <v>19</v>
      </c>
    </row>
    <row r="14" spans="1:5" x14ac:dyDescent="0.2">
      <c r="A14" s="13" t="s">
        <v>714</v>
      </c>
      <c r="E14" s="168" t="s">
        <v>21</v>
      </c>
    </row>
    <row r="15" spans="1:5" x14ac:dyDescent="0.2">
      <c r="A15" s="168" t="s">
        <v>24</v>
      </c>
      <c r="E15" s="168" t="s">
        <v>716</v>
      </c>
    </row>
    <row r="16" spans="1:5" x14ac:dyDescent="0.2">
      <c r="A16" s="168" t="s">
        <v>16</v>
      </c>
      <c r="E16" s="168" t="s">
        <v>23</v>
      </c>
    </row>
    <row r="17" spans="1:5" x14ac:dyDescent="0.2">
      <c r="E17" s="168" t="s">
        <v>718</v>
      </c>
    </row>
    <row r="18" spans="1:5" x14ac:dyDescent="0.2">
      <c r="A18" s="13" t="s">
        <v>27</v>
      </c>
    </row>
    <row r="19" spans="1:5" x14ac:dyDescent="0.2">
      <c r="A19" s="168" t="s">
        <v>712</v>
      </c>
    </row>
    <row r="20" spans="1:5" x14ac:dyDescent="0.2">
      <c r="A20" s="168" t="s">
        <v>711</v>
      </c>
    </row>
    <row r="22" spans="1:5" x14ac:dyDescent="0.2">
      <c r="A22" s="553" t="s">
        <v>706</v>
      </c>
    </row>
    <row r="23" spans="1:5" x14ac:dyDescent="0.2">
      <c r="A23" s="168" t="s">
        <v>26</v>
      </c>
    </row>
    <row r="41" spans="1:1" x14ac:dyDescent="0.2">
      <c r="A41" s="13"/>
    </row>
  </sheetData>
  <hyperlinks>
    <hyperlink ref="A2" location="'Annual Report (Energy)'!A1" display="Energy" xr:uid="{54A4A4FF-F97A-9049-8FA6-77B16A3196F2}"/>
    <hyperlink ref="A3" location="'Annual Report (Water)'!A1" display="Water" xr:uid="{AA41832A-F253-424A-B95E-16427468062F}"/>
    <hyperlink ref="A4" location="'Annual Report (Waste)'!A1" display="Waste" xr:uid="{BD4D4BF2-5A83-AA43-A579-94BB9962F1D7}"/>
    <hyperlink ref="A7" location="'Half-Year Report (Water)'!A1" display="Water" xr:uid="{34150E79-2D9A-8540-B334-E5FFAD9AD12D}"/>
    <hyperlink ref="A8" location="'Half-Year Report (Waste)'!A1" display="Waste" xr:uid="{C9D27956-036A-DD41-BC3D-06C46DFB4040}"/>
    <hyperlink ref="C3" location="'Monthly Electricity (Overview)'!A1" display="Electricity (Overview)" xr:uid="{E06A2E4F-F934-CA43-B8A8-8A4546BD15FA}"/>
    <hyperlink ref="C4" location="'Monthly Electricity Reformatted'!A1" display="Electricity (Reformatted)" xr:uid="{7FEBECF4-19C2-8146-9150-064F38F125C7}"/>
    <hyperlink ref="C5" location="'Monthly Towngas (TGU)'!A1" display="Towngas (TGU)" xr:uid="{4F534431-A15C-6C4A-83C3-BF53E2CF0EE8}"/>
    <hyperlink ref="C6" location="'Monthly Potable (Overview)'!A1" display="Potable Water (Overview)" xr:uid="{6C63B0C1-7B75-7E46-A7F7-C9144EE2C86B}"/>
    <hyperlink ref="C7" location="'Monthly Potable (Meters)'!A1" display="Potable Water (Meters)" xr:uid="{4F91411E-4ADF-1148-9CB7-DE25E6DD6335}"/>
    <hyperlink ref="C8" location="'Monthly Seawater (m3)'!A1" display="Seawater (m3)" xr:uid="{197FF8F8-A598-E449-8007-990B2C41FFAD}"/>
    <hyperlink ref="C12" location="'Monthly Recycling'!A1" display="Recycling (kg)" xr:uid="{3F0DF028-A8F9-3F46-9CA9-F4FB6DF917FC}"/>
    <hyperlink ref="C13" location="'Monthly Paper Distribution'!A1" display="Paper Distribution (kg)" xr:uid="{11B5A2D5-3BBD-CE4F-AEC8-3AAE6BA2C3CB}"/>
    <hyperlink ref="E3" location="'Yearly Electricity (Overview)'!A1" display="Electricity (Overview)" xr:uid="{366DE5AC-BF35-6D48-A012-D82AE64210E0}"/>
    <hyperlink ref="E5" location="'Yearly Towngas (TGU)'!A1" display="Towngas (TGU)" xr:uid="{1ED1FAAD-FDC0-B040-942A-F39E41ACD533}"/>
    <hyperlink ref="E6" location="'Yearly Fuel'!A1" display="Fuel" xr:uid="{175B3BF0-7501-674C-B5A7-BC44AA642956}"/>
    <hyperlink ref="E10" location="'Yearly GHG (mCO2)'!A1" display="GHG (mtCO2)" xr:uid="{D1277160-84AF-AA4D-A46F-50973D74238D}"/>
    <hyperlink ref="E11" location="'Yearly Potable (Overview)'!A1" display="Potable Water (Overview)" xr:uid="{A3A1C3AA-763C-D242-8AE5-C9E8A70E1684}"/>
    <hyperlink ref="E12" location="'Yearly Potable (meters)'!A1" display="Potable Water (Meters)" xr:uid="{66B8ADB7-FDEB-5547-ADFE-0107E0870FA9}"/>
    <hyperlink ref="E13" location="'Yearly Seawater (m3)'!A1" display="Seawater (m3)" xr:uid="{923DD27F-89A4-ED40-8E95-F3D555EDD91C}"/>
    <hyperlink ref="E14" location="'Yearly Recycling'!A1" display="Recycling (kg)" xr:uid="{24D50B9D-9C28-E943-BE67-050A03ADFED1}"/>
    <hyperlink ref="E16" location="'Yearly Paper Distribution'!A1" display="Paper Distribution (kg)" xr:uid="{A7350FCD-9FA3-CF4D-AB31-249A6119FEC0}"/>
    <hyperlink ref="E4" location="'Yearly Electricity Reformatted'!A1" display="Electricity (Reformatted)" xr:uid="{6C0E25A5-3FB1-D74E-A7FE-891859BEBFD8}"/>
    <hyperlink ref="A11" location="'Raw Data (KG)'!A1" display="Waste" xr:uid="{6564FC73-3234-3D45-BDC9-00418DBC65EC}"/>
    <hyperlink ref="A12" location="'Raw Food Data (KG)'!A1" display="Food Waste" xr:uid="{08B8A8A4-27CE-E24D-A08F-039459A20F17}"/>
    <hyperlink ref="A20" location="'Emission Factor'!A1" display="Emission Factor" xr:uid="{4A3E1BD6-9E85-8344-B58E-8D92B894F9FD}"/>
    <hyperlink ref="C2" location="'Monthly Renewable'!A1" display="Renewable" xr:uid="{BF49F064-1CE1-4444-A0EF-4A052DCA8794}"/>
    <hyperlink ref="E2" location="'Yearly Renewable'!A1" display="Renewable" xr:uid="{12A67B66-6CB2-8B4B-8C6E-8C70037BA08B}"/>
    <hyperlink ref="A23" location="'Daily Food Data'!A1" display="Food" xr:uid="{F0A48B54-3CA1-374D-82D4-E16F6A7AFBC9}"/>
    <hyperlink ref="E7" location="'Scope 1'!A1" display="Scope 1 GHG (mtCO2)" xr:uid="{D929A42E-527D-E245-AB79-A555B8FE4FA9}"/>
    <hyperlink ref="E8" location="'Scope 2'!A1" display="Scope 2 GHG (mtCO2)" xr:uid="{399F30FE-E3FA-DC41-96B1-EBC9F75177CB}"/>
    <hyperlink ref="E9" location="'Scope 3'!A1" display="Scope 3 GHG (mtCO2)" xr:uid="{AE5D0A76-BE32-2A44-899D-9772001B37AB}"/>
    <hyperlink ref="A19" location="'Emission Factor (new)'!A1" display="Emission Factor (Keep Updated)" xr:uid="{E1238202-B73B-8E47-82DB-A65B68AD183F}"/>
    <hyperlink ref="C9" location="'Category Water Data'!A1" display="Category Water Data" xr:uid="{C96884EA-345D-5C41-9EAF-91EACCAE4097}"/>
    <hyperlink ref="C10" location="'Monthly Waste by Location (KG)'!A1" display="Monthly Waste by Location (kg)" xr:uid="{8A7A3E1E-18F1-C342-8DAB-A5A1350C5E15}"/>
    <hyperlink ref="A15" location="'Smart Waste Bin (Staff Quarter)'!A1" display="Staff Quarters" xr:uid="{152381EF-4E67-DF4B-8685-8286CB3C92AD}"/>
    <hyperlink ref="A16" location="'Smart Waste Bin (Canteen)'!A1" display="Canteen" xr:uid="{8442054B-65AE-C140-B0D8-D52F20E1808E}"/>
    <hyperlink ref="E15" location="'Yearly Food Data'!A1" display="Food Waste (kg)" xr:uid="{5FA425F1-05C4-3F4C-9251-AD202179D32D}"/>
    <hyperlink ref="C11" location="'Category Waste Data'!A1" display="Category Waste Data" xr:uid="{AB2171A3-3BBA-0E4C-A858-54F3F363AFAC}"/>
    <hyperlink ref="E17" location="'Yearly Paper (match monthly)'!A1" display="Paper Distribution (match monthly) (kg)" xr:uid="{10E0B59F-BE5D-5D4F-A70F-9CE67F12EF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E912-8AC4-41C9-A3B6-4597D1B06CAA}">
  <dimension ref="A1:AT69"/>
  <sheetViews>
    <sheetView workbookViewId="0">
      <selection activeCell="H13" sqref="H13"/>
    </sheetView>
  </sheetViews>
  <sheetFormatPr baseColWidth="10" defaultColWidth="8.6640625" defaultRowHeight="16" x14ac:dyDescent="0.2"/>
  <cols>
    <col min="1" max="1" width="13.33203125" style="133" customWidth="1"/>
    <col min="2" max="2" width="13.1640625" style="1" customWidth="1"/>
    <col min="3" max="3" width="12.6640625" style="1" bestFit="1" customWidth="1"/>
    <col min="4" max="5" width="15.33203125" style="1" bestFit="1" customWidth="1"/>
    <col min="6" max="6" width="11.1640625" style="1" customWidth="1"/>
    <col min="7" max="7" width="12.6640625" style="1" customWidth="1"/>
    <col min="8" max="8" width="19.6640625" style="1" customWidth="1"/>
    <col min="9" max="9" width="3.33203125" style="134" customWidth="1"/>
    <col min="10" max="10" width="10.6640625" style="98" customWidth="1"/>
    <col min="11" max="11" width="23.33203125" style="1" customWidth="1"/>
    <col min="12" max="12" width="20.6640625" style="1" customWidth="1"/>
    <col min="13" max="13" width="16.1640625" style="1" customWidth="1"/>
    <col min="14" max="14" width="12.6640625" style="1" customWidth="1"/>
    <col min="15" max="15" width="10.33203125" style="1" customWidth="1"/>
    <col min="16" max="16" width="7.1640625" style="1" customWidth="1"/>
    <col min="17" max="17" width="3.33203125" style="134" customWidth="1"/>
    <col min="18" max="18" width="13.33203125" style="1" customWidth="1"/>
    <col min="19" max="19" width="15.6640625" style="1" customWidth="1"/>
    <col min="20" max="24" width="13.33203125" style="1" customWidth="1"/>
    <col min="25" max="25" width="15.6640625" style="1" customWidth="1"/>
    <col min="26" max="27" width="13.33203125" style="1" customWidth="1"/>
    <col min="28" max="28" width="15.6640625" style="1" customWidth="1"/>
    <col min="29" max="29" width="3.33203125" style="134" customWidth="1"/>
    <col min="30" max="30" width="8.6640625" style="98" customWidth="1"/>
    <col min="31" max="31" width="15.6640625" style="1" customWidth="1"/>
    <col min="32" max="34" width="18.33203125" style="1" customWidth="1"/>
    <col min="35" max="35" width="3.33203125" style="134" customWidth="1"/>
    <col min="36" max="36" width="10.6640625" style="159" customWidth="1"/>
    <col min="37" max="38" width="10.6640625" style="15" customWidth="1"/>
    <col min="39" max="43" width="10.6640625" style="1" customWidth="1"/>
    <col min="44" max="44" width="8.6640625" style="1"/>
    <col min="45" max="45" width="13.33203125" style="1" customWidth="1"/>
    <col min="46" max="46" width="9.1640625" style="1" bestFit="1" customWidth="1"/>
    <col min="47" max="16384" width="8.6640625" style="1"/>
  </cols>
  <sheetData>
    <row r="1" spans="1:46" ht="68" x14ac:dyDescent="0.2">
      <c r="A1" s="132" t="s">
        <v>28</v>
      </c>
      <c r="B1" s="129" t="s">
        <v>29</v>
      </c>
      <c r="C1" s="130" t="s">
        <v>30</v>
      </c>
      <c r="D1" s="130" t="s">
        <v>31</v>
      </c>
      <c r="E1" s="130" t="s">
        <v>32</v>
      </c>
      <c r="F1" s="129" t="s">
        <v>33</v>
      </c>
      <c r="G1" s="129" t="s">
        <v>34</v>
      </c>
      <c r="J1" s="87" t="s">
        <v>28</v>
      </c>
      <c r="K1" s="91" t="s">
        <v>35</v>
      </c>
      <c r="L1" s="91" t="s">
        <v>36</v>
      </c>
      <c r="M1" s="91" t="s">
        <v>37</v>
      </c>
      <c r="N1" s="91" t="s">
        <v>38</v>
      </c>
      <c r="O1" s="91"/>
      <c r="R1" s="248" t="s">
        <v>28</v>
      </c>
      <c r="S1" s="248" t="s">
        <v>39</v>
      </c>
      <c r="T1" s="248" t="s">
        <v>40</v>
      </c>
      <c r="U1" s="248" t="s">
        <v>41</v>
      </c>
      <c r="V1" s="248" t="s">
        <v>42</v>
      </c>
      <c r="W1" s="248" t="s">
        <v>43</v>
      </c>
      <c r="X1" s="248" t="s">
        <v>44</v>
      </c>
      <c r="Y1" s="248" t="s">
        <v>45</v>
      </c>
      <c r="Z1" s="248" t="s">
        <v>46</v>
      </c>
      <c r="AA1" s="248" t="s">
        <v>47</v>
      </c>
      <c r="AB1" s="248" t="s">
        <v>48</v>
      </c>
      <c r="AD1" s="104" t="s">
        <v>49</v>
      </c>
      <c r="AE1" s="54" t="s">
        <v>50</v>
      </c>
      <c r="AF1" s="54" t="s">
        <v>51</v>
      </c>
      <c r="AG1" s="91" t="s">
        <v>52</v>
      </c>
      <c r="AH1" s="54" t="s">
        <v>53</v>
      </c>
      <c r="AI1" s="157"/>
      <c r="AJ1" s="216" t="s">
        <v>54</v>
      </c>
      <c r="AK1" s="215" t="s">
        <v>55</v>
      </c>
      <c r="AL1" s="215" t="s">
        <v>56</v>
      </c>
      <c r="AM1" s="201" t="s">
        <v>57</v>
      </c>
      <c r="AN1" s="183">
        <v>2028</v>
      </c>
      <c r="AO1" s="183">
        <v>2035</v>
      </c>
      <c r="AP1" s="201">
        <v>2045</v>
      </c>
      <c r="AQ1" s="201">
        <v>2050</v>
      </c>
    </row>
    <row r="2" spans="1:46" x14ac:dyDescent="0.2">
      <c r="A2" s="131" t="s">
        <v>58</v>
      </c>
      <c r="B2" s="489">
        <v>280000</v>
      </c>
      <c r="C2" s="126">
        <f>'Yearly Towngas (TGU)'!I6</f>
        <v>5874308</v>
      </c>
      <c r="D2" s="9">
        <v>93067207</v>
      </c>
      <c r="E2" s="7">
        <f t="shared" ref="E2:E10" si="0">SUM(B2:D2)</f>
        <v>99221515</v>
      </c>
      <c r="F2" s="7">
        <f>E2/'Yearly GHG (mCO2)'!G6</f>
        <v>6072.3081395348836</v>
      </c>
      <c r="G2" s="7">
        <f>E2/'Yearly GHG (mCO2)'!H6</f>
        <v>209.5222887049394</v>
      </c>
      <c r="J2" s="87" t="s">
        <v>58</v>
      </c>
      <c r="K2" s="9">
        <v>93067207</v>
      </c>
      <c r="L2" s="8">
        <v>0</v>
      </c>
      <c r="M2" s="8"/>
      <c r="N2" s="8">
        <v>0</v>
      </c>
      <c r="O2" s="8"/>
      <c r="R2" s="240" t="s">
        <v>59</v>
      </c>
      <c r="S2" s="249">
        <v>51334417</v>
      </c>
      <c r="T2" s="249">
        <v>4746630</v>
      </c>
      <c r="U2" s="249">
        <v>17653437</v>
      </c>
      <c r="V2" s="249">
        <v>1497696</v>
      </c>
      <c r="W2" s="249">
        <v>2713600</v>
      </c>
      <c r="X2" s="249">
        <v>588506</v>
      </c>
      <c r="Y2" s="249">
        <v>1478893</v>
      </c>
      <c r="Z2" s="249">
        <v>909181</v>
      </c>
      <c r="AA2" s="249">
        <v>6604565</v>
      </c>
      <c r="AB2" s="249">
        <v>9182416</v>
      </c>
      <c r="AD2" s="156" t="s">
        <v>58</v>
      </c>
      <c r="AE2" s="155">
        <f>'Yearly GHG (mCO2)'!E6</f>
        <v>61233.387065652874</v>
      </c>
      <c r="AF2" s="244">
        <f>'Yearly GHG (mCO2)'!D6</f>
        <v>795.24598702799994</v>
      </c>
      <c r="AG2" s="154">
        <f>'Yearly GHG (mCO2)'!I6</f>
        <v>3.7474533087914854</v>
      </c>
      <c r="AH2" s="154">
        <f>'Yearly GHG (mCO2)'!J6</f>
        <v>1.2930420789433648</v>
      </c>
      <c r="AI2" s="158"/>
      <c r="AJ2" s="200">
        <v>2014</v>
      </c>
      <c r="AK2" s="217">
        <v>61233</v>
      </c>
      <c r="AL2" s="217">
        <v>61233</v>
      </c>
      <c r="AM2" s="217"/>
      <c r="AN2" s="217">
        <f>AK2</f>
        <v>61233</v>
      </c>
      <c r="AO2" s="16"/>
      <c r="AP2" s="204"/>
      <c r="AQ2" s="204"/>
      <c r="AS2" s="1" t="s">
        <v>60</v>
      </c>
    </row>
    <row r="3" spans="1:46" x14ac:dyDescent="0.2">
      <c r="A3" s="131" t="s">
        <v>61</v>
      </c>
      <c r="B3" s="7">
        <v>370000</v>
      </c>
      <c r="C3" s="126">
        <f>'Yearly Towngas (TGU)'!I7</f>
        <v>7232698</v>
      </c>
      <c r="D3" s="9">
        <v>95800070</v>
      </c>
      <c r="E3" s="7">
        <f t="shared" si="0"/>
        <v>103402768</v>
      </c>
      <c r="F3" s="7">
        <f>E3/'Yearly GHG (mCO2)'!G7</f>
        <v>6221.2122014319239</v>
      </c>
      <c r="G3" s="7">
        <f>E3/'Yearly GHG (mCO2)'!H7</f>
        <v>215.38048259983486</v>
      </c>
      <c r="J3" s="87" t="s">
        <v>61</v>
      </c>
      <c r="K3" s="9">
        <v>95800070</v>
      </c>
      <c r="L3" s="8">
        <v>0</v>
      </c>
      <c r="M3" s="8"/>
      <c r="N3" s="8">
        <v>0</v>
      </c>
      <c r="O3" s="8"/>
      <c r="R3" s="240" t="s">
        <v>62</v>
      </c>
      <c r="S3" s="250">
        <v>0.53080000000000005</v>
      </c>
      <c r="T3" s="250">
        <v>4.9099999999999998E-2</v>
      </c>
      <c r="U3" s="250">
        <v>0.1825</v>
      </c>
      <c r="V3" s="250">
        <v>1.55E-2</v>
      </c>
      <c r="W3" s="250">
        <v>2.81E-2</v>
      </c>
      <c r="X3" s="250">
        <v>6.1000000000000004E-3</v>
      </c>
      <c r="Y3" s="250">
        <v>1.5299999999999999E-2</v>
      </c>
      <c r="Z3" s="250">
        <v>9.4000000000000004E-3</v>
      </c>
      <c r="AA3" s="250">
        <v>6.83E-2</v>
      </c>
      <c r="AB3" s="250">
        <v>9.4899999999999998E-2</v>
      </c>
      <c r="AD3" s="156" t="s">
        <v>61</v>
      </c>
      <c r="AE3" s="155">
        <f>'Yearly GHG (mCO2)'!E7</f>
        <v>53623.842001102537</v>
      </c>
      <c r="AF3" s="244">
        <f>'Yearly GHG (mCO2)'!D7</f>
        <v>865.87690612799997</v>
      </c>
      <c r="AG3" s="154">
        <f>'Yearly GHG (mCO2)'!I7</f>
        <v>3.2262705012395485</v>
      </c>
      <c r="AH3" s="154">
        <f>'Yearly GHG (mCO2)'!J7</f>
        <v>1.1169458219005084</v>
      </c>
      <c r="AI3" s="158"/>
      <c r="AJ3" s="200">
        <v>2015</v>
      </c>
      <c r="AK3" s="217">
        <v>53624</v>
      </c>
      <c r="AL3" s="217">
        <v>53624</v>
      </c>
      <c r="AM3" s="217"/>
      <c r="AN3" s="14">
        <f>AN2+AT8</f>
        <v>59483.485714285714</v>
      </c>
      <c r="AO3" s="16"/>
      <c r="AP3" s="205"/>
      <c r="AQ3" s="205"/>
      <c r="AS3" s="202">
        <v>0</v>
      </c>
      <c r="AT3" s="16">
        <f>AK2</f>
        <v>61233</v>
      </c>
    </row>
    <row r="4" spans="1:46" x14ac:dyDescent="0.2">
      <c r="A4" s="131" t="s">
        <v>63</v>
      </c>
      <c r="B4" s="7">
        <v>201980.5</v>
      </c>
      <c r="C4" s="126">
        <f>'Yearly Towngas (TGU)'!I8</f>
        <v>6584444</v>
      </c>
      <c r="D4" s="9">
        <v>94486358</v>
      </c>
      <c r="E4" s="7">
        <f t="shared" si="0"/>
        <v>101272782.5</v>
      </c>
      <c r="F4" s="7">
        <f>E4/'Yearly GHG (mCO2)'!G8</f>
        <v>5854.0872568571349</v>
      </c>
      <c r="G4" s="7">
        <f>E4/'Yearly GHG (mCO2)'!H8</f>
        <v>199.35587106299212</v>
      </c>
      <c r="J4" s="87" t="s">
        <v>63</v>
      </c>
      <c r="K4" s="9">
        <v>94486358</v>
      </c>
      <c r="L4" s="8">
        <v>0</v>
      </c>
      <c r="M4" s="8"/>
      <c r="N4" s="8">
        <v>0</v>
      </c>
      <c r="O4" s="8"/>
      <c r="R4" s="135"/>
      <c r="S4" s="128"/>
      <c r="AD4" s="156" t="s">
        <v>63</v>
      </c>
      <c r="AE4" s="155">
        <f>'Yearly GHG (mCO2)'!E8</f>
        <v>52655.500400613339</v>
      </c>
      <c r="AF4" s="244">
        <f>'Yearly GHG (mCO2)'!D8</f>
        <v>662.19891291520003</v>
      </c>
      <c r="AG4" s="154">
        <f>'Yearly GHG (mCO2)'!I8</f>
        <v>3.0437585132872824</v>
      </c>
      <c r="AH4" s="154">
        <f>'Yearly GHG (mCO2)'!J8</f>
        <v>1.0365255984372705</v>
      </c>
      <c r="AI4" s="158"/>
      <c r="AJ4" s="200">
        <v>2016</v>
      </c>
      <c r="AK4" s="217">
        <v>52656</v>
      </c>
      <c r="AL4" s="217">
        <v>52656</v>
      </c>
      <c r="AM4" s="217"/>
      <c r="AN4" s="14">
        <f>AN3+AT8</f>
        <v>57733.971428571429</v>
      </c>
      <c r="AO4" s="16"/>
      <c r="AP4" s="205"/>
      <c r="AQ4" s="205"/>
      <c r="AS4" s="202">
        <v>0.4</v>
      </c>
      <c r="AT4" s="16">
        <f>0.6*AK2</f>
        <v>36739.799999999996</v>
      </c>
    </row>
    <row r="5" spans="1:46" x14ac:dyDescent="0.2">
      <c r="A5" s="131" t="s">
        <v>64</v>
      </c>
      <c r="B5" s="7">
        <v>221452.21</v>
      </c>
      <c r="C5" s="126">
        <f>'Yearly Towngas (TGU)'!I9</f>
        <v>5665933</v>
      </c>
      <c r="D5" s="9">
        <v>92966450</v>
      </c>
      <c r="E5" s="7">
        <f t="shared" si="0"/>
        <v>98853835.209999993</v>
      </c>
      <c r="F5" s="7">
        <f>E5/'Yearly GHG (mCO2)'!G9</f>
        <v>5515.3198432225845</v>
      </c>
      <c r="G5" s="7">
        <f>E5/'Yearly GHG (mCO2)'!H9</f>
        <v>192.84037924778588</v>
      </c>
      <c r="J5" s="87" t="s">
        <v>64</v>
      </c>
      <c r="K5" s="9">
        <v>92966450</v>
      </c>
      <c r="L5" s="8">
        <v>0</v>
      </c>
      <c r="M5" s="8"/>
      <c r="N5" s="8">
        <v>0</v>
      </c>
      <c r="O5" s="8"/>
      <c r="R5" s="135"/>
      <c r="S5" s="128"/>
      <c r="AD5" s="156" t="s">
        <v>64</v>
      </c>
      <c r="AE5" s="155">
        <f>'Yearly GHG (mCO2)'!E9</f>
        <v>48812.938000415605</v>
      </c>
      <c r="AF5" s="244">
        <f>'Yearly GHG (mCO2)'!D9</f>
        <v>639.41977355847359</v>
      </c>
      <c r="AG5" s="154">
        <f>'Yearly GHG (mCO2)'!I9</f>
        <v>2.7234043574310602</v>
      </c>
      <c r="AH5" s="154">
        <f>'Yearly GHG (mCO2)'!J9</f>
        <v>0.95222461083093912</v>
      </c>
      <c r="AI5" s="158"/>
      <c r="AJ5" s="200">
        <v>2017</v>
      </c>
      <c r="AK5" s="217">
        <v>48813</v>
      </c>
      <c r="AL5" s="217">
        <v>48813</v>
      </c>
      <c r="AM5" s="217"/>
      <c r="AN5" s="14">
        <f>AN4+AT8</f>
        <v>55984.457142857143</v>
      </c>
      <c r="AO5" s="16"/>
      <c r="AP5" s="205"/>
      <c r="AQ5" s="205"/>
      <c r="AS5" s="202">
        <v>0.5</v>
      </c>
      <c r="AT5" s="16">
        <f>0.5*AK2</f>
        <v>30616.5</v>
      </c>
    </row>
    <row r="6" spans="1:46" x14ac:dyDescent="0.2">
      <c r="A6" s="131" t="s">
        <v>65</v>
      </c>
      <c r="B6" s="7">
        <v>205172.45</v>
      </c>
      <c r="C6" s="126">
        <f>'Yearly Towngas (TGU)'!I10</f>
        <v>6128182</v>
      </c>
      <c r="D6" s="9">
        <v>90186094</v>
      </c>
      <c r="E6" s="7">
        <f t="shared" si="0"/>
        <v>96519448.450000003</v>
      </c>
      <c r="F6" s="7">
        <f>E6/'Yearly GHG (mCO2)'!G10</f>
        <v>5214.871461760813</v>
      </c>
      <c r="G6" s="7">
        <f>E6/'Yearly GHG (mCO2)'!H10</f>
        <v>187.37815087105935</v>
      </c>
      <c r="J6" s="87" t="s">
        <v>65</v>
      </c>
      <c r="K6" s="9">
        <v>90186094</v>
      </c>
      <c r="L6" s="8">
        <v>0</v>
      </c>
      <c r="M6" s="8"/>
      <c r="N6" s="8">
        <v>0</v>
      </c>
      <c r="O6" s="8"/>
      <c r="R6" s="135"/>
      <c r="S6" s="128"/>
      <c r="AD6" s="156" t="s">
        <v>65</v>
      </c>
      <c r="AE6" s="155">
        <f>'Yearly GHG (mCO2)'!E10</f>
        <v>47481.825634589179</v>
      </c>
      <c r="AF6" s="244">
        <f>'Yearly GHG (mCO2)'!D10</f>
        <v>656.55334308672002</v>
      </c>
      <c r="AG6" s="154">
        <f>'Yearly GHG (mCO2)'!I10</f>
        <v>2.5654064691676353</v>
      </c>
      <c r="AH6" s="154">
        <f>'Yearly GHG (mCO2)'!J10</f>
        <v>0.92178901042936745</v>
      </c>
      <c r="AI6" s="158"/>
      <c r="AJ6" s="200">
        <v>2018</v>
      </c>
      <c r="AK6" s="217">
        <v>47482</v>
      </c>
      <c r="AL6" s="217">
        <v>47482</v>
      </c>
      <c r="AM6" s="217"/>
      <c r="AN6" s="14">
        <f>AN5+AT8</f>
        <v>54234.942857142858</v>
      </c>
      <c r="AO6" s="16"/>
      <c r="AP6" s="205"/>
      <c r="AQ6" s="205"/>
    </row>
    <row r="7" spans="1:46" x14ac:dyDescent="0.2">
      <c r="A7" s="131" t="s">
        <v>66</v>
      </c>
      <c r="B7" s="7">
        <v>181092.19</v>
      </c>
      <c r="C7" s="126">
        <f>'Yearly Towngas (TGU)'!I11</f>
        <v>4520415</v>
      </c>
      <c r="D7" s="9">
        <v>87353244</v>
      </c>
      <c r="E7" s="7">
        <f t="shared" si="0"/>
        <v>92054751.189999998</v>
      </c>
      <c r="F7" s="7">
        <f>E7/'Yearly GHG (mCO2)'!G11</f>
        <v>5207.0112104757054</v>
      </c>
      <c r="G7" s="7">
        <f>E7/'Yearly GHG (mCO2)'!H11</f>
        <v>178.71060531197688</v>
      </c>
      <c r="J7" s="87" t="s">
        <v>66</v>
      </c>
      <c r="K7" s="9">
        <v>87353244</v>
      </c>
      <c r="L7" s="9">
        <v>2920</v>
      </c>
      <c r="M7" s="8">
        <v>0.51</v>
      </c>
      <c r="N7" s="9">
        <f>(L7*M7)/1000</f>
        <v>1.4892000000000001</v>
      </c>
      <c r="O7" s="9"/>
      <c r="P7" s="182">
        <f>L7/K7</f>
        <v>3.3427493545631803E-5</v>
      </c>
      <c r="R7" s="135"/>
      <c r="S7" s="128"/>
      <c r="AD7" s="156" t="s">
        <v>66</v>
      </c>
      <c r="AE7" s="155">
        <f>'Yearly GHG (mCO2)'!E11</f>
        <v>44850.269450658227</v>
      </c>
      <c r="AF7" s="244">
        <f>'Yearly GHG (mCO2)'!D11</f>
        <v>241.89825599999998</v>
      </c>
      <c r="AG7" s="154">
        <f>'Yearly GHG (mCO2)'!I11</f>
        <v>2.5369234374488503</v>
      </c>
      <c r="AH7" s="154">
        <f>'Yearly GHG (mCO2)'!J11</f>
        <v>0.87070126183808516</v>
      </c>
      <c r="AI7" s="158"/>
      <c r="AJ7" s="200">
        <v>2019</v>
      </c>
      <c r="AK7" s="218">
        <f>44850-N7</f>
        <v>44848.510799999996</v>
      </c>
      <c r="AL7" s="217">
        <f>44850</f>
        <v>44850</v>
      </c>
      <c r="AM7" s="217"/>
      <c r="AN7" s="14">
        <f>AN6+AT8</f>
        <v>52485.428571428572</v>
      </c>
      <c r="AO7" s="16"/>
      <c r="AP7" s="205"/>
      <c r="AQ7" s="205"/>
      <c r="AS7" s="1" t="s">
        <v>67</v>
      </c>
    </row>
    <row r="8" spans="1:46" x14ac:dyDescent="0.2">
      <c r="A8" s="131" t="s">
        <v>68</v>
      </c>
      <c r="B8" s="7">
        <v>224833.4</v>
      </c>
      <c r="C8" s="126">
        <f>'Yearly Towngas (TGU)'!I12</f>
        <v>4701278</v>
      </c>
      <c r="D8" s="9">
        <v>88318175</v>
      </c>
      <c r="E8" s="7">
        <f t="shared" si="0"/>
        <v>93244286.400000006</v>
      </c>
      <c r="F8" s="7">
        <f>E8/'Yearly GHG (mCO2)'!G12</f>
        <v>4729.1315311659991</v>
      </c>
      <c r="G8" s="7">
        <f>E8/'Yearly GHG (mCO2)'!H12</f>
        <v>165.445552923642</v>
      </c>
      <c r="J8" s="87" t="s">
        <v>68</v>
      </c>
      <c r="K8" s="9">
        <v>88318175</v>
      </c>
      <c r="L8" s="9">
        <v>391443</v>
      </c>
      <c r="M8" s="8">
        <v>0.37</v>
      </c>
      <c r="N8" s="9">
        <f t="shared" ref="N8:N9" si="1">(L8*M8)/1000</f>
        <v>144.83391</v>
      </c>
      <c r="O8" s="9"/>
      <c r="P8" s="182">
        <f>L8/K8</f>
        <v>4.4321907693405122E-3</v>
      </c>
      <c r="R8" s="136"/>
      <c r="S8" s="128"/>
      <c r="AD8" s="156" t="s">
        <v>68</v>
      </c>
      <c r="AE8" s="155">
        <f>'Yearly GHG (mCO2)'!E12</f>
        <v>33904.269181722149</v>
      </c>
      <c r="AF8" s="244">
        <f>'Yearly GHG (mCO2)'!D12</f>
        <v>124.753760052</v>
      </c>
      <c r="AG8" s="154">
        <f>'Yearly GHG (mCO2)'!I12</f>
        <v>1.7195450211351702</v>
      </c>
      <c r="AH8" s="154">
        <f>'Yearly GHG (mCO2)'!J12</f>
        <v>0.60157150403609239</v>
      </c>
      <c r="AI8" s="158"/>
      <c r="AJ8" s="200">
        <v>2020</v>
      </c>
      <c r="AK8" s="218">
        <f>33904-N8</f>
        <v>33759.166089999999</v>
      </c>
      <c r="AL8" s="217">
        <f>33904</f>
        <v>33904</v>
      </c>
      <c r="AM8" s="217"/>
      <c r="AN8" s="14">
        <f>AN7+AT8</f>
        <v>50735.914285714287</v>
      </c>
      <c r="AO8" s="16"/>
      <c r="AP8" s="205"/>
      <c r="AQ8" s="205"/>
      <c r="AS8" s="1" t="s">
        <v>69</v>
      </c>
      <c r="AT8" s="16">
        <f>(AN16-AN2)/14</f>
        <v>-1749.514285714286</v>
      </c>
    </row>
    <row r="9" spans="1:46" x14ac:dyDescent="0.2">
      <c r="A9" s="131" t="s">
        <v>70</v>
      </c>
      <c r="B9" s="7">
        <v>234812</v>
      </c>
      <c r="C9" s="126">
        <f>'Yearly Towngas (TGU)'!I13</f>
        <v>5113008</v>
      </c>
      <c r="D9" s="9">
        <v>89692408</v>
      </c>
      <c r="E9" s="7">
        <f t="shared" si="0"/>
        <v>95040228</v>
      </c>
      <c r="F9" s="7">
        <f>E9/'Yearly GHG (mCO2)'!G13</f>
        <v>4626.4045173538434</v>
      </c>
      <c r="G9" s="7">
        <f>E9/'Yearly GHG (mCO2)'!H13</f>
        <v>164.42739775322886</v>
      </c>
      <c r="J9" s="87" t="s">
        <v>70</v>
      </c>
      <c r="K9" s="9">
        <v>89692408</v>
      </c>
      <c r="L9" s="9">
        <v>1912724</v>
      </c>
      <c r="M9" s="8">
        <v>0.39</v>
      </c>
      <c r="N9" s="9">
        <f t="shared" si="1"/>
        <v>745.96235999999999</v>
      </c>
      <c r="O9" s="9"/>
      <c r="P9" s="182">
        <f>L9/K9</f>
        <v>2.1325372377113568E-2</v>
      </c>
      <c r="AD9" s="156" t="s">
        <v>70</v>
      </c>
      <c r="AE9" s="155">
        <f>'Yearly GHG (mCO2)'!E13</f>
        <v>36252.173681919507</v>
      </c>
      <c r="AF9" s="244">
        <f>'Yearly GHG (mCO2)'!D13</f>
        <v>258.65208525200001</v>
      </c>
      <c r="AG9" s="154">
        <f>'Yearly GHG (mCO2)'!I13</f>
        <v>1.7646971563023661</v>
      </c>
      <c r="AH9" s="154">
        <f>'Yearly GHG (mCO2)'!J13</f>
        <v>0.62719236967909153</v>
      </c>
      <c r="AI9" s="158"/>
      <c r="AJ9" s="200">
        <v>2021</v>
      </c>
      <c r="AK9" s="218">
        <f>36252-N9</f>
        <v>35506.037640000002</v>
      </c>
      <c r="AL9" s="217">
        <f>36252</f>
        <v>36252</v>
      </c>
      <c r="AM9" s="217"/>
      <c r="AN9" s="14">
        <f>AN8+AT8</f>
        <v>48986.400000000001</v>
      </c>
      <c r="AO9" s="16"/>
      <c r="AP9" s="205"/>
      <c r="AQ9" s="205"/>
      <c r="AS9" s="1" t="s">
        <v>71</v>
      </c>
      <c r="AT9" s="16">
        <f>(AO23-AO16)/(22-15)</f>
        <v>-874.75714285714218</v>
      </c>
    </row>
    <row r="10" spans="1:46" x14ac:dyDescent="0.2">
      <c r="A10" s="131" t="s">
        <v>72</v>
      </c>
      <c r="B10" s="7">
        <v>292973.4277</v>
      </c>
      <c r="C10" s="126">
        <f>'Yearly Towngas (TGU)'!I14</f>
        <v>5491373</v>
      </c>
      <c r="D10" s="9">
        <v>93932338</v>
      </c>
      <c r="E10" s="7">
        <f t="shared" si="0"/>
        <v>99716684.427699998</v>
      </c>
      <c r="F10" s="7">
        <f>E10/'Yearly GHG (mCO2)'!G14</f>
        <v>4638.6325732753403</v>
      </c>
      <c r="G10" s="7">
        <f>E10/'Yearly GHG (mCO2)'!H14</f>
        <v>172.51812595297289</v>
      </c>
      <c r="H10" s="153"/>
      <c r="J10" s="87" t="s">
        <v>72</v>
      </c>
      <c r="K10" s="9">
        <v>93932338</v>
      </c>
      <c r="L10" s="9">
        <v>2319773</v>
      </c>
      <c r="M10" s="8">
        <v>0.39</v>
      </c>
      <c r="N10" s="9">
        <f>(L10*M10)/1000</f>
        <v>904.71147000000008</v>
      </c>
      <c r="O10" s="139">
        <f>(L10-L9)/L9</f>
        <v>0.21281115309893117</v>
      </c>
      <c r="P10" s="182">
        <f>L10/K10</f>
        <v>2.4696212714305058E-2</v>
      </c>
      <c r="AD10" s="156" t="s">
        <v>72</v>
      </c>
      <c r="AE10" s="155">
        <f>'Yearly GHG (mCO2)'!E14</f>
        <v>38013.728460178099</v>
      </c>
      <c r="AF10" s="244">
        <f>'Yearly GHG (mCO2)'!D14</f>
        <v>555.67177890799996</v>
      </c>
      <c r="AG10" s="154">
        <f>'Yearly GHG (mCO2)'!I14</f>
        <v>1.7683271368180722</v>
      </c>
      <c r="AH10" s="154">
        <f>'Yearly GHG (mCO2)'!J14</f>
        <v>0.65766899812940149</v>
      </c>
      <c r="AI10" s="158"/>
      <c r="AJ10" s="200">
        <v>2022</v>
      </c>
      <c r="AK10" s="218">
        <f>38014-N10</f>
        <v>37109.288529999998</v>
      </c>
      <c r="AL10" s="217">
        <f>38014</f>
        <v>38014</v>
      </c>
      <c r="AM10" s="217"/>
      <c r="AN10" s="14">
        <f>AN9+AT8</f>
        <v>47236.885714285716</v>
      </c>
      <c r="AO10" s="16"/>
      <c r="AP10" s="205"/>
      <c r="AQ10" s="205"/>
      <c r="AS10" s="1" t="s">
        <v>73</v>
      </c>
      <c r="AT10" s="16">
        <f>(AP33-AP23)/(32-22)</f>
        <v>-3061.65</v>
      </c>
    </row>
    <row r="11" spans="1:46" x14ac:dyDescent="0.2">
      <c r="A11" s="133" t="s">
        <v>74</v>
      </c>
      <c r="B11" s="7">
        <v>243473.34</v>
      </c>
      <c r="C11" s="126">
        <f>'Yearly Towngas (TGU)'!I15</f>
        <v>5826263.4049007529</v>
      </c>
      <c r="D11" s="9">
        <v>96709341</v>
      </c>
      <c r="E11" s="7">
        <f>SUM(B11:D11)</f>
        <v>102779077.74490075</v>
      </c>
      <c r="F11" s="7">
        <f>E11/'Yearly GHG (mCO2)'!G15</f>
        <v>4636.162106766239</v>
      </c>
      <c r="G11" s="7">
        <f>E11/'Yearly GHG (mCO2)'!H15</f>
        <v>175.00507029705963</v>
      </c>
      <c r="H11" s="153"/>
      <c r="J11" s="98" t="s">
        <v>74</v>
      </c>
      <c r="K11" s="14">
        <v>96709341</v>
      </c>
      <c r="L11" s="14">
        <v>2334777</v>
      </c>
      <c r="M11" s="1">
        <v>0.39</v>
      </c>
      <c r="N11" s="488">
        <f>(L11*M11)/1000</f>
        <v>910.56303000000003</v>
      </c>
      <c r="AD11" s="156" t="s">
        <v>74</v>
      </c>
      <c r="AE11" s="155">
        <f>'Yearly GHG (mCO2)'!E15</f>
        <v>40466.06</v>
      </c>
      <c r="AF11" s="244">
        <f>'Yearly GHG (mCO2)'!D15</f>
        <v>425.79</v>
      </c>
      <c r="AG11" s="154">
        <f>'Yearly GHG (mCO2)'!I15</f>
        <v>1.8253443998376109</v>
      </c>
      <c r="AH11" s="154">
        <f>'Yearly GHG (mCO2)'!J15</f>
        <v>0.68902794521294342</v>
      </c>
      <c r="AI11" s="158"/>
      <c r="AJ11" s="200">
        <v>2023</v>
      </c>
      <c r="AK11" s="218">
        <f>AL11-N11</f>
        <v>39555.436970000002</v>
      </c>
      <c r="AL11" s="217">
        <v>40466</v>
      </c>
      <c r="AM11" s="219">
        <v>38236.385701799998</v>
      </c>
      <c r="AN11" s="14">
        <f>AN10+AT8</f>
        <v>45487.37142857143</v>
      </c>
      <c r="AO11" s="16"/>
      <c r="AP11" s="205"/>
      <c r="AQ11" s="205"/>
      <c r="AS11" s="1" t="s">
        <v>75</v>
      </c>
      <c r="AT11" s="16">
        <f>(AQ38-AQ23)/(37-22)</f>
        <v>-2041.1</v>
      </c>
    </row>
    <row r="12" spans="1:46" x14ac:dyDescent="0.2">
      <c r="A12" s="133" t="s">
        <v>76</v>
      </c>
      <c r="B12" s="7">
        <f>'Yearly Fuel'!K16</f>
        <v>219309.77</v>
      </c>
      <c r="C12" s="126">
        <f>'Yearly Towngas (TGU)'!I16</f>
        <v>5633744.3785816217</v>
      </c>
      <c r="D12" s="9">
        <f>'Yearly Electricity Reformatted'!Q13</f>
        <v>105238070</v>
      </c>
      <c r="E12" s="7">
        <f>SUM(B12:D12)</f>
        <v>111091124.14858162</v>
      </c>
      <c r="F12" s="7">
        <f>E12/'Yearly GHG (mCO2)'!G16</f>
        <v>4652.6416278670531</v>
      </c>
      <c r="G12" s="7">
        <f>E12/'Yearly GHG (mCO2)'!H16</f>
        <v>189.15824521461491</v>
      </c>
      <c r="H12" s="182"/>
      <c r="J12" s="98" t="s">
        <v>76</v>
      </c>
      <c r="K12" s="14">
        <f>'Yearly Electricity Reformatted'!Q13</f>
        <v>105238070</v>
      </c>
      <c r="L12" s="14">
        <f>'Yearly Renewable'!F11</f>
        <v>2728619</v>
      </c>
      <c r="M12" s="1">
        <v>0.39</v>
      </c>
      <c r="N12" s="488">
        <f>(L12*M12)/1000</f>
        <v>1064.1614100000002</v>
      </c>
      <c r="AD12" s="156" t="s">
        <v>76</v>
      </c>
      <c r="AE12" s="155">
        <f>'Yearly GHG (mCO2)'!E16</f>
        <v>41443.099556619316</v>
      </c>
      <c r="AF12" s="244">
        <f>'Yearly GHG (mCO2)'!D16</f>
        <v>284.31866955679999</v>
      </c>
      <c r="AG12" s="154">
        <f>'Yearly GHG (mCO2)'!I16</f>
        <v>1.735691232425318</v>
      </c>
      <c r="AH12" s="154">
        <f>'Yearly GHG (mCO2)'!J16</f>
        <v>0.70566429572715639</v>
      </c>
      <c r="AI12" s="158"/>
      <c r="AJ12" s="200">
        <v>2024</v>
      </c>
      <c r="AK12" s="204"/>
      <c r="AL12" s="217">
        <v>41443</v>
      </c>
      <c r="AM12" s="219">
        <v>37131.515416709997</v>
      </c>
      <c r="AN12" s="14">
        <f>AN11+AT8</f>
        <v>43737.857142857145</v>
      </c>
      <c r="AO12" s="16"/>
      <c r="AP12" s="520"/>
      <c r="AQ12" s="205"/>
    </row>
    <row r="13" spans="1:46" x14ac:dyDescent="0.2">
      <c r="A13" s="133" t="s">
        <v>111</v>
      </c>
      <c r="B13" s="585">
        <f>'Yearly Fuel'!K17</f>
        <v>0</v>
      </c>
      <c r="C13" s="593">
        <f>'Yearly Towngas (TGU)'!I17</f>
        <v>4206293.6698368005</v>
      </c>
      <c r="D13" s="362">
        <f>'Yearly Electricity Reformatted'!Q14</f>
        <v>65366173</v>
      </c>
      <c r="E13" s="585">
        <f>SUM(B13:D13)</f>
        <v>69572466.669836804</v>
      </c>
      <c r="F13" s="585" t="e">
        <f>E13/'Yearly GHG (mCO2)'!G17</f>
        <v>#DIV/0!</v>
      </c>
      <c r="G13" s="585" t="e">
        <f>E13/'Yearly GHG (mCO2)'!H17</f>
        <v>#DIV/0!</v>
      </c>
      <c r="H13" s="182"/>
      <c r="O13" s="163"/>
      <c r="AD13" s="156"/>
      <c r="AE13" s="153">
        <f>AE12/AE2-1</f>
        <v>-0.32319439536824768</v>
      </c>
      <c r="AF13" s="153">
        <f t="shared" ref="AF13:AH13" si="2">AF12/AF2-1</f>
        <v>-0.64247707728855308</v>
      </c>
      <c r="AG13" s="153">
        <f t="shared" si="2"/>
        <v>-0.53683446079143804</v>
      </c>
      <c r="AH13" s="153">
        <f t="shared" si="2"/>
        <v>-0.45426037774129968</v>
      </c>
      <c r="AI13" s="158"/>
      <c r="AJ13" s="200">
        <v>2025</v>
      </c>
      <c r="AK13" s="204"/>
      <c r="AL13" s="204"/>
      <c r="AM13" s="219">
        <v>37121.752470874497</v>
      </c>
      <c r="AN13" s="14">
        <f>AN12+AT8</f>
        <v>41988.342857142859</v>
      </c>
      <c r="AO13" s="16"/>
      <c r="AP13" s="205"/>
      <c r="AQ13" s="205"/>
      <c r="AS13" s="1">
        <v>2022</v>
      </c>
      <c r="AT13" s="163">
        <f>(AK2-AK10)/AK2</f>
        <v>0.39396585942220702</v>
      </c>
    </row>
    <row r="14" spans="1:46" x14ac:dyDescent="0.2">
      <c r="D14" s="153"/>
      <c r="E14" s="153"/>
      <c r="F14" s="153"/>
      <c r="H14" s="529"/>
      <c r="AE14" s="153">
        <f>AE12/AE11-1</f>
        <v>2.4144667324155655E-2</v>
      </c>
      <c r="AF14" s="153">
        <f>AF12/AF11-1</f>
        <v>-0.33225611320885884</v>
      </c>
      <c r="AG14" s="153">
        <f t="shared" ref="AG14:AH14" si="3">AG12/AG11-1</f>
        <v>-4.9115754495572816E-2</v>
      </c>
      <c r="AH14" s="153">
        <f t="shared" si="3"/>
        <v>2.4144667324155433E-2</v>
      </c>
      <c r="AJ14" s="200">
        <v>2026</v>
      </c>
      <c r="AK14" s="204"/>
      <c r="AL14" s="204"/>
      <c r="AM14" s="219">
        <v>43405.671539999996</v>
      </c>
      <c r="AN14" s="14">
        <f>AN13+AT8</f>
        <v>40238.828571428574</v>
      </c>
      <c r="AO14" s="16"/>
      <c r="AP14" s="205"/>
      <c r="AQ14" s="205"/>
      <c r="AS14" s="1">
        <v>2021</v>
      </c>
      <c r="AT14" s="163">
        <f>(AK9-AK2)/AK2</f>
        <v>-0.42014865121748074</v>
      </c>
    </row>
    <row r="15" spans="1:46" x14ac:dyDescent="0.2">
      <c r="AJ15" s="200">
        <v>2027</v>
      </c>
      <c r="AK15" s="204"/>
      <c r="AL15" s="204"/>
      <c r="AM15" s="219">
        <v>41891.02478</v>
      </c>
      <c r="AN15" s="14">
        <f>AN14+AT8</f>
        <v>38489.314285714288</v>
      </c>
      <c r="AO15" s="16"/>
      <c r="AP15" s="205"/>
      <c r="AQ15" s="205"/>
      <c r="AS15" s="1">
        <v>2023</v>
      </c>
      <c r="AT15" s="163">
        <f>(AL11-AK2)/AK2</f>
        <v>-0.33914719187366288</v>
      </c>
    </row>
    <row r="16" spans="1:46" x14ac:dyDescent="0.2">
      <c r="AJ16" s="203">
        <v>2028</v>
      </c>
      <c r="AK16" s="204"/>
      <c r="AL16" s="204"/>
      <c r="AM16" s="219">
        <v>47439.701399999998</v>
      </c>
      <c r="AN16" s="14">
        <f>AT4</f>
        <v>36739.799999999996</v>
      </c>
      <c r="AO16" s="14">
        <f>AN16</f>
        <v>36739.799999999996</v>
      </c>
      <c r="AP16" s="205"/>
      <c r="AQ16" s="205"/>
      <c r="AS16" s="1">
        <v>2024</v>
      </c>
      <c r="AT16" s="163">
        <f>(AL12-AK2)/AK2</f>
        <v>-0.32319174301438769</v>
      </c>
    </row>
    <row r="17" spans="36:46" x14ac:dyDescent="0.2">
      <c r="AJ17" s="200">
        <v>2029</v>
      </c>
      <c r="AK17" s="204"/>
      <c r="AL17" s="204"/>
      <c r="AM17" s="219">
        <v>45117.054640000002</v>
      </c>
      <c r="AN17" s="16"/>
      <c r="AO17" s="14">
        <f>AO16+AT9</f>
        <v>35865.042857142857</v>
      </c>
      <c r="AP17" s="205"/>
      <c r="AQ17" s="205"/>
    </row>
    <row r="18" spans="36:46" x14ac:dyDescent="0.2">
      <c r="AJ18" s="200">
        <v>2030</v>
      </c>
      <c r="AK18" s="204"/>
      <c r="AL18" s="204"/>
      <c r="AM18" s="219">
        <v>49445.731260000008</v>
      </c>
      <c r="AN18" s="16"/>
      <c r="AO18" s="14">
        <f>AO17+AT9</f>
        <v>34990.285714285717</v>
      </c>
      <c r="AP18" s="205"/>
      <c r="AQ18" s="205"/>
      <c r="AT18" s="1">
        <f>(AL10-AL2)/AL2*100</f>
        <v>-37.919095912334853</v>
      </c>
    </row>
    <row r="19" spans="36:46" x14ac:dyDescent="0.2">
      <c r="AJ19" s="200">
        <v>2031</v>
      </c>
      <c r="AK19" s="204"/>
      <c r="AL19" s="204"/>
      <c r="AM19" s="219">
        <v>47614.407880000006</v>
      </c>
      <c r="AN19" s="16"/>
      <c r="AO19" s="14">
        <f>AO18+AT9</f>
        <v>34115.528571428578</v>
      </c>
      <c r="AP19" s="205"/>
      <c r="AQ19" s="205"/>
      <c r="AR19" s="16"/>
      <c r="AT19" s="1">
        <f>(AL11-AL2)/AL2*100</f>
        <v>-33.914719187366288</v>
      </c>
    </row>
    <row r="20" spans="36:46" x14ac:dyDescent="0.2">
      <c r="AJ20" s="200">
        <v>2032</v>
      </c>
      <c r="AK20" s="204"/>
      <c r="AL20" s="204"/>
      <c r="AM20" s="219">
        <v>44815.761119999996</v>
      </c>
      <c r="AN20" s="16"/>
      <c r="AO20" s="14">
        <f>AO19+AT9</f>
        <v>33240.771428571439</v>
      </c>
      <c r="AP20" s="205"/>
      <c r="AQ20" s="205"/>
    </row>
    <row r="21" spans="36:46" x14ac:dyDescent="0.2">
      <c r="AJ21" s="200">
        <v>2033</v>
      </c>
      <c r="AK21" s="204"/>
      <c r="AL21" s="204"/>
      <c r="AM21" s="219">
        <v>42948.437740000001</v>
      </c>
      <c r="AN21" s="16"/>
      <c r="AO21" s="14">
        <f>AO20+AT9</f>
        <v>32366.014285714296</v>
      </c>
      <c r="AP21" s="205"/>
      <c r="AQ21" s="205"/>
    </row>
    <row r="22" spans="36:46" x14ac:dyDescent="0.2">
      <c r="AJ22" s="200">
        <v>2034</v>
      </c>
      <c r="AK22" s="204"/>
      <c r="AL22" s="204"/>
      <c r="AM22" s="219">
        <v>41741.11436</v>
      </c>
      <c r="AN22" s="16"/>
      <c r="AO22" s="14">
        <f>AO21+AT9</f>
        <v>31491.257142857154</v>
      </c>
      <c r="AP22" s="205"/>
      <c r="AQ22" s="205"/>
    </row>
    <row r="23" spans="36:46" x14ac:dyDescent="0.2">
      <c r="AJ23" s="203">
        <v>2035</v>
      </c>
      <c r="AK23" s="204"/>
      <c r="AL23" s="204"/>
      <c r="AM23" s="219">
        <v>39843.790979999998</v>
      </c>
      <c r="AN23" s="16"/>
      <c r="AO23" s="14">
        <f>AT5</f>
        <v>30616.5</v>
      </c>
      <c r="AP23" s="219">
        <f>AO23</f>
        <v>30616.5</v>
      </c>
      <c r="AQ23" s="219">
        <f>AP23</f>
        <v>30616.5</v>
      </c>
    </row>
    <row r="24" spans="36:46" x14ac:dyDescent="0.2">
      <c r="AJ24" s="200">
        <v>2036</v>
      </c>
      <c r="AK24" s="204"/>
      <c r="AL24" s="204"/>
      <c r="AM24" s="219">
        <v>39066.467600000004</v>
      </c>
      <c r="AN24" s="16"/>
      <c r="AO24" s="16"/>
      <c r="AP24" s="219">
        <f>AP23+AT10</f>
        <v>27554.85</v>
      </c>
      <c r="AQ24" s="219">
        <f>AQ23+AT11</f>
        <v>28575.4</v>
      </c>
    </row>
    <row r="25" spans="36:46" x14ac:dyDescent="0.2">
      <c r="AJ25" s="200">
        <v>2037</v>
      </c>
      <c r="AK25" s="204"/>
      <c r="AL25" s="204"/>
      <c r="AM25" s="219">
        <v>37113.144220000002</v>
      </c>
      <c r="AN25" s="16"/>
      <c r="AO25" s="16"/>
      <c r="AP25" s="219">
        <f>AP24+AT10</f>
        <v>24493.199999999997</v>
      </c>
      <c r="AQ25" s="219">
        <f>AQ24+AT11</f>
        <v>26534.300000000003</v>
      </c>
    </row>
    <row r="26" spans="36:46" x14ac:dyDescent="0.2">
      <c r="AJ26" s="200">
        <v>2038</v>
      </c>
      <c r="AK26" s="204"/>
      <c r="AL26" s="204"/>
      <c r="AM26" s="219">
        <v>35699.820839999993</v>
      </c>
      <c r="AN26" s="16"/>
      <c r="AO26" s="16"/>
      <c r="AP26" s="219">
        <f>AP25+AT10</f>
        <v>21431.549999999996</v>
      </c>
      <c r="AQ26" s="219">
        <f>AQ25+AT11</f>
        <v>24493.200000000004</v>
      </c>
    </row>
    <row r="27" spans="36:46" x14ac:dyDescent="0.2">
      <c r="AJ27" s="200">
        <v>2039</v>
      </c>
      <c r="AK27" s="204"/>
      <c r="AL27" s="204"/>
      <c r="AM27" s="219">
        <v>33716.497459999999</v>
      </c>
      <c r="AN27" s="16"/>
      <c r="AO27" s="16"/>
      <c r="AP27" s="219">
        <f>AP26+AT10</f>
        <v>18369.899999999994</v>
      </c>
      <c r="AQ27" s="219">
        <f>AQ26+AT11</f>
        <v>22452.100000000006</v>
      </c>
    </row>
    <row r="28" spans="36:46" x14ac:dyDescent="0.2">
      <c r="AJ28" s="200">
        <v>2040</v>
      </c>
      <c r="AK28" s="204"/>
      <c r="AL28" s="204"/>
      <c r="AM28" s="219">
        <v>32613.174080000001</v>
      </c>
      <c r="AN28" s="16"/>
      <c r="AO28" s="16"/>
      <c r="AP28" s="219">
        <f>AP27+AT10</f>
        <v>15308.249999999995</v>
      </c>
      <c r="AQ28" s="219">
        <f>AQ27+AT11</f>
        <v>20411.000000000007</v>
      </c>
    </row>
    <row r="29" spans="36:46" x14ac:dyDescent="0.2">
      <c r="AJ29" s="200">
        <v>2041</v>
      </c>
      <c r="AK29" s="204"/>
      <c r="AL29" s="204"/>
      <c r="AM29" s="219">
        <v>30574.850699999999</v>
      </c>
      <c r="AN29" s="16"/>
      <c r="AO29" s="16"/>
      <c r="AP29" s="219">
        <f>AP28+AT10</f>
        <v>12246.599999999995</v>
      </c>
      <c r="AQ29" s="219">
        <f>AQ28+AT11</f>
        <v>18369.900000000009</v>
      </c>
    </row>
    <row r="30" spans="36:46" x14ac:dyDescent="0.2">
      <c r="AJ30" s="200">
        <v>2042</v>
      </c>
      <c r="AK30" s="204"/>
      <c r="AL30" s="204"/>
      <c r="AM30" s="219">
        <v>31114.850699999999</v>
      </c>
      <c r="AN30" s="16"/>
      <c r="AO30" s="16"/>
      <c r="AP30" s="219">
        <f>AP29+AT10</f>
        <v>9184.9499999999953</v>
      </c>
      <c r="AQ30" s="219">
        <f>AQ29+AT11</f>
        <v>16328.800000000008</v>
      </c>
    </row>
    <row r="31" spans="36:46" x14ac:dyDescent="0.2">
      <c r="AJ31" s="200">
        <v>2043</v>
      </c>
      <c r="AK31" s="204"/>
      <c r="AL31" s="204"/>
      <c r="AM31" s="219">
        <v>29040.527320000005</v>
      </c>
      <c r="AN31" s="16"/>
      <c r="AO31" s="16"/>
      <c r="AP31" s="219">
        <f>AP30+AT10</f>
        <v>6123.2999999999956</v>
      </c>
      <c r="AQ31" s="219">
        <f>AQ30+AT11</f>
        <v>14287.700000000008</v>
      </c>
    </row>
    <row r="32" spans="36:46" x14ac:dyDescent="0.2">
      <c r="AJ32" s="200">
        <v>2044</v>
      </c>
      <c r="AK32" s="204"/>
      <c r="AL32" s="204"/>
      <c r="AM32" s="219">
        <v>27434.203940000003</v>
      </c>
      <c r="AN32" s="16"/>
      <c r="AO32" s="16"/>
      <c r="AP32" s="219">
        <f>AP31+AT10</f>
        <v>3061.6499999999955</v>
      </c>
      <c r="AQ32" s="219">
        <f>AQ31+AT11</f>
        <v>12246.600000000008</v>
      </c>
    </row>
    <row r="33" spans="36:43" x14ac:dyDescent="0.2">
      <c r="AJ33" s="203">
        <v>2045</v>
      </c>
      <c r="AK33" s="204"/>
      <c r="AL33" s="204"/>
      <c r="AM33" s="219">
        <v>25323.880559999998</v>
      </c>
      <c r="AN33" s="16"/>
      <c r="AO33" s="16"/>
      <c r="AP33" s="219">
        <v>0</v>
      </c>
      <c r="AQ33" s="219">
        <f>AQ32+AT11</f>
        <v>10205.500000000007</v>
      </c>
    </row>
    <row r="34" spans="36:43" x14ac:dyDescent="0.2">
      <c r="AJ34" s="200">
        <v>2046</v>
      </c>
      <c r="AK34" s="204"/>
      <c r="AL34" s="204"/>
      <c r="AM34" s="219">
        <v>25983.880559999998</v>
      </c>
      <c r="AN34" s="16"/>
      <c r="AO34" s="205"/>
      <c r="AP34" s="16"/>
      <c r="AQ34" s="219">
        <f>AQ33+AT11</f>
        <v>8164.4000000000069</v>
      </c>
    </row>
    <row r="35" spans="36:43" x14ac:dyDescent="0.2">
      <c r="AJ35" s="200">
        <v>2047</v>
      </c>
      <c r="AK35" s="204"/>
      <c r="AL35" s="204"/>
      <c r="AM35" s="219">
        <v>23818.55718</v>
      </c>
      <c r="AN35" s="16"/>
      <c r="AO35" s="205"/>
      <c r="AP35" s="16"/>
      <c r="AQ35" s="219">
        <f>AQ34+AT11</f>
        <v>6123.3000000000065</v>
      </c>
    </row>
    <row r="36" spans="36:43" x14ac:dyDescent="0.2">
      <c r="AJ36" s="200">
        <v>2048</v>
      </c>
      <c r="AK36" s="204"/>
      <c r="AL36" s="204"/>
      <c r="AM36" s="217">
        <v>24214.55718</v>
      </c>
      <c r="AN36" s="16"/>
      <c r="AO36" s="205"/>
      <c r="AP36" s="16"/>
      <c r="AQ36" s="219">
        <f>AQ35+AT11</f>
        <v>4082.2000000000066</v>
      </c>
    </row>
    <row r="37" spans="36:43" x14ac:dyDescent="0.2">
      <c r="AJ37" s="200">
        <v>2049</v>
      </c>
      <c r="AK37" s="204"/>
      <c r="AL37" s="204"/>
      <c r="AM37" s="217">
        <v>22013.233800000002</v>
      </c>
      <c r="AN37" s="16"/>
      <c r="AO37" s="205"/>
      <c r="AP37" s="16"/>
      <c r="AQ37" s="219">
        <f>AQ36+AT11</f>
        <v>2041.1000000000067</v>
      </c>
    </row>
    <row r="38" spans="36:43" x14ac:dyDescent="0.2">
      <c r="AJ38" s="203">
        <v>2050</v>
      </c>
      <c r="AK38" s="16"/>
      <c r="AL38" s="16"/>
      <c r="AM38" s="16"/>
      <c r="AN38" s="16"/>
      <c r="AO38" s="204"/>
      <c r="AP38" s="16"/>
      <c r="AQ38" s="217">
        <v>0</v>
      </c>
    </row>
    <row r="53" spans="7:7" x14ac:dyDescent="0.2">
      <c r="G53" s="329"/>
    </row>
    <row r="54" spans="7:7" x14ac:dyDescent="0.2">
      <c r="G54" s="330"/>
    </row>
    <row r="55" spans="7:7" x14ac:dyDescent="0.2">
      <c r="G55" s="330"/>
    </row>
    <row r="56" spans="7:7" x14ac:dyDescent="0.2">
      <c r="G56" s="330"/>
    </row>
    <row r="57" spans="7:7" x14ac:dyDescent="0.2">
      <c r="G57" s="330"/>
    </row>
    <row r="58" spans="7:7" x14ac:dyDescent="0.2">
      <c r="G58" s="330"/>
    </row>
    <row r="59" spans="7:7" x14ac:dyDescent="0.2">
      <c r="G59" s="330"/>
    </row>
    <row r="60" spans="7:7" x14ac:dyDescent="0.2">
      <c r="G60" s="330"/>
    </row>
    <row r="61" spans="7:7" x14ac:dyDescent="0.2">
      <c r="G61" s="330"/>
    </row>
    <row r="62" spans="7:7" x14ac:dyDescent="0.2">
      <c r="G62" s="330"/>
    </row>
    <row r="63" spans="7:7" x14ac:dyDescent="0.2">
      <c r="G63" s="330"/>
    </row>
    <row r="64" spans="7:7" x14ac:dyDescent="0.2">
      <c r="G64" s="331"/>
    </row>
    <row r="65" spans="7:7" x14ac:dyDescent="0.2">
      <c r="G65" s="332"/>
    </row>
    <row r="66" spans="7:7" x14ac:dyDescent="0.2">
      <c r="G66" s="333"/>
    </row>
    <row r="67" spans="7:7" x14ac:dyDescent="0.2">
      <c r="G67" s="329"/>
    </row>
    <row r="68" spans="7:7" x14ac:dyDescent="0.2">
      <c r="G68" s="329"/>
    </row>
    <row r="69" spans="7:7" x14ac:dyDescent="0.2">
      <c r="G69" s="329"/>
    </row>
  </sheetData>
  <phoneticPr fontId="9" type="noConversion"/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8572-3EA9-8A49-8AD1-744F3633D708}">
  <dimension ref="A1:I77"/>
  <sheetViews>
    <sheetView workbookViewId="0">
      <pane xSplit="1" ySplit="1" topLeftCell="B48" activePane="bottomRight" state="frozen"/>
      <selection pane="topRight" activeCell="B1" sqref="B1"/>
      <selection pane="bottomLeft" activeCell="A2" sqref="A2"/>
      <selection pane="bottomRight" activeCell="I50" sqref="I50"/>
    </sheetView>
  </sheetViews>
  <sheetFormatPr baseColWidth="10" defaultColWidth="11.5" defaultRowHeight="16" x14ac:dyDescent="0.2"/>
  <cols>
    <col min="1" max="16384" width="11.5" style="8"/>
  </cols>
  <sheetData>
    <row r="1" spans="1:7" ht="52" thickBot="1" x14ac:dyDescent="0.25">
      <c r="A1" s="594" t="s">
        <v>77</v>
      </c>
      <c r="B1" s="587" t="s">
        <v>78</v>
      </c>
      <c r="C1" s="587" t="s">
        <v>79</v>
      </c>
      <c r="D1" s="587" t="s">
        <v>80</v>
      </c>
      <c r="E1" s="587" t="s">
        <v>81</v>
      </c>
      <c r="F1" s="587" t="s">
        <v>82</v>
      </c>
      <c r="G1" s="587" t="s">
        <v>83</v>
      </c>
    </row>
    <row r="2" spans="1:7" x14ac:dyDescent="0.2">
      <c r="A2" s="595">
        <v>43891</v>
      </c>
      <c r="B2" s="8">
        <v>552</v>
      </c>
      <c r="F2" s="8">
        <v>552</v>
      </c>
      <c r="G2" s="9">
        <f>SUM(F2:F13)</f>
        <v>48047</v>
      </c>
    </row>
    <row r="3" spans="1:7" x14ac:dyDescent="0.2">
      <c r="A3" s="595">
        <v>43922</v>
      </c>
      <c r="B3" s="8">
        <v>832</v>
      </c>
      <c r="F3" s="8">
        <v>832</v>
      </c>
      <c r="G3" s="9">
        <f t="shared" ref="G3:G44" si="0">SUM(F3:F14)</f>
        <v>97324</v>
      </c>
    </row>
    <row r="4" spans="1:7" x14ac:dyDescent="0.2">
      <c r="A4" s="595">
        <v>43952</v>
      </c>
      <c r="B4" s="8">
        <v>756</v>
      </c>
      <c r="F4" s="8">
        <v>756</v>
      </c>
      <c r="G4" s="9">
        <f t="shared" si="0"/>
        <v>152319</v>
      </c>
    </row>
    <row r="5" spans="1:7" x14ac:dyDescent="0.2">
      <c r="A5" s="595">
        <v>43983</v>
      </c>
      <c r="B5" s="8">
        <v>780</v>
      </c>
      <c r="F5" s="8">
        <v>780</v>
      </c>
      <c r="G5" s="9">
        <f t="shared" si="0"/>
        <v>281265</v>
      </c>
    </row>
    <row r="6" spans="1:7" x14ac:dyDescent="0.2">
      <c r="A6" s="595">
        <v>44013</v>
      </c>
      <c r="B6" s="8">
        <v>954</v>
      </c>
      <c r="F6" s="8">
        <v>954</v>
      </c>
      <c r="G6" s="9">
        <f t="shared" si="0"/>
        <v>391443</v>
      </c>
    </row>
    <row r="7" spans="1:7" x14ac:dyDescent="0.2">
      <c r="A7" s="595">
        <v>44044</v>
      </c>
      <c r="B7" s="9">
        <v>1462</v>
      </c>
      <c r="F7" s="9">
        <v>1462</v>
      </c>
      <c r="G7" s="9">
        <f t="shared" si="0"/>
        <v>550622</v>
      </c>
    </row>
    <row r="8" spans="1:7" x14ac:dyDescent="0.2">
      <c r="A8" s="595">
        <v>44075</v>
      </c>
      <c r="B8" s="9">
        <v>1419</v>
      </c>
      <c r="F8" s="9">
        <v>1419</v>
      </c>
      <c r="G8" s="9">
        <f t="shared" si="0"/>
        <v>708464</v>
      </c>
    </row>
    <row r="9" spans="1:7" x14ac:dyDescent="0.2">
      <c r="A9" s="595">
        <v>44105</v>
      </c>
      <c r="B9" s="9">
        <v>1699</v>
      </c>
      <c r="F9" s="9">
        <v>1699</v>
      </c>
      <c r="G9" s="9">
        <f t="shared" si="0"/>
        <v>922923</v>
      </c>
    </row>
    <row r="10" spans="1:7" x14ac:dyDescent="0.2">
      <c r="A10" s="595">
        <v>44136</v>
      </c>
      <c r="B10" s="9">
        <v>1498</v>
      </c>
      <c r="F10" s="9">
        <v>1498</v>
      </c>
      <c r="G10" s="9">
        <f t="shared" si="0"/>
        <v>1060438</v>
      </c>
    </row>
    <row r="11" spans="1:7" x14ac:dyDescent="0.2">
      <c r="A11" s="595">
        <v>44166</v>
      </c>
      <c r="B11" s="9">
        <v>7001</v>
      </c>
      <c r="F11" s="9">
        <v>7001</v>
      </c>
      <c r="G11" s="9">
        <f t="shared" si="0"/>
        <v>1229018</v>
      </c>
    </row>
    <row r="12" spans="1:7" x14ac:dyDescent="0.2">
      <c r="A12" s="596">
        <v>44197</v>
      </c>
      <c r="B12" s="9">
        <v>8076</v>
      </c>
      <c r="F12" s="9">
        <v>8076</v>
      </c>
      <c r="G12" s="9">
        <f t="shared" si="0"/>
        <v>1350990</v>
      </c>
    </row>
    <row r="13" spans="1:7" x14ac:dyDescent="0.2">
      <c r="A13" s="596">
        <v>44228</v>
      </c>
      <c r="B13" s="9">
        <v>23018</v>
      </c>
      <c r="F13" s="9">
        <v>23018</v>
      </c>
      <c r="G13" s="9">
        <f t="shared" si="0"/>
        <v>1446027</v>
      </c>
    </row>
    <row r="14" spans="1:7" x14ac:dyDescent="0.2">
      <c r="A14" s="596">
        <v>44256</v>
      </c>
      <c r="B14" s="9">
        <v>49829</v>
      </c>
      <c r="F14" s="9">
        <v>49829</v>
      </c>
      <c r="G14" s="9">
        <f t="shared" si="0"/>
        <v>1539276</v>
      </c>
    </row>
    <row r="15" spans="1:7" x14ac:dyDescent="0.2">
      <c r="A15" s="596">
        <v>44287</v>
      </c>
      <c r="B15" s="9">
        <v>55827</v>
      </c>
      <c r="F15" s="9">
        <v>55827</v>
      </c>
      <c r="G15" s="9">
        <f t="shared" si="0"/>
        <v>1648363</v>
      </c>
    </row>
    <row r="16" spans="1:7" x14ac:dyDescent="0.2">
      <c r="A16" s="596">
        <v>44317</v>
      </c>
      <c r="B16" s="9">
        <v>129702</v>
      </c>
      <c r="F16" s="9">
        <v>129702</v>
      </c>
      <c r="G16" s="9">
        <f t="shared" si="0"/>
        <v>1810545</v>
      </c>
    </row>
    <row r="17" spans="1:7" x14ac:dyDescent="0.2">
      <c r="A17" s="596">
        <v>44348</v>
      </c>
      <c r="B17" s="9">
        <v>110958</v>
      </c>
      <c r="F17" s="9">
        <v>110958</v>
      </c>
      <c r="G17" s="9">
        <f t="shared" si="0"/>
        <v>1838203</v>
      </c>
    </row>
    <row r="18" spans="1:7" x14ac:dyDescent="0.2">
      <c r="A18" s="596">
        <v>44378</v>
      </c>
      <c r="B18" s="9">
        <v>160133</v>
      </c>
      <c r="C18" s="8">
        <v>0</v>
      </c>
      <c r="F18" s="9">
        <v>160133</v>
      </c>
      <c r="G18" s="9">
        <f t="shared" si="0"/>
        <v>1912724</v>
      </c>
    </row>
    <row r="19" spans="1:7" x14ac:dyDescent="0.2">
      <c r="A19" s="596">
        <v>44409</v>
      </c>
      <c r="B19" s="9">
        <v>147598</v>
      </c>
      <c r="C19" s="9">
        <v>8279</v>
      </c>
      <c r="D19" s="9">
        <v>3427</v>
      </c>
      <c r="F19" s="9">
        <v>159304</v>
      </c>
      <c r="G19" s="9">
        <f t="shared" si="0"/>
        <v>2000570</v>
      </c>
    </row>
    <row r="20" spans="1:7" x14ac:dyDescent="0.2">
      <c r="A20" s="596">
        <v>44440</v>
      </c>
      <c r="B20" s="9">
        <v>180730</v>
      </c>
      <c r="C20" s="9">
        <v>23799</v>
      </c>
      <c r="D20" s="9">
        <v>11349</v>
      </c>
      <c r="F20" s="9">
        <v>215878</v>
      </c>
      <c r="G20" s="9">
        <f t="shared" si="0"/>
        <v>2062319</v>
      </c>
    </row>
    <row r="21" spans="1:7" x14ac:dyDescent="0.2">
      <c r="A21" s="596">
        <v>44470</v>
      </c>
      <c r="B21" s="9">
        <v>122185</v>
      </c>
      <c r="C21" s="9">
        <v>9107</v>
      </c>
      <c r="D21" s="9">
        <v>7922</v>
      </c>
      <c r="F21" s="9">
        <v>139214</v>
      </c>
      <c r="G21" s="9">
        <f t="shared" si="0"/>
        <v>2101115</v>
      </c>
    </row>
    <row r="22" spans="1:7" x14ac:dyDescent="0.2">
      <c r="A22" s="596">
        <v>44501</v>
      </c>
      <c r="B22" s="9">
        <v>144397</v>
      </c>
      <c r="C22" s="9">
        <v>13911</v>
      </c>
      <c r="D22" s="9">
        <v>11770</v>
      </c>
      <c r="F22" s="9">
        <v>170078</v>
      </c>
      <c r="G22" s="9">
        <f t="shared" si="0"/>
        <v>2181426</v>
      </c>
    </row>
    <row r="23" spans="1:7" x14ac:dyDescent="0.2">
      <c r="A23" s="596">
        <v>44531</v>
      </c>
      <c r="B23" s="9">
        <v>117181</v>
      </c>
      <c r="C23" s="9">
        <v>6562</v>
      </c>
      <c r="D23" s="9">
        <v>5230</v>
      </c>
      <c r="F23" s="9">
        <v>128973</v>
      </c>
      <c r="G23" s="9">
        <f t="shared" si="0"/>
        <v>2144254</v>
      </c>
    </row>
    <row r="24" spans="1:7" x14ac:dyDescent="0.2">
      <c r="A24" s="597">
        <v>44562</v>
      </c>
      <c r="B24" s="9">
        <v>94201</v>
      </c>
      <c r="C24" s="9">
        <v>4908</v>
      </c>
      <c r="D24" s="9">
        <v>4004</v>
      </c>
      <c r="F24" s="9">
        <v>103113</v>
      </c>
      <c r="G24" s="9">
        <f t="shared" si="0"/>
        <v>2180122</v>
      </c>
    </row>
    <row r="25" spans="1:7" x14ac:dyDescent="0.2">
      <c r="A25" s="597">
        <v>44594</v>
      </c>
      <c r="B25" s="9">
        <v>107196</v>
      </c>
      <c r="C25" s="9">
        <v>4891</v>
      </c>
      <c r="D25" s="9">
        <v>4180</v>
      </c>
      <c r="F25" s="9">
        <v>116267</v>
      </c>
      <c r="G25" s="9">
        <f t="shared" si="0"/>
        <v>2230217</v>
      </c>
    </row>
    <row r="26" spans="1:7" x14ac:dyDescent="0.2">
      <c r="A26" s="597">
        <v>44626</v>
      </c>
      <c r="B26" s="9">
        <v>145751</v>
      </c>
      <c r="C26" s="9">
        <v>7025</v>
      </c>
      <c r="D26" s="9">
        <v>6137</v>
      </c>
      <c r="F26" s="9">
        <v>158916</v>
      </c>
      <c r="G26" s="9">
        <f t="shared" si="0"/>
        <v>2296025</v>
      </c>
    </row>
    <row r="27" spans="1:7" x14ac:dyDescent="0.2">
      <c r="A27" s="597">
        <v>44652</v>
      </c>
      <c r="B27" s="9">
        <v>201510</v>
      </c>
      <c r="C27" s="9">
        <v>8833</v>
      </c>
      <c r="D27" s="9">
        <v>7666</v>
      </c>
      <c r="F27" s="9">
        <v>218009</v>
      </c>
      <c r="G27" s="9">
        <f t="shared" si="0"/>
        <v>2321129</v>
      </c>
    </row>
    <row r="28" spans="1:7" x14ac:dyDescent="0.2">
      <c r="A28" s="597">
        <v>44682</v>
      </c>
      <c r="B28" s="9">
        <v>144961</v>
      </c>
      <c r="C28" s="9">
        <v>6611</v>
      </c>
      <c r="D28" s="9">
        <v>5788</v>
      </c>
      <c r="F28" s="9">
        <v>157360</v>
      </c>
      <c r="G28" s="9">
        <f t="shared" si="0"/>
        <v>2231400</v>
      </c>
    </row>
    <row r="29" spans="1:7" x14ac:dyDescent="0.2">
      <c r="A29" s="597">
        <v>44713</v>
      </c>
      <c r="B29" s="9">
        <v>171373</v>
      </c>
      <c r="C29" s="9">
        <v>7469</v>
      </c>
      <c r="D29" s="9">
        <v>6637</v>
      </c>
      <c r="F29" s="9">
        <v>185479</v>
      </c>
      <c r="G29" s="9">
        <f t="shared" si="0"/>
        <v>2267492</v>
      </c>
    </row>
    <row r="30" spans="1:7" x14ac:dyDescent="0.2">
      <c r="A30" s="597">
        <v>44743</v>
      </c>
      <c r="B30" s="9">
        <v>230422</v>
      </c>
      <c r="C30" s="9">
        <v>9293</v>
      </c>
      <c r="D30" s="9">
        <v>8264</v>
      </c>
      <c r="F30" s="9">
        <v>247979</v>
      </c>
      <c r="G30" s="9">
        <f t="shared" si="0"/>
        <v>2325806</v>
      </c>
    </row>
    <row r="31" spans="1:7" x14ac:dyDescent="0.2">
      <c r="A31" s="597">
        <v>44774</v>
      </c>
      <c r="B31" s="9">
        <v>203653</v>
      </c>
      <c r="C31" s="9">
        <v>8863</v>
      </c>
      <c r="D31" s="9">
        <v>8537</v>
      </c>
      <c r="F31" s="9">
        <v>221053</v>
      </c>
      <c r="G31" s="9">
        <f t="shared" si="0"/>
        <v>2356746</v>
      </c>
    </row>
    <row r="32" spans="1:7" x14ac:dyDescent="0.2">
      <c r="A32" s="597">
        <v>44805</v>
      </c>
      <c r="B32" s="9">
        <v>233094</v>
      </c>
      <c r="C32" s="9">
        <v>9819</v>
      </c>
      <c r="D32" s="9">
        <v>11761</v>
      </c>
      <c r="F32" s="9">
        <v>254674</v>
      </c>
      <c r="G32" s="9">
        <f t="shared" si="0"/>
        <v>2421335</v>
      </c>
    </row>
    <row r="33" spans="1:9" x14ac:dyDescent="0.2">
      <c r="A33" s="597">
        <v>44835</v>
      </c>
      <c r="B33" s="9">
        <v>200012</v>
      </c>
      <c r="C33" s="9">
        <v>8625</v>
      </c>
      <c r="D33" s="9">
        <v>10888</v>
      </c>
      <c r="F33" s="9">
        <v>219525</v>
      </c>
      <c r="G33" s="9">
        <f t="shared" si="0"/>
        <v>2377991</v>
      </c>
    </row>
    <row r="34" spans="1:9" x14ac:dyDescent="0.2">
      <c r="A34" s="597">
        <v>44866</v>
      </c>
      <c r="B34" s="9">
        <v>121174</v>
      </c>
      <c r="C34" s="9">
        <v>5168</v>
      </c>
      <c r="D34" s="9">
        <v>6564</v>
      </c>
      <c r="F34" s="9">
        <v>132906</v>
      </c>
      <c r="G34" s="9">
        <f t="shared" si="0"/>
        <v>2363323</v>
      </c>
    </row>
    <row r="35" spans="1:9" x14ac:dyDescent="0.2">
      <c r="A35" s="597">
        <v>44896</v>
      </c>
      <c r="B35" s="9">
        <v>149807</v>
      </c>
      <c r="C35" s="9">
        <v>6724</v>
      </c>
      <c r="D35" s="9">
        <v>8310</v>
      </c>
      <c r="F35" s="9">
        <v>164841</v>
      </c>
      <c r="G35" s="9">
        <f t="shared" si="0"/>
        <v>2449275</v>
      </c>
    </row>
    <row r="36" spans="1:9" x14ac:dyDescent="0.2">
      <c r="A36" s="598">
        <v>44927</v>
      </c>
      <c r="B36" s="9">
        <v>139675</v>
      </c>
      <c r="C36" s="9">
        <v>6044</v>
      </c>
      <c r="D36" s="9">
        <v>7489</v>
      </c>
      <c r="F36" s="9">
        <v>153208</v>
      </c>
      <c r="G36" s="9">
        <f t="shared" si="0"/>
        <v>2427712</v>
      </c>
    </row>
    <row r="37" spans="1:9" x14ac:dyDescent="0.2">
      <c r="A37" s="598">
        <v>44958</v>
      </c>
      <c r="B37" s="9">
        <v>166577</v>
      </c>
      <c r="C37" s="9">
        <v>6916</v>
      </c>
      <c r="D37" s="9">
        <v>8582</v>
      </c>
      <c r="F37" s="9">
        <v>182075</v>
      </c>
      <c r="G37" s="9">
        <f t="shared" si="0"/>
        <v>2466202</v>
      </c>
    </row>
    <row r="38" spans="1:9" x14ac:dyDescent="0.2">
      <c r="A38" s="598">
        <v>44986</v>
      </c>
      <c r="B38" s="9">
        <v>166701</v>
      </c>
      <c r="C38" s="9">
        <v>6502</v>
      </c>
      <c r="D38" s="9">
        <v>8075</v>
      </c>
      <c r="E38" s="9">
        <v>2742</v>
      </c>
      <c r="F38" s="9">
        <v>184020</v>
      </c>
      <c r="G38" s="9">
        <f t="shared" si="0"/>
        <v>2417364</v>
      </c>
    </row>
    <row r="39" spans="1:9" x14ac:dyDescent="0.2">
      <c r="A39" s="598">
        <v>45017</v>
      </c>
      <c r="B39" s="9">
        <v>117085</v>
      </c>
      <c r="C39" s="9">
        <v>4635</v>
      </c>
      <c r="D39" s="9">
        <v>5779</v>
      </c>
      <c r="E39" s="8">
        <v>781</v>
      </c>
      <c r="F39" s="9">
        <v>128280</v>
      </c>
      <c r="G39" s="9">
        <f t="shared" si="0"/>
        <v>2380465</v>
      </c>
    </row>
    <row r="40" spans="1:9" x14ac:dyDescent="0.2">
      <c r="A40" s="598">
        <v>45047</v>
      </c>
      <c r="B40" s="9">
        <v>177122</v>
      </c>
      <c r="C40" s="9">
        <v>6807</v>
      </c>
      <c r="D40" s="9">
        <v>8365</v>
      </c>
      <c r="E40" s="9">
        <v>1158</v>
      </c>
      <c r="F40" s="9">
        <v>193452</v>
      </c>
      <c r="G40" s="9">
        <f t="shared" si="0"/>
        <v>2424661</v>
      </c>
    </row>
    <row r="41" spans="1:9" x14ac:dyDescent="0.2">
      <c r="A41" s="598">
        <v>45078</v>
      </c>
      <c r="B41" s="9">
        <v>224897</v>
      </c>
      <c r="C41" s="9">
        <v>7772</v>
      </c>
      <c r="D41" s="9">
        <v>9772</v>
      </c>
      <c r="E41" s="9">
        <v>1352</v>
      </c>
      <c r="F41" s="9">
        <v>243793</v>
      </c>
      <c r="G41" s="9">
        <f t="shared" si="0"/>
        <v>2393764</v>
      </c>
    </row>
    <row r="42" spans="1:9" x14ac:dyDescent="0.2">
      <c r="A42" s="598">
        <v>45108</v>
      </c>
      <c r="B42" s="9">
        <v>255467</v>
      </c>
      <c r="C42" s="9">
        <v>9081</v>
      </c>
      <c r="D42" s="9">
        <v>12814</v>
      </c>
      <c r="E42" s="9">
        <v>1557</v>
      </c>
      <c r="F42" s="9">
        <v>278919</v>
      </c>
      <c r="G42" s="9">
        <f t="shared" si="0"/>
        <v>2334777</v>
      </c>
      <c r="I42" s="9"/>
    </row>
    <row r="43" spans="1:9" x14ac:dyDescent="0.2">
      <c r="A43" s="598">
        <v>45139</v>
      </c>
      <c r="B43" s="9">
        <v>260667</v>
      </c>
      <c r="C43" s="9">
        <v>8733</v>
      </c>
      <c r="D43" s="9">
        <v>14748</v>
      </c>
      <c r="E43" s="9">
        <v>1494</v>
      </c>
      <c r="F43" s="9">
        <v>285642</v>
      </c>
      <c r="G43" s="9">
        <f t="shared" si="0"/>
        <v>2349779</v>
      </c>
      <c r="I43" s="9"/>
    </row>
    <row r="44" spans="1:9" x14ac:dyDescent="0.2">
      <c r="A44" s="598">
        <v>45170</v>
      </c>
      <c r="B44" s="9">
        <v>193050</v>
      </c>
      <c r="C44" s="9">
        <v>6417</v>
      </c>
      <c r="D44" s="9">
        <v>10761</v>
      </c>
      <c r="E44" s="9">
        <v>1102</v>
      </c>
      <c r="F44" s="9">
        <v>211330</v>
      </c>
      <c r="G44" s="9">
        <f t="shared" si="0"/>
        <v>2333316</v>
      </c>
      <c r="I44" s="9"/>
    </row>
    <row r="45" spans="1:9" x14ac:dyDescent="0.2">
      <c r="A45" s="598">
        <v>45200</v>
      </c>
      <c r="B45" s="9">
        <v>187049</v>
      </c>
      <c r="C45" s="9">
        <v>6214</v>
      </c>
      <c r="D45" s="9">
        <v>10597</v>
      </c>
      <c r="E45" s="8">
        <v>997</v>
      </c>
      <c r="F45" s="9">
        <v>204857</v>
      </c>
      <c r="G45" s="9">
        <f>SUM(F45:F56)</f>
        <v>2372803</v>
      </c>
      <c r="I45" s="9"/>
    </row>
    <row r="46" spans="1:9" x14ac:dyDescent="0.2">
      <c r="A46" s="598">
        <v>45231</v>
      </c>
      <c r="B46" s="9">
        <v>199647</v>
      </c>
      <c r="C46" s="9">
        <v>6841</v>
      </c>
      <c r="D46" s="9">
        <v>11363</v>
      </c>
      <c r="E46" s="9">
        <v>1007</v>
      </c>
      <c r="F46" s="9">
        <v>218858</v>
      </c>
      <c r="G46" s="9">
        <f>SUM(F46:F57)</f>
        <v>2419222</v>
      </c>
      <c r="I46" s="9"/>
    </row>
    <row r="47" spans="1:9" x14ac:dyDescent="0.2">
      <c r="A47" s="598">
        <v>45262</v>
      </c>
      <c r="B47" s="9">
        <v>129813</v>
      </c>
      <c r="C47" s="9">
        <v>4941</v>
      </c>
      <c r="D47" s="9">
        <v>7827</v>
      </c>
      <c r="E47" s="8">
        <v>697</v>
      </c>
      <c r="F47" s="9">
        <v>143278</v>
      </c>
      <c r="G47" s="9">
        <f>SUM(F47:F58)</f>
        <v>2376275</v>
      </c>
      <c r="I47" s="9"/>
    </row>
    <row r="48" spans="1:9" x14ac:dyDescent="0.2">
      <c r="A48" s="596">
        <v>45292</v>
      </c>
      <c r="B48" s="9">
        <v>174410</v>
      </c>
      <c r="C48" s="9">
        <v>6432</v>
      </c>
      <c r="D48" s="9">
        <v>9963</v>
      </c>
      <c r="E48" s="8">
        <v>893</v>
      </c>
      <c r="F48" s="9">
        <v>191698</v>
      </c>
      <c r="G48" s="9">
        <f>SUM(F48:F59)</f>
        <v>2434966</v>
      </c>
      <c r="I48" s="9"/>
    </row>
    <row r="49" spans="1:9" x14ac:dyDescent="0.2">
      <c r="A49" s="596">
        <v>45323</v>
      </c>
      <c r="B49" s="9">
        <v>121311</v>
      </c>
      <c r="C49" s="9">
        <v>4299</v>
      </c>
      <c r="D49" s="9">
        <v>6964</v>
      </c>
      <c r="E49" s="8">
        <v>663</v>
      </c>
      <c r="F49" s="9">
        <v>133237</v>
      </c>
      <c r="G49" s="9">
        <f>SUM(F49:F60)</f>
        <v>2445237</v>
      </c>
      <c r="I49" s="9"/>
    </row>
    <row r="50" spans="1:9" x14ac:dyDescent="0.2">
      <c r="A50" s="596">
        <v>45352</v>
      </c>
      <c r="B50" s="9">
        <v>134186</v>
      </c>
      <c r="C50" s="9">
        <v>4480</v>
      </c>
      <c r="D50" s="9">
        <v>7675</v>
      </c>
      <c r="E50" s="8">
        <v>780</v>
      </c>
      <c r="F50" s="9">
        <v>147121</v>
      </c>
      <c r="G50" s="9">
        <f t="shared" ref="G50:G64" si="1">SUM(F50:F61)</f>
        <v>2499558</v>
      </c>
      <c r="I50" s="9"/>
    </row>
    <row r="51" spans="1:9" x14ac:dyDescent="0.2">
      <c r="A51" s="596">
        <v>45383</v>
      </c>
      <c r="B51" s="9">
        <v>158138</v>
      </c>
      <c r="C51" s="9">
        <v>4962</v>
      </c>
      <c r="D51" s="9">
        <v>8465</v>
      </c>
      <c r="E51" s="8">
        <v>911</v>
      </c>
      <c r="F51" s="9">
        <v>172476</v>
      </c>
      <c r="G51" s="9">
        <f t="shared" si="1"/>
        <v>2557305</v>
      </c>
      <c r="I51" s="9"/>
    </row>
    <row r="52" spans="1:9" x14ac:dyDescent="0.2">
      <c r="A52" s="596">
        <v>45413</v>
      </c>
      <c r="B52" s="9">
        <v>148658</v>
      </c>
      <c r="C52" s="9">
        <v>4817</v>
      </c>
      <c r="D52" s="9">
        <v>8203</v>
      </c>
      <c r="E52" s="8">
        <v>877</v>
      </c>
      <c r="F52" s="9">
        <v>162555</v>
      </c>
      <c r="G52" s="9">
        <f t="shared" si="1"/>
        <v>2617708</v>
      </c>
      <c r="I52" s="9"/>
    </row>
    <row r="53" spans="1:9" x14ac:dyDescent="0.2">
      <c r="A53" s="596">
        <v>45444</v>
      </c>
      <c r="B53" s="9">
        <v>169781</v>
      </c>
      <c r="C53" s="9">
        <v>5346</v>
      </c>
      <c r="D53" s="9">
        <v>8682</v>
      </c>
      <c r="E53" s="8">
        <v>997</v>
      </c>
      <c r="F53" s="9">
        <v>184806</v>
      </c>
      <c r="G53" s="9">
        <f t="shared" si="1"/>
        <v>2676499</v>
      </c>
      <c r="I53" s="9"/>
    </row>
    <row r="54" spans="1:9" x14ac:dyDescent="0.2">
      <c r="A54" s="596">
        <v>45474</v>
      </c>
      <c r="B54" s="9">
        <v>271216</v>
      </c>
      <c r="C54" s="9">
        <v>8017</v>
      </c>
      <c r="D54" s="9">
        <v>13210</v>
      </c>
      <c r="E54" s="9">
        <v>1478</v>
      </c>
      <c r="F54" s="9">
        <v>293921</v>
      </c>
      <c r="G54" s="9">
        <f t="shared" si="1"/>
        <v>2728619</v>
      </c>
    </row>
    <row r="55" spans="1:9" x14ac:dyDescent="0.2">
      <c r="A55" s="596">
        <v>45505</v>
      </c>
      <c r="B55" s="9">
        <v>247484</v>
      </c>
      <c r="C55" s="9">
        <v>7185</v>
      </c>
      <c r="D55" s="9">
        <v>13032</v>
      </c>
      <c r="E55" s="9">
        <v>1478</v>
      </c>
      <c r="F55" s="9">
        <v>269179</v>
      </c>
      <c r="G55" s="9">
        <f t="shared" si="1"/>
        <v>2691096</v>
      </c>
    </row>
    <row r="56" spans="1:9" x14ac:dyDescent="0.2">
      <c r="A56" s="599">
        <v>45536</v>
      </c>
      <c r="B56" s="9">
        <v>229493</v>
      </c>
      <c r="C56" s="9">
        <v>7308</v>
      </c>
      <c r="D56" s="9">
        <v>12763</v>
      </c>
      <c r="E56" s="9">
        <v>1253</v>
      </c>
      <c r="F56" s="9">
        <v>250817</v>
      </c>
      <c r="G56" s="9">
        <f t="shared" si="1"/>
        <v>2634653</v>
      </c>
      <c r="I56" s="9"/>
    </row>
    <row r="57" spans="1:9" x14ac:dyDescent="0.2">
      <c r="A57" s="599">
        <v>45566</v>
      </c>
      <c r="B57" s="9">
        <v>228267</v>
      </c>
      <c r="C57" s="9">
        <v>8164</v>
      </c>
      <c r="D57" s="9">
        <v>13658</v>
      </c>
      <c r="E57" s="9">
        <v>1187</v>
      </c>
      <c r="F57" s="9">
        <v>251276</v>
      </c>
      <c r="G57" s="9">
        <f t="shared" si="1"/>
        <v>2678467</v>
      </c>
    </row>
    <row r="58" spans="1:9" x14ac:dyDescent="0.2">
      <c r="A58" s="599">
        <v>45597</v>
      </c>
      <c r="B58" s="9">
        <v>159696</v>
      </c>
      <c r="C58" s="9">
        <v>5892</v>
      </c>
      <c r="D58" s="9">
        <v>9501</v>
      </c>
      <c r="E58" s="9">
        <v>822</v>
      </c>
      <c r="F58" s="9">
        <v>175911</v>
      </c>
      <c r="G58" s="9">
        <f t="shared" si="1"/>
        <v>2661329</v>
      </c>
    </row>
    <row r="59" spans="1:9" x14ac:dyDescent="0.2">
      <c r="A59" s="599">
        <v>45627</v>
      </c>
      <c r="B59" s="9">
        <v>183992</v>
      </c>
      <c r="C59" s="9">
        <v>6211</v>
      </c>
      <c r="D59" s="9">
        <v>10830</v>
      </c>
      <c r="E59" s="9">
        <v>936</v>
      </c>
      <c r="F59" s="9">
        <v>201969</v>
      </c>
      <c r="G59" s="9">
        <f t="shared" si="1"/>
        <v>2686793</v>
      </c>
    </row>
    <row r="60" spans="1:9" x14ac:dyDescent="0.2">
      <c r="A60" s="600">
        <v>45658</v>
      </c>
      <c r="B60" s="9">
        <v>183992</v>
      </c>
      <c r="C60" s="9">
        <v>6211</v>
      </c>
      <c r="D60" s="9">
        <v>10830</v>
      </c>
      <c r="E60" s="9">
        <v>936</v>
      </c>
      <c r="F60" s="9">
        <v>201969</v>
      </c>
      <c r="G60" s="601">
        <f t="shared" si="1"/>
        <v>2669752</v>
      </c>
    </row>
    <row r="61" spans="1:9" x14ac:dyDescent="0.2">
      <c r="A61" s="600">
        <v>45690</v>
      </c>
      <c r="B61" s="9">
        <v>170083</v>
      </c>
      <c r="C61" s="9">
        <v>5821</v>
      </c>
      <c r="D61" s="9">
        <v>10743</v>
      </c>
      <c r="E61" s="9">
        <v>911</v>
      </c>
      <c r="F61" s="9">
        <v>187558</v>
      </c>
      <c r="G61" s="601">
        <f t="shared" si="1"/>
        <v>2696025</v>
      </c>
    </row>
    <row r="62" spans="1:9" x14ac:dyDescent="0.2">
      <c r="A62" s="600">
        <v>45719</v>
      </c>
      <c r="B62" s="9">
        <v>186259</v>
      </c>
      <c r="C62" s="9">
        <v>6551</v>
      </c>
      <c r="D62" s="9">
        <v>11065</v>
      </c>
      <c r="E62" s="9">
        <v>993</v>
      </c>
      <c r="F62" s="9">
        <v>204868</v>
      </c>
      <c r="G62" s="601">
        <f t="shared" si="1"/>
        <v>2690637</v>
      </c>
    </row>
    <row r="63" spans="1:9" x14ac:dyDescent="0.2">
      <c r="A63" s="600">
        <v>45751</v>
      </c>
      <c r="B63" s="9">
        <v>210888</v>
      </c>
      <c r="C63" s="9">
        <v>7707</v>
      </c>
      <c r="D63" s="9">
        <v>13077</v>
      </c>
      <c r="E63" s="9">
        <v>1207</v>
      </c>
      <c r="F63" s="9">
        <v>232879</v>
      </c>
      <c r="G63" s="601">
        <f t="shared" si="1"/>
        <v>2719163</v>
      </c>
    </row>
    <row r="64" spans="1:9" x14ac:dyDescent="0.2">
      <c r="A64" s="600">
        <v>45783</v>
      </c>
      <c r="B64" s="9">
        <v>201460</v>
      </c>
      <c r="C64" s="9">
        <v>6772</v>
      </c>
      <c r="D64" s="9">
        <v>11948</v>
      </c>
      <c r="E64" s="9">
        <v>1166</v>
      </c>
      <c r="F64" s="9">
        <v>221346</v>
      </c>
      <c r="G64" s="601">
        <f t="shared" si="1"/>
        <v>2714781</v>
      </c>
    </row>
    <row r="65" spans="1:7" x14ac:dyDescent="0.2">
      <c r="A65" s="600">
        <v>45815</v>
      </c>
      <c r="B65" s="9">
        <v>215889</v>
      </c>
      <c r="C65" s="9">
        <v>7092</v>
      </c>
      <c r="D65" s="9">
        <v>12710</v>
      </c>
      <c r="E65" s="9">
        <v>1235</v>
      </c>
      <c r="F65" s="9">
        <v>236926</v>
      </c>
      <c r="G65" s="601">
        <f>SUM(F65:F76)</f>
        <v>2493435</v>
      </c>
    </row>
    <row r="66" spans="1:7" x14ac:dyDescent="0.2">
      <c r="A66" s="602">
        <v>45839</v>
      </c>
      <c r="B66" s="9">
        <v>235104</v>
      </c>
      <c r="C66" s="9">
        <v>6438</v>
      </c>
      <c r="D66" s="9">
        <v>13474</v>
      </c>
      <c r="E66" s="9">
        <v>1382</v>
      </c>
      <c r="F66" s="9">
        <v>256398</v>
      </c>
      <c r="G66" s="601">
        <f t="shared" ref="G66:G73" si="2">SUM(F66:F77)</f>
        <v>2256509</v>
      </c>
    </row>
    <row r="67" spans="1:7" x14ac:dyDescent="0.2">
      <c r="A67" s="602">
        <v>45870</v>
      </c>
      <c r="B67" s="9">
        <v>194526</v>
      </c>
      <c r="C67" s="9">
        <v>6293</v>
      </c>
      <c r="D67" s="9">
        <v>10745</v>
      </c>
      <c r="E67" s="9">
        <v>1172</v>
      </c>
      <c r="F67" s="9">
        <v>212736</v>
      </c>
      <c r="G67" s="601">
        <f t="shared" si="2"/>
        <v>2000111</v>
      </c>
    </row>
    <row r="68" spans="1:7" x14ac:dyDescent="0.2">
      <c r="A68" s="602">
        <v>45901</v>
      </c>
      <c r="B68" s="9">
        <v>268734</v>
      </c>
      <c r="C68" s="9">
        <v>8767</v>
      </c>
      <c r="D68" s="9">
        <v>15720</v>
      </c>
      <c r="E68" s="9">
        <v>1410</v>
      </c>
      <c r="F68" s="9">
        <v>294631</v>
      </c>
      <c r="G68" s="601">
        <f t="shared" si="2"/>
        <v>1787375</v>
      </c>
    </row>
    <row r="69" spans="1:7" x14ac:dyDescent="0.2">
      <c r="A69" s="602">
        <v>45931</v>
      </c>
      <c r="B69" s="9">
        <v>213881</v>
      </c>
      <c r="C69" s="9">
        <v>6593</v>
      </c>
      <c r="D69" s="9">
        <v>12570</v>
      </c>
      <c r="E69" s="9">
        <v>1094</v>
      </c>
      <c r="F69" s="9">
        <v>234138</v>
      </c>
      <c r="G69" s="601">
        <f t="shared" si="2"/>
        <v>1492744</v>
      </c>
    </row>
    <row r="70" spans="1:7" x14ac:dyDescent="0.2">
      <c r="A70" s="602">
        <v>45962</v>
      </c>
      <c r="B70" s="9">
        <v>183033</v>
      </c>
      <c r="C70" s="9">
        <v>6649</v>
      </c>
      <c r="D70" s="9">
        <v>10753</v>
      </c>
      <c r="E70" s="8">
        <v>940</v>
      </c>
      <c r="F70" s="9">
        <v>201375</v>
      </c>
      <c r="G70" s="601">
        <f t="shared" si="2"/>
        <v>1258606</v>
      </c>
    </row>
    <row r="71" spans="1:7" x14ac:dyDescent="0.2">
      <c r="A71" s="602">
        <v>45992</v>
      </c>
      <c r="B71" s="9">
        <v>166831</v>
      </c>
      <c r="C71" s="9">
        <v>6518</v>
      </c>
      <c r="D71" s="9">
        <v>10697</v>
      </c>
      <c r="E71" s="8">
        <v>882</v>
      </c>
      <c r="F71" s="9">
        <v>184928</v>
      </c>
      <c r="G71" s="601">
        <f t="shared" si="2"/>
        <v>1057231</v>
      </c>
    </row>
    <row r="72" spans="1:7" x14ac:dyDescent="0.2">
      <c r="A72" s="603">
        <v>46023</v>
      </c>
      <c r="B72" s="9">
        <v>206435</v>
      </c>
      <c r="C72" s="9">
        <v>7907</v>
      </c>
      <c r="D72" s="9">
        <v>12851</v>
      </c>
      <c r="E72" s="9">
        <v>1049</v>
      </c>
      <c r="F72" s="9">
        <v>228242</v>
      </c>
      <c r="G72" s="601">
        <f t="shared" si="2"/>
        <v>872303</v>
      </c>
    </row>
    <row r="73" spans="1:7" x14ac:dyDescent="0.2">
      <c r="A73" s="603">
        <v>46054</v>
      </c>
      <c r="B73" s="9">
        <v>165194</v>
      </c>
      <c r="C73" s="9">
        <v>6124</v>
      </c>
      <c r="D73" s="9">
        <v>9986</v>
      </c>
      <c r="E73" s="9">
        <v>866</v>
      </c>
      <c r="F73" s="9">
        <v>182170</v>
      </c>
      <c r="G73" s="601">
        <f t="shared" si="2"/>
        <v>644061</v>
      </c>
    </row>
    <row r="74" spans="1:7" x14ac:dyDescent="0.2">
      <c r="A74" s="603">
        <v>46082</v>
      </c>
      <c r="B74" s="9">
        <v>214489</v>
      </c>
      <c r="C74" s="9">
        <v>6344</v>
      </c>
      <c r="D74" s="9">
        <v>11531</v>
      </c>
      <c r="E74" s="9">
        <v>1030</v>
      </c>
      <c r="F74" s="9">
        <v>233394</v>
      </c>
      <c r="G74" s="601">
        <f>SUM(F74:F85)</f>
        <v>461891</v>
      </c>
    </row>
    <row r="75" spans="1:7" x14ac:dyDescent="0.2">
      <c r="A75" s="603">
        <v>46113</v>
      </c>
      <c r="B75" s="9">
        <v>210768</v>
      </c>
      <c r="C75" s="9">
        <v>6276</v>
      </c>
      <c r="D75" s="9">
        <v>10432</v>
      </c>
      <c r="E75" s="9">
        <v>1021</v>
      </c>
      <c r="F75" s="9">
        <v>228497</v>
      </c>
      <c r="G75" s="601">
        <f>SUM(F75:F86)</f>
        <v>228497</v>
      </c>
    </row>
    <row r="76" spans="1:7" x14ac:dyDescent="0.2">
      <c r="A76" s="603">
        <v>46143</v>
      </c>
    </row>
    <row r="77" spans="1:7" x14ac:dyDescent="0.2">
      <c r="A77" s="603">
        <v>46174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696E-391A-7D44-8E2B-13E0C0B1C819}">
  <dimension ref="A1:I17"/>
  <sheetViews>
    <sheetView workbookViewId="0">
      <selection activeCell="F15" sqref="F15"/>
    </sheetView>
  </sheetViews>
  <sheetFormatPr baseColWidth="10" defaultColWidth="11.5" defaultRowHeight="14" x14ac:dyDescent="0.2"/>
  <cols>
    <col min="1" max="1" width="11.5" style="606"/>
    <col min="2" max="4" width="10.83203125" style="240" customWidth="1"/>
    <col min="5" max="5" width="13.33203125" style="240" customWidth="1"/>
    <col min="6" max="7" width="20.83203125" style="240" customWidth="1"/>
    <col min="8" max="16384" width="11.5" style="240"/>
  </cols>
  <sheetData>
    <row r="1" spans="1:9" ht="30" x14ac:dyDescent="0.2">
      <c r="A1" s="604" t="s">
        <v>28</v>
      </c>
      <c r="B1" s="605" t="s">
        <v>78</v>
      </c>
      <c r="C1" s="311" t="s">
        <v>79</v>
      </c>
      <c r="D1" s="311" t="s">
        <v>80</v>
      </c>
      <c r="E1" s="311" t="s">
        <v>81</v>
      </c>
      <c r="F1" s="311" t="s">
        <v>84</v>
      </c>
      <c r="G1" s="607" t="s">
        <v>85</v>
      </c>
    </row>
    <row r="2" spans="1:9" ht="15" x14ac:dyDescent="0.2">
      <c r="A2" s="606" t="s">
        <v>61</v>
      </c>
      <c r="F2" s="310">
        <v>0</v>
      </c>
      <c r="G2" s="310"/>
    </row>
    <row r="3" spans="1:9" ht="15" x14ac:dyDescent="0.2">
      <c r="A3" s="606" t="s">
        <v>63</v>
      </c>
      <c r="F3" s="310">
        <v>0</v>
      </c>
      <c r="G3" s="310"/>
    </row>
    <row r="4" spans="1:9" ht="15" x14ac:dyDescent="0.2">
      <c r="A4" s="606" t="s">
        <v>64</v>
      </c>
      <c r="F4" s="310">
        <v>0</v>
      </c>
      <c r="G4" s="310"/>
    </row>
    <row r="5" spans="1:9" ht="15" x14ac:dyDescent="0.2">
      <c r="A5" s="606" t="s">
        <v>65</v>
      </c>
      <c r="F5" s="310">
        <v>0</v>
      </c>
    </row>
    <row r="6" spans="1:9" ht="15" x14ac:dyDescent="0.2">
      <c r="A6" s="606" t="s">
        <v>66</v>
      </c>
      <c r="B6" s="241">
        <f>SUM('Monthly Renewable'!B2:B5)</f>
        <v>2920</v>
      </c>
      <c r="C6" s="240">
        <f>SUM('Monthly Renewable'!C2:C5)</f>
        <v>0</v>
      </c>
      <c r="D6" s="240">
        <f>SUM('Monthly Renewable'!D2:D5)</f>
        <v>0</v>
      </c>
      <c r="E6" s="240">
        <f>SUM('Monthly Renewable'!E2:E5)</f>
        <v>0</v>
      </c>
      <c r="F6" s="241">
        <f>SUM('Monthly Renewable'!B2:B5)</f>
        <v>2920</v>
      </c>
      <c r="G6" s="359">
        <f>F6/'Yearly Electricity (Overview)'!C7</f>
        <v>3.3427493545631803E-5</v>
      </c>
    </row>
    <row r="7" spans="1:9" ht="15" x14ac:dyDescent="0.2">
      <c r="A7" s="606" t="s">
        <v>68</v>
      </c>
      <c r="B7" s="241">
        <f>SUM('Monthly Renewable'!B6:B17)</f>
        <v>391443</v>
      </c>
      <c r="C7" s="240">
        <f>SUM('Monthly Renewable'!C6:C17)</f>
        <v>0</v>
      </c>
      <c r="D7" s="240">
        <f>SUM('Monthly Renewable'!D6:D17)</f>
        <v>0</v>
      </c>
      <c r="E7" s="240">
        <f>SUM('Monthly Renewable'!E6:E17)</f>
        <v>0</v>
      </c>
      <c r="F7" s="241">
        <f>SUM('Monthly Renewable'!B6:B17)</f>
        <v>391443</v>
      </c>
      <c r="G7" s="358">
        <f>F7/'Yearly Electricity (Overview)'!C8</f>
        <v>4.4321907693405122E-3</v>
      </c>
    </row>
    <row r="8" spans="1:9" ht="15" x14ac:dyDescent="0.2">
      <c r="A8" s="606" t="s">
        <v>70</v>
      </c>
      <c r="B8" s="241">
        <f>SUM('Monthly Renewable'!B18:B29)</f>
        <v>1737216</v>
      </c>
      <c r="C8" s="241">
        <f>SUM('Monthly Renewable'!C18:C29)</f>
        <v>101395</v>
      </c>
      <c r="D8" s="241">
        <f>SUM('Monthly Renewable'!D18:D29)</f>
        <v>74110</v>
      </c>
      <c r="E8" s="241">
        <f>SUM('Monthly Renewable'!E18:E29)</f>
        <v>0</v>
      </c>
      <c r="F8" s="241">
        <f>SUM('Monthly Renewable'!F18:F29)</f>
        <v>1912724</v>
      </c>
      <c r="G8" s="358">
        <f>F8/'Yearly Electricity (Overview)'!C9</f>
        <v>2.1325372377113568E-2</v>
      </c>
    </row>
    <row r="9" spans="1:9" ht="15" x14ac:dyDescent="0.2">
      <c r="A9" s="606" t="s">
        <v>72</v>
      </c>
      <c r="B9" s="241">
        <f>SUM('Monthly Renewable'!B30:B41)</f>
        <v>2130219</v>
      </c>
      <c r="C9" s="241">
        <f>SUM('Monthly Renewable'!C30:C41)</f>
        <v>87168</v>
      </c>
      <c r="D9" s="241">
        <f>SUM('Monthly Renewable'!D30:D41)</f>
        <v>102386</v>
      </c>
      <c r="E9" s="241">
        <f>SUM('Monthly Renewable'!E30:E41)</f>
        <v>6033</v>
      </c>
      <c r="F9" s="241">
        <f>SUM('Monthly Renewable'!F30:F41)</f>
        <v>2325806</v>
      </c>
      <c r="G9" s="358">
        <f>F9/'Yearly Electricity (Overview)'!C10</f>
        <v>2.4760439796569313E-2</v>
      </c>
    </row>
    <row r="10" spans="1:9" ht="15" x14ac:dyDescent="0.2">
      <c r="A10" s="606" t="s">
        <v>74</v>
      </c>
      <c r="B10" s="241">
        <f>SUM('Monthly Renewable'!B42:B53)</f>
        <v>2132177</v>
      </c>
      <c r="C10" s="241">
        <f>SUM('Monthly Renewable'!C42:C53)</f>
        <v>72563</v>
      </c>
      <c r="D10" s="241">
        <f>SUM('Monthly Renewable'!D42:D53)</f>
        <v>118062</v>
      </c>
      <c r="E10" s="241">
        <f>SUM('Monthly Renewable'!E42:E53)</f>
        <v>11975</v>
      </c>
      <c r="F10" s="241">
        <f>SUM('Monthly Renewable'!F42:F53)</f>
        <v>2334777</v>
      </c>
      <c r="G10" s="358">
        <f>F10/'Yearly Electricity (Overview)'!C11</f>
        <v>2.4142207731515822E-2</v>
      </c>
      <c r="I10" s="250"/>
    </row>
    <row r="11" spans="1:9" ht="15" x14ac:dyDescent="0.2">
      <c r="A11" s="606" t="s">
        <v>76</v>
      </c>
      <c r="B11" s="241">
        <f>SUM('Monthly Renewable'!B54:B65)</f>
        <v>2488719</v>
      </c>
      <c r="C11" s="241">
        <f>SUM('Monthly Renewable'!C54:C65)</f>
        <v>82931</v>
      </c>
      <c r="D11" s="241">
        <f>SUM('Monthly Renewable'!D54:D65)</f>
        <v>143367</v>
      </c>
      <c r="E11" s="241">
        <f>SUM('Monthly Renewable'!E54:E65)</f>
        <v>13602</v>
      </c>
      <c r="F11" s="241">
        <f>SUM('Monthly Renewable'!F54:F65)</f>
        <v>2728619</v>
      </c>
      <c r="G11" s="358">
        <f>F11/'Yearly Electricity (Overview)'!C12</f>
        <v>2.6393050235744418E-2</v>
      </c>
    </row>
    <row r="12" spans="1:9" ht="15" x14ac:dyDescent="0.2">
      <c r="A12" s="606" t="s">
        <v>111</v>
      </c>
      <c r="B12" s="608">
        <f>SUM('Monthly Renewable'!B66:B77)</f>
        <v>2058995</v>
      </c>
      <c r="C12" s="608">
        <f>SUM('Monthly Renewable'!C66:C77)</f>
        <v>67909</v>
      </c>
      <c r="D12" s="608">
        <f>SUM('Monthly Renewable'!D66:D77)</f>
        <v>118759</v>
      </c>
      <c r="E12" s="608">
        <f>SUM('Monthly Renewable'!E66:E77)</f>
        <v>10846</v>
      </c>
      <c r="F12" s="608">
        <f>SUM('Monthly Renewable'!F66:F77)</f>
        <v>2256509</v>
      </c>
      <c r="G12" s="609">
        <f>F12/'Yearly Electricity (Overview)'!C13</f>
        <v>3.4872333768428292E-2</v>
      </c>
    </row>
    <row r="13" spans="1:9" x14ac:dyDescent="0.2">
      <c r="F13" s="249"/>
    </row>
    <row r="14" spans="1:9" x14ac:dyDescent="0.2">
      <c r="F14" s="249"/>
    </row>
    <row r="15" spans="1:9" x14ac:dyDescent="0.2">
      <c r="F15" s="249"/>
    </row>
    <row r="16" spans="1:9" x14ac:dyDescent="0.2">
      <c r="F16" s="249"/>
    </row>
    <row r="17" spans="6:6" x14ac:dyDescent="0.2">
      <c r="F17" s="24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34E0-CFC6-494E-810E-9ED55066D5E6}">
  <dimension ref="A1:AR161"/>
  <sheetViews>
    <sheetView zoomScale="68" zoomScaleNormal="100" workbookViewId="0">
      <pane xSplit="1" ySplit="1" topLeftCell="R78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6" x14ac:dyDescent="0.2"/>
  <cols>
    <col min="1" max="1" width="10.1640625" style="55" bestFit="1" customWidth="1"/>
    <col min="2" max="2" width="13.33203125" style="55" customWidth="1"/>
    <col min="3" max="3" width="15.6640625" style="55" customWidth="1"/>
    <col min="4" max="4" width="13.1640625" style="55" customWidth="1"/>
    <col min="5" max="5" width="13.33203125" style="55" customWidth="1"/>
    <col min="6" max="6" width="9.33203125" style="55" bestFit="1" customWidth="1"/>
    <col min="7" max="7" width="10.6640625" style="55" customWidth="1"/>
    <col min="8" max="8" width="13.33203125" style="55" customWidth="1"/>
    <col min="9" max="9" width="16.1640625" style="55" customWidth="1"/>
    <col min="10" max="10" width="10.6640625" style="55" customWidth="1"/>
    <col min="11" max="11" width="9.33203125" style="55" bestFit="1" customWidth="1"/>
    <col min="12" max="12" width="13.33203125" style="55" customWidth="1"/>
    <col min="13" max="13" width="9" style="55" hidden="1" customWidth="1"/>
    <col min="14" max="14" width="10.6640625" style="55" customWidth="1"/>
    <col min="15" max="17" width="9.33203125" style="55" bestFit="1" customWidth="1"/>
    <col min="18" max="22" width="9.33203125" style="55" customWidth="1"/>
    <col min="23" max="24" width="10.6640625" style="55" customWidth="1"/>
    <col min="25" max="25" width="15.6640625" style="55" customWidth="1"/>
    <col min="26" max="26" width="13.33203125" style="55" customWidth="1"/>
    <col min="27" max="27" width="10.6640625" style="55" customWidth="1"/>
    <col min="28" max="28" width="12.33203125" style="55" customWidth="1"/>
    <col min="29" max="29" width="3.33203125" style="177" customWidth="1"/>
    <col min="30" max="30" width="10.6640625" style="55" customWidth="1"/>
    <col min="31" max="31" width="13.33203125" style="55" bestFit="1" customWidth="1"/>
    <col min="32" max="36" width="13.33203125" style="55" customWidth="1"/>
    <col min="37" max="37" width="18.33203125" style="55" customWidth="1"/>
    <col min="38" max="38" width="13.33203125" style="55" customWidth="1"/>
    <col min="39" max="39" width="15.6640625" style="55" customWidth="1"/>
    <col min="40" max="40" width="13.33203125" style="55" customWidth="1"/>
    <col min="41" max="43" width="8.6640625" style="55"/>
    <col min="44" max="44" width="12.6640625" style="55" bestFit="1" customWidth="1"/>
    <col min="45" max="16384" width="8.6640625" style="55"/>
  </cols>
  <sheetData>
    <row r="1" spans="1:43" s="91" customFormat="1" ht="86" thickBot="1" x14ac:dyDescent="0.25">
      <c r="A1" s="251" t="s">
        <v>77</v>
      </c>
      <c r="B1" s="252" t="s">
        <v>87</v>
      </c>
      <c r="C1" s="169" t="s">
        <v>93</v>
      </c>
      <c r="D1" s="170" t="s">
        <v>94</v>
      </c>
      <c r="E1" s="170" t="s">
        <v>6</v>
      </c>
      <c r="F1" s="170" t="s">
        <v>95</v>
      </c>
      <c r="G1" s="170" t="s">
        <v>96</v>
      </c>
      <c r="H1" s="170" t="s">
        <v>97</v>
      </c>
      <c r="I1" s="170" t="s">
        <v>41</v>
      </c>
      <c r="J1" s="172" t="s">
        <v>98</v>
      </c>
      <c r="K1" s="172" t="s">
        <v>99</v>
      </c>
      <c r="L1" s="172" t="s">
        <v>45</v>
      </c>
      <c r="M1" s="172" t="s">
        <v>89</v>
      </c>
      <c r="N1" s="172" t="s">
        <v>42</v>
      </c>
      <c r="O1" s="174" t="s">
        <v>100</v>
      </c>
      <c r="P1" s="174" t="s">
        <v>101</v>
      </c>
      <c r="Q1" s="174" t="s">
        <v>102</v>
      </c>
      <c r="R1" s="566" t="s">
        <v>742</v>
      </c>
      <c r="S1" s="567" t="s">
        <v>722</v>
      </c>
      <c r="T1" s="170" t="s">
        <v>103</v>
      </c>
      <c r="U1" s="175" t="s">
        <v>104</v>
      </c>
      <c r="V1" s="175" t="s">
        <v>105</v>
      </c>
      <c r="W1" s="175" t="s">
        <v>106</v>
      </c>
      <c r="X1" s="175" t="s">
        <v>107</v>
      </c>
      <c r="Y1" s="510" t="s">
        <v>90</v>
      </c>
      <c r="Z1" s="511" t="s">
        <v>91</v>
      </c>
      <c r="AA1" s="510" t="s">
        <v>24</v>
      </c>
      <c r="AB1" s="253" t="s">
        <v>92</v>
      </c>
      <c r="AC1" s="568"/>
      <c r="AD1" s="569" t="s">
        <v>108</v>
      </c>
      <c r="AE1" s="570" t="s">
        <v>723</v>
      </c>
      <c r="AF1" s="570" t="s">
        <v>724</v>
      </c>
      <c r="AG1" s="571" t="s">
        <v>725</v>
      </c>
      <c r="AH1" s="571" t="s">
        <v>726</v>
      </c>
      <c r="AI1" s="572" t="s">
        <v>727</v>
      </c>
      <c r="AJ1" s="572" t="s">
        <v>728</v>
      </c>
    </row>
    <row r="2" spans="1:43" x14ac:dyDescent="0.2">
      <c r="A2" s="254">
        <v>41640</v>
      </c>
      <c r="B2" s="255">
        <v>5938547</v>
      </c>
      <c r="C2" s="255">
        <v>3924710</v>
      </c>
      <c r="D2" s="255">
        <v>190811</v>
      </c>
      <c r="E2" s="255">
        <v>41274</v>
      </c>
      <c r="F2" s="255">
        <v>0</v>
      </c>
      <c r="G2" s="255">
        <v>0</v>
      </c>
      <c r="H2" s="255">
        <v>0</v>
      </c>
      <c r="I2" s="255">
        <v>500427</v>
      </c>
      <c r="J2" s="255">
        <v>205345</v>
      </c>
      <c r="K2" s="255">
        <v>44678</v>
      </c>
      <c r="L2" s="255">
        <v>0</v>
      </c>
      <c r="M2" s="255">
        <v>0</v>
      </c>
      <c r="N2" s="255">
        <v>48446</v>
      </c>
      <c r="O2" s="255">
        <v>59654</v>
      </c>
      <c r="P2" s="255">
        <v>0</v>
      </c>
      <c r="Q2" s="255">
        <v>0</v>
      </c>
      <c r="R2" s="255"/>
      <c r="S2" s="255"/>
      <c r="T2" s="255"/>
      <c r="U2" s="255"/>
      <c r="V2" s="255"/>
      <c r="W2" s="255">
        <v>0</v>
      </c>
      <c r="X2" s="255">
        <v>361571</v>
      </c>
      <c r="Y2" s="255">
        <v>561631</v>
      </c>
      <c r="Z2" s="256">
        <v>229909</v>
      </c>
      <c r="AA2" s="257">
        <v>331722</v>
      </c>
      <c r="AB2" s="257">
        <v>548873</v>
      </c>
      <c r="AC2" s="573"/>
      <c r="AD2" s="574">
        <v>0</v>
      </c>
      <c r="AE2" s="255">
        <v>0</v>
      </c>
      <c r="AF2" s="255">
        <v>0</v>
      </c>
      <c r="AG2" s="255">
        <v>0</v>
      </c>
      <c r="AH2" s="255">
        <v>0</v>
      </c>
      <c r="AI2" s="255"/>
      <c r="AJ2" s="255"/>
      <c r="AK2" s="56"/>
      <c r="AM2" s="56"/>
      <c r="AN2" s="56"/>
    </row>
    <row r="3" spans="1:43" x14ac:dyDescent="0.2">
      <c r="A3" s="254">
        <v>41671</v>
      </c>
      <c r="B3" s="255">
        <v>5888877</v>
      </c>
      <c r="C3" s="258">
        <v>3565612</v>
      </c>
      <c r="D3" s="255">
        <v>252064</v>
      </c>
      <c r="E3" s="258">
        <v>28315</v>
      </c>
      <c r="F3" s="255">
        <v>0</v>
      </c>
      <c r="G3" s="255">
        <v>0</v>
      </c>
      <c r="H3" s="255">
        <v>0</v>
      </c>
      <c r="I3" s="258">
        <v>502155</v>
      </c>
      <c r="J3" s="258">
        <v>290449</v>
      </c>
      <c r="K3" s="258">
        <v>56447</v>
      </c>
      <c r="L3" s="258">
        <v>0</v>
      </c>
      <c r="M3" s="255">
        <v>0</v>
      </c>
      <c r="N3" s="258">
        <v>47613</v>
      </c>
      <c r="O3" s="258">
        <v>47313</v>
      </c>
      <c r="P3" s="255">
        <v>0</v>
      </c>
      <c r="Q3" s="255">
        <v>0</v>
      </c>
      <c r="R3" s="255"/>
      <c r="S3" s="255"/>
      <c r="T3" s="255"/>
      <c r="U3" s="255"/>
      <c r="V3" s="255"/>
      <c r="W3" s="255">
        <v>0</v>
      </c>
      <c r="X3" s="258">
        <v>504993</v>
      </c>
      <c r="Y3" s="258">
        <v>593916</v>
      </c>
      <c r="Z3" s="259">
        <v>220164</v>
      </c>
      <c r="AA3" s="260">
        <v>373752</v>
      </c>
      <c r="AB3" s="260">
        <v>549768</v>
      </c>
      <c r="AC3" s="575"/>
      <c r="AD3" s="299">
        <v>0</v>
      </c>
      <c r="AE3" s="255">
        <v>0</v>
      </c>
      <c r="AF3" s="258">
        <v>0</v>
      </c>
      <c r="AG3" s="258">
        <v>0</v>
      </c>
      <c r="AH3" s="258">
        <v>0</v>
      </c>
      <c r="AI3" s="258"/>
      <c r="AJ3" s="258"/>
      <c r="AK3" s="56"/>
      <c r="AM3" s="56"/>
      <c r="AN3" s="56"/>
    </row>
    <row r="4" spans="1:43" x14ac:dyDescent="0.2">
      <c r="A4" s="254">
        <v>41699</v>
      </c>
      <c r="B4" s="255">
        <v>6018786</v>
      </c>
      <c r="C4" s="258">
        <v>3680694</v>
      </c>
      <c r="D4" s="255">
        <v>185065</v>
      </c>
      <c r="E4" s="258">
        <v>40257</v>
      </c>
      <c r="F4" s="255">
        <v>0</v>
      </c>
      <c r="G4" s="255">
        <v>0</v>
      </c>
      <c r="H4" s="255">
        <v>0</v>
      </c>
      <c r="I4" s="258">
        <v>754593</v>
      </c>
      <c r="J4" s="258">
        <v>182485</v>
      </c>
      <c r="K4" s="258">
        <v>34491</v>
      </c>
      <c r="L4" s="258">
        <v>0</v>
      </c>
      <c r="M4" s="255">
        <v>0</v>
      </c>
      <c r="N4" s="258">
        <v>46854</v>
      </c>
      <c r="O4" s="258">
        <v>43566</v>
      </c>
      <c r="P4" s="255">
        <v>0</v>
      </c>
      <c r="Q4" s="255">
        <v>0</v>
      </c>
      <c r="R4" s="255"/>
      <c r="S4" s="255"/>
      <c r="T4" s="255"/>
      <c r="U4" s="255"/>
      <c r="V4" s="255"/>
      <c r="W4" s="255">
        <v>0</v>
      </c>
      <c r="X4" s="258">
        <v>511265</v>
      </c>
      <c r="Y4" s="258">
        <v>539516</v>
      </c>
      <c r="Z4" s="259">
        <v>247766</v>
      </c>
      <c r="AA4" s="260">
        <v>291750</v>
      </c>
      <c r="AB4" s="260">
        <v>801447</v>
      </c>
      <c r="AC4" s="575"/>
      <c r="AD4" s="299">
        <v>0</v>
      </c>
      <c r="AE4" s="255">
        <v>0</v>
      </c>
      <c r="AF4" s="258">
        <v>0</v>
      </c>
      <c r="AG4" s="258">
        <v>0</v>
      </c>
      <c r="AH4" s="258">
        <v>0</v>
      </c>
      <c r="AI4" s="258"/>
      <c r="AJ4" s="258"/>
      <c r="AK4" s="56"/>
      <c r="AM4" s="56"/>
      <c r="AN4" s="56"/>
    </row>
    <row r="5" spans="1:43" x14ac:dyDescent="0.2">
      <c r="A5" s="254">
        <v>41730</v>
      </c>
      <c r="B5" s="255">
        <v>7488350</v>
      </c>
      <c r="C5" s="258">
        <v>4459315</v>
      </c>
      <c r="D5" s="255">
        <v>203049</v>
      </c>
      <c r="E5" s="258">
        <v>56946</v>
      </c>
      <c r="F5" s="255">
        <v>0</v>
      </c>
      <c r="G5" s="255">
        <v>0</v>
      </c>
      <c r="H5" s="255">
        <v>0</v>
      </c>
      <c r="I5" s="258">
        <v>1100944</v>
      </c>
      <c r="J5" s="258">
        <v>213938</v>
      </c>
      <c r="K5" s="258">
        <v>46284</v>
      </c>
      <c r="L5" s="258">
        <v>0</v>
      </c>
      <c r="M5" s="255">
        <v>0</v>
      </c>
      <c r="N5" s="258">
        <v>141417</v>
      </c>
      <c r="O5" s="258">
        <v>73814</v>
      </c>
      <c r="P5" s="255">
        <v>0</v>
      </c>
      <c r="Q5" s="255">
        <v>0</v>
      </c>
      <c r="R5" s="255"/>
      <c r="S5" s="255"/>
      <c r="T5" s="255"/>
      <c r="U5" s="255"/>
      <c r="V5" s="255"/>
      <c r="W5" s="255">
        <v>0</v>
      </c>
      <c r="X5" s="258">
        <v>612777</v>
      </c>
      <c r="Y5" s="258">
        <v>579866</v>
      </c>
      <c r="Z5" s="259">
        <v>295835</v>
      </c>
      <c r="AA5" s="260">
        <v>284031</v>
      </c>
      <c r="AB5" s="260">
        <v>1242361</v>
      </c>
      <c r="AC5" s="575"/>
      <c r="AD5" s="299">
        <v>0</v>
      </c>
      <c r="AE5" s="255">
        <v>0</v>
      </c>
      <c r="AF5" s="258">
        <v>0</v>
      </c>
      <c r="AG5" s="258">
        <v>0</v>
      </c>
      <c r="AH5" s="258">
        <v>0</v>
      </c>
      <c r="AI5" s="258"/>
      <c r="AJ5" s="258"/>
      <c r="AK5" s="56"/>
      <c r="AM5" s="56"/>
      <c r="AN5" s="56"/>
    </row>
    <row r="6" spans="1:43" x14ac:dyDescent="0.2">
      <c r="A6" s="254">
        <v>41760</v>
      </c>
      <c r="B6" s="255">
        <v>7986119</v>
      </c>
      <c r="C6" s="258">
        <v>3816523</v>
      </c>
      <c r="D6" s="255">
        <v>345876</v>
      </c>
      <c r="E6" s="258">
        <v>89452</v>
      </c>
      <c r="F6" s="255">
        <v>0</v>
      </c>
      <c r="G6" s="255">
        <v>0</v>
      </c>
      <c r="H6" s="255">
        <v>0</v>
      </c>
      <c r="I6" s="258">
        <v>1749797</v>
      </c>
      <c r="J6" s="258">
        <v>224043</v>
      </c>
      <c r="K6" s="258">
        <v>103456</v>
      </c>
      <c r="L6" s="258">
        <v>0</v>
      </c>
      <c r="M6" s="255">
        <v>0</v>
      </c>
      <c r="N6" s="258">
        <v>170062</v>
      </c>
      <c r="O6" s="258">
        <v>82044</v>
      </c>
      <c r="P6" s="255">
        <v>0</v>
      </c>
      <c r="Q6" s="255">
        <v>0</v>
      </c>
      <c r="R6" s="255"/>
      <c r="S6" s="255"/>
      <c r="T6" s="255"/>
      <c r="U6" s="255"/>
      <c r="V6" s="255"/>
      <c r="W6" s="255">
        <v>0</v>
      </c>
      <c r="X6" s="258">
        <v>692230</v>
      </c>
      <c r="Y6" s="258">
        <v>712636</v>
      </c>
      <c r="Z6" s="259">
        <v>281303</v>
      </c>
      <c r="AA6" s="260">
        <v>431333</v>
      </c>
      <c r="AB6" s="260">
        <v>1919859</v>
      </c>
      <c r="AC6" s="575"/>
      <c r="AD6" s="299">
        <v>0</v>
      </c>
      <c r="AE6" s="255">
        <v>0</v>
      </c>
      <c r="AF6" s="258">
        <v>0</v>
      </c>
      <c r="AG6" s="258">
        <v>0</v>
      </c>
      <c r="AH6" s="258">
        <v>0</v>
      </c>
      <c r="AI6" s="258"/>
      <c r="AJ6" s="258"/>
      <c r="AK6" s="56"/>
      <c r="AM6" s="56"/>
      <c r="AN6" s="56"/>
    </row>
    <row r="7" spans="1:43" x14ac:dyDescent="0.2">
      <c r="A7" s="254">
        <v>41791</v>
      </c>
      <c r="B7" s="255">
        <v>8876152</v>
      </c>
      <c r="C7" s="258">
        <v>4173507</v>
      </c>
      <c r="D7" s="255">
        <v>250379</v>
      </c>
      <c r="E7" s="258">
        <v>92936</v>
      </c>
      <c r="F7" s="255">
        <v>0</v>
      </c>
      <c r="G7" s="255">
        <v>0</v>
      </c>
      <c r="H7" s="255">
        <v>0</v>
      </c>
      <c r="I7" s="258">
        <v>2204099</v>
      </c>
      <c r="J7" s="258">
        <v>250703</v>
      </c>
      <c r="K7" s="258">
        <v>71494</v>
      </c>
      <c r="L7" s="258">
        <v>0</v>
      </c>
      <c r="M7" s="255">
        <v>0</v>
      </c>
      <c r="N7" s="258">
        <v>273139</v>
      </c>
      <c r="O7" s="258">
        <v>97780</v>
      </c>
      <c r="P7" s="255">
        <v>0</v>
      </c>
      <c r="Q7" s="255">
        <v>0</v>
      </c>
      <c r="R7" s="255"/>
      <c r="S7" s="255"/>
      <c r="T7" s="255"/>
      <c r="U7" s="255"/>
      <c r="V7" s="255"/>
      <c r="W7" s="255">
        <v>0</v>
      </c>
      <c r="X7" s="258">
        <v>574711</v>
      </c>
      <c r="Y7" s="258">
        <v>887404</v>
      </c>
      <c r="Z7" s="259">
        <v>266840</v>
      </c>
      <c r="AA7" s="260">
        <v>620564</v>
      </c>
      <c r="AB7" s="260">
        <v>2477238</v>
      </c>
      <c r="AC7" s="575"/>
      <c r="AD7" s="299">
        <v>0</v>
      </c>
      <c r="AE7" s="255">
        <v>0</v>
      </c>
      <c r="AF7" s="258">
        <v>0</v>
      </c>
      <c r="AG7" s="258">
        <v>0</v>
      </c>
      <c r="AH7" s="258">
        <v>0</v>
      </c>
      <c r="AI7" s="258"/>
      <c r="AJ7" s="258"/>
      <c r="AK7" s="56"/>
      <c r="AM7" s="56"/>
      <c r="AN7" s="56"/>
    </row>
    <row r="8" spans="1:43" x14ac:dyDescent="0.2">
      <c r="A8" s="254">
        <v>41821</v>
      </c>
      <c r="B8" s="255">
        <v>9340526</v>
      </c>
      <c r="C8" s="255">
        <v>4361073</v>
      </c>
      <c r="D8" s="255">
        <v>221804</v>
      </c>
      <c r="E8" s="255">
        <v>97729</v>
      </c>
      <c r="F8" s="255">
        <v>0</v>
      </c>
      <c r="G8" s="255">
        <v>0</v>
      </c>
      <c r="H8" s="255">
        <v>0</v>
      </c>
      <c r="I8" s="255">
        <v>2443732</v>
      </c>
      <c r="J8" s="255">
        <v>225313</v>
      </c>
      <c r="K8" s="255">
        <v>48903</v>
      </c>
      <c r="L8" s="255">
        <v>0</v>
      </c>
      <c r="M8" s="255">
        <v>0</v>
      </c>
      <c r="N8" s="255">
        <v>246402</v>
      </c>
      <c r="O8" s="255">
        <v>109439</v>
      </c>
      <c r="P8" s="255">
        <v>0</v>
      </c>
      <c r="Q8" s="255">
        <v>0</v>
      </c>
      <c r="R8" s="255"/>
      <c r="S8" s="255"/>
      <c r="T8" s="255"/>
      <c r="U8" s="255"/>
      <c r="V8" s="255"/>
      <c r="W8" s="255">
        <v>0</v>
      </c>
      <c r="X8" s="261">
        <v>687729</v>
      </c>
      <c r="Y8" s="258">
        <v>898402</v>
      </c>
      <c r="Z8" s="259">
        <v>274134</v>
      </c>
      <c r="AA8" s="260">
        <v>624268</v>
      </c>
      <c r="AB8" s="260">
        <v>2690134</v>
      </c>
      <c r="AC8" s="575"/>
      <c r="AD8" s="299">
        <v>0</v>
      </c>
      <c r="AE8" s="255">
        <v>0</v>
      </c>
      <c r="AF8" s="258">
        <v>0</v>
      </c>
      <c r="AG8" s="258">
        <v>0</v>
      </c>
      <c r="AH8" s="258">
        <v>0</v>
      </c>
      <c r="AI8" s="258"/>
      <c r="AJ8" s="258"/>
      <c r="AK8" s="56"/>
      <c r="AM8" s="56"/>
      <c r="AN8" s="56"/>
      <c r="AO8" s="622"/>
      <c r="AP8" s="622"/>
      <c r="AQ8" s="622"/>
    </row>
    <row r="9" spans="1:43" x14ac:dyDescent="0.2">
      <c r="A9" s="262">
        <v>41852</v>
      </c>
      <c r="B9" s="258">
        <v>8583907</v>
      </c>
      <c r="C9" s="258">
        <v>3673176</v>
      </c>
      <c r="D9" s="255">
        <v>228122</v>
      </c>
      <c r="E9" s="258">
        <v>146934</v>
      </c>
      <c r="F9" s="255">
        <v>0</v>
      </c>
      <c r="G9" s="255">
        <v>0</v>
      </c>
      <c r="H9" s="255">
        <v>0</v>
      </c>
      <c r="I9" s="258">
        <v>2460070</v>
      </c>
      <c r="J9" s="258">
        <v>232978</v>
      </c>
      <c r="K9" s="258">
        <v>53454</v>
      </c>
      <c r="L9" s="258">
        <v>0</v>
      </c>
      <c r="M9" s="255">
        <v>0</v>
      </c>
      <c r="N9" s="258">
        <v>275655</v>
      </c>
      <c r="O9" s="263">
        <v>99316</v>
      </c>
      <c r="P9" s="255">
        <v>0</v>
      </c>
      <c r="Q9" s="255">
        <v>0</v>
      </c>
      <c r="R9" s="255"/>
      <c r="S9" s="255"/>
      <c r="T9" s="255"/>
      <c r="U9" s="255"/>
      <c r="V9" s="255"/>
      <c r="W9" s="255">
        <v>0</v>
      </c>
      <c r="X9" s="263">
        <v>624042</v>
      </c>
      <c r="Y9" s="258">
        <v>790160</v>
      </c>
      <c r="Z9" s="259">
        <v>264880</v>
      </c>
      <c r="AA9" s="260">
        <v>525280</v>
      </c>
      <c r="AB9" s="260">
        <v>2735725</v>
      </c>
      <c r="AC9" s="575"/>
      <c r="AD9" s="299">
        <v>0</v>
      </c>
      <c r="AE9" s="255">
        <v>0</v>
      </c>
      <c r="AF9" s="258">
        <v>0</v>
      </c>
      <c r="AG9" s="258">
        <v>0</v>
      </c>
      <c r="AH9" s="258">
        <v>0</v>
      </c>
      <c r="AI9" s="258"/>
      <c r="AJ9" s="258"/>
      <c r="AK9" s="56"/>
      <c r="AM9" s="56"/>
      <c r="AN9" s="56"/>
      <c r="AO9" s="622"/>
      <c r="AP9" s="622"/>
      <c r="AQ9" s="622"/>
    </row>
    <row r="10" spans="1:43" x14ac:dyDescent="0.2">
      <c r="A10" s="262">
        <v>41883</v>
      </c>
      <c r="B10" s="258">
        <v>10023872</v>
      </c>
      <c r="C10" s="258">
        <v>4469625</v>
      </c>
      <c r="D10" s="255">
        <v>276014</v>
      </c>
      <c r="E10" s="258">
        <v>132812</v>
      </c>
      <c r="F10" s="255">
        <v>0</v>
      </c>
      <c r="G10" s="255">
        <v>0</v>
      </c>
      <c r="H10" s="255">
        <v>0</v>
      </c>
      <c r="I10" s="258">
        <v>2515785</v>
      </c>
      <c r="J10" s="258">
        <v>269881</v>
      </c>
      <c r="K10" s="258">
        <v>79871</v>
      </c>
      <c r="L10" s="258">
        <v>0</v>
      </c>
      <c r="M10" s="255">
        <v>0</v>
      </c>
      <c r="N10" s="258">
        <v>307475</v>
      </c>
      <c r="O10" s="263">
        <v>89352</v>
      </c>
      <c r="P10" s="255">
        <v>0</v>
      </c>
      <c r="Q10" s="255">
        <v>0</v>
      </c>
      <c r="R10" s="255"/>
      <c r="S10" s="255"/>
      <c r="T10" s="255"/>
      <c r="U10" s="255"/>
      <c r="V10" s="255"/>
      <c r="W10" s="255">
        <v>0</v>
      </c>
      <c r="X10" s="263">
        <v>956639</v>
      </c>
      <c r="Y10" s="258">
        <v>926418</v>
      </c>
      <c r="Z10" s="259">
        <v>311968</v>
      </c>
      <c r="AA10" s="260">
        <v>614450</v>
      </c>
      <c r="AB10" s="260">
        <v>2823260</v>
      </c>
      <c r="AC10" s="575"/>
      <c r="AD10" s="299">
        <v>0</v>
      </c>
      <c r="AE10" s="255">
        <v>0</v>
      </c>
      <c r="AF10" s="258">
        <v>0</v>
      </c>
      <c r="AG10" s="258">
        <v>0</v>
      </c>
      <c r="AH10" s="258">
        <v>0</v>
      </c>
      <c r="AI10" s="258"/>
      <c r="AJ10" s="258"/>
      <c r="AK10" s="56"/>
      <c r="AM10" s="56"/>
      <c r="AN10" s="56"/>
    </row>
    <row r="11" spans="1:43" x14ac:dyDescent="0.2">
      <c r="A11" s="262">
        <v>41913</v>
      </c>
      <c r="B11" s="258">
        <v>8035429</v>
      </c>
      <c r="C11" s="258">
        <v>4049333</v>
      </c>
      <c r="D11" s="255">
        <v>203926</v>
      </c>
      <c r="E11" s="258">
        <v>145929</v>
      </c>
      <c r="F11" s="255">
        <v>0</v>
      </c>
      <c r="G11" s="255">
        <v>0</v>
      </c>
      <c r="H11" s="255">
        <v>0</v>
      </c>
      <c r="I11" s="258">
        <v>1763222</v>
      </c>
      <c r="J11" s="258">
        <v>248622</v>
      </c>
      <c r="K11" s="258">
        <v>39903</v>
      </c>
      <c r="L11" s="258">
        <v>0</v>
      </c>
      <c r="M11" s="255">
        <v>0</v>
      </c>
      <c r="N11" s="258">
        <v>153059</v>
      </c>
      <c r="O11" s="263">
        <v>89097</v>
      </c>
      <c r="P11" s="255">
        <v>0</v>
      </c>
      <c r="Q11" s="255">
        <v>0</v>
      </c>
      <c r="R11" s="255"/>
      <c r="S11" s="255"/>
      <c r="T11" s="255"/>
      <c r="U11" s="255"/>
      <c r="V11" s="255"/>
      <c r="W11" s="255">
        <v>0</v>
      </c>
      <c r="X11" s="263">
        <v>708839</v>
      </c>
      <c r="Y11" s="258">
        <v>633499</v>
      </c>
      <c r="Z11" s="259">
        <v>297097</v>
      </c>
      <c r="AA11" s="260">
        <v>336402</v>
      </c>
      <c r="AB11" s="260">
        <v>1916281</v>
      </c>
      <c r="AC11" s="575"/>
      <c r="AD11" s="299">
        <v>0</v>
      </c>
      <c r="AE11" s="255">
        <v>0</v>
      </c>
      <c r="AF11" s="258">
        <v>0</v>
      </c>
      <c r="AG11" s="258">
        <v>0</v>
      </c>
      <c r="AH11" s="258">
        <v>0</v>
      </c>
      <c r="AI11" s="258"/>
      <c r="AJ11" s="258"/>
      <c r="AK11" s="56"/>
      <c r="AM11" s="56"/>
      <c r="AN11" s="56"/>
    </row>
    <row r="12" spans="1:43" x14ac:dyDescent="0.2">
      <c r="A12" s="262">
        <v>41944</v>
      </c>
      <c r="B12" s="258">
        <v>6858052</v>
      </c>
      <c r="C12" s="258">
        <v>3872340</v>
      </c>
      <c r="D12" s="255">
        <v>214292</v>
      </c>
      <c r="E12" s="258">
        <v>95091</v>
      </c>
      <c r="F12" s="255">
        <v>0</v>
      </c>
      <c r="G12" s="255">
        <v>0</v>
      </c>
      <c r="H12" s="255">
        <v>0</v>
      </c>
      <c r="I12" s="258">
        <v>1119362</v>
      </c>
      <c r="J12" s="258">
        <v>267023</v>
      </c>
      <c r="K12" s="258">
        <v>50426</v>
      </c>
      <c r="L12" s="258">
        <v>0</v>
      </c>
      <c r="M12" s="255">
        <v>0</v>
      </c>
      <c r="N12" s="258">
        <v>153510</v>
      </c>
      <c r="O12" s="263">
        <v>76299</v>
      </c>
      <c r="P12" s="255">
        <v>0</v>
      </c>
      <c r="Q12" s="255">
        <v>0</v>
      </c>
      <c r="R12" s="255"/>
      <c r="S12" s="255"/>
      <c r="T12" s="255"/>
      <c r="U12" s="255"/>
      <c r="V12" s="255"/>
      <c r="W12" s="255">
        <v>0</v>
      </c>
      <c r="X12" s="263">
        <v>532301</v>
      </c>
      <c r="Y12" s="258">
        <v>477408</v>
      </c>
      <c r="Z12" s="259">
        <v>276436</v>
      </c>
      <c r="AA12" s="260">
        <v>200972</v>
      </c>
      <c r="AB12" s="260">
        <v>1272872</v>
      </c>
      <c r="AC12" s="575"/>
      <c r="AD12" s="299">
        <v>0</v>
      </c>
      <c r="AE12" s="255">
        <v>0</v>
      </c>
      <c r="AF12" s="258">
        <v>0</v>
      </c>
      <c r="AG12" s="258">
        <v>0</v>
      </c>
      <c r="AH12" s="258">
        <v>0</v>
      </c>
      <c r="AI12" s="258"/>
      <c r="AJ12" s="258"/>
      <c r="AK12" s="56"/>
      <c r="AM12" s="56"/>
      <c r="AN12" s="56"/>
    </row>
    <row r="13" spans="1:43" x14ac:dyDescent="0.2">
      <c r="A13" s="262">
        <v>41974</v>
      </c>
      <c r="B13" s="258">
        <v>6405579</v>
      </c>
      <c r="C13" s="258">
        <v>3982954</v>
      </c>
      <c r="D13" s="255">
        <v>253212</v>
      </c>
      <c r="E13" s="258">
        <v>117318</v>
      </c>
      <c r="F13" s="255">
        <v>0</v>
      </c>
      <c r="G13" s="255">
        <v>0</v>
      </c>
      <c r="H13" s="255">
        <v>0</v>
      </c>
      <c r="I13" s="258">
        <v>548769</v>
      </c>
      <c r="J13" s="258">
        <v>246466</v>
      </c>
      <c r="K13" s="258">
        <v>71670</v>
      </c>
      <c r="L13" s="258">
        <v>0</v>
      </c>
      <c r="M13" s="255">
        <v>0</v>
      </c>
      <c r="N13" s="258">
        <v>67209</v>
      </c>
      <c r="O13" s="263">
        <v>55450</v>
      </c>
      <c r="P13" s="255">
        <v>0</v>
      </c>
      <c r="Q13" s="255">
        <v>0</v>
      </c>
      <c r="R13" s="255"/>
      <c r="S13" s="255"/>
      <c r="T13" s="255"/>
      <c r="U13" s="255"/>
      <c r="V13" s="255"/>
      <c r="W13" s="255">
        <v>0</v>
      </c>
      <c r="X13" s="263">
        <v>483170</v>
      </c>
      <c r="Y13" s="258">
        <v>579361</v>
      </c>
      <c r="Z13" s="259">
        <v>281511</v>
      </c>
      <c r="AA13" s="260">
        <v>297850</v>
      </c>
      <c r="AB13" s="260">
        <v>615978</v>
      </c>
      <c r="AC13" s="575"/>
      <c r="AD13" s="299">
        <v>0</v>
      </c>
      <c r="AE13" s="255">
        <v>0</v>
      </c>
      <c r="AF13" s="258">
        <v>0</v>
      </c>
      <c r="AG13" s="258">
        <v>0</v>
      </c>
      <c r="AH13" s="258">
        <v>0</v>
      </c>
      <c r="AI13" s="258"/>
      <c r="AJ13" s="258"/>
      <c r="AK13" s="56"/>
      <c r="AM13" s="56"/>
      <c r="AN13" s="56"/>
    </row>
    <row r="14" spans="1:43" x14ac:dyDescent="0.2">
      <c r="A14" s="264">
        <v>42005</v>
      </c>
      <c r="B14" s="265">
        <v>6037637</v>
      </c>
      <c r="C14" s="265">
        <v>3908677</v>
      </c>
      <c r="D14" s="265">
        <v>195665</v>
      </c>
      <c r="E14" s="265">
        <v>99565</v>
      </c>
      <c r="F14" s="265">
        <v>0</v>
      </c>
      <c r="G14" s="265">
        <v>0</v>
      </c>
      <c r="H14" s="265">
        <v>0</v>
      </c>
      <c r="I14" s="265">
        <v>544141</v>
      </c>
      <c r="J14" s="265">
        <v>233787</v>
      </c>
      <c r="K14" s="265">
        <v>42271</v>
      </c>
      <c r="L14" s="265">
        <v>0</v>
      </c>
      <c r="M14" s="266">
        <v>0</v>
      </c>
      <c r="N14" s="265">
        <v>40400</v>
      </c>
      <c r="O14" s="266">
        <v>48517</v>
      </c>
      <c r="P14" s="266">
        <v>0</v>
      </c>
      <c r="Q14" s="266">
        <v>0</v>
      </c>
      <c r="R14" s="266"/>
      <c r="S14" s="266"/>
      <c r="T14" s="266"/>
      <c r="U14" s="266"/>
      <c r="V14" s="266"/>
      <c r="W14" s="266">
        <v>0</v>
      </c>
      <c r="X14" s="266">
        <v>377084</v>
      </c>
      <c r="Y14" s="265">
        <v>547530</v>
      </c>
      <c r="Z14" s="267">
        <v>262207</v>
      </c>
      <c r="AA14" s="268">
        <v>285323</v>
      </c>
      <c r="AB14" s="268">
        <v>584541</v>
      </c>
      <c r="AC14" s="575"/>
      <c r="AD14" s="300">
        <v>0</v>
      </c>
      <c r="AE14" s="266">
        <v>0</v>
      </c>
      <c r="AF14" s="266">
        <v>0</v>
      </c>
      <c r="AG14" s="266">
        <v>0</v>
      </c>
      <c r="AH14" s="266">
        <v>0</v>
      </c>
      <c r="AI14" s="266"/>
      <c r="AJ14" s="266"/>
      <c r="AK14" s="56"/>
      <c r="AM14" s="56"/>
      <c r="AN14" s="56"/>
    </row>
    <row r="15" spans="1:43" x14ac:dyDescent="0.2">
      <c r="A15" s="264">
        <v>42036</v>
      </c>
      <c r="B15" s="265">
        <v>5695515</v>
      </c>
      <c r="C15" s="265">
        <v>3489436</v>
      </c>
      <c r="D15" s="265">
        <v>224244</v>
      </c>
      <c r="E15" s="265">
        <v>114195</v>
      </c>
      <c r="F15" s="265">
        <v>0</v>
      </c>
      <c r="G15" s="265">
        <v>0</v>
      </c>
      <c r="H15" s="265">
        <v>0</v>
      </c>
      <c r="I15" s="265">
        <v>515349</v>
      </c>
      <c r="J15" s="265">
        <v>235819</v>
      </c>
      <c r="K15" s="265">
        <v>56423</v>
      </c>
      <c r="L15" s="265">
        <v>0</v>
      </c>
      <c r="M15" s="266">
        <v>0</v>
      </c>
      <c r="N15" s="265">
        <v>52158</v>
      </c>
      <c r="O15" s="266">
        <v>49783</v>
      </c>
      <c r="P15" s="266">
        <v>0</v>
      </c>
      <c r="Q15" s="266">
        <v>0</v>
      </c>
      <c r="R15" s="266"/>
      <c r="S15" s="266"/>
      <c r="T15" s="266"/>
      <c r="U15" s="266"/>
      <c r="V15" s="266"/>
      <c r="W15" s="266">
        <v>0</v>
      </c>
      <c r="X15" s="266">
        <v>470725</v>
      </c>
      <c r="Y15" s="265">
        <v>487383</v>
      </c>
      <c r="Z15" s="267">
        <v>247789</v>
      </c>
      <c r="AA15" s="268">
        <v>239594</v>
      </c>
      <c r="AB15" s="268">
        <v>567507</v>
      </c>
      <c r="AC15" s="575"/>
      <c r="AD15" s="300">
        <v>0</v>
      </c>
      <c r="AE15" s="266">
        <v>0</v>
      </c>
      <c r="AF15" s="266">
        <v>0</v>
      </c>
      <c r="AG15" s="266">
        <v>0</v>
      </c>
      <c r="AH15" s="266">
        <v>0</v>
      </c>
      <c r="AI15" s="266"/>
      <c r="AJ15" s="266"/>
      <c r="AK15" s="56"/>
      <c r="AM15" s="56"/>
      <c r="AN15" s="56"/>
    </row>
    <row r="16" spans="1:43" x14ac:dyDescent="0.2">
      <c r="A16" s="264">
        <v>42064</v>
      </c>
      <c r="B16" s="265">
        <v>6808373</v>
      </c>
      <c r="C16" s="265">
        <v>4118527</v>
      </c>
      <c r="D16" s="265">
        <v>218508</v>
      </c>
      <c r="E16" s="265">
        <v>125033</v>
      </c>
      <c r="F16" s="265">
        <v>0</v>
      </c>
      <c r="G16" s="265">
        <v>0</v>
      </c>
      <c r="H16" s="265">
        <v>0</v>
      </c>
      <c r="I16" s="265">
        <v>822631</v>
      </c>
      <c r="J16" s="265">
        <v>265435</v>
      </c>
      <c r="K16" s="265">
        <v>53193</v>
      </c>
      <c r="L16" s="265">
        <v>0</v>
      </c>
      <c r="M16" s="266">
        <v>0</v>
      </c>
      <c r="N16" s="265">
        <v>66141</v>
      </c>
      <c r="O16" s="266">
        <v>74567</v>
      </c>
      <c r="P16" s="266">
        <v>0</v>
      </c>
      <c r="Q16" s="266">
        <v>0</v>
      </c>
      <c r="R16" s="266"/>
      <c r="S16" s="266"/>
      <c r="T16" s="266"/>
      <c r="U16" s="266"/>
      <c r="V16" s="266"/>
      <c r="W16" s="266">
        <v>0</v>
      </c>
      <c r="X16" s="266">
        <v>503575</v>
      </c>
      <c r="Y16" s="265">
        <v>560763</v>
      </c>
      <c r="Z16" s="267">
        <v>302505</v>
      </c>
      <c r="AA16" s="268">
        <v>258258</v>
      </c>
      <c r="AB16" s="268">
        <v>888772</v>
      </c>
      <c r="AC16" s="575"/>
      <c r="AD16" s="300">
        <v>0</v>
      </c>
      <c r="AE16" s="266">
        <v>0</v>
      </c>
      <c r="AF16" s="266">
        <v>0</v>
      </c>
      <c r="AG16" s="266">
        <v>0</v>
      </c>
      <c r="AH16" s="266">
        <v>0</v>
      </c>
      <c r="AI16" s="266"/>
      <c r="AJ16" s="266"/>
      <c r="AK16" s="56"/>
      <c r="AM16" s="56"/>
      <c r="AN16" s="56"/>
    </row>
    <row r="17" spans="1:40" x14ac:dyDescent="0.2">
      <c r="A17" s="264">
        <v>42095</v>
      </c>
      <c r="B17" s="265">
        <v>7375395</v>
      </c>
      <c r="C17" s="265">
        <v>4123782</v>
      </c>
      <c r="D17" s="265">
        <v>205482</v>
      </c>
      <c r="E17" s="265">
        <v>172615</v>
      </c>
      <c r="F17" s="265">
        <v>0</v>
      </c>
      <c r="G17" s="265">
        <v>0</v>
      </c>
      <c r="H17" s="265">
        <v>0</v>
      </c>
      <c r="I17" s="265">
        <v>1230463</v>
      </c>
      <c r="J17" s="265">
        <v>237697</v>
      </c>
      <c r="K17" s="265">
        <v>54391</v>
      </c>
      <c r="L17" s="265">
        <v>0</v>
      </c>
      <c r="M17" s="266">
        <v>0</v>
      </c>
      <c r="N17" s="265">
        <v>110064</v>
      </c>
      <c r="O17" s="265">
        <v>97242</v>
      </c>
      <c r="P17" s="266">
        <v>0</v>
      </c>
      <c r="Q17" s="266">
        <v>0</v>
      </c>
      <c r="R17" s="266"/>
      <c r="S17" s="266"/>
      <c r="T17" s="266"/>
      <c r="U17" s="266"/>
      <c r="V17" s="266"/>
      <c r="W17" s="266">
        <v>0</v>
      </c>
      <c r="X17" s="266">
        <v>593115</v>
      </c>
      <c r="Y17" s="265">
        <v>550544</v>
      </c>
      <c r="Z17" s="267">
        <v>303017</v>
      </c>
      <c r="AA17" s="268">
        <v>247527</v>
      </c>
      <c r="AB17" s="268">
        <v>1340527</v>
      </c>
      <c r="AC17" s="575"/>
      <c r="AD17" s="300">
        <v>0</v>
      </c>
      <c r="AE17" s="266">
        <v>0</v>
      </c>
      <c r="AF17" s="266">
        <v>0</v>
      </c>
      <c r="AG17" s="266">
        <v>0</v>
      </c>
      <c r="AH17" s="266">
        <v>0</v>
      </c>
      <c r="AI17" s="266"/>
      <c r="AJ17" s="266"/>
      <c r="AK17" s="56"/>
      <c r="AM17" s="56"/>
      <c r="AN17" s="56"/>
    </row>
    <row r="18" spans="1:40" x14ac:dyDescent="0.2">
      <c r="A18" s="264">
        <v>42125</v>
      </c>
      <c r="B18" s="265">
        <v>8190535</v>
      </c>
      <c r="C18" s="265">
        <v>3697825</v>
      </c>
      <c r="D18" s="265">
        <v>220809</v>
      </c>
      <c r="E18" s="265">
        <v>203655</v>
      </c>
      <c r="F18" s="265">
        <v>0</v>
      </c>
      <c r="G18" s="265">
        <v>0</v>
      </c>
      <c r="H18" s="265">
        <v>0</v>
      </c>
      <c r="I18" s="265">
        <v>2094261</v>
      </c>
      <c r="J18" s="265">
        <v>212132</v>
      </c>
      <c r="K18" s="265">
        <v>49088</v>
      </c>
      <c r="L18" s="265">
        <v>0</v>
      </c>
      <c r="M18" s="266">
        <v>0</v>
      </c>
      <c r="N18" s="265">
        <v>186711</v>
      </c>
      <c r="O18" s="265">
        <v>72445</v>
      </c>
      <c r="P18" s="266">
        <v>0</v>
      </c>
      <c r="Q18" s="266">
        <v>0</v>
      </c>
      <c r="R18" s="266"/>
      <c r="S18" s="266"/>
      <c r="T18" s="266"/>
      <c r="U18" s="266"/>
      <c r="V18" s="266"/>
      <c r="W18" s="266">
        <v>0</v>
      </c>
      <c r="X18" s="266">
        <v>777496</v>
      </c>
      <c r="Y18" s="265">
        <v>676113</v>
      </c>
      <c r="Z18" s="267">
        <v>293556</v>
      </c>
      <c r="AA18" s="268">
        <v>382557</v>
      </c>
      <c r="AB18" s="268">
        <v>2280972</v>
      </c>
      <c r="AC18" s="575"/>
      <c r="AD18" s="300">
        <v>0</v>
      </c>
      <c r="AE18" s="266">
        <v>0</v>
      </c>
      <c r="AF18" s="266">
        <v>0</v>
      </c>
      <c r="AG18" s="266">
        <v>0</v>
      </c>
      <c r="AH18" s="266">
        <v>0</v>
      </c>
      <c r="AI18" s="266"/>
      <c r="AJ18" s="266"/>
      <c r="AK18" s="56"/>
      <c r="AM18" s="56"/>
      <c r="AN18" s="56"/>
    </row>
    <row r="19" spans="1:40" x14ac:dyDescent="0.2">
      <c r="A19" s="264">
        <v>42156</v>
      </c>
      <c r="B19" s="265">
        <v>9712387</v>
      </c>
      <c r="C19" s="265">
        <v>4414578</v>
      </c>
      <c r="D19" s="265">
        <v>239524</v>
      </c>
      <c r="E19" s="265">
        <v>194738</v>
      </c>
      <c r="F19" s="265">
        <v>0</v>
      </c>
      <c r="G19" s="265">
        <v>0</v>
      </c>
      <c r="H19" s="265">
        <v>0</v>
      </c>
      <c r="I19" s="265">
        <v>2544609</v>
      </c>
      <c r="J19" s="265">
        <v>280980</v>
      </c>
      <c r="K19" s="265">
        <v>129946</v>
      </c>
      <c r="L19" s="265">
        <v>0</v>
      </c>
      <c r="M19" s="266">
        <v>0</v>
      </c>
      <c r="N19" s="265">
        <v>255852</v>
      </c>
      <c r="O19" s="265">
        <v>111119</v>
      </c>
      <c r="P19" s="266">
        <v>0</v>
      </c>
      <c r="Q19" s="266">
        <v>0</v>
      </c>
      <c r="R19" s="266"/>
      <c r="S19" s="266"/>
      <c r="T19" s="266"/>
      <c r="U19" s="266"/>
      <c r="V19" s="266"/>
      <c r="W19" s="266">
        <v>0</v>
      </c>
      <c r="X19" s="266">
        <v>589036</v>
      </c>
      <c r="Y19" s="265">
        <v>952005</v>
      </c>
      <c r="Z19" s="267">
        <v>302993</v>
      </c>
      <c r="AA19" s="268">
        <v>649012</v>
      </c>
      <c r="AB19" s="268">
        <v>2800461</v>
      </c>
      <c r="AC19" s="575"/>
      <c r="AD19" s="300">
        <v>0</v>
      </c>
      <c r="AE19" s="266">
        <v>0</v>
      </c>
      <c r="AF19" s="266">
        <v>0</v>
      </c>
      <c r="AG19" s="266">
        <v>0</v>
      </c>
      <c r="AH19" s="266">
        <v>0</v>
      </c>
      <c r="AI19" s="266"/>
      <c r="AJ19" s="266"/>
      <c r="AK19" s="56"/>
      <c r="AL19" s="56"/>
      <c r="AM19" s="56"/>
      <c r="AN19" s="56"/>
    </row>
    <row r="20" spans="1:40" x14ac:dyDescent="0.2">
      <c r="A20" s="264">
        <v>42186</v>
      </c>
      <c r="B20" s="265">
        <v>8834027</v>
      </c>
      <c r="C20" s="265">
        <v>3840527</v>
      </c>
      <c r="D20" s="265">
        <v>216309</v>
      </c>
      <c r="E20" s="265">
        <v>224950</v>
      </c>
      <c r="F20" s="265">
        <v>0</v>
      </c>
      <c r="G20" s="265">
        <v>0</v>
      </c>
      <c r="H20" s="265">
        <v>0</v>
      </c>
      <c r="I20" s="266">
        <v>2507656</v>
      </c>
      <c r="J20" s="265">
        <v>217810</v>
      </c>
      <c r="K20" s="265">
        <v>77610</v>
      </c>
      <c r="L20" s="265">
        <v>25769</v>
      </c>
      <c r="M20" s="266">
        <v>0</v>
      </c>
      <c r="N20" s="266">
        <v>212246</v>
      </c>
      <c r="O20" s="265">
        <v>90399</v>
      </c>
      <c r="P20" s="266">
        <v>0</v>
      </c>
      <c r="Q20" s="266">
        <v>0</v>
      </c>
      <c r="R20" s="266"/>
      <c r="S20" s="266"/>
      <c r="T20" s="266"/>
      <c r="U20" s="266"/>
      <c r="V20" s="266"/>
      <c r="W20" s="266">
        <v>0</v>
      </c>
      <c r="X20" s="266">
        <v>636984</v>
      </c>
      <c r="Y20" s="265">
        <v>783767</v>
      </c>
      <c r="Z20" s="267">
        <v>277550</v>
      </c>
      <c r="AA20" s="268">
        <v>506217</v>
      </c>
      <c r="AB20" s="268">
        <v>2719902</v>
      </c>
      <c r="AC20" s="575"/>
      <c r="AD20" s="300">
        <v>0</v>
      </c>
      <c r="AE20" s="266">
        <v>0</v>
      </c>
      <c r="AF20" s="266">
        <v>0</v>
      </c>
      <c r="AG20" s="266">
        <v>0</v>
      </c>
      <c r="AH20" s="266">
        <v>0</v>
      </c>
      <c r="AI20" s="266"/>
      <c r="AJ20" s="266"/>
      <c r="AK20" s="56"/>
      <c r="AL20" s="56"/>
      <c r="AM20" s="56"/>
      <c r="AN20" s="56"/>
    </row>
    <row r="21" spans="1:40" x14ac:dyDescent="0.2">
      <c r="A21" s="264">
        <v>42217</v>
      </c>
      <c r="B21" s="265">
        <v>8681882</v>
      </c>
      <c r="C21" s="265">
        <v>3336768</v>
      </c>
      <c r="D21" s="265">
        <v>260880</v>
      </c>
      <c r="E21" s="265">
        <v>198008</v>
      </c>
      <c r="F21" s="265">
        <v>0</v>
      </c>
      <c r="G21" s="265">
        <v>0</v>
      </c>
      <c r="H21" s="265">
        <v>0</v>
      </c>
      <c r="I21" s="266">
        <v>2564183</v>
      </c>
      <c r="J21" s="265">
        <v>268478</v>
      </c>
      <c r="K21" s="265">
        <v>71460</v>
      </c>
      <c r="L21" s="265">
        <v>134760</v>
      </c>
      <c r="M21" s="266">
        <v>0</v>
      </c>
      <c r="N21" s="266">
        <v>252328</v>
      </c>
      <c r="O21" s="265">
        <v>107250</v>
      </c>
      <c r="P21" s="266">
        <v>0</v>
      </c>
      <c r="Q21" s="266">
        <v>0</v>
      </c>
      <c r="R21" s="266"/>
      <c r="S21" s="266"/>
      <c r="T21" s="266"/>
      <c r="U21" s="266"/>
      <c r="V21" s="266"/>
      <c r="W21" s="266">
        <v>0</v>
      </c>
      <c r="X21" s="266">
        <v>680006</v>
      </c>
      <c r="Y21" s="265">
        <v>807761</v>
      </c>
      <c r="Z21" s="267">
        <v>278196</v>
      </c>
      <c r="AA21" s="268">
        <v>529565</v>
      </c>
      <c r="AB21" s="268">
        <v>2816511</v>
      </c>
      <c r="AC21" s="575"/>
      <c r="AD21" s="300">
        <v>0</v>
      </c>
      <c r="AE21" s="266">
        <v>0</v>
      </c>
      <c r="AF21" s="266">
        <v>0</v>
      </c>
      <c r="AG21" s="266">
        <v>0</v>
      </c>
      <c r="AH21" s="266">
        <v>0</v>
      </c>
      <c r="AI21" s="266"/>
      <c r="AJ21" s="266"/>
      <c r="AK21" s="56"/>
      <c r="AL21" s="56"/>
      <c r="AM21" s="56"/>
      <c r="AN21" s="56"/>
    </row>
    <row r="22" spans="1:40" x14ac:dyDescent="0.2">
      <c r="A22" s="264">
        <v>42248</v>
      </c>
      <c r="B22" s="265">
        <v>9954396</v>
      </c>
      <c r="C22" s="265">
        <v>4633259</v>
      </c>
      <c r="D22" s="265">
        <v>234187</v>
      </c>
      <c r="E22" s="265">
        <v>228598</v>
      </c>
      <c r="F22" s="265">
        <v>0</v>
      </c>
      <c r="G22" s="265">
        <v>0</v>
      </c>
      <c r="H22" s="265">
        <v>0</v>
      </c>
      <c r="I22" s="266">
        <v>2359914</v>
      </c>
      <c r="J22" s="265">
        <v>263450</v>
      </c>
      <c r="K22" s="265">
        <v>56020</v>
      </c>
      <c r="L22" s="265">
        <v>135352</v>
      </c>
      <c r="M22" s="266">
        <v>0</v>
      </c>
      <c r="N22" s="266">
        <v>222957</v>
      </c>
      <c r="O22" s="265">
        <v>84622</v>
      </c>
      <c r="P22" s="266">
        <v>0</v>
      </c>
      <c r="Q22" s="266">
        <v>0</v>
      </c>
      <c r="R22" s="266"/>
      <c r="S22" s="266"/>
      <c r="T22" s="266"/>
      <c r="U22" s="266"/>
      <c r="V22" s="266"/>
      <c r="W22" s="266">
        <v>0</v>
      </c>
      <c r="X22" s="266">
        <v>887878</v>
      </c>
      <c r="Y22" s="265">
        <v>848159</v>
      </c>
      <c r="Z22" s="267">
        <v>338617</v>
      </c>
      <c r="AA22" s="268">
        <v>509542</v>
      </c>
      <c r="AB22" s="268">
        <v>2582871</v>
      </c>
      <c r="AC22" s="575"/>
      <c r="AD22" s="300">
        <v>0</v>
      </c>
      <c r="AE22" s="266">
        <v>0</v>
      </c>
      <c r="AF22" s="266">
        <v>0</v>
      </c>
      <c r="AG22" s="266">
        <v>0</v>
      </c>
      <c r="AH22" s="266">
        <v>0</v>
      </c>
      <c r="AI22" s="266"/>
      <c r="AJ22" s="266"/>
      <c r="AK22" s="56"/>
      <c r="AL22" s="56"/>
      <c r="AM22" s="56"/>
      <c r="AN22" s="56"/>
    </row>
    <row r="23" spans="1:40" x14ac:dyDescent="0.2">
      <c r="A23" s="264">
        <v>42278</v>
      </c>
      <c r="B23" s="265">
        <v>8352722</v>
      </c>
      <c r="C23" s="265">
        <v>4009560</v>
      </c>
      <c r="D23" s="265">
        <v>212948</v>
      </c>
      <c r="E23" s="265">
        <v>252642</v>
      </c>
      <c r="F23" s="265">
        <v>0</v>
      </c>
      <c r="G23" s="265">
        <v>0</v>
      </c>
      <c r="H23" s="265">
        <v>0</v>
      </c>
      <c r="I23" s="266">
        <v>1873529</v>
      </c>
      <c r="J23" s="265">
        <v>247453</v>
      </c>
      <c r="K23" s="265">
        <v>52867</v>
      </c>
      <c r="L23" s="265">
        <v>131511</v>
      </c>
      <c r="M23" s="266">
        <v>0</v>
      </c>
      <c r="N23" s="266">
        <v>179183</v>
      </c>
      <c r="O23" s="265">
        <v>77686</v>
      </c>
      <c r="P23" s="266">
        <v>0</v>
      </c>
      <c r="Q23" s="266">
        <v>0</v>
      </c>
      <c r="R23" s="266"/>
      <c r="S23" s="266"/>
      <c r="T23" s="266"/>
      <c r="U23" s="266"/>
      <c r="V23" s="266"/>
      <c r="W23" s="266">
        <v>0</v>
      </c>
      <c r="X23" s="266">
        <v>705699</v>
      </c>
      <c r="Y23" s="265">
        <v>609644</v>
      </c>
      <c r="Z23" s="267">
        <v>309456</v>
      </c>
      <c r="AA23" s="268">
        <v>300188</v>
      </c>
      <c r="AB23" s="268">
        <v>2052712</v>
      </c>
      <c r="AC23" s="575"/>
      <c r="AD23" s="300">
        <v>0</v>
      </c>
      <c r="AE23" s="266">
        <v>0</v>
      </c>
      <c r="AF23" s="266">
        <v>0</v>
      </c>
      <c r="AG23" s="266">
        <v>0</v>
      </c>
      <c r="AH23" s="266">
        <v>0</v>
      </c>
      <c r="AI23" s="266"/>
      <c r="AJ23" s="266"/>
      <c r="AK23" s="56"/>
      <c r="AL23" s="56"/>
      <c r="AM23" s="56"/>
      <c r="AN23" s="56"/>
    </row>
    <row r="24" spans="1:40" x14ac:dyDescent="0.2">
      <c r="A24" s="264">
        <v>42309</v>
      </c>
      <c r="B24" s="265">
        <v>8050995</v>
      </c>
      <c r="C24" s="265">
        <v>4200888</v>
      </c>
      <c r="D24" s="265">
        <v>229804</v>
      </c>
      <c r="E24" s="265">
        <v>304409</v>
      </c>
      <c r="F24" s="265">
        <v>0</v>
      </c>
      <c r="G24" s="265">
        <v>0</v>
      </c>
      <c r="H24" s="265">
        <v>0</v>
      </c>
      <c r="I24" s="266">
        <v>1464223</v>
      </c>
      <c r="J24" s="265">
        <v>278579</v>
      </c>
      <c r="K24" s="265">
        <v>45990</v>
      </c>
      <c r="L24" s="265">
        <v>146949</v>
      </c>
      <c r="M24" s="266">
        <v>0</v>
      </c>
      <c r="N24" s="266">
        <v>173483</v>
      </c>
      <c r="O24" s="265">
        <v>65641</v>
      </c>
      <c r="P24" s="266">
        <v>0</v>
      </c>
      <c r="Q24" s="266">
        <v>0</v>
      </c>
      <c r="R24" s="266"/>
      <c r="S24" s="266"/>
      <c r="T24" s="266"/>
      <c r="U24" s="266"/>
      <c r="V24" s="266"/>
      <c r="W24" s="266">
        <v>0</v>
      </c>
      <c r="X24" s="266">
        <v>587552</v>
      </c>
      <c r="Y24" s="265">
        <v>553477</v>
      </c>
      <c r="Z24" s="267">
        <v>318937</v>
      </c>
      <c r="AA24" s="268">
        <v>234540</v>
      </c>
      <c r="AB24" s="268">
        <v>1637706</v>
      </c>
      <c r="AC24" s="575"/>
      <c r="AD24" s="300">
        <v>0</v>
      </c>
      <c r="AE24" s="266">
        <v>0</v>
      </c>
      <c r="AF24" s="266">
        <v>0</v>
      </c>
      <c r="AG24" s="266">
        <v>0</v>
      </c>
      <c r="AH24" s="266">
        <v>0</v>
      </c>
      <c r="AI24" s="266"/>
      <c r="AJ24" s="266"/>
      <c r="AK24" s="56"/>
      <c r="AL24" s="56"/>
      <c r="AM24" s="56"/>
      <c r="AN24" s="56"/>
    </row>
    <row r="25" spans="1:40" x14ac:dyDescent="0.2">
      <c r="A25" s="264">
        <v>42339</v>
      </c>
      <c r="B25" s="265">
        <v>6493453</v>
      </c>
      <c r="C25" s="265">
        <v>3614603</v>
      </c>
      <c r="D25" s="265">
        <v>290741</v>
      </c>
      <c r="E25" s="265">
        <v>333130</v>
      </c>
      <c r="F25" s="265">
        <v>0</v>
      </c>
      <c r="G25" s="265">
        <v>0</v>
      </c>
      <c r="H25" s="265">
        <v>0</v>
      </c>
      <c r="I25" s="266">
        <v>690904</v>
      </c>
      <c r="J25" s="265">
        <v>285264</v>
      </c>
      <c r="K25" s="265">
        <v>65483</v>
      </c>
      <c r="L25" s="265">
        <v>103943</v>
      </c>
      <c r="M25" s="266">
        <v>0</v>
      </c>
      <c r="N25" s="266">
        <v>90243</v>
      </c>
      <c r="O25" s="265">
        <v>79484</v>
      </c>
      <c r="P25" s="266">
        <v>0</v>
      </c>
      <c r="Q25" s="266">
        <v>0</v>
      </c>
      <c r="R25" s="266"/>
      <c r="S25" s="266"/>
      <c r="T25" s="266"/>
      <c r="U25" s="266"/>
      <c r="V25" s="266"/>
      <c r="W25" s="266">
        <v>0</v>
      </c>
      <c r="X25" s="266">
        <v>453971</v>
      </c>
      <c r="Y25" s="265">
        <v>485687</v>
      </c>
      <c r="Z25" s="267">
        <v>282739</v>
      </c>
      <c r="AA25" s="268">
        <v>202948</v>
      </c>
      <c r="AB25" s="268">
        <v>781147</v>
      </c>
      <c r="AC25" s="575"/>
      <c r="AD25" s="300">
        <v>0</v>
      </c>
      <c r="AE25" s="266">
        <v>0</v>
      </c>
      <c r="AF25" s="266">
        <v>0</v>
      </c>
      <c r="AG25" s="266">
        <v>0</v>
      </c>
      <c r="AH25" s="266">
        <v>0</v>
      </c>
      <c r="AI25" s="266"/>
      <c r="AJ25" s="266"/>
      <c r="AK25" s="56"/>
      <c r="AL25" s="56"/>
      <c r="AM25" s="56"/>
      <c r="AN25" s="56"/>
    </row>
    <row r="26" spans="1:40" x14ac:dyDescent="0.2">
      <c r="A26" s="269">
        <v>42370</v>
      </c>
      <c r="B26" s="270">
        <v>6245223</v>
      </c>
      <c r="C26" s="270">
        <v>3831763</v>
      </c>
      <c r="D26" s="270">
        <v>139048</v>
      </c>
      <c r="E26" s="270">
        <v>277210</v>
      </c>
      <c r="F26" s="270">
        <v>0</v>
      </c>
      <c r="G26" s="270">
        <v>0</v>
      </c>
      <c r="H26" s="270">
        <v>0</v>
      </c>
      <c r="I26" s="270">
        <v>516685</v>
      </c>
      <c r="J26" s="270">
        <v>242251</v>
      </c>
      <c r="K26" s="270">
        <v>42075</v>
      </c>
      <c r="L26" s="270">
        <v>122690</v>
      </c>
      <c r="M26" s="270">
        <v>0</v>
      </c>
      <c r="N26" s="270">
        <v>50559</v>
      </c>
      <c r="O26" s="270">
        <v>78005</v>
      </c>
      <c r="P26" s="270">
        <v>0</v>
      </c>
      <c r="Q26" s="270">
        <v>0</v>
      </c>
      <c r="R26" s="270"/>
      <c r="S26" s="270"/>
      <c r="T26" s="270"/>
      <c r="U26" s="270"/>
      <c r="V26" s="270"/>
      <c r="W26" s="270">
        <v>0</v>
      </c>
      <c r="X26" s="271">
        <v>377458</v>
      </c>
      <c r="Y26" s="270">
        <v>567479</v>
      </c>
      <c r="Z26" s="272">
        <v>259474</v>
      </c>
      <c r="AA26" s="273">
        <v>308005</v>
      </c>
      <c r="AB26" s="273">
        <v>567244</v>
      </c>
      <c r="AC26" s="575"/>
      <c r="AD26" s="301">
        <v>0</v>
      </c>
      <c r="AE26" s="270">
        <v>0</v>
      </c>
      <c r="AF26" s="270">
        <v>0</v>
      </c>
      <c r="AG26" s="270">
        <v>0</v>
      </c>
      <c r="AH26" s="270">
        <v>0</v>
      </c>
      <c r="AI26" s="270"/>
      <c r="AJ26" s="270"/>
      <c r="AK26" s="56"/>
      <c r="AL26" s="56"/>
      <c r="AM26" s="56"/>
      <c r="AN26" s="56"/>
    </row>
    <row r="27" spans="1:40" x14ac:dyDescent="0.2">
      <c r="A27" s="269">
        <v>42401</v>
      </c>
      <c r="B27" s="270">
        <v>6466884</v>
      </c>
      <c r="C27" s="270">
        <v>3779412</v>
      </c>
      <c r="D27" s="270">
        <v>298078</v>
      </c>
      <c r="E27" s="270">
        <v>343984</v>
      </c>
      <c r="F27" s="270">
        <v>0</v>
      </c>
      <c r="G27" s="270">
        <v>0</v>
      </c>
      <c r="H27" s="270">
        <v>0</v>
      </c>
      <c r="I27" s="270">
        <v>406263</v>
      </c>
      <c r="J27" s="270">
        <v>294647</v>
      </c>
      <c r="K27" s="270">
        <v>45944</v>
      </c>
      <c r="L27" s="270">
        <v>117026</v>
      </c>
      <c r="M27" s="270">
        <v>0</v>
      </c>
      <c r="N27" s="270">
        <v>48852</v>
      </c>
      <c r="O27" s="270">
        <v>37408</v>
      </c>
      <c r="P27" s="270">
        <v>0</v>
      </c>
      <c r="Q27" s="270">
        <v>0</v>
      </c>
      <c r="R27" s="270"/>
      <c r="S27" s="270"/>
      <c r="T27" s="270"/>
      <c r="U27" s="270"/>
      <c r="V27" s="270"/>
      <c r="W27" s="270">
        <v>0</v>
      </c>
      <c r="X27" s="271">
        <v>487805</v>
      </c>
      <c r="Y27" s="270">
        <v>607465</v>
      </c>
      <c r="Z27" s="272">
        <v>272882</v>
      </c>
      <c r="AA27" s="273">
        <v>334583</v>
      </c>
      <c r="AB27" s="273">
        <v>455115</v>
      </c>
      <c r="AC27" s="575"/>
      <c r="AD27" s="301">
        <v>0</v>
      </c>
      <c r="AE27" s="270">
        <v>0</v>
      </c>
      <c r="AF27" s="270">
        <v>0</v>
      </c>
      <c r="AG27" s="270">
        <v>0</v>
      </c>
      <c r="AH27" s="270">
        <v>0</v>
      </c>
      <c r="AI27" s="270"/>
      <c r="AJ27" s="270"/>
      <c r="AK27" s="56"/>
      <c r="AL27" s="56"/>
      <c r="AM27" s="56"/>
      <c r="AN27" s="56"/>
    </row>
    <row r="28" spans="1:40" x14ac:dyDescent="0.2">
      <c r="A28" s="269">
        <v>42430</v>
      </c>
      <c r="B28" s="270">
        <v>6613470</v>
      </c>
      <c r="C28" s="270">
        <v>3972874</v>
      </c>
      <c r="D28" s="270">
        <v>204423</v>
      </c>
      <c r="E28" s="270">
        <v>276509</v>
      </c>
      <c r="F28" s="270">
        <v>0</v>
      </c>
      <c r="G28" s="270">
        <v>0</v>
      </c>
      <c r="H28" s="270">
        <v>0</v>
      </c>
      <c r="I28" s="270">
        <v>553500</v>
      </c>
      <c r="J28" s="270">
        <v>237417</v>
      </c>
      <c r="K28" s="270">
        <v>58069</v>
      </c>
      <c r="L28" s="270">
        <v>81220</v>
      </c>
      <c r="M28" s="270">
        <v>0</v>
      </c>
      <c r="N28" s="270">
        <v>57570</v>
      </c>
      <c r="O28" s="270">
        <v>60129</v>
      </c>
      <c r="P28" s="270">
        <v>0</v>
      </c>
      <c r="Q28" s="270">
        <v>0</v>
      </c>
      <c r="R28" s="270"/>
      <c r="S28" s="270"/>
      <c r="T28" s="270"/>
      <c r="U28" s="270"/>
      <c r="V28" s="270"/>
      <c r="W28" s="270">
        <v>0</v>
      </c>
      <c r="X28" s="271">
        <v>547267</v>
      </c>
      <c r="Y28" s="270">
        <v>564492</v>
      </c>
      <c r="Z28" s="272">
        <v>289377</v>
      </c>
      <c r="AA28" s="273">
        <v>275115</v>
      </c>
      <c r="AB28" s="273">
        <v>611070</v>
      </c>
      <c r="AC28" s="575"/>
      <c r="AD28" s="301">
        <v>0</v>
      </c>
      <c r="AE28" s="270">
        <v>0</v>
      </c>
      <c r="AF28" s="270">
        <v>0</v>
      </c>
      <c r="AG28" s="270">
        <v>0</v>
      </c>
      <c r="AH28" s="270">
        <v>0</v>
      </c>
      <c r="AI28" s="270"/>
      <c r="AJ28" s="270"/>
      <c r="AK28" s="56"/>
      <c r="AL28" s="56"/>
      <c r="AM28" s="56"/>
      <c r="AN28" s="56"/>
    </row>
    <row r="29" spans="1:40" x14ac:dyDescent="0.2">
      <c r="A29" s="269">
        <v>42461</v>
      </c>
      <c r="B29" s="270">
        <v>7584721</v>
      </c>
      <c r="C29" s="270">
        <v>4018970</v>
      </c>
      <c r="D29" s="270">
        <v>215813</v>
      </c>
      <c r="E29" s="270">
        <v>296537</v>
      </c>
      <c r="F29" s="270">
        <v>0</v>
      </c>
      <c r="G29" s="270">
        <v>0</v>
      </c>
      <c r="H29" s="270">
        <v>0</v>
      </c>
      <c r="I29" s="270">
        <v>1283919</v>
      </c>
      <c r="J29" s="270">
        <v>271059</v>
      </c>
      <c r="K29" s="270">
        <v>49082</v>
      </c>
      <c r="L29" s="270">
        <v>118821</v>
      </c>
      <c r="M29" s="270">
        <v>0</v>
      </c>
      <c r="N29" s="270">
        <v>135895</v>
      </c>
      <c r="O29" s="270">
        <v>63059</v>
      </c>
      <c r="P29" s="270">
        <v>0</v>
      </c>
      <c r="Q29" s="270">
        <v>0</v>
      </c>
      <c r="R29" s="270"/>
      <c r="S29" s="270"/>
      <c r="T29" s="270"/>
      <c r="U29" s="270"/>
      <c r="V29" s="270"/>
      <c r="W29" s="270">
        <v>0</v>
      </c>
      <c r="X29" s="271">
        <v>558826</v>
      </c>
      <c r="Y29" s="270">
        <v>572740</v>
      </c>
      <c r="Z29" s="272">
        <v>308674</v>
      </c>
      <c r="AA29" s="273">
        <v>264066</v>
      </c>
      <c r="AB29" s="273">
        <v>1419814</v>
      </c>
      <c r="AC29" s="575"/>
      <c r="AD29" s="301">
        <v>0</v>
      </c>
      <c r="AE29" s="270">
        <v>0</v>
      </c>
      <c r="AF29" s="270">
        <v>0</v>
      </c>
      <c r="AG29" s="270">
        <v>0</v>
      </c>
      <c r="AH29" s="270">
        <v>0</v>
      </c>
      <c r="AI29" s="270"/>
      <c r="AJ29" s="270"/>
      <c r="AK29" s="56"/>
      <c r="AL29" s="56"/>
      <c r="AM29" s="56"/>
      <c r="AN29" s="56"/>
    </row>
    <row r="30" spans="1:40" x14ac:dyDescent="0.2">
      <c r="A30" s="269">
        <v>42491</v>
      </c>
      <c r="B30" s="270">
        <v>8730352</v>
      </c>
      <c r="C30" s="270">
        <v>3773707</v>
      </c>
      <c r="D30" s="270">
        <v>263078</v>
      </c>
      <c r="E30" s="270">
        <v>405553</v>
      </c>
      <c r="F30" s="270">
        <v>0</v>
      </c>
      <c r="G30" s="270">
        <v>0</v>
      </c>
      <c r="H30" s="270">
        <v>0</v>
      </c>
      <c r="I30" s="270">
        <v>1964154</v>
      </c>
      <c r="J30" s="270">
        <v>277527</v>
      </c>
      <c r="K30" s="270">
        <v>71026</v>
      </c>
      <c r="L30" s="270">
        <v>204440</v>
      </c>
      <c r="M30" s="270">
        <v>0</v>
      </c>
      <c r="N30" s="270">
        <v>241532</v>
      </c>
      <c r="O30" s="270">
        <v>102506</v>
      </c>
      <c r="P30" s="270">
        <v>0</v>
      </c>
      <c r="Q30" s="270">
        <v>0</v>
      </c>
      <c r="R30" s="270"/>
      <c r="S30" s="270"/>
      <c r="T30" s="270"/>
      <c r="U30" s="270"/>
      <c r="V30" s="270"/>
      <c r="W30" s="270">
        <v>0</v>
      </c>
      <c r="X30" s="271">
        <v>728971</v>
      </c>
      <c r="Y30" s="270">
        <v>697858</v>
      </c>
      <c r="Z30" s="272">
        <v>320173</v>
      </c>
      <c r="AA30" s="273">
        <v>377685</v>
      </c>
      <c r="AB30" s="273">
        <v>2205686</v>
      </c>
      <c r="AC30" s="575"/>
      <c r="AD30" s="301">
        <v>0</v>
      </c>
      <c r="AE30" s="270">
        <v>0</v>
      </c>
      <c r="AF30" s="270">
        <v>0</v>
      </c>
      <c r="AG30" s="270">
        <v>0</v>
      </c>
      <c r="AH30" s="270">
        <v>0</v>
      </c>
      <c r="AI30" s="270"/>
      <c r="AJ30" s="270"/>
      <c r="AK30" s="56"/>
      <c r="AL30" s="56"/>
      <c r="AM30" s="56"/>
      <c r="AN30" s="56"/>
    </row>
    <row r="31" spans="1:40" x14ac:dyDescent="0.2">
      <c r="A31" s="269">
        <v>42522</v>
      </c>
      <c r="B31" s="270">
        <v>9791945</v>
      </c>
      <c r="C31" s="270">
        <v>4046518</v>
      </c>
      <c r="D31" s="270">
        <v>274465</v>
      </c>
      <c r="E31" s="270">
        <v>503779</v>
      </c>
      <c r="F31" s="270">
        <v>0</v>
      </c>
      <c r="G31" s="270">
        <v>0</v>
      </c>
      <c r="H31" s="270">
        <v>0</v>
      </c>
      <c r="I31" s="270">
        <v>2672172</v>
      </c>
      <c r="J31" s="270">
        <v>247180</v>
      </c>
      <c r="K31" s="270">
        <v>48151</v>
      </c>
      <c r="L31" s="270">
        <v>162606</v>
      </c>
      <c r="M31" s="270">
        <v>0</v>
      </c>
      <c r="N31" s="270">
        <v>204368</v>
      </c>
      <c r="O31" s="270">
        <v>87014</v>
      </c>
      <c r="P31" s="270">
        <v>0</v>
      </c>
      <c r="Q31" s="270">
        <v>0</v>
      </c>
      <c r="R31" s="270"/>
      <c r="S31" s="270"/>
      <c r="T31" s="270"/>
      <c r="U31" s="270"/>
      <c r="V31" s="270"/>
      <c r="W31" s="270">
        <v>0</v>
      </c>
      <c r="X31" s="271">
        <v>649314</v>
      </c>
      <c r="Y31" s="270">
        <v>896378</v>
      </c>
      <c r="Z31" s="272">
        <v>301989</v>
      </c>
      <c r="AA31" s="273">
        <v>594389</v>
      </c>
      <c r="AB31" s="273">
        <v>2876540</v>
      </c>
      <c r="AC31" s="575"/>
      <c r="AD31" s="301">
        <v>0</v>
      </c>
      <c r="AE31" s="270">
        <v>0</v>
      </c>
      <c r="AF31" s="270">
        <v>0</v>
      </c>
      <c r="AG31" s="270">
        <v>0</v>
      </c>
      <c r="AH31" s="270">
        <v>0</v>
      </c>
      <c r="AI31" s="270"/>
      <c r="AJ31" s="270"/>
      <c r="AK31" s="56"/>
      <c r="AL31" s="56"/>
      <c r="AM31" s="56"/>
      <c r="AN31" s="56"/>
    </row>
    <row r="32" spans="1:40" x14ac:dyDescent="0.2">
      <c r="A32" s="269">
        <v>42552</v>
      </c>
      <c r="B32" s="270">
        <v>9168714</v>
      </c>
      <c r="C32" s="270">
        <v>3655670</v>
      </c>
      <c r="D32" s="270">
        <v>171816</v>
      </c>
      <c r="E32" s="270">
        <v>346896</v>
      </c>
      <c r="F32" s="270">
        <v>0</v>
      </c>
      <c r="G32" s="270">
        <v>0</v>
      </c>
      <c r="H32" s="270">
        <v>0</v>
      </c>
      <c r="I32" s="270">
        <v>2679758</v>
      </c>
      <c r="J32" s="270">
        <v>241218</v>
      </c>
      <c r="K32" s="270">
        <v>56433</v>
      </c>
      <c r="L32" s="270">
        <v>183048</v>
      </c>
      <c r="M32" s="270">
        <v>0</v>
      </c>
      <c r="N32" s="270">
        <v>231512</v>
      </c>
      <c r="O32" s="270">
        <v>89776</v>
      </c>
      <c r="P32" s="270">
        <v>0</v>
      </c>
      <c r="Q32" s="270">
        <v>0</v>
      </c>
      <c r="R32" s="270"/>
      <c r="S32" s="270"/>
      <c r="T32" s="270"/>
      <c r="U32" s="270"/>
      <c r="V32" s="270"/>
      <c r="W32" s="270">
        <v>0</v>
      </c>
      <c r="X32" s="271">
        <v>701641</v>
      </c>
      <c r="Y32" s="270">
        <v>810946</v>
      </c>
      <c r="Z32" s="272">
        <v>285596</v>
      </c>
      <c r="AA32" s="273">
        <v>525350</v>
      </c>
      <c r="AB32" s="273">
        <v>2911270</v>
      </c>
      <c r="AC32" s="575"/>
      <c r="AD32" s="301">
        <v>0</v>
      </c>
      <c r="AE32" s="270">
        <v>0</v>
      </c>
      <c r="AF32" s="270">
        <v>0</v>
      </c>
      <c r="AG32" s="270">
        <v>0</v>
      </c>
      <c r="AH32" s="270">
        <v>0</v>
      </c>
      <c r="AI32" s="270"/>
      <c r="AJ32" s="270"/>
      <c r="AK32" s="56"/>
      <c r="AL32" s="56"/>
      <c r="AM32" s="56"/>
      <c r="AN32" s="56"/>
    </row>
    <row r="33" spans="1:40" x14ac:dyDescent="0.2">
      <c r="A33" s="269">
        <v>42583</v>
      </c>
      <c r="B33" s="270">
        <v>9494610</v>
      </c>
      <c r="C33" s="270">
        <v>3873088</v>
      </c>
      <c r="D33" s="270">
        <v>267163</v>
      </c>
      <c r="E33" s="270">
        <v>515939</v>
      </c>
      <c r="F33" s="270">
        <v>0</v>
      </c>
      <c r="G33" s="270">
        <v>0</v>
      </c>
      <c r="H33" s="270">
        <v>0</v>
      </c>
      <c r="I33" s="270">
        <v>2450437</v>
      </c>
      <c r="J33" s="270">
        <v>296189</v>
      </c>
      <c r="K33" s="270">
        <v>70401</v>
      </c>
      <c r="L33" s="270">
        <v>187636</v>
      </c>
      <c r="M33" s="270">
        <v>0</v>
      </c>
      <c r="N33" s="270">
        <v>253271</v>
      </c>
      <c r="O33" s="271">
        <v>98211</v>
      </c>
      <c r="P33" s="270">
        <v>0</v>
      </c>
      <c r="Q33" s="270">
        <v>0</v>
      </c>
      <c r="R33" s="270"/>
      <c r="S33" s="270"/>
      <c r="T33" s="270"/>
      <c r="U33" s="270"/>
      <c r="V33" s="270"/>
      <c r="W33" s="270">
        <v>0</v>
      </c>
      <c r="X33" s="271">
        <v>706214</v>
      </c>
      <c r="Y33" s="270">
        <v>776061</v>
      </c>
      <c r="Z33" s="272">
        <v>313559</v>
      </c>
      <c r="AA33" s="273">
        <v>462502</v>
      </c>
      <c r="AB33" s="273">
        <v>2703708</v>
      </c>
      <c r="AC33" s="575"/>
      <c r="AD33" s="301">
        <v>0</v>
      </c>
      <c r="AE33" s="270">
        <v>0</v>
      </c>
      <c r="AF33" s="270">
        <v>0</v>
      </c>
      <c r="AG33" s="270">
        <v>0</v>
      </c>
      <c r="AH33" s="270">
        <v>0</v>
      </c>
      <c r="AI33" s="270"/>
      <c r="AJ33" s="270"/>
      <c r="AK33" s="56"/>
      <c r="AL33" s="56"/>
      <c r="AM33" s="56"/>
      <c r="AN33" s="56"/>
    </row>
    <row r="34" spans="1:40" x14ac:dyDescent="0.2">
      <c r="A34" s="269">
        <v>42614</v>
      </c>
      <c r="B34" s="270">
        <v>9481784</v>
      </c>
      <c r="C34" s="270">
        <v>4228883</v>
      </c>
      <c r="D34" s="270">
        <v>247221</v>
      </c>
      <c r="E34" s="270">
        <v>400844</v>
      </c>
      <c r="F34" s="270">
        <v>0</v>
      </c>
      <c r="G34" s="270">
        <v>0</v>
      </c>
      <c r="H34" s="270">
        <v>0</v>
      </c>
      <c r="I34" s="270">
        <v>2315953</v>
      </c>
      <c r="J34" s="270">
        <v>260266</v>
      </c>
      <c r="K34" s="270">
        <v>58317</v>
      </c>
      <c r="L34" s="270">
        <v>155062</v>
      </c>
      <c r="M34" s="270">
        <v>0</v>
      </c>
      <c r="N34" s="270">
        <v>205585</v>
      </c>
      <c r="O34" s="271">
        <v>86794</v>
      </c>
      <c r="P34" s="270">
        <v>0</v>
      </c>
      <c r="Q34" s="270">
        <v>0</v>
      </c>
      <c r="R34" s="270"/>
      <c r="S34" s="270"/>
      <c r="T34" s="270"/>
      <c r="U34" s="270"/>
      <c r="V34" s="270"/>
      <c r="W34" s="270">
        <v>0</v>
      </c>
      <c r="X34" s="271">
        <v>809354</v>
      </c>
      <c r="Y34" s="270">
        <v>713505</v>
      </c>
      <c r="Z34" s="272">
        <v>333329</v>
      </c>
      <c r="AA34" s="273">
        <v>380176</v>
      </c>
      <c r="AB34" s="273">
        <v>2521538</v>
      </c>
      <c r="AC34" s="575"/>
      <c r="AD34" s="301">
        <v>0</v>
      </c>
      <c r="AE34" s="270">
        <v>0</v>
      </c>
      <c r="AF34" s="270">
        <v>0</v>
      </c>
      <c r="AG34" s="270">
        <v>0</v>
      </c>
      <c r="AH34" s="270">
        <v>0</v>
      </c>
      <c r="AI34" s="270"/>
      <c r="AJ34" s="270"/>
      <c r="AK34" s="56"/>
      <c r="AL34" s="56"/>
      <c r="AM34" s="56"/>
      <c r="AN34" s="56"/>
    </row>
    <row r="35" spans="1:40" x14ac:dyDescent="0.2">
      <c r="A35" s="269">
        <v>42644</v>
      </c>
      <c r="B35" s="270">
        <v>8039061</v>
      </c>
      <c r="C35" s="270">
        <v>3320287</v>
      </c>
      <c r="D35" s="270">
        <v>244358</v>
      </c>
      <c r="E35" s="270">
        <v>301842</v>
      </c>
      <c r="F35" s="270">
        <v>0</v>
      </c>
      <c r="G35" s="270">
        <v>0</v>
      </c>
      <c r="H35" s="270">
        <v>0</v>
      </c>
      <c r="I35" s="270">
        <v>2065366</v>
      </c>
      <c r="J35" s="270">
        <v>252484</v>
      </c>
      <c r="K35" s="270">
        <v>59236</v>
      </c>
      <c r="L35" s="270">
        <v>143725</v>
      </c>
      <c r="M35" s="270">
        <v>0</v>
      </c>
      <c r="N35" s="270">
        <v>191013</v>
      </c>
      <c r="O35" s="271">
        <v>67897</v>
      </c>
      <c r="P35" s="270">
        <v>0</v>
      </c>
      <c r="Q35" s="270">
        <v>0</v>
      </c>
      <c r="R35" s="270"/>
      <c r="S35" s="270"/>
      <c r="T35" s="270"/>
      <c r="U35" s="270"/>
      <c r="V35" s="270"/>
      <c r="W35" s="270">
        <v>0</v>
      </c>
      <c r="X35" s="271">
        <v>828064</v>
      </c>
      <c r="Y35" s="270">
        <v>564789</v>
      </c>
      <c r="Z35" s="272">
        <v>295061</v>
      </c>
      <c r="AA35" s="273">
        <v>269728</v>
      </c>
      <c r="AB35" s="273">
        <v>2256379</v>
      </c>
      <c r="AC35" s="575"/>
      <c r="AD35" s="301">
        <v>0</v>
      </c>
      <c r="AE35" s="270">
        <v>0</v>
      </c>
      <c r="AF35" s="270">
        <v>0</v>
      </c>
      <c r="AG35" s="270">
        <v>0</v>
      </c>
      <c r="AH35" s="270">
        <v>0</v>
      </c>
      <c r="AI35" s="270"/>
      <c r="AJ35" s="270"/>
      <c r="AK35" s="56"/>
      <c r="AL35" s="56"/>
      <c r="AM35" s="56"/>
      <c r="AN35" s="56"/>
    </row>
    <row r="36" spans="1:40" x14ac:dyDescent="0.2">
      <c r="A36" s="269">
        <v>42675</v>
      </c>
      <c r="B36" s="270">
        <v>8258064</v>
      </c>
      <c r="C36" s="270">
        <v>4405647</v>
      </c>
      <c r="D36" s="270">
        <v>269652</v>
      </c>
      <c r="E36" s="270">
        <v>561953</v>
      </c>
      <c r="F36" s="270">
        <v>0</v>
      </c>
      <c r="G36" s="270">
        <v>0</v>
      </c>
      <c r="H36" s="270">
        <v>0</v>
      </c>
      <c r="I36" s="270">
        <v>1190430</v>
      </c>
      <c r="J36" s="270">
        <v>309914</v>
      </c>
      <c r="K36" s="270">
        <v>74983</v>
      </c>
      <c r="L36" s="270">
        <v>137244</v>
      </c>
      <c r="M36" s="270">
        <v>0</v>
      </c>
      <c r="N36" s="270">
        <v>161352</v>
      </c>
      <c r="O36" s="271">
        <v>68587</v>
      </c>
      <c r="P36" s="270">
        <v>0</v>
      </c>
      <c r="Q36" s="270">
        <v>0</v>
      </c>
      <c r="R36" s="270"/>
      <c r="S36" s="270"/>
      <c r="T36" s="270"/>
      <c r="U36" s="270"/>
      <c r="V36" s="270"/>
      <c r="W36" s="270">
        <v>0</v>
      </c>
      <c r="X36" s="271">
        <v>531267</v>
      </c>
      <c r="Y36" s="270">
        <v>547035</v>
      </c>
      <c r="Z36" s="272">
        <v>351124</v>
      </c>
      <c r="AA36" s="273">
        <v>195911</v>
      </c>
      <c r="AB36" s="273">
        <v>1351782</v>
      </c>
      <c r="AC36" s="575"/>
      <c r="AD36" s="301">
        <v>0</v>
      </c>
      <c r="AE36" s="270">
        <v>0</v>
      </c>
      <c r="AF36" s="270">
        <v>0</v>
      </c>
      <c r="AG36" s="270">
        <v>0</v>
      </c>
      <c r="AH36" s="270">
        <v>0</v>
      </c>
      <c r="AI36" s="270"/>
      <c r="AJ36" s="270"/>
      <c r="AK36" s="56"/>
      <c r="AL36" s="56"/>
      <c r="AM36" s="56"/>
      <c r="AN36" s="56"/>
    </row>
    <row r="37" spans="1:40" x14ac:dyDescent="0.2">
      <c r="A37" s="269">
        <v>42705</v>
      </c>
      <c r="B37" s="270">
        <v>6468025</v>
      </c>
      <c r="C37" s="270">
        <v>3593398</v>
      </c>
      <c r="D37" s="270">
        <v>239740</v>
      </c>
      <c r="E37" s="270">
        <v>398980</v>
      </c>
      <c r="F37" s="270">
        <v>0</v>
      </c>
      <c r="G37" s="270">
        <v>0</v>
      </c>
      <c r="H37" s="270">
        <v>0</v>
      </c>
      <c r="I37" s="270">
        <v>761395</v>
      </c>
      <c r="J37" s="270">
        <v>261691</v>
      </c>
      <c r="K37" s="270">
        <v>59003</v>
      </c>
      <c r="L37" s="270">
        <v>108647</v>
      </c>
      <c r="M37" s="270">
        <v>0</v>
      </c>
      <c r="N37" s="270">
        <v>86111</v>
      </c>
      <c r="O37" s="271">
        <v>51534</v>
      </c>
      <c r="P37" s="270">
        <v>0</v>
      </c>
      <c r="Q37" s="270">
        <v>0</v>
      </c>
      <c r="R37" s="270"/>
      <c r="S37" s="270"/>
      <c r="T37" s="270"/>
      <c r="U37" s="270"/>
      <c r="V37" s="270"/>
      <c r="W37" s="270">
        <v>0</v>
      </c>
      <c r="X37" s="271">
        <v>463216</v>
      </c>
      <c r="Y37" s="270">
        <v>444310</v>
      </c>
      <c r="Z37" s="272">
        <v>303998</v>
      </c>
      <c r="AA37" s="273">
        <v>140312</v>
      </c>
      <c r="AB37" s="273">
        <v>847506</v>
      </c>
      <c r="AC37" s="575"/>
      <c r="AD37" s="301">
        <v>0</v>
      </c>
      <c r="AE37" s="270">
        <v>0</v>
      </c>
      <c r="AF37" s="270">
        <v>0</v>
      </c>
      <c r="AG37" s="270">
        <v>0</v>
      </c>
      <c r="AH37" s="270">
        <v>0</v>
      </c>
      <c r="AI37" s="270"/>
      <c r="AJ37" s="270"/>
      <c r="AK37" s="56"/>
      <c r="AL37" s="56"/>
      <c r="AM37" s="56"/>
      <c r="AN37" s="56"/>
    </row>
    <row r="38" spans="1:40" x14ac:dyDescent="0.2">
      <c r="A38" s="274">
        <v>42736</v>
      </c>
      <c r="B38" s="275">
        <v>5525573</v>
      </c>
      <c r="C38" s="275">
        <v>3099589</v>
      </c>
      <c r="D38" s="275">
        <v>214435</v>
      </c>
      <c r="E38" s="275">
        <v>370050</v>
      </c>
      <c r="F38" s="275">
        <v>0</v>
      </c>
      <c r="G38" s="275">
        <v>0</v>
      </c>
      <c r="H38" s="275">
        <v>0</v>
      </c>
      <c r="I38" s="275">
        <v>618875</v>
      </c>
      <c r="J38" s="275">
        <v>233523</v>
      </c>
      <c r="K38" s="275">
        <v>46449</v>
      </c>
      <c r="L38" s="275">
        <v>99324</v>
      </c>
      <c r="M38" s="276">
        <v>0</v>
      </c>
      <c r="N38" s="275">
        <v>55694</v>
      </c>
      <c r="O38" s="276">
        <v>41576</v>
      </c>
      <c r="P38" s="276">
        <v>0</v>
      </c>
      <c r="Q38" s="276">
        <v>0</v>
      </c>
      <c r="R38" s="276"/>
      <c r="S38" s="276"/>
      <c r="T38" s="276"/>
      <c r="U38" s="276"/>
      <c r="V38" s="276"/>
      <c r="W38" s="276">
        <v>0</v>
      </c>
      <c r="X38" s="276">
        <v>337896</v>
      </c>
      <c r="Y38" s="275">
        <v>408162</v>
      </c>
      <c r="Z38" s="277">
        <v>243772</v>
      </c>
      <c r="AA38" s="278">
        <v>164390</v>
      </c>
      <c r="AB38" s="278">
        <v>674569</v>
      </c>
      <c r="AC38" s="575"/>
      <c r="AD38" s="302">
        <v>0</v>
      </c>
      <c r="AE38" s="276">
        <v>0</v>
      </c>
      <c r="AF38" s="276">
        <v>0</v>
      </c>
      <c r="AG38" s="276">
        <v>0</v>
      </c>
      <c r="AH38" s="276">
        <v>0</v>
      </c>
      <c r="AI38" s="276"/>
      <c r="AJ38" s="276"/>
      <c r="AK38" s="56"/>
      <c r="AL38" s="56"/>
      <c r="AM38" s="56"/>
      <c r="AN38" s="56"/>
    </row>
    <row r="39" spans="1:40" x14ac:dyDescent="0.2">
      <c r="A39" s="274">
        <v>42767</v>
      </c>
      <c r="B39" s="275">
        <v>6826525</v>
      </c>
      <c r="C39" s="275">
        <v>4036987</v>
      </c>
      <c r="D39" s="275">
        <v>254971</v>
      </c>
      <c r="E39" s="275">
        <v>430923</v>
      </c>
      <c r="F39" s="275">
        <v>0</v>
      </c>
      <c r="G39" s="275">
        <v>0</v>
      </c>
      <c r="H39" s="275">
        <v>0</v>
      </c>
      <c r="I39" s="275">
        <v>526051</v>
      </c>
      <c r="J39" s="275">
        <v>277051</v>
      </c>
      <c r="K39" s="160">
        <v>57162</v>
      </c>
      <c r="L39" s="275">
        <v>104695</v>
      </c>
      <c r="M39" s="276">
        <v>0</v>
      </c>
      <c r="N39" s="275">
        <v>58566</v>
      </c>
      <c r="O39" s="276">
        <v>46491</v>
      </c>
      <c r="P39" s="276">
        <v>0</v>
      </c>
      <c r="Q39" s="276">
        <v>0</v>
      </c>
      <c r="R39" s="276"/>
      <c r="S39" s="276"/>
      <c r="T39" s="276"/>
      <c r="U39" s="276"/>
      <c r="V39" s="276"/>
      <c r="W39" s="276">
        <v>0</v>
      </c>
      <c r="X39" s="276">
        <v>498147</v>
      </c>
      <c r="Y39" s="275">
        <v>535481</v>
      </c>
      <c r="Z39" s="277">
        <v>308838</v>
      </c>
      <c r="AA39" s="278">
        <v>226643</v>
      </c>
      <c r="AB39" s="278">
        <v>584617</v>
      </c>
      <c r="AC39" s="575"/>
      <c r="AD39" s="302">
        <v>0</v>
      </c>
      <c r="AE39" s="276">
        <v>0</v>
      </c>
      <c r="AF39" s="276">
        <v>0</v>
      </c>
      <c r="AG39" s="276">
        <v>0</v>
      </c>
      <c r="AH39" s="276">
        <v>0</v>
      </c>
      <c r="AI39" s="276"/>
      <c r="AJ39" s="276"/>
      <c r="AK39" s="56"/>
      <c r="AL39" s="56"/>
      <c r="AM39" s="56"/>
      <c r="AN39" s="56"/>
    </row>
    <row r="40" spans="1:40" x14ac:dyDescent="0.2">
      <c r="A40" s="274">
        <v>42795</v>
      </c>
      <c r="B40" s="275">
        <v>6883831</v>
      </c>
      <c r="C40" s="275">
        <v>3870515</v>
      </c>
      <c r="D40" s="275">
        <v>248895</v>
      </c>
      <c r="E40" s="275">
        <v>445814</v>
      </c>
      <c r="F40" s="275">
        <v>0</v>
      </c>
      <c r="G40" s="275">
        <v>0</v>
      </c>
      <c r="H40" s="275">
        <v>0</v>
      </c>
      <c r="I40" s="275">
        <v>740508</v>
      </c>
      <c r="J40" s="275">
        <v>295298</v>
      </c>
      <c r="K40" s="160">
        <v>58107</v>
      </c>
      <c r="L40" s="275">
        <v>92166</v>
      </c>
      <c r="M40" s="276">
        <v>0</v>
      </c>
      <c r="N40" s="275">
        <v>72031</v>
      </c>
      <c r="O40" s="276">
        <v>46835</v>
      </c>
      <c r="P40" s="276">
        <v>0</v>
      </c>
      <c r="Q40" s="276">
        <v>0</v>
      </c>
      <c r="R40" s="276"/>
      <c r="S40" s="276"/>
      <c r="T40" s="276"/>
      <c r="U40" s="276"/>
      <c r="V40" s="276"/>
      <c r="W40" s="276">
        <v>0</v>
      </c>
      <c r="X40" s="276">
        <v>500980</v>
      </c>
      <c r="Y40" s="275">
        <v>512682</v>
      </c>
      <c r="Z40" s="277">
        <v>317794</v>
      </c>
      <c r="AA40" s="278">
        <v>194888</v>
      </c>
      <c r="AB40" s="278">
        <v>812539</v>
      </c>
      <c r="AC40" s="575"/>
      <c r="AD40" s="302">
        <v>0</v>
      </c>
      <c r="AE40" s="276">
        <v>0</v>
      </c>
      <c r="AF40" s="276">
        <v>0</v>
      </c>
      <c r="AG40" s="276">
        <v>0</v>
      </c>
      <c r="AH40" s="276">
        <v>0</v>
      </c>
      <c r="AI40" s="276"/>
      <c r="AJ40" s="276"/>
      <c r="AK40" s="56"/>
      <c r="AL40" s="56"/>
      <c r="AM40" s="56"/>
      <c r="AN40" s="56"/>
    </row>
    <row r="41" spans="1:40" x14ac:dyDescent="0.2">
      <c r="A41" s="274">
        <v>42826</v>
      </c>
      <c r="B41" s="275">
        <v>6688335</v>
      </c>
      <c r="C41" s="275">
        <v>3328654</v>
      </c>
      <c r="D41" s="275">
        <v>212465</v>
      </c>
      <c r="E41" s="275">
        <v>375876</v>
      </c>
      <c r="F41" s="275">
        <v>0</v>
      </c>
      <c r="G41" s="275">
        <v>0</v>
      </c>
      <c r="H41" s="275">
        <v>0</v>
      </c>
      <c r="I41" s="275">
        <v>1194038</v>
      </c>
      <c r="J41" s="275">
        <v>235542</v>
      </c>
      <c r="K41" s="160">
        <v>49717</v>
      </c>
      <c r="L41" s="275">
        <v>105608</v>
      </c>
      <c r="M41" s="276">
        <v>0</v>
      </c>
      <c r="N41" s="275">
        <v>123848</v>
      </c>
      <c r="O41" s="275">
        <v>51501</v>
      </c>
      <c r="P41" s="276">
        <v>0</v>
      </c>
      <c r="Q41" s="276">
        <v>0</v>
      </c>
      <c r="R41" s="276"/>
      <c r="S41" s="276"/>
      <c r="T41" s="276"/>
      <c r="U41" s="276"/>
      <c r="V41" s="276"/>
      <c r="W41" s="276">
        <v>0</v>
      </c>
      <c r="X41" s="276">
        <v>556388</v>
      </c>
      <c r="Y41" s="275">
        <v>454698</v>
      </c>
      <c r="Z41" s="277">
        <v>278250</v>
      </c>
      <c r="AA41" s="278">
        <v>176448</v>
      </c>
      <c r="AB41" s="278">
        <v>1317886</v>
      </c>
      <c r="AC41" s="575"/>
      <c r="AD41" s="302">
        <v>0</v>
      </c>
      <c r="AE41" s="276">
        <v>0</v>
      </c>
      <c r="AF41" s="276">
        <v>0</v>
      </c>
      <c r="AG41" s="276">
        <v>0</v>
      </c>
      <c r="AH41" s="276">
        <v>0</v>
      </c>
      <c r="AI41" s="276"/>
      <c r="AJ41" s="276"/>
      <c r="AK41" s="56"/>
      <c r="AL41" s="56"/>
      <c r="AM41" s="56"/>
      <c r="AN41" s="56"/>
    </row>
    <row r="42" spans="1:40" x14ac:dyDescent="0.2">
      <c r="A42" s="274">
        <v>42856</v>
      </c>
      <c r="B42" s="275">
        <v>8137565</v>
      </c>
      <c r="C42" s="275">
        <v>3720289</v>
      </c>
      <c r="D42" s="275">
        <v>252700</v>
      </c>
      <c r="E42" s="275">
        <v>428220</v>
      </c>
      <c r="F42" s="275">
        <v>0</v>
      </c>
      <c r="G42" s="275">
        <v>0</v>
      </c>
      <c r="H42" s="275">
        <v>0</v>
      </c>
      <c r="I42" s="275">
        <v>1738362</v>
      </c>
      <c r="J42" s="275">
        <v>282988</v>
      </c>
      <c r="K42" s="160">
        <v>64509</v>
      </c>
      <c r="L42" s="275">
        <v>160553</v>
      </c>
      <c r="M42" s="276">
        <v>0</v>
      </c>
      <c r="N42" s="275">
        <v>193845</v>
      </c>
      <c r="O42" s="275">
        <v>68219</v>
      </c>
      <c r="P42" s="276">
        <v>0</v>
      </c>
      <c r="Q42" s="276">
        <v>0</v>
      </c>
      <c r="R42" s="276"/>
      <c r="S42" s="276"/>
      <c r="T42" s="276"/>
      <c r="U42" s="276"/>
      <c r="V42" s="276"/>
      <c r="W42" s="276">
        <v>0</v>
      </c>
      <c r="X42" s="276">
        <v>660533</v>
      </c>
      <c r="Y42" s="275">
        <v>567347</v>
      </c>
      <c r="Z42" s="277">
        <v>318068</v>
      </c>
      <c r="AA42" s="278">
        <v>249279</v>
      </c>
      <c r="AB42" s="278">
        <v>1932207</v>
      </c>
      <c r="AC42" s="575"/>
      <c r="AD42" s="302">
        <v>0</v>
      </c>
      <c r="AE42" s="276">
        <v>0</v>
      </c>
      <c r="AF42" s="276">
        <v>0</v>
      </c>
      <c r="AG42" s="276">
        <v>0</v>
      </c>
      <c r="AH42" s="276">
        <v>0</v>
      </c>
      <c r="AI42" s="276"/>
      <c r="AJ42" s="276"/>
      <c r="AK42" s="56"/>
      <c r="AL42" s="56"/>
      <c r="AM42" s="56"/>
      <c r="AN42" s="56"/>
    </row>
    <row r="43" spans="1:40" x14ac:dyDescent="0.2">
      <c r="A43" s="274">
        <v>42887</v>
      </c>
      <c r="B43" s="275">
        <v>9514271</v>
      </c>
      <c r="C43" s="275">
        <v>4066105</v>
      </c>
      <c r="D43" s="275">
        <v>258022</v>
      </c>
      <c r="E43" s="275">
        <v>446908</v>
      </c>
      <c r="F43" s="275">
        <v>0</v>
      </c>
      <c r="G43" s="275">
        <v>0</v>
      </c>
      <c r="H43" s="275">
        <v>0</v>
      </c>
      <c r="I43" s="275">
        <v>2500352</v>
      </c>
      <c r="J43" s="275">
        <v>267111</v>
      </c>
      <c r="K43" s="160">
        <v>70932</v>
      </c>
      <c r="L43" s="275">
        <v>204894</v>
      </c>
      <c r="M43" s="276">
        <v>0</v>
      </c>
      <c r="N43" s="275">
        <v>240351</v>
      </c>
      <c r="O43" s="275">
        <v>86736</v>
      </c>
      <c r="P43" s="276">
        <v>0</v>
      </c>
      <c r="Q43" s="276">
        <v>0</v>
      </c>
      <c r="R43" s="276"/>
      <c r="S43" s="276"/>
      <c r="T43" s="276"/>
      <c r="U43" s="276"/>
      <c r="V43" s="276"/>
      <c r="W43" s="276">
        <v>0</v>
      </c>
      <c r="X43" s="276">
        <v>611695</v>
      </c>
      <c r="Y43" s="275">
        <v>761165</v>
      </c>
      <c r="Z43" s="277">
        <v>307686</v>
      </c>
      <c r="AA43" s="278">
        <v>453479</v>
      </c>
      <c r="AB43" s="278">
        <v>2740703</v>
      </c>
      <c r="AC43" s="575"/>
      <c r="AD43" s="302">
        <v>0</v>
      </c>
      <c r="AE43" s="276">
        <v>0</v>
      </c>
      <c r="AF43" s="276">
        <v>0</v>
      </c>
      <c r="AG43" s="276">
        <v>0</v>
      </c>
      <c r="AH43" s="276">
        <v>0</v>
      </c>
      <c r="AI43" s="276"/>
      <c r="AJ43" s="276"/>
      <c r="AK43" s="56"/>
      <c r="AL43" s="56"/>
      <c r="AM43" s="56"/>
      <c r="AN43" s="56"/>
    </row>
    <row r="44" spans="1:40" x14ac:dyDescent="0.2">
      <c r="A44" s="274">
        <v>42917</v>
      </c>
      <c r="B44" s="275">
        <v>8243086</v>
      </c>
      <c r="C44" s="275">
        <v>3001369</v>
      </c>
      <c r="D44" s="275">
        <v>231436</v>
      </c>
      <c r="E44" s="275">
        <v>384666</v>
      </c>
      <c r="F44" s="275">
        <v>0</v>
      </c>
      <c r="G44" s="275">
        <v>0</v>
      </c>
      <c r="H44" s="275">
        <v>0</v>
      </c>
      <c r="I44" s="275">
        <v>2544886</v>
      </c>
      <c r="J44" s="275">
        <v>241317</v>
      </c>
      <c r="K44" s="160">
        <v>62499</v>
      </c>
      <c r="L44" s="275">
        <v>192870</v>
      </c>
      <c r="M44" s="276">
        <v>0</v>
      </c>
      <c r="N44" s="279">
        <v>223983</v>
      </c>
      <c r="O44" s="275">
        <v>82519</v>
      </c>
      <c r="P44" s="276">
        <v>0</v>
      </c>
      <c r="Q44" s="276">
        <v>0</v>
      </c>
      <c r="R44" s="276"/>
      <c r="S44" s="276"/>
      <c r="T44" s="276"/>
      <c r="U44" s="276"/>
      <c r="V44" s="276"/>
      <c r="W44" s="276">
        <v>0</v>
      </c>
      <c r="X44" s="275">
        <v>700584</v>
      </c>
      <c r="Y44" s="275">
        <v>576957</v>
      </c>
      <c r="Z44" s="277">
        <v>212800</v>
      </c>
      <c r="AA44" s="278">
        <v>364157</v>
      </c>
      <c r="AB44" s="278">
        <v>2768869</v>
      </c>
      <c r="AC44" s="575"/>
      <c r="AD44" s="302">
        <v>0</v>
      </c>
      <c r="AE44" s="276">
        <v>0</v>
      </c>
      <c r="AF44" s="276">
        <v>0</v>
      </c>
      <c r="AG44" s="276">
        <v>0</v>
      </c>
      <c r="AH44" s="276">
        <v>0</v>
      </c>
      <c r="AI44" s="276"/>
      <c r="AJ44" s="276"/>
      <c r="AK44" s="56"/>
      <c r="AL44" s="56"/>
      <c r="AM44" s="56"/>
      <c r="AN44" s="56"/>
    </row>
    <row r="45" spans="1:40" x14ac:dyDescent="0.2">
      <c r="A45" s="274">
        <v>42948</v>
      </c>
      <c r="B45" s="275">
        <v>9842261</v>
      </c>
      <c r="C45" s="275">
        <v>4031396</v>
      </c>
      <c r="D45" s="275">
        <v>275532</v>
      </c>
      <c r="E45" s="275">
        <v>493213</v>
      </c>
      <c r="F45" s="275">
        <v>0</v>
      </c>
      <c r="G45" s="275">
        <v>0</v>
      </c>
      <c r="H45" s="275">
        <v>0</v>
      </c>
      <c r="I45" s="275">
        <v>2551418</v>
      </c>
      <c r="J45" s="275">
        <v>296187</v>
      </c>
      <c r="K45" s="160">
        <v>74921</v>
      </c>
      <c r="L45" s="275">
        <v>248922</v>
      </c>
      <c r="M45" s="276">
        <v>0</v>
      </c>
      <c r="N45" s="275">
        <v>278456</v>
      </c>
      <c r="O45" s="275">
        <v>82128</v>
      </c>
      <c r="P45" s="276">
        <v>0</v>
      </c>
      <c r="Q45" s="276">
        <v>0</v>
      </c>
      <c r="R45" s="276"/>
      <c r="S45" s="276"/>
      <c r="T45" s="276"/>
      <c r="U45" s="276"/>
      <c r="V45" s="276"/>
      <c r="W45" s="276">
        <v>0</v>
      </c>
      <c r="X45" s="275">
        <v>722301</v>
      </c>
      <c r="Y45" s="275">
        <v>787787</v>
      </c>
      <c r="Z45" s="277">
        <v>241411</v>
      </c>
      <c r="AA45" s="278">
        <v>546376</v>
      </c>
      <c r="AB45" s="278">
        <v>2829874</v>
      </c>
      <c r="AC45" s="575"/>
      <c r="AD45" s="302">
        <v>0</v>
      </c>
      <c r="AE45" s="276">
        <v>0</v>
      </c>
      <c r="AF45" s="276">
        <v>0</v>
      </c>
      <c r="AG45" s="276">
        <v>0</v>
      </c>
      <c r="AH45" s="276">
        <v>0</v>
      </c>
      <c r="AI45" s="276"/>
      <c r="AJ45" s="276"/>
      <c r="AK45" s="56"/>
      <c r="AL45" s="56"/>
      <c r="AM45" s="56"/>
      <c r="AN45" s="56"/>
    </row>
    <row r="46" spans="1:40" x14ac:dyDescent="0.2">
      <c r="A46" s="274">
        <v>42979</v>
      </c>
      <c r="B46" s="275">
        <v>9512976</v>
      </c>
      <c r="C46" s="275">
        <v>3773479</v>
      </c>
      <c r="D46" s="275">
        <v>258590</v>
      </c>
      <c r="E46" s="275">
        <v>442915</v>
      </c>
      <c r="F46" s="275">
        <v>0</v>
      </c>
      <c r="G46" s="275">
        <v>0</v>
      </c>
      <c r="H46" s="275">
        <v>0</v>
      </c>
      <c r="I46" s="275">
        <v>2600804</v>
      </c>
      <c r="J46" s="275">
        <v>288653</v>
      </c>
      <c r="K46" s="160">
        <v>60546</v>
      </c>
      <c r="L46" s="275">
        <v>207848</v>
      </c>
      <c r="M46" s="276">
        <v>0</v>
      </c>
      <c r="N46" s="275">
        <v>265391</v>
      </c>
      <c r="O46" s="275">
        <v>71953</v>
      </c>
      <c r="P46" s="276">
        <v>0</v>
      </c>
      <c r="Q46" s="276">
        <v>0</v>
      </c>
      <c r="R46" s="276"/>
      <c r="S46" s="276"/>
      <c r="T46" s="276"/>
      <c r="U46" s="276"/>
      <c r="V46" s="276"/>
      <c r="W46" s="276">
        <v>0</v>
      </c>
      <c r="X46" s="275">
        <v>787739</v>
      </c>
      <c r="Y46" s="275">
        <v>755058</v>
      </c>
      <c r="Z46" s="277">
        <v>247909</v>
      </c>
      <c r="AA46" s="278">
        <v>507149</v>
      </c>
      <c r="AB46" s="278">
        <v>2866195</v>
      </c>
      <c r="AC46" s="575"/>
      <c r="AD46" s="302">
        <v>0</v>
      </c>
      <c r="AE46" s="276">
        <v>0</v>
      </c>
      <c r="AF46" s="276">
        <v>0</v>
      </c>
      <c r="AG46" s="276">
        <v>0</v>
      </c>
      <c r="AH46" s="276">
        <v>0</v>
      </c>
      <c r="AI46" s="276"/>
      <c r="AJ46" s="276"/>
      <c r="AK46" s="56"/>
      <c r="AL46" s="56"/>
      <c r="AM46" s="56"/>
      <c r="AN46" s="56"/>
    </row>
    <row r="47" spans="1:40" x14ac:dyDescent="0.2">
      <c r="A47" s="274">
        <v>43009</v>
      </c>
      <c r="B47" s="275">
        <v>8514444</v>
      </c>
      <c r="C47" s="275">
        <v>3744126</v>
      </c>
      <c r="D47" s="275">
        <v>270654</v>
      </c>
      <c r="E47" s="275">
        <v>452584</v>
      </c>
      <c r="F47" s="275">
        <v>0</v>
      </c>
      <c r="G47" s="275">
        <v>0</v>
      </c>
      <c r="H47" s="275">
        <v>0</v>
      </c>
      <c r="I47" s="275">
        <v>1841190</v>
      </c>
      <c r="J47" s="275">
        <v>292092</v>
      </c>
      <c r="K47" s="160">
        <v>63022</v>
      </c>
      <c r="L47" s="275">
        <v>183095</v>
      </c>
      <c r="M47" s="276">
        <v>0</v>
      </c>
      <c r="N47" s="275">
        <v>217543</v>
      </c>
      <c r="O47" s="275">
        <v>42173</v>
      </c>
      <c r="P47" s="276">
        <v>0</v>
      </c>
      <c r="Q47" s="276">
        <v>0</v>
      </c>
      <c r="R47" s="276"/>
      <c r="S47" s="276"/>
      <c r="T47" s="276"/>
      <c r="U47" s="276"/>
      <c r="V47" s="276"/>
      <c r="W47" s="276">
        <v>0</v>
      </c>
      <c r="X47" s="275">
        <v>803446</v>
      </c>
      <c r="Y47" s="275">
        <v>604519</v>
      </c>
      <c r="Z47" s="277">
        <v>246432</v>
      </c>
      <c r="AA47" s="278">
        <v>358087</v>
      </c>
      <c r="AB47" s="278">
        <v>2058733</v>
      </c>
      <c r="AC47" s="575"/>
      <c r="AD47" s="302">
        <v>0</v>
      </c>
      <c r="AE47" s="276">
        <v>0</v>
      </c>
      <c r="AF47" s="276">
        <v>0</v>
      </c>
      <c r="AG47" s="276">
        <v>0</v>
      </c>
      <c r="AH47" s="276">
        <v>0</v>
      </c>
      <c r="AI47" s="276"/>
      <c r="AJ47" s="276"/>
      <c r="AK47" s="56"/>
      <c r="AL47" s="56"/>
      <c r="AM47" s="56"/>
      <c r="AN47" s="56"/>
    </row>
    <row r="48" spans="1:40" x14ac:dyDescent="0.2">
      <c r="A48" s="274">
        <v>43040</v>
      </c>
      <c r="B48" s="275">
        <v>7261986</v>
      </c>
      <c r="C48" s="275">
        <v>3933330</v>
      </c>
      <c r="D48" s="275">
        <v>249042</v>
      </c>
      <c r="E48" s="275">
        <v>421911</v>
      </c>
      <c r="F48" s="275">
        <v>0</v>
      </c>
      <c r="G48" s="275">
        <v>0</v>
      </c>
      <c r="H48" s="275">
        <v>0</v>
      </c>
      <c r="I48" s="275">
        <v>1084163</v>
      </c>
      <c r="J48" s="275">
        <v>284103</v>
      </c>
      <c r="K48" s="160">
        <v>55715</v>
      </c>
      <c r="L48" s="275">
        <v>122475</v>
      </c>
      <c r="M48" s="276">
        <v>0</v>
      </c>
      <c r="N48" s="275">
        <v>126984</v>
      </c>
      <c r="O48" s="275">
        <v>29219</v>
      </c>
      <c r="P48" s="276">
        <v>0</v>
      </c>
      <c r="Q48" s="276">
        <v>0</v>
      </c>
      <c r="R48" s="276"/>
      <c r="S48" s="276"/>
      <c r="T48" s="276"/>
      <c r="U48" s="276"/>
      <c r="V48" s="276"/>
      <c r="W48" s="276">
        <v>0</v>
      </c>
      <c r="X48" s="275">
        <v>512053</v>
      </c>
      <c r="Y48" s="275">
        <v>442991</v>
      </c>
      <c r="Z48" s="277">
        <v>271273</v>
      </c>
      <c r="AA48" s="278">
        <v>171718</v>
      </c>
      <c r="AB48" s="278">
        <v>1211147</v>
      </c>
      <c r="AC48" s="575"/>
      <c r="AD48" s="302">
        <v>0</v>
      </c>
      <c r="AE48" s="276">
        <v>0</v>
      </c>
      <c r="AF48" s="276">
        <v>0</v>
      </c>
      <c r="AG48" s="276">
        <v>0</v>
      </c>
      <c r="AH48" s="276">
        <v>0</v>
      </c>
      <c r="AI48" s="276"/>
      <c r="AJ48" s="276"/>
      <c r="AK48" s="56"/>
      <c r="AL48" s="56"/>
      <c r="AM48" s="56"/>
      <c r="AN48" s="56"/>
    </row>
    <row r="49" spans="1:40" x14ac:dyDescent="0.2">
      <c r="A49" s="274">
        <v>43070</v>
      </c>
      <c r="B49" s="275">
        <v>5970850</v>
      </c>
      <c r="C49" s="275">
        <v>3266116</v>
      </c>
      <c r="D49" s="275">
        <v>230252</v>
      </c>
      <c r="E49" s="275">
        <v>430229</v>
      </c>
      <c r="F49" s="275">
        <v>0</v>
      </c>
      <c r="G49" s="275">
        <v>0</v>
      </c>
      <c r="H49" s="275">
        <v>0</v>
      </c>
      <c r="I49" s="275">
        <v>611381</v>
      </c>
      <c r="J49" s="275">
        <v>273022</v>
      </c>
      <c r="K49" s="160">
        <v>56181</v>
      </c>
      <c r="L49" s="275">
        <v>119923</v>
      </c>
      <c r="M49" s="276">
        <v>0</v>
      </c>
      <c r="N49" s="275">
        <v>73274</v>
      </c>
      <c r="O49" s="275">
        <v>29061</v>
      </c>
      <c r="P49" s="276">
        <v>0</v>
      </c>
      <c r="Q49" s="276">
        <v>0</v>
      </c>
      <c r="R49" s="276"/>
      <c r="S49" s="276"/>
      <c r="T49" s="276"/>
      <c r="U49" s="276"/>
      <c r="V49" s="276"/>
      <c r="W49" s="276">
        <v>0</v>
      </c>
      <c r="X49" s="275">
        <v>469420</v>
      </c>
      <c r="Y49" s="275">
        <v>411991</v>
      </c>
      <c r="Z49" s="277">
        <v>234655</v>
      </c>
      <c r="AA49" s="278">
        <v>177336</v>
      </c>
      <c r="AB49" s="278">
        <v>684655</v>
      </c>
      <c r="AC49" s="575"/>
      <c r="AD49" s="302">
        <v>0</v>
      </c>
      <c r="AE49" s="276">
        <v>0</v>
      </c>
      <c r="AF49" s="276">
        <v>0</v>
      </c>
      <c r="AG49" s="276">
        <v>0</v>
      </c>
      <c r="AH49" s="276">
        <v>0</v>
      </c>
      <c r="AI49" s="276"/>
      <c r="AJ49" s="276"/>
      <c r="AK49" s="56"/>
      <c r="AL49" s="56"/>
      <c r="AM49" s="56"/>
      <c r="AN49" s="56"/>
    </row>
    <row r="50" spans="1:40" x14ac:dyDescent="0.2">
      <c r="A50" s="280">
        <v>43101</v>
      </c>
      <c r="B50" s="281">
        <v>6340475</v>
      </c>
      <c r="C50" s="281">
        <v>3715383</v>
      </c>
      <c r="D50" s="281">
        <v>255100</v>
      </c>
      <c r="E50" s="281">
        <v>462317</v>
      </c>
      <c r="F50" s="281">
        <v>0</v>
      </c>
      <c r="G50" s="281">
        <v>0</v>
      </c>
      <c r="H50" s="281">
        <v>0</v>
      </c>
      <c r="I50" s="282">
        <v>511044</v>
      </c>
      <c r="J50" s="281">
        <v>277806</v>
      </c>
      <c r="K50" s="161">
        <v>57343</v>
      </c>
      <c r="L50" s="281">
        <v>115237</v>
      </c>
      <c r="M50" s="281">
        <v>0</v>
      </c>
      <c r="N50" s="282">
        <v>61658</v>
      </c>
      <c r="O50" s="281">
        <v>26266</v>
      </c>
      <c r="P50" s="281">
        <v>0</v>
      </c>
      <c r="Q50" s="281">
        <v>0</v>
      </c>
      <c r="R50" s="281"/>
      <c r="S50" s="281"/>
      <c r="T50" s="281"/>
      <c r="U50" s="281"/>
      <c r="V50" s="281"/>
      <c r="W50" s="281">
        <v>0</v>
      </c>
      <c r="X50" s="281">
        <v>326074</v>
      </c>
      <c r="Y50" s="281">
        <v>532247</v>
      </c>
      <c r="Z50" s="283">
        <v>267046</v>
      </c>
      <c r="AA50" s="284">
        <v>265201</v>
      </c>
      <c r="AB50" s="284">
        <v>572702</v>
      </c>
      <c r="AC50" s="575"/>
      <c r="AD50" s="303">
        <v>0</v>
      </c>
      <c r="AE50" s="281">
        <v>0</v>
      </c>
      <c r="AF50" s="281">
        <v>0</v>
      </c>
      <c r="AG50" s="281">
        <v>0</v>
      </c>
      <c r="AH50" s="281">
        <v>0</v>
      </c>
      <c r="AI50" s="281"/>
      <c r="AJ50" s="281"/>
      <c r="AK50" s="56"/>
      <c r="AL50" s="56"/>
      <c r="AM50" s="56"/>
      <c r="AN50" s="56"/>
    </row>
    <row r="51" spans="1:40" x14ac:dyDescent="0.2">
      <c r="A51" s="280">
        <v>43132</v>
      </c>
      <c r="B51" s="281">
        <v>6010872</v>
      </c>
      <c r="C51" s="281">
        <v>3437800</v>
      </c>
      <c r="D51" s="281">
        <v>218539</v>
      </c>
      <c r="E51" s="281">
        <v>418582</v>
      </c>
      <c r="F51" s="281">
        <v>0</v>
      </c>
      <c r="G51" s="281">
        <v>0</v>
      </c>
      <c r="H51" s="281">
        <v>0</v>
      </c>
      <c r="I51" s="282">
        <v>439104</v>
      </c>
      <c r="J51" s="281">
        <v>229353</v>
      </c>
      <c r="K51" s="161">
        <v>59346</v>
      </c>
      <c r="L51" s="281">
        <v>112008</v>
      </c>
      <c r="M51" s="281">
        <v>0</v>
      </c>
      <c r="N51" s="282">
        <v>44948</v>
      </c>
      <c r="O51" s="281">
        <v>24999</v>
      </c>
      <c r="P51" s="281">
        <v>0</v>
      </c>
      <c r="Q51" s="281">
        <v>0</v>
      </c>
      <c r="R51" s="281"/>
      <c r="S51" s="281"/>
      <c r="T51" s="281"/>
      <c r="U51" s="281"/>
      <c r="V51" s="281"/>
      <c r="W51" s="281">
        <v>0</v>
      </c>
      <c r="X51" s="281">
        <v>436736</v>
      </c>
      <c r="Y51" s="281">
        <v>589457</v>
      </c>
      <c r="Z51" s="283">
        <v>272614</v>
      </c>
      <c r="AA51" s="284">
        <v>316843</v>
      </c>
      <c r="AB51" s="284">
        <v>484052</v>
      </c>
      <c r="AC51" s="575"/>
      <c r="AD51" s="304">
        <v>83562</v>
      </c>
      <c r="AE51" s="281">
        <v>0</v>
      </c>
      <c r="AF51" s="281">
        <v>0</v>
      </c>
      <c r="AG51" s="281">
        <v>0</v>
      </c>
      <c r="AH51" s="281">
        <v>0</v>
      </c>
      <c r="AI51" s="281"/>
      <c r="AJ51" s="281"/>
      <c r="AK51" s="56"/>
      <c r="AL51" s="56"/>
      <c r="AM51" s="56"/>
      <c r="AN51" s="56"/>
    </row>
    <row r="52" spans="1:40" x14ac:dyDescent="0.2">
      <c r="A52" s="280">
        <v>43160</v>
      </c>
      <c r="B52" s="281">
        <v>6466521</v>
      </c>
      <c r="C52" s="281">
        <v>3450924</v>
      </c>
      <c r="D52" s="281">
        <v>266749</v>
      </c>
      <c r="E52" s="281">
        <v>428068</v>
      </c>
      <c r="F52" s="281">
        <v>0</v>
      </c>
      <c r="G52" s="281">
        <v>0</v>
      </c>
      <c r="H52" s="281">
        <v>0</v>
      </c>
      <c r="I52" s="282">
        <v>808368</v>
      </c>
      <c r="J52" s="281">
        <v>298704</v>
      </c>
      <c r="K52" s="161">
        <v>42758</v>
      </c>
      <c r="L52" s="281">
        <v>101870</v>
      </c>
      <c r="M52" s="281">
        <v>0</v>
      </c>
      <c r="N52" s="282">
        <v>87607</v>
      </c>
      <c r="O52" s="281">
        <v>22757</v>
      </c>
      <c r="P52" s="281">
        <v>0</v>
      </c>
      <c r="Q52" s="281">
        <v>0</v>
      </c>
      <c r="R52" s="281"/>
      <c r="S52" s="281"/>
      <c r="T52" s="281"/>
      <c r="U52" s="281"/>
      <c r="V52" s="281"/>
      <c r="W52" s="281">
        <v>0</v>
      </c>
      <c r="X52" s="281">
        <v>471104</v>
      </c>
      <c r="Y52" s="281">
        <v>487612</v>
      </c>
      <c r="Z52" s="283">
        <v>306197</v>
      </c>
      <c r="AA52" s="284">
        <v>181415</v>
      </c>
      <c r="AB52" s="284">
        <v>895975</v>
      </c>
      <c r="AC52" s="575"/>
      <c r="AD52" s="304">
        <v>70345</v>
      </c>
      <c r="AE52" s="281">
        <v>0</v>
      </c>
      <c r="AF52" s="281">
        <v>0</v>
      </c>
      <c r="AG52" s="281">
        <v>0</v>
      </c>
      <c r="AH52" s="281">
        <v>0</v>
      </c>
      <c r="AI52" s="281"/>
      <c r="AJ52" s="281"/>
      <c r="AK52" s="56"/>
      <c r="AL52" s="56"/>
      <c r="AM52" s="56"/>
      <c r="AN52" s="56"/>
    </row>
    <row r="53" spans="1:40" x14ac:dyDescent="0.2">
      <c r="A53" s="280">
        <v>43191</v>
      </c>
      <c r="B53" s="281">
        <v>7476752</v>
      </c>
      <c r="C53" s="281">
        <v>3890381</v>
      </c>
      <c r="D53" s="281">
        <v>238376</v>
      </c>
      <c r="E53" s="281">
        <v>450705</v>
      </c>
      <c r="F53" s="281">
        <v>0</v>
      </c>
      <c r="G53" s="281">
        <v>0</v>
      </c>
      <c r="H53" s="281">
        <v>0</v>
      </c>
      <c r="I53" s="281">
        <v>1208521</v>
      </c>
      <c r="J53" s="281">
        <v>275522</v>
      </c>
      <c r="K53" s="161">
        <v>52528</v>
      </c>
      <c r="L53" s="281">
        <v>124604</v>
      </c>
      <c r="M53" s="281">
        <v>0</v>
      </c>
      <c r="N53" s="281">
        <v>137799</v>
      </c>
      <c r="O53" s="281">
        <v>21167</v>
      </c>
      <c r="P53" s="281">
        <v>0</v>
      </c>
      <c r="Q53" s="281">
        <v>0</v>
      </c>
      <c r="R53" s="281"/>
      <c r="S53" s="281"/>
      <c r="T53" s="281"/>
      <c r="U53" s="281"/>
      <c r="V53" s="281"/>
      <c r="W53" s="281">
        <v>0</v>
      </c>
      <c r="X53" s="281">
        <v>538438</v>
      </c>
      <c r="Y53" s="281">
        <v>538711</v>
      </c>
      <c r="Z53" s="283">
        <v>333892</v>
      </c>
      <c r="AA53" s="284">
        <v>204819</v>
      </c>
      <c r="AB53" s="284">
        <v>1346320</v>
      </c>
      <c r="AC53" s="575"/>
      <c r="AD53" s="304">
        <v>80484</v>
      </c>
      <c r="AE53" s="281">
        <v>0</v>
      </c>
      <c r="AF53" s="281">
        <v>0</v>
      </c>
      <c r="AG53" s="281">
        <v>0</v>
      </c>
      <c r="AH53" s="281">
        <v>0</v>
      </c>
      <c r="AI53" s="281"/>
      <c r="AJ53" s="281"/>
      <c r="AK53" s="56"/>
      <c r="AL53" s="56"/>
      <c r="AM53" s="56"/>
      <c r="AN53" s="56"/>
    </row>
    <row r="54" spans="1:40" x14ac:dyDescent="0.2">
      <c r="A54" s="280">
        <v>43221</v>
      </c>
      <c r="B54" s="281">
        <v>8980797</v>
      </c>
      <c r="C54" s="281">
        <v>3663428</v>
      </c>
      <c r="D54" s="281">
        <v>275700</v>
      </c>
      <c r="E54" s="281">
        <v>506370</v>
      </c>
      <c r="F54" s="281">
        <v>0</v>
      </c>
      <c r="G54" s="281">
        <v>0</v>
      </c>
      <c r="H54" s="281">
        <v>0</v>
      </c>
      <c r="I54" s="281">
        <v>2176575</v>
      </c>
      <c r="J54" s="281">
        <v>304399</v>
      </c>
      <c r="K54" s="161">
        <v>60569</v>
      </c>
      <c r="L54" s="281">
        <v>183261</v>
      </c>
      <c r="M54" s="281">
        <v>0</v>
      </c>
      <c r="N54" s="281">
        <v>224034</v>
      </c>
      <c r="O54" s="281">
        <v>35915</v>
      </c>
      <c r="P54" s="281">
        <v>0</v>
      </c>
      <c r="Q54" s="281">
        <v>16340</v>
      </c>
      <c r="R54" s="281"/>
      <c r="S54" s="281"/>
      <c r="T54" s="281"/>
      <c r="U54" s="281"/>
      <c r="V54" s="281"/>
      <c r="W54" s="281">
        <v>0</v>
      </c>
      <c r="X54" s="281">
        <v>738822</v>
      </c>
      <c r="Y54" s="281">
        <v>795384</v>
      </c>
      <c r="Z54" s="283">
        <v>342020</v>
      </c>
      <c r="AA54" s="284">
        <v>453364</v>
      </c>
      <c r="AB54" s="284">
        <v>2400609</v>
      </c>
      <c r="AC54" s="575"/>
      <c r="AD54" s="304">
        <v>116361</v>
      </c>
      <c r="AE54" s="281">
        <v>0</v>
      </c>
      <c r="AF54" s="281">
        <v>0</v>
      </c>
      <c r="AG54" s="281">
        <v>0</v>
      </c>
      <c r="AH54" s="281">
        <v>0</v>
      </c>
      <c r="AI54" s="281"/>
      <c r="AJ54" s="281"/>
      <c r="AK54" s="56"/>
      <c r="AL54" s="56"/>
      <c r="AM54" s="56"/>
      <c r="AN54" s="56"/>
    </row>
    <row r="55" spans="1:40" x14ac:dyDescent="0.2">
      <c r="A55" s="280">
        <v>43252</v>
      </c>
      <c r="B55" s="281">
        <v>8345430</v>
      </c>
      <c r="C55" s="281">
        <v>3243600</v>
      </c>
      <c r="D55" s="281">
        <v>230102</v>
      </c>
      <c r="E55" s="282">
        <v>463971</v>
      </c>
      <c r="F55" s="281">
        <v>0</v>
      </c>
      <c r="G55" s="281">
        <v>0</v>
      </c>
      <c r="H55" s="281">
        <v>0</v>
      </c>
      <c r="I55" s="282">
        <v>2314940</v>
      </c>
      <c r="J55" s="282">
        <v>265718</v>
      </c>
      <c r="K55" s="282">
        <v>74569</v>
      </c>
      <c r="L55" s="282">
        <v>191322</v>
      </c>
      <c r="M55" s="281">
        <v>0</v>
      </c>
      <c r="N55" s="282">
        <v>226980</v>
      </c>
      <c r="O55" s="282">
        <v>23888</v>
      </c>
      <c r="P55" s="281">
        <v>0</v>
      </c>
      <c r="Q55" s="281">
        <v>8379</v>
      </c>
      <c r="R55" s="281"/>
      <c r="S55" s="281"/>
      <c r="T55" s="281"/>
      <c r="U55" s="281"/>
      <c r="V55" s="281"/>
      <c r="W55" s="281">
        <v>0</v>
      </c>
      <c r="X55" s="282">
        <v>551495</v>
      </c>
      <c r="Y55" s="281">
        <v>750466</v>
      </c>
      <c r="Z55" s="283">
        <v>296584</v>
      </c>
      <c r="AA55" s="284">
        <v>453882</v>
      </c>
      <c r="AB55" s="284">
        <v>2541920</v>
      </c>
      <c r="AC55" s="575"/>
      <c r="AD55" s="304">
        <v>97157</v>
      </c>
      <c r="AE55" s="281">
        <v>0</v>
      </c>
      <c r="AF55" s="281">
        <v>0</v>
      </c>
      <c r="AG55" s="281">
        <v>0</v>
      </c>
      <c r="AH55" s="281">
        <v>0</v>
      </c>
      <c r="AI55" s="281"/>
      <c r="AJ55" s="281"/>
      <c r="AK55" s="56"/>
      <c r="AL55" s="56"/>
      <c r="AM55" s="56"/>
      <c r="AN55" s="56"/>
    </row>
    <row r="56" spans="1:40" x14ac:dyDescent="0.2">
      <c r="A56" s="280">
        <v>43282</v>
      </c>
      <c r="B56" s="282">
        <v>9163876</v>
      </c>
      <c r="C56" s="282">
        <v>3596301</v>
      </c>
      <c r="D56" s="282">
        <v>269714</v>
      </c>
      <c r="E56" s="282">
        <v>448922</v>
      </c>
      <c r="F56" s="281">
        <v>0</v>
      </c>
      <c r="G56" s="281">
        <v>0</v>
      </c>
      <c r="H56" s="281">
        <v>0</v>
      </c>
      <c r="I56" s="282">
        <v>2556472</v>
      </c>
      <c r="J56" s="282">
        <v>246603</v>
      </c>
      <c r="K56" s="282">
        <v>84978</v>
      </c>
      <c r="L56" s="282">
        <v>217407</v>
      </c>
      <c r="M56" s="281">
        <v>0</v>
      </c>
      <c r="N56" s="282">
        <v>246683</v>
      </c>
      <c r="O56" s="282">
        <v>37883</v>
      </c>
      <c r="P56" s="281">
        <v>0</v>
      </c>
      <c r="Q56" s="281">
        <v>12527</v>
      </c>
      <c r="R56" s="281"/>
      <c r="S56" s="281"/>
      <c r="T56" s="281"/>
      <c r="U56" s="281"/>
      <c r="V56" s="281"/>
      <c r="W56" s="281">
        <v>0</v>
      </c>
      <c r="X56" s="282">
        <v>638211</v>
      </c>
      <c r="Y56" s="281">
        <v>808175</v>
      </c>
      <c r="Z56" s="283">
        <v>301748</v>
      </c>
      <c r="AA56" s="284">
        <v>506427</v>
      </c>
      <c r="AB56" s="284">
        <v>2803155</v>
      </c>
      <c r="AC56" s="575"/>
      <c r="AD56" s="304">
        <v>70578</v>
      </c>
      <c r="AE56" s="281">
        <v>0</v>
      </c>
      <c r="AF56" s="281">
        <v>0</v>
      </c>
      <c r="AG56" s="281">
        <v>0</v>
      </c>
      <c r="AH56" s="281">
        <v>0</v>
      </c>
      <c r="AI56" s="281"/>
      <c r="AJ56" s="281"/>
      <c r="AK56" s="56"/>
      <c r="AL56" s="56"/>
      <c r="AM56" s="56"/>
      <c r="AN56" s="56"/>
    </row>
    <row r="57" spans="1:40" x14ac:dyDescent="0.2">
      <c r="A57" s="280">
        <v>43313</v>
      </c>
      <c r="B57" s="282">
        <v>9264802</v>
      </c>
      <c r="C57" s="282">
        <v>3681107</v>
      </c>
      <c r="D57" s="282">
        <v>221923</v>
      </c>
      <c r="E57" s="282">
        <v>513076</v>
      </c>
      <c r="F57" s="281">
        <v>0</v>
      </c>
      <c r="G57" s="281">
        <v>0</v>
      </c>
      <c r="H57" s="281">
        <v>0</v>
      </c>
      <c r="I57" s="282">
        <v>2576284</v>
      </c>
      <c r="J57" s="282">
        <v>280930</v>
      </c>
      <c r="K57" s="282">
        <v>84295</v>
      </c>
      <c r="L57" s="282">
        <v>181347</v>
      </c>
      <c r="M57" s="281">
        <v>0</v>
      </c>
      <c r="N57" s="282">
        <v>248971</v>
      </c>
      <c r="O57" s="282">
        <v>36067</v>
      </c>
      <c r="P57" s="281">
        <v>0</v>
      </c>
      <c r="Q57" s="281">
        <v>8409</v>
      </c>
      <c r="R57" s="281"/>
      <c r="S57" s="281"/>
      <c r="T57" s="281"/>
      <c r="U57" s="281"/>
      <c r="V57" s="281"/>
      <c r="W57" s="281">
        <v>0</v>
      </c>
      <c r="X57" s="282">
        <v>612321</v>
      </c>
      <c r="Y57" s="281">
        <v>820072</v>
      </c>
      <c r="Z57" s="283">
        <v>314766</v>
      </c>
      <c r="AA57" s="284">
        <v>505306</v>
      </c>
      <c r="AB57" s="284">
        <v>2825255</v>
      </c>
      <c r="AC57" s="575"/>
      <c r="AD57" s="304">
        <v>85341</v>
      </c>
      <c r="AE57" s="281">
        <v>0</v>
      </c>
      <c r="AF57" s="281">
        <v>0</v>
      </c>
      <c r="AG57" s="281">
        <v>0</v>
      </c>
      <c r="AH57" s="281">
        <v>0</v>
      </c>
      <c r="AI57" s="281"/>
      <c r="AJ57" s="281"/>
      <c r="AK57" s="56"/>
      <c r="AL57" s="56"/>
      <c r="AM57" s="56"/>
      <c r="AN57" s="56"/>
    </row>
    <row r="58" spans="1:40" x14ac:dyDescent="0.2">
      <c r="A58" s="280">
        <v>43344</v>
      </c>
      <c r="B58" s="282">
        <v>8549475</v>
      </c>
      <c r="C58" s="282">
        <v>3388624</v>
      </c>
      <c r="D58" s="282">
        <v>222460</v>
      </c>
      <c r="E58" s="282">
        <v>448695</v>
      </c>
      <c r="F58" s="281">
        <v>0</v>
      </c>
      <c r="G58" s="281">
        <v>0</v>
      </c>
      <c r="H58" s="281">
        <v>0</v>
      </c>
      <c r="I58" s="282">
        <v>2177118</v>
      </c>
      <c r="J58" s="282">
        <v>269617</v>
      </c>
      <c r="K58" s="282">
        <v>68024</v>
      </c>
      <c r="L58" s="282">
        <v>147015</v>
      </c>
      <c r="M58" s="281">
        <v>0</v>
      </c>
      <c r="N58" s="282">
        <v>204451</v>
      </c>
      <c r="O58" s="282">
        <v>23465</v>
      </c>
      <c r="P58" s="281">
        <v>0</v>
      </c>
      <c r="Q58" s="281">
        <v>16958</v>
      </c>
      <c r="R58" s="281"/>
      <c r="S58" s="281"/>
      <c r="T58" s="281"/>
      <c r="U58" s="281"/>
      <c r="V58" s="281"/>
      <c r="W58" s="281">
        <v>0</v>
      </c>
      <c r="X58" s="282">
        <v>804200</v>
      </c>
      <c r="Y58" s="281">
        <v>778848</v>
      </c>
      <c r="Z58" s="283">
        <v>322443</v>
      </c>
      <c r="AA58" s="284">
        <v>456405</v>
      </c>
      <c r="AB58" s="284">
        <v>2381569</v>
      </c>
      <c r="AC58" s="575"/>
      <c r="AD58" s="304">
        <v>97245</v>
      </c>
      <c r="AE58" s="281">
        <v>0</v>
      </c>
      <c r="AF58" s="281">
        <v>0</v>
      </c>
      <c r="AG58" s="281">
        <v>0</v>
      </c>
      <c r="AH58" s="281">
        <v>0</v>
      </c>
      <c r="AI58" s="281"/>
      <c r="AJ58" s="281"/>
      <c r="AK58" s="56"/>
      <c r="AL58" s="56"/>
      <c r="AM58" s="56"/>
      <c r="AN58" s="56"/>
    </row>
    <row r="59" spans="1:40" x14ac:dyDescent="0.2">
      <c r="A59" s="285">
        <v>43374</v>
      </c>
      <c r="B59" s="282">
        <v>8134959</v>
      </c>
      <c r="C59" s="282">
        <v>3908089</v>
      </c>
      <c r="D59" s="282">
        <v>246334</v>
      </c>
      <c r="E59" s="282">
        <v>488440</v>
      </c>
      <c r="F59" s="281">
        <v>0</v>
      </c>
      <c r="G59" s="281">
        <v>0</v>
      </c>
      <c r="H59" s="281">
        <v>0</v>
      </c>
      <c r="I59" s="282">
        <v>1485329</v>
      </c>
      <c r="J59" s="282">
        <v>305093</v>
      </c>
      <c r="K59" s="282">
        <v>67677</v>
      </c>
      <c r="L59" s="282">
        <v>138871</v>
      </c>
      <c r="M59" s="281">
        <v>0</v>
      </c>
      <c r="N59" s="282">
        <v>167478</v>
      </c>
      <c r="O59" s="282">
        <v>22031</v>
      </c>
      <c r="P59" s="281">
        <v>0</v>
      </c>
      <c r="Q59" s="281">
        <v>85312</v>
      </c>
      <c r="R59" s="281"/>
      <c r="S59" s="281"/>
      <c r="T59" s="281"/>
      <c r="U59" s="281"/>
      <c r="V59" s="281"/>
      <c r="W59" s="281">
        <v>0</v>
      </c>
      <c r="X59" s="282">
        <v>584651</v>
      </c>
      <c r="Y59" s="282">
        <v>635654</v>
      </c>
      <c r="Z59" s="286">
        <v>351483</v>
      </c>
      <c r="AA59" s="287">
        <v>284171</v>
      </c>
      <c r="AB59" s="287">
        <v>1652807</v>
      </c>
      <c r="AC59" s="576"/>
      <c r="AD59" s="304">
        <v>112463</v>
      </c>
      <c r="AE59" s="281">
        <v>0</v>
      </c>
      <c r="AF59" s="281">
        <v>0</v>
      </c>
      <c r="AG59" s="281">
        <v>0</v>
      </c>
      <c r="AH59" s="281">
        <v>0</v>
      </c>
      <c r="AI59" s="281"/>
      <c r="AJ59" s="281"/>
      <c r="AK59" s="56"/>
      <c r="AL59" s="56"/>
      <c r="AM59" s="56"/>
      <c r="AN59" s="56"/>
    </row>
    <row r="60" spans="1:40" x14ac:dyDescent="0.2">
      <c r="A60" s="280">
        <v>43405</v>
      </c>
      <c r="B60" s="282">
        <v>7301374</v>
      </c>
      <c r="C60" s="282">
        <v>3828466</v>
      </c>
      <c r="D60" s="281">
        <v>218939</v>
      </c>
      <c r="E60" s="281">
        <v>407239</v>
      </c>
      <c r="F60" s="281">
        <v>0</v>
      </c>
      <c r="G60" s="281">
        <v>0</v>
      </c>
      <c r="H60" s="281">
        <v>0</v>
      </c>
      <c r="I60" s="281">
        <v>1134112</v>
      </c>
      <c r="J60" s="281">
        <v>287286</v>
      </c>
      <c r="K60" s="281">
        <v>57308</v>
      </c>
      <c r="L60" s="281">
        <v>113093</v>
      </c>
      <c r="M60" s="281">
        <v>0</v>
      </c>
      <c r="N60" s="281">
        <v>126558</v>
      </c>
      <c r="O60" s="282">
        <v>26144</v>
      </c>
      <c r="P60" s="281">
        <v>0</v>
      </c>
      <c r="Q60" s="281">
        <v>62066</v>
      </c>
      <c r="R60" s="281"/>
      <c r="S60" s="281"/>
      <c r="T60" s="281"/>
      <c r="U60" s="281"/>
      <c r="V60" s="281"/>
      <c r="W60" s="281">
        <v>0</v>
      </c>
      <c r="X60" s="282">
        <v>486495</v>
      </c>
      <c r="Y60" s="281">
        <v>553668</v>
      </c>
      <c r="Z60" s="283">
        <v>356420</v>
      </c>
      <c r="AA60" s="284">
        <v>197248</v>
      </c>
      <c r="AB60" s="284">
        <v>1260670</v>
      </c>
      <c r="AC60" s="575"/>
      <c r="AD60" s="304">
        <v>78899</v>
      </c>
      <c r="AE60" s="281">
        <v>0</v>
      </c>
      <c r="AF60" s="281">
        <v>0</v>
      </c>
      <c r="AG60" s="281">
        <v>0</v>
      </c>
      <c r="AH60" s="281">
        <v>0</v>
      </c>
      <c r="AI60" s="281"/>
      <c r="AJ60" s="281"/>
      <c r="AK60" s="56"/>
      <c r="AL60" s="56"/>
      <c r="AM60" s="56"/>
      <c r="AN60" s="56"/>
    </row>
    <row r="61" spans="1:40" x14ac:dyDescent="0.2">
      <c r="A61" s="280">
        <v>43435</v>
      </c>
      <c r="B61" s="282">
        <v>5745762</v>
      </c>
      <c r="C61" s="282">
        <v>3003100</v>
      </c>
      <c r="D61" s="281">
        <v>208027</v>
      </c>
      <c r="E61" s="281">
        <v>405643</v>
      </c>
      <c r="F61" s="281">
        <v>0</v>
      </c>
      <c r="G61" s="281">
        <v>0</v>
      </c>
      <c r="H61" s="281">
        <v>0</v>
      </c>
      <c r="I61" s="281">
        <v>682534</v>
      </c>
      <c r="J61" s="281">
        <v>253715</v>
      </c>
      <c r="K61" s="281">
        <v>49747</v>
      </c>
      <c r="L61" s="281">
        <v>97643</v>
      </c>
      <c r="M61" s="281">
        <v>0</v>
      </c>
      <c r="N61" s="281">
        <v>75003</v>
      </c>
      <c r="O61" s="282">
        <v>14837</v>
      </c>
      <c r="P61" s="281">
        <v>0</v>
      </c>
      <c r="Q61" s="281">
        <v>56360</v>
      </c>
      <c r="R61" s="281"/>
      <c r="S61" s="281"/>
      <c r="T61" s="281"/>
      <c r="U61" s="281"/>
      <c r="V61" s="281"/>
      <c r="W61" s="281">
        <v>0</v>
      </c>
      <c r="X61" s="282">
        <v>416236</v>
      </c>
      <c r="Y61" s="281">
        <v>482917</v>
      </c>
      <c r="Z61" s="283">
        <v>321018</v>
      </c>
      <c r="AA61" s="284">
        <v>161899</v>
      </c>
      <c r="AB61" s="284">
        <v>757537</v>
      </c>
      <c r="AC61" s="575"/>
      <c r="AD61" s="304">
        <v>70771</v>
      </c>
      <c r="AE61" s="281">
        <v>0</v>
      </c>
      <c r="AF61" s="281">
        <v>0</v>
      </c>
      <c r="AG61" s="281">
        <v>0</v>
      </c>
      <c r="AH61" s="281">
        <v>0</v>
      </c>
      <c r="AI61" s="281"/>
      <c r="AJ61" s="281"/>
      <c r="AK61" s="56"/>
      <c r="AL61" s="56"/>
      <c r="AM61" s="56"/>
      <c r="AN61" s="56"/>
    </row>
    <row r="62" spans="1:40" x14ac:dyDescent="0.2">
      <c r="A62" s="269">
        <v>43466</v>
      </c>
      <c r="B62" s="271">
        <v>6248667</v>
      </c>
      <c r="C62" s="271">
        <v>3629709</v>
      </c>
      <c r="D62" s="270">
        <v>222775</v>
      </c>
      <c r="E62" s="270">
        <v>421202</v>
      </c>
      <c r="F62" s="270">
        <v>0</v>
      </c>
      <c r="G62" s="270">
        <v>0</v>
      </c>
      <c r="H62" s="270">
        <v>0</v>
      </c>
      <c r="I62" s="270">
        <v>484198</v>
      </c>
      <c r="J62" s="270">
        <v>263925</v>
      </c>
      <c r="K62" s="270">
        <v>55886</v>
      </c>
      <c r="L62" s="270">
        <v>105554</v>
      </c>
      <c r="M62" s="271">
        <v>0</v>
      </c>
      <c r="N62" s="270">
        <v>60895</v>
      </c>
      <c r="O62" s="271">
        <v>21572</v>
      </c>
      <c r="P62" s="271">
        <v>0</v>
      </c>
      <c r="Q62" s="271">
        <v>53837</v>
      </c>
      <c r="R62" s="271"/>
      <c r="S62" s="271"/>
      <c r="T62" s="271"/>
      <c r="U62" s="271"/>
      <c r="V62" s="271"/>
      <c r="W62" s="271">
        <v>0</v>
      </c>
      <c r="X62" s="271">
        <v>341945</v>
      </c>
      <c r="Y62" s="270">
        <v>587169</v>
      </c>
      <c r="Z62" s="272">
        <v>326358</v>
      </c>
      <c r="AA62" s="273">
        <v>260811</v>
      </c>
      <c r="AB62" s="273">
        <v>545093</v>
      </c>
      <c r="AC62" s="575"/>
      <c r="AD62" s="305">
        <v>51400</v>
      </c>
      <c r="AE62" s="270">
        <v>0</v>
      </c>
      <c r="AF62" s="270">
        <v>0</v>
      </c>
      <c r="AG62" s="270">
        <v>0</v>
      </c>
      <c r="AH62" s="270">
        <v>0</v>
      </c>
      <c r="AI62" s="270"/>
      <c r="AJ62" s="270"/>
      <c r="AK62" s="56"/>
      <c r="AL62" s="56"/>
      <c r="AM62" s="56"/>
      <c r="AN62" s="56"/>
    </row>
    <row r="63" spans="1:40" x14ac:dyDescent="0.2">
      <c r="A63" s="269">
        <v>43497</v>
      </c>
      <c r="B63" s="271">
        <v>5832769</v>
      </c>
      <c r="C63" s="271">
        <v>3264996</v>
      </c>
      <c r="D63" s="270">
        <v>209124</v>
      </c>
      <c r="E63" s="270">
        <v>395384</v>
      </c>
      <c r="F63" s="270">
        <v>0</v>
      </c>
      <c r="G63" s="270">
        <v>0</v>
      </c>
      <c r="H63" s="270">
        <v>0</v>
      </c>
      <c r="I63" s="270">
        <v>597453</v>
      </c>
      <c r="J63" s="270">
        <v>254927</v>
      </c>
      <c r="K63" s="270">
        <v>43422</v>
      </c>
      <c r="L63" s="270">
        <v>87204</v>
      </c>
      <c r="M63" s="271">
        <v>0</v>
      </c>
      <c r="N63" s="270">
        <v>60345</v>
      </c>
      <c r="O63" s="271">
        <v>16313</v>
      </c>
      <c r="P63" s="271">
        <v>0</v>
      </c>
      <c r="Q63" s="271">
        <v>50658</v>
      </c>
      <c r="R63" s="271"/>
      <c r="S63" s="271"/>
      <c r="T63" s="271"/>
      <c r="U63" s="271"/>
      <c r="V63" s="271"/>
      <c r="W63" s="271">
        <v>0</v>
      </c>
      <c r="X63" s="271">
        <v>363265</v>
      </c>
      <c r="Y63" s="270">
        <v>489678</v>
      </c>
      <c r="Z63" s="272">
        <v>301948</v>
      </c>
      <c r="AA63" s="273">
        <v>187730</v>
      </c>
      <c r="AB63" s="273">
        <v>657798</v>
      </c>
      <c r="AC63" s="575"/>
      <c r="AD63" s="305">
        <v>68403</v>
      </c>
      <c r="AE63" s="270">
        <v>0</v>
      </c>
      <c r="AF63" s="270">
        <v>0</v>
      </c>
      <c r="AG63" s="270">
        <v>0</v>
      </c>
      <c r="AH63" s="270">
        <v>0</v>
      </c>
      <c r="AI63" s="270"/>
      <c r="AJ63" s="270"/>
      <c r="AK63" s="56"/>
      <c r="AL63" s="56"/>
      <c r="AM63" s="56"/>
      <c r="AN63" s="56"/>
    </row>
    <row r="64" spans="1:40" x14ac:dyDescent="0.2">
      <c r="A64" s="269">
        <v>43525</v>
      </c>
      <c r="B64" s="271">
        <v>6331150</v>
      </c>
      <c r="C64" s="271">
        <v>3345129</v>
      </c>
      <c r="D64" s="270">
        <v>207872</v>
      </c>
      <c r="E64" s="270">
        <v>391830</v>
      </c>
      <c r="F64" s="270">
        <v>0</v>
      </c>
      <c r="G64" s="270">
        <v>0</v>
      </c>
      <c r="H64" s="270">
        <v>0</v>
      </c>
      <c r="I64" s="270">
        <v>793174</v>
      </c>
      <c r="J64" s="270">
        <v>242810</v>
      </c>
      <c r="K64" s="270">
        <v>51330</v>
      </c>
      <c r="L64" s="270">
        <v>107277</v>
      </c>
      <c r="M64" s="271">
        <v>0</v>
      </c>
      <c r="N64" s="271">
        <v>90434</v>
      </c>
      <c r="O64" s="271">
        <v>27877</v>
      </c>
      <c r="P64" s="271">
        <v>0</v>
      </c>
      <c r="Q64" s="271">
        <v>51807</v>
      </c>
      <c r="R64" s="271"/>
      <c r="S64" s="271"/>
      <c r="T64" s="271"/>
      <c r="U64" s="271"/>
      <c r="V64" s="271"/>
      <c r="W64" s="271">
        <v>0</v>
      </c>
      <c r="X64" s="271">
        <v>479638</v>
      </c>
      <c r="Y64" s="270">
        <v>541972</v>
      </c>
      <c r="Z64" s="272">
        <v>329756</v>
      </c>
      <c r="AA64" s="273">
        <v>212216</v>
      </c>
      <c r="AB64" s="273">
        <v>883608</v>
      </c>
      <c r="AC64" s="575"/>
      <c r="AD64" s="305">
        <v>70519</v>
      </c>
      <c r="AE64" s="270">
        <v>0</v>
      </c>
      <c r="AF64" s="270">
        <v>0</v>
      </c>
      <c r="AG64" s="270">
        <v>0</v>
      </c>
      <c r="AH64" s="270">
        <v>0</v>
      </c>
      <c r="AI64" s="270"/>
      <c r="AJ64" s="270"/>
      <c r="AK64" s="56"/>
      <c r="AL64" s="56"/>
      <c r="AM64" s="56"/>
      <c r="AN64" s="56"/>
    </row>
    <row r="65" spans="1:40" x14ac:dyDescent="0.2">
      <c r="A65" s="269">
        <v>43556</v>
      </c>
      <c r="B65" s="271">
        <v>7724333</v>
      </c>
      <c r="C65" s="271">
        <v>3897277</v>
      </c>
      <c r="D65" s="270">
        <v>239709</v>
      </c>
      <c r="E65" s="270">
        <v>416769</v>
      </c>
      <c r="F65" s="270">
        <v>0</v>
      </c>
      <c r="G65" s="270">
        <v>0</v>
      </c>
      <c r="H65" s="270">
        <v>0</v>
      </c>
      <c r="I65" s="270">
        <v>1267906</v>
      </c>
      <c r="J65" s="270">
        <v>261684</v>
      </c>
      <c r="K65" s="270">
        <v>54547</v>
      </c>
      <c r="L65" s="270">
        <v>131475</v>
      </c>
      <c r="M65" s="271">
        <v>0</v>
      </c>
      <c r="N65" s="270">
        <v>128377</v>
      </c>
      <c r="O65" s="270">
        <v>50411</v>
      </c>
      <c r="P65" s="271">
        <v>0</v>
      </c>
      <c r="Q65" s="270">
        <v>74731</v>
      </c>
      <c r="R65" s="270"/>
      <c r="S65" s="270"/>
      <c r="T65" s="270"/>
      <c r="U65" s="270"/>
      <c r="V65" s="270"/>
      <c r="W65" s="271">
        <v>0</v>
      </c>
      <c r="X65" s="271">
        <v>545039</v>
      </c>
      <c r="Y65" s="270">
        <v>656408</v>
      </c>
      <c r="Z65" s="272">
        <v>354868</v>
      </c>
      <c r="AA65" s="273">
        <v>301540</v>
      </c>
      <c r="AB65" s="273">
        <v>1396283</v>
      </c>
      <c r="AC65" s="575"/>
      <c r="AD65" s="305">
        <v>91375</v>
      </c>
      <c r="AE65" s="270">
        <v>0</v>
      </c>
      <c r="AF65" s="270">
        <v>0</v>
      </c>
      <c r="AG65" s="270">
        <v>0</v>
      </c>
      <c r="AH65" s="270">
        <v>0</v>
      </c>
      <c r="AI65" s="270"/>
      <c r="AJ65" s="270"/>
      <c r="AK65" s="56"/>
      <c r="AL65" s="56"/>
      <c r="AM65" s="56"/>
      <c r="AN65" s="56"/>
    </row>
    <row r="66" spans="1:40" x14ac:dyDescent="0.2">
      <c r="A66" s="269">
        <v>43586</v>
      </c>
      <c r="B66" s="271">
        <v>7840497</v>
      </c>
      <c r="C66" s="271">
        <v>3553410</v>
      </c>
      <c r="D66" s="270">
        <v>223486</v>
      </c>
      <c r="E66" s="270">
        <v>408004</v>
      </c>
      <c r="F66" s="270">
        <v>0</v>
      </c>
      <c r="G66" s="270">
        <v>0</v>
      </c>
      <c r="H66" s="270">
        <v>0</v>
      </c>
      <c r="I66" s="270">
        <v>1567740</v>
      </c>
      <c r="J66" s="270">
        <v>252730</v>
      </c>
      <c r="K66" s="270">
        <v>60316</v>
      </c>
      <c r="L66" s="270">
        <v>146843</v>
      </c>
      <c r="M66" s="271">
        <v>0</v>
      </c>
      <c r="N66" s="270">
        <v>168006</v>
      </c>
      <c r="O66" s="270">
        <v>48567</v>
      </c>
      <c r="P66" s="271">
        <v>0</v>
      </c>
      <c r="Q66" s="270">
        <v>75552</v>
      </c>
      <c r="R66" s="270"/>
      <c r="S66" s="270"/>
      <c r="T66" s="270"/>
      <c r="U66" s="270"/>
      <c r="V66" s="270"/>
      <c r="W66" s="271">
        <v>0</v>
      </c>
      <c r="X66" s="271">
        <v>650564</v>
      </c>
      <c r="Y66" s="270">
        <v>685279</v>
      </c>
      <c r="Z66" s="272">
        <v>332260</v>
      </c>
      <c r="AA66" s="273">
        <v>353019</v>
      </c>
      <c r="AB66" s="273">
        <v>1735746</v>
      </c>
      <c r="AC66" s="575"/>
      <c r="AD66" s="305">
        <v>102963</v>
      </c>
      <c r="AE66" s="270">
        <v>0</v>
      </c>
      <c r="AF66" s="270">
        <v>0</v>
      </c>
      <c r="AG66" s="270">
        <v>0</v>
      </c>
      <c r="AH66" s="270">
        <v>0</v>
      </c>
      <c r="AI66" s="270"/>
      <c r="AJ66" s="270"/>
      <c r="AK66" s="56"/>
      <c r="AL66" s="56"/>
      <c r="AM66" s="56"/>
      <c r="AN66" s="56"/>
    </row>
    <row r="67" spans="1:40" x14ac:dyDescent="0.2">
      <c r="A67" s="269">
        <v>43617</v>
      </c>
      <c r="B67" s="271">
        <v>8048430</v>
      </c>
      <c r="C67" s="271">
        <v>3274264</v>
      </c>
      <c r="D67" s="270">
        <v>215214</v>
      </c>
      <c r="E67" s="270">
        <v>385131</v>
      </c>
      <c r="F67" s="270">
        <v>0</v>
      </c>
      <c r="G67" s="270">
        <v>0</v>
      </c>
      <c r="H67" s="270">
        <v>0</v>
      </c>
      <c r="I67" s="270">
        <v>2054826</v>
      </c>
      <c r="J67" s="270">
        <v>226595</v>
      </c>
      <c r="K67" s="270">
        <v>65999</v>
      </c>
      <c r="L67" s="270">
        <v>175675</v>
      </c>
      <c r="M67" s="271">
        <v>0</v>
      </c>
      <c r="N67" s="270">
        <v>204845</v>
      </c>
      <c r="O67" s="270">
        <v>60310</v>
      </c>
      <c r="P67" s="271">
        <v>0</v>
      </c>
      <c r="Q67" s="270">
        <v>75530</v>
      </c>
      <c r="R67" s="270"/>
      <c r="S67" s="270"/>
      <c r="T67" s="270"/>
      <c r="U67" s="270"/>
      <c r="V67" s="270"/>
      <c r="W67" s="271">
        <v>0</v>
      </c>
      <c r="X67" s="271">
        <v>554926</v>
      </c>
      <c r="Y67" s="270">
        <v>755115</v>
      </c>
      <c r="Z67" s="272">
        <v>242424</v>
      </c>
      <c r="AA67" s="273">
        <v>512691</v>
      </c>
      <c r="AB67" s="273">
        <v>2259671</v>
      </c>
      <c r="AC67" s="575"/>
      <c r="AD67" s="305">
        <v>90889</v>
      </c>
      <c r="AE67" s="270">
        <v>0</v>
      </c>
      <c r="AF67" s="270">
        <v>0</v>
      </c>
      <c r="AG67" s="270">
        <v>0</v>
      </c>
      <c r="AH67" s="270">
        <v>0</v>
      </c>
      <c r="AI67" s="270"/>
      <c r="AJ67" s="270"/>
      <c r="AK67" s="56"/>
      <c r="AL67" s="56"/>
      <c r="AM67" s="56"/>
      <c r="AN67" s="56"/>
    </row>
    <row r="68" spans="1:40" x14ac:dyDescent="0.2">
      <c r="A68" s="269">
        <v>43647</v>
      </c>
      <c r="B68" s="271">
        <v>9301477</v>
      </c>
      <c r="C68" s="271">
        <v>3802878</v>
      </c>
      <c r="D68" s="270">
        <v>252456</v>
      </c>
      <c r="E68" s="270">
        <v>452014</v>
      </c>
      <c r="F68" s="270">
        <v>0</v>
      </c>
      <c r="G68" s="270">
        <v>0</v>
      </c>
      <c r="H68" s="270">
        <v>0</v>
      </c>
      <c r="I68" s="270">
        <v>2356091</v>
      </c>
      <c r="J68" s="270">
        <v>265538</v>
      </c>
      <c r="K68" s="270">
        <v>83679</v>
      </c>
      <c r="L68" s="270">
        <v>215366</v>
      </c>
      <c r="M68" s="271">
        <v>0</v>
      </c>
      <c r="N68" s="270">
        <v>249610</v>
      </c>
      <c r="O68" s="270">
        <v>71160</v>
      </c>
      <c r="P68" s="271">
        <v>0</v>
      </c>
      <c r="Q68" s="270">
        <v>101005</v>
      </c>
      <c r="R68" s="270"/>
      <c r="S68" s="270"/>
      <c r="T68" s="270"/>
      <c r="U68" s="270"/>
      <c r="V68" s="270"/>
      <c r="W68" s="271">
        <v>0</v>
      </c>
      <c r="X68" s="271">
        <v>586193</v>
      </c>
      <c r="Y68" s="270">
        <v>865487</v>
      </c>
      <c r="Z68" s="272">
        <v>260859</v>
      </c>
      <c r="AA68" s="273">
        <v>604628</v>
      </c>
      <c r="AB68" s="273">
        <v>2605701</v>
      </c>
      <c r="AC68" s="575"/>
      <c r="AD68" s="305">
        <v>74995</v>
      </c>
      <c r="AE68" s="270">
        <v>0</v>
      </c>
      <c r="AF68" s="270">
        <v>0</v>
      </c>
      <c r="AG68" s="270">
        <v>0</v>
      </c>
      <c r="AH68" s="270">
        <v>0</v>
      </c>
      <c r="AI68" s="270"/>
      <c r="AJ68" s="270"/>
      <c r="AK68" s="56"/>
      <c r="AL68" s="56"/>
      <c r="AM68" s="56"/>
      <c r="AN68" s="56"/>
    </row>
    <row r="69" spans="1:40" x14ac:dyDescent="0.2">
      <c r="A69" s="269">
        <v>43678</v>
      </c>
      <c r="B69" s="271">
        <v>9116965</v>
      </c>
      <c r="C69" s="271">
        <v>3220290</v>
      </c>
      <c r="D69" s="270">
        <v>242645</v>
      </c>
      <c r="E69" s="270">
        <v>422221</v>
      </c>
      <c r="F69" s="270">
        <v>0</v>
      </c>
      <c r="G69" s="270">
        <v>424725</v>
      </c>
      <c r="H69" s="270">
        <v>0</v>
      </c>
      <c r="I69" s="270">
        <v>2390328</v>
      </c>
      <c r="J69" s="270">
        <v>252699</v>
      </c>
      <c r="K69" s="270">
        <v>74912</v>
      </c>
      <c r="L69" s="270">
        <v>170764</v>
      </c>
      <c r="M69" s="271">
        <v>0</v>
      </c>
      <c r="N69" s="270">
        <v>227597</v>
      </c>
      <c r="O69" s="270">
        <v>54203</v>
      </c>
      <c r="P69" s="271">
        <v>0</v>
      </c>
      <c r="Q69" s="270">
        <v>94217</v>
      </c>
      <c r="R69" s="270"/>
      <c r="S69" s="270"/>
      <c r="T69" s="270"/>
      <c r="U69" s="270"/>
      <c r="V69" s="270"/>
      <c r="W69" s="271">
        <v>0</v>
      </c>
      <c r="X69" s="271">
        <v>654976</v>
      </c>
      <c r="Y69" s="270">
        <v>887388</v>
      </c>
      <c r="Z69" s="272">
        <v>258945</v>
      </c>
      <c r="AA69" s="273">
        <v>628443</v>
      </c>
      <c r="AB69" s="273">
        <v>2617925</v>
      </c>
      <c r="AC69" s="575"/>
      <c r="AD69" s="305">
        <v>67653</v>
      </c>
      <c r="AE69" s="270">
        <v>0</v>
      </c>
      <c r="AF69" s="270">
        <v>0</v>
      </c>
      <c r="AG69" s="270">
        <v>0</v>
      </c>
      <c r="AH69" s="270">
        <v>0</v>
      </c>
      <c r="AI69" s="270"/>
      <c r="AJ69" s="270"/>
      <c r="AK69" s="56"/>
      <c r="AL69" s="56"/>
      <c r="AM69" s="56"/>
      <c r="AN69" s="56"/>
    </row>
    <row r="70" spans="1:40" x14ac:dyDescent="0.2">
      <c r="A70" s="269">
        <v>43709</v>
      </c>
      <c r="B70" s="271">
        <v>9462055</v>
      </c>
      <c r="C70" s="271">
        <v>3755080.2176897898</v>
      </c>
      <c r="D70" s="270">
        <v>230045</v>
      </c>
      <c r="E70" s="270">
        <v>402702</v>
      </c>
      <c r="F70" s="270">
        <v>0</v>
      </c>
      <c r="G70" s="270">
        <v>100551</v>
      </c>
      <c r="H70" s="270">
        <v>59436</v>
      </c>
      <c r="I70" s="270">
        <v>2310802.7823102097</v>
      </c>
      <c r="J70" s="270">
        <v>249415</v>
      </c>
      <c r="K70" s="270">
        <v>75384</v>
      </c>
      <c r="L70" s="270">
        <v>160706</v>
      </c>
      <c r="M70" s="271">
        <v>0</v>
      </c>
      <c r="N70" s="270">
        <v>225882</v>
      </c>
      <c r="O70" s="270">
        <v>44385</v>
      </c>
      <c r="P70" s="271">
        <v>0</v>
      </c>
      <c r="Q70" s="270">
        <v>83764</v>
      </c>
      <c r="R70" s="270"/>
      <c r="S70" s="270"/>
      <c r="T70" s="270"/>
      <c r="U70" s="270"/>
      <c r="V70" s="270"/>
      <c r="W70" s="271">
        <v>0</v>
      </c>
      <c r="X70" s="271">
        <v>827293</v>
      </c>
      <c r="Y70" s="270">
        <v>936609</v>
      </c>
      <c r="Z70" s="272">
        <v>377836</v>
      </c>
      <c r="AA70" s="273">
        <v>558773</v>
      </c>
      <c r="AB70" s="273">
        <v>2536684.7823102097</v>
      </c>
      <c r="AC70" s="575"/>
      <c r="AD70" s="305">
        <v>115167</v>
      </c>
      <c r="AE70" s="270">
        <v>0</v>
      </c>
      <c r="AF70" s="270">
        <v>0</v>
      </c>
      <c r="AG70" s="270">
        <v>0</v>
      </c>
      <c r="AH70" s="270">
        <v>0</v>
      </c>
      <c r="AI70" s="270"/>
      <c r="AJ70" s="270"/>
      <c r="AK70" s="56"/>
      <c r="AL70" s="56"/>
      <c r="AM70" s="56"/>
      <c r="AN70" s="56"/>
    </row>
    <row r="71" spans="1:40" x14ac:dyDescent="0.2">
      <c r="A71" s="269">
        <v>43739</v>
      </c>
      <c r="B71" s="271">
        <v>8322078</v>
      </c>
      <c r="C71" s="271">
        <v>3512233.2047068635</v>
      </c>
      <c r="D71" s="271">
        <v>253825</v>
      </c>
      <c r="E71" s="271">
        <v>442513</v>
      </c>
      <c r="F71" s="270">
        <v>0</v>
      </c>
      <c r="G71" s="271">
        <v>113044</v>
      </c>
      <c r="H71" s="271">
        <v>55451</v>
      </c>
      <c r="I71" s="271">
        <v>1831017.7952931365</v>
      </c>
      <c r="J71" s="271">
        <v>275324</v>
      </c>
      <c r="K71" s="271">
        <v>63423</v>
      </c>
      <c r="L71" s="271">
        <v>128778</v>
      </c>
      <c r="M71" s="271">
        <v>0</v>
      </c>
      <c r="N71" s="271">
        <v>187955</v>
      </c>
      <c r="O71" s="271">
        <v>49676</v>
      </c>
      <c r="P71" s="271">
        <v>0</v>
      </c>
      <c r="Q71" s="271">
        <v>85459</v>
      </c>
      <c r="R71" s="271"/>
      <c r="S71" s="271"/>
      <c r="T71" s="271"/>
      <c r="U71" s="271"/>
      <c r="V71" s="271"/>
      <c r="W71" s="271">
        <v>0</v>
      </c>
      <c r="X71" s="271">
        <v>573373</v>
      </c>
      <c r="Y71" s="271">
        <v>750006</v>
      </c>
      <c r="Z71" s="272">
        <v>348709</v>
      </c>
      <c r="AA71" s="288">
        <v>401297</v>
      </c>
      <c r="AB71" s="288">
        <v>2018972.7952931365</v>
      </c>
      <c r="AC71" s="576"/>
      <c r="AD71" s="305">
        <v>144704</v>
      </c>
      <c r="AE71" s="270">
        <v>0</v>
      </c>
      <c r="AF71" s="270">
        <v>0</v>
      </c>
      <c r="AG71" s="270">
        <v>0</v>
      </c>
      <c r="AH71" s="270">
        <v>0</v>
      </c>
      <c r="AI71" s="270"/>
      <c r="AJ71" s="270"/>
      <c r="AK71" s="56"/>
      <c r="AL71" s="56"/>
      <c r="AM71" s="56"/>
      <c r="AN71" s="56"/>
    </row>
    <row r="72" spans="1:40" x14ac:dyDescent="0.2">
      <c r="A72" s="269">
        <v>43770</v>
      </c>
      <c r="B72" s="271">
        <v>6415073</v>
      </c>
      <c r="C72" s="271">
        <v>3281818.682502469</v>
      </c>
      <c r="D72" s="271">
        <v>216193</v>
      </c>
      <c r="E72" s="271">
        <v>367280</v>
      </c>
      <c r="F72" s="270">
        <v>0</v>
      </c>
      <c r="G72" s="271">
        <v>91082</v>
      </c>
      <c r="H72" s="271">
        <v>59722</v>
      </c>
      <c r="I72" s="271">
        <v>910263.31749753107</v>
      </c>
      <c r="J72" s="271">
        <v>218913</v>
      </c>
      <c r="K72" s="271">
        <v>48453</v>
      </c>
      <c r="L72" s="271">
        <v>98766</v>
      </c>
      <c r="M72" s="271">
        <v>0</v>
      </c>
      <c r="N72" s="271">
        <v>102398</v>
      </c>
      <c r="O72" s="271">
        <v>38563</v>
      </c>
      <c r="P72" s="271">
        <v>0</v>
      </c>
      <c r="Q72" s="271">
        <v>44065</v>
      </c>
      <c r="R72" s="271"/>
      <c r="S72" s="271"/>
      <c r="T72" s="271"/>
      <c r="U72" s="271"/>
      <c r="V72" s="271"/>
      <c r="W72" s="271">
        <v>0</v>
      </c>
      <c r="X72" s="271">
        <v>451117</v>
      </c>
      <c r="Y72" s="271">
        <v>486439</v>
      </c>
      <c r="Z72" s="272">
        <v>283909</v>
      </c>
      <c r="AA72" s="288">
        <v>202530</v>
      </c>
      <c r="AB72" s="288">
        <v>1012661.3174975311</v>
      </c>
      <c r="AC72" s="576"/>
      <c r="AD72" s="305">
        <v>82531</v>
      </c>
      <c r="AE72" s="270">
        <v>0</v>
      </c>
      <c r="AF72" s="270">
        <v>0</v>
      </c>
      <c r="AG72" s="270">
        <v>0</v>
      </c>
      <c r="AH72" s="270">
        <v>0</v>
      </c>
      <c r="AI72" s="270"/>
      <c r="AJ72" s="270"/>
      <c r="AK72" s="56"/>
      <c r="AL72" s="56"/>
      <c r="AM72" s="56"/>
      <c r="AN72" s="56"/>
    </row>
    <row r="73" spans="1:40" x14ac:dyDescent="0.2">
      <c r="A73" s="269">
        <v>43800</v>
      </c>
      <c r="B73" s="271">
        <v>5899084</v>
      </c>
      <c r="C73" s="271">
        <v>3254720.8653302449</v>
      </c>
      <c r="D73" s="271">
        <v>229842</v>
      </c>
      <c r="E73" s="271">
        <v>390890</v>
      </c>
      <c r="F73" s="270">
        <v>0</v>
      </c>
      <c r="G73" s="271">
        <v>105592</v>
      </c>
      <c r="H73" s="271">
        <v>59707</v>
      </c>
      <c r="I73" s="271">
        <v>538670.13466975512</v>
      </c>
      <c r="J73" s="271">
        <v>232536</v>
      </c>
      <c r="K73" s="271">
        <v>46020</v>
      </c>
      <c r="L73" s="271">
        <v>77558</v>
      </c>
      <c r="M73" s="271">
        <v>0</v>
      </c>
      <c r="N73" s="271">
        <v>73091</v>
      </c>
      <c r="O73" s="271">
        <v>40146</v>
      </c>
      <c r="P73" s="271">
        <v>0</v>
      </c>
      <c r="Q73" s="271">
        <v>39890</v>
      </c>
      <c r="R73" s="271"/>
      <c r="S73" s="271"/>
      <c r="T73" s="271"/>
      <c r="U73" s="271"/>
      <c r="V73" s="271"/>
      <c r="W73" s="271">
        <v>0</v>
      </c>
      <c r="X73" s="271">
        <v>325231</v>
      </c>
      <c r="Y73" s="271">
        <v>485190</v>
      </c>
      <c r="Z73" s="272">
        <v>280873</v>
      </c>
      <c r="AA73" s="288">
        <v>204317</v>
      </c>
      <c r="AB73" s="288">
        <v>611761.13466975512</v>
      </c>
      <c r="AC73" s="576"/>
      <c r="AD73" s="305">
        <v>48121</v>
      </c>
      <c r="AE73" s="270">
        <v>0</v>
      </c>
      <c r="AF73" s="270">
        <v>0</v>
      </c>
      <c r="AG73" s="270">
        <v>0</v>
      </c>
      <c r="AH73" s="270">
        <v>0</v>
      </c>
      <c r="AI73" s="270"/>
      <c r="AJ73" s="270"/>
      <c r="AK73" s="56"/>
      <c r="AL73" s="56"/>
      <c r="AM73" s="56"/>
      <c r="AN73" s="56"/>
    </row>
    <row r="74" spans="1:40" x14ac:dyDescent="0.2">
      <c r="A74" s="264">
        <v>43831</v>
      </c>
      <c r="B74" s="266">
        <v>5768791</v>
      </c>
      <c r="C74" s="266">
        <v>3078548.9208848905</v>
      </c>
      <c r="D74" s="266">
        <v>236757</v>
      </c>
      <c r="E74" s="266">
        <v>414212</v>
      </c>
      <c r="F74" s="266">
        <v>0</v>
      </c>
      <c r="G74" s="266">
        <v>135848</v>
      </c>
      <c r="H74" s="266">
        <v>74925</v>
      </c>
      <c r="I74" s="266">
        <v>514211.0791151094</v>
      </c>
      <c r="J74" s="266">
        <v>258161</v>
      </c>
      <c r="K74" s="266">
        <v>45705</v>
      </c>
      <c r="L74" s="266">
        <v>85583</v>
      </c>
      <c r="M74" s="266">
        <v>0</v>
      </c>
      <c r="N74" s="266">
        <v>64772</v>
      </c>
      <c r="O74" s="266">
        <v>41213</v>
      </c>
      <c r="P74" s="266">
        <v>0</v>
      </c>
      <c r="Q74" s="266">
        <v>31253</v>
      </c>
      <c r="R74" s="266"/>
      <c r="S74" s="266"/>
      <c r="T74" s="266"/>
      <c r="U74" s="266"/>
      <c r="V74" s="266"/>
      <c r="W74" s="266">
        <v>0</v>
      </c>
      <c r="X74" s="266">
        <v>304301</v>
      </c>
      <c r="Y74" s="266">
        <v>483301</v>
      </c>
      <c r="Z74" s="267">
        <v>262219</v>
      </c>
      <c r="AA74" s="289">
        <v>221082</v>
      </c>
      <c r="AB74" s="289">
        <v>578983.0791151094</v>
      </c>
      <c r="AC74" s="576"/>
      <c r="AD74" s="306">
        <v>36605</v>
      </c>
      <c r="AE74" s="266">
        <v>0</v>
      </c>
      <c r="AF74" s="266">
        <v>0</v>
      </c>
      <c r="AG74" s="266">
        <v>0</v>
      </c>
      <c r="AH74" s="266">
        <v>0</v>
      </c>
      <c r="AI74" s="266"/>
      <c r="AJ74" s="266"/>
      <c r="AK74" s="56"/>
      <c r="AL74" s="56"/>
      <c r="AM74" s="56"/>
      <c r="AN74" s="56"/>
    </row>
    <row r="75" spans="1:40" x14ac:dyDescent="0.2">
      <c r="A75" s="264">
        <v>43862</v>
      </c>
      <c r="B75" s="266">
        <v>5023807</v>
      </c>
      <c r="C75" s="266">
        <v>2865741.7614958114</v>
      </c>
      <c r="D75" s="266">
        <v>157931</v>
      </c>
      <c r="E75" s="266">
        <v>298508</v>
      </c>
      <c r="F75" s="266">
        <v>0</v>
      </c>
      <c r="G75" s="266">
        <v>92910</v>
      </c>
      <c r="H75" s="266">
        <v>51118</v>
      </c>
      <c r="I75" s="266">
        <v>421075.23850418872</v>
      </c>
      <c r="J75" s="266">
        <v>164814</v>
      </c>
      <c r="K75" s="266">
        <v>38096</v>
      </c>
      <c r="L75" s="266">
        <v>58743</v>
      </c>
      <c r="M75" s="266">
        <v>0</v>
      </c>
      <c r="N75" s="266">
        <v>50512</v>
      </c>
      <c r="O75" s="266">
        <v>40527</v>
      </c>
      <c r="P75" s="266">
        <v>0</v>
      </c>
      <c r="Q75" s="266">
        <v>10207</v>
      </c>
      <c r="R75" s="266"/>
      <c r="S75" s="266"/>
      <c r="T75" s="266"/>
      <c r="U75" s="266"/>
      <c r="V75" s="266"/>
      <c r="W75" s="266">
        <v>0</v>
      </c>
      <c r="X75" s="266">
        <v>305392</v>
      </c>
      <c r="Y75" s="266">
        <v>468232</v>
      </c>
      <c r="Z75" s="267">
        <v>208348</v>
      </c>
      <c r="AA75" s="289">
        <v>259884</v>
      </c>
      <c r="AB75" s="289">
        <v>471587.23850418872</v>
      </c>
      <c r="AC75" s="576"/>
      <c r="AD75" s="306">
        <v>42917</v>
      </c>
      <c r="AE75" s="266">
        <v>0</v>
      </c>
      <c r="AF75" s="266">
        <v>0</v>
      </c>
      <c r="AG75" s="266">
        <v>0</v>
      </c>
      <c r="AH75" s="266">
        <v>0</v>
      </c>
      <c r="AI75" s="266"/>
      <c r="AJ75" s="266"/>
      <c r="AK75" s="56"/>
      <c r="AL75" s="56"/>
      <c r="AM75" s="56"/>
      <c r="AN75" s="56"/>
    </row>
    <row r="76" spans="1:40" x14ac:dyDescent="0.2">
      <c r="A76" s="264">
        <v>43891</v>
      </c>
      <c r="B76" s="266">
        <v>5824742</v>
      </c>
      <c r="C76" s="266">
        <v>3080473.757548288</v>
      </c>
      <c r="D76" s="266">
        <v>230277</v>
      </c>
      <c r="E76" s="266">
        <v>366209</v>
      </c>
      <c r="F76" s="266">
        <v>0</v>
      </c>
      <c r="G76" s="266">
        <v>127209</v>
      </c>
      <c r="H76" s="266">
        <v>78486</v>
      </c>
      <c r="I76" s="266">
        <v>672076.24245171191</v>
      </c>
      <c r="J76" s="266">
        <v>226846</v>
      </c>
      <c r="K76" s="266">
        <v>40647</v>
      </c>
      <c r="L76" s="266">
        <v>51768</v>
      </c>
      <c r="M76" s="266">
        <v>0</v>
      </c>
      <c r="N76" s="266">
        <v>62594</v>
      </c>
      <c r="O76" s="266">
        <v>53768</v>
      </c>
      <c r="P76" s="266">
        <v>0</v>
      </c>
      <c r="Q76" s="266">
        <v>26680</v>
      </c>
      <c r="R76" s="266"/>
      <c r="S76" s="266"/>
      <c r="T76" s="266"/>
      <c r="U76" s="266"/>
      <c r="V76" s="266"/>
      <c r="W76" s="266">
        <v>0</v>
      </c>
      <c r="X76" s="266">
        <v>309551</v>
      </c>
      <c r="Y76" s="266">
        <v>498157</v>
      </c>
      <c r="Z76" s="267">
        <v>261289</v>
      </c>
      <c r="AA76" s="289">
        <v>236868</v>
      </c>
      <c r="AB76" s="289">
        <v>734670.24245171191</v>
      </c>
      <c r="AC76" s="576"/>
      <c r="AD76" s="306">
        <v>36608</v>
      </c>
      <c r="AE76" s="266">
        <v>0</v>
      </c>
      <c r="AF76" s="266">
        <v>0</v>
      </c>
      <c r="AG76" s="266">
        <v>0</v>
      </c>
      <c r="AH76" s="266">
        <v>0</v>
      </c>
      <c r="AI76" s="266"/>
      <c r="AJ76" s="266"/>
      <c r="AK76" s="56"/>
      <c r="AL76" s="56"/>
      <c r="AM76" s="56"/>
      <c r="AN76" s="56"/>
    </row>
    <row r="77" spans="1:40" x14ac:dyDescent="0.2">
      <c r="A77" s="264">
        <v>43922</v>
      </c>
      <c r="B77" s="266">
        <v>5681721</v>
      </c>
      <c r="C77" s="266">
        <v>2963980.07</v>
      </c>
      <c r="D77" s="266">
        <v>186270</v>
      </c>
      <c r="E77" s="266">
        <v>350090</v>
      </c>
      <c r="F77" s="266">
        <v>0</v>
      </c>
      <c r="G77" s="266">
        <v>107135.8</v>
      </c>
      <c r="H77" s="266">
        <v>90793</v>
      </c>
      <c r="I77" s="266">
        <v>719292.13</v>
      </c>
      <c r="J77" s="266">
        <v>201132</v>
      </c>
      <c r="K77" s="266">
        <v>48025</v>
      </c>
      <c r="L77" s="266">
        <v>62887</v>
      </c>
      <c r="M77" s="266">
        <v>0</v>
      </c>
      <c r="N77" s="266">
        <v>78033</v>
      </c>
      <c r="O77" s="266">
        <v>36680</v>
      </c>
      <c r="P77" s="266">
        <v>0</v>
      </c>
      <c r="Q77" s="266">
        <v>33324</v>
      </c>
      <c r="R77" s="266"/>
      <c r="S77" s="266"/>
      <c r="T77" s="266"/>
      <c r="U77" s="266"/>
      <c r="V77" s="266"/>
      <c r="W77" s="266">
        <v>0</v>
      </c>
      <c r="X77" s="266">
        <v>327861</v>
      </c>
      <c r="Y77" s="266">
        <v>476218</v>
      </c>
      <c r="Z77" s="267">
        <v>231032</v>
      </c>
      <c r="AA77" s="289">
        <v>245186</v>
      </c>
      <c r="AB77" s="289">
        <v>797325.13</v>
      </c>
      <c r="AC77" s="576"/>
      <c r="AD77" s="306">
        <v>37869</v>
      </c>
      <c r="AE77" s="266">
        <v>0</v>
      </c>
      <c r="AF77" s="266">
        <v>0</v>
      </c>
      <c r="AG77" s="266">
        <v>0</v>
      </c>
      <c r="AH77" s="266">
        <v>0</v>
      </c>
      <c r="AI77" s="266"/>
      <c r="AJ77" s="266"/>
      <c r="AK77" s="56"/>
      <c r="AL77" s="56"/>
      <c r="AM77" s="56"/>
      <c r="AN77" s="56"/>
    </row>
    <row r="78" spans="1:40" x14ac:dyDescent="0.2">
      <c r="A78" s="264">
        <v>43952</v>
      </c>
      <c r="B78" s="266">
        <v>7583231</v>
      </c>
      <c r="C78" s="266">
        <v>3071782.2187033091</v>
      </c>
      <c r="D78" s="266">
        <v>208650</v>
      </c>
      <c r="E78" s="266">
        <v>384452</v>
      </c>
      <c r="F78" s="266">
        <v>0</v>
      </c>
      <c r="G78" s="266">
        <v>99522</v>
      </c>
      <c r="H78" s="266">
        <v>97251</v>
      </c>
      <c r="I78" s="266">
        <v>1805652.7812966905</v>
      </c>
      <c r="J78" s="266">
        <v>223924</v>
      </c>
      <c r="K78" s="266">
        <v>62443</v>
      </c>
      <c r="L78" s="266">
        <v>84897</v>
      </c>
      <c r="M78" s="266">
        <v>0</v>
      </c>
      <c r="N78" s="266">
        <v>186627</v>
      </c>
      <c r="O78" s="266">
        <v>63932</v>
      </c>
      <c r="P78" s="266">
        <v>0</v>
      </c>
      <c r="Q78" s="266">
        <v>76640</v>
      </c>
      <c r="R78" s="266"/>
      <c r="S78" s="266"/>
      <c r="T78" s="266"/>
      <c r="U78" s="266"/>
      <c r="V78" s="266"/>
      <c r="W78" s="266">
        <v>0</v>
      </c>
      <c r="X78" s="266">
        <v>490579</v>
      </c>
      <c r="Y78" s="266">
        <v>726879</v>
      </c>
      <c r="Z78" s="267">
        <v>260510</v>
      </c>
      <c r="AA78" s="289">
        <v>466369</v>
      </c>
      <c r="AB78" s="289">
        <v>1992279.7812966905</v>
      </c>
      <c r="AC78" s="576"/>
      <c r="AD78" s="306">
        <v>192030</v>
      </c>
      <c r="AE78" s="266">
        <v>0</v>
      </c>
      <c r="AF78" s="266">
        <v>0</v>
      </c>
      <c r="AG78" s="266">
        <v>0</v>
      </c>
      <c r="AH78" s="266">
        <v>0</v>
      </c>
      <c r="AI78" s="266"/>
      <c r="AJ78" s="266"/>
      <c r="AK78" s="56"/>
      <c r="AL78" s="56"/>
      <c r="AM78" s="56"/>
      <c r="AN78" s="56"/>
    </row>
    <row r="79" spans="1:40" x14ac:dyDescent="0.2">
      <c r="A79" s="264">
        <v>43983</v>
      </c>
      <c r="B79" s="266">
        <v>8954220</v>
      </c>
      <c r="C79" s="266">
        <v>3648771.1997098904</v>
      </c>
      <c r="D79" s="266">
        <v>228347</v>
      </c>
      <c r="E79" s="266">
        <v>396101</v>
      </c>
      <c r="F79" s="266">
        <v>0</v>
      </c>
      <c r="G79" s="266">
        <v>109687</v>
      </c>
      <c r="H79" s="266">
        <v>115327</v>
      </c>
      <c r="I79" s="266">
        <v>2206132.8002901101</v>
      </c>
      <c r="J79" s="266">
        <v>240416</v>
      </c>
      <c r="K79" s="266">
        <v>78338</v>
      </c>
      <c r="L79" s="266">
        <v>119344</v>
      </c>
      <c r="M79" s="266">
        <v>0</v>
      </c>
      <c r="N79" s="266">
        <v>225215</v>
      </c>
      <c r="O79" s="266">
        <v>67302</v>
      </c>
      <c r="P79" s="266">
        <v>0</v>
      </c>
      <c r="Q79" s="266">
        <v>93585</v>
      </c>
      <c r="R79" s="266"/>
      <c r="S79" s="266"/>
      <c r="T79" s="266"/>
      <c r="U79" s="266"/>
      <c r="V79" s="266"/>
      <c r="W79" s="266">
        <v>0</v>
      </c>
      <c r="X79" s="266">
        <v>456065</v>
      </c>
      <c r="Y79" s="266">
        <v>969589</v>
      </c>
      <c r="Z79" s="267">
        <v>291027</v>
      </c>
      <c r="AA79" s="289">
        <v>678562</v>
      </c>
      <c r="AB79" s="289">
        <v>2431347.8002901101</v>
      </c>
      <c r="AC79" s="576"/>
      <c r="AD79" s="306">
        <v>68497</v>
      </c>
      <c r="AE79" s="266">
        <v>0</v>
      </c>
      <c r="AF79" s="266">
        <v>0</v>
      </c>
      <c r="AG79" s="266">
        <v>0</v>
      </c>
      <c r="AH79" s="266">
        <v>0</v>
      </c>
      <c r="AI79" s="266"/>
      <c r="AJ79" s="266"/>
      <c r="AK79" s="56"/>
      <c r="AL79" s="56"/>
      <c r="AM79" s="56"/>
      <c r="AN79" s="56"/>
    </row>
    <row r="80" spans="1:40" x14ac:dyDescent="0.2">
      <c r="A80" s="264">
        <v>44013</v>
      </c>
      <c r="B80" s="266">
        <v>8833132</v>
      </c>
      <c r="C80" s="266">
        <v>3490262.4499999993</v>
      </c>
      <c r="D80" s="266">
        <v>228257</v>
      </c>
      <c r="E80" s="266">
        <v>404540</v>
      </c>
      <c r="F80" s="266">
        <v>0</v>
      </c>
      <c r="G80" s="266">
        <v>110641</v>
      </c>
      <c r="H80" s="266">
        <v>120796</v>
      </c>
      <c r="I80" s="266">
        <v>2154407.5500000003</v>
      </c>
      <c r="J80" s="266">
        <v>231715</v>
      </c>
      <c r="K80" s="266">
        <v>83182</v>
      </c>
      <c r="L80" s="266">
        <v>140263</v>
      </c>
      <c r="M80" s="266">
        <v>0</v>
      </c>
      <c r="N80" s="266">
        <v>242508</v>
      </c>
      <c r="O80" s="266">
        <v>88475</v>
      </c>
      <c r="P80" s="266">
        <v>0</v>
      </c>
      <c r="Q80" s="266">
        <v>47947</v>
      </c>
      <c r="R80" s="266"/>
      <c r="S80" s="266"/>
      <c r="T80" s="266"/>
      <c r="U80" s="266"/>
      <c r="V80" s="266"/>
      <c r="W80" s="266">
        <v>0</v>
      </c>
      <c r="X80" s="266">
        <v>464378</v>
      </c>
      <c r="Y80" s="266">
        <v>1025760</v>
      </c>
      <c r="Z80" s="267">
        <v>265659</v>
      </c>
      <c r="AA80" s="289">
        <v>760101</v>
      </c>
      <c r="AB80" s="289">
        <v>2396915.5500000003</v>
      </c>
      <c r="AC80" s="576"/>
      <c r="AD80" s="306">
        <v>62076</v>
      </c>
      <c r="AE80" s="266">
        <v>0</v>
      </c>
      <c r="AF80" s="266">
        <v>0</v>
      </c>
      <c r="AG80" s="266">
        <v>0</v>
      </c>
      <c r="AH80" s="266">
        <v>0</v>
      </c>
      <c r="AI80" s="266"/>
      <c r="AJ80" s="266"/>
      <c r="AK80" s="56"/>
      <c r="AL80" s="56"/>
      <c r="AM80" s="56"/>
      <c r="AN80" s="56"/>
    </row>
    <row r="81" spans="1:40" x14ac:dyDescent="0.2">
      <c r="A81" s="264">
        <v>44044</v>
      </c>
      <c r="B81" s="266">
        <v>7931452</v>
      </c>
      <c r="C81" s="266">
        <v>2706435.5334795807</v>
      </c>
      <c r="D81" s="266">
        <v>197866</v>
      </c>
      <c r="E81" s="266">
        <v>348726</v>
      </c>
      <c r="F81" s="266">
        <v>0</v>
      </c>
      <c r="G81" s="266">
        <v>107732</v>
      </c>
      <c r="H81" s="266">
        <v>136811</v>
      </c>
      <c r="I81" s="266">
        <v>2394486.4665204198</v>
      </c>
      <c r="J81" s="266">
        <v>200857</v>
      </c>
      <c r="K81" s="266">
        <v>76791</v>
      </c>
      <c r="L81" s="266">
        <v>121644</v>
      </c>
      <c r="M81" s="266">
        <v>0</v>
      </c>
      <c r="N81" s="266">
        <v>229261</v>
      </c>
      <c r="O81" s="266">
        <v>53605</v>
      </c>
      <c r="P81" s="266">
        <v>0</v>
      </c>
      <c r="Q81" s="266">
        <v>45846</v>
      </c>
      <c r="R81" s="266"/>
      <c r="S81" s="266"/>
      <c r="T81" s="266"/>
      <c r="U81" s="266"/>
      <c r="V81" s="266"/>
      <c r="W81" s="266">
        <v>0</v>
      </c>
      <c r="X81" s="266">
        <v>481052</v>
      </c>
      <c r="Y81" s="266">
        <v>830339</v>
      </c>
      <c r="Z81" s="267">
        <v>232096</v>
      </c>
      <c r="AA81" s="289">
        <v>598243</v>
      </c>
      <c r="AB81" s="289">
        <v>2623747.4665204198</v>
      </c>
      <c r="AC81" s="576"/>
      <c r="AD81" s="306">
        <v>70639</v>
      </c>
      <c r="AE81" s="266">
        <v>0</v>
      </c>
      <c r="AF81" s="266">
        <v>0</v>
      </c>
      <c r="AG81" s="266">
        <v>0</v>
      </c>
      <c r="AH81" s="266">
        <v>0</v>
      </c>
      <c r="AI81" s="266"/>
      <c r="AJ81" s="266"/>
      <c r="AK81" s="56"/>
      <c r="AL81" s="56"/>
      <c r="AM81" s="56"/>
      <c r="AN81" s="56"/>
    </row>
    <row r="82" spans="1:40" x14ac:dyDescent="0.2">
      <c r="A82" s="264">
        <v>44075</v>
      </c>
      <c r="B82" s="266">
        <v>9473248</v>
      </c>
      <c r="C82" s="266">
        <v>4067167.6021305993</v>
      </c>
      <c r="D82" s="266">
        <v>227234</v>
      </c>
      <c r="E82" s="266">
        <v>401301</v>
      </c>
      <c r="F82" s="266">
        <v>0</v>
      </c>
      <c r="G82" s="266">
        <v>105161</v>
      </c>
      <c r="H82" s="266">
        <v>145991</v>
      </c>
      <c r="I82" s="266">
        <v>2048304.3978694009</v>
      </c>
      <c r="J82" s="266">
        <v>250434</v>
      </c>
      <c r="K82" s="266">
        <v>74921</v>
      </c>
      <c r="L82" s="266">
        <v>130572</v>
      </c>
      <c r="M82" s="266">
        <v>0</v>
      </c>
      <c r="N82" s="266">
        <v>227888</v>
      </c>
      <c r="O82" s="266">
        <v>53030</v>
      </c>
      <c r="P82" s="266">
        <v>0</v>
      </c>
      <c r="Q82" s="266">
        <v>67681</v>
      </c>
      <c r="R82" s="266"/>
      <c r="S82" s="266"/>
      <c r="T82" s="266"/>
      <c r="U82" s="266"/>
      <c r="V82" s="266"/>
      <c r="W82" s="266">
        <v>290330</v>
      </c>
      <c r="X82" s="266">
        <v>456104</v>
      </c>
      <c r="Y82" s="266">
        <v>927129</v>
      </c>
      <c r="Z82" s="267">
        <v>303922</v>
      </c>
      <c r="AA82" s="289">
        <v>623207</v>
      </c>
      <c r="AB82" s="289">
        <v>2276192.3978694007</v>
      </c>
      <c r="AC82" s="576"/>
      <c r="AD82" s="306">
        <v>228211</v>
      </c>
      <c r="AE82" s="266">
        <v>0</v>
      </c>
      <c r="AF82" s="266">
        <v>0</v>
      </c>
      <c r="AG82" s="266">
        <v>0</v>
      </c>
      <c r="AH82" s="266">
        <v>0</v>
      </c>
      <c r="AI82" s="266"/>
      <c r="AJ82" s="266"/>
      <c r="AK82" s="56"/>
      <c r="AL82" s="56"/>
      <c r="AM82" s="56"/>
      <c r="AN82" s="56"/>
    </row>
    <row r="83" spans="1:40" x14ac:dyDescent="0.2">
      <c r="A83" s="264">
        <v>44105</v>
      </c>
      <c r="B83" s="266">
        <v>7236358</v>
      </c>
      <c r="C83" s="266">
        <v>3329580.0449933996</v>
      </c>
      <c r="D83" s="266">
        <v>211299</v>
      </c>
      <c r="E83" s="266">
        <v>373141</v>
      </c>
      <c r="F83" s="266">
        <v>0</v>
      </c>
      <c r="G83" s="266">
        <v>104277.6</v>
      </c>
      <c r="H83" s="266">
        <v>145355</v>
      </c>
      <c r="I83" s="266">
        <v>1335753.3550066003</v>
      </c>
      <c r="J83" s="266">
        <v>232357</v>
      </c>
      <c r="K83" s="266">
        <v>54482</v>
      </c>
      <c r="L83" s="266">
        <v>100678</v>
      </c>
      <c r="M83" s="266">
        <v>0</v>
      </c>
      <c r="N83" s="266">
        <v>152364</v>
      </c>
      <c r="O83" s="266">
        <v>47889</v>
      </c>
      <c r="P83" s="266">
        <v>0</v>
      </c>
      <c r="Q83" s="266">
        <v>59602</v>
      </c>
      <c r="R83" s="266"/>
      <c r="S83" s="266"/>
      <c r="T83" s="266"/>
      <c r="U83" s="266"/>
      <c r="V83" s="266"/>
      <c r="W83" s="266">
        <v>89769</v>
      </c>
      <c r="X83" s="266">
        <v>412147</v>
      </c>
      <c r="Y83" s="266">
        <v>587664</v>
      </c>
      <c r="Z83" s="267">
        <v>267278</v>
      </c>
      <c r="AA83" s="289">
        <v>320386</v>
      </c>
      <c r="AB83" s="289">
        <v>1488117.3550066003</v>
      </c>
      <c r="AC83" s="576"/>
      <c r="AD83" s="306">
        <v>90540</v>
      </c>
      <c r="AE83" s="266">
        <v>0</v>
      </c>
      <c r="AF83" s="266">
        <v>0</v>
      </c>
      <c r="AG83" s="266">
        <v>0</v>
      </c>
      <c r="AH83" s="266">
        <v>0</v>
      </c>
      <c r="AI83" s="266"/>
      <c r="AJ83" s="266"/>
      <c r="AK83" s="56"/>
      <c r="AL83" s="56"/>
      <c r="AM83" s="56"/>
      <c r="AN83" s="56"/>
    </row>
    <row r="84" spans="1:40" x14ac:dyDescent="0.2">
      <c r="A84" s="264">
        <v>44136</v>
      </c>
      <c r="B84" s="266">
        <v>6770208</v>
      </c>
      <c r="C84" s="266">
        <v>3423239.6140418001</v>
      </c>
      <c r="D84" s="266">
        <v>227410</v>
      </c>
      <c r="E84" s="266">
        <v>396796</v>
      </c>
      <c r="F84" s="266">
        <v>0</v>
      </c>
      <c r="G84" s="266">
        <v>108587</v>
      </c>
      <c r="H84" s="266">
        <v>177222</v>
      </c>
      <c r="I84" s="266">
        <v>915177.38595819974</v>
      </c>
      <c r="J84" s="266">
        <v>234747</v>
      </c>
      <c r="K84" s="266">
        <v>51126</v>
      </c>
      <c r="L84" s="266">
        <v>81285</v>
      </c>
      <c r="M84" s="266">
        <v>0</v>
      </c>
      <c r="N84" s="266">
        <v>98770</v>
      </c>
      <c r="O84" s="266">
        <v>37909</v>
      </c>
      <c r="P84" s="266">
        <v>0</v>
      </c>
      <c r="Q84" s="266">
        <v>53349</v>
      </c>
      <c r="R84" s="266"/>
      <c r="S84" s="266"/>
      <c r="T84" s="266"/>
      <c r="U84" s="266"/>
      <c r="V84" s="266"/>
      <c r="W84" s="266">
        <v>74036</v>
      </c>
      <c r="X84" s="266">
        <v>365102</v>
      </c>
      <c r="Y84" s="266">
        <v>525452</v>
      </c>
      <c r="Z84" s="267">
        <v>293224</v>
      </c>
      <c r="AA84" s="289">
        <v>232228</v>
      </c>
      <c r="AB84" s="289">
        <v>1013947.3859581997</v>
      </c>
      <c r="AC84" s="576"/>
      <c r="AD84" s="306">
        <v>68723</v>
      </c>
      <c r="AE84" s="266">
        <v>0</v>
      </c>
      <c r="AF84" s="266">
        <v>0</v>
      </c>
      <c r="AG84" s="266">
        <v>0</v>
      </c>
      <c r="AH84" s="266">
        <v>0</v>
      </c>
      <c r="AI84" s="266"/>
      <c r="AJ84" s="266"/>
      <c r="AK84" s="56"/>
      <c r="AL84" s="56"/>
      <c r="AM84" s="56"/>
      <c r="AN84" s="56"/>
    </row>
    <row r="85" spans="1:40" x14ac:dyDescent="0.2">
      <c r="A85" s="264">
        <v>44166</v>
      </c>
      <c r="B85" s="266">
        <v>5773520</v>
      </c>
      <c r="C85" s="266">
        <v>3075672.1964862002</v>
      </c>
      <c r="D85" s="266">
        <v>200695</v>
      </c>
      <c r="E85" s="266">
        <v>380382</v>
      </c>
      <c r="F85" s="266">
        <v>0</v>
      </c>
      <c r="G85" s="266">
        <v>97232</v>
      </c>
      <c r="H85" s="266">
        <v>152820</v>
      </c>
      <c r="I85" s="266">
        <v>506804.80351379991</v>
      </c>
      <c r="J85" s="266">
        <v>232272</v>
      </c>
      <c r="K85" s="266">
        <v>47403</v>
      </c>
      <c r="L85" s="266">
        <v>48764</v>
      </c>
      <c r="M85" s="266">
        <v>0</v>
      </c>
      <c r="N85" s="266">
        <v>50904</v>
      </c>
      <c r="O85" s="266">
        <v>62080</v>
      </c>
      <c r="P85" s="266">
        <v>0</v>
      </c>
      <c r="Q85" s="266">
        <v>34551</v>
      </c>
      <c r="R85" s="266"/>
      <c r="S85" s="266"/>
      <c r="T85" s="266"/>
      <c r="U85" s="266"/>
      <c r="V85" s="266"/>
      <c r="W85" s="266">
        <v>70802</v>
      </c>
      <c r="X85" s="266">
        <v>303654</v>
      </c>
      <c r="Y85" s="266">
        <v>509484</v>
      </c>
      <c r="Z85" s="267">
        <v>259382</v>
      </c>
      <c r="AA85" s="289">
        <v>250102</v>
      </c>
      <c r="AB85" s="289">
        <v>557708.80351379991</v>
      </c>
      <c r="AC85" s="576"/>
      <c r="AD85" s="306">
        <v>59377</v>
      </c>
      <c r="AE85" s="266">
        <v>0</v>
      </c>
      <c r="AF85" s="266">
        <v>0</v>
      </c>
      <c r="AG85" s="266">
        <v>0</v>
      </c>
      <c r="AH85" s="266">
        <v>0</v>
      </c>
      <c r="AI85" s="266"/>
      <c r="AJ85" s="266"/>
      <c r="AK85" s="56"/>
      <c r="AL85" s="56"/>
      <c r="AM85" s="56"/>
      <c r="AN85" s="56"/>
    </row>
    <row r="86" spans="1:40" x14ac:dyDescent="0.2">
      <c r="A86" s="290">
        <v>44197</v>
      </c>
      <c r="B86" s="291">
        <v>5701348</v>
      </c>
      <c r="C86" s="291">
        <v>3020329.7757377997</v>
      </c>
      <c r="D86" s="291">
        <v>206965</v>
      </c>
      <c r="E86" s="291">
        <v>382076</v>
      </c>
      <c r="F86" s="291">
        <v>0</v>
      </c>
      <c r="G86" s="291">
        <v>147415</v>
      </c>
      <c r="H86" s="291">
        <v>147739</v>
      </c>
      <c r="I86" s="291">
        <v>393066.2242622</v>
      </c>
      <c r="J86" s="291">
        <v>223334</v>
      </c>
      <c r="K86" s="291">
        <v>44857</v>
      </c>
      <c r="L86" s="291">
        <v>48817</v>
      </c>
      <c r="M86" s="291">
        <v>0</v>
      </c>
      <c r="N86" s="291">
        <v>47672</v>
      </c>
      <c r="O86" s="291">
        <v>30752</v>
      </c>
      <c r="P86" s="291">
        <v>0</v>
      </c>
      <c r="Q86" s="291">
        <v>16074</v>
      </c>
      <c r="R86" s="291"/>
      <c r="S86" s="291"/>
      <c r="T86" s="291"/>
      <c r="U86" s="291"/>
      <c r="V86" s="291"/>
      <c r="W86" s="291">
        <v>79942</v>
      </c>
      <c r="X86" s="291">
        <v>325594</v>
      </c>
      <c r="Y86" s="291">
        <v>586715</v>
      </c>
      <c r="Z86" s="292">
        <v>249052</v>
      </c>
      <c r="AA86" s="293">
        <v>337663</v>
      </c>
      <c r="AB86" s="293">
        <v>440738.2242622</v>
      </c>
      <c r="AC86" s="576"/>
      <c r="AD86" s="307">
        <v>62522</v>
      </c>
      <c r="AE86" s="291">
        <v>0</v>
      </c>
      <c r="AF86" s="291">
        <v>0</v>
      </c>
      <c r="AG86" s="291">
        <v>0</v>
      </c>
      <c r="AH86" s="291">
        <v>0</v>
      </c>
      <c r="AI86" s="291"/>
      <c r="AJ86" s="291"/>
      <c r="AK86" s="56"/>
      <c r="AL86" s="56"/>
      <c r="AM86" s="56"/>
      <c r="AN86" s="56"/>
    </row>
    <row r="87" spans="1:40" x14ac:dyDescent="0.2">
      <c r="A87" s="290">
        <v>44228</v>
      </c>
      <c r="B87" s="291">
        <v>5426615</v>
      </c>
      <c r="C87" s="291">
        <v>2958403.0367956003</v>
      </c>
      <c r="D87" s="291">
        <v>170515</v>
      </c>
      <c r="E87" s="291">
        <v>321055</v>
      </c>
      <c r="F87" s="291">
        <v>0</v>
      </c>
      <c r="G87" s="291">
        <v>102737</v>
      </c>
      <c r="H87" s="291">
        <v>161735</v>
      </c>
      <c r="I87" s="291">
        <v>528780.96320439992</v>
      </c>
      <c r="J87" s="291">
        <v>197886</v>
      </c>
      <c r="K87" s="291">
        <v>40970</v>
      </c>
      <c r="L87" s="291">
        <v>42444</v>
      </c>
      <c r="M87" s="291">
        <v>0</v>
      </c>
      <c r="N87" s="291">
        <v>52226</v>
      </c>
      <c r="O87" s="291">
        <v>26966</v>
      </c>
      <c r="P87" s="291">
        <v>0</v>
      </c>
      <c r="Q87" s="291">
        <v>14515</v>
      </c>
      <c r="R87" s="291"/>
      <c r="S87" s="291"/>
      <c r="T87" s="291"/>
      <c r="U87" s="291"/>
      <c r="V87" s="291"/>
      <c r="W87" s="291">
        <v>65365</v>
      </c>
      <c r="X87" s="291">
        <v>319533</v>
      </c>
      <c r="Y87" s="291">
        <v>423484</v>
      </c>
      <c r="Z87" s="292">
        <v>237507</v>
      </c>
      <c r="AA87" s="293">
        <v>185977</v>
      </c>
      <c r="AB87" s="293">
        <v>581006.96320439992</v>
      </c>
      <c r="AC87" s="576"/>
      <c r="AD87" s="307">
        <v>62522</v>
      </c>
      <c r="AE87" s="291">
        <v>0</v>
      </c>
      <c r="AF87" s="291">
        <v>0</v>
      </c>
      <c r="AG87" s="291">
        <v>0</v>
      </c>
      <c r="AH87" s="291">
        <v>0</v>
      </c>
      <c r="AI87" s="291"/>
      <c r="AJ87" s="291"/>
      <c r="AK87" s="56"/>
      <c r="AL87" s="56"/>
      <c r="AM87" s="56"/>
      <c r="AN87" s="56"/>
    </row>
    <row r="88" spans="1:40" x14ac:dyDescent="0.2">
      <c r="A88" s="290">
        <v>44256</v>
      </c>
      <c r="B88" s="291">
        <v>6796687</v>
      </c>
      <c r="C88" s="291">
        <v>3625896.4016302</v>
      </c>
      <c r="D88" s="291">
        <v>213068</v>
      </c>
      <c r="E88" s="291">
        <v>392798</v>
      </c>
      <c r="F88" s="291">
        <v>0</v>
      </c>
      <c r="G88" s="291">
        <v>119602</v>
      </c>
      <c r="H88" s="291">
        <v>177452</v>
      </c>
      <c r="I88" s="291">
        <v>785188.59836980002</v>
      </c>
      <c r="J88" s="291">
        <v>242322</v>
      </c>
      <c r="K88" s="291">
        <v>52128</v>
      </c>
      <c r="L88" s="291">
        <v>54444</v>
      </c>
      <c r="M88" s="291">
        <v>0</v>
      </c>
      <c r="N88" s="291">
        <v>77337</v>
      </c>
      <c r="O88" s="291">
        <v>34524</v>
      </c>
      <c r="P88" s="291">
        <v>0</v>
      </c>
      <c r="Q88" s="291">
        <v>57884</v>
      </c>
      <c r="R88" s="291"/>
      <c r="S88" s="291"/>
      <c r="T88" s="291"/>
      <c r="U88" s="291"/>
      <c r="V88" s="291"/>
      <c r="W88" s="291">
        <v>81956</v>
      </c>
      <c r="X88" s="291">
        <v>357255</v>
      </c>
      <c r="Y88" s="291">
        <v>524832</v>
      </c>
      <c r="Z88" s="292">
        <v>288377</v>
      </c>
      <c r="AA88" s="293">
        <v>236455</v>
      </c>
      <c r="AB88" s="293">
        <v>862525.59836980002</v>
      </c>
      <c r="AC88" s="576"/>
      <c r="AD88" s="307">
        <v>59428</v>
      </c>
      <c r="AE88" s="291">
        <v>0</v>
      </c>
      <c r="AF88" s="291">
        <v>0</v>
      </c>
      <c r="AG88" s="291">
        <v>0</v>
      </c>
      <c r="AH88" s="291">
        <v>0</v>
      </c>
      <c r="AI88" s="291"/>
      <c r="AJ88" s="291"/>
      <c r="AK88" s="56"/>
      <c r="AL88" s="56"/>
      <c r="AM88" s="56"/>
      <c r="AN88" s="56"/>
    </row>
    <row r="89" spans="1:40" x14ac:dyDescent="0.2">
      <c r="A89" s="290">
        <v>44287</v>
      </c>
      <c r="B89" s="291">
        <v>7087733</v>
      </c>
      <c r="C89" s="291">
        <v>3510739.3847514</v>
      </c>
      <c r="D89" s="291">
        <v>201013</v>
      </c>
      <c r="E89" s="291">
        <v>384122</v>
      </c>
      <c r="F89" s="291">
        <v>0</v>
      </c>
      <c r="G89" s="291">
        <v>106950</v>
      </c>
      <c r="H89" s="291">
        <v>160888</v>
      </c>
      <c r="I89" s="291">
        <v>1050938.6152485998</v>
      </c>
      <c r="J89" s="291">
        <v>233551</v>
      </c>
      <c r="K89" s="291">
        <v>52762</v>
      </c>
      <c r="L89" s="291">
        <v>53047</v>
      </c>
      <c r="M89" s="291">
        <v>0</v>
      </c>
      <c r="N89" s="291">
        <v>122683</v>
      </c>
      <c r="O89" s="291">
        <v>44705</v>
      </c>
      <c r="P89" s="291">
        <v>3251</v>
      </c>
      <c r="Q89" s="291">
        <v>67675</v>
      </c>
      <c r="R89" s="291"/>
      <c r="S89" s="291"/>
      <c r="T89" s="291"/>
      <c r="U89" s="291"/>
      <c r="V89" s="291"/>
      <c r="W89" s="291">
        <v>91645</v>
      </c>
      <c r="X89" s="291">
        <v>449503</v>
      </c>
      <c r="Y89" s="291">
        <v>554260</v>
      </c>
      <c r="Z89" s="292">
        <v>282594</v>
      </c>
      <c r="AA89" s="293">
        <v>271666</v>
      </c>
      <c r="AB89" s="293">
        <v>1173621.6152485998</v>
      </c>
      <c r="AC89" s="576"/>
      <c r="AD89" s="307">
        <v>84036</v>
      </c>
      <c r="AE89" s="291">
        <v>0</v>
      </c>
      <c r="AF89" s="291">
        <v>0</v>
      </c>
      <c r="AG89" s="291">
        <v>0</v>
      </c>
      <c r="AH89" s="291">
        <v>0</v>
      </c>
      <c r="AI89" s="291"/>
      <c r="AJ89" s="291"/>
      <c r="AK89" s="56"/>
      <c r="AL89" s="56"/>
      <c r="AM89" s="56"/>
      <c r="AN89" s="56"/>
    </row>
    <row r="90" spans="1:40" x14ac:dyDescent="0.2">
      <c r="A90" s="290">
        <v>44317</v>
      </c>
      <c r="B90" s="291">
        <v>8790715</v>
      </c>
      <c r="C90" s="291">
        <v>3690093.1497067995</v>
      </c>
      <c r="D90" s="291">
        <v>157781</v>
      </c>
      <c r="E90" s="291">
        <v>367014</v>
      </c>
      <c r="F90" s="291">
        <v>0</v>
      </c>
      <c r="G90" s="291">
        <v>109455</v>
      </c>
      <c r="H90" s="291">
        <v>167706</v>
      </c>
      <c r="I90" s="291">
        <v>1964651.8502932002</v>
      </c>
      <c r="J90" s="291">
        <v>209323</v>
      </c>
      <c r="K90" s="291">
        <v>63649</v>
      </c>
      <c r="L90" s="291">
        <v>77349</v>
      </c>
      <c r="M90" s="291">
        <v>0</v>
      </c>
      <c r="N90" s="291">
        <v>200723</v>
      </c>
      <c r="O90" s="291">
        <v>47375</v>
      </c>
      <c r="P90" s="291">
        <v>4531</v>
      </c>
      <c r="Q90" s="291">
        <v>94294</v>
      </c>
      <c r="R90" s="291"/>
      <c r="S90" s="291"/>
      <c r="T90" s="291"/>
      <c r="U90" s="291"/>
      <c r="V90" s="291"/>
      <c r="W90" s="291">
        <v>117414</v>
      </c>
      <c r="X90" s="291">
        <v>631202</v>
      </c>
      <c r="Y90" s="291">
        <v>888154</v>
      </c>
      <c r="Z90" s="292">
        <v>308231</v>
      </c>
      <c r="AA90" s="293">
        <v>579923</v>
      </c>
      <c r="AB90" s="293">
        <v>2165374.8502932005</v>
      </c>
      <c r="AC90" s="576"/>
      <c r="AD90" s="307">
        <v>108882</v>
      </c>
      <c r="AE90" s="291">
        <v>0</v>
      </c>
      <c r="AF90" s="291">
        <v>0</v>
      </c>
      <c r="AG90" s="291">
        <v>0</v>
      </c>
      <c r="AH90" s="291">
        <v>0</v>
      </c>
      <c r="AI90" s="291"/>
      <c r="AJ90" s="291"/>
      <c r="AK90" s="56"/>
      <c r="AL90" s="56"/>
      <c r="AM90" s="56"/>
      <c r="AN90" s="56"/>
    </row>
    <row r="91" spans="1:40" x14ac:dyDescent="0.2">
      <c r="A91" s="290">
        <v>44348</v>
      </c>
      <c r="B91" s="291">
        <v>8497159</v>
      </c>
      <c r="C91" s="291">
        <v>3315619.4601429999</v>
      </c>
      <c r="D91" s="291">
        <v>201385</v>
      </c>
      <c r="E91" s="291">
        <v>411370</v>
      </c>
      <c r="F91" s="291">
        <v>0</v>
      </c>
      <c r="G91" s="291">
        <v>113591</v>
      </c>
      <c r="H91" s="291">
        <v>192254</v>
      </c>
      <c r="I91" s="291">
        <v>2020738.5398570001</v>
      </c>
      <c r="J91" s="291">
        <v>230711</v>
      </c>
      <c r="K91" s="291">
        <v>64191</v>
      </c>
      <c r="L91" s="291">
        <v>113132</v>
      </c>
      <c r="M91" s="291">
        <v>0</v>
      </c>
      <c r="N91" s="291">
        <v>228931</v>
      </c>
      <c r="O91" s="291">
        <v>57454</v>
      </c>
      <c r="P91" s="291">
        <v>5693</v>
      </c>
      <c r="Q91" s="291">
        <v>93048</v>
      </c>
      <c r="R91" s="291"/>
      <c r="S91" s="291"/>
      <c r="T91" s="291"/>
      <c r="U91" s="291"/>
      <c r="V91" s="291"/>
      <c r="W91" s="291">
        <v>146373</v>
      </c>
      <c r="X91" s="291">
        <v>491465</v>
      </c>
      <c r="Y91" s="291">
        <v>811203</v>
      </c>
      <c r="Z91" s="292">
        <v>275823</v>
      </c>
      <c r="AA91" s="293">
        <v>535380</v>
      </c>
      <c r="AB91" s="293">
        <v>2249669.5398570001</v>
      </c>
      <c r="AC91" s="576"/>
      <c r="AD91" s="307">
        <v>114411</v>
      </c>
      <c r="AE91" s="291">
        <v>0</v>
      </c>
      <c r="AF91" s="291">
        <v>0</v>
      </c>
      <c r="AG91" s="291">
        <v>0</v>
      </c>
      <c r="AH91" s="291">
        <v>0</v>
      </c>
      <c r="AI91" s="291"/>
      <c r="AJ91" s="291"/>
      <c r="AK91" s="56"/>
      <c r="AL91" s="56"/>
      <c r="AM91" s="56"/>
      <c r="AN91" s="56"/>
    </row>
    <row r="92" spans="1:40" x14ac:dyDescent="0.2">
      <c r="A92" s="290">
        <v>44378</v>
      </c>
      <c r="B92" s="291">
        <v>8964920</v>
      </c>
      <c r="C92" s="291">
        <v>3490827.4297369998</v>
      </c>
      <c r="D92" s="291">
        <v>211130</v>
      </c>
      <c r="E92" s="291">
        <v>392084</v>
      </c>
      <c r="F92" s="291">
        <v>0</v>
      </c>
      <c r="G92" s="291">
        <v>113461</v>
      </c>
      <c r="H92" s="291">
        <v>192177</v>
      </c>
      <c r="I92" s="291">
        <v>2299974.5702630007</v>
      </c>
      <c r="J92" s="291">
        <v>217688</v>
      </c>
      <c r="K92" s="291">
        <v>64138</v>
      </c>
      <c r="L92" s="291">
        <v>116904</v>
      </c>
      <c r="M92" s="291">
        <v>0</v>
      </c>
      <c r="N92" s="291">
        <v>218297</v>
      </c>
      <c r="O92" s="291">
        <v>56883</v>
      </c>
      <c r="P92" s="291">
        <v>5581</v>
      </c>
      <c r="Q92" s="291">
        <v>95666</v>
      </c>
      <c r="R92" s="291"/>
      <c r="S92" s="291"/>
      <c r="T92" s="291"/>
      <c r="U92" s="291"/>
      <c r="V92" s="291"/>
      <c r="W92" s="291">
        <v>151553</v>
      </c>
      <c r="X92" s="291">
        <v>408611</v>
      </c>
      <c r="Y92" s="291">
        <v>929945</v>
      </c>
      <c r="Z92" s="292">
        <v>289890</v>
      </c>
      <c r="AA92" s="293">
        <v>640055</v>
      </c>
      <c r="AB92" s="293">
        <v>2518271.5702630007</v>
      </c>
      <c r="AC92" s="576"/>
      <c r="AD92" s="307">
        <v>81450</v>
      </c>
      <c r="AE92" s="291">
        <v>0</v>
      </c>
      <c r="AF92" s="291">
        <v>0</v>
      </c>
      <c r="AG92" s="291">
        <v>0</v>
      </c>
      <c r="AH92" s="291">
        <v>0</v>
      </c>
      <c r="AI92" s="291"/>
      <c r="AJ92" s="291"/>
      <c r="AK92" s="56"/>
      <c r="AL92" s="56"/>
      <c r="AM92" s="56"/>
      <c r="AN92" s="56"/>
    </row>
    <row r="93" spans="1:40" x14ac:dyDescent="0.2">
      <c r="A93" s="290">
        <v>44409</v>
      </c>
      <c r="B93" s="291">
        <v>8816088</v>
      </c>
      <c r="C93" s="291">
        <v>3689590.4115214003</v>
      </c>
      <c r="D93" s="291">
        <v>220506</v>
      </c>
      <c r="E93" s="291">
        <v>352448</v>
      </c>
      <c r="F93" s="291">
        <v>0</v>
      </c>
      <c r="G93" s="291">
        <v>132185</v>
      </c>
      <c r="H93" s="291">
        <v>180103</v>
      </c>
      <c r="I93" s="291">
        <v>2132948.5884785997</v>
      </c>
      <c r="J93" s="291">
        <v>194063</v>
      </c>
      <c r="K93" s="291">
        <v>60143</v>
      </c>
      <c r="L93" s="291">
        <v>118510</v>
      </c>
      <c r="M93" s="291">
        <v>0</v>
      </c>
      <c r="N93" s="291">
        <v>200250</v>
      </c>
      <c r="O93" s="291">
        <v>46263</v>
      </c>
      <c r="P93" s="291">
        <v>5230</v>
      </c>
      <c r="Q93" s="291">
        <v>82541</v>
      </c>
      <c r="R93" s="291"/>
      <c r="S93" s="291"/>
      <c r="T93" s="291"/>
      <c r="U93" s="291"/>
      <c r="V93" s="291"/>
      <c r="W93" s="291">
        <v>149677</v>
      </c>
      <c r="X93" s="291">
        <v>397526</v>
      </c>
      <c r="Y93" s="291">
        <v>854104</v>
      </c>
      <c r="Z93" s="292">
        <v>293783</v>
      </c>
      <c r="AA93" s="293">
        <v>560321</v>
      </c>
      <c r="AB93" s="293">
        <v>2333198.5884785997</v>
      </c>
      <c r="AC93" s="576"/>
      <c r="AD93" s="307">
        <v>84180</v>
      </c>
      <c r="AE93" s="291">
        <v>0</v>
      </c>
      <c r="AF93" s="291">
        <v>0</v>
      </c>
      <c r="AG93" s="291">
        <v>0</v>
      </c>
      <c r="AH93" s="291">
        <v>0</v>
      </c>
      <c r="AI93" s="291"/>
      <c r="AJ93" s="291"/>
      <c r="AK93" s="56"/>
      <c r="AL93" s="56"/>
      <c r="AM93" s="56"/>
      <c r="AN93" s="56"/>
    </row>
    <row r="94" spans="1:40" x14ac:dyDescent="0.2">
      <c r="A94" s="290">
        <v>44440</v>
      </c>
      <c r="B94" s="291">
        <v>9747181</v>
      </c>
      <c r="C94" s="291">
        <v>3783050.7220830005</v>
      </c>
      <c r="D94" s="291">
        <v>219215</v>
      </c>
      <c r="E94" s="291">
        <v>429406</v>
      </c>
      <c r="F94" s="291">
        <v>0</v>
      </c>
      <c r="G94" s="291">
        <v>94590</v>
      </c>
      <c r="H94" s="291">
        <v>181287</v>
      </c>
      <c r="I94" s="291">
        <v>2283872.277917</v>
      </c>
      <c r="J94" s="291">
        <v>257162</v>
      </c>
      <c r="K94" s="291">
        <v>66269</v>
      </c>
      <c r="L94" s="291">
        <v>118507</v>
      </c>
      <c r="M94" s="291">
        <v>0</v>
      </c>
      <c r="N94" s="291">
        <v>225009</v>
      </c>
      <c r="O94" s="291">
        <v>54395</v>
      </c>
      <c r="P94" s="291">
        <v>6632</v>
      </c>
      <c r="Q94" s="291">
        <v>100255</v>
      </c>
      <c r="R94" s="291"/>
      <c r="S94" s="291"/>
      <c r="T94" s="291"/>
      <c r="U94" s="291"/>
      <c r="V94" s="291"/>
      <c r="W94" s="291">
        <v>203939</v>
      </c>
      <c r="X94" s="291">
        <v>743567</v>
      </c>
      <c r="Y94" s="291">
        <v>980025</v>
      </c>
      <c r="Z94" s="292">
        <v>338691</v>
      </c>
      <c r="AA94" s="293">
        <v>641334</v>
      </c>
      <c r="AB94" s="293">
        <v>2508881.277917</v>
      </c>
      <c r="AC94" s="576"/>
      <c r="AD94" s="307">
        <v>110035</v>
      </c>
      <c r="AE94" s="291">
        <v>0</v>
      </c>
      <c r="AF94" s="291">
        <v>0</v>
      </c>
      <c r="AG94" s="291">
        <v>0</v>
      </c>
      <c r="AH94" s="291">
        <v>0</v>
      </c>
      <c r="AI94" s="291"/>
      <c r="AJ94" s="291"/>
      <c r="AK94" s="56"/>
      <c r="AL94" s="56"/>
      <c r="AM94" s="56"/>
      <c r="AN94" s="56"/>
    </row>
    <row r="95" spans="1:40" x14ac:dyDescent="0.2">
      <c r="A95" s="290">
        <v>44470</v>
      </c>
      <c r="B95" s="291">
        <v>7852903</v>
      </c>
      <c r="C95" s="291">
        <v>3164305.7347027995</v>
      </c>
      <c r="D95" s="291">
        <v>199774</v>
      </c>
      <c r="E95" s="291">
        <v>374048</v>
      </c>
      <c r="F95" s="291">
        <v>0</v>
      </c>
      <c r="G95" s="291">
        <v>112306</v>
      </c>
      <c r="H95" s="291">
        <v>239951.18200000003</v>
      </c>
      <c r="I95" s="291">
        <v>1567023.0832972005</v>
      </c>
      <c r="J95" s="291">
        <v>230083</v>
      </c>
      <c r="K95" s="291">
        <v>61621</v>
      </c>
      <c r="L95" s="291">
        <v>100243</v>
      </c>
      <c r="M95" s="291">
        <v>0</v>
      </c>
      <c r="N95" s="291">
        <v>172981</v>
      </c>
      <c r="O95" s="291">
        <v>42197</v>
      </c>
      <c r="P95" s="291">
        <v>4042</v>
      </c>
      <c r="Q95" s="291">
        <v>77042</v>
      </c>
      <c r="R95" s="291"/>
      <c r="S95" s="291"/>
      <c r="T95" s="291"/>
      <c r="U95" s="291"/>
      <c r="V95" s="291"/>
      <c r="W95" s="291">
        <v>145097</v>
      </c>
      <c r="X95" s="291">
        <v>674928</v>
      </c>
      <c r="Y95" s="291">
        <v>687261</v>
      </c>
      <c r="Z95" s="292">
        <v>302816</v>
      </c>
      <c r="AA95" s="293">
        <v>384445</v>
      </c>
      <c r="AB95" s="293">
        <v>1740004.0832972005</v>
      </c>
      <c r="AC95" s="576"/>
      <c r="AD95" s="307">
        <v>142617</v>
      </c>
      <c r="AE95" s="291">
        <v>0</v>
      </c>
      <c r="AF95" s="291">
        <v>0</v>
      </c>
      <c r="AG95" s="291">
        <v>0</v>
      </c>
      <c r="AH95" s="291">
        <v>0</v>
      </c>
      <c r="AI95" s="291"/>
      <c r="AJ95" s="291"/>
      <c r="AK95" s="56"/>
      <c r="AL95" s="56"/>
      <c r="AM95" s="56"/>
      <c r="AN95" s="56"/>
    </row>
    <row r="96" spans="1:40" x14ac:dyDescent="0.2">
      <c r="A96" s="290">
        <v>44501</v>
      </c>
      <c r="B96" s="291">
        <v>7467307</v>
      </c>
      <c r="C96" s="291">
        <v>3695906.9462484</v>
      </c>
      <c r="D96" s="291">
        <v>203833</v>
      </c>
      <c r="E96" s="291">
        <v>432887</v>
      </c>
      <c r="F96" s="291">
        <v>69324</v>
      </c>
      <c r="G96" s="291">
        <v>109183</v>
      </c>
      <c r="H96" s="291">
        <v>247373.44400000002</v>
      </c>
      <c r="I96" s="291">
        <v>935874.60975159972</v>
      </c>
      <c r="J96" s="291">
        <v>272363</v>
      </c>
      <c r="K96" s="291">
        <v>46745</v>
      </c>
      <c r="L96" s="291">
        <v>69976</v>
      </c>
      <c r="M96" s="291">
        <v>0</v>
      </c>
      <c r="N96" s="291">
        <v>93801</v>
      </c>
      <c r="O96" s="291">
        <v>30378</v>
      </c>
      <c r="P96" s="291">
        <v>3462</v>
      </c>
      <c r="Q96" s="291">
        <v>57774</v>
      </c>
      <c r="R96" s="291"/>
      <c r="S96" s="291"/>
      <c r="T96" s="291"/>
      <c r="U96" s="291"/>
      <c r="V96" s="291"/>
      <c r="W96" s="291">
        <v>122308</v>
      </c>
      <c r="X96" s="291">
        <v>495186</v>
      </c>
      <c r="Y96" s="291">
        <v>580932</v>
      </c>
      <c r="Z96" s="292">
        <v>338679</v>
      </c>
      <c r="AA96" s="293">
        <v>242253</v>
      </c>
      <c r="AB96" s="293">
        <v>1029675.6097515997</v>
      </c>
      <c r="AC96" s="576"/>
      <c r="AD96" s="307">
        <v>83032</v>
      </c>
      <c r="AE96" s="291">
        <v>0</v>
      </c>
      <c r="AF96" s="291">
        <v>0</v>
      </c>
      <c r="AG96" s="291">
        <v>0</v>
      </c>
      <c r="AH96" s="291">
        <v>0</v>
      </c>
      <c r="AI96" s="291"/>
      <c r="AJ96" s="291"/>
      <c r="AK96" s="56"/>
      <c r="AL96" s="56"/>
      <c r="AM96" s="56"/>
      <c r="AN96" s="56"/>
    </row>
    <row r="97" spans="1:40" x14ac:dyDescent="0.2">
      <c r="A97" s="290">
        <v>44531</v>
      </c>
      <c r="B97" s="291">
        <v>6220963</v>
      </c>
      <c r="C97" s="291">
        <v>3182178.3547922</v>
      </c>
      <c r="D97" s="291">
        <v>188870</v>
      </c>
      <c r="E97" s="291">
        <v>372696</v>
      </c>
      <c r="F97" s="291">
        <v>51400</v>
      </c>
      <c r="G97" s="291">
        <v>104736</v>
      </c>
      <c r="H97" s="291">
        <v>229645.405</v>
      </c>
      <c r="I97" s="291">
        <v>572406.24020779971</v>
      </c>
      <c r="J97" s="291">
        <v>233281</v>
      </c>
      <c r="K97" s="291">
        <v>41794</v>
      </c>
      <c r="L97" s="291">
        <v>67881</v>
      </c>
      <c r="M97" s="291">
        <v>0</v>
      </c>
      <c r="N97" s="291">
        <v>63246</v>
      </c>
      <c r="O97" s="291">
        <v>28037</v>
      </c>
      <c r="P97" s="291">
        <v>2677</v>
      </c>
      <c r="Q97" s="291">
        <v>46306</v>
      </c>
      <c r="R97" s="291"/>
      <c r="S97" s="291"/>
      <c r="T97" s="291"/>
      <c r="U97" s="291"/>
      <c r="V97" s="291"/>
      <c r="W97" s="291">
        <v>104824</v>
      </c>
      <c r="X97" s="291">
        <v>405363</v>
      </c>
      <c r="Y97" s="291">
        <v>525622</v>
      </c>
      <c r="Z97" s="292">
        <v>304173</v>
      </c>
      <c r="AA97" s="293">
        <v>221449</v>
      </c>
      <c r="AB97" s="293">
        <v>635652.24020779971</v>
      </c>
      <c r="AC97" s="576"/>
      <c r="AD97" s="307">
        <v>77426</v>
      </c>
      <c r="AE97" s="291">
        <v>0</v>
      </c>
      <c r="AF97" s="291">
        <v>0</v>
      </c>
      <c r="AG97" s="291">
        <v>0</v>
      </c>
      <c r="AH97" s="291">
        <v>0</v>
      </c>
      <c r="AI97" s="291"/>
      <c r="AJ97" s="291"/>
      <c r="AK97" s="56"/>
      <c r="AL97" s="56"/>
      <c r="AM97" s="56"/>
      <c r="AN97" s="56"/>
    </row>
    <row r="98" spans="1:40" x14ac:dyDescent="0.2">
      <c r="A98" s="274">
        <v>44562</v>
      </c>
      <c r="B98" s="276">
        <v>5719630</v>
      </c>
      <c r="C98" s="276">
        <v>2842487.0719999997</v>
      </c>
      <c r="D98" s="276">
        <v>185403</v>
      </c>
      <c r="E98" s="276">
        <v>344018</v>
      </c>
      <c r="F98" s="276">
        <v>42810</v>
      </c>
      <c r="G98" s="276">
        <v>92900</v>
      </c>
      <c r="H98" s="276">
        <v>217019.98800000001</v>
      </c>
      <c r="I98" s="276">
        <v>502701.94</v>
      </c>
      <c r="J98" s="276">
        <v>215329</v>
      </c>
      <c r="K98" s="276">
        <v>38644</v>
      </c>
      <c r="L98" s="276">
        <v>60492</v>
      </c>
      <c r="M98" s="276">
        <v>0</v>
      </c>
      <c r="N98" s="276">
        <v>47723</v>
      </c>
      <c r="O98" s="276">
        <v>40907</v>
      </c>
      <c r="P98" s="276">
        <v>2661</v>
      </c>
      <c r="Q98" s="276">
        <v>23332</v>
      </c>
      <c r="R98" s="276"/>
      <c r="S98" s="276"/>
      <c r="T98" s="276"/>
      <c r="U98" s="276"/>
      <c r="V98" s="276"/>
      <c r="W98" s="276">
        <v>111988</v>
      </c>
      <c r="X98" s="276">
        <v>439968</v>
      </c>
      <c r="Y98" s="276">
        <v>511246</v>
      </c>
      <c r="Z98" s="277">
        <v>258838</v>
      </c>
      <c r="AA98" s="294">
        <v>252408</v>
      </c>
      <c r="AB98" s="294">
        <v>550424.93999999994</v>
      </c>
      <c r="AC98" s="576"/>
      <c r="AD98" s="577"/>
      <c r="AE98" s="276">
        <v>0</v>
      </c>
      <c r="AF98" s="276">
        <v>0</v>
      </c>
      <c r="AG98" s="276">
        <v>0</v>
      </c>
      <c r="AH98" s="276">
        <v>0</v>
      </c>
      <c r="AI98" s="276"/>
      <c r="AJ98" s="276"/>
      <c r="AK98" s="56"/>
      <c r="AL98" s="56"/>
      <c r="AM98" s="56"/>
      <c r="AN98" s="56"/>
    </row>
    <row r="99" spans="1:40" x14ac:dyDescent="0.2">
      <c r="A99" s="274">
        <v>44593</v>
      </c>
      <c r="B99" s="276">
        <v>5973372</v>
      </c>
      <c r="C99" s="276">
        <v>3167490.7630000003</v>
      </c>
      <c r="D99" s="276">
        <v>193713</v>
      </c>
      <c r="E99" s="276">
        <v>357227</v>
      </c>
      <c r="F99" s="276">
        <v>46410</v>
      </c>
      <c r="G99" s="276">
        <v>105333</v>
      </c>
      <c r="H99" s="276">
        <v>231947.36699999997</v>
      </c>
      <c r="I99" s="276">
        <v>353482.87</v>
      </c>
      <c r="J99" s="276">
        <v>219454</v>
      </c>
      <c r="K99" s="276">
        <v>37755</v>
      </c>
      <c r="L99" s="276">
        <v>52974</v>
      </c>
      <c r="M99" s="276">
        <v>0</v>
      </c>
      <c r="N99" s="276">
        <v>40630</v>
      </c>
      <c r="O99" s="276">
        <v>25565</v>
      </c>
      <c r="P99" s="276">
        <v>1838.9999999999986</v>
      </c>
      <c r="Q99" s="276">
        <v>11847</v>
      </c>
      <c r="R99" s="276"/>
      <c r="S99" s="276"/>
      <c r="T99" s="276"/>
      <c r="U99" s="276"/>
      <c r="V99" s="276"/>
      <c r="W99" s="276">
        <v>102478</v>
      </c>
      <c r="X99" s="276">
        <v>374586</v>
      </c>
      <c r="Y99" s="276">
        <v>650640</v>
      </c>
      <c r="Z99" s="277">
        <v>261658</v>
      </c>
      <c r="AA99" s="294">
        <v>388982</v>
      </c>
      <c r="AB99" s="294">
        <v>394112.87</v>
      </c>
      <c r="AC99" s="576"/>
      <c r="AD99" s="577"/>
      <c r="AE99" s="276">
        <v>0</v>
      </c>
      <c r="AF99" s="276">
        <v>0</v>
      </c>
      <c r="AG99" s="276">
        <v>0</v>
      </c>
      <c r="AH99" s="276">
        <v>0</v>
      </c>
      <c r="AI99" s="276"/>
      <c r="AJ99" s="276"/>
      <c r="AK99" s="56"/>
      <c r="AL99" s="56"/>
      <c r="AM99" s="56"/>
      <c r="AN99" s="56"/>
    </row>
    <row r="100" spans="1:40" x14ac:dyDescent="0.2">
      <c r="A100" s="274">
        <v>44621</v>
      </c>
      <c r="B100" s="276">
        <v>6036375</v>
      </c>
      <c r="C100" s="276">
        <v>2996940.2319999998</v>
      </c>
      <c r="D100" s="276">
        <v>176300</v>
      </c>
      <c r="E100" s="276">
        <v>355006</v>
      </c>
      <c r="F100" s="276">
        <v>47140</v>
      </c>
      <c r="G100" s="276">
        <v>109266</v>
      </c>
      <c r="H100" s="276">
        <v>215372.03800000003</v>
      </c>
      <c r="I100" s="276">
        <v>778373.73</v>
      </c>
      <c r="J100" s="276">
        <v>211474</v>
      </c>
      <c r="K100" s="276">
        <v>40293</v>
      </c>
      <c r="L100" s="276">
        <v>58322</v>
      </c>
      <c r="M100" s="276">
        <v>0</v>
      </c>
      <c r="N100" s="276">
        <v>73854</v>
      </c>
      <c r="O100" s="276">
        <v>24678</v>
      </c>
      <c r="P100" s="276">
        <v>3000</v>
      </c>
      <c r="Q100" s="276">
        <v>11987</v>
      </c>
      <c r="R100" s="276"/>
      <c r="S100" s="276"/>
      <c r="T100" s="276"/>
      <c r="U100" s="276"/>
      <c r="V100" s="276"/>
      <c r="W100" s="276">
        <v>111442</v>
      </c>
      <c r="X100" s="276">
        <v>352459</v>
      </c>
      <c r="Y100" s="276">
        <v>470468</v>
      </c>
      <c r="Z100" s="277">
        <v>242578</v>
      </c>
      <c r="AA100" s="294">
        <v>227890</v>
      </c>
      <c r="AB100" s="294">
        <v>852227.73</v>
      </c>
      <c r="AC100" s="576"/>
      <c r="AD100" s="308">
        <v>63508</v>
      </c>
      <c r="AE100" s="276">
        <v>0</v>
      </c>
      <c r="AF100" s="276">
        <v>0</v>
      </c>
      <c r="AG100" s="276">
        <v>0</v>
      </c>
      <c r="AH100" s="276">
        <v>0</v>
      </c>
      <c r="AI100" s="276"/>
      <c r="AJ100" s="276"/>
      <c r="AK100" s="56"/>
      <c r="AL100" s="56"/>
      <c r="AM100" s="56"/>
      <c r="AN100" s="56"/>
    </row>
    <row r="101" spans="1:40" x14ac:dyDescent="0.2">
      <c r="A101" s="274">
        <v>44652</v>
      </c>
      <c r="B101" s="276">
        <v>6614469</v>
      </c>
      <c r="C101" s="276">
        <v>3105847.9419999998</v>
      </c>
      <c r="D101" s="276">
        <v>173413</v>
      </c>
      <c r="E101" s="276">
        <v>338789</v>
      </c>
      <c r="F101" s="276">
        <v>49364</v>
      </c>
      <c r="G101" s="276">
        <v>123200</v>
      </c>
      <c r="H101" s="276">
        <v>267931.478</v>
      </c>
      <c r="I101" s="276">
        <v>1054668.58</v>
      </c>
      <c r="J101" s="276">
        <v>202690</v>
      </c>
      <c r="K101" s="276">
        <v>50830</v>
      </c>
      <c r="L101" s="276">
        <v>57767</v>
      </c>
      <c r="M101" s="276">
        <v>0</v>
      </c>
      <c r="N101" s="276">
        <v>115979</v>
      </c>
      <c r="O101" s="276">
        <v>22670</v>
      </c>
      <c r="P101" s="276">
        <v>3000</v>
      </c>
      <c r="Q101" s="276">
        <v>24522</v>
      </c>
      <c r="R101" s="276"/>
      <c r="S101" s="276"/>
      <c r="T101" s="276"/>
      <c r="U101" s="276"/>
      <c r="V101" s="276"/>
      <c r="W101" s="276">
        <v>110156</v>
      </c>
      <c r="X101" s="276">
        <v>393679</v>
      </c>
      <c r="Y101" s="276">
        <v>519962</v>
      </c>
      <c r="Z101" s="277">
        <v>257203</v>
      </c>
      <c r="AA101" s="294">
        <v>262759</v>
      </c>
      <c r="AB101" s="294">
        <v>1170647.58</v>
      </c>
      <c r="AC101" s="576"/>
      <c r="AD101" s="308">
        <v>61090</v>
      </c>
      <c r="AE101" s="276">
        <v>0</v>
      </c>
      <c r="AF101" s="276">
        <v>0</v>
      </c>
      <c r="AG101" s="276">
        <v>0</v>
      </c>
      <c r="AH101" s="276">
        <v>0</v>
      </c>
      <c r="AI101" s="276"/>
      <c r="AJ101" s="276"/>
      <c r="AK101" s="56"/>
      <c r="AL101" s="56"/>
      <c r="AM101" s="56"/>
      <c r="AN101" s="56"/>
    </row>
    <row r="102" spans="1:40" x14ac:dyDescent="0.2">
      <c r="A102" s="274">
        <v>44682</v>
      </c>
      <c r="B102" s="276">
        <v>7536144</v>
      </c>
      <c r="C102" s="276">
        <v>3332646.63</v>
      </c>
      <c r="D102" s="276">
        <v>186465</v>
      </c>
      <c r="E102" s="276">
        <v>381972</v>
      </c>
      <c r="F102" s="276">
        <v>66226</v>
      </c>
      <c r="G102" s="276">
        <v>134268</v>
      </c>
      <c r="H102" s="276">
        <v>257005.27000000002</v>
      </c>
      <c r="I102" s="276">
        <v>1500945.1</v>
      </c>
      <c r="J102" s="276">
        <v>218112</v>
      </c>
      <c r="K102" s="276">
        <v>47282</v>
      </c>
      <c r="L102" s="276">
        <v>60742</v>
      </c>
      <c r="M102" s="276">
        <v>0</v>
      </c>
      <c r="N102" s="276">
        <v>128870</v>
      </c>
      <c r="O102" s="276">
        <v>23250</v>
      </c>
      <c r="P102" s="276">
        <v>9190</v>
      </c>
      <c r="Q102" s="276">
        <v>64674</v>
      </c>
      <c r="R102" s="276"/>
      <c r="S102" s="276"/>
      <c r="T102" s="276"/>
      <c r="U102" s="276"/>
      <c r="V102" s="276"/>
      <c r="W102" s="276">
        <v>137154</v>
      </c>
      <c r="X102" s="276">
        <v>386561</v>
      </c>
      <c r="Y102" s="276">
        <v>600781</v>
      </c>
      <c r="Z102" s="277">
        <v>291975</v>
      </c>
      <c r="AA102" s="294">
        <v>308806</v>
      </c>
      <c r="AB102" s="294">
        <v>1629815.1</v>
      </c>
      <c r="AC102" s="576"/>
      <c r="AD102" s="308">
        <v>63499</v>
      </c>
      <c r="AE102" s="276">
        <v>0</v>
      </c>
      <c r="AF102" s="276">
        <v>0</v>
      </c>
      <c r="AG102" s="276">
        <v>0</v>
      </c>
      <c r="AH102" s="276">
        <v>0</v>
      </c>
      <c r="AI102" s="276"/>
      <c r="AJ102" s="276"/>
      <c r="AK102" s="56"/>
      <c r="AL102" s="56"/>
      <c r="AM102" s="56"/>
      <c r="AN102" s="56"/>
    </row>
    <row r="103" spans="1:40" x14ac:dyDescent="0.2">
      <c r="A103" s="274">
        <v>44713</v>
      </c>
      <c r="B103" s="276">
        <v>8743056</v>
      </c>
      <c r="C103" s="276">
        <v>3343878.4390000002</v>
      </c>
      <c r="D103" s="276">
        <v>191180</v>
      </c>
      <c r="E103" s="276">
        <v>373954</v>
      </c>
      <c r="F103" s="276">
        <v>64920</v>
      </c>
      <c r="G103" s="276">
        <v>135646</v>
      </c>
      <c r="H103" s="276">
        <v>226258.95099999997</v>
      </c>
      <c r="I103" s="276">
        <v>2130901.61</v>
      </c>
      <c r="J103" s="276">
        <v>216767</v>
      </c>
      <c r="K103" s="276">
        <v>69729</v>
      </c>
      <c r="L103" s="276">
        <v>131317</v>
      </c>
      <c r="M103" s="276">
        <v>0</v>
      </c>
      <c r="N103" s="276">
        <v>226263</v>
      </c>
      <c r="O103" s="276">
        <v>47562</v>
      </c>
      <c r="P103" s="276">
        <v>4513</v>
      </c>
      <c r="Q103" s="276">
        <v>74042</v>
      </c>
      <c r="R103" s="276"/>
      <c r="S103" s="276"/>
      <c r="T103" s="276"/>
      <c r="U103" s="276"/>
      <c r="V103" s="276"/>
      <c r="W103" s="276">
        <v>200798</v>
      </c>
      <c r="X103" s="276">
        <v>482838</v>
      </c>
      <c r="Y103" s="276">
        <v>822488</v>
      </c>
      <c r="Z103" s="277">
        <v>299799</v>
      </c>
      <c r="AA103" s="294">
        <v>522689</v>
      </c>
      <c r="AB103" s="294">
        <v>2357164.61</v>
      </c>
      <c r="AC103" s="576"/>
      <c r="AD103" s="308">
        <v>60911</v>
      </c>
      <c r="AE103" s="276">
        <v>0</v>
      </c>
      <c r="AF103" s="276">
        <v>0</v>
      </c>
      <c r="AG103" s="276">
        <v>0</v>
      </c>
      <c r="AH103" s="276">
        <v>0</v>
      </c>
      <c r="AI103" s="276"/>
      <c r="AJ103" s="276"/>
      <c r="AK103" s="56"/>
      <c r="AL103" s="56"/>
      <c r="AM103" s="56"/>
      <c r="AN103" s="56"/>
    </row>
    <row r="104" spans="1:40" x14ac:dyDescent="0.2">
      <c r="A104" s="274">
        <v>44743</v>
      </c>
      <c r="B104" s="276">
        <v>8658648</v>
      </c>
      <c r="C104" s="276">
        <v>2985191.1689999998</v>
      </c>
      <c r="D104" s="276">
        <v>180624</v>
      </c>
      <c r="E104" s="276">
        <v>335327</v>
      </c>
      <c r="F104" s="276">
        <v>66990</v>
      </c>
      <c r="G104" s="276">
        <v>125766</v>
      </c>
      <c r="H104" s="276">
        <v>239655.83100000001</v>
      </c>
      <c r="I104" s="276">
        <v>2485643</v>
      </c>
      <c r="J104" s="276">
        <v>181196</v>
      </c>
      <c r="K104" s="276">
        <v>67366</v>
      </c>
      <c r="L104" s="276">
        <v>129521</v>
      </c>
      <c r="M104" s="276">
        <v>0</v>
      </c>
      <c r="N104" s="276">
        <v>222744</v>
      </c>
      <c r="O104" s="276">
        <v>46061</v>
      </c>
      <c r="P104" s="276">
        <v>6355</v>
      </c>
      <c r="Q104" s="276">
        <v>70476</v>
      </c>
      <c r="R104" s="276"/>
      <c r="S104" s="276"/>
      <c r="T104" s="276"/>
      <c r="U104" s="276"/>
      <c r="V104" s="276"/>
      <c r="W104" s="276">
        <v>188600</v>
      </c>
      <c r="X104" s="276">
        <v>460050</v>
      </c>
      <c r="Y104" s="276">
        <v>867082</v>
      </c>
      <c r="Z104" s="277">
        <v>274978</v>
      </c>
      <c r="AA104" s="294">
        <v>592104</v>
      </c>
      <c r="AB104" s="294">
        <v>2708387</v>
      </c>
      <c r="AC104" s="576"/>
      <c r="AD104" s="308">
        <v>64945</v>
      </c>
      <c r="AE104" s="276">
        <v>0</v>
      </c>
      <c r="AF104" s="276">
        <v>0</v>
      </c>
      <c r="AG104" s="276">
        <v>0</v>
      </c>
      <c r="AH104" s="276">
        <v>0</v>
      </c>
      <c r="AI104" s="276"/>
      <c r="AJ104" s="276"/>
      <c r="AK104" s="56"/>
      <c r="AL104" s="56"/>
      <c r="AM104" s="56"/>
      <c r="AN104" s="56"/>
    </row>
    <row r="105" spans="1:40" x14ac:dyDescent="0.2">
      <c r="A105" s="274">
        <v>44774</v>
      </c>
      <c r="B105" s="276">
        <v>9488278</v>
      </c>
      <c r="C105" s="276">
        <v>3657836.0599999996</v>
      </c>
      <c r="D105" s="276">
        <v>238816</v>
      </c>
      <c r="E105" s="276">
        <v>389800</v>
      </c>
      <c r="F105" s="276">
        <v>69480</v>
      </c>
      <c r="G105" s="276">
        <v>141763</v>
      </c>
      <c r="H105" s="276">
        <v>279749.7</v>
      </c>
      <c r="I105" s="276">
        <v>2278104.2400000002</v>
      </c>
      <c r="J105" s="276">
        <v>202462</v>
      </c>
      <c r="K105" s="276">
        <v>68389</v>
      </c>
      <c r="L105" s="276">
        <v>127143</v>
      </c>
      <c r="M105" s="276">
        <v>0</v>
      </c>
      <c r="N105" s="276">
        <v>238990</v>
      </c>
      <c r="O105" s="276">
        <v>58088</v>
      </c>
      <c r="P105" s="276">
        <v>6748</v>
      </c>
      <c r="Q105" s="276">
        <v>78711</v>
      </c>
      <c r="R105" s="276"/>
      <c r="S105" s="276"/>
      <c r="T105" s="276"/>
      <c r="U105" s="276"/>
      <c r="V105" s="276"/>
      <c r="W105" s="276">
        <v>200020</v>
      </c>
      <c r="X105" s="276">
        <v>509485</v>
      </c>
      <c r="Y105" s="276">
        <v>942693</v>
      </c>
      <c r="Z105" s="277">
        <v>328477</v>
      </c>
      <c r="AA105" s="294">
        <v>614216</v>
      </c>
      <c r="AB105" s="294">
        <v>2517094.2400000002</v>
      </c>
      <c r="AC105" s="576"/>
      <c r="AD105" s="308">
        <v>79973</v>
      </c>
      <c r="AE105" s="276">
        <v>0</v>
      </c>
      <c r="AF105" s="276">
        <v>0</v>
      </c>
      <c r="AG105" s="276">
        <v>0</v>
      </c>
      <c r="AH105" s="276">
        <v>0</v>
      </c>
      <c r="AI105" s="276"/>
      <c r="AJ105" s="276"/>
      <c r="AK105" s="56"/>
      <c r="AL105" s="56"/>
      <c r="AM105" s="56"/>
      <c r="AN105" s="56"/>
    </row>
    <row r="106" spans="1:40" x14ac:dyDescent="0.2">
      <c r="A106" s="274">
        <v>44805</v>
      </c>
      <c r="B106" s="276">
        <v>9620380</v>
      </c>
      <c r="C106" s="276">
        <v>3972223.63</v>
      </c>
      <c r="D106" s="276">
        <v>182258</v>
      </c>
      <c r="E106" s="276">
        <v>370600</v>
      </c>
      <c r="F106" s="276">
        <v>70960</v>
      </c>
      <c r="G106" s="276">
        <v>129726</v>
      </c>
      <c r="H106" s="276">
        <v>279735.37</v>
      </c>
      <c r="I106" s="276">
        <v>1988413</v>
      </c>
      <c r="J106" s="276">
        <v>144397</v>
      </c>
      <c r="K106" s="276">
        <v>59150</v>
      </c>
      <c r="L106" s="276">
        <v>126966</v>
      </c>
      <c r="M106" s="276">
        <v>0</v>
      </c>
      <c r="N106" s="276">
        <v>209950</v>
      </c>
      <c r="O106" s="276">
        <v>49648</v>
      </c>
      <c r="P106" s="276">
        <v>14349</v>
      </c>
      <c r="Q106" s="276">
        <v>74107</v>
      </c>
      <c r="R106" s="276"/>
      <c r="S106" s="276"/>
      <c r="T106" s="276"/>
      <c r="U106" s="276"/>
      <c r="V106" s="276"/>
      <c r="W106" s="276">
        <v>197340</v>
      </c>
      <c r="X106" s="276">
        <v>792745</v>
      </c>
      <c r="Y106" s="276">
        <v>957812</v>
      </c>
      <c r="Z106" s="277">
        <v>371840</v>
      </c>
      <c r="AA106" s="294">
        <v>585972</v>
      </c>
      <c r="AB106" s="294">
        <v>2198363</v>
      </c>
      <c r="AC106" s="576"/>
      <c r="AD106" s="308">
        <v>128837</v>
      </c>
      <c r="AE106" s="276">
        <v>0</v>
      </c>
      <c r="AF106" s="276">
        <v>0</v>
      </c>
      <c r="AG106" s="276">
        <v>0</v>
      </c>
      <c r="AH106" s="276">
        <v>0</v>
      </c>
      <c r="AI106" s="276"/>
      <c r="AJ106" s="276"/>
      <c r="AK106" s="56"/>
      <c r="AL106" s="56"/>
      <c r="AM106" s="56"/>
      <c r="AN106" s="56"/>
    </row>
    <row r="107" spans="1:40" x14ac:dyDescent="0.2">
      <c r="A107" s="274">
        <v>44835</v>
      </c>
      <c r="B107" s="276">
        <v>7608376</v>
      </c>
      <c r="C107" s="276">
        <v>3026537.9649470001</v>
      </c>
      <c r="D107" s="276">
        <v>201410</v>
      </c>
      <c r="E107" s="276">
        <v>352020</v>
      </c>
      <c r="F107" s="276">
        <v>62050</v>
      </c>
      <c r="G107" s="276">
        <v>145774</v>
      </c>
      <c r="H107" s="276">
        <v>275237.47441400005</v>
      </c>
      <c r="I107" s="276">
        <v>1469216.260639</v>
      </c>
      <c r="J107" s="276">
        <v>304172</v>
      </c>
      <c r="K107" s="276">
        <v>47679</v>
      </c>
      <c r="L107" s="276">
        <v>93814</v>
      </c>
      <c r="M107" s="276">
        <v>0</v>
      </c>
      <c r="N107" s="276">
        <v>143116</v>
      </c>
      <c r="O107" s="276">
        <v>29278</v>
      </c>
      <c r="P107" s="276">
        <v>7337.3000000000029</v>
      </c>
      <c r="Q107" s="276">
        <v>64072</v>
      </c>
      <c r="R107" s="276"/>
      <c r="S107" s="276"/>
      <c r="T107" s="276"/>
      <c r="U107" s="276"/>
      <c r="V107" s="276"/>
      <c r="W107" s="276">
        <v>133610</v>
      </c>
      <c r="X107" s="276">
        <v>595968</v>
      </c>
      <c r="Y107" s="276">
        <v>657084</v>
      </c>
      <c r="Z107" s="277">
        <v>337505</v>
      </c>
      <c r="AA107" s="294">
        <v>319579</v>
      </c>
      <c r="AB107" s="294">
        <v>1612332.260639</v>
      </c>
      <c r="AC107" s="576"/>
      <c r="AD107" s="308">
        <v>135269</v>
      </c>
      <c r="AE107" s="276">
        <v>0</v>
      </c>
      <c r="AF107" s="276">
        <v>0</v>
      </c>
      <c r="AG107" s="276">
        <v>0</v>
      </c>
      <c r="AH107" s="276">
        <v>0</v>
      </c>
      <c r="AI107" s="276"/>
      <c r="AJ107" s="276"/>
      <c r="AK107" s="56"/>
      <c r="AL107" s="56"/>
      <c r="AM107" s="56"/>
      <c r="AN107" s="56"/>
    </row>
    <row r="108" spans="1:40" x14ac:dyDescent="0.2">
      <c r="A108" s="274">
        <v>44866</v>
      </c>
      <c r="B108" s="276">
        <v>8270405</v>
      </c>
      <c r="C108" s="276">
        <v>3955547.4860226</v>
      </c>
      <c r="D108" s="276">
        <v>261890</v>
      </c>
      <c r="E108" s="276">
        <v>399870</v>
      </c>
      <c r="F108" s="276">
        <v>73590</v>
      </c>
      <c r="G108" s="276">
        <v>160396</v>
      </c>
      <c r="H108" s="276">
        <v>274731.02158599999</v>
      </c>
      <c r="I108" s="276">
        <v>1233452.4923913998</v>
      </c>
      <c r="J108" s="276">
        <v>258047</v>
      </c>
      <c r="K108" s="276">
        <v>56060</v>
      </c>
      <c r="L108" s="276">
        <v>72060</v>
      </c>
      <c r="M108" s="276">
        <v>0</v>
      </c>
      <c r="N108" s="276">
        <v>130337</v>
      </c>
      <c r="O108" s="276">
        <v>42146</v>
      </c>
      <c r="P108" s="276">
        <v>6492</v>
      </c>
      <c r="Q108" s="276">
        <v>61394</v>
      </c>
      <c r="R108" s="276"/>
      <c r="S108" s="276"/>
      <c r="T108" s="276"/>
      <c r="U108" s="276"/>
      <c r="V108" s="276"/>
      <c r="W108" s="276">
        <v>119820</v>
      </c>
      <c r="X108" s="276">
        <v>509994</v>
      </c>
      <c r="Y108" s="276">
        <v>654578</v>
      </c>
      <c r="Z108" s="277">
        <v>378554</v>
      </c>
      <c r="AA108" s="294">
        <v>276024</v>
      </c>
      <c r="AB108" s="294">
        <v>1363789.4923913998</v>
      </c>
      <c r="AC108" s="576"/>
      <c r="AD108" s="308">
        <v>98952</v>
      </c>
      <c r="AE108" s="276">
        <v>0</v>
      </c>
      <c r="AF108" s="276">
        <v>0</v>
      </c>
      <c r="AG108" s="276">
        <v>0</v>
      </c>
      <c r="AH108" s="276">
        <v>0</v>
      </c>
      <c r="AI108" s="276"/>
      <c r="AJ108" s="276"/>
      <c r="AK108" s="56"/>
      <c r="AL108" s="56"/>
      <c r="AM108" s="56"/>
      <c r="AN108" s="56"/>
    </row>
    <row r="109" spans="1:40" x14ac:dyDescent="0.2">
      <c r="A109" s="274">
        <v>44896</v>
      </c>
      <c r="B109" s="276">
        <v>6285639</v>
      </c>
      <c r="C109" s="276">
        <v>3000351.5253322874</v>
      </c>
      <c r="D109" s="276">
        <v>189301</v>
      </c>
      <c r="E109" s="276">
        <v>364897</v>
      </c>
      <c r="F109" s="276">
        <v>66390</v>
      </c>
      <c r="G109" s="276">
        <v>207432</v>
      </c>
      <c r="H109" s="276">
        <v>284045.88194531255</v>
      </c>
      <c r="I109" s="276">
        <v>556257.59272239998</v>
      </c>
      <c r="J109" s="276">
        <v>229681</v>
      </c>
      <c r="K109" s="276">
        <v>44577</v>
      </c>
      <c r="L109" s="276">
        <v>91252</v>
      </c>
      <c r="M109" s="276">
        <v>0</v>
      </c>
      <c r="N109" s="276">
        <v>47314</v>
      </c>
      <c r="O109" s="276">
        <v>30935</v>
      </c>
      <c r="P109" s="276">
        <v>3918</v>
      </c>
      <c r="Q109" s="276">
        <v>49088</v>
      </c>
      <c r="R109" s="276"/>
      <c r="S109" s="276"/>
      <c r="T109" s="276"/>
      <c r="U109" s="276"/>
      <c r="V109" s="276"/>
      <c r="W109" s="276">
        <v>105310</v>
      </c>
      <c r="X109" s="276">
        <v>408265</v>
      </c>
      <c r="Y109" s="276">
        <v>606624</v>
      </c>
      <c r="Z109" s="277">
        <v>330635</v>
      </c>
      <c r="AA109" s="294">
        <v>275989</v>
      </c>
      <c r="AB109" s="294">
        <v>603571.59272239998</v>
      </c>
      <c r="AC109" s="576"/>
      <c r="AD109" s="308">
        <v>79105</v>
      </c>
      <c r="AE109" s="276">
        <v>0</v>
      </c>
      <c r="AF109" s="276">
        <v>0</v>
      </c>
      <c r="AG109" s="276">
        <v>0</v>
      </c>
      <c r="AH109" s="276">
        <v>0</v>
      </c>
      <c r="AI109" s="276"/>
      <c r="AJ109" s="276"/>
      <c r="AK109" s="56"/>
      <c r="AL109" s="56"/>
      <c r="AM109" s="56"/>
      <c r="AN109" s="56"/>
    </row>
    <row r="110" spans="1:40" x14ac:dyDescent="0.2">
      <c r="A110" s="295">
        <v>44927</v>
      </c>
      <c r="B110" s="296">
        <v>6116888</v>
      </c>
      <c r="C110" s="296">
        <v>2907283</v>
      </c>
      <c r="D110" s="296">
        <v>203969</v>
      </c>
      <c r="E110" s="296">
        <v>366341</v>
      </c>
      <c r="F110" s="296">
        <v>64380</v>
      </c>
      <c r="G110" s="296">
        <v>206177</v>
      </c>
      <c r="H110" s="296">
        <v>274256</v>
      </c>
      <c r="I110" s="296">
        <v>556060</v>
      </c>
      <c r="J110" s="296">
        <v>217300</v>
      </c>
      <c r="K110" s="296">
        <v>39987</v>
      </c>
      <c r="L110" s="296">
        <v>69190</v>
      </c>
      <c r="M110" s="296">
        <v>0</v>
      </c>
      <c r="N110" s="296">
        <v>45634</v>
      </c>
      <c r="O110" s="296">
        <v>21361</v>
      </c>
      <c r="P110" s="296">
        <v>3960</v>
      </c>
      <c r="Q110" s="296">
        <v>46743</v>
      </c>
      <c r="R110" s="296"/>
      <c r="S110" s="296"/>
      <c r="T110" s="296">
        <v>0</v>
      </c>
      <c r="U110" s="296">
        <v>0</v>
      </c>
      <c r="V110" s="296">
        <v>120500</v>
      </c>
      <c r="W110" s="296">
        <v>95650</v>
      </c>
      <c r="X110" s="296">
        <v>318713</v>
      </c>
      <c r="Y110" s="296">
        <v>559384</v>
      </c>
      <c r="Z110" s="297">
        <v>291933</v>
      </c>
      <c r="AA110" s="298">
        <v>267451</v>
      </c>
      <c r="AB110" s="298">
        <v>601694</v>
      </c>
      <c r="AC110" s="576"/>
      <c r="AD110" s="309">
        <v>42482</v>
      </c>
      <c r="AE110" s="296">
        <v>0</v>
      </c>
      <c r="AF110" s="296">
        <v>0</v>
      </c>
      <c r="AG110" s="296">
        <v>0</v>
      </c>
      <c r="AH110" s="296">
        <v>0</v>
      </c>
      <c r="AI110" s="296"/>
      <c r="AJ110" s="296"/>
      <c r="AK110" s="56"/>
      <c r="AL110" s="56"/>
      <c r="AM110" s="56"/>
      <c r="AN110" s="56"/>
    </row>
    <row r="111" spans="1:40" x14ac:dyDescent="0.2">
      <c r="A111" s="295">
        <v>44958</v>
      </c>
      <c r="B111" s="296">
        <v>6266442</v>
      </c>
      <c r="C111" s="296">
        <v>3003711</v>
      </c>
      <c r="D111" s="296">
        <v>199047</v>
      </c>
      <c r="E111" s="296">
        <v>344682</v>
      </c>
      <c r="F111" s="296">
        <v>59850</v>
      </c>
      <c r="G111" s="296">
        <v>180898</v>
      </c>
      <c r="H111" s="296">
        <v>266331</v>
      </c>
      <c r="I111" s="296">
        <v>601288</v>
      </c>
      <c r="J111" s="296">
        <v>228400</v>
      </c>
      <c r="K111" s="296">
        <v>42292</v>
      </c>
      <c r="L111" s="296">
        <v>66777</v>
      </c>
      <c r="M111" s="296">
        <v>0</v>
      </c>
      <c r="N111" s="296">
        <v>53805</v>
      </c>
      <c r="O111" s="296">
        <v>25635</v>
      </c>
      <c r="P111" s="296">
        <v>3751</v>
      </c>
      <c r="Q111" s="296">
        <v>32839</v>
      </c>
      <c r="R111" s="296"/>
      <c r="S111" s="296"/>
      <c r="T111" s="296">
        <v>0</v>
      </c>
      <c r="U111" s="296">
        <v>0</v>
      </c>
      <c r="V111" s="296">
        <v>111300</v>
      </c>
      <c r="W111" s="296">
        <v>97450</v>
      </c>
      <c r="X111" s="296">
        <v>401557</v>
      </c>
      <c r="Y111" s="296">
        <v>546828</v>
      </c>
      <c r="Z111" s="297">
        <v>330857</v>
      </c>
      <c r="AA111" s="298">
        <v>215971</v>
      </c>
      <c r="AB111" s="298">
        <v>655093</v>
      </c>
      <c r="AC111" s="576"/>
      <c r="AD111" s="309">
        <v>66007</v>
      </c>
      <c r="AE111" s="296">
        <v>0</v>
      </c>
      <c r="AF111" s="296">
        <v>0</v>
      </c>
      <c r="AG111" s="296">
        <v>0</v>
      </c>
      <c r="AH111" s="296">
        <v>0</v>
      </c>
      <c r="AI111" s="296"/>
      <c r="AJ111" s="296"/>
      <c r="AK111" s="56"/>
      <c r="AL111" s="56"/>
      <c r="AM111" s="56"/>
      <c r="AN111" s="56"/>
    </row>
    <row r="112" spans="1:40" x14ac:dyDescent="0.2">
      <c r="A112" s="295">
        <v>44986</v>
      </c>
      <c r="B112" s="296">
        <v>6828592</v>
      </c>
      <c r="C112" s="296">
        <v>3087483</v>
      </c>
      <c r="D112" s="296">
        <v>208188</v>
      </c>
      <c r="E112" s="296">
        <v>371708</v>
      </c>
      <c r="F112" s="296">
        <v>62330</v>
      </c>
      <c r="G112" s="296">
        <v>161082</v>
      </c>
      <c r="H112" s="296">
        <v>290893</v>
      </c>
      <c r="I112" s="296">
        <v>869346</v>
      </c>
      <c r="J112" s="296">
        <v>244523</v>
      </c>
      <c r="K112" s="296">
        <v>53343</v>
      </c>
      <c r="L112" s="296">
        <v>77615</v>
      </c>
      <c r="M112" s="296"/>
      <c r="N112" s="296">
        <v>87303</v>
      </c>
      <c r="O112" s="296">
        <v>29052</v>
      </c>
      <c r="P112" s="296">
        <v>4863</v>
      </c>
      <c r="Q112" s="296">
        <v>60432</v>
      </c>
      <c r="R112" s="296"/>
      <c r="S112" s="296"/>
      <c r="T112" s="296">
        <v>0</v>
      </c>
      <c r="U112" s="296">
        <v>0</v>
      </c>
      <c r="V112" s="296">
        <v>128500</v>
      </c>
      <c r="W112" s="296">
        <v>105840</v>
      </c>
      <c r="X112" s="296">
        <v>422423</v>
      </c>
      <c r="Y112" s="296">
        <v>563668</v>
      </c>
      <c r="Z112" s="297">
        <v>362033</v>
      </c>
      <c r="AA112" s="298">
        <v>201635</v>
      </c>
      <c r="AB112" s="298">
        <v>956649</v>
      </c>
      <c r="AC112" s="576"/>
      <c r="AD112" s="309">
        <v>65226</v>
      </c>
      <c r="AE112" s="296">
        <v>0</v>
      </c>
      <c r="AF112" s="296">
        <v>0</v>
      </c>
      <c r="AG112" s="296">
        <v>0</v>
      </c>
      <c r="AH112" s="296">
        <v>0</v>
      </c>
      <c r="AI112" s="296"/>
      <c r="AJ112" s="296"/>
      <c r="AK112" s="56"/>
      <c r="AL112" s="56"/>
      <c r="AM112" s="56"/>
      <c r="AN112" s="56"/>
    </row>
    <row r="113" spans="1:40" x14ac:dyDescent="0.2">
      <c r="A113" s="295">
        <v>45017</v>
      </c>
      <c r="B113" s="296">
        <v>6998355</v>
      </c>
      <c r="C113" s="296">
        <v>2888262</v>
      </c>
      <c r="D113" s="296">
        <v>203002</v>
      </c>
      <c r="E113" s="296">
        <v>343942</v>
      </c>
      <c r="F113" s="296">
        <v>60020</v>
      </c>
      <c r="G113" s="296">
        <v>130668</v>
      </c>
      <c r="H113" s="296">
        <v>296464</v>
      </c>
      <c r="I113" s="296">
        <v>1134981</v>
      </c>
      <c r="J113" s="296">
        <v>221077</v>
      </c>
      <c r="K113" s="296">
        <v>51421</v>
      </c>
      <c r="L113" s="296">
        <v>84792</v>
      </c>
      <c r="M113" s="296"/>
      <c r="N113" s="296">
        <v>105975</v>
      </c>
      <c r="O113" s="296">
        <v>33207</v>
      </c>
      <c r="P113" s="296">
        <v>5858</v>
      </c>
      <c r="Q113" s="296">
        <v>55411</v>
      </c>
      <c r="R113" s="296"/>
      <c r="S113" s="296"/>
      <c r="T113" s="296">
        <v>0</v>
      </c>
      <c r="U113" s="296">
        <v>0</v>
      </c>
      <c r="V113" s="296">
        <v>171500</v>
      </c>
      <c r="W113" s="296">
        <v>112930</v>
      </c>
      <c r="X113" s="296">
        <v>505398</v>
      </c>
      <c r="Y113" s="296">
        <v>593447</v>
      </c>
      <c r="Z113" s="297">
        <v>334481</v>
      </c>
      <c r="AA113" s="298">
        <v>258966</v>
      </c>
      <c r="AB113" s="298">
        <v>1240956</v>
      </c>
      <c r="AC113" s="576"/>
      <c r="AD113" s="309">
        <v>98989</v>
      </c>
      <c r="AE113" s="296">
        <v>0</v>
      </c>
      <c r="AF113" s="296">
        <v>0</v>
      </c>
      <c r="AG113" s="296">
        <v>0</v>
      </c>
      <c r="AH113" s="296">
        <v>0</v>
      </c>
      <c r="AI113" s="296"/>
      <c r="AJ113" s="296"/>
      <c r="AK113" s="56"/>
      <c r="AL113" s="56"/>
      <c r="AM113" s="56"/>
      <c r="AN113" s="56"/>
    </row>
    <row r="114" spans="1:40" x14ac:dyDescent="0.2">
      <c r="A114" s="295">
        <v>45047</v>
      </c>
      <c r="B114" s="296">
        <v>8625441</v>
      </c>
      <c r="C114" s="296">
        <v>3325897</v>
      </c>
      <c r="D114" s="296">
        <v>217017</v>
      </c>
      <c r="E114" s="296">
        <v>395100</v>
      </c>
      <c r="F114" s="296">
        <v>70780</v>
      </c>
      <c r="G114" s="296">
        <v>134571</v>
      </c>
      <c r="H114" s="296">
        <v>333422</v>
      </c>
      <c r="I114" s="296">
        <v>1674901</v>
      </c>
      <c r="J114" s="296">
        <v>246200</v>
      </c>
      <c r="K114" s="296">
        <v>67214</v>
      </c>
      <c r="L114" s="296">
        <v>129786</v>
      </c>
      <c r="M114" s="296"/>
      <c r="N114" s="296">
        <v>162347</v>
      </c>
      <c r="O114" s="296">
        <v>34087</v>
      </c>
      <c r="P114" s="296">
        <v>9007</v>
      </c>
      <c r="Q114" s="296">
        <v>69546</v>
      </c>
      <c r="R114" s="296"/>
      <c r="S114" s="296"/>
      <c r="T114" s="296">
        <v>0</v>
      </c>
      <c r="U114" s="296">
        <v>0</v>
      </c>
      <c r="V114" s="296">
        <v>241758</v>
      </c>
      <c r="W114" s="296">
        <v>158700</v>
      </c>
      <c r="X114" s="296">
        <v>580251</v>
      </c>
      <c r="Y114" s="296">
        <v>774857</v>
      </c>
      <c r="Z114" s="297">
        <v>378813</v>
      </c>
      <c r="AA114" s="298">
        <v>396044</v>
      </c>
      <c r="AB114" s="298">
        <v>1837248</v>
      </c>
      <c r="AC114" s="576"/>
      <c r="AD114" s="309">
        <v>100765</v>
      </c>
      <c r="AE114" s="296">
        <v>0</v>
      </c>
      <c r="AF114" s="296">
        <v>0</v>
      </c>
      <c r="AG114" s="296">
        <v>0</v>
      </c>
      <c r="AH114" s="296">
        <v>0</v>
      </c>
      <c r="AI114" s="296"/>
      <c r="AJ114" s="296"/>
      <c r="AK114" s="56"/>
      <c r="AL114" s="56"/>
      <c r="AM114" s="56"/>
      <c r="AN114" s="56"/>
    </row>
    <row r="115" spans="1:40" x14ac:dyDescent="0.2">
      <c r="A115" s="295">
        <v>45078</v>
      </c>
      <c r="B115" s="296">
        <v>9164894</v>
      </c>
      <c r="C115" s="296">
        <v>3168628</v>
      </c>
      <c r="D115" s="296">
        <v>196368</v>
      </c>
      <c r="E115" s="296">
        <v>377740</v>
      </c>
      <c r="F115" s="296">
        <v>69220</v>
      </c>
      <c r="G115" s="296">
        <v>130018</v>
      </c>
      <c r="H115" s="296">
        <v>325721</v>
      </c>
      <c r="I115" s="296">
        <v>2088084</v>
      </c>
      <c r="J115" s="296">
        <v>221800</v>
      </c>
      <c r="K115" s="296">
        <v>56861</v>
      </c>
      <c r="L115" s="296">
        <v>153093</v>
      </c>
      <c r="M115" s="296"/>
      <c r="N115" s="296">
        <v>185045</v>
      </c>
      <c r="O115" s="296">
        <v>35804</v>
      </c>
      <c r="P115" s="296">
        <v>11908</v>
      </c>
      <c r="Q115" s="296">
        <v>63058</v>
      </c>
      <c r="R115" s="296"/>
      <c r="S115" s="296"/>
      <c r="T115" s="296">
        <v>0</v>
      </c>
      <c r="U115" s="296">
        <v>0</v>
      </c>
      <c r="V115" s="296">
        <v>309600</v>
      </c>
      <c r="W115" s="296">
        <v>197740</v>
      </c>
      <c r="X115" s="296">
        <v>654247</v>
      </c>
      <c r="Y115" s="296">
        <v>919959</v>
      </c>
      <c r="Z115" s="297">
        <v>338399</v>
      </c>
      <c r="AA115" s="298">
        <v>581560</v>
      </c>
      <c r="AB115" s="298">
        <v>2273129</v>
      </c>
      <c r="AC115" s="576"/>
      <c r="AD115" s="309">
        <v>122163</v>
      </c>
      <c r="AE115" s="296">
        <v>0</v>
      </c>
      <c r="AF115" s="296">
        <v>0</v>
      </c>
      <c r="AG115" s="296">
        <v>0</v>
      </c>
      <c r="AH115" s="296">
        <v>0</v>
      </c>
      <c r="AI115" s="296"/>
      <c r="AJ115" s="296"/>
      <c r="AK115" s="56"/>
      <c r="AL115" s="56"/>
      <c r="AM115" s="56"/>
      <c r="AN115" s="56"/>
    </row>
    <row r="116" spans="1:40" x14ac:dyDescent="0.2">
      <c r="A116" s="295">
        <v>45108</v>
      </c>
      <c r="B116" s="296">
        <v>8395978</v>
      </c>
      <c r="C116" s="296">
        <v>2247388</v>
      </c>
      <c r="D116" s="296">
        <v>231950</v>
      </c>
      <c r="E116" s="296">
        <v>401450</v>
      </c>
      <c r="F116" s="296">
        <v>66610</v>
      </c>
      <c r="G116" s="296">
        <v>124539</v>
      </c>
      <c r="H116" s="296">
        <v>366511</v>
      </c>
      <c r="I116" s="296">
        <v>2235244</v>
      </c>
      <c r="J116" s="296">
        <v>230400</v>
      </c>
      <c r="K116" s="296">
        <v>49612</v>
      </c>
      <c r="L116" s="296">
        <v>149108</v>
      </c>
      <c r="M116" s="296"/>
      <c r="N116" s="296">
        <v>186865</v>
      </c>
      <c r="O116" s="296">
        <v>43768</v>
      </c>
      <c r="P116" s="296">
        <v>14113</v>
      </c>
      <c r="Q116" s="296">
        <v>67884</v>
      </c>
      <c r="R116" s="296"/>
      <c r="S116" s="296"/>
      <c r="T116" s="296">
        <v>0</v>
      </c>
      <c r="U116" s="296">
        <v>0</v>
      </c>
      <c r="V116" s="296">
        <v>355700</v>
      </c>
      <c r="W116" s="296">
        <v>191240</v>
      </c>
      <c r="X116" s="296">
        <v>578961</v>
      </c>
      <c r="Y116" s="296">
        <v>854635</v>
      </c>
      <c r="Z116" s="297">
        <v>301258</v>
      </c>
      <c r="AA116" s="298">
        <v>553377</v>
      </c>
      <c r="AB116" s="298">
        <v>2422109</v>
      </c>
      <c r="AC116" s="576"/>
      <c r="AD116" s="309">
        <v>101445</v>
      </c>
      <c r="AE116" s="296">
        <v>0</v>
      </c>
      <c r="AF116" s="296">
        <v>0</v>
      </c>
      <c r="AG116" s="296">
        <v>0</v>
      </c>
      <c r="AH116" s="296">
        <v>0</v>
      </c>
      <c r="AI116" s="296"/>
      <c r="AJ116" s="296"/>
      <c r="AK116" s="56"/>
      <c r="AL116" s="56"/>
      <c r="AM116" s="56"/>
      <c r="AN116" s="56"/>
    </row>
    <row r="117" spans="1:40" x14ac:dyDescent="0.2">
      <c r="A117" s="295">
        <v>45139</v>
      </c>
      <c r="B117" s="296">
        <v>10021052</v>
      </c>
      <c r="C117" s="296">
        <v>3687850</v>
      </c>
      <c r="D117" s="296">
        <v>212471</v>
      </c>
      <c r="E117" s="296">
        <v>386230</v>
      </c>
      <c r="F117" s="296">
        <v>63030</v>
      </c>
      <c r="G117" s="296">
        <v>123688</v>
      </c>
      <c r="H117" s="296">
        <v>315255</v>
      </c>
      <c r="I117" s="296">
        <v>2261709</v>
      </c>
      <c r="J117" s="296">
        <v>220600</v>
      </c>
      <c r="K117" s="296">
        <v>63082</v>
      </c>
      <c r="L117" s="296">
        <v>196791</v>
      </c>
      <c r="M117" s="296"/>
      <c r="N117" s="296">
        <v>245701</v>
      </c>
      <c r="O117" s="296">
        <v>33881</v>
      </c>
      <c r="P117" s="296">
        <v>12424</v>
      </c>
      <c r="Q117" s="296">
        <v>62895</v>
      </c>
      <c r="R117" s="296"/>
      <c r="S117" s="296"/>
      <c r="T117" s="296">
        <v>0</v>
      </c>
      <c r="U117" s="296">
        <v>0</v>
      </c>
      <c r="V117" s="296">
        <v>355100</v>
      </c>
      <c r="W117" s="296">
        <v>182220</v>
      </c>
      <c r="X117" s="296">
        <v>574170</v>
      </c>
      <c r="Y117" s="296">
        <v>1023955</v>
      </c>
      <c r="Z117" s="297">
        <v>353508</v>
      </c>
      <c r="AA117" s="298">
        <v>670447</v>
      </c>
      <c r="AB117" s="298">
        <v>2507410</v>
      </c>
      <c r="AC117" s="576"/>
      <c r="AD117" s="309">
        <v>132118</v>
      </c>
      <c r="AE117" s="296">
        <v>0</v>
      </c>
      <c r="AF117" s="296">
        <v>0</v>
      </c>
      <c r="AG117" s="296">
        <v>0</v>
      </c>
      <c r="AH117" s="296">
        <v>0</v>
      </c>
      <c r="AI117" s="296"/>
      <c r="AJ117" s="296"/>
      <c r="AK117" s="56"/>
      <c r="AL117" s="56"/>
      <c r="AM117" s="56"/>
      <c r="AN117" s="56"/>
    </row>
    <row r="118" spans="1:40" x14ac:dyDescent="0.2">
      <c r="A118" s="295">
        <v>45170</v>
      </c>
      <c r="B118" s="296">
        <v>9234983</v>
      </c>
      <c r="C118" s="296">
        <v>3068198</v>
      </c>
      <c r="D118" s="296">
        <v>210702</v>
      </c>
      <c r="E118" s="296">
        <v>397330</v>
      </c>
      <c r="F118" s="296">
        <v>60020</v>
      </c>
      <c r="G118" s="296">
        <v>125072</v>
      </c>
      <c r="H118" s="296">
        <v>309832</v>
      </c>
      <c r="I118" s="296">
        <v>2087766</v>
      </c>
      <c r="J118" s="296">
        <v>228100</v>
      </c>
      <c r="K118" s="296">
        <v>48820</v>
      </c>
      <c r="L118" s="296">
        <v>133636</v>
      </c>
      <c r="M118" s="296"/>
      <c r="N118" s="296">
        <v>172602</v>
      </c>
      <c r="O118" s="296">
        <v>57403</v>
      </c>
      <c r="P118" s="296">
        <v>8392</v>
      </c>
      <c r="Q118" s="296">
        <v>58131</v>
      </c>
      <c r="R118" s="296"/>
      <c r="S118" s="296"/>
      <c r="T118" s="296">
        <v>0</v>
      </c>
      <c r="U118" s="296">
        <v>37989</v>
      </c>
      <c r="V118" s="296">
        <v>332800</v>
      </c>
      <c r="W118" s="296">
        <v>174560</v>
      </c>
      <c r="X118" s="296">
        <v>798145</v>
      </c>
      <c r="Y118" s="296">
        <v>925485</v>
      </c>
      <c r="Z118" s="297">
        <v>370944</v>
      </c>
      <c r="AA118" s="298">
        <v>554541</v>
      </c>
      <c r="AB118" s="298">
        <v>2260368</v>
      </c>
      <c r="AC118" s="576"/>
      <c r="AD118" s="309">
        <v>123050</v>
      </c>
      <c r="AE118" s="296">
        <v>0</v>
      </c>
      <c r="AF118" s="296">
        <v>0</v>
      </c>
      <c r="AG118" s="296">
        <v>0</v>
      </c>
      <c r="AH118" s="296">
        <v>0</v>
      </c>
      <c r="AI118" s="296"/>
      <c r="AJ118" s="296"/>
      <c r="AK118" s="56"/>
      <c r="AL118" s="56"/>
      <c r="AM118" s="56"/>
      <c r="AN118" s="56"/>
    </row>
    <row r="119" spans="1:40" x14ac:dyDescent="0.2">
      <c r="A119" s="295">
        <v>45200</v>
      </c>
      <c r="B119" s="296">
        <v>8906994</v>
      </c>
      <c r="C119" s="296">
        <v>3472720</v>
      </c>
      <c r="D119" s="296">
        <v>209344</v>
      </c>
      <c r="E119" s="296">
        <v>401070</v>
      </c>
      <c r="F119" s="296">
        <v>60560</v>
      </c>
      <c r="G119" s="296">
        <v>130293</v>
      </c>
      <c r="H119" s="296">
        <v>330878</v>
      </c>
      <c r="I119" s="296">
        <v>1682178</v>
      </c>
      <c r="J119" s="296">
        <v>234800</v>
      </c>
      <c r="K119" s="296">
        <v>54006</v>
      </c>
      <c r="L119" s="296">
        <v>129915</v>
      </c>
      <c r="M119" s="296"/>
      <c r="N119" s="296">
        <v>161279</v>
      </c>
      <c r="O119" s="296">
        <v>30563</v>
      </c>
      <c r="P119" s="296">
        <v>6860</v>
      </c>
      <c r="Q119" s="296">
        <v>55225</v>
      </c>
      <c r="R119" s="296"/>
      <c r="S119" s="296"/>
      <c r="T119" s="296">
        <v>0</v>
      </c>
      <c r="U119" s="296">
        <v>37989</v>
      </c>
      <c r="V119" s="296">
        <v>273600</v>
      </c>
      <c r="W119" s="296">
        <v>141370</v>
      </c>
      <c r="X119" s="296">
        <v>695080</v>
      </c>
      <c r="Y119" s="296">
        <v>799264</v>
      </c>
      <c r="Z119" s="297">
        <v>377527</v>
      </c>
      <c r="AA119" s="298">
        <v>421737</v>
      </c>
      <c r="AB119" s="298">
        <v>1843457</v>
      </c>
      <c r="AC119" s="576"/>
      <c r="AD119" s="309">
        <v>129469</v>
      </c>
      <c r="AE119" s="296">
        <v>0</v>
      </c>
      <c r="AF119" s="296">
        <v>0</v>
      </c>
      <c r="AG119" s="296">
        <v>0</v>
      </c>
      <c r="AH119" s="296">
        <v>0</v>
      </c>
      <c r="AI119" s="296"/>
      <c r="AJ119" s="296"/>
      <c r="AK119" s="56"/>
      <c r="AL119" s="56"/>
      <c r="AM119" s="56"/>
      <c r="AN119" s="56"/>
    </row>
    <row r="120" spans="1:40" x14ac:dyDescent="0.2">
      <c r="A120" s="295">
        <v>45231</v>
      </c>
      <c r="B120" s="296">
        <v>7592642</v>
      </c>
      <c r="C120" s="296">
        <v>3137873</v>
      </c>
      <c r="D120" s="296">
        <v>209208</v>
      </c>
      <c r="E120" s="296">
        <v>401387</v>
      </c>
      <c r="F120" s="296">
        <v>61030</v>
      </c>
      <c r="G120" s="296">
        <v>132665</v>
      </c>
      <c r="H120" s="296">
        <v>335333</v>
      </c>
      <c r="I120" s="296">
        <v>1145718</v>
      </c>
      <c r="J120" s="296">
        <v>240600</v>
      </c>
      <c r="K120" s="296">
        <v>52505</v>
      </c>
      <c r="L120" s="296">
        <v>114445</v>
      </c>
      <c r="M120" s="296"/>
      <c r="N120" s="296">
        <v>110214</v>
      </c>
      <c r="O120" s="296">
        <v>45235</v>
      </c>
      <c r="P120" s="296">
        <v>6132</v>
      </c>
      <c r="Q120" s="296">
        <v>48733</v>
      </c>
      <c r="R120" s="296"/>
      <c r="S120" s="296"/>
      <c r="T120" s="296">
        <v>0</v>
      </c>
      <c r="U120" s="296">
        <v>37989</v>
      </c>
      <c r="V120" s="296">
        <v>188800</v>
      </c>
      <c r="W120" s="296">
        <v>116120</v>
      </c>
      <c r="X120" s="296">
        <v>542826</v>
      </c>
      <c r="Y120" s="296">
        <v>665829</v>
      </c>
      <c r="Z120" s="297">
        <v>389105</v>
      </c>
      <c r="AA120" s="298">
        <v>276724</v>
      </c>
      <c r="AB120" s="298">
        <v>1255932</v>
      </c>
      <c r="AC120" s="576"/>
      <c r="AD120" s="309">
        <v>81480</v>
      </c>
      <c r="AE120" s="296">
        <v>0</v>
      </c>
      <c r="AF120" s="296">
        <v>0</v>
      </c>
      <c r="AG120" s="296">
        <v>0</v>
      </c>
      <c r="AH120" s="296">
        <v>0</v>
      </c>
      <c r="AI120" s="296"/>
      <c r="AJ120" s="296"/>
      <c r="AK120" s="56"/>
      <c r="AL120" s="56"/>
      <c r="AM120" s="56"/>
      <c r="AN120" s="56"/>
    </row>
    <row r="121" spans="1:40" x14ac:dyDescent="0.2">
      <c r="A121" s="295">
        <v>45261</v>
      </c>
      <c r="B121" s="296">
        <v>6470056</v>
      </c>
      <c r="C121" s="296">
        <v>2881577</v>
      </c>
      <c r="D121" s="296">
        <v>187500</v>
      </c>
      <c r="E121" s="296">
        <v>362093</v>
      </c>
      <c r="F121" s="296">
        <v>58940</v>
      </c>
      <c r="G121" s="296">
        <v>141268</v>
      </c>
      <c r="H121" s="296">
        <v>297075</v>
      </c>
      <c r="I121" s="296">
        <v>760035</v>
      </c>
      <c r="J121" s="296">
        <v>205900</v>
      </c>
      <c r="K121" s="296">
        <v>47269</v>
      </c>
      <c r="L121" s="296">
        <v>92079</v>
      </c>
      <c r="M121" s="296"/>
      <c r="N121" s="296">
        <v>63014</v>
      </c>
      <c r="O121" s="296">
        <v>26483</v>
      </c>
      <c r="P121" s="296">
        <v>3860</v>
      </c>
      <c r="Q121" s="296">
        <v>40280</v>
      </c>
      <c r="R121" s="296"/>
      <c r="S121" s="296"/>
      <c r="T121" s="296">
        <v>0</v>
      </c>
      <c r="U121" s="296">
        <v>37989</v>
      </c>
      <c r="V121" s="296">
        <v>157500</v>
      </c>
      <c r="W121" s="296">
        <v>102910</v>
      </c>
      <c r="X121" s="296">
        <v>423456</v>
      </c>
      <c r="Y121" s="296">
        <v>580828</v>
      </c>
      <c r="Z121" s="297">
        <v>332453</v>
      </c>
      <c r="AA121" s="298">
        <v>248375</v>
      </c>
      <c r="AB121" s="298">
        <v>823049</v>
      </c>
      <c r="AC121" s="576"/>
      <c r="AD121" s="309">
        <v>61721</v>
      </c>
      <c r="AE121" s="296">
        <v>0</v>
      </c>
      <c r="AF121" s="296">
        <v>0</v>
      </c>
      <c r="AG121" s="296">
        <v>0</v>
      </c>
      <c r="AH121" s="296">
        <v>0</v>
      </c>
      <c r="AI121" s="296"/>
      <c r="AJ121" s="296"/>
      <c r="AK121" s="56"/>
      <c r="AL121" s="56"/>
      <c r="AM121" s="56"/>
      <c r="AN121" s="56"/>
    </row>
    <row r="122" spans="1:40" x14ac:dyDescent="0.2">
      <c r="A122" s="280">
        <v>45292</v>
      </c>
      <c r="B122" s="282">
        <v>6692267</v>
      </c>
      <c r="C122" s="282">
        <v>3287729</v>
      </c>
      <c r="D122" s="282">
        <v>208974</v>
      </c>
      <c r="E122" s="282">
        <v>396860</v>
      </c>
      <c r="F122" s="282">
        <v>58410</v>
      </c>
      <c r="G122" s="282">
        <v>149803</v>
      </c>
      <c r="H122" s="282">
        <v>338199</v>
      </c>
      <c r="I122" s="282">
        <v>578170</v>
      </c>
      <c r="J122" s="282">
        <v>227300</v>
      </c>
      <c r="K122" s="282">
        <v>41306</v>
      </c>
      <c r="L122" s="282">
        <v>88012</v>
      </c>
      <c r="M122" s="282"/>
      <c r="N122" s="282">
        <v>40751</v>
      </c>
      <c r="O122" s="282">
        <v>27266</v>
      </c>
      <c r="P122" s="282">
        <v>4854</v>
      </c>
      <c r="Q122" s="282">
        <v>43154</v>
      </c>
      <c r="R122" s="282"/>
      <c r="S122" s="282"/>
      <c r="T122" s="282">
        <v>0</v>
      </c>
      <c r="U122" s="282">
        <v>40620</v>
      </c>
      <c r="V122" s="282">
        <v>142000</v>
      </c>
      <c r="W122" s="282">
        <v>110960</v>
      </c>
      <c r="X122" s="282">
        <v>290247</v>
      </c>
      <c r="Y122" s="282">
        <v>617652</v>
      </c>
      <c r="Z122" s="283">
        <v>349422</v>
      </c>
      <c r="AA122" s="287">
        <v>268230</v>
      </c>
      <c r="AB122" s="287">
        <v>618921</v>
      </c>
      <c r="AC122" s="576"/>
      <c r="AD122" s="304">
        <v>41708</v>
      </c>
      <c r="AE122" s="282">
        <v>0</v>
      </c>
      <c r="AF122" s="282">
        <v>0</v>
      </c>
      <c r="AG122" s="282">
        <v>0</v>
      </c>
      <c r="AH122" s="282">
        <v>0</v>
      </c>
      <c r="AI122" s="282"/>
      <c r="AJ122" s="282"/>
      <c r="AK122" s="56"/>
      <c r="AL122" s="56"/>
      <c r="AM122" s="56"/>
      <c r="AN122" s="56"/>
    </row>
    <row r="123" spans="1:40" x14ac:dyDescent="0.2">
      <c r="A123" s="280">
        <v>45323</v>
      </c>
      <c r="B123" s="282">
        <v>6654580</v>
      </c>
      <c r="C123" s="282">
        <v>3141372</v>
      </c>
      <c r="D123" s="282">
        <v>237623</v>
      </c>
      <c r="E123" s="282">
        <v>372509</v>
      </c>
      <c r="F123" s="282">
        <v>58160</v>
      </c>
      <c r="G123" s="282">
        <v>126061</v>
      </c>
      <c r="H123" s="282">
        <v>326079</v>
      </c>
      <c r="I123" s="282">
        <v>682091</v>
      </c>
      <c r="J123" s="282">
        <v>216300</v>
      </c>
      <c r="K123" s="282">
        <v>38954</v>
      </c>
      <c r="L123" s="282">
        <v>71168</v>
      </c>
      <c r="M123" s="282"/>
      <c r="N123" s="282">
        <v>59396</v>
      </c>
      <c r="O123" s="282">
        <v>28310</v>
      </c>
      <c r="P123" s="282">
        <v>4703</v>
      </c>
      <c r="Q123" s="282">
        <v>39420</v>
      </c>
      <c r="R123" s="282"/>
      <c r="S123" s="282">
        <v>1879</v>
      </c>
      <c r="T123" s="282">
        <v>0</v>
      </c>
      <c r="U123" s="282">
        <v>59861</v>
      </c>
      <c r="V123" s="282">
        <v>136800</v>
      </c>
      <c r="W123" s="282">
        <v>90700</v>
      </c>
      <c r="X123" s="282">
        <v>359002</v>
      </c>
      <c r="Y123" s="282">
        <v>604192</v>
      </c>
      <c r="Z123" s="281">
        <v>351548</v>
      </c>
      <c r="AA123" s="281">
        <v>252644</v>
      </c>
      <c r="AB123" s="281">
        <v>741487</v>
      </c>
      <c r="AC123" s="578"/>
      <c r="AD123" s="304">
        <v>58086</v>
      </c>
      <c r="AE123" s="282">
        <v>0</v>
      </c>
      <c r="AF123" s="282">
        <v>0</v>
      </c>
      <c r="AG123" s="282">
        <v>0</v>
      </c>
      <c r="AH123" s="282">
        <v>0</v>
      </c>
      <c r="AI123" s="282"/>
      <c r="AJ123" s="282"/>
      <c r="AK123" s="56"/>
      <c r="AL123" s="56"/>
      <c r="AM123" s="56"/>
      <c r="AN123" s="56"/>
    </row>
    <row r="124" spans="1:40" x14ac:dyDescent="0.2">
      <c r="A124" s="280">
        <v>45352</v>
      </c>
      <c r="B124" s="282">
        <v>6611330</v>
      </c>
      <c r="C124" s="282">
        <v>2763966</v>
      </c>
      <c r="D124" s="282">
        <v>160809</v>
      </c>
      <c r="E124" s="282">
        <v>367021</v>
      </c>
      <c r="F124" s="282">
        <v>57060</v>
      </c>
      <c r="G124" s="282">
        <v>139733</v>
      </c>
      <c r="H124" s="282">
        <v>295189</v>
      </c>
      <c r="I124" s="282">
        <v>921046</v>
      </c>
      <c r="J124" s="282">
        <v>217900</v>
      </c>
      <c r="K124" s="282">
        <v>42295</v>
      </c>
      <c r="L124" s="282">
        <v>88712</v>
      </c>
      <c r="M124" s="282"/>
      <c r="N124" s="282">
        <v>72772</v>
      </c>
      <c r="O124" s="282">
        <v>31071</v>
      </c>
      <c r="P124" s="282">
        <v>4856</v>
      </c>
      <c r="Q124" s="282">
        <v>38008</v>
      </c>
      <c r="R124" s="282"/>
      <c r="S124" s="282">
        <v>5290</v>
      </c>
      <c r="T124" s="282">
        <v>0</v>
      </c>
      <c r="U124" s="282">
        <v>64137</v>
      </c>
      <c r="V124" s="282">
        <v>190100</v>
      </c>
      <c r="W124" s="282">
        <v>115360</v>
      </c>
      <c r="X124" s="282">
        <v>416757</v>
      </c>
      <c r="Y124" s="282">
        <v>619248</v>
      </c>
      <c r="Z124" s="281">
        <v>350051</v>
      </c>
      <c r="AA124" s="281">
        <v>269197</v>
      </c>
      <c r="AB124" s="281">
        <v>993818</v>
      </c>
      <c r="AC124" s="578"/>
      <c r="AD124" s="304">
        <v>67798</v>
      </c>
      <c r="AE124" s="282">
        <v>0</v>
      </c>
      <c r="AF124" s="282">
        <v>0</v>
      </c>
      <c r="AG124" s="282">
        <v>0</v>
      </c>
      <c r="AH124" s="282">
        <v>0</v>
      </c>
      <c r="AI124" s="282"/>
      <c r="AJ124" s="282"/>
      <c r="AK124" s="56"/>
      <c r="AL124" s="56"/>
      <c r="AM124" s="56"/>
      <c r="AN124" s="56"/>
    </row>
    <row r="125" spans="1:40" x14ac:dyDescent="0.2">
      <c r="A125" s="280">
        <v>45383</v>
      </c>
      <c r="B125" s="282">
        <v>9041985</v>
      </c>
      <c r="C125" s="282">
        <v>3471953</v>
      </c>
      <c r="D125" s="282">
        <v>222022</v>
      </c>
      <c r="E125" s="282">
        <v>452750</v>
      </c>
      <c r="F125" s="282">
        <v>70170</v>
      </c>
      <c r="G125" s="282">
        <v>148209</v>
      </c>
      <c r="H125" s="282">
        <v>383286</v>
      </c>
      <c r="I125" s="282">
        <v>1608077</v>
      </c>
      <c r="J125" s="282">
        <v>248500</v>
      </c>
      <c r="K125" s="282">
        <v>48452</v>
      </c>
      <c r="L125" s="282">
        <v>116672</v>
      </c>
      <c r="M125" s="282"/>
      <c r="N125" s="282">
        <v>116582</v>
      </c>
      <c r="O125" s="282">
        <v>52517</v>
      </c>
      <c r="P125" s="282">
        <v>6798</v>
      </c>
      <c r="Q125" s="282">
        <v>68967</v>
      </c>
      <c r="R125" s="282"/>
      <c r="S125" s="282">
        <v>7974</v>
      </c>
      <c r="T125" s="282">
        <v>0</v>
      </c>
      <c r="U125" s="282">
        <v>66275</v>
      </c>
      <c r="V125" s="282">
        <v>273800</v>
      </c>
      <c r="W125" s="282">
        <v>163640</v>
      </c>
      <c r="X125" s="282">
        <v>674790</v>
      </c>
      <c r="Y125" s="282">
        <v>840552</v>
      </c>
      <c r="Z125" s="281">
        <v>399926</v>
      </c>
      <c r="AA125" s="281">
        <v>440626</v>
      </c>
      <c r="AB125" s="281">
        <v>1724659</v>
      </c>
      <c r="AC125" s="578"/>
      <c r="AD125" s="304">
        <v>94741</v>
      </c>
      <c r="AE125" s="282">
        <v>0</v>
      </c>
      <c r="AF125" s="282">
        <v>0</v>
      </c>
      <c r="AG125" s="282">
        <v>0</v>
      </c>
      <c r="AH125" s="282">
        <v>0</v>
      </c>
      <c r="AI125" s="282"/>
      <c r="AJ125" s="282"/>
      <c r="AK125" s="56"/>
      <c r="AL125" s="56"/>
      <c r="AM125" s="56"/>
      <c r="AN125" s="56"/>
    </row>
    <row r="126" spans="1:40" x14ac:dyDescent="0.2">
      <c r="A126" s="280">
        <v>45413</v>
      </c>
      <c r="B126" s="282">
        <v>8421191</v>
      </c>
      <c r="C126" s="282">
        <v>3058697</v>
      </c>
      <c r="D126" s="282">
        <v>207943</v>
      </c>
      <c r="E126" s="282">
        <v>410970</v>
      </c>
      <c r="F126" s="282">
        <v>62210</v>
      </c>
      <c r="G126" s="282">
        <v>134017</v>
      </c>
      <c r="H126" s="282">
        <v>334772</v>
      </c>
      <c r="I126" s="282">
        <v>1626912</v>
      </c>
      <c r="J126" s="282">
        <v>231500</v>
      </c>
      <c r="K126" s="282">
        <v>42471</v>
      </c>
      <c r="L126" s="282">
        <v>113551</v>
      </c>
      <c r="M126" s="282"/>
      <c r="N126" s="282">
        <v>101590</v>
      </c>
      <c r="O126" s="282">
        <v>52658</v>
      </c>
      <c r="P126" s="282">
        <v>7342</v>
      </c>
      <c r="Q126" s="282">
        <v>56046</v>
      </c>
      <c r="R126" s="282"/>
      <c r="S126" s="282">
        <v>10102</v>
      </c>
      <c r="T126" s="282">
        <v>0</v>
      </c>
      <c r="U126" s="282">
        <v>66275</v>
      </c>
      <c r="V126" s="282">
        <v>278100</v>
      </c>
      <c r="W126" s="282">
        <v>144060</v>
      </c>
      <c r="X126" s="282">
        <v>712034</v>
      </c>
      <c r="Y126" s="282">
        <v>769941</v>
      </c>
      <c r="Z126" s="281">
        <v>380344</v>
      </c>
      <c r="AA126" s="281">
        <v>389597</v>
      </c>
      <c r="AB126" s="281">
        <v>1728502</v>
      </c>
      <c r="AC126" s="578"/>
      <c r="AD126" s="304">
        <v>107822</v>
      </c>
      <c r="AE126" s="282">
        <v>0</v>
      </c>
      <c r="AF126" s="282">
        <v>0</v>
      </c>
      <c r="AG126" s="282">
        <v>0</v>
      </c>
      <c r="AH126" s="282">
        <v>0</v>
      </c>
      <c r="AI126" s="282">
        <v>25801</v>
      </c>
      <c r="AJ126" s="282"/>
      <c r="AK126" s="56"/>
      <c r="AL126" s="56"/>
      <c r="AM126" s="56"/>
      <c r="AN126" s="56"/>
    </row>
    <row r="127" spans="1:40" x14ac:dyDescent="0.2">
      <c r="A127" s="280">
        <v>45444</v>
      </c>
      <c r="B127" s="282">
        <v>8666283</v>
      </c>
      <c r="C127" s="282">
        <v>2717512</v>
      </c>
      <c r="D127" s="282">
        <v>214754</v>
      </c>
      <c r="E127" s="282">
        <v>396960</v>
      </c>
      <c r="F127" s="282">
        <v>57110</v>
      </c>
      <c r="G127" s="282">
        <v>127748</v>
      </c>
      <c r="H127" s="282">
        <v>329649</v>
      </c>
      <c r="I127" s="282">
        <v>2083326</v>
      </c>
      <c r="J127" s="282">
        <v>211700</v>
      </c>
      <c r="K127" s="282">
        <v>59734</v>
      </c>
      <c r="L127" s="282">
        <v>167321</v>
      </c>
      <c r="M127" s="282"/>
      <c r="N127" s="282">
        <v>166930</v>
      </c>
      <c r="O127" s="282">
        <v>44227</v>
      </c>
      <c r="P127" s="282">
        <v>8040</v>
      </c>
      <c r="Q127" s="282">
        <v>63275</v>
      </c>
      <c r="R127" s="282"/>
      <c r="S127" s="282">
        <v>10738</v>
      </c>
      <c r="T127" s="282">
        <v>0</v>
      </c>
      <c r="U127" s="282">
        <v>64137</v>
      </c>
      <c r="V127" s="282">
        <v>353300</v>
      </c>
      <c r="W127" s="282">
        <v>169890</v>
      </c>
      <c r="X127" s="282">
        <v>539097</v>
      </c>
      <c r="Y127" s="282">
        <v>880835</v>
      </c>
      <c r="Z127" s="281">
        <v>335002</v>
      </c>
      <c r="AA127" s="281">
        <v>545833</v>
      </c>
      <c r="AB127" s="281">
        <v>2250256</v>
      </c>
      <c r="AC127" s="578"/>
      <c r="AD127" s="304">
        <v>95744</v>
      </c>
      <c r="AE127" s="282">
        <v>0</v>
      </c>
      <c r="AF127" s="282">
        <v>0</v>
      </c>
      <c r="AG127" s="282">
        <v>0</v>
      </c>
      <c r="AH127" s="282">
        <v>0</v>
      </c>
      <c r="AI127" s="282">
        <v>13248</v>
      </c>
      <c r="AJ127" s="282">
        <v>318</v>
      </c>
      <c r="AK127" s="56"/>
      <c r="AL127" s="56"/>
      <c r="AM127" s="56"/>
      <c r="AN127" s="56"/>
    </row>
    <row r="128" spans="1:40" x14ac:dyDescent="0.2">
      <c r="A128" s="280">
        <v>45474</v>
      </c>
      <c r="B128" s="282">
        <v>10350803</v>
      </c>
      <c r="C128" s="282">
        <v>3299350</v>
      </c>
      <c r="D128" s="282">
        <v>312619</v>
      </c>
      <c r="E128" s="282">
        <v>452350</v>
      </c>
      <c r="F128" s="282">
        <v>57810</v>
      </c>
      <c r="G128" s="282">
        <v>138033</v>
      </c>
      <c r="H128" s="282">
        <v>365868</v>
      </c>
      <c r="I128" s="282">
        <v>2536101</v>
      </c>
      <c r="J128" s="282">
        <v>242000</v>
      </c>
      <c r="K128" s="282">
        <v>49635</v>
      </c>
      <c r="L128" s="282">
        <v>148622</v>
      </c>
      <c r="M128" s="282"/>
      <c r="N128" s="282">
        <v>146460</v>
      </c>
      <c r="O128" s="282">
        <v>54600</v>
      </c>
      <c r="P128" s="282">
        <v>11806</v>
      </c>
      <c r="Q128" s="282">
        <v>75700</v>
      </c>
      <c r="R128" s="282"/>
      <c r="S128" s="282">
        <v>12602</v>
      </c>
      <c r="T128" s="282">
        <v>0</v>
      </c>
      <c r="U128" s="282">
        <v>66275</v>
      </c>
      <c r="V128" s="282">
        <v>407800</v>
      </c>
      <c r="W128" s="282">
        <v>212120</v>
      </c>
      <c r="X128" s="282">
        <v>696785</v>
      </c>
      <c r="Y128" s="282">
        <v>1064267</v>
      </c>
      <c r="Z128" s="282">
        <v>365544</v>
      </c>
      <c r="AA128" s="282">
        <v>698723</v>
      </c>
      <c r="AB128" s="282">
        <v>2682561</v>
      </c>
      <c r="AC128" s="579"/>
      <c r="AD128" s="282">
        <v>106600</v>
      </c>
      <c r="AE128" s="282">
        <v>69045</v>
      </c>
      <c r="AF128" s="282">
        <v>1329</v>
      </c>
      <c r="AG128" s="282">
        <v>0</v>
      </c>
      <c r="AH128" s="282">
        <v>0</v>
      </c>
      <c r="AI128" s="282">
        <v>11258</v>
      </c>
      <c r="AJ128" s="282">
        <v>7737</v>
      </c>
      <c r="AK128" s="56"/>
      <c r="AL128" s="56"/>
      <c r="AM128" s="56"/>
      <c r="AN128" s="56"/>
    </row>
    <row r="129" spans="1:44" x14ac:dyDescent="0.2">
      <c r="A129" s="280">
        <v>45505</v>
      </c>
      <c r="B129" s="282">
        <v>9800377</v>
      </c>
      <c r="C129" s="282">
        <v>3045342</v>
      </c>
      <c r="D129" s="282">
        <v>304855</v>
      </c>
      <c r="E129" s="282">
        <v>430560</v>
      </c>
      <c r="F129" s="282">
        <v>59070</v>
      </c>
      <c r="G129" s="282">
        <v>135560</v>
      </c>
      <c r="H129" s="282">
        <v>358699</v>
      </c>
      <c r="I129" s="282">
        <v>2339192</v>
      </c>
      <c r="J129" s="282">
        <v>245100</v>
      </c>
      <c r="K129" s="282">
        <v>56920</v>
      </c>
      <c r="L129" s="282">
        <v>181289</v>
      </c>
      <c r="M129" s="282"/>
      <c r="N129" s="282">
        <v>171979</v>
      </c>
      <c r="O129" s="282">
        <v>54131</v>
      </c>
      <c r="P129" s="282">
        <v>14358</v>
      </c>
      <c r="Q129" s="282">
        <v>66652</v>
      </c>
      <c r="R129" s="282"/>
      <c r="S129" s="282">
        <v>12862</v>
      </c>
      <c r="T129" s="282">
        <v>0</v>
      </c>
      <c r="U129" s="282">
        <v>66275</v>
      </c>
      <c r="V129" s="282">
        <v>395600</v>
      </c>
      <c r="W129" s="282">
        <v>180530</v>
      </c>
      <c r="X129" s="282">
        <v>656280</v>
      </c>
      <c r="Y129" s="282">
        <v>1025123</v>
      </c>
      <c r="Z129" s="282">
        <v>369772</v>
      </c>
      <c r="AA129" s="282">
        <v>655351</v>
      </c>
      <c r="AB129" s="282">
        <v>2511171</v>
      </c>
      <c r="AC129" s="579"/>
      <c r="AD129" s="282">
        <v>84306</v>
      </c>
      <c r="AE129" s="282">
        <v>69331</v>
      </c>
      <c r="AF129" s="282">
        <v>1335</v>
      </c>
      <c r="AG129" s="282">
        <v>0</v>
      </c>
      <c r="AH129" s="282">
        <v>0</v>
      </c>
      <c r="AI129" s="282">
        <v>8509</v>
      </c>
      <c r="AJ129" s="282">
        <v>17199</v>
      </c>
      <c r="AK129" s="56"/>
      <c r="AL129" s="56"/>
      <c r="AM129" s="56"/>
      <c r="AN129" s="56"/>
    </row>
    <row r="130" spans="1:44" x14ac:dyDescent="0.2">
      <c r="A130" s="280">
        <v>45536</v>
      </c>
      <c r="B130" s="282">
        <v>10205357</v>
      </c>
      <c r="C130" s="282">
        <f>B130-SUM(D130:Y130)</f>
        <v>3286700</v>
      </c>
      <c r="D130" s="282">
        <v>339702</v>
      </c>
      <c r="E130" s="282">
        <v>411230</v>
      </c>
      <c r="F130" s="282">
        <v>59690</v>
      </c>
      <c r="G130" s="282">
        <v>133432</v>
      </c>
      <c r="H130" s="282">
        <v>360327</v>
      </c>
      <c r="I130" s="282">
        <v>2259366</v>
      </c>
      <c r="J130" s="282">
        <v>247100</v>
      </c>
      <c r="K130" s="282">
        <v>52628</v>
      </c>
      <c r="L130" s="282">
        <v>163882</v>
      </c>
      <c r="M130" s="282"/>
      <c r="N130" s="282">
        <v>166126</v>
      </c>
      <c r="O130" s="282">
        <v>50830</v>
      </c>
      <c r="P130" s="282">
        <v>11481</v>
      </c>
      <c r="Q130" s="282">
        <v>70316</v>
      </c>
      <c r="R130" s="282"/>
      <c r="S130" s="282">
        <v>15342</v>
      </c>
      <c r="T130" s="282">
        <v>0</v>
      </c>
      <c r="U130" s="282">
        <v>77142</v>
      </c>
      <c r="V130" s="282">
        <v>395100</v>
      </c>
      <c r="W130" s="282">
        <v>199630</v>
      </c>
      <c r="X130" s="282">
        <v>847948</v>
      </c>
      <c r="Y130" s="282">
        <v>1057385</v>
      </c>
      <c r="Z130" s="282">
        <v>418704</v>
      </c>
      <c r="AA130" s="282">
        <v>638681</v>
      </c>
      <c r="AB130" s="282">
        <v>2425492</v>
      </c>
      <c r="AC130" s="579"/>
      <c r="AD130" s="282">
        <v>117909</v>
      </c>
      <c r="AE130" s="282">
        <v>92614</v>
      </c>
      <c r="AF130" s="282">
        <v>1782</v>
      </c>
      <c r="AG130" s="282">
        <v>0</v>
      </c>
      <c r="AH130" s="282">
        <v>0</v>
      </c>
      <c r="AI130" s="282">
        <v>9978</v>
      </c>
      <c r="AJ130" s="282">
        <v>13862</v>
      </c>
      <c r="AK130" s="56"/>
      <c r="AL130" s="56"/>
      <c r="AM130" s="56"/>
      <c r="AN130" s="56"/>
    </row>
    <row r="131" spans="1:44" x14ac:dyDescent="0.2">
      <c r="A131" s="280">
        <v>45566</v>
      </c>
      <c r="B131" s="282">
        <v>8850727</v>
      </c>
      <c r="C131" s="282">
        <v>3180284</v>
      </c>
      <c r="D131" s="282">
        <v>351255</v>
      </c>
      <c r="E131" s="282">
        <v>410000</v>
      </c>
      <c r="F131" s="282">
        <v>58020</v>
      </c>
      <c r="G131" s="282">
        <v>124872</v>
      </c>
      <c r="H131" s="282">
        <v>358234</v>
      </c>
      <c r="I131" s="282">
        <v>1681166</v>
      </c>
      <c r="J131" s="282">
        <v>251900</v>
      </c>
      <c r="K131" s="282">
        <v>45340</v>
      </c>
      <c r="L131" s="282">
        <v>117930</v>
      </c>
      <c r="M131" s="282"/>
      <c r="N131" s="282">
        <v>120288</v>
      </c>
      <c r="O131" s="282">
        <v>41251</v>
      </c>
      <c r="P131" s="282">
        <v>8886</v>
      </c>
      <c r="Q131" s="282">
        <v>57947</v>
      </c>
      <c r="R131" s="282"/>
      <c r="S131" s="282">
        <v>12002</v>
      </c>
      <c r="T131" s="282">
        <v>0</v>
      </c>
      <c r="U131" s="282">
        <v>77913</v>
      </c>
      <c r="V131" s="282">
        <v>290300</v>
      </c>
      <c r="W131" s="282">
        <v>125116</v>
      </c>
      <c r="X131" s="282">
        <v>702498</v>
      </c>
      <c r="Y131" s="282">
        <v>835525</v>
      </c>
      <c r="Z131" s="282">
        <v>413057</v>
      </c>
      <c r="AA131" s="282">
        <v>422468</v>
      </c>
      <c r="AB131" s="282">
        <v>1801454</v>
      </c>
      <c r="AC131" s="579"/>
      <c r="AD131" s="282">
        <v>130326</v>
      </c>
      <c r="AE131" s="282">
        <v>113338</v>
      </c>
      <c r="AF131" s="282">
        <v>2182</v>
      </c>
      <c r="AG131" s="282">
        <v>0</v>
      </c>
      <c r="AH131" s="282">
        <v>0</v>
      </c>
      <c r="AI131" s="282">
        <v>10622</v>
      </c>
      <c r="AJ131" s="282">
        <v>23633</v>
      </c>
      <c r="AK131" s="56"/>
      <c r="AL131" s="56"/>
      <c r="AM131" s="56"/>
      <c r="AN131" s="56"/>
    </row>
    <row r="132" spans="1:44" x14ac:dyDescent="0.2">
      <c r="A132" s="280">
        <v>45597</v>
      </c>
      <c r="B132" s="282">
        <v>8264525</v>
      </c>
      <c r="C132" s="282">
        <v>3359311</v>
      </c>
      <c r="D132" s="282">
        <v>514384</v>
      </c>
      <c r="E132" s="282">
        <v>386500</v>
      </c>
      <c r="F132" s="282">
        <v>60720</v>
      </c>
      <c r="G132" s="282">
        <v>119609</v>
      </c>
      <c r="H132" s="282">
        <v>328006</v>
      </c>
      <c r="I132" s="282">
        <v>1208974</v>
      </c>
      <c r="J132" s="282">
        <v>241600</v>
      </c>
      <c r="K132" s="282">
        <v>54146</v>
      </c>
      <c r="L132" s="282">
        <v>116907</v>
      </c>
      <c r="M132" s="282"/>
      <c r="N132" s="282">
        <v>108966</v>
      </c>
      <c r="O132" s="282">
        <v>51180</v>
      </c>
      <c r="P132" s="282">
        <v>6866</v>
      </c>
      <c r="Q132" s="282">
        <v>46415</v>
      </c>
      <c r="R132" s="282"/>
      <c r="S132" s="282">
        <v>5447</v>
      </c>
      <c r="T132" s="282">
        <v>0</v>
      </c>
      <c r="U132" s="282">
        <v>77142</v>
      </c>
      <c r="V132" s="282">
        <v>201885</v>
      </c>
      <c r="W132" s="282">
        <v>128564</v>
      </c>
      <c r="X132" s="282">
        <v>551175</v>
      </c>
      <c r="Y132" s="282">
        <v>696728</v>
      </c>
      <c r="Z132" s="282">
        <v>402470</v>
      </c>
      <c r="AA132" s="282">
        <v>294258</v>
      </c>
      <c r="AB132" s="282">
        <v>1317940</v>
      </c>
      <c r="AC132" s="579"/>
      <c r="AD132" s="282">
        <v>91888</v>
      </c>
      <c r="AE132" s="282">
        <v>249206</v>
      </c>
      <c r="AF132" s="282">
        <v>4797</v>
      </c>
      <c r="AG132" s="282">
        <v>0</v>
      </c>
      <c r="AH132" s="282">
        <v>0</v>
      </c>
      <c r="AI132" s="282">
        <v>9756</v>
      </c>
      <c r="AJ132" s="282">
        <v>23715</v>
      </c>
      <c r="AK132" s="56"/>
      <c r="AL132" s="56"/>
      <c r="AM132" s="56"/>
      <c r="AN132" s="56"/>
    </row>
    <row r="133" spans="1:44" x14ac:dyDescent="0.2">
      <c r="A133" s="280">
        <v>45627</v>
      </c>
      <c r="B133" s="282">
        <v>7242946</v>
      </c>
      <c r="C133" s="282">
        <v>3126953</v>
      </c>
      <c r="D133" s="282">
        <v>486932</v>
      </c>
      <c r="E133" s="282">
        <v>439800</v>
      </c>
      <c r="F133" s="282">
        <v>62370</v>
      </c>
      <c r="G133" s="282">
        <v>182418</v>
      </c>
      <c r="H133" s="282">
        <v>343029</v>
      </c>
      <c r="I133" s="282">
        <v>668561</v>
      </c>
      <c r="J133" s="282">
        <v>261300</v>
      </c>
      <c r="K133" s="282">
        <v>39693</v>
      </c>
      <c r="L133" s="282">
        <v>75231</v>
      </c>
      <c r="M133" s="282"/>
      <c r="N133" s="282">
        <v>47641</v>
      </c>
      <c r="O133" s="282">
        <v>31724</v>
      </c>
      <c r="P133" s="282">
        <v>6181</v>
      </c>
      <c r="Q133" s="282">
        <v>43619</v>
      </c>
      <c r="R133" s="282"/>
      <c r="S133" s="282">
        <v>9029</v>
      </c>
      <c r="T133" s="282">
        <v>37973</v>
      </c>
      <c r="U133" s="282">
        <v>77913</v>
      </c>
      <c r="V133" s="282">
        <v>150315</v>
      </c>
      <c r="W133" s="282">
        <v>110500</v>
      </c>
      <c r="X133" s="282">
        <v>406820</v>
      </c>
      <c r="Y133" s="282">
        <v>634944</v>
      </c>
      <c r="Z133" s="282">
        <v>386220</v>
      </c>
      <c r="AA133" s="282">
        <v>248724</v>
      </c>
      <c r="AB133" s="282">
        <v>716202</v>
      </c>
      <c r="AC133" s="579"/>
      <c r="AD133" s="282">
        <v>61467</v>
      </c>
      <c r="AE133" s="282">
        <v>266004</v>
      </c>
      <c r="AF133" s="282">
        <v>5120</v>
      </c>
      <c r="AG133" s="282">
        <v>0</v>
      </c>
      <c r="AH133" s="282">
        <v>0</v>
      </c>
      <c r="AI133" s="282">
        <v>9486</v>
      </c>
      <c r="AJ133" s="282">
        <v>14599</v>
      </c>
      <c r="AK133" s="56"/>
      <c r="AL133" s="56"/>
      <c r="AM133" s="56"/>
      <c r="AN133" s="56"/>
    </row>
    <row r="134" spans="1:44" x14ac:dyDescent="0.2">
      <c r="A134" s="274">
        <v>45658</v>
      </c>
      <c r="B134" s="276">
        <v>6471482</v>
      </c>
      <c r="C134" s="276">
        <v>2967005</v>
      </c>
      <c r="D134" s="276">
        <v>447376</v>
      </c>
      <c r="E134" s="276">
        <v>373437</v>
      </c>
      <c r="F134" s="276">
        <v>49109</v>
      </c>
      <c r="G134" s="276">
        <v>166280</v>
      </c>
      <c r="H134" s="276">
        <v>280003</v>
      </c>
      <c r="I134" s="276">
        <v>529555</v>
      </c>
      <c r="J134" s="276">
        <v>214600</v>
      </c>
      <c r="K134" s="276">
        <v>47528</v>
      </c>
      <c r="L134" s="276">
        <v>83004</v>
      </c>
      <c r="M134" s="276"/>
      <c r="N134" s="276">
        <v>51613</v>
      </c>
      <c r="O134" s="276">
        <v>29551</v>
      </c>
      <c r="P134" s="276">
        <v>4790</v>
      </c>
      <c r="Q134" s="276">
        <v>36317</v>
      </c>
      <c r="R134" s="276"/>
      <c r="S134" s="276">
        <v>10237</v>
      </c>
      <c r="T134" s="276">
        <v>28831</v>
      </c>
      <c r="U134" s="276">
        <v>77913</v>
      </c>
      <c r="V134" s="276">
        <v>151700</v>
      </c>
      <c r="W134" s="276">
        <v>83133</v>
      </c>
      <c r="X134" s="276">
        <v>259167</v>
      </c>
      <c r="Y134" s="276">
        <v>580333</v>
      </c>
      <c r="Z134" s="276">
        <v>369287</v>
      </c>
      <c r="AA134" s="276">
        <v>211046</v>
      </c>
      <c r="AB134" s="276">
        <v>581168</v>
      </c>
      <c r="AC134" s="579"/>
      <c r="AD134" s="276">
        <v>40980</v>
      </c>
      <c r="AE134" s="276">
        <v>225898</v>
      </c>
      <c r="AF134" s="276">
        <v>4348</v>
      </c>
      <c r="AG134" s="276">
        <v>0</v>
      </c>
      <c r="AH134" s="276">
        <v>0</v>
      </c>
      <c r="AI134" s="276">
        <v>9050</v>
      </c>
      <c r="AJ134" s="276">
        <v>24617</v>
      </c>
      <c r="AK134" s="56"/>
      <c r="AM134" s="56"/>
      <c r="AN134" s="56"/>
    </row>
    <row r="135" spans="1:44" x14ac:dyDescent="0.2">
      <c r="A135" s="274">
        <v>45689</v>
      </c>
      <c r="B135" s="276">
        <v>7133252</v>
      </c>
      <c r="C135" s="276">
        <v>3122532</v>
      </c>
      <c r="D135" s="276">
        <v>514438</v>
      </c>
      <c r="E135" s="276">
        <v>416863</v>
      </c>
      <c r="F135" s="276">
        <v>58261</v>
      </c>
      <c r="G135" s="276">
        <v>195405</v>
      </c>
      <c r="H135" s="276">
        <v>334235</v>
      </c>
      <c r="I135" s="276">
        <v>522670</v>
      </c>
      <c r="J135" s="276">
        <v>253800</v>
      </c>
      <c r="K135" s="276">
        <v>46126</v>
      </c>
      <c r="L135" s="276">
        <v>79071</v>
      </c>
      <c r="M135" s="276"/>
      <c r="N135" s="276">
        <v>48514</v>
      </c>
      <c r="O135" s="276">
        <v>32530</v>
      </c>
      <c r="P135" s="276">
        <v>6009</v>
      </c>
      <c r="Q135" s="276">
        <v>41318</v>
      </c>
      <c r="R135" s="276"/>
      <c r="S135" s="276">
        <v>10191</v>
      </c>
      <c r="T135" s="276">
        <v>37593</v>
      </c>
      <c r="U135" s="276">
        <v>71999</v>
      </c>
      <c r="V135" s="276">
        <v>115200</v>
      </c>
      <c r="W135" s="276">
        <v>111997</v>
      </c>
      <c r="X135" s="276">
        <v>436049</v>
      </c>
      <c r="Y135" s="276">
        <v>678452</v>
      </c>
      <c r="Z135" s="276">
        <v>387630</v>
      </c>
      <c r="AA135" s="276">
        <v>290822</v>
      </c>
      <c r="AB135" s="276">
        <v>571184</v>
      </c>
      <c r="AC135" s="579"/>
      <c r="AD135" s="276">
        <v>57424</v>
      </c>
      <c r="AE135" s="276">
        <v>263978</v>
      </c>
      <c r="AF135" s="276">
        <v>5081</v>
      </c>
      <c r="AG135" s="276">
        <v>0</v>
      </c>
      <c r="AH135" s="276">
        <v>0</v>
      </c>
      <c r="AI135" s="276">
        <v>9360</v>
      </c>
      <c r="AJ135" s="276">
        <v>15192</v>
      </c>
      <c r="AK135" s="56"/>
      <c r="AM135" s="56"/>
      <c r="AN135" s="56"/>
      <c r="AR135" s="56"/>
    </row>
    <row r="136" spans="1:44" x14ac:dyDescent="0.2">
      <c r="A136" s="274">
        <v>45717</v>
      </c>
      <c r="B136" s="276">
        <v>7022454</v>
      </c>
      <c r="C136" s="276">
        <v>2858148</v>
      </c>
      <c r="D136" s="276">
        <v>472737</v>
      </c>
      <c r="E136" s="276">
        <v>380900</v>
      </c>
      <c r="F136" s="276">
        <v>50890</v>
      </c>
      <c r="G136" s="276">
        <v>149557</v>
      </c>
      <c r="H136" s="276">
        <v>316702</v>
      </c>
      <c r="I136" s="276">
        <v>869960</v>
      </c>
      <c r="J136" s="276">
        <v>224600</v>
      </c>
      <c r="K136" s="276">
        <v>44236</v>
      </c>
      <c r="L136" s="276">
        <v>76787</v>
      </c>
      <c r="M136" s="276"/>
      <c r="N136" s="276">
        <v>66365</v>
      </c>
      <c r="O136" s="276">
        <v>30925</v>
      </c>
      <c r="P136" s="276">
        <v>5523</v>
      </c>
      <c r="Q136" s="276">
        <v>42001</v>
      </c>
      <c r="R136" s="276"/>
      <c r="S136" s="276">
        <v>5290</v>
      </c>
      <c r="T136" s="276">
        <v>21570</v>
      </c>
      <c r="U136" s="276">
        <v>77142</v>
      </c>
      <c r="V136" s="276">
        <v>185800</v>
      </c>
      <c r="W136" s="276">
        <v>102130</v>
      </c>
      <c r="X136" s="276">
        <v>403183</v>
      </c>
      <c r="Y136" s="276">
        <v>638008</v>
      </c>
      <c r="Z136" s="276">
        <v>377349</v>
      </c>
      <c r="AA136" s="276">
        <v>260659</v>
      </c>
      <c r="AB136" s="276">
        <v>936325</v>
      </c>
      <c r="AC136" s="579"/>
      <c r="AD136" s="276">
        <v>65639</v>
      </c>
      <c r="AE136" s="276">
        <v>245438</v>
      </c>
      <c r="AF136" s="276">
        <v>4724</v>
      </c>
      <c r="AG136" s="276">
        <v>0</v>
      </c>
      <c r="AH136" s="276">
        <v>0</v>
      </c>
      <c r="AI136" s="276">
        <v>11946</v>
      </c>
      <c r="AJ136" s="294">
        <v>23174</v>
      </c>
      <c r="AK136" s="621"/>
      <c r="AM136" s="56"/>
      <c r="AN136" s="56"/>
    </row>
    <row r="137" spans="1:44" x14ac:dyDescent="0.2">
      <c r="A137" s="274">
        <v>45748</v>
      </c>
      <c r="B137" s="276">
        <v>8751020</v>
      </c>
      <c r="C137" s="276">
        <v>3603467</v>
      </c>
      <c r="D137" s="276">
        <v>558983</v>
      </c>
      <c r="E137" s="276">
        <v>428000</v>
      </c>
      <c r="F137" s="276">
        <v>60460</v>
      </c>
      <c r="G137" s="276">
        <v>150720</v>
      </c>
      <c r="H137" s="276">
        <v>359483</v>
      </c>
      <c r="I137" s="276">
        <v>1232583</v>
      </c>
      <c r="J137" s="276">
        <v>256600</v>
      </c>
      <c r="K137" s="276">
        <v>46949</v>
      </c>
      <c r="L137" s="276">
        <v>86079</v>
      </c>
      <c r="M137" s="276"/>
      <c r="N137" s="276">
        <v>81173</v>
      </c>
      <c r="O137" s="276">
        <v>36400</v>
      </c>
      <c r="P137" s="276">
        <v>6874</v>
      </c>
      <c r="Q137" s="276">
        <v>54833</v>
      </c>
      <c r="R137" s="276"/>
      <c r="S137" s="276">
        <v>14747</v>
      </c>
      <c r="T137" s="276">
        <v>21570</v>
      </c>
      <c r="U137" s="276">
        <v>79713</v>
      </c>
      <c r="V137" s="276">
        <v>221400</v>
      </c>
      <c r="W137" s="276">
        <v>131620</v>
      </c>
      <c r="X137" s="276">
        <v>544718</v>
      </c>
      <c r="Y137" s="276">
        <v>774648</v>
      </c>
      <c r="Z137" s="276">
        <v>427060</v>
      </c>
      <c r="AA137" s="276">
        <v>347588</v>
      </c>
      <c r="AB137" s="276">
        <v>1313756</v>
      </c>
      <c r="AC137" s="579"/>
      <c r="AD137" s="276">
        <v>75910</v>
      </c>
      <c r="AE137" s="276">
        <v>293058</v>
      </c>
      <c r="AF137" s="276">
        <v>5641</v>
      </c>
      <c r="AG137" s="276">
        <v>0</v>
      </c>
      <c r="AH137" s="276">
        <v>0</v>
      </c>
      <c r="AI137" s="276">
        <v>11196</v>
      </c>
      <c r="AJ137" s="294">
        <v>28426</v>
      </c>
      <c r="AK137" s="621"/>
      <c r="AM137" s="56"/>
      <c r="AN137" s="56"/>
    </row>
    <row r="138" spans="1:44" x14ac:dyDescent="0.2">
      <c r="A138" s="274">
        <v>45778</v>
      </c>
      <c r="B138" s="276">
        <v>9287018</v>
      </c>
      <c r="C138" s="276">
        <v>3041240</v>
      </c>
      <c r="D138" s="276">
        <v>520090</v>
      </c>
      <c r="E138" s="276">
        <v>398200</v>
      </c>
      <c r="F138" s="276">
        <v>61220</v>
      </c>
      <c r="G138" s="276">
        <v>133326</v>
      </c>
      <c r="H138" s="276">
        <v>366216</v>
      </c>
      <c r="I138" s="276">
        <v>1887473</v>
      </c>
      <c r="J138" s="276">
        <v>234700</v>
      </c>
      <c r="K138" s="276">
        <v>57670</v>
      </c>
      <c r="L138" s="276">
        <v>128987</v>
      </c>
      <c r="M138" s="276"/>
      <c r="N138" s="276">
        <v>145549</v>
      </c>
      <c r="O138" s="276">
        <v>48118</v>
      </c>
      <c r="P138" s="276">
        <v>10224</v>
      </c>
      <c r="Q138" s="276">
        <v>56468</v>
      </c>
      <c r="R138" s="276"/>
      <c r="S138" s="276">
        <v>35670</v>
      </c>
      <c r="T138" s="276">
        <v>22289</v>
      </c>
      <c r="U138" s="276">
        <v>79713</v>
      </c>
      <c r="V138" s="276">
        <v>307200</v>
      </c>
      <c r="W138" s="276">
        <v>159170</v>
      </c>
      <c r="X138" s="276">
        <v>723374</v>
      </c>
      <c r="Y138" s="276">
        <v>870121</v>
      </c>
      <c r="Z138" s="276">
        <v>404853</v>
      </c>
      <c r="AA138" s="276">
        <v>465268</v>
      </c>
      <c r="AB138" s="276">
        <v>2033022</v>
      </c>
      <c r="AC138" s="579"/>
      <c r="AD138" s="276">
        <v>107059</v>
      </c>
      <c r="AE138" s="276">
        <v>283112</v>
      </c>
      <c r="AF138" s="276">
        <v>5449</v>
      </c>
      <c r="AG138" s="276">
        <v>0</v>
      </c>
      <c r="AH138" s="276">
        <v>0</v>
      </c>
      <c r="AI138" s="276">
        <v>14242</v>
      </c>
      <c r="AJ138" s="294">
        <v>5518</v>
      </c>
      <c r="AK138" s="621"/>
      <c r="AM138" s="56"/>
      <c r="AN138" s="56"/>
    </row>
    <row r="139" spans="1:44" x14ac:dyDescent="0.2">
      <c r="A139" s="274">
        <v>45809</v>
      </c>
      <c r="B139" s="276">
        <v>10004035</v>
      </c>
      <c r="C139" s="276">
        <v>3282572</v>
      </c>
      <c r="D139" s="276">
        <v>540933</v>
      </c>
      <c r="E139" s="276">
        <v>403500</v>
      </c>
      <c r="F139" s="276">
        <v>59310</v>
      </c>
      <c r="G139" s="276">
        <v>132324</v>
      </c>
      <c r="H139" s="276">
        <v>369127</v>
      </c>
      <c r="I139" s="276">
        <v>2251997</v>
      </c>
      <c r="J139" s="276">
        <v>231300</v>
      </c>
      <c r="K139" s="276">
        <v>56296</v>
      </c>
      <c r="L139" s="276">
        <v>128696</v>
      </c>
      <c r="M139" s="276"/>
      <c r="N139" s="276">
        <v>189802</v>
      </c>
      <c r="O139" s="276">
        <v>51217</v>
      </c>
      <c r="P139" s="276">
        <v>11935</v>
      </c>
      <c r="Q139" s="276">
        <v>68453</v>
      </c>
      <c r="R139" s="276"/>
      <c r="S139" s="276">
        <v>36406</v>
      </c>
      <c r="T139" s="276">
        <v>21570</v>
      </c>
      <c r="U139" s="276">
        <v>77142</v>
      </c>
      <c r="V139" s="276">
        <v>347000</v>
      </c>
      <c r="W139" s="276">
        <v>191950</v>
      </c>
      <c r="X139" s="276">
        <v>591496</v>
      </c>
      <c r="Y139" s="276">
        <v>961009</v>
      </c>
      <c r="Z139" s="276">
        <v>375997</v>
      </c>
      <c r="AA139" s="276">
        <v>585012</v>
      </c>
      <c r="AB139" s="276">
        <v>2441799</v>
      </c>
      <c r="AC139" s="579"/>
      <c r="AD139" s="276">
        <v>96095</v>
      </c>
      <c r="AE139" s="276">
        <v>302479</v>
      </c>
      <c r="AF139" s="276">
        <v>5822</v>
      </c>
      <c r="AG139" s="276">
        <v>0</v>
      </c>
      <c r="AH139" s="276">
        <v>0</v>
      </c>
      <c r="AI139" s="276">
        <v>14634</v>
      </c>
      <c r="AJ139" s="294">
        <v>41355</v>
      </c>
      <c r="AK139" s="621"/>
      <c r="AL139" s="56"/>
      <c r="AM139" s="56"/>
      <c r="AN139" s="56"/>
    </row>
    <row r="140" spans="1:44" x14ac:dyDescent="0.2">
      <c r="A140" s="274">
        <v>45839</v>
      </c>
      <c r="B140" s="276">
        <v>10192458</v>
      </c>
      <c r="C140" s="276">
        <v>2999218</v>
      </c>
      <c r="D140" s="276">
        <v>534109</v>
      </c>
      <c r="E140" s="276">
        <v>413100</v>
      </c>
      <c r="F140" s="276">
        <v>66640</v>
      </c>
      <c r="G140" s="276">
        <v>125053</v>
      </c>
      <c r="H140" s="276">
        <v>357034</v>
      </c>
      <c r="I140" s="276">
        <v>2504159</v>
      </c>
      <c r="J140" s="276">
        <v>221700</v>
      </c>
      <c r="K140" s="276">
        <v>68672</v>
      </c>
      <c r="L140" s="276">
        <v>145108</v>
      </c>
      <c r="M140" s="276"/>
      <c r="N140" s="276">
        <v>265504</v>
      </c>
      <c r="O140" s="276">
        <v>56223</v>
      </c>
      <c r="P140" s="276">
        <v>15162</v>
      </c>
      <c r="Q140" s="276">
        <v>69381</v>
      </c>
      <c r="R140" s="276"/>
      <c r="S140" s="276">
        <v>29939</v>
      </c>
      <c r="T140" s="276">
        <v>22289</v>
      </c>
      <c r="U140" s="276">
        <v>79713</v>
      </c>
      <c r="V140" s="276">
        <v>387200</v>
      </c>
      <c r="W140" s="276">
        <v>197380</v>
      </c>
      <c r="X140" s="276">
        <v>655026</v>
      </c>
      <c r="Y140" s="276">
        <v>979848</v>
      </c>
      <c r="Z140" s="276">
        <v>362265</v>
      </c>
      <c r="AA140" s="276">
        <v>617583</v>
      </c>
      <c r="AB140" s="276">
        <v>2769663</v>
      </c>
      <c r="AC140" s="579"/>
      <c r="AD140" s="276">
        <v>110338</v>
      </c>
      <c r="AE140" s="276">
        <f>146476+153686</f>
        <v>300162</v>
      </c>
      <c r="AF140" s="276">
        <v>5778</v>
      </c>
      <c r="AG140" s="276">
        <v>0</v>
      </c>
      <c r="AH140" s="276">
        <v>25928</v>
      </c>
      <c r="AI140" s="276">
        <v>16929</v>
      </c>
      <c r="AJ140" s="294">
        <v>29691</v>
      </c>
      <c r="AK140" s="621"/>
      <c r="AM140" s="56"/>
      <c r="AN140" s="56"/>
      <c r="AR140" s="56"/>
    </row>
    <row r="141" spans="1:44" x14ac:dyDescent="0.2">
      <c r="A141" s="274">
        <v>45870</v>
      </c>
      <c r="B141" s="276">
        <v>10054427</v>
      </c>
      <c r="C141" s="276">
        <v>3032319</v>
      </c>
      <c r="D141" s="276">
        <v>538375</v>
      </c>
      <c r="E141" s="276">
        <v>404500</v>
      </c>
      <c r="F141" s="276">
        <v>76950</v>
      </c>
      <c r="G141" s="276">
        <v>125905</v>
      </c>
      <c r="H141" s="276">
        <v>350137</v>
      </c>
      <c r="I141" s="276">
        <v>2414329</v>
      </c>
      <c r="J141" s="276">
        <v>222500</v>
      </c>
      <c r="K141" s="276">
        <v>77608</v>
      </c>
      <c r="L141" s="276">
        <v>173834</v>
      </c>
      <c r="M141" s="276"/>
      <c r="N141" s="276">
        <v>300733</v>
      </c>
      <c r="O141" s="276">
        <v>70093</v>
      </c>
      <c r="P141" s="276">
        <v>13557</v>
      </c>
      <c r="Q141" s="276">
        <v>64657</v>
      </c>
      <c r="R141" s="276">
        <v>6228</v>
      </c>
      <c r="S141" s="276">
        <v>26544</v>
      </c>
      <c r="T141" s="276">
        <v>23886</v>
      </c>
      <c r="U141" s="276">
        <v>79709</v>
      </c>
      <c r="V141" s="276">
        <v>348280</v>
      </c>
      <c r="W141" s="276">
        <v>175870</v>
      </c>
      <c r="X141" s="276">
        <v>581766</v>
      </c>
      <c r="Y141" s="276">
        <v>946647</v>
      </c>
      <c r="Z141" s="276">
        <v>378878</v>
      </c>
      <c r="AA141" s="276">
        <v>567769</v>
      </c>
      <c r="AB141" s="276">
        <v>2715062</v>
      </c>
      <c r="AC141" s="579"/>
      <c r="AD141" s="276">
        <f>920+62111+28859</f>
        <v>91890</v>
      </c>
      <c r="AE141" s="276">
        <f>162566+145248</f>
        <v>307814</v>
      </c>
      <c r="AF141" s="276">
        <v>5925</v>
      </c>
      <c r="AG141" s="276">
        <v>0</v>
      </c>
      <c r="AH141" s="276">
        <v>22631</v>
      </c>
      <c r="AI141" s="276">
        <v>16477</v>
      </c>
      <c r="AJ141" s="294">
        <v>31194</v>
      </c>
      <c r="AK141" s="621"/>
      <c r="AM141" s="56"/>
      <c r="AN141" s="56"/>
    </row>
    <row r="142" spans="1:44" x14ac:dyDescent="0.2">
      <c r="A142" s="274">
        <v>45901</v>
      </c>
      <c r="B142" s="276">
        <v>11331409</v>
      </c>
      <c r="C142" s="276">
        <v>3760683</v>
      </c>
      <c r="D142" s="276">
        <v>483822</v>
      </c>
      <c r="E142" s="276">
        <v>440900</v>
      </c>
      <c r="F142" s="276">
        <v>81980</v>
      </c>
      <c r="G142" s="276">
        <v>132068</v>
      </c>
      <c r="H142" s="276">
        <v>386828</v>
      </c>
      <c r="I142" s="276">
        <v>2405351</v>
      </c>
      <c r="J142" s="276">
        <v>243800</v>
      </c>
      <c r="K142" s="276">
        <v>66523</v>
      </c>
      <c r="L142" s="276">
        <v>142935</v>
      </c>
      <c r="M142" s="276"/>
      <c r="N142" s="276">
        <v>268527</v>
      </c>
      <c r="O142" s="276">
        <v>80022</v>
      </c>
      <c r="P142" s="276">
        <v>12799</v>
      </c>
      <c r="Q142" s="276">
        <v>72316</v>
      </c>
      <c r="R142" s="276">
        <v>17858</v>
      </c>
      <c r="S142" s="276">
        <v>35372</v>
      </c>
      <c r="T142" s="276">
        <v>35948</v>
      </c>
      <c r="U142" s="276">
        <v>145148</v>
      </c>
      <c r="V142" s="276">
        <v>352640</v>
      </c>
      <c r="W142" s="276">
        <v>205980</v>
      </c>
      <c r="X142" s="276">
        <v>880103</v>
      </c>
      <c r="Y142" s="276">
        <v>1079806</v>
      </c>
      <c r="Z142" s="276">
        <v>437109</v>
      </c>
      <c r="AA142" s="276">
        <v>642697</v>
      </c>
      <c r="AB142" s="276">
        <v>2673878</v>
      </c>
      <c r="AC142" s="579"/>
      <c r="AD142" s="276">
        <f>920+32349+107995</f>
        <v>141264</v>
      </c>
      <c r="AE142" s="276">
        <f>173828+156721</f>
        <v>330549</v>
      </c>
      <c r="AF142" s="276">
        <v>6362</v>
      </c>
      <c r="AG142" s="276">
        <v>121900</v>
      </c>
      <c r="AH142" s="276">
        <v>15382</v>
      </c>
      <c r="AI142" s="276">
        <v>17662</v>
      </c>
      <c r="AJ142" s="294">
        <v>15592</v>
      </c>
      <c r="AK142" s="621"/>
      <c r="AM142" s="56"/>
      <c r="AN142" s="56"/>
    </row>
    <row r="143" spans="1:44" x14ac:dyDescent="0.2">
      <c r="A143" s="274">
        <v>45931</v>
      </c>
      <c r="B143" s="276">
        <v>9796105</v>
      </c>
      <c r="C143" s="276">
        <v>3147886</v>
      </c>
      <c r="D143" s="276">
        <v>504929</v>
      </c>
      <c r="E143" s="276">
        <v>404500</v>
      </c>
      <c r="F143" s="276">
        <v>82270</v>
      </c>
      <c r="G143" s="276">
        <v>126782</v>
      </c>
      <c r="H143" s="276">
        <v>359852</v>
      </c>
      <c r="I143" s="276">
        <v>1957753</v>
      </c>
      <c r="J143" s="276">
        <v>241000</v>
      </c>
      <c r="K143" s="276">
        <v>70315</v>
      </c>
      <c r="L143" s="276">
        <v>143945</v>
      </c>
      <c r="M143" s="276"/>
      <c r="N143" s="276">
        <v>251737</v>
      </c>
      <c r="O143" s="276">
        <v>56142</v>
      </c>
      <c r="P143" s="276">
        <v>11057</v>
      </c>
      <c r="Q143" s="276">
        <v>63511</v>
      </c>
      <c r="R143" s="276">
        <v>17675</v>
      </c>
      <c r="S143" s="276">
        <v>34877</v>
      </c>
      <c r="T143" s="276">
        <v>54788</v>
      </c>
      <c r="U143" s="276">
        <v>138274</v>
      </c>
      <c r="V143" s="276">
        <v>300280</v>
      </c>
      <c r="W143" s="276">
        <v>165910</v>
      </c>
      <c r="X143" s="276">
        <v>777120</v>
      </c>
      <c r="Y143" s="276">
        <v>885502</v>
      </c>
      <c r="Z143" s="277">
        <v>417169</v>
      </c>
      <c r="AA143" s="294">
        <v>468333</v>
      </c>
      <c r="AB143" s="276">
        <v>2209490</v>
      </c>
      <c r="AC143" s="579"/>
      <c r="AD143" s="276">
        <v>138998</v>
      </c>
      <c r="AE143" s="276">
        <v>306911</v>
      </c>
      <c r="AF143" s="276">
        <v>5908</v>
      </c>
      <c r="AG143" s="276">
        <v>74466</v>
      </c>
      <c r="AH143" s="276">
        <v>6497</v>
      </c>
      <c r="AI143" s="276">
        <v>16020</v>
      </c>
      <c r="AJ143" s="294">
        <v>24292</v>
      </c>
      <c r="AK143" s="621"/>
      <c r="AM143" s="56"/>
      <c r="AN143" s="56"/>
    </row>
    <row r="144" spans="1:44" x14ac:dyDescent="0.2">
      <c r="A144" s="274">
        <v>45962</v>
      </c>
      <c r="B144" s="276">
        <v>7978764</v>
      </c>
      <c r="C144" s="276">
        <v>3333008</v>
      </c>
      <c r="D144" s="276">
        <v>500521</v>
      </c>
      <c r="E144" s="276">
        <v>388197</v>
      </c>
      <c r="F144" s="276">
        <v>75078</v>
      </c>
      <c r="G144" s="276">
        <v>133398</v>
      </c>
      <c r="H144" s="276">
        <v>341845</v>
      </c>
      <c r="I144" s="276">
        <v>1020447</v>
      </c>
      <c r="J144" s="276">
        <v>236053</v>
      </c>
      <c r="K144" s="276">
        <v>50979</v>
      </c>
      <c r="L144" s="276">
        <v>85990</v>
      </c>
      <c r="M144" s="276"/>
      <c r="N144" s="276">
        <v>105031</v>
      </c>
      <c r="O144" s="276">
        <v>49795</v>
      </c>
      <c r="P144" s="276">
        <v>5078</v>
      </c>
      <c r="Q144" s="276">
        <v>47584</v>
      </c>
      <c r="R144" s="276">
        <v>18927</v>
      </c>
      <c r="S144" s="276">
        <v>27839</v>
      </c>
      <c r="T144" s="276">
        <v>44844</v>
      </c>
      <c r="U144" s="276">
        <v>116174</v>
      </c>
      <c r="V144" s="276">
        <v>179100</v>
      </c>
      <c r="W144" s="276">
        <v>107311</v>
      </c>
      <c r="X144" s="276">
        <v>465405</v>
      </c>
      <c r="Y144" s="276">
        <v>646160</v>
      </c>
      <c r="Z144" s="277">
        <v>402881</v>
      </c>
      <c r="AA144" s="294">
        <v>243279</v>
      </c>
      <c r="AB144" s="276">
        <v>1125478</v>
      </c>
      <c r="AC144" s="579"/>
      <c r="AD144" s="276">
        <v>77480</v>
      </c>
      <c r="AE144" s="276">
        <v>306060</v>
      </c>
      <c r="AF144" s="276">
        <v>5891</v>
      </c>
      <c r="AG144" s="276">
        <v>9262</v>
      </c>
      <c r="AH144" s="276">
        <v>8282</v>
      </c>
      <c r="AI144" s="276">
        <v>16718</v>
      </c>
      <c r="AJ144" s="294">
        <v>47210</v>
      </c>
      <c r="AK144" s="621"/>
      <c r="AM144" s="56"/>
      <c r="AN144" s="56"/>
    </row>
    <row r="145" spans="1:40" x14ac:dyDescent="0.2">
      <c r="A145" s="274">
        <v>45992</v>
      </c>
      <c r="B145" s="276">
        <v>8046008</v>
      </c>
      <c r="C145" s="276">
        <v>3520854</v>
      </c>
      <c r="D145" s="276">
        <v>584958</v>
      </c>
      <c r="E145" s="276">
        <v>414803</v>
      </c>
      <c r="F145" s="276">
        <v>86752</v>
      </c>
      <c r="G145" s="276">
        <v>145603</v>
      </c>
      <c r="H145" s="276">
        <v>353167</v>
      </c>
      <c r="I145" s="276">
        <v>842964</v>
      </c>
      <c r="J145" s="276">
        <v>253147</v>
      </c>
      <c r="K145" s="276">
        <v>43259</v>
      </c>
      <c r="L145" s="276">
        <v>81529</v>
      </c>
      <c r="M145" s="276"/>
      <c r="N145" s="276">
        <v>63573</v>
      </c>
      <c r="O145" s="276">
        <v>39556</v>
      </c>
      <c r="P145" s="276">
        <v>2864</v>
      </c>
      <c r="Q145" s="276">
        <v>45888</v>
      </c>
      <c r="R145" s="276">
        <v>22453</v>
      </c>
      <c r="S145" s="276">
        <v>30350</v>
      </c>
      <c r="T145" s="276">
        <v>45023</v>
      </c>
      <c r="U145" s="276">
        <v>150747</v>
      </c>
      <c r="V145" s="276">
        <v>151900</v>
      </c>
      <c r="W145" s="276">
        <v>113682</v>
      </c>
      <c r="X145" s="276">
        <v>426201</v>
      </c>
      <c r="Y145" s="276">
        <v>626735</v>
      </c>
      <c r="Z145" s="277">
        <v>388825</v>
      </c>
      <c r="AA145" s="294">
        <v>237910</v>
      </c>
      <c r="AB145" s="276">
        <v>906537</v>
      </c>
      <c r="AC145" s="579"/>
      <c r="AD145" s="276">
        <v>61061</v>
      </c>
      <c r="AE145" s="276">
        <v>374372</v>
      </c>
      <c r="AF145" s="276">
        <v>7206</v>
      </c>
      <c r="AG145" s="276">
        <v>9784</v>
      </c>
      <c r="AH145" s="276">
        <v>973</v>
      </c>
      <c r="AI145" s="276">
        <v>18703</v>
      </c>
      <c r="AJ145" s="294">
        <v>27110</v>
      </c>
      <c r="AK145" s="621"/>
      <c r="AM145" s="56"/>
      <c r="AN145" s="56"/>
    </row>
    <row r="146" spans="1:40" x14ac:dyDescent="0.2">
      <c r="A146" s="295">
        <v>46023</v>
      </c>
      <c r="B146" s="296">
        <v>7308543</v>
      </c>
      <c r="C146" s="296">
        <v>3219229</v>
      </c>
      <c r="D146" s="296">
        <v>543221</v>
      </c>
      <c r="E146" s="296">
        <v>418200</v>
      </c>
      <c r="F146" s="296">
        <v>71330</v>
      </c>
      <c r="G146" s="296">
        <v>170604</v>
      </c>
      <c r="H146" s="296">
        <v>335356</v>
      </c>
      <c r="I146" s="296">
        <v>620519</v>
      </c>
      <c r="J146" s="296">
        <v>239400</v>
      </c>
      <c r="K146" s="296">
        <v>56131</v>
      </c>
      <c r="L146" s="296">
        <v>102592</v>
      </c>
      <c r="M146" s="296"/>
      <c r="N146" s="296">
        <v>56618</v>
      </c>
      <c r="O146" s="296">
        <v>44806</v>
      </c>
      <c r="P146" s="296">
        <v>1825</v>
      </c>
      <c r="Q146" s="296">
        <v>33942</v>
      </c>
      <c r="R146" s="296">
        <v>24808</v>
      </c>
      <c r="S146" s="296">
        <v>16871</v>
      </c>
      <c r="T146" s="296">
        <v>38524</v>
      </c>
      <c r="U146" s="296">
        <v>159687</v>
      </c>
      <c r="V146" s="296">
        <v>144300</v>
      </c>
      <c r="W146" s="296">
        <v>103340</v>
      </c>
      <c r="X146" s="296">
        <v>286673</v>
      </c>
      <c r="Y146" s="296">
        <v>620567</v>
      </c>
      <c r="Z146" s="296">
        <v>338985</v>
      </c>
      <c r="AA146" s="296">
        <f>Y146-Z146</f>
        <v>281582</v>
      </c>
      <c r="AB146" s="296">
        <v>677137</v>
      </c>
      <c r="AC146" s="579"/>
      <c r="AD146" s="296">
        <v>37428</v>
      </c>
      <c r="AE146" s="296">
        <v>347633</v>
      </c>
      <c r="AF146" s="296">
        <v>6691</v>
      </c>
      <c r="AG146" s="296">
        <v>3084</v>
      </c>
      <c r="AH146" s="296">
        <v>1321</v>
      </c>
      <c r="AI146" s="296">
        <v>18141</v>
      </c>
      <c r="AJ146" s="298">
        <v>51800</v>
      </c>
      <c r="AK146" s="621"/>
      <c r="AM146" s="56"/>
      <c r="AN146" s="56"/>
    </row>
    <row r="147" spans="1:40" x14ac:dyDescent="0.2">
      <c r="A147" s="295">
        <v>46054</v>
      </c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579"/>
      <c r="AD147" s="296"/>
      <c r="AE147" s="296"/>
      <c r="AF147" s="296"/>
      <c r="AG147" s="296"/>
      <c r="AH147" s="296"/>
      <c r="AI147" s="296"/>
      <c r="AJ147" s="298"/>
      <c r="AK147" s="621"/>
      <c r="AM147" s="56"/>
      <c r="AN147" s="56"/>
    </row>
    <row r="148" spans="1:40" x14ac:dyDescent="0.2">
      <c r="A148" s="295">
        <v>46082</v>
      </c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579"/>
      <c r="AD148" s="296"/>
      <c r="AE148" s="296"/>
      <c r="AF148" s="296"/>
      <c r="AG148" s="296"/>
      <c r="AH148" s="296"/>
      <c r="AI148" s="296"/>
      <c r="AJ148" s="298"/>
      <c r="AK148" s="621"/>
      <c r="AM148" s="56"/>
      <c r="AN148" s="56"/>
    </row>
    <row r="149" spans="1:40" x14ac:dyDescent="0.2">
      <c r="A149" s="295">
        <v>46113</v>
      </c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579"/>
      <c r="AD149" s="296"/>
      <c r="AE149" s="296"/>
      <c r="AF149" s="296"/>
      <c r="AG149" s="296"/>
      <c r="AH149" s="296"/>
      <c r="AI149" s="296"/>
      <c r="AJ149" s="298"/>
      <c r="AK149" s="621"/>
      <c r="AM149" s="56"/>
      <c r="AN149" s="56"/>
    </row>
    <row r="150" spans="1:40" x14ac:dyDescent="0.2">
      <c r="A150" s="295">
        <v>46143</v>
      </c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579"/>
      <c r="AD150" s="296"/>
      <c r="AE150" s="296"/>
      <c r="AF150" s="296"/>
      <c r="AG150" s="296"/>
      <c r="AH150" s="296"/>
      <c r="AI150" s="296"/>
      <c r="AJ150" s="298"/>
      <c r="AK150" s="621"/>
      <c r="AM150" s="56"/>
      <c r="AN150" s="56"/>
    </row>
    <row r="151" spans="1:40" x14ac:dyDescent="0.2">
      <c r="A151" s="295">
        <v>46174</v>
      </c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579"/>
      <c r="AD151" s="296"/>
      <c r="AE151" s="296"/>
      <c r="AF151" s="296"/>
      <c r="AG151" s="296"/>
      <c r="AH151" s="296"/>
      <c r="AI151" s="296"/>
      <c r="AJ151" s="296"/>
      <c r="AK151" s="621"/>
      <c r="AL151" s="56"/>
      <c r="AM151" s="56"/>
      <c r="AN151" s="56"/>
    </row>
    <row r="153" spans="1:40" x14ac:dyDescent="0.2">
      <c r="V153" s="56"/>
    </row>
    <row r="154" spans="1:40" x14ac:dyDescent="0.2">
      <c r="V154" s="56"/>
    </row>
    <row r="155" spans="1:40" x14ac:dyDescent="0.2">
      <c r="V155" s="56"/>
    </row>
    <row r="157" spans="1:40" x14ac:dyDescent="0.2"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80"/>
      <c r="AD157" s="56"/>
      <c r="AE157" s="56"/>
      <c r="AF157" s="56"/>
      <c r="AG157" s="56"/>
      <c r="AH157" s="56"/>
      <c r="AI157" s="56"/>
      <c r="AJ157" s="56"/>
    </row>
    <row r="158" spans="1:40" x14ac:dyDescent="0.2"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80"/>
      <c r="AD158" s="56"/>
      <c r="AE158" s="56"/>
      <c r="AF158" s="56"/>
      <c r="AG158" s="56"/>
      <c r="AH158" s="56"/>
      <c r="AI158" s="56"/>
      <c r="AJ158" s="56"/>
    </row>
    <row r="159" spans="1:40" x14ac:dyDescent="0.2">
      <c r="B159" s="581"/>
      <c r="C159" s="581"/>
      <c r="D159" s="581"/>
      <c r="E159" s="581"/>
      <c r="F159" s="581"/>
      <c r="G159" s="581"/>
      <c r="H159" s="581"/>
      <c r="I159" s="581"/>
      <c r="J159" s="581"/>
      <c r="K159" s="581"/>
      <c r="L159" s="581"/>
      <c r="M159" s="581"/>
      <c r="N159" s="581"/>
      <c r="O159" s="581"/>
      <c r="P159" s="581"/>
      <c r="Q159" s="581"/>
      <c r="R159" s="581"/>
      <c r="S159" s="581"/>
      <c r="T159" s="581"/>
      <c r="U159" s="581"/>
      <c r="V159" s="581"/>
      <c r="W159" s="581"/>
      <c r="X159" s="581"/>
      <c r="Y159" s="581"/>
      <c r="Z159" s="581"/>
      <c r="AA159" s="581"/>
      <c r="AB159" s="581"/>
      <c r="AC159" s="582"/>
      <c r="AD159" s="581"/>
      <c r="AE159" s="581"/>
      <c r="AF159" s="581"/>
      <c r="AG159" s="581"/>
      <c r="AH159" s="581"/>
      <c r="AI159" s="581"/>
      <c r="AJ159" s="581"/>
    </row>
    <row r="160" spans="1:40" x14ac:dyDescent="0.2"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80"/>
      <c r="AD160" s="56"/>
      <c r="AE160" s="56"/>
      <c r="AF160" s="56"/>
      <c r="AG160" s="56"/>
      <c r="AH160" s="56"/>
      <c r="AI160" s="56"/>
      <c r="AJ160" s="56"/>
    </row>
    <row r="161" spans="3:36" x14ac:dyDescent="0.2">
      <c r="C161" s="581"/>
      <c r="D161" s="581"/>
      <c r="E161" s="581"/>
      <c r="F161" s="581"/>
      <c r="G161" s="581"/>
      <c r="H161" s="581"/>
      <c r="I161" s="581"/>
      <c r="J161" s="581"/>
      <c r="K161" s="581"/>
      <c r="L161" s="581"/>
      <c r="M161" s="581"/>
      <c r="N161" s="581"/>
      <c r="O161" s="581"/>
      <c r="P161" s="581"/>
      <c r="Q161" s="581"/>
      <c r="R161" s="581"/>
      <c r="S161" s="581"/>
      <c r="T161" s="581"/>
      <c r="U161" s="581"/>
      <c r="V161" s="581"/>
      <c r="W161" s="581"/>
      <c r="X161" s="581"/>
      <c r="Y161" s="581"/>
      <c r="Z161" s="581"/>
      <c r="AA161" s="581"/>
      <c r="AB161" s="581"/>
      <c r="AC161" s="582"/>
      <c r="AD161" s="581"/>
      <c r="AE161" s="581"/>
      <c r="AF161" s="581"/>
      <c r="AG161" s="581"/>
      <c r="AH161" s="581"/>
      <c r="AI161" s="581"/>
      <c r="AJ161" s="581"/>
    </row>
  </sheetData>
  <mergeCells count="2">
    <mergeCell ref="AO8:AQ8"/>
    <mergeCell ref="AO9:AQ9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31E5-5B4D-2746-A61C-CA6E8183C27F}">
  <dimension ref="A1:E151"/>
  <sheetViews>
    <sheetView tabSelected="1" zoomScale="140" workbookViewId="0">
      <selection activeCell="I10" sqref="I10"/>
    </sheetView>
  </sheetViews>
  <sheetFormatPr baseColWidth="10" defaultRowHeight="16" x14ac:dyDescent="0.2"/>
  <cols>
    <col min="1" max="1" width="10.33203125" style="55" bestFit="1" customWidth="1"/>
    <col min="2" max="5" width="11.5" bestFit="1" customWidth="1"/>
  </cols>
  <sheetData>
    <row r="1" spans="1:5" ht="103" thickBot="1" x14ac:dyDescent="0.25">
      <c r="A1" s="251" t="s">
        <v>77</v>
      </c>
      <c r="B1" s="121" t="s">
        <v>729</v>
      </c>
      <c r="C1" s="121" t="s">
        <v>109</v>
      </c>
      <c r="D1" s="121" t="s">
        <v>730</v>
      </c>
      <c r="E1" s="121" t="s">
        <v>731</v>
      </c>
    </row>
    <row r="2" spans="1:5" x14ac:dyDescent="0.2">
      <c r="A2" s="254">
        <v>41640</v>
      </c>
      <c r="B2" s="617"/>
      <c r="C2" s="618"/>
      <c r="D2" s="617">
        <v>5938547</v>
      </c>
      <c r="E2" s="617">
        <v>5938547</v>
      </c>
    </row>
    <row r="3" spans="1:5" x14ac:dyDescent="0.2">
      <c r="A3" s="254">
        <v>41671</v>
      </c>
      <c r="B3" s="617"/>
      <c r="C3" s="618"/>
      <c r="D3" s="617">
        <v>5888877</v>
      </c>
      <c r="E3" s="617">
        <v>5888877</v>
      </c>
    </row>
    <row r="4" spans="1:5" x14ac:dyDescent="0.2">
      <c r="A4" s="254">
        <v>41699</v>
      </c>
      <c r="B4" s="617"/>
      <c r="C4" s="618"/>
      <c r="D4" s="617">
        <v>6018786</v>
      </c>
      <c r="E4" s="617">
        <v>6018786</v>
      </c>
    </row>
    <row r="5" spans="1:5" x14ac:dyDescent="0.2">
      <c r="A5" s="254">
        <v>41730</v>
      </c>
      <c r="B5" s="617"/>
      <c r="C5" s="618"/>
      <c r="D5" s="617">
        <v>7488350</v>
      </c>
      <c r="E5" s="617">
        <v>7488350</v>
      </c>
    </row>
    <row r="6" spans="1:5" x14ac:dyDescent="0.2">
      <c r="A6" s="254">
        <v>41760</v>
      </c>
      <c r="B6" s="617"/>
      <c r="C6" s="618"/>
      <c r="D6" s="617">
        <v>7986119</v>
      </c>
      <c r="E6" s="617">
        <v>7986119</v>
      </c>
    </row>
    <row r="7" spans="1:5" x14ac:dyDescent="0.2">
      <c r="A7" s="254">
        <v>41791</v>
      </c>
      <c r="B7" s="617"/>
      <c r="C7" s="618"/>
      <c r="D7" s="617">
        <v>8876152</v>
      </c>
      <c r="E7" s="617">
        <v>8876152</v>
      </c>
    </row>
    <row r="8" spans="1:5" x14ac:dyDescent="0.2">
      <c r="A8" s="254">
        <v>41821</v>
      </c>
      <c r="B8" s="617"/>
      <c r="C8" s="618"/>
      <c r="D8" s="617">
        <v>9340526</v>
      </c>
      <c r="E8" s="617">
        <v>9340526</v>
      </c>
    </row>
    <row r="9" spans="1:5" x14ac:dyDescent="0.2">
      <c r="A9" s="262">
        <v>41852</v>
      </c>
      <c r="B9" s="617"/>
      <c r="C9" s="618"/>
      <c r="D9" s="617">
        <v>8583907</v>
      </c>
      <c r="E9" s="617">
        <v>8583907</v>
      </c>
    </row>
    <row r="10" spans="1:5" x14ac:dyDescent="0.2">
      <c r="A10" s="262">
        <v>41883</v>
      </c>
      <c r="B10" s="617"/>
      <c r="C10" s="618"/>
      <c r="D10" s="617">
        <v>10023872</v>
      </c>
      <c r="E10" s="617">
        <v>10023872</v>
      </c>
    </row>
    <row r="11" spans="1:5" x14ac:dyDescent="0.2">
      <c r="A11" s="262">
        <v>41913</v>
      </c>
      <c r="B11" s="617"/>
      <c r="C11" s="618"/>
      <c r="D11" s="617">
        <v>8035429</v>
      </c>
      <c r="E11" s="617">
        <v>8035429</v>
      </c>
    </row>
    <row r="12" spans="1:5" x14ac:dyDescent="0.2">
      <c r="A12" s="262">
        <v>41944</v>
      </c>
      <c r="B12" s="617"/>
      <c r="C12" s="618"/>
      <c r="D12" s="617">
        <v>6858052</v>
      </c>
      <c r="E12" s="617">
        <v>6858052</v>
      </c>
    </row>
    <row r="13" spans="1:5" x14ac:dyDescent="0.2">
      <c r="A13" s="262">
        <v>41974</v>
      </c>
      <c r="B13" s="617"/>
      <c r="C13" s="618"/>
      <c r="D13" s="617">
        <v>6405579</v>
      </c>
      <c r="E13" s="617">
        <v>6405579</v>
      </c>
    </row>
    <row r="14" spans="1:5" x14ac:dyDescent="0.2">
      <c r="A14" s="264">
        <v>42005</v>
      </c>
      <c r="B14" s="617"/>
      <c r="C14" s="618"/>
      <c r="D14" s="617">
        <v>6037637</v>
      </c>
      <c r="E14" s="617">
        <v>6037637</v>
      </c>
    </row>
    <row r="15" spans="1:5" x14ac:dyDescent="0.2">
      <c r="A15" s="264">
        <v>42036</v>
      </c>
      <c r="B15" s="617"/>
      <c r="C15" s="618"/>
      <c r="D15" s="617">
        <v>5695515</v>
      </c>
      <c r="E15" s="617">
        <v>5695515</v>
      </c>
    </row>
    <row r="16" spans="1:5" x14ac:dyDescent="0.2">
      <c r="A16" s="264">
        <v>42064</v>
      </c>
      <c r="B16" s="617"/>
      <c r="C16" s="618"/>
      <c r="D16" s="617">
        <v>6808373</v>
      </c>
      <c r="E16" s="617">
        <v>6808373</v>
      </c>
    </row>
    <row r="17" spans="1:5" x14ac:dyDescent="0.2">
      <c r="A17" s="264">
        <v>42095</v>
      </c>
      <c r="B17" s="617"/>
      <c r="C17" s="618"/>
      <c r="D17" s="617">
        <v>7375395</v>
      </c>
      <c r="E17" s="617">
        <v>7375395</v>
      </c>
    </row>
    <row r="18" spans="1:5" ht="17" thickBot="1" x14ac:dyDescent="0.25">
      <c r="A18" s="264">
        <v>42125</v>
      </c>
      <c r="B18" s="617"/>
      <c r="C18" s="618"/>
      <c r="D18" s="617">
        <v>8190535</v>
      </c>
      <c r="E18" s="617">
        <v>8190535</v>
      </c>
    </row>
    <row r="19" spans="1:5" ht="17" thickBot="1" x14ac:dyDescent="0.25">
      <c r="A19" s="264">
        <v>42156</v>
      </c>
      <c r="B19" s="619">
        <v>93067207</v>
      </c>
      <c r="C19" s="620">
        <v>93067207</v>
      </c>
      <c r="D19" s="617">
        <v>9712387</v>
      </c>
      <c r="E19" s="617">
        <v>9712387</v>
      </c>
    </row>
    <row r="20" spans="1:5" x14ac:dyDescent="0.2">
      <c r="A20" s="264">
        <v>42186</v>
      </c>
      <c r="B20" s="617">
        <v>92560708</v>
      </c>
      <c r="C20" s="617"/>
      <c r="D20" s="617">
        <v>8834027</v>
      </c>
      <c r="E20" s="617">
        <v>8834027</v>
      </c>
    </row>
    <row r="21" spans="1:5" x14ac:dyDescent="0.2">
      <c r="A21" s="264">
        <v>42217</v>
      </c>
      <c r="B21" s="617">
        <v>92658683</v>
      </c>
      <c r="C21" s="617"/>
      <c r="D21" s="617">
        <v>8681882</v>
      </c>
      <c r="E21" s="617">
        <v>8681882</v>
      </c>
    </row>
    <row r="22" spans="1:5" x14ac:dyDescent="0.2">
      <c r="A22" s="264">
        <v>42248</v>
      </c>
      <c r="B22" s="617">
        <v>92589207</v>
      </c>
      <c r="C22" s="617"/>
      <c r="D22" s="617">
        <v>9954396</v>
      </c>
      <c r="E22" s="617">
        <v>9954396</v>
      </c>
    </row>
    <row r="23" spans="1:5" x14ac:dyDescent="0.2">
      <c r="A23" s="264">
        <v>42278</v>
      </c>
      <c r="B23" s="617">
        <v>92906500</v>
      </c>
      <c r="C23" s="617"/>
      <c r="D23" s="617">
        <v>8352722</v>
      </c>
      <c r="E23" s="617">
        <v>8352722</v>
      </c>
    </row>
    <row r="24" spans="1:5" x14ac:dyDescent="0.2">
      <c r="A24" s="264">
        <v>42309</v>
      </c>
      <c r="B24" s="617">
        <v>94099443</v>
      </c>
      <c r="C24" s="617"/>
      <c r="D24" s="617">
        <v>8050995</v>
      </c>
      <c r="E24" s="617">
        <v>8050995</v>
      </c>
    </row>
    <row r="25" spans="1:5" x14ac:dyDescent="0.2">
      <c r="A25" s="264">
        <v>42339</v>
      </c>
      <c r="B25" s="617">
        <v>94187317</v>
      </c>
      <c r="C25" s="617"/>
      <c r="D25" s="617">
        <v>6493453</v>
      </c>
      <c r="E25" s="617">
        <v>6493453</v>
      </c>
    </row>
    <row r="26" spans="1:5" x14ac:dyDescent="0.2">
      <c r="A26" s="269">
        <v>42370</v>
      </c>
      <c r="B26" s="617">
        <v>94394903</v>
      </c>
      <c r="C26" s="617"/>
      <c r="D26" s="617">
        <v>6245223</v>
      </c>
      <c r="E26" s="617">
        <v>6245223</v>
      </c>
    </row>
    <row r="27" spans="1:5" x14ac:dyDescent="0.2">
      <c r="A27" s="269">
        <v>42401</v>
      </c>
      <c r="B27" s="617">
        <v>95166272</v>
      </c>
      <c r="C27" s="617"/>
      <c r="D27" s="617">
        <v>6466884</v>
      </c>
      <c r="E27" s="617">
        <v>6466884</v>
      </c>
    </row>
    <row r="28" spans="1:5" x14ac:dyDescent="0.2">
      <c r="A28" s="269">
        <v>42430</v>
      </c>
      <c r="B28" s="617">
        <v>94971369</v>
      </c>
      <c r="C28" s="617"/>
      <c r="D28" s="617">
        <v>6613470</v>
      </c>
      <c r="E28" s="617">
        <v>6613470</v>
      </c>
    </row>
    <row r="29" spans="1:5" x14ac:dyDescent="0.2">
      <c r="A29" s="269">
        <v>42461</v>
      </c>
      <c r="B29" s="617">
        <v>95180695</v>
      </c>
      <c r="C29" s="617"/>
      <c r="D29" s="617">
        <v>7584721</v>
      </c>
      <c r="E29" s="617">
        <v>7584721</v>
      </c>
    </row>
    <row r="30" spans="1:5" ht="17" thickBot="1" x14ac:dyDescent="0.25">
      <c r="A30" s="269">
        <v>42491</v>
      </c>
      <c r="B30" s="617">
        <v>95720512</v>
      </c>
      <c r="C30" s="617"/>
      <c r="D30" s="617">
        <v>8730352</v>
      </c>
      <c r="E30" s="617">
        <v>8730352</v>
      </c>
    </row>
    <row r="31" spans="1:5" ht="17" thickBot="1" x14ac:dyDescent="0.25">
      <c r="A31" s="269">
        <v>42522</v>
      </c>
      <c r="B31" s="619">
        <v>95800070</v>
      </c>
      <c r="C31" s="620">
        <v>95800070</v>
      </c>
      <c r="D31" s="617">
        <v>9791945</v>
      </c>
      <c r="E31" s="617">
        <v>9791945</v>
      </c>
    </row>
    <row r="32" spans="1:5" x14ac:dyDescent="0.2">
      <c r="A32" s="269">
        <v>42552</v>
      </c>
      <c r="B32" s="617">
        <v>96134757</v>
      </c>
      <c r="C32" s="617"/>
      <c r="D32" s="617">
        <v>9168714</v>
      </c>
      <c r="E32" s="617">
        <v>9168714</v>
      </c>
    </row>
    <row r="33" spans="1:5" x14ac:dyDescent="0.2">
      <c r="A33" s="269">
        <v>42583</v>
      </c>
      <c r="B33" s="617">
        <v>96947485</v>
      </c>
      <c r="C33" s="617"/>
      <c r="D33" s="617">
        <v>9494610</v>
      </c>
      <c r="E33" s="617">
        <v>9494610</v>
      </c>
    </row>
    <row r="34" spans="1:5" x14ac:dyDescent="0.2">
      <c r="A34" s="269">
        <v>42614</v>
      </c>
      <c r="B34" s="617">
        <v>96474873</v>
      </c>
      <c r="C34" s="617"/>
      <c r="D34" s="617">
        <v>9481784</v>
      </c>
      <c r="E34" s="617">
        <v>9481784</v>
      </c>
    </row>
    <row r="35" spans="1:5" x14ac:dyDescent="0.2">
      <c r="A35" s="269">
        <v>42644</v>
      </c>
      <c r="B35" s="617">
        <v>96161212</v>
      </c>
      <c r="C35" s="617"/>
      <c r="D35" s="617">
        <v>8039061</v>
      </c>
      <c r="E35" s="617">
        <v>8039061</v>
      </c>
    </row>
    <row r="36" spans="1:5" x14ac:dyDescent="0.2">
      <c r="A36" s="269">
        <v>42675</v>
      </c>
      <c r="B36" s="617">
        <v>96368281</v>
      </c>
      <c r="C36" s="617"/>
      <c r="D36" s="617">
        <v>8258064</v>
      </c>
      <c r="E36" s="617">
        <v>8258064</v>
      </c>
    </row>
    <row r="37" spans="1:5" x14ac:dyDescent="0.2">
      <c r="A37" s="269">
        <v>42705</v>
      </c>
      <c r="B37" s="617">
        <v>96342853</v>
      </c>
      <c r="C37" s="617"/>
      <c r="D37" s="617">
        <v>6468025</v>
      </c>
      <c r="E37" s="617">
        <v>6468025</v>
      </c>
    </row>
    <row r="38" spans="1:5" x14ac:dyDescent="0.2">
      <c r="A38" s="274">
        <v>42736</v>
      </c>
      <c r="B38" s="617">
        <v>95623203</v>
      </c>
      <c r="C38" s="617"/>
      <c r="D38" s="617">
        <v>5525573</v>
      </c>
      <c r="E38" s="617">
        <v>5525573</v>
      </c>
    </row>
    <row r="39" spans="1:5" x14ac:dyDescent="0.2">
      <c r="A39" s="274">
        <v>42767</v>
      </c>
      <c r="B39" s="617">
        <v>95982844</v>
      </c>
      <c r="C39" s="617"/>
      <c r="D39" s="617">
        <v>6826525</v>
      </c>
      <c r="E39" s="617">
        <v>6826525</v>
      </c>
    </row>
    <row r="40" spans="1:5" x14ac:dyDescent="0.2">
      <c r="A40" s="274">
        <v>42795</v>
      </c>
      <c r="B40" s="617">
        <v>96253205</v>
      </c>
      <c r="C40" s="617"/>
      <c r="D40" s="617">
        <v>6883831</v>
      </c>
      <c r="E40" s="617">
        <v>6883831</v>
      </c>
    </row>
    <row r="41" spans="1:5" x14ac:dyDescent="0.2">
      <c r="A41" s="274">
        <v>42826</v>
      </c>
      <c r="B41" s="617">
        <v>95356819</v>
      </c>
      <c r="C41" s="617"/>
      <c r="D41" s="617">
        <v>6688335</v>
      </c>
      <c r="E41" s="617">
        <v>6688335</v>
      </c>
    </row>
    <row r="42" spans="1:5" ht="17" thickBot="1" x14ac:dyDescent="0.25">
      <c r="A42" s="274">
        <v>42856</v>
      </c>
      <c r="B42" s="617">
        <v>94764032</v>
      </c>
      <c r="C42" s="617"/>
      <c r="D42" s="617">
        <v>8137565</v>
      </c>
      <c r="E42" s="617">
        <v>8137565</v>
      </c>
    </row>
    <row r="43" spans="1:5" ht="17" thickBot="1" x14ac:dyDescent="0.25">
      <c r="A43" s="274">
        <v>42887</v>
      </c>
      <c r="B43" s="619">
        <v>94486358</v>
      </c>
      <c r="C43" s="620">
        <v>94486358</v>
      </c>
      <c r="D43" s="617">
        <v>9514271</v>
      </c>
      <c r="E43" s="617">
        <v>9514271</v>
      </c>
    </row>
    <row r="44" spans="1:5" x14ac:dyDescent="0.2">
      <c r="A44" s="274">
        <v>42917</v>
      </c>
      <c r="B44" s="617">
        <v>93560730</v>
      </c>
      <c r="C44" s="617"/>
      <c r="D44" s="617">
        <v>8243086</v>
      </c>
      <c r="E44" s="617">
        <v>8243086</v>
      </c>
    </row>
    <row r="45" spans="1:5" x14ac:dyDescent="0.2">
      <c r="A45" s="274">
        <v>42948</v>
      </c>
      <c r="B45" s="617">
        <v>93908381</v>
      </c>
      <c r="C45" s="617"/>
      <c r="D45" s="617">
        <v>9842261</v>
      </c>
      <c r="E45" s="617">
        <v>9842261</v>
      </c>
    </row>
    <row r="46" spans="1:5" x14ac:dyDescent="0.2">
      <c r="A46" s="274">
        <v>42979</v>
      </c>
      <c r="B46" s="617">
        <v>93939573</v>
      </c>
      <c r="C46" s="617"/>
      <c r="D46" s="617">
        <v>9512976</v>
      </c>
      <c r="E46" s="617">
        <v>9512976</v>
      </c>
    </row>
    <row r="47" spans="1:5" x14ac:dyDescent="0.2">
      <c r="A47" s="274">
        <v>43009</v>
      </c>
      <c r="B47" s="617">
        <v>94414956</v>
      </c>
      <c r="C47" s="617"/>
      <c r="D47" s="617">
        <v>8514444</v>
      </c>
      <c r="E47" s="617">
        <v>8514444</v>
      </c>
    </row>
    <row r="48" spans="1:5" x14ac:dyDescent="0.2">
      <c r="A48" s="274">
        <v>43040</v>
      </c>
      <c r="B48" s="617">
        <v>93418878</v>
      </c>
      <c r="C48" s="617"/>
      <c r="D48" s="617">
        <v>7261986</v>
      </c>
      <c r="E48" s="617">
        <v>7261986</v>
      </c>
    </row>
    <row r="49" spans="1:5" x14ac:dyDescent="0.2">
      <c r="A49" s="274">
        <v>43070</v>
      </c>
      <c r="B49" s="617">
        <v>92921703</v>
      </c>
      <c r="C49" s="617"/>
      <c r="D49" s="617">
        <v>5970850</v>
      </c>
      <c r="E49" s="617">
        <v>5970850</v>
      </c>
    </row>
    <row r="50" spans="1:5" x14ac:dyDescent="0.2">
      <c r="A50" s="280">
        <v>43101</v>
      </c>
      <c r="B50" s="617">
        <v>93736605</v>
      </c>
      <c r="C50" s="617"/>
      <c r="D50" s="617">
        <v>6340475</v>
      </c>
      <c r="E50" s="617">
        <v>6340475</v>
      </c>
    </row>
    <row r="51" spans="1:5" x14ac:dyDescent="0.2">
      <c r="A51" s="280">
        <v>43132</v>
      </c>
      <c r="B51" s="617">
        <v>92920952</v>
      </c>
      <c r="C51" s="617"/>
      <c r="D51" s="617">
        <v>6010872</v>
      </c>
      <c r="E51" s="617">
        <v>6094434</v>
      </c>
    </row>
    <row r="52" spans="1:5" x14ac:dyDescent="0.2">
      <c r="A52" s="280">
        <v>43160</v>
      </c>
      <c r="B52" s="617">
        <v>92503642</v>
      </c>
      <c r="C52" s="617"/>
      <c r="D52" s="617">
        <v>6466521</v>
      </c>
      <c r="E52" s="617">
        <v>6536866</v>
      </c>
    </row>
    <row r="53" spans="1:5" x14ac:dyDescent="0.2">
      <c r="A53" s="280">
        <v>43191</v>
      </c>
      <c r="B53" s="617">
        <v>93292059</v>
      </c>
      <c r="C53" s="617"/>
      <c r="D53" s="617">
        <v>7476752</v>
      </c>
      <c r="E53" s="617">
        <v>7557236</v>
      </c>
    </row>
    <row r="54" spans="1:5" ht="17" thickBot="1" x14ac:dyDescent="0.25">
      <c r="A54" s="280">
        <v>43221</v>
      </c>
      <c r="B54" s="617">
        <v>94135291</v>
      </c>
      <c r="C54" s="617"/>
      <c r="D54" s="617">
        <v>8980797</v>
      </c>
      <c r="E54" s="617">
        <v>9097158</v>
      </c>
    </row>
    <row r="55" spans="1:5" ht="17" thickBot="1" x14ac:dyDescent="0.25">
      <c r="A55" s="280">
        <v>43252</v>
      </c>
      <c r="B55" s="619">
        <v>92966450</v>
      </c>
      <c r="C55" s="620">
        <v>93414359</v>
      </c>
      <c r="D55" s="617">
        <v>8345430</v>
      </c>
      <c r="E55" s="617">
        <v>8442587</v>
      </c>
    </row>
    <row r="56" spans="1:5" x14ac:dyDescent="0.2">
      <c r="A56" s="280">
        <v>43282</v>
      </c>
      <c r="B56" s="617">
        <v>93887240</v>
      </c>
      <c r="C56" s="617"/>
      <c r="D56" s="617">
        <v>9163876</v>
      </c>
      <c r="E56" s="617">
        <v>9234454</v>
      </c>
    </row>
    <row r="57" spans="1:5" x14ac:dyDescent="0.2">
      <c r="A57" s="280">
        <v>43313</v>
      </c>
      <c r="B57" s="617">
        <v>93309781</v>
      </c>
      <c r="C57" s="617"/>
      <c r="D57" s="617">
        <v>9264802</v>
      </c>
      <c r="E57" s="617">
        <v>9350143</v>
      </c>
    </row>
    <row r="58" spans="1:5" x14ac:dyDescent="0.2">
      <c r="A58" s="280">
        <v>43344</v>
      </c>
      <c r="B58" s="617">
        <v>92346280</v>
      </c>
      <c r="C58" s="617"/>
      <c r="D58" s="617">
        <v>8549475</v>
      </c>
      <c r="E58" s="617">
        <v>8646720</v>
      </c>
    </row>
    <row r="59" spans="1:5" x14ac:dyDescent="0.2">
      <c r="A59" s="285">
        <v>43374</v>
      </c>
      <c r="B59" s="617">
        <v>91966795</v>
      </c>
      <c r="C59" s="617"/>
      <c r="D59" s="617">
        <v>8134959</v>
      </c>
      <c r="E59" s="617">
        <v>8247422</v>
      </c>
    </row>
    <row r="60" spans="1:5" x14ac:dyDescent="0.2">
      <c r="A60" s="280">
        <v>43405</v>
      </c>
      <c r="B60" s="617">
        <v>92006183</v>
      </c>
      <c r="C60" s="617"/>
      <c r="D60" s="617">
        <v>7301374</v>
      </c>
      <c r="E60" s="617">
        <v>7380273</v>
      </c>
    </row>
    <row r="61" spans="1:5" x14ac:dyDescent="0.2">
      <c r="A61" s="280">
        <v>43435</v>
      </c>
      <c r="B61" s="617">
        <v>91781095</v>
      </c>
      <c r="C61" s="617"/>
      <c r="D61" s="617">
        <v>5745762</v>
      </c>
      <c r="E61" s="617">
        <v>5816533</v>
      </c>
    </row>
    <row r="62" spans="1:5" x14ac:dyDescent="0.2">
      <c r="A62" s="269">
        <v>43466</v>
      </c>
      <c r="B62" s="617">
        <v>91689287</v>
      </c>
      <c r="C62" s="617"/>
      <c r="D62" s="617">
        <v>6248667</v>
      </c>
      <c r="E62" s="617">
        <v>6300067</v>
      </c>
    </row>
    <row r="63" spans="1:5" x14ac:dyDescent="0.2">
      <c r="A63" s="269">
        <v>43497</v>
      </c>
      <c r="B63" s="617">
        <v>91511184</v>
      </c>
      <c r="C63" s="617"/>
      <c r="D63" s="617">
        <v>5832769</v>
      </c>
      <c r="E63" s="617">
        <v>5901172</v>
      </c>
    </row>
    <row r="64" spans="1:5" x14ac:dyDescent="0.2">
      <c r="A64" s="269">
        <v>43525</v>
      </c>
      <c r="B64" s="617">
        <v>91375813</v>
      </c>
      <c r="C64" s="617"/>
      <c r="D64" s="617">
        <v>6331150</v>
      </c>
      <c r="E64" s="617">
        <v>6401669</v>
      </c>
    </row>
    <row r="65" spans="1:5" x14ac:dyDescent="0.2">
      <c r="A65" s="269">
        <v>43556</v>
      </c>
      <c r="B65" s="617">
        <v>91623394</v>
      </c>
      <c r="C65" s="617"/>
      <c r="D65" s="617">
        <v>7724333</v>
      </c>
      <c r="E65" s="617">
        <v>7815708</v>
      </c>
    </row>
    <row r="66" spans="1:5" ht="17" thickBot="1" x14ac:dyDescent="0.25">
      <c r="A66" s="269">
        <v>43586</v>
      </c>
      <c r="B66" s="617">
        <v>90483094</v>
      </c>
      <c r="C66" s="617"/>
      <c r="D66" s="617">
        <v>7840497</v>
      </c>
      <c r="E66" s="617">
        <v>7943460</v>
      </c>
    </row>
    <row r="67" spans="1:5" ht="17" thickBot="1" x14ac:dyDescent="0.25">
      <c r="A67" s="269">
        <v>43617</v>
      </c>
      <c r="B67" s="619">
        <v>90186094</v>
      </c>
      <c r="C67" s="620">
        <v>91176940</v>
      </c>
      <c r="D67" s="617">
        <v>8048430</v>
      </c>
      <c r="E67" s="617">
        <v>8139319</v>
      </c>
    </row>
    <row r="68" spans="1:5" x14ac:dyDescent="0.2">
      <c r="A68" s="269">
        <v>43647</v>
      </c>
      <c r="B68" s="617">
        <v>90323695</v>
      </c>
      <c r="C68" s="617"/>
      <c r="D68" s="617">
        <v>9301477</v>
      </c>
      <c r="E68" s="617">
        <v>9376472</v>
      </c>
    </row>
    <row r="69" spans="1:5" x14ac:dyDescent="0.2">
      <c r="A69" s="269">
        <v>43678</v>
      </c>
      <c r="B69" s="617">
        <v>90175858</v>
      </c>
      <c r="C69" s="617"/>
      <c r="D69" s="617">
        <v>9116965</v>
      </c>
      <c r="E69" s="617">
        <v>9184618</v>
      </c>
    </row>
    <row r="70" spans="1:5" x14ac:dyDescent="0.2">
      <c r="A70" s="269">
        <v>43709</v>
      </c>
      <c r="B70" s="617">
        <v>91088438</v>
      </c>
      <c r="C70" s="617"/>
      <c r="D70" s="617">
        <v>9462055</v>
      </c>
      <c r="E70" s="617">
        <v>9577222</v>
      </c>
    </row>
    <row r="71" spans="1:5" x14ac:dyDescent="0.2">
      <c r="A71" s="269">
        <v>43739</v>
      </c>
      <c r="B71" s="617">
        <v>91275557</v>
      </c>
      <c r="C71" s="617"/>
      <c r="D71" s="617">
        <v>8322078</v>
      </c>
      <c r="E71" s="617">
        <v>8466782</v>
      </c>
    </row>
    <row r="72" spans="1:5" x14ac:dyDescent="0.2">
      <c r="A72" s="269">
        <v>43770</v>
      </c>
      <c r="B72" s="617">
        <v>90389256</v>
      </c>
      <c r="C72" s="617"/>
      <c r="D72" s="617">
        <v>6415073</v>
      </c>
      <c r="E72" s="617">
        <v>6497604</v>
      </c>
    </row>
    <row r="73" spans="1:5" x14ac:dyDescent="0.2">
      <c r="A73" s="269">
        <v>43800</v>
      </c>
      <c r="B73" s="617">
        <v>90542578</v>
      </c>
      <c r="C73" s="617"/>
      <c r="D73" s="617">
        <v>5899084</v>
      </c>
      <c r="E73" s="617">
        <v>5947205</v>
      </c>
    </row>
    <row r="74" spans="1:5" x14ac:dyDescent="0.2">
      <c r="A74" s="264">
        <v>43831</v>
      </c>
      <c r="B74" s="617">
        <v>90062702</v>
      </c>
      <c r="C74" s="617"/>
      <c r="D74" s="617">
        <v>5768791</v>
      </c>
      <c r="E74" s="617">
        <v>5805396</v>
      </c>
    </row>
    <row r="75" spans="1:5" x14ac:dyDescent="0.2">
      <c r="A75" s="264">
        <v>43862</v>
      </c>
      <c r="B75" s="617">
        <v>89253740</v>
      </c>
      <c r="C75" s="617"/>
      <c r="D75" s="617">
        <v>5023807</v>
      </c>
      <c r="E75" s="617">
        <v>5066724</v>
      </c>
    </row>
    <row r="76" spans="1:5" x14ac:dyDescent="0.2">
      <c r="A76" s="264">
        <v>43891</v>
      </c>
      <c r="B76" s="617">
        <v>88747332</v>
      </c>
      <c r="C76" s="617"/>
      <c r="D76" s="617">
        <v>5824742</v>
      </c>
      <c r="E76" s="617">
        <v>5861350</v>
      </c>
    </row>
    <row r="77" spans="1:5" x14ac:dyDescent="0.2">
      <c r="A77" s="264">
        <v>43922</v>
      </c>
      <c r="B77" s="617">
        <v>86704720</v>
      </c>
      <c r="C77" s="617"/>
      <c r="D77" s="617">
        <v>5681721</v>
      </c>
      <c r="E77" s="617">
        <v>5719590</v>
      </c>
    </row>
    <row r="78" spans="1:5" ht="17" thickBot="1" x14ac:dyDescent="0.25">
      <c r="A78" s="264">
        <v>43952</v>
      </c>
      <c r="B78" s="617">
        <v>86447454</v>
      </c>
      <c r="C78" s="617"/>
      <c r="D78" s="617">
        <v>7583231</v>
      </c>
      <c r="E78" s="617">
        <v>7775261</v>
      </c>
    </row>
    <row r="79" spans="1:5" ht="17" thickBot="1" x14ac:dyDescent="0.25">
      <c r="A79" s="264">
        <v>43983</v>
      </c>
      <c r="B79" s="619">
        <v>87353244</v>
      </c>
      <c r="C79" s="620">
        <v>88300941</v>
      </c>
      <c r="D79" s="617">
        <v>8954220</v>
      </c>
      <c r="E79" s="617">
        <v>9022717</v>
      </c>
    </row>
    <row r="80" spans="1:5" x14ac:dyDescent="0.2">
      <c r="A80" s="264">
        <v>44013</v>
      </c>
      <c r="B80" s="617">
        <v>86884899</v>
      </c>
      <c r="C80" s="617"/>
      <c r="D80" s="617">
        <v>8833132</v>
      </c>
      <c r="E80" s="617">
        <v>8895208</v>
      </c>
    </row>
    <row r="81" spans="1:5" x14ac:dyDescent="0.2">
      <c r="A81" s="264">
        <v>44044</v>
      </c>
      <c r="B81" s="617">
        <v>85699386</v>
      </c>
      <c r="C81" s="617"/>
      <c r="D81" s="617">
        <v>7931452</v>
      </c>
      <c r="E81" s="617">
        <v>8002091</v>
      </c>
    </row>
    <row r="82" spans="1:5" x14ac:dyDescent="0.2">
      <c r="A82" s="264">
        <v>44075</v>
      </c>
      <c r="B82" s="617">
        <v>85710579</v>
      </c>
      <c r="C82" s="617"/>
      <c r="D82" s="617">
        <v>9473248</v>
      </c>
      <c r="E82" s="617">
        <v>9701459</v>
      </c>
    </row>
    <row r="83" spans="1:5" x14ac:dyDescent="0.2">
      <c r="A83" s="264">
        <v>44105</v>
      </c>
      <c r="B83" s="617">
        <v>84624859</v>
      </c>
      <c r="C83" s="617"/>
      <c r="D83" s="617">
        <v>7236358</v>
      </c>
      <c r="E83" s="617">
        <v>7326898</v>
      </c>
    </row>
    <row r="84" spans="1:5" x14ac:dyDescent="0.2">
      <c r="A84" s="264">
        <v>44136</v>
      </c>
      <c r="B84" s="617">
        <v>84979994</v>
      </c>
      <c r="C84" s="617"/>
      <c r="D84" s="617">
        <v>6770208</v>
      </c>
      <c r="E84" s="617">
        <v>6838931</v>
      </c>
    </row>
    <row r="85" spans="1:5" x14ac:dyDescent="0.2">
      <c r="A85" s="264">
        <v>44166</v>
      </c>
      <c r="B85" s="617">
        <v>84854430</v>
      </c>
      <c r="C85" s="617"/>
      <c r="D85" s="617">
        <v>5773520</v>
      </c>
      <c r="E85" s="617">
        <v>5832897</v>
      </c>
    </row>
    <row r="86" spans="1:5" x14ac:dyDescent="0.2">
      <c r="A86" s="290">
        <v>44197</v>
      </c>
      <c r="B86" s="617">
        <v>84786987</v>
      </c>
      <c r="C86" s="617"/>
      <c r="D86" s="617">
        <v>5701348</v>
      </c>
      <c r="E86" s="617">
        <v>5763870</v>
      </c>
    </row>
    <row r="87" spans="1:5" x14ac:dyDescent="0.2">
      <c r="A87" s="290">
        <v>44228</v>
      </c>
      <c r="B87" s="617">
        <v>85189795</v>
      </c>
      <c r="C87" s="617"/>
      <c r="D87" s="617">
        <v>5426615</v>
      </c>
      <c r="E87" s="617">
        <v>5489137</v>
      </c>
    </row>
    <row r="88" spans="1:5" x14ac:dyDescent="0.2">
      <c r="A88" s="290">
        <v>44256</v>
      </c>
      <c r="B88" s="617">
        <v>86161740</v>
      </c>
      <c r="C88" s="617"/>
      <c r="D88" s="617">
        <v>6796687</v>
      </c>
      <c r="E88" s="617">
        <v>6856115</v>
      </c>
    </row>
    <row r="89" spans="1:5" x14ac:dyDescent="0.2">
      <c r="A89" s="290">
        <v>44287</v>
      </c>
      <c r="B89" s="617">
        <v>87567752</v>
      </c>
      <c r="C89" s="617"/>
      <c r="D89" s="617">
        <v>7087733</v>
      </c>
      <c r="E89" s="617">
        <v>7171769</v>
      </c>
    </row>
    <row r="90" spans="1:5" ht="17" thickBot="1" x14ac:dyDescent="0.25">
      <c r="A90" s="290">
        <v>44317</v>
      </c>
      <c r="B90" s="617">
        <v>88775236</v>
      </c>
      <c r="C90" s="617"/>
      <c r="D90" s="617">
        <v>8790715</v>
      </c>
      <c r="E90" s="617">
        <v>8899597</v>
      </c>
    </row>
    <row r="91" spans="1:5" ht="17" thickBot="1" x14ac:dyDescent="0.25">
      <c r="A91" s="290">
        <v>44348</v>
      </c>
      <c r="B91" s="619">
        <v>88318175</v>
      </c>
      <c r="C91" s="620">
        <v>89389542</v>
      </c>
      <c r="D91" s="617">
        <v>8497159</v>
      </c>
      <c r="E91" s="617">
        <v>8611570</v>
      </c>
    </row>
    <row r="92" spans="1:5" x14ac:dyDescent="0.2">
      <c r="A92" s="290">
        <v>44378</v>
      </c>
      <c r="B92" s="617">
        <v>88449963</v>
      </c>
      <c r="C92" s="617"/>
      <c r="D92" s="617">
        <v>8964920</v>
      </c>
      <c r="E92" s="617">
        <v>9046370</v>
      </c>
    </row>
    <row r="93" spans="1:5" x14ac:dyDescent="0.2">
      <c r="A93" s="290">
        <v>44409</v>
      </c>
      <c r="B93" s="617">
        <v>89334599</v>
      </c>
      <c r="C93" s="617"/>
      <c r="D93" s="617">
        <v>8816088</v>
      </c>
      <c r="E93" s="617">
        <v>8900268</v>
      </c>
    </row>
    <row r="94" spans="1:5" x14ac:dyDescent="0.2">
      <c r="A94" s="290">
        <v>44440</v>
      </c>
      <c r="B94" s="617">
        <v>89608532</v>
      </c>
      <c r="C94" s="617"/>
      <c r="D94" s="617">
        <v>9747181</v>
      </c>
      <c r="E94" s="617">
        <v>9857216</v>
      </c>
    </row>
    <row r="95" spans="1:5" x14ac:dyDescent="0.2">
      <c r="A95" s="290">
        <v>44470</v>
      </c>
      <c r="B95" s="617">
        <v>90225077</v>
      </c>
      <c r="C95" s="617"/>
      <c r="D95" s="617">
        <v>7852903</v>
      </c>
      <c r="E95" s="617">
        <v>7995520</v>
      </c>
    </row>
    <row r="96" spans="1:5" x14ac:dyDescent="0.2">
      <c r="A96" s="290">
        <v>44501</v>
      </c>
      <c r="B96" s="617">
        <v>90922176</v>
      </c>
      <c r="C96" s="617"/>
      <c r="D96" s="617">
        <v>7467307</v>
      </c>
      <c r="E96" s="617">
        <v>7550339</v>
      </c>
    </row>
    <row r="97" spans="1:5" x14ac:dyDescent="0.2">
      <c r="A97" s="290">
        <v>44531</v>
      </c>
      <c r="B97" s="617">
        <v>91369619</v>
      </c>
      <c r="C97" s="617"/>
      <c r="D97" s="617">
        <v>6220963</v>
      </c>
      <c r="E97" s="617">
        <v>6298389</v>
      </c>
    </row>
    <row r="98" spans="1:5" x14ac:dyDescent="0.2">
      <c r="A98" s="274">
        <v>44562</v>
      </c>
      <c r="B98" s="617">
        <v>91387901</v>
      </c>
      <c r="C98" s="617"/>
      <c r="D98" s="617">
        <v>5719630</v>
      </c>
      <c r="E98" s="617">
        <v>5719630</v>
      </c>
    </row>
    <row r="99" spans="1:5" x14ac:dyDescent="0.2">
      <c r="A99" s="274">
        <v>44593</v>
      </c>
      <c r="B99" s="617">
        <v>91934658</v>
      </c>
      <c r="C99" s="617"/>
      <c r="D99" s="617">
        <v>5973372</v>
      </c>
      <c r="E99" s="617">
        <v>5973372</v>
      </c>
    </row>
    <row r="100" spans="1:5" x14ac:dyDescent="0.2">
      <c r="A100" s="274">
        <v>44621</v>
      </c>
      <c r="B100" s="617">
        <v>91174346</v>
      </c>
      <c r="C100" s="617"/>
      <c r="D100" s="617">
        <v>6036375</v>
      </c>
      <c r="E100" s="617">
        <v>6099883</v>
      </c>
    </row>
    <row r="101" spans="1:5" x14ac:dyDescent="0.2">
      <c r="A101" s="274">
        <v>44652</v>
      </c>
      <c r="B101" s="617">
        <v>90701082</v>
      </c>
      <c r="C101" s="617"/>
      <c r="D101" s="617">
        <v>6614469</v>
      </c>
      <c r="E101" s="617">
        <v>6675559</v>
      </c>
    </row>
    <row r="102" spans="1:5" ht="17" thickBot="1" x14ac:dyDescent="0.25">
      <c r="A102" s="274">
        <v>44682</v>
      </c>
      <c r="B102" s="617">
        <v>89446511</v>
      </c>
      <c r="C102" s="617"/>
      <c r="D102" s="617">
        <v>7536144</v>
      </c>
      <c r="E102" s="617">
        <v>7599643</v>
      </c>
    </row>
    <row r="103" spans="1:5" ht="17" thickBot="1" x14ac:dyDescent="0.25">
      <c r="A103" s="274">
        <v>44713</v>
      </c>
      <c r="B103" s="619">
        <v>89692408</v>
      </c>
      <c r="C103" s="620">
        <v>90520156</v>
      </c>
      <c r="D103" s="617">
        <v>8743056</v>
      </c>
      <c r="E103" s="617">
        <v>8803967</v>
      </c>
    </row>
    <row r="104" spans="1:5" x14ac:dyDescent="0.2">
      <c r="A104" s="274">
        <v>44743</v>
      </c>
      <c r="B104" s="617">
        <v>89386136</v>
      </c>
      <c r="C104" s="617"/>
      <c r="D104" s="617">
        <v>8658648</v>
      </c>
      <c r="E104" s="617">
        <v>8723593</v>
      </c>
    </row>
    <row r="105" spans="1:5" x14ac:dyDescent="0.2">
      <c r="A105" s="274">
        <v>44774</v>
      </c>
      <c r="B105" s="617">
        <v>90058326</v>
      </c>
      <c r="C105" s="617"/>
      <c r="D105" s="617">
        <v>9488278</v>
      </c>
      <c r="E105" s="617">
        <v>9568251</v>
      </c>
    </row>
    <row r="106" spans="1:5" x14ac:dyDescent="0.2">
      <c r="A106" s="274">
        <v>44805</v>
      </c>
      <c r="B106" s="617">
        <v>89931525</v>
      </c>
      <c r="C106" s="617"/>
      <c r="D106" s="617">
        <v>9620380</v>
      </c>
      <c r="E106" s="617">
        <v>9749217</v>
      </c>
    </row>
    <row r="107" spans="1:5" x14ac:dyDescent="0.2">
      <c r="A107" s="274">
        <v>44835</v>
      </c>
      <c r="B107" s="617">
        <v>89686998</v>
      </c>
      <c r="C107" s="617"/>
      <c r="D107" s="617">
        <v>7608376</v>
      </c>
      <c r="E107" s="617">
        <v>7743645</v>
      </c>
    </row>
    <row r="108" spans="1:5" x14ac:dyDescent="0.2">
      <c r="A108" s="274">
        <v>44866</v>
      </c>
      <c r="B108" s="617">
        <v>90490096</v>
      </c>
      <c r="C108" s="617"/>
      <c r="D108" s="617">
        <v>8270405</v>
      </c>
      <c r="E108" s="617">
        <v>8369357</v>
      </c>
    </row>
    <row r="109" spans="1:5" x14ac:dyDescent="0.2">
      <c r="A109" s="274">
        <v>44896</v>
      </c>
      <c r="B109" s="617">
        <v>90554772</v>
      </c>
      <c r="C109" s="617"/>
      <c r="D109" s="617">
        <v>6285639</v>
      </c>
      <c r="E109" s="617">
        <v>6364744</v>
      </c>
    </row>
    <row r="110" spans="1:5" x14ac:dyDescent="0.2">
      <c r="A110" s="295">
        <v>44927</v>
      </c>
      <c r="B110" s="617">
        <v>90952030</v>
      </c>
      <c r="C110" s="617"/>
      <c r="D110" s="617">
        <v>6116888</v>
      </c>
      <c r="E110" s="617">
        <v>6159370</v>
      </c>
    </row>
    <row r="111" spans="1:5" x14ac:dyDescent="0.2">
      <c r="A111" s="295">
        <v>44958</v>
      </c>
      <c r="B111" s="617">
        <v>91245100</v>
      </c>
      <c r="C111" s="617"/>
      <c r="D111" s="617">
        <v>6266441</v>
      </c>
      <c r="E111" s="617">
        <v>6332448</v>
      </c>
    </row>
    <row r="112" spans="1:5" x14ac:dyDescent="0.2">
      <c r="A112" s="295">
        <v>44986</v>
      </c>
      <c r="B112" s="617">
        <v>92037317</v>
      </c>
      <c r="C112" s="617"/>
      <c r="D112" s="617">
        <v>6828592</v>
      </c>
      <c r="E112" s="617">
        <v>6893818</v>
      </c>
    </row>
    <row r="113" spans="1:5" x14ac:dyDescent="0.2">
      <c r="A113" s="295">
        <v>45017</v>
      </c>
      <c r="B113" s="617">
        <v>92421203</v>
      </c>
      <c r="C113" s="617"/>
      <c r="D113" s="617">
        <v>6998355</v>
      </c>
      <c r="E113" s="617">
        <v>7097344</v>
      </c>
    </row>
    <row r="114" spans="1:5" ht="17" thickBot="1" x14ac:dyDescent="0.25">
      <c r="A114" s="295">
        <v>45047</v>
      </c>
      <c r="B114" s="617">
        <v>93510500</v>
      </c>
      <c r="C114" s="617"/>
      <c r="D114" s="617">
        <v>8625441</v>
      </c>
      <c r="E114" s="617">
        <v>8726206</v>
      </c>
    </row>
    <row r="115" spans="1:5" ht="17" thickBot="1" x14ac:dyDescent="0.25">
      <c r="A115" s="295">
        <v>45078</v>
      </c>
      <c r="B115" s="619">
        <v>93932338</v>
      </c>
      <c r="C115" s="620">
        <v>95015051</v>
      </c>
      <c r="D115" s="617">
        <v>9164894</v>
      </c>
      <c r="E115" s="617">
        <v>9287057</v>
      </c>
    </row>
    <row r="116" spans="1:5" x14ac:dyDescent="0.2">
      <c r="A116" s="295">
        <v>45108</v>
      </c>
      <c r="B116" s="617">
        <v>93669668</v>
      </c>
      <c r="C116" s="617"/>
      <c r="D116" s="617">
        <v>8395978</v>
      </c>
      <c r="E116" s="617">
        <v>8497423</v>
      </c>
    </row>
    <row r="117" spans="1:5" x14ac:dyDescent="0.2">
      <c r="A117" s="295">
        <v>45139</v>
      </c>
      <c r="B117" s="617">
        <v>94202442</v>
      </c>
      <c r="C117" s="617"/>
      <c r="D117" s="617">
        <v>10021052</v>
      </c>
      <c r="E117" s="617">
        <v>10153170</v>
      </c>
    </row>
    <row r="118" spans="1:5" x14ac:dyDescent="0.2">
      <c r="A118" s="295">
        <v>45170</v>
      </c>
      <c r="B118" s="617">
        <v>93817045</v>
      </c>
      <c r="C118" s="617"/>
      <c r="D118" s="617">
        <v>9234983</v>
      </c>
      <c r="E118" s="617">
        <v>9358033</v>
      </c>
    </row>
    <row r="119" spans="1:5" x14ac:dyDescent="0.2">
      <c r="A119" s="295">
        <v>45200</v>
      </c>
      <c r="B119" s="617">
        <v>95115663</v>
      </c>
      <c r="C119" s="617"/>
      <c r="D119" s="617">
        <v>8906994</v>
      </c>
      <c r="E119" s="617">
        <v>9036463</v>
      </c>
    </row>
    <row r="120" spans="1:5" x14ac:dyDescent="0.2">
      <c r="A120" s="295">
        <v>45231</v>
      </c>
      <c r="B120" s="617">
        <v>94437900</v>
      </c>
      <c r="C120" s="617"/>
      <c r="D120" s="617">
        <v>7592642</v>
      </c>
      <c r="E120" s="617">
        <v>7674122</v>
      </c>
    </row>
    <row r="121" spans="1:5" x14ac:dyDescent="0.2">
      <c r="A121" s="295">
        <v>45261</v>
      </c>
      <c r="B121" s="617">
        <v>94622317</v>
      </c>
      <c r="C121" s="617"/>
      <c r="D121" s="617">
        <v>6470056</v>
      </c>
      <c r="E121" s="617">
        <v>6531777</v>
      </c>
    </row>
    <row r="122" spans="1:5" x14ac:dyDescent="0.2">
      <c r="A122" s="280">
        <v>45292</v>
      </c>
      <c r="B122" s="617">
        <v>95197696</v>
      </c>
      <c r="C122" s="617"/>
      <c r="D122" s="617">
        <v>6692267</v>
      </c>
      <c r="E122" s="617">
        <v>6733975</v>
      </c>
    </row>
    <row r="123" spans="1:5" x14ac:dyDescent="0.2">
      <c r="A123" s="280">
        <v>45323</v>
      </c>
      <c r="B123" s="617">
        <v>95585834</v>
      </c>
      <c r="C123" s="617"/>
      <c r="D123" s="617">
        <v>6654580</v>
      </c>
      <c r="E123" s="617">
        <v>6712666</v>
      </c>
    </row>
    <row r="124" spans="1:5" x14ac:dyDescent="0.2">
      <c r="A124" s="280">
        <v>45352</v>
      </c>
      <c r="B124" s="617">
        <v>95368572</v>
      </c>
      <c r="C124" s="617"/>
      <c r="D124" s="617">
        <v>6611330</v>
      </c>
      <c r="E124" s="617">
        <v>6679128</v>
      </c>
    </row>
    <row r="125" spans="1:5" x14ac:dyDescent="0.2">
      <c r="A125" s="280">
        <v>45383</v>
      </c>
      <c r="B125" s="617">
        <v>97412202</v>
      </c>
      <c r="C125" s="617"/>
      <c r="D125" s="617">
        <v>9041986</v>
      </c>
      <c r="E125" s="617">
        <v>9136727</v>
      </c>
    </row>
    <row r="126" spans="1:5" ht="17" thickBot="1" x14ac:dyDescent="0.25">
      <c r="A126" s="280">
        <v>45413</v>
      </c>
      <c r="B126" s="617">
        <v>97207952</v>
      </c>
      <c r="C126" s="617"/>
      <c r="D126" s="617">
        <v>8421191</v>
      </c>
      <c r="E126" s="617">
        <v>8529013</v>
      </c>
    </row>
    <row r="127" spans="1:5" ht="17" thickBot="1" x14ac:dyDescent="0.25">
      <c r="A127" s="280">
        <v>45444</v>
      </c>
      <c r="B127" s="619">
        <v>96709341</v>
      </c>
      <c r="C127" s="620">
        <v>97804523</v>
      </c>
      <c r="D127" s="617">
        <v>8666283</v>
      </c>
      <c r="E127" s="617">
        <v>8762027</v>
      </c>
    </row>
    <row r="128" spans="1:5" x14ac:dyDescent="0.2">
      <c r="A128" s="280">
        <v>45474</v>
      </c>
      <c r="B128" s="617">
        <v>98664166</v>
      </c>
      <c r="C128" s="617"/>
      <c r="D128" s="617">
        <v>10350803</v>
      </c>
      <c r="E128" s="617">
        <v>10457403</v>
      </c>
    </row>
    <row r="129" spans="1:5" x14ac:dyDescent="0.2">
      <c r="A129" s="280">
        <v>45505</v>
      </c>
      <c r="B129" s="617">
        <v>98443491</v>
      </c>
      <c r="C129" s="617"/>
      <c r="D129" s="617">
        <v>9800377</v>
      </c>
      <c r="E129" s="617">
        <v>9884683</v>
      </c>
    </row>
    <row r="130" spans="1:5" x14ac:dyDescent="0.2">
      <c r="A130" s="280">
        <v>45536</v>
      </c>
      <c r="B130" s="617">
        <v>99413865</v>
      </c>
      <c r="C130" s="617"/>
      <c r="D130" s="617">
        <v>10205357</v>
      </c>
      <c r="E130" s="617">
        <v>10323266</v>
      </c>
    </row>
    <row r="131" spans="1:5" x14ac:dyDescent="0.2">
      <c r="A131" s="280">
        <v>45566</v>
      </c>
      <c r="B131" s="617">
        <v>99357598</v>
      </c>
      <c r="C131" s="617"/>
      <c r="D131" s="617">
        <v>8850727</v>
      </c>
      <c r="E131" s="617">
        <v>8981053</v>
      </c>
    </row>
    <row r="132" spans="1:5" x14ac:dyDescent="0.2">
      <c r="A132" s="280">
        <v>45597</v>
      </c>
      <c r="B132" s="617">
        <v>100029481</v>
      </c>
      <c r="C132" s="617"/>
      <c r="D132" s="617">
        <v>8264525</v>
      </c>
      <c r="E132" s="617">
        <v>8356413</v>
      </c>
    </row>
    <row r="133" spans="1:5" x14ac:dyDescent="0.2">
      <c r="A133" s="280">
        <v>45627</v>
      </c>
      <c r="B133" s="617">
        <v>100802371</v>
      </c>
      <c r="C133" s="617"/>
      <c r="D133" s="617">
        <v>7242946</v>
      </c>
      <c r="E133" s="617">
        <v>7304413</v>
      </c>
    </row>
    <row r="134" spans="1:5" x14ac:dyDescent="0.2">
      <c r="A134" s="274">
        <v>45658</v>
      </c>
      <c r="B134" s="617">
        <v>100581586</v>
      </c>
      <c r="C134" s="618"/>
      <c r="D134" s="617">
        <v>6471482</v>
      </c>
      <c r="E134" s="617">
        <v>6512462</v>
      </c>
    </row>
    <row r="135" spans="1:5" x14ac:dyDescent="0.2">
      <c r="A135" s="274">
        <v>45689</v>
      </c>
      <c r="B135" s="617">
        <v>101060258</v>
      </c>
      <c r="C135" s="618"/>
      <c r="D135" s="617">
        <v>7133253</v>
      </c>
      <c r="E135" s="617">
        <v>7190677</v>
      </c>
    </row>
    <row r="136" spans="1:5" x14ac:dyDescent="0.2">
      <c r="A136" s="274">
        <v>45717</v>
      </c>
      <c r="B136" s="617">
        <v>101471382</v>
      </c>
      <c r="C136" s="618"/>
      <c r="D136" s="617">
        <v>7022454</v>
      </c>
      <c r="E136" s="617">
        <v>7088093</v>
      </c>
    </row>
    <row r="137" spans="1:5" x14ac:dyDescent="0.2">
      <c r="A137" s="274">
        <v>45748</v>
      </c>
      <c r="B137" s="617">
        <v>101180417</v>
      </c>
      <c r="C137" s="618"/>
      <c r="D137" s="617">
        <v>8751020</v>
      </c>
      <c r="E137" s="617">
        <v>8826930</v>
      </c>
    </row>
    <row r="138" spans="1:5" ht="17" thickBot="1" x14ac:dyDescent="0.25">
      <c r="A138" s="274">
        <v>45778</v>
      </c>
      <c r="B138" s="617">
        <v>102046244</v>
      </c>
      <c r="C138" s="618"/>
      <c r="D138" s="617">
        <v>9287018</v>
      </c>
      <c r="E138" s="617">
        <v>9394077</v>
      </c>
    </row>
    <row r="139" spans="1:5" ht="17" thickBot="1" x14ac:dyDescent="0.25">
      <c r="A139" s="274">
        <v>45809</v>
      </c>
      <c r="B139" s="619">
        <v>103383996</v>
      </c>
      <c r="C139" s="620">
        <v>104419599</v>
      </c>
      <c r="D139" s="617">
        <v>10004035</v>
      </c>
      <c r="E139" s="617">
        <v>10100130</v>
      </c>
    </row>
    <row r="140" spans="1:5" x14ac:dyDescent="0.2">
      <c r="A140" s="274">
        <v>45839</v>
      </c>
      <c r="B140" s="617">
        <v>103225651</v>
      </c>
      <c r="C140" s="618"/>
      <c r="D140" s="617">
        <v>10192458</v>
      </c>
      <c r="E140" s="617">
        <v>10302796</v>
      </c>
    </row>
    <row r="141" spans="1:5" x14ac:dyDescent="0.2">
      <c r="A141" s="274">
        <v>45870</v>
      </c>
      <c r="B141" s="617">
        <v>103479701</v>
      </c>
      <c r="C141" s="618"/>
      <c r="D141" s="617">
        <v>10054427</v>
      </c>
      <c r="E141" s="617">
        <v>10146317</v>
      </c>
    </row>
    <row r="142" spans="1:5" x14ac:dyDescent="0.2">
      <c r="A142" s="274">
        <v>45901</v>
      </c>
      <c r="B142" s="617">
        <v>104605753</v>
      </c>
      <c r="C142" s="618"/>
      <c r="D142" s="617">
        <v>11331409</v>
      </c>
      <c r="E142" s="617">
        <v>11472673</v>
      </c>
    </row>
    <row r="143" spans="1:5" x14ac:dyDescent="0.2">
      <c r="A143" s="274">
        <v>45931</v>
      </c>
      <c r="B143" s="617">
        <v>105551131</v>
      </c>
      <c r="C143" s="618"/>
      <c r="D143" s="617">
        <v>9796105</v>
      </c>
      <c r="E143" s="617">
        <v>9935103</v>
      </c>
    </row>
    <row r="144" spans="1:5" x14ac:dyDescent="0.2">
      <c r="A144" s="274">
        <v>45962</v>
      </c>
      <c r="B144" s="617">
        <v>105265370</v>
      </c>
      <c r="C144" s="618"/>
      <c r="D144" s="617">
        <v>7978764</v>
      </c>
      <c r="E144" s="617">
        <v>8056244</v>
      </c>
    </row>
    <row r="145" spans="1:5" x14ac:dyDescent="0.2">
      <c r="A145" s="274">
        <v>45992</v>
      </c>
      <c r="B145" s="617">
        <v>106068432</v>
      </c>
      <c r="C145" s="618"/>
      <c r="D145" s="617">
        <v>8046008</v>
      </c>
      <c r="E145" s="617">
        <v>8107069</v>
      </c>
    </row>
    <row r="146" spans="1:5" x14ac:dyDescent="0.2">
      <c r="A146" s="295">
        <v>46023</v>
      </c>
      <c r="B146" s="617">
        <v>106905493</v>
      </c>
      <c r="C146" s="618"/>
      <c r="D146" s="617">
        <v>7308543</v>
      </c>
      <c r="E146" s="617">
        <v>7345971</v>
      </c>
    </row>
    <row r="147" spans="1:5" x14ac:dyDescent="0.2">
      <c r="A147" s="295">
        <v>46054</v>
      </c>
      <c r="B147" s="617">
        <v>99772241</v>
      </c>
      <c r="C147" s="618"/>
      <c r="D147" s="617">
        <v>0</v>
      </c>
      <c r="E147" s="617">
        <v>0</v>
      </c>
    </row>
    <row r="148" spans="1:5" x14ac:dyDescent="0.2">
      <c r="A148" s="295">
        <v>46082</v>
      </c>
      <c r="B148" s="617">
        <v>92749787</v>
      </c>
      <c r="C148" s="618"/>
      <c r="D148" s="617">
        <v>0</v>
      </c>
      <c r="E148" s="617">
        <v>0</v>
      </c>
    </row>
    <row r="149" spans="1:5" x14ac:dyDescent="0.2">
      <c r="A149" s="295">
        <v>46113</v>
      </c>
      <c r="B149" s="617">
        <v>83998767</v>
      </c>
      <c r="C149" s="618"/>
      <c r="D149" s="617">
        <v>0</v>
      </c>
      <c r="E149" s="617">
        <v>0</v>
      </c>
    </row>
    <row r="150" spans="1:5" ht="17" thickBot="1" x14ac:dyDescent="0.25">
      <c r="A150" s="295">
        <v>46143</v>
      </c>
      <c r="B150" s="617">
        <v>74711749</v>
      </c>
      <c r="C150" s="618"/>
      <c r="D150" s="617">
        <v>0</v>
      </c>
      <c r="E150" s="617">
        <v>0</v>
      </c>
    </row>
    <row r="151" spans="1:5" ht="17" thickBot="1" x14ac:dyDescent="0.25">
      <c r="A151" s="295">
        <v>46174</v>
      </c>
      <c r="B151" s="619">
        <v>64707714</v>
      </c>
      <c r="C151" s="620">
        <v>65366173</v>
      </c>
      <c r="D151" s="617">
        <v>0</v>
      </c>
      <c r="E151" s="6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C322-1D81-7D43-8AD0-594B7FB4E3AD}">
  <dimension ref="A1:R73"/>
  <sheetViews>
    <sheetView workbookViewId="0">
      <pane xSplit="1" ySplit="1" topLeftCell="F56" activePane="bottomRight" state="frozen"/>
      <selection pane="topRight" activeCell="B1" sqref="B1"/>
      <selection pane="bottomLeft" activeCell="A2" sqref="A2"/>
      <selection pane="bottomRight" activeCell="N4" sqref="N4"/>
    </sheetView>
  </sheetViews>
  <sheetFormatPr baseColWidth="10" defaultColWidth="10.6640625" defaultRowHeight="15.75" customHeight="1" x14ac:dyDescent="0.2"/>
  <cols>
    <col min="1" max="1" width="10.6640625" style="18"/>
    <col min="2" max="2" width="29.5" style="55" customWidth="1"/>
    <col min="3" max="11" width="15.6640625" style="55" customWidth="1"/>
    <col min="12" max="12" width="22.1640625" style="55" hidden="1" customWidth="1"/>
    <col min="13" max="13" width="15.6640625" style="55" customWidth="1"/>
    <col min="14" max="15" width="28" style="55" customWidth="1"/>
    <col min="16" max="16" width="28" style="55" hidden="1" customWidth="1"/>
    <col min="17" max="17" width="30.83203125" style="55" hidden="1" customWidth="1"/>
    <col min="18" max="18" width="30.83203125" style="55" customWidth="1"/>
    <col min="19" max="19" width="15.6640625" style="55" customWidth="1"/>
    <col min="20" max="20" width="20.6640625" style="55" customWidth="1"/>
    <col min="21" max="16384" width="10.6640625" style="55"/>
  </cols>
  <sheetData>
    <row r="1" spans="1:18" ht="34" x14ac:dyDescent="0.2">
      <c r="A1" s="132" t="s">
        <v>77</v>
      </c>
      <c r="B1" s="65" t="s">
        <v>112</v>
      </c>
      <c r="C1" s="65" t="s">
        <v>41</v>
      </c>
      <c r="D1" s="65" t="s">
        <v>42</v>
      </c>
      <c r="E1" s="65" t="s">
        <v>40</v>
      </c>
      <c r="F1" s="65" t="s">
        <v>43</v>
      </c>
      <c r="G1" s="65" t="s">
        <v>44</v>
      </c>
      <c r="H1" s="65" t="s">
        <v>733</v>
      </c>
      <c r="I1" s="65" t="s">
        <v>732</v>
      </c>
      <c r="J1" s="65" t="s">
        <v>113</v>
      </c>
      <c r="K1" s="65" t="s">
        <v>45</v>
      </c>
      <c r="L1" s="532" t="s">
        <v>46</v>
      </c>
      <c r="M1" s="65" t="s">
        <v>47</v>
      </c>
      <c r="N1" s="65" t="s">
        <v>24</v>
      </c>
      <c r="O1" s="65" t="s">
        <v>91</v>
      </c>
      <c r="P1" s="532" t="s">
        <v>114</v>
      </c>
      <c r="Q1" s="532" t="s">
        <v>115</v>
      </c>
      <c r="R1" s="65" t="s">
        <v>116</v>
      </c>
    </row>
    <row r="2" spans="1:18" ht="16" x14ac:dyDescent="0.2">
      <c r="A2" s="312">
        <v>44013</v>
      </c>
      <c r="B2" s="56">
        <f>SUM('Monthly Electricity (Overview)'!C80:D80)+SUM('Monthly Electricity (Overview)'!F80:H80)+SUM('Monthly Electricity (Overview)'!O80:Q80)</f>
        <v>4086378.4499999993</v>
      </c>
      <c r="C2" s="56">
        <f>'Monthly Electricity (Overview)'!I80</f>
        <v>2154407.5500000003</v>
      </c>
      <c r="D2" s="56">
        <f>'Monthly Electricity (Overview)'!N80</f>
        <v>242508</v>
      </c>
      <c r="E2" s="56">
        <f>'Monthly Electricity (Overview)'!E80</f>
        <v>404540</v>
      </c>
      <c r="F2" s="56">
        <f>'Monthly Electricity (Overview)'!J80</f>
        <v>231715</v>
      </c>
      <c r="G2" s="56">
        <f>'Monthly Electricity (Overview)'!K80</f>
        <v>83182</v>
      </c>
      <c r="H2" s="56"/>
      <c r="I2" s="56"/>
      <c r="J2" s="56"/>
      <c r="K2" s="56">
        <f>'Monthly Electricity (Overview)'!L80</f>
        <v>140263</v>
      </c>
      <c r="L2" s="14">
        <v>99693</v>
      </c>
      <c r="M2" s="56">
        <f>SUM('Monthly Electricity (Overview)'!U80:X80)+'Monthly Electricity (Overview)'!AD80</f>
        <v>526454</v>
      </c>
      <c r="N2" s="56">
        <f>'Monthly Electricity (Overview)'!AA80</f>
        <v>760101</v>
      </c>
      <c r="O2" s="56">
        <f>'Monthly Electricity (Overview)'!Z80</f>
        <v>265659</v>
      </c>
      <c r="P2" s="56">
        <f>'Monthly Electricity (Overview)'!Y80</f>
        <v>1025760</v>
      </c>
      <c r="Q2" s="56">
        <f>SUM(B2:P2)-P2</f>
        <v>8994901</v>
      </c>
      <c r="R2" s="56">
        <f t="shared" ref="R2:R49" si="0">SUM(B2:O2)-L2</f>
        <v>8895208</v>
      </c>
    </row>
    <row r="3" spans="1:18" ht="16" x14ac:dyDescent="0.2">
      <c r="A3" s="312">
        <v>44044</v>
      </c>
      <c r="B3" s="56">
        <f>SUM('Monthly Electricity (Overview)'!C81:D81)+SUM('Monthly Electricity (Overview)'!F81:H81)+SUM('Monthly Electricity (Overview)'!O81:Q81)</f>
        <v>3248295.5334795807</v>
      </c>
      <c r="C3" s="56">
        <f>'Monthly Electricity (Overview)'!I81</f>
        <v>2394486.4665204198</v>
      </c>
      <c r="D3" s="56">
        <f>'Monthly Electricity (Overview)'!N81</f>
        <v>229261</v>
      </c>
      <c r="E3" s="56">
        <f>'Monthly Electricity (Overview)'!E81</f>
        <v>348726</v>
      </c>
      <c r="F3" s="56">
        <f>'Monthly Electricity (Overview)'!J81</f>
        <v>200857</v>
      </c>
      <c r="G3" s="56">
        <f>'Monthly Electricity (Overview)'!K81</f>
        <v>76791</v>
      </c>
      <c r="H3" s="56"/>
      <c r="I3" s="56"/>
      <c r="J3" s="56"/>
      <c r="K3" s="56">
        <f>'Monthly Electricity (Overview)'!L81</f>
        <v>121644</v>
      </c>
      <c r="L3" s="14">
        <v>111077</v>
      </c>
      <c r="M3" s="56">
        <f>SUM('Monthly Electricity (Overview)'!U81:X81)+'Monthly Electricity (Overview)'!AD81</f>
        <v>551691</v>
      </c>
      <c r="N3" s="56">
        <f>'Monthly Electricity (Overview)'!AA81</f>
        <v>598243</v>
      </c>
      <c r="O3" s="56">
        <f>'Monthly Electricity (Overview)'!Z81</f>
        <v>232096</v>
      </c>
      <c r="P3" s="56">
        <f>'Monthly Electricity (Overview)'!Y81</f>
        <v>830339</v>
      </c>
      <c r="Q3" s="56">
        <f t="shared" ref="Q3:Q49" si="1">SUM(B3:P3)-P3</f>
        <v>8113168</v>
      </c>
      <c r="R3" s="56">
        <f t="shared" si="0"/>
        <v>8002091</v>
      </c>
    </row>
    <row r="4" spans="1:18" ht="16" x14ac:dyDescent="0.2">
      <c r="A4" s="312">
        <v>44075</v>
      </c>
      <c r="B4" s="56">
        <f>SUM('Monthly Electricity (Overview)'!C82:D82)+SUM('Monthly Electricity (Overview)'!F82:H82)+SUM('Monthly Electricity (Overview)'!O82:Q82)</f>
        <v>4666264.6021305993</v>
      </c>
      <c r="C4" s="56">
        <f>'Monthly Electricity (Overview)'!I82</f>
        <v>2048304.3978694009</v>
      </c>
      <c r="D4" s="56">
        <f>'Monthly Electricity (Overview)'!N82</f>
        <v>227888</v>
      </c>
      <c r="E4" s="56">
        <f>'Monthly Electricity (Overview)'!E82</f>
        <v>401301</v>
      </c>
      <c r="F4" s="56">
        <f>'Monthly Electricity (Overview)'!J82</f>
        <v>250434</v>
      </c>
      <c r="G4" s="56">
        <f>'Monthly Electricity (Overview)'!K82</f>
        <v>74921</v>
      </c>
      <c r="H4" s="56"/>
      <c r="I4" s="56"/>
      <c r="J4" s="56"/>
      <c r="K4" s="56">
        <f>'Monthly Electricity (Overview)'!L82</f>
        <v>130572</v>
      </c>
      <c r="L4" s="14">
        <v>124553</v>
      </c>
      <c r="M4" s="56">
        <f>SUM('Monthly Electricity (Overview)'!U82:X82)+'Monthly Electricity (Overview)'!AD82</f>
        <v>974645</v>
      </c>
      <c r="N4" s="56">
        <f>'Monthly Electricity (Overview)'!AA82</f>
        <v>623207</v>
      </c>
      <c r="O4" s="56">
        <f>'Monthly Electricity (Overview)'!Z82</f>
        <v>303922</v>
      </c>
      <c r="P4" s="56">
        <f>'Monthly Electricity (Overview)'!Y82</f>
        <v>927129</v>
      </c>
      <c r="Q4" s="56">
        <f t="shared" si="1"/>
        <v>9826012</v>
      </c>
      <c r="R4" s="56">
        <f t="shared" si="0"/>
        <v>9701459</v>
      </c>
    </row>
    <row r="5" spans="1:18" ht="16" x14ac:dyDescent="0.2">
      <c r="A5" s="312">
        <v>44105</v>
      </c>
      <c r="B5" s="56">
        <f>SUM('Monthly Electricity (Overview)'!C83:D83)+SUM('Monthly Electricity (Overview)'!F83:H83)+SUM('Monthly Electricity (Overview)'!O83:Q83)</f>
        <v>3898002.6449933997</v>
      </c>
      <c r="C5" s="56">
        <f>'Monthly Electricity (Overview)'!I83</f>
        <v>1335753.3550066003</v>
      </c>
      <c r="D5" s="56">
        <f>'Monthly Electricity (Overview)'!N83</f>
        <v>152364</v>
      </c>
      <c r="E5" s="56">
        <f>'Monthly Electricity (Overview)'!E83</f>
        <v>373141</v>
      </c>
      <c r="F5" s="56">
        <f>'Monthly Electricity (Overview)'!J83</f>
        <v>232357</v>
      </c>
      <c r="G5" s="56">
        <f>'Monthly Electricity (Overview)'!K83</f>
        <v>54482</v>
      </c>
      <c r="H5" s="56"/>
      <c r="I5" s="56"/>
      <c r="J5" s="56"/>
      <c r="K5" s="56">
        <f>'Monthly Electricity (Overview)'!L83</f>
        <v>100678</v>
      </c>
      <c r="L5" s="14">
        <v>81463</v>
      </c>
      <c r="M5" s="56">
        <f>SUM('Monthly Electricity (Overview)'!U83:X83)+'Monthly Electricity (Overview)'!AD83</f>
        <v>592456</v>
      </c>
      <c r="N5" s="56">
        <f>'Monthly Electricity (Overview)'!AA83</f>
        <v>320386</v>
      </c>
      <c r="O5" s="56">
        <f>'Monthly Electricity (Overview)'!Z83</f>
        <v>267278</v>
      </c>
      <c r="P5" s="56">
        <f>'Monthly Electricity (Overview)'!Y83</f>
        <v>587664</v>
      </c>
      <c r="Q5" s="56">
        <f t="shared" si="1"/>
        <v>7408361</v>
      </c>
      <c r="R5" s="56">
        <f t="shared" si="0"/>
        <v>7326898</v>
      </c>
    </row>
    <row r="6" spans="1:18" ht="16" x14ac:dyDescent="0.2">
      <c r="A6" s="312">
        <v>44136</v>
      </c>
      <c r="B6" s="56">
        <f>SUM('Monthly Electricity (Overview)'!C84:D84)+SUM('Monthly Electricity (Overview)'!F84:H84)+SUM('Monthly Electricity (Overview)'!O84:Q84)</f>
        <v>4027716.6140418001</v>
      </c>
      <c r="C6" s="56">
        <f>'Monthly Electricity (Overview)'!I84</f>
        <v>915177.38595819974</v>
      </c>
      <c r="D6" s="56">
        <f>'Monthly Electricity (Overview)'!N84</f>
        <v>98770</v>
      </c>
      <c r="E6" s="56">
        <f>'Monthly Electricity (Overview)'!E84</f>
        <v>396796</v>
      </c>
      <c r="F6" s="56">
        <f>'Monthly Electricity (Overview)'!J84</f>
        <v>234747</v>
      </c>
      <c r="G6" s="56">
        <f>'Monthly Electricity (Overview)'!K84</f>
        <v>51126</v>
      </c>
      <c r="H6" s="56"/>
      <c r="I6" s="56"/>
      <c r="J6" s="56"/>
      <c r="K6" s="56">
        <f>'Monthly Electricity (Overview)'!L84</f>
        <v>81285</v>
      </c>
      <c r="L6" s="14">
        <v>59032</v>
      </c>
      <c r="M6" s="56">
        <f>SUM('Monthly Electricity (Overview)'!U84:X84)+'Monthly Electricity (Overview)'!AD84</f>
        <v>507861</v>
      </c>
      <c r="N6" s="56">
        <f>'Monthly Electricity (Overview)'!AA84</f>
        <v>232228</v>
      </c>
      <c r="O6" s="56">
        <f>'Monthly Electricity (Overview)'!Z84</f>
        <v>293224</v>
      </c>
      <c r="P6" s="56">
        <f>'Monthly Electricity (Overview)'!Y84</f>
        <v>525452</v>
      </c>
      <c r="Q6" s="56">
        <f t="shared" si="1"/>
        <v>6897963</v>
      </c>
      <c r="R6" s="56">
        <f t="shared" si="0"/>
        <v>6838931</v>
      </c>
    </row>
    <row r="7" spans="1:18" ht="16" x14ac:dyDescent="0.2">
      <c r="A7" s="544">
        <v>44166</v>
      </c>
      <c r="B7" s="56">
        <f>SUM('Monthly Electricity (Overview)'!C85:D85)+SUM('Monthly Electricity (Overview)'!F85:H85)+SUM('Monthly Electricity (Overview)'!O85:Q85)</f>
        <v>3623050.1964862002</v>
      </c>
      <c r="C7" s="56">
        <f>'Monthly Electricity (Overview)'!I85</f>
        <v>506804.80351379991</v>
      </c>
      <c r="D7" s="56">
        <f>'Monthly Electricity (Overview)'!N85</f>
        <v>50904</v>
      </c>
      <c r="E7" s="56">
        <f>'Monthly Electricity (Overview)'!E85</f>
        <v>380382</v>
      </c>
      <c r="F7" s="56">
        <f>'Monthly Electricity (Overview)'!J85</f>
        <v>232272</v>
      </c>
      <c r="G7" s="56">
        <f>'Monthly Electricity (Overview)'!K85</f>
        <v>47403</v>
      </c>
      <c r="H7" s="56"/>
      <c r="I7" s="56"/>
      <c r="J7" s="56"/>
      <c r="K7" s="56">
        <f>'Monthly Electricity (Overview)'!L85</f>
        <v>48764</v>
      </c>
      <c r="L7" s="14">
        <v>53030</v>
      </c>
      <c r="M7" s="56">
        <f>SUM('Monthly Electricity (Overview)'!U85:X85)+'Monthly Electricity (Overview)'!AD85</f>
        <v>433833</v>
      </c>
      <c r="N7" s="56">
        <f>'Monthly Electricity (Overview)'!AA85</f>
        <v>250102</v>
      </c>
      <c r="O7" s="56">
        <f>'Monthly Electricity (Overview)'!Z85</f>
        <v>259382</v>
      </c>
      <c r="P7" s="56">
        <f>'Monthly Electricity (Overview)'!Y85</f>
        <v>509484</v>
      </c>
      <c r="Q7" s="56">
        <f t="shared" si="1"/>
        <v>5885927</v>
      </c>
      <c r="R7" s="56">
        <f t="shared" si="0"/>
        <v>5832897</v>
      </c>
    </row>
    <row r="8" spans="1:18" ht="16" x14ac:dyDescent="0.2">
      <c r="A8" s="545">
        <v>44197</v>
      </c>
      <c r="B8" s="56">
        <f>SUM('Monthly Electricity (Overview)'!C86:D86)+SUM('Monthly Electricity (Overview)'!F86:H86)+SUM('Monthly Electricity (Overview)'!O86:Q86)</f>
        <v>3569274.7757377997</v>
      </c>
      <c r="C8" s="56">
        <f>'Monthly Electricity (Overview)'!I86</f>
        <v>393066.2242622</v>
      </c>
      <c r="D8" s="56">
        <f>'Monthly Electricity (Overview)'!N86</f>
        <v>47672</v>
      </c>
      <c r="E8" s="56">
        <f>'Monthly Electricity (Overview)'!E86</f>
        <v>382076</v>
      </c>
      <c r="F8" s="56">
        <f>'Monthly Electricity (Overview)'!J86</f>
        <v>223334</v>
      </c>
      <c r="G8" s="56">
        <f>'Monthly Electricity (Overview)'!K86</f>
        <v>44857</v>
      </c>
      <c r="H8" s="56"/>
      <c r="I8" s="56"/>
      <c r="J8" s="56"/>
      <c r="K8" s="56">
        <f>'Monthly Electricity (Overview)'!L86</f>
        <v>48817</v>
      </c>
      <c r="L8" s="14">
        <v>48369</v>
      </c>
      <c r="M8" s="56">
        <f>SUM('Monthly Electricity (Overview)'!U86:X86)+'Monthly Electricity (Overview)'!AD86</f>
        <v>468058</v>
      </c>
      <c r="N8" s="56">
        <f>'Monthly Electricity (Overview)'!AA86</f>
        <v>337663</v>
      </c>
      <c r="O8" s="56">
        <f>'Monthly Electricity (Overview)'!Z86</f>
        <v>249052</v>
      </c>
      <c r="P8" s="56">
        <f>'Monthly Electricity (Overview)'!Y86</f>
        <v>586715</v>
      </c>
      <c r="Q8" s="56">
        <f t="shared" si="1"/>
        <v>5812239</v>
      </c>
      <c r="R8" s="56">
        <f t="shared" si="0"/>
        <v>5763870</v>
      </c>
    </row>
    <row r="9" spans="1:18" ht="16" x14ac:dyDescent="0.2">
      <c r="A9" s="545">
        <v>44228</v>
      </c>
      <c r="B9" s="56">
        <f>SUM('Monthly Electricity (Overview)'!C87:D87)+SUM('Monthly Electricity (Overview)'!F87:H87)+SUM('Monthly Electricity (Overview)'!O87:Q87)</f>
        <v>3434871.0367956003</v>
      </c>
      <c r="C9" s="56">
        <f>'Monthly Electricity (Overview)'!I87</f>
        <v>528780.96320439992</v>
      </c>
      <c r="D9" s="56">
        <f>'Monthly Electricity (Overview)'!N87</f>
        <v>52226</v>
      </c>
      <c r="E9" s="56">
        <f>'Monthly Electricity (Overview)'!E87</f>
        <v>321055</v>
      </c>
      <c r="F9" s="56">
        <f>'Monthly Electricity (Overview)'!J87</f>
        <v>197886</v>
      </c>
      <c r="G9" s="56">
        <f>'Monthly Electricity (Overview)'!K87</f>
        <v>40970</v>
      </c>
      <c r="H9" s="56"/>
      <c r="I9" s="56"/>
      <c r="J9" s="56"/>
      <c r="K9" s="56">
        <f>'Monthly Electricity (Overview)'!L87</f>
        <v>42444</v>
      </c>
      <c r="L9" s="14">
        <v>45841</v>
      </c>
      <c r="M9" s="56">
        <f>SUM('Monthly Electricity (Overview)'!U87:X87)+'Monthly Electricity (Overview)'!AD87</f>
        <v>447420</v>
      </c>
      <c r="N9" s="56">
        <f>'Monthly Electricity (Overview)'!AA87</f>
        <v>185977</v>
      </c>
      <c r="O9" s="56">
        <f>'Monthly Electricity (Overview)'!Z87</f>
        <v>237507</v>
      </c>
      <c r="P9" s="56">
        <f>'Monthly Electricity (Overview)'!Y87</f>
        <v>423484</v>
      </c>
      <c r="Q9" s="56">
        <f t="shared" si="1"/>
        <v>5534978</v>
      </c>
      <c r="R9" s="56">
        <f t="shared" si="0"/>
        <v>5489137</v>
      </c>
    </row>
    <row r="10" spans="1:18" ht="16" x14ac:dyDescent="0.2">
      <c r="A10" s="545">
        <v>44256</v>
      </c>
      <c r="B10" s="56">
        <f>SUM('Monthly Electricity (Overview)'!C88:D88)+SUM('Monthly Electricity (Overview)'!F88:H88)+SUM('Monthly Electricity (Overview)'!O88:Q88)</f>
        <v>4228426.4016302004</v>
      </c>
      <c r="C10" s="56">
        <f>'Monthly Electricity (Overview)'!I88</f>
        <v>785188.59836980002</v>
      </c>
      <c r="D10" s="56">
        <f>'Monthly Electricity (Overview)'!N88</f>
        <v>77337</v>
      </c>
      <c r="E10" s="56">
        <f>'Monthly Electricity (Overview)'!E88</f>
        <v>392798</v>
      </c>
      <c r="F10" s="56">
        <f>'Monthly Electricity (Overview)'!J88</f>
        <v>242322</v>
      </c>
      <c r="G10" s="56">
        <f>'Monthly Electricity (Overview)'!K88</f>
        <v>52128</v>
      </c>
      <c r="H10" s="56"/>
      <c r="I10" s="56"/>
      <c r="J10" s="56"/>
      <c r="K10" s="56">
        <f>'Monthly Electricity (Overview)'!L88</f>
        <v>54444</v>
      </c>
      <c r="L10" s="14">
        <v>55029</v>
      </c>
      <c r="M10" s="56">
        <f>SUM('Monthly Electricity (Overview)'!U88:X88)+'Monthly Electricity (Overview)'!AD88</f>
        <v>498639</v>
      </c>
      <c r="N10" s="56">
        <f>'Monthly Electricity (Overview)'!AA88</f>
        <v>236455</v>
      </c>
      <c r="O10" s="56">
        <f>'Monthly Electricity (Overview)'!Z88</f>
        <v>288377</v>
      </c>
      <c r="P10" s="56">
        <f>'Monthly Electricity (Overview)'!Y88</f>
        <v>524832</v>
      </c>
      <c r="Q10" s="56">
        <f t="shared" si="1"/>
        <v>6911144</v>
      </c>
      <c r="R10" s="56">
        <f t="shared" si="0"/>
        <v>6856115</v>
      </c>
    </row>
    <row r="11" spans="1:18" ht="16" x14ac:dyDescent="0.2">
      <c r="A11" s="545">
        <v>44287</v>
      </c>
      <c r="B11" s="56">
        <f>SUM('Monthly Electricity (Overview)'!C89:D89)+SUM('Monthly Electricity (Overview)'!F89:H89)+SUM('Monthly Electricity (Overview)'!O89:Q89)</f>
        <v>4095221.3847514</v>
      </c>
      <c r="C11" s="56">
        <f>'Monthly Electricity (Overview)'!I89</f>
        <v>1050938.6152485998</v>
      </c>
      <c r="D11" s="56">
        <f>'Monthly Electricity (Overview)'!N89</f>
        <v>122683</v>
      </c>
      <c r="E11" s="56">
        <f>'Monthly Electricity (Overview)'!E89</f>
        <v>384122</v>
      </c>
      <c r="F11" s="56">
        <f>'Monthly Electricity (Overview)'!J89</f>
        <v>233551</v>
      </c>
      <c r="G11" s="56">
        <f>'Monthly Electricity (Overview)'!K89</f>
        <v>52762</v>
      </c>
      <c r="H11" s="56"/>
      <c r="I11" s="56"/>
      <c r="J11" s="56"/>
      <c r="K11" s="56">
        <f>'Monthly Electricity (Overview)'!L89</f>
        <v>53047</v>
      </c>
      <c r="L11" s="14">
        <v>62537</v>
      </c>
      <c r="M11" s="56">
        <f>SUM('Monthly Electricity (Overview)'!U89:X89)+'Monthly Electricity (Overview)'!AD89</f>
        <v>625184</v>
      </c>
      <c r="N11" s="56">
        <f>'Monthly Electricity (Overview)'!AA89</f>
        <v>271666</v>
      </c>
      <c r="O11" s="56">
        <f>'Monthly Electricity (Overview)'!Z89</f>
        <v>282594</v>
      </c>
      <c r="P11" s="56">
        <f>'Monthly Electricity (Overview)'!Y89</f>
        <v>554260</v>
      </c>
      <c r="Q11" s="56">
        <f t="shared" si="1"/>
        <v>7234306</v>
      </c>
      <c r="R11" s="56">
        <f t="shared" si="0"/>
        <v>7171769</v>
      </c>
    </row>
    <row r="12" spans="1:18" ht="16" x14ac:dyDescent="0.2">
      <c r="A12" s="545">
        <v>44317</v>
      </c>
      <c r="B12" s="56">
        <f>SUM('Monthly Electricity (Overview)'!C90:D90)+SUM('Monthly Electricity (Overview)'!F90:H90)+SUM('Monthly Electricity (Overview)'!O90:Q90)</f>
        <v>4271235.1497067995</v>
      </c>
      <c r="C12" s="56">
        <f>'Monthly Electricity (Overview)'!I90</f>
        <v>1964651.8502932002</v>
      </c>
      <c r="D12" s="56">
        <f>'Monthly Electricity (Overview)'!N90</f>
        <v>200723</v>
      </c>
      <c r="E12" s="56">
        <f>'Monthly Electricity (Overview)'!E90</f>
        <v>367014</v>
      </c>
      <c r="F12" s="56">
        <f>'Monthly Electricity (Overview)'!J90</f>
        <v>209323</v>
      </c>
      <c r="G12" s="56">
        <f>'Monthly Electricity (Overview)'!K90</f>
        <v>63649</v>
      </c>
      <c r="H12" s="56"/>
      <c r="I12" s="56"/>
      <c r="J12" s="56"/>
      <c r="K12" s="56">
        <f>'Monthly Electricity (Overview)'!L90</f>
        <v>77349</v>
      </c>
      <c r="L12" s="14">
        <v>84771</v>
      </c>
      <c r="M12" s="56">
        <f>SUM('Monthly Electricity (Overview)'!U90:X90)+'Monthly Electricity (Overview)'!AD90</f>
        <v>857498</v>
      </c>
      <c r="N12" s="56">
        <f>'Monthly Electricity (Overview)'!AA90</f>
        <v>579923</v>
      </c>
      <c r="O12" s="56">
        <f>'Monthly Electricity (Overview)'!Z90</f>
        <v>308231</v>
      </c>
      <c r="P12" s="56">
        <f>'Monthly Electricity (Overview)'!Y90</f>
        <v>888154</v>
      </c>
      <c r="Q12" s="56">
        <f t="shared" si="1"/>
        <v>8984368</v>
      </c>
      <c r="R12" s="56">
        <f t="shared" si="0"/>
        <v>8899597</v>
      </c>
    </row>
    <row r="13" spans="1:18" ht="16" x14ac:dyDescent="0.2">
      <c r="A13" s="545">
        <v>44348</v>
      </c>
      <c r="B13" s="313">
        <f>SUM('Monthly Electricity (Overview)'!C91:D91)+SUM('Monthly Electricity (Overview)'!F91:H91)+SUM('Monthly Electricity (Overview)'!O91:Q91)</f>
        <v>3979044.4601429999</v>
      </c>
      <c r="C13" s="313">
        <f>'Monthly Electricity (Overview)'!I91</f>
        <v>2020738.5398570001</v>
      </c>
      <c r="D13" s="313">
        <f>'Monthly Electricity (Overview)'!N91</f>
        <v>228931</v>
      </c>
      <c r="E13" s="313">
        <f>'Monthly Electricity (Overview)'!E91</f>
        <v>411370</v>
      </c>
      <c r="F13" s="313">
        <f>'Monthly Electricity (Overview)'!J91</f>
        <v>230711</v>
      </c>
      <c r="G13" s="313">
        <f>'Monthly Electricity (Overview)'!K91</f>
        <v>64191</v>
      </c>
      <c r="H13" s="313"/>
      <c r="I13" s="313"/>
      <c r="J13" s="313"/>
      <c r="K13" s="313">
        <f>'Monthly Electricity (Overview)'!L91</f>
        <v>113132</v>
      </c>
      <c r="L13" s="314">
        <v>90161</v>
      </c>
      <c r="M13" s="313">
        <f>SUM('Monthly Electricity (Overview)'!U91:X91)+'Monthly Electricity (Overview)'!AD91</f>
        <v>752249</v>
      </c>
      <c r="N13" s="313">
        <f>'Monthly Electricity (Overview)'!AA91</f>
        <v>535380</v>
      </c>
      <c r="O13" s="313">
        <f>'Monthly Electricity (Overview)'!Z91</f>
        <v>275823</v>
      </c>
      <c r="P13" s="313">
        <f>'Monthly Electricity (Overview)'!Y91</f>
        <v>811203</v>
      </c>
      <c r="Q13" s="313">
        <f t="shared" si="1"/>
        <v>8701731</v>
      </c>
      <c r="R13" s="313">
        <f t="shared" si="0"/>
        <v>8611570</v>
      </c>
    </row>
    <row r="14" spans="1:18" ht="16" x14ac:dyDescent="0.2">
      <c r="A14" s="545">
        <v>44378</v>
      </c>
      <c r="B14" s="56">
        <f>SUM('Monthly Electricity (Overview)'!C92:D92)+SUM('Monthly Electricity (Overview)'!F92:H92)+SUM('Monthly Electricity (Overview)'!O92:Q92)</f>
        <v>4165725.4297369998</v>
      </c>
      <c r="C14" s="56">
        <f>'Monthly Electricity (Overview)'!I92</f>
        <v>2299974.5702630007</v>
      </c>
      <c r="D14" s="56">
        <f>'Monthly Electricity (Overview)'!N92</f>
        <v>218297</v>
      </c>
      <c r="E14" s="56">
        <f>'Monthly Electricity (Overview)'!E92</f>
        <v>392084</v>
      </c>
      <c r="F14" s="56">
        <f>'Monthly Electricity (Overview)'!J92</f>
        <v>217688</v>
      </c>
      <c r="G14" s="56">
        <f>'Monthly Electricity (Overview)'!K92</f>
        <v>64138</v>
      </c>
      <c r="H14" s="56"/>
      <c r="I14" s="56"/>
      <c r="J14" s="56"/>
      <c r="K14" s="56">
        <f>'Monthly Electricity (Overview)'!L92</f>
        <v>116904</v>
      </c>
      <c r="L14" s="14">
        <v>91635</v>
      </c>
      <c r="M14" s="56">
        <f>SUM('Monthly Electricity (Overview)'!U92:X92)+'Monthly Electricity (Overview)'!AD92</f>
        <v>641614</v>
      </c>
      <c r="N14" s="56">
        <f>'Monthly Electricity (Overview)'!AA92</f>
        <v>640055</v>
      </c>
      <c r="O14" s="56">
        <f>'Monthly Electricity (Overview)'!Z92</f>
        <v>289890</v>
      </c>
      <c r="P14" s="56">
        <f>'Monthly Electricity (Overview)'!Y92</f>
        <v>929945</v>
      </c>
      <c r="Q14" s="56">
        <f t="shared" si="1"/>
        <v>9138005</v>
      </c>
      <c r="R14" s="56">
        <f t="shared" si="0"/>
        <v>9046370</v>
      </c>
    </row>
    <row r="15" spans="1:18" ht="16" x14ac:dyDescent="0.2">
      <c r="A15" s="545">
        <v>44409</v>
      </c>
      <c r="B15" s="56">
        <f>SUM('Monthly Electricity (Overview)'!C93:D93)+SUM('Monthly Electricity (Overview)'!F93:H93)+SUM('Monthly Electricity (Overview)'!O93:Q93)</f>
        <v>4356418.4115214003</v>
      </c>
      <c r="C15" s="56">
        <f>'Monthly Electricity (Overview)'!I93</f>
        <v>2132948.5884785997</v>
      </c>
      <c r="D15" s="56">
        <f>'Monthly Electricity (Overview)'!N93</f>
        <v>200250</v>
      </c>
      <c r="E15" s="56">
        <f>'Monthly Electricity (Overview)'!E93</f>
        <v>352448</v>
      </c>
      <c r="F15" s="56">
        <f>'Monthly Electricity (Overview)'!J93</f>
        <v>194063</v>
      </c>
      <c r="G15" s="56">
        <f>'Monthly Electricity (Overview)'!K93</f>
        <v>60143</v>
      </c>
      <c r="H15" s="56"/>
      <c r="I15" s="56"/>
      <c r="J15" s="56"/>
      <c r="K15" s="56">
        <f>'Monthly Electricity (Overview)'!L93</f>
        <v>118510</v>
      </c>
      <c r="L15" s="14">
        <v>93108</v>
      </c>
      <c r="M15" s="56">
        <f>SUM('Monthly Electricity (Overview)'!U93:X93)+'Monthly Electricity (Overview)'!AD93</f>
        <v>631383</v>
      </c>
      <c r="N15" s="56">
        <f>'Monthly Electricity (Overview)'!AA93</f>
        <v>560321</v>
      </c>
      <c r="O15" s="56">
        <f>'Monthly Electricity (Overview)'!Z93</f>
        <v>293783</v>
      </c>
      <c r="P15" s="56">
        <f>'Monthly Electricity (Overview)'!Y93</f>
        <v>854104</v>
      </c>
      <c r="Q15" s="56">
        <f t="shared" si="1"/>
        <v>8993376</v>
      </c>
      <c r="R15" s="56">
        <f t="shared" si="0"/>
        <v>8900268</v>
      </c>
    </row>
    <row r="16" spans="1:18" ht="16" x14ac:dyDescent="0.2">
      <c r="A16" s="545">
        <v>44440</v>
      </c>
      <c r="B16" s="56">
        <f>SUM('Monthly Electricity (Overview)'!C94:D94)+SUM('Monthly Electricity (Overview)'!F94:H94)+SUM('Monthly Electricity (Overview)'!O94:Q94)</f>
        <v>4439424.7220830005</v>
      </c>
      <c r="C16" s="56">
        <f>'Monthly Electricity (Overview)'!I94</f>
        <v>2283872.277917</v>
      </c>
      <c r="D16" s="56">
        <f>'Monthly Electricity (Overview)'!N94</f>
        <v>225009</v>
      </c>
      <c r="E16" s="56">
        <f>'Monthly Electricity (Overview)'!E94</f>
        <v>429406</v>
      </c>
      <c r="F16" s="56">
        <f>'Monthly Electricity (Overview)'!J94</f>
        <v>257162</v>
      </c>
      <c r="G16" s="56">
        <f>'Monthly Electricity (Overview)'!K94</f>
        <v>66269</v>
      </c>
      <c r="H16" s="56"/>
      <c r="I16" s="56"/>
      <c r="J16" s="56"/>
      <c r="K16" s="56">
        <f>'Monthly Electricity (Overview)'!L94</f>
        <v>118507</v>
      </c>
      <c r="L16" s="14">
        <v>141827</v>
      </c>
      <c r="M16" s="56">
        <f>SUM('Monthly Electricity (Overview)'!U94:X94)+'Monthly Electricity (Overview)'!AD94</f>
        <v>1057541</v>
      </c>
      <c r="N16" s="56">
        <f>'Monthly Electricity (Overview)'!AA94</f>
        <v>641334</v>
      </c>
      <c r="O16" s="56">
        <f>'Monthly Electricity (Overview)'!Z94</f>
        <v>338691</v>
      </c>
      <c r="P16" s="56">
        <f>'Monthly Electricity (Overview)'!Y94</f>
        <v>980025</v>
      </c>
      <c r="Q16" s="56">
        <f t="shared" si="1"/>
        <v>9999043</v>
      </c>
      <c r="R16" s="56">
        <f t="shared" si="0"/>
        <v>9857216</v>
      </c>
    </row>
    <row r="17" spans="1:18" ht="16" x14ac:dyDescent="0.2">
      <c r="A17" s="545">
        <v>44470</v>
      </c>
      <c r="B17" s="56">
        <f>SUM('Monthly Electricity (Overview)'!C95:D95)+SUM('Monthly Electricity (Overview)'!F95:H95)+SUM('Monthly Electricity (Overview)'!O95:Q95)</f>
        <v>3839617.9167027995</v>
      </c>
      <c r="C17" s="56">
        <f>'Monthly Electricity (Overview)'!I95</f>
        <v>1567023.0832972005</v>
      </c>
      <c r="D17" s="56">
        <f>'Monthly Electricity (Overview)'!N95</f>
        <v>172981</v>
      </c>
      <c r="E17" s="56">
        <f>'Monthly Electricity (Overview)'!E95</f>
        <v>374048</v>
      </c>
      <c r="F17" s="56">
        <f>'Monthly Electricity (Overview)'!J95</f>
        <v>230083</v>
      </c>
      <c r="G17" s="56">
        <f>'Monthly Electricity (Overview)'!K95</f>
        <v>61621</v>
      </c>
      <c r="H17" s="56"/>
      <c r="I17" s="56"/>
      <c r="J17" s="56"/>
      <c r="K17" s="56">
        <f>'Monthly Electricity (Overview)'!L95</f>
        <v>100243</v>
      </c>
      <c r="L17" s="14">
        <v>106072</v>
      </c>
      <c r="M17" s="56">
        <f>SUM('Monthly Electricity (Overview)'!U95:X95)+'Monthly Electricity (Overview)'!AD95</f>
        <v>962642</v>
      </c>
      <c r="N17" s="56">
        <f>'Monthly Electricity (Overview)'!AA95</f>
        <v>384445</v>
      </c>
      <c r="O17" s="56">
        <f>'Monthly Electricity (Overview)'!Z95</f>
        <v>302816</v>
      </c>
      <c r="P17" s="56">
        <f>'Monthly Electricity (Overview)'!Y95</f>
        <v>687261</v>
      </c>
      <c r="Q17" s="56">
        <f t="shared" si="1"/>
        <v>8101592</v>
      </c>
      <c r="R17" s="56">
        <f t="shared" si="0"/>
        <v>7995520</v>
      </c>
    </row>
    <row r="18" spans="1:18" ht="16" x14ac:dyDescent="0.2">
      <c r="A18" s="545">
        <v>44501</v>
      </c>
      <c r="B18" s="56">
        <f>SUM('Monthly Electricity (Overview)'!C96:D96)+SUM('Monthly Electricity (Overview)'!F96:H96)+SUM('Monthly Electricity (Overview)'!O96:Q96)</f>
        <v>4417234.3902484002</v>
      </c>
      <c r="C18" s="56">
        <f>'Monthly Electricity (Overview)'!I96</f>
        <v>935874.60975159972</v>
      </c>
      <c r="D18" s="56">
        <f>'Monthly Electricity (Overview)'!N96</f>
        <v>93801</v>
      </c>
      <c r="E18" s="56">
        <f>'Monthly Electricity (Overview)'!E96</f>
        <v>432887</v>
      </c>
      <c r="F18" s="56">
        <f>'Monthly Electricity (Overview)'!J96</f>
        <v>272363</v>
      </c>
      <c r="G18" s="56">
        <f>'Monthly Electricity (Overview)'!K96</f>
        <v>46745</v>
      </c>
      <c r="H18" s="56"/>
      <c r="I18" s="56"/>
      <c r="J18" s="56"/>
      <c r="K18" s="56">
        <f>'Monthly Electricity (Overview)'!L96</f>
        <v>69976</v>
      </c>
      <c r="L18" s="14">
        <v>115747</v>
      </c>
      <c r="M18" s="56">
        <f>SUM('Monthly Electricity (Overview)'!U96:X96)+'Monthly Electricity (Overview)'!AD96</f>
        <v>700526</v>
      </c>
      <c r="N18" s="56">
        <f>'Monthly Electricity (Overview)'!AA96</f>
        <v>242253</v>
      </c>
      <c r="O18" s="56">
        <f>'Monthly Electricity (Overview)'!Z96</f>
        <v>338679</v>
      </c>
      <c r="P18" s="56">
        <f>'Monthly Electricity (Overview)'!Y96</f>
        <v>580932</v>
      </c>
      <c r="Q18" s="56">
        <f t="shared" si="1"/>
        <v>7666086</v>
      </c>
      <c r="R18" s="56">
        <f t="shared" si="0"/>
        <v>7550339</v>
      </c>
    </row>
    <row r="19" spans="1:18" ht="16" x14ac:dyDescent="0.2">
      <c r="A19" s="545">
        <v>44531</v>
      </c>
      <c r="B19" s="56">
        <f>SUM('Monthly Electricity (Overview)'!C97:D97)+SUM('Monthly Electricity (Overview)'!F97:H97)+SUM('Monthly Electricity (Overview)'!O97:Q97)</f>
        <v>3833849.7597922003</v>
      </c>
      <c r="C19" s="56">
        <f>'Monthly Electricity (Overview)'!I97</f>
        <v>572406.24020779971</v>
      </c>
      <c r="D19" s="56">
        <f>'Monthly Electricity (Overview)'!N97</f>
        <v>63246</v>
      </c>
      <c r="E19" s="56">
        <f>'Monthly Electricity (Overview)'!E97</f>
        <v>372696</v>
      </c>
      <c r="F19" s="56">
        <f>'Monthly Electricity (Overview)'!J97</f>
        <v>233281</v>
      </c>
      <c r="G19" s="56">
        <f>'Monthly Electricity (Overview)'!K97</f>
        <v>41794</v>
      </c>
      <c r="H19" s="56"/>
      <c r="I19" s="56"/>
      <c r="J19" s="56"/>
      <c r="K19" s="56">
        <f>'Monthly Electricity (Overview)'!L97</f>
        <v>67881</v>
      </c>
      <c r="L19" s="14">
        <v>29777</v>
      </c>
      <c r="M19" s="56">
        <f>SUM('Monthly Electricity (Overview)'!U97:X97)+'Monthly Electricity (Overview)'!AD97</f>
        <v>587613</v>
      </c>
      <c r="N19" s="56">
        <f>'Monthly Electricity (Overview)'!AA97</f>
        <v>221449</v>
      </c>
      <c r="O19" s="56">
        <f>'Monthly Electricity (Overview)'!Z97</f>
        <v>304173</v>
      </c>
      <c r="P19" s="56">
        <f>'Monthly Electricity (Overview)'!Y97</f>
        <v>525622</v>
      </c>
      <c r="Q19" s="56">
        <f t="shared" si="1"/>
        <v>6328166</v>
      </c>
      <c r="R19" s="56">
        <f t="shared" si="0"/>
        <v>6298389</v>
      </c>
    </row>
    <row r="20" spans="1:18" ht="16" x14ac:dyDescent="0.2">
      <c r="A20" s="546">
        <v>44562</v>
      </c>
      <c r="B20" s="56">
        <f>SUM('Monthly Electricity (Overview)'!C98:D98)+SUM('Monthly Electricity (Overview)'!F98:H98)+SUM('Monthly Electricity (Overview)'!O98:Q98)</f>
        <v>3447520.0599999996</v>
      </c>
      <c r="C20" s="56">
        <f>'Monthly Electricity (Overview)'!I98</f>
        <v>502701.94</v>
      </c>
      <c r="D20" s="56">
        <f>'Monthly Electricity (Overview)'!N98</f>
        <v>47723</v>
      </c>
      <c r="E20" s="56">
        <f>'Monthly Electricity (Overview)'!E98</f>
        <v>344018</v>
      </c>
      <c r="F20" s="56">
        <f>'Monthly Electricity (Overview)'!J98</f>
        <v>215329</v>
      </c>
      <c r="G20" s="56">
        <f>'Monthly Electricity (Overview)'!K98</f>
        <v>38644</v>
      </c>
      <c r="H20" s="56"/>
      <c r="I20" s="56"/>
      <c r="J20" s="56"/>
      <c r="K20" s="56">
        <f>'Monthly Electricity (Overview)'!L98</f>
        <v>60492</v>
      </c>
      <c r="L20" s="14">
        <v>44842</v>
      </c>
      <c r="M20" s="56">
        <f>SUM('Monthly Electricity (Overview)'!U98:X98)+'Monthly Electricity (Overview)'!AD98</f>
        <v>551956</v>
      </c>
      <c r="N20" s="56">
        <f>'Monthly Electricity (Overview)'!AA98</f>
        <v>252408</v>
      </c>
      <c r="O20" s="56">
        <f>'Monthly Electricity (Overview)'!Z98</f>
        <v>258838</v>
      </c>
      <c r="P20" s="56">
        <f>'Monthly Electricity (Overview)'!Y98</f>
        <v>511246</v>
      </c>
      <c r="Q20" s="56">
        <f t="shared" si="1"/>
        <v>5764472</v>
      </c>
      <c r="R20" s="56">
        <f t="shared" si="0"/>
        <v>5719630</v>
      </c>
    </row>
    <row r="21" spans="1:18" ht="16" x14ac:dyDescent="0.2">
      <c r="A21" s="546">
        <v>44593</v>
      </c>
      <c r="B21" s="56">
        <f>SUM('Monthly Electricity (Overview)'!C99:D99)+SUM('Monthly Electricity (Overview)'!F99:H99)+SUM('Monthly Electricity (Overview)'!O99:Q99)</f>
        <v>3784145.1300000004</v>
      </c>
      <c r="C21" s="56">
        <f>'Monthly Electricity (Overview)'!I99</f>
        <v>353482.87</v>
      </c>
      <c r="D21" s="56">
        <f>'Monthly Electricity (Overview)'!N99</f>
        <v>40630</v>
      </c>
      <c r="E21" s="56">
        <f>'Monthly Electricity (Overview)'!E99</f>
        <v>357227</v>
      </c>
      <c r="F21" s="56">
        <f>'Monthly Electricity (Overview)'!J99</f>
        <v>219454</v>
      </c>
      <c r="G21" s="56">
        <f>'Monthly Electricity (Overview)'!K99</f>
        <v>37755</v>
      </c>
      <c r="H21" s="56"/>
      <c r="I21" s="56"/>
      <c r="J21" s="56"/>
      <c r="K21" s="56">
        <f>'Monthly Electricity (Overview)'!L99</f>
        <v>52974</v>
      </c>
      <c r="L21" s="14">
        <v>32534</v>
      </c>
      <c r="M21" s="56">
        <f>SUM('Monthly Electricity (Overview)'!U99:X99)+'Monthly Electricity (Overview)'!AD99</f>
        <v>477064</v>
      </c>
      <c r="N21" s="56">
        <f>'Monthly Electricity (Overview)'!AA99</f>
        <v>388982</v>
      </c>
      <c r="O21" s="56">
        <f>'Monthly Electricity (Overview)'!Z99</f>
        <v>261658</v>
      </c>
      <c r="P21" s="56">
        <f>'Monthly Electricity (Overview)'!Y99</f>
        <v>650640</v>
      </c>
      <c r="Q21" s="56">
        <f t="shared" si="1"/>
        <v>6005906</v>
      </c>
      <c r="R21" s="56">
        <f t="shared" si="0"/>
        <v>5973372</v>
      </c>
    </row>
    <row r="22" spans="1:18" ht="16" x14ac:dyDescent="0.2">
      <c r="A22" s="546">
        <v>44621</v>
      </c>
      <c r="B22" s="56">
        <f>SUM('Monthly Electricity (Overview)'!C100:D100)+SUM('Monthly Electricity (Overview)'!F100:H100)+SUM('Monthly Electricity (Overview)'!O100:Q100)</f>
        <v>3584683.27</v>
      </c>
      <c r="C22" s="56">
        <f>'Monthly Electricity (Overview)'!I100</f>
        <v>778373.73</v>
      </c>
      <c r="D22" s="56">
        <f>'Monthly Electricity (Overview)'!N100</f>
        <v>73854</v>
      </c>
      <c r="E22" s="56">
        <f>'Monthly Electricity (Overview)'!E100</f>
        <v>355006</v>
      </c>
      <c r="F22" s="56">
        <f>'Monthly Electricity (Overview)'!J100</f>
        <v>211474</v>
      </c>
      <c r="G22" s="56">
        <f>'Monthly Electricity (Overview)'!K100</f>
        <v>40293</v>
      </c>
      <c r="H22" s="56"/>
      <c r="I22" s="56"/>
      <c r="J22" s="56"/>
      <c r="K22" s="56">
        <f>'Monthly Electricity (Overview)'!L100</f>
        <v>58322</v>
      </c>
      <c r="L22" s="14">
        <v>39912</v>
      </c>
      <c r="M22" s="56">
        <f>SUM('Monthly Electricity (Overview)'!U100:X100)+'Monthly Electricity (Overview)'!AD100</f>
        <v>527409</v>
      </c>
      <c r="N22" s="56">
        <f>'Monthly Electricity (Overview)'!AA100</f>
        <v>227890</v>
      </c>
      <c r="O22" s="56">
        <f>'Monthly Electricity (Overview)'!Z100</f>
        <v>242578</v>
      </c>
      <c r="P22" s="56">
        <f>'Monthly Electricity (Overview)'!Y100</f>
        <v>470468</v>
      </c>
      <c r="Q22" s="56">
        <f t="shared" si="1"/>
        <v>6139795</v>
      </c>
      <c r="R22" s="56">
        <f t="shared" si="0"/>
        <v>6099883</v>
      </c>
    </row>
    <row r="23" spans="1:18" ht="16" x14ac:dyDescent="0.2">
      <c r="A23" s="546">
        <v>44652</v>
      </c>
      <c r="B23" s="56">
        <f>SUM('Monthly Electricity (Overview)'!C101:D101)+SUM('Monthly Electricity (Overview)'!F101:H101)+SUM('Monthly Electricity (Overview)'!O101:Q101)</f>
        <v>3769948.42</v>
      </c>
      <c r="C23" s="56">
        <f>'Monthly Electricity (Overview)'!I101</f>
        <v>1054668.58</v>
      </c>
      <c r="D23" s="56">
        <f>'Monthly Electricity (Overview)'!N101</f>
        <v>115979</v>
      </c>
      <c r="E23" s="56">
        <f>'Monthly Electricity (Overview)'!E101</f>
        <v>338789</v>
      </c>
      <c r="F23" s="56">
        <f>'Monthly Electricity (Overview)'!J101</f>
        <v>202690</v>
      </c>
      <c r="G23" s="56">
        <f>'Monthly Electricity (Overview)'!K101</f>
        <v>50830</v>
      </c>
      <c r="H23" s="56"/>
      <c r="I23" s="56"/>
      <c r="J23" s="56"/>
      <c r="K23" s="56">
        <f>'Monthly Electricity (Overview)'!L101</f>
        <v>57767</v>
      </c>
      <c r="L23" s="14">
        <v>52231</v>
      </c>
      <c r="M23" s="56">
        <f>SUM('Monthly Electricity (Overview)'!U101:X101)+'Monthly Electricity (Overview)'!AD101</f>
        <v>564925</v>
      </c>
      <c r="N23" s="56">
        <f>'Monthly Electricity (Overview)'!AA101</f>
        <v>262759</v>
      </c>
      <c r="O23" s="56">
        <f>'Monthly Electricity (Overview)'!Z101</f>
        <v>257203</v>
      </c>
      <c r="P23" s="56">
        <f>'Monthly Electricity (Overview)'!Y101</f>
        <v>519962</v>
      </c>
      <c r="Q23" s="56">
        <f t="shared" si="1"/>
        <v>6727790</v>
      </c>
      <c r="R23" s="56">
        <f t="shared" si="0"/>
        <v>6675559</v>
      </c>
    </row>
    <row r="24" spans="1:18" ht="16" x14ac:dyDescent="0.2">
      <c r="A24" s="546">
        <v>44682</v>
      </c>
      <c r="B24" s="56">
        <f>SUM('Monthly Electricity (Overview)'!C102:D102)+SUM('Monthly Electricity (Overview)'!F102:H102)+SUM('Monthly Electricity (Overview)'!O102:Q102)</f>
        <v>4073724.9</v>
      </c>
      <c r="C24" s="56">
        <f>'Monthly Electricity (Overview)'!I102</f>
        <v>1500945.1</v>
      </c>
      <c r="D24" s="56">
        <f>'Monthly Electricity (Overview)'!N102</f>
        <v>128870</v>
      </c>
      <c r="E24" s="56">
        <f>'Monthly Electricity (Overview)'!E102</f>
        <v>381972</v>
      </c>
      <c r="F24" s="56">
        <f>'Monthly Electricity (Overview)'!J102</f>
        <v>218112</v>
      </c>
      <c r="G24" s="56">
        <f>'Monthly Electricity (Overview)'!K102</f>
        <v>47282</v>
      </c>
      <c r="H24" s="56"/>
      <c r="I24" s="56"/>
      <c r="J24" s="56"/>
      <c r="K24" s="56">
        <f>'Monthly Electricity (Overview)'!L102</f>
        <v>60742</v>
      </c>
      <c r="L24" s="14">
        <v>52604</v>
      </c>
      <c r="M24" s="56">
        <f>SUM('Monthly Electricity (Overview)'!U102:X102)+'Monthly Electricity (Overview)'!AD102</f>
        <v>587214</v>
      </c>
      <c r="N24" s="56">
        <f>'Monthly Electricity (Overview)'!AA102</f>
        <v>308806</v>
      </c>
      <c r="O24" s="56">
        <f>'Monthly Electricity (Overview)'!Z102</f>
        <v>291975</v>
      </c>
      <c r="P24" s="56">
        <f>'Monthly Electricity (Overview)'!Y102</f>
        <v>600781</v>
      </c>
      <c r="Q24" s="56">
        <f t="shared" si="1"/>
        <v>7652247</v>
      </c>
      <c r="R24" s="56">
        <f t="shared" si="0"/>
        <v>7599643</v>
      </c>
    </row>
    <row r="25" spans="1:18" ht="16" x14ac:dyDescent="0.2">
      <c r="A25" s="546">
        <v>44713</v>
      </c>
      <c r="B25" s="313">
        <f>SUM('Monthly Electricity (Overview)'!C103:D103)+SUM('Monthly Electricity (Overview)'!F103:H103)+SUM('Monthly Electricity (Overview)'!O103:Q103)</f>
        <v>4088000.39</v>
      </c>
      <c r="C25" s="313">
        <f>'Monthly Electricity (Overview)'!I103</f>
        <v>2130901.61</v>
      </c>
      <c r="D25" s="313">
        <f>'Monthly Electricity (Overview)'!N103</f>
        <v>226263</v>
      </c>
      <c r="E25" s="313">
        <f>'Monthly Electricity (Overview)'!E103</f>
        <v>373954</v>
      </c>
      <c r="F25" s="313">
        <f>'Monthly Electricity (Overview)'!J103</f>
        <v>216767</v>
      </c>
      <c r="G25" s="313">
        <f>'Monthly Electricity (Overview)'!K103</f>
        <v>69729</v>
      </c>
      <c r="H25" s="313"/>
      <c r="I25" s="313"/>
      <c r="J25" s="313"/>
      <c r="K25" s="313">
        <f>'Monthly Electricity (Overview)'!L103</f>
        <v>131317</v>
      </c>
      <c r="L25" s="314">
        <v>75835</v>
      </c>
      <c r="M25" s="313">
        <f>SUM('Monthly Electricity (Overview)'!U103:X103)+'Monthly Electricity (Overview)'!AD103</f>
        <v>744547</v>
      </c>
      <c r="N25" s="313">
        <f>'Monthly Electricity (Overview)'!AA103</f>
        <v>522689</v>
      </c>
      <c r="O25" s="313">
        <f>'Monthly Electricity (Overview)'!Z103</f>
        <v>299799</v>
      </c>
      <c r="P25" s="313">
        <f>'Monthly Electricity (Overview)'!Y103</f>
        <v>822488</v>
      </c>
      <c r="Q25" s="313">
        <f t="shared" si="1"/>
        <v>8879802</v>
      </c>
      <c r="R25" s="313">
        <f t="shared" si="0"/>
        <v>8803967</v>
      </c>
    </row>
    <row r="26" spans="1:18" ht="16" x14ac:dyDescent="0.2">
      <c r="A26" s="546">
        <v>44743</v>
      </c>
      <c r="B26" s="56">
        <f>SUM('Monthly Electricity (Overview)'!C104:D104)+SUM('Monthly Electricity (Overview)'!F104:H104)+SUM('Monthly Electricity (Overview)'!O104:Q104)</f>
        <v>3721119</v>
      </c>
      <c r="C26" s="56">
        <f>'Monthly Electricity (Overview)'!I104</f>
        <v>2485643</v>
      </c>
      <c r="D26" s="56">
        <f>'Monthly Electricity (Overview)'!N104</f>
        <v>222744</v>
      </c>
      <c r="E26" s="56">
        <f>'Monthly Electricity (Overview)'!E104</f>
        <v>335327</v>
      </c>
      <c r="F26" s="56">
        <f>'Monthly Electricity (Overview)'!J104</f>
        <v>181196</v>
      </c>
      <c r="G26" s="56">
        <f>'Monthly Electricity (Overview)'!K104</f>
        <v>67366</v>
      </c>
      <c r="H26" s="56"/>
      <c r="I26" s="56"/>
      <c r="J26" s="56"/>
      <c r="K26" s="56">
        <f>'Monthly Electricity (Overview)'!L104</f>
        <v>129521</v>
      </c>
      <c r="L26" s="14">
        <v>99717</v>
      </c>
      <c r="M26" s="56">
        <f>SUM('Monthly Electricity (Overview)'!U104:X104)+'Monthly Electricity (Overview)'!AD104</f>
        <v>713595</v>
      </c>
      <c r="N26" s="56">
        <f>'Monthly Electricity (Overview)'!AA104</f>
        <v>592104</v>
      </c>
      <c r="O26" s="56">
        <f>'Monthly Electricity (Overview)'!Z104</f>
        <v>274978</v>
      </c>
      <c r="P26" s="56">
        <f>'Monthly Electricity (Overview)'!Y104</f>
        <v>867082</v>
      </c>
      <c r="Q26" s="56">
        <f t="shared" si="1"/>
        <v>8823310</v>
      </c>
      <c r="R26" s="56">
        <f t="shared" si="0"/>
        <v>8723593</v>
      </c>
    </row>
    <row r="27" spans="1:18" ht="16" x14ac:dyDescent="0.2">
      <c r="A27" s="546">
        <v>44774</v>
      </c>
      <c r="B27" s="56">
        <f>SUM('Monthly Electricity (Overview)'!C105:D105)+SUM('Monthly Electricity (Overview)'!F105:H105)+SUM('Monthly Electricity (Overview)'!O105:Q105)</f>
        <v>4531191.76</v>
      </c>
      <c r="C27" s="56">
        <f>'Monthly Electricity (Overview)'!I105</f>
        <v>2278104.2400000002</v>
      </c>
      <c r="D27" s="56">
        <f>'Monthly Electricity (Overview)'!N105</f>
        <v>238990</v>
      </c>
      <c r="E27" s="56">
        <f>'Monthly Electricity (Overview)'!E105</f>
        <v>389800</v>
      </c>
      <c r="F27" s="56">
        <f>'Monthly Electricity (Overview)'!J105</f>
        <v>202462</v>
      </c>
      <c r="G27" s="56">
        <f>'Monthly Electricity (Overview)'!K105</f>
        <v>68389</v>
      </c>
      <c r="H27" s="56"/>
      <c r="I27" s="56"/>
      <c r="J27" s="56"/>
      <c r="K27" s="56">
        <f>'Monthly Electricity (Overview)'!L105</f>
        <v>127143</v>
      </c>
      <c r="L27" s="14">
        <v>89490</v>
      </c>
      <c r="M27" s="56">
        <f>SUM('Monthly Electricity (Overview)'!U105:X105)+'Monthly Electricity (Overview)'!AD105</f>
        <v>789478</v>
      </c>
      <c r="N27" s="56">
        <f>'Monthly Electricity (Overview)'!AA105</f>
        <v>614216</v>
      </c>
      <c r="O27" s="56">
        <f>'Monthly Electricity (Overview)'!Z105</f>
        <v>328477</v>
      </c>
      <c r="P27" s="56">
        <f>'Monthly Electricity (Overview)'!Y105</f>
        <v>942693</v>
      </c>
      <c r="Q27" s="56">
        <f t="shared" si="1"/>
        <v>9657741</v>
      </c>
      <c r="R27" s="56">
        <f t="shared" si="0"/>
        <v>9568251</v>
      </c>
    </row>
    <row r="28" spans="1:18" ht="16" x14ac:dyDescent="0.2">
      <c r="A28" s="546">
        <v>44805</v>
      </c>
      <c r="B28" s="56">
        <f>SUM('Monthly Electricity (Overview)'!C106:D106)+SUM('Monthly Electricity (Overview)'!F106:H106)+SUM('Monthly Electricity (Overview)'!O106:Q106)</f>
        <v>4773007</v>
      </c>
      <c r="C28" s="56">
        <f>'Monthly Electricity (Overview)'!I106</f>
        <v>1988413</v>
      </c>
      <c r="D28" s="56">
        <f>'Monthly Electricity (Overview)'!N106</f>
        <v>209950</v>
      </c>
      <c r="E28" s="56">
        <f>'Monthly Electricity (Overview)'!E106</f>
        <v>370600</v>
      </c>
      <c r="F28" s="56">
        <f>'Monthly Electricity (Overview)'!J106</f>
        <v>144397</v>
      </c>
      <c r="G28" s="56">
        <f>'Monthly Electricity (Overview)'!K106</f>
        <v>59150</v>
      </c>
      <c r="H28" s="56"/>
      <c r="I28" s="56"/>
      <c r="J28" s="56"/>
      <c r="K28" s="56">
        <f>'Monthly Electricity (Overview)'!L106</f>
        <v>126966</v>
      </c>
      <c r="L28" s="14">
        <v>94828</v>
      </c>
      <c r="M28" s="56">
        <f>SUM('Monthly Electricity (Overview)'!U106:X106)+'Monthly Electricity (Overview)'!AD106</f>
        <v>1118922</v>
      </c>
      <c r="N28" s="56">
        <f>'Monthly Electricity (Overview)'!AA106</f>
        <v>585972</v>
      </c>
      <c r="O28" s="56">
        <f>'Monthly Electricity (Overview)'!Z106</f>
        <v>371840</v>
      </c>
      <c r="P28" s="56">
        <f>'Monthly Electricity (Overview)'!Y106</f>
        <v>957812</v>
      </c>
      <c r="Q28" s="56">
        <f t="shared" si="1"/>
        <v>9844045</v>
      </c>
      <c r="R28" s="56">
        <f t="shared" si="0"/>
        <v>9749217</v>
      </c>
    </row>
    <row r="29" spans="1:18" ht="16" x14ac:dyDescent="0.2">
      <c r="A29" s="546">
        <v>44835</v>
      </c>
      <c r="B29" s="56">
        <f>SUM('Monthly Electricity (Overview)'!C107:D107)+SUM('Monthly Electricity (Overview)'!F107:H107)+SUM('Monthly Electricity (Overview)'!O107:Q107)</f>
        <v>3811696.7393610002</v>
      </c>
      <c r="C29" s="56">
        <f>'Monthly Electricity (Overview)'!I107</f>
        <v>1469216.260639</v>
      </c>
      <c r="D29" s="56">
        <f>'Monthly Electricity (Overview)'!N107</f>
        <v>143116</v>
      </c>
      <c r="E29" s="56">
        <f>'Monthly Electricity (Overview)'!E107</f>
        <v>352020</v>
      </c>
      <c r="F29" s="56">
        <f>'Monthly Electricity (Overview)'!J107</f>
        <v>304172</v>
      </c>
      <c r="G29" s="56">
        <f>'Monthly Electricity (Overview)'!K107</f>
        <v>47679</v>
      </c>
      <c r="H29" s="56"/>
      <c r="I29" s="56"/>
      <c r="J29" s="56"/>
      <c r="K29" s="56">
        <f>'Monthly Electricity (Overview)'!L107</f>
        <v>93814</v>
      </c>
      <c r="L29" s="14">
        <v>72708</v>
      </c>
      <c r="M29" s="56">
        <f>SUM('Monthly Electricity (Overview)'!U107:X107)+'Monthly Electricity (Overview)'!AD107</f>
        <v>864847</v>
      </c>
      <c r="N29" s="56">
        <f>'Monthly Electricity (Overview)'!AA107</f>
        <v>319579</v>
      </c>
      <c r="O29" s="56">
        <f>'Monthly Electricity (Overview)'!Z107</f>
        <v>337505</v>
      </c>
      <c r="P29" s="56">
        <f>'Monthly Electricity (Overview)'!Y107</f>
        <v>657084</v>
      </c>
      <c r="Q29" s="56">
        <f t="shared" si="1"/>
        <v>7816353</v>
      </c>
      <c r="R29" s="56">
        <f t="shared" si="0"/>
        <v>7743645</v>
      </c>
    </row>
    <row r="30" spans="1:18" ht="16" x14ac:dyDescent="0.2">
      <c r="A30" s="546">
        <v>44866</v>
      </c>
      <c r="B30" s="56">
        <f>SUM('Monthly Electricity (Overview)'!C108:D108)+SUM('Monthly Electricity (Overview)'!F108:H108)+SUM('Monthly Electricity (Overview)'!O108:Q108)</f>
        <v>4836186.5076086</v>
      </c>
      <c r="C30" s="56">
        <f>'Monthly Electricity (Overview)'!I108</f>
        <v>1233452.4923913998</v>
      </c>
      <c r="D30" s="56">
        <f>'Monthly Electricity (Overview)'!N108</f>
        <v>130337</v>
      </c>
      <c r="E30" s="56">
        <f>'Monthly Electricity (Overview)'!E108</f>
        <v>399870</v>
      </c>
      <c r="F30" s="56">
        <f>'Monthly Electricity (Overview)'!J108</f>
        <v>258047</v>
      </c>
      <c r="G30" s="56">
        <f>'Monthly Electricity (Overview)'!K108</f>
        <v>56060</v>
      </c>
      <c r="H30" s="56"/>
      <c r="I30" s="56"/>
      <c r="J30" s="56"/>
      <c r="K30" s="56">
        <f>'Monthly Electricity (Overview)'!L108</f>
        <v>72060</v>
      </c>
      <c r="L30" s="14">
        <v>65370</v>
      </c>
      <c r="M30" s="56">
        <f>SUM('Monthly Electricity (Overview)'!U108:X108)+'Monthly Electricity (Overview)'!AD108</f>
        <v>728766</v>
      </c>
      <c r="N30" s="56">
        <f>'Monthly Electricity (Overview)'!AA108</f>
        <v>276024</v>
      </c>
      <c r="O30" s="56">
        <f>'Monthly Electricity (Overview)'!Z108</f>
        <v>378554</v>
      </c>
      <c r="P30" s="56">
        <f>'Monthly Electricity (Overview)'!Y108</f>
        <v>654578</v>
      </c>
      <c r="Q30" s="56">
        <f t="shared" si="1"/>
        <v>8434727</v>
      </c>
      <c r="R30" s="56">
        <f t="shared" si="0"/>
        <v>8369357</v>
      </c>
    </row>
    <row r="31" spans="1:18" ht="16" x14ac:dyDescent="0.2">
      <c r="A31" s="546">
        <v>44896</v>
      </c>
      <c r="B31" s="56">
        <f>SUM('Monthly Electricity (Overview)'!C109:D109)+SUM('Monthly Electricity (Overview)'!F109:H109)+SUM('Monthly Electricity (Overview)'!O109:Q109)</f>
        <v>3831461.4072775999</v>
      </c>
      <c r="C31" s="56">
        <f>'Monthly Electricity (Overview)'!I109</f>
        <v>556257.59272239998</v>
      </c>
      <c r="D31" s="56">
        <f>'Monthly Electricity (Overview)'!N109</f>
        <v>47314</v>
      </c>
      <c r="E31" s="56">
        <f>'Monthly Electricity (Overview)'!E109</f>
        <v>364897</v>
      </c>
      <c r="F31" s="56">
        <f>'Monthly Electricity (Overview)'!J109</f>
        <v>229681</v>
      </c>
      <c r="G31" s="56">
        <f>'Monthly Electricity (Overview)'!K109</f>
        <v>44577</v>
      </c>
      <c r="H31" s="56"/>
      <c r="I31" s="56"/>
      <c r="J31" s="56"/>
      <c r="K31" s="56">
        <f>'Monthly Electricity (Overview)'!L109</f>
        <v>91252</v>
      </c>
      <c r="L31" s="14">
        <v>55028</v>
      </c>
      <c r="M31" s="56">
        <f>SUM('Monthly Electricity (Overview)'!U109:X109)+'Monthly Electricity (Overview)'!AD109</f>
        <v>592680</v>
      </c>
      <c r="N31" s="56">
        <f>'Monthly Electricity (Overview)'!AA109</f>
        <v>275989</v>
      </c>
      <c r="O31" s="56">
        <f>'Monthly Electricity (Overview)'!Z109</f>
        <v>330635</v>
      </c>
      <c r="P31" s="56">
        <f>'Monthly Electricity (Overview)'!Y109</f>
        <v>606624</v>
      </c>
      <c r="Q31" s="56">
        <f t="shared" si="1"/>
        <v>6419772</v>
      </c>
      <c r="R31" s="56">
        <f t="shared" si="0"/>
        <v>6364744</v>
      </c>
    </row>
    <row r="32" spans="1:18" ht="16" x14ac:dyDescent="0.2">
      <c r="A32" s="547">
        <v>44927</v>
      </c>
      <c r="B32" s="56">
        <f>SUM('Monthly Electricity (Overview)'!C110:D110)+SUM('Monthly Electricity (Overview)'!F110:H110)+SUM('Monthly Electricity (Overview)'!O110:Q110)</f>
        <v>3728129</v>
      </c>
      <c r="C32" s="56">
        <f>'Monthly Electricity (Overview)'!I110</f>
        <v>556060</v>
      </c>
      <c r="D32" s="56">
        <f>'Monthly Electricity (Overview)'!N110</f>
        <v>45634</v>
      </c>
      <c r="E32" s="56">
        <f>'Monthly Electricity (Overview)'!E110</f>
        <v>366341</v>
      </c>
      <c r="F32" s="56">
        <f>'Monthly Electricity (Overview)'!J110</f>
        <v>217300</v>
      </c>
      <c r="G32" s="56">
        <f>'Monthly Electricity (Overview)'!K110</f>
        <v>39987</v>
      </c>
      <c r="H32" s="56"/>
      <c r="I32" s="56"/>
      <c r="J32" s="56"/>
      <c r="K32" s="56">
        <f>'Monthly Electricity (Overview)'!L110</f>
        <v>69190</v>
      </c>
      <c r="L32" s="14">
        <v>57143</v>
      </c>
      <c r="M32" s="56">
        <f>SUM('Monthly Electricity (Overview)'!U110:X110)+'Monthly Electricity (Overview)'!AD110</f>
        <v>577345</v>
      </c>
      <c r="N32" s="56">
        <f>'Monthly Electricity (Overview)'!AA110</f>
        <v>267451</v>
      </c>
      <c r="O32" s="56">
        <f>'Monthly Electricity (Overview)'!Z110</f>
        <v>291933</v>
      </c>
      <c r="P32" s="56">
        <f>'Monthly Electricity (Overview)'!Y110</f>
        <v>559384</v>
      </c>
      <c r="Q32" s="56">
        <f t="shared" si="1"/>
        <v>6216513</v>
      </c>
      <c r="R32" s="56">
        <f t="shared" si="0"/>
        <v>6159370</v>
      </c>
    </row>
    <row r="33" spans="1:18" ht="16" x14ac:dyDescent="0.2">
      <c r="A33" s="548">
        <v>44958</v>
      </c>
      <c r="B33" s="56">
        <f>SUM('Monthly Electricity (Overview)'!C111:D111)+SUM('Monthly Electricity (Overview)'!F111:H111)+SUM('Monthly Electricity (Overview)'!O111:Q111)</f>
        <v>3772062</v>
      </c>
      <c r="C33" s="56">
        <f>'Monthly Electricity (Overview)'!I111</f>
        <v>601288</v>
      </c>
      <c r="D33" s="56">
        <f>'Monthly Electricity (Overview)'!N111</f>
        <v>53805</v>
      </c>
      <c r="E33" s="56">
        <f>'Monthly Electricity (Overview)'!E111</f>
        <v>344682</v>
      </c>
      <c r="F33" s="56">
        <f>'Monthly Electricity (Overview)'!J111</f>
        <v>228400</v>
      </c>
      <c r="G33" s="56">
        <f>'Monthly Electricity (Overview)'!K111</f>
        <v>42292</v>
      </c>
      <c r="H33" s="56"/>
      <c r="I33" s="56"/>
      <c r="J33" s="56"/>
      <c r="K33" s="56">
        <f>'Monthly Electricity (Overview)'!L111</f>
        <v>66777</v>
      </c>
      <c r="L33" s="14">
        <v>46017</v>
      </c>
      <c r="M33" s="56">
        <f>SUM('Monthly Electricity (Overview)'!U111:X111)+'Monthly Electricity (Overview)'!AD111</f>
        <v>676314</v>
      </c>
      <c r="N33" s="56">
        <f>'Monthly Electricity (Overview)'!AA111</f>
        <v>215971</v>
      </c>
      <c r="O33" s="56">
        <f>'Monthly Electricity (Overview)'!Z111</f>
        <v>330857</v>
      </c>
      <c r="P33" s="56">
        <f>'Monthly Electricity (Overview)'!Y111</f>
        <v>546828</v>
      </c>
      <c r="Q33" s="56">
        <f t="shared" si="1"/>
        <v>6378465</v>
      </c>
      <c r="R33" s="56">
        <f t="shared" si="0"/>
        <v>6332448</v>
      </c>
    </row>
    <row r="34" spans="1:18" ht="16" x14ac:dyDescent="0.2">
      <c r="A34" s="548">
        <v>44986</v>
      </c>
      <c r="B34" s="56">
        <f>SUM('Monthly Electricity (Overview)'!C112:D112)+SUM('Monthly Electricity (Overview)'!F112:H112)+SUM('Monthly Electricity (Overview)'!O112:Q112)</f>
        <v>3904323</v>
      </c>
      <c r="C34" s="56">
        <f>'Monthly Electricity (Overview)'!I112</f>
        <v>869346</v>
      </c>
      <c r="D34" s="56">
        <f>'Monthly Electricity (Overview)'!N112</f>
        <v>87303</v>
      </c>
      <c r="E34" s="56">
        <f>'Monthly Electricity (Overview)'!E112</f>
        <v>371708</v>
      </c>
      <c r="F34" s="56">
        <f>'Monthly Electricity (Overview)'!J112</f>
        <v>244523</v>
      </c>
      <c r="G34" s="56">
        <f>'Monthly Electricity (Overview)'!K112</f>
        <v>53343</v>
      </c>
      <c r="H34" s="56"/>
      <c r="I34" s="56"/>
      <c r="J34" s="56"/>
      <c r="K34" s="56">
        <f>'Monthly Electricity (Overview)'!L112</f>
        <v>77615</v>
      </c>
      <c r="L34" s="14">
        <v>52879</v>
      </c>
      <c r="M34" s="56">
        <f>SUM('Monthly Electricity (Overview)'!U112:X112)+'Monthly Electricity (Overview)'!AD112</f>
        <v>721989</v>
      </c>
      <c r="N34" s="56">
        <f>'Monthly Electricity (Overview)'!AA112</f>
        <v>201635</v>
      </c>
      <c r="O34" s="56">
        <f>'Monthly Electricity (Overview)'!Z112</f>
        <v>362033</v>
      </c>
      <c r="P34" s="56">
        <f>'Monthly Electricity (Overview)'!Y112</f>
        <v>563668</v>
      </c>
      <c r="Q34" s="56">
        <f t="shared" si="1"/>
        <v>6946697</v>
      </c>
      <c r="R34" s="56">
        <f t="shared" si="0"/>
        <v>6893818</v>
      </c>
    </row>
    <row r="35" spans="1:18" ht="16" x14ac:dyDescent="0.2">
      <c r="A35" s="548">
        <v>45017</v>
      </c>
      <c r="B35" s="56">
        <f>SUM('Monthly Electricity (Overview)'!C113:D113)+SUM('Monthly Electricity (Overview)'!F113:H113)+SUM('Monthly Electricity (Overview)'!O113:Q113)</f>
        <v>3672892</v>
      </c>
      <c r="C35" s="56">
        <f>'Monthly Electricity (Overview)'!I113</f>
        <v>1134981</v>
      </c>
      <c r="D35" s="56">
        <f>'Monthly Electricity (Overview)'!N113</f>
        <v>105975</v>
      </c>
      <c r="E35" s="56">
        <f>'Monthly Electricity (Overview)'!E113</f>
        <v>343942</v>
      </c>
      <c r="F35" s="56">
        <f>'Monthly Electricity (Overview)'!J113</f>
        <v>221077</v>
      </c>
      <c r="G35" s="56">
        <f>'Monthly Electricity (Overview)'!K113</f>
        <v>51421</v>
      </c>
      <c r="H35" s="56"/>
      <c r="I35" s="56"/>
      <c r="J35" s="56"/>
      <c r="K35" s="56">
        <f>'Monthly Electricity (Overview)'!L113</f>
        <v>84792</v>
      </c>
      <c r="L35" s="14">
        <v>77768</v>
      </c>
      <c r="M35" s="56">
        <f>SUM('Monthly Electricity (Overview)'!U113:X113)+'Monthly Electricity (Overview)'!AD113</f>
        <v>888817</v>
      </c>
      <c r="N35" s="56">
        <f>'Monthly Electricity (Overview)'!AA113</f>
        <v>258966</v>
      </c>
      <c r="O35" s="56">
        <f>'Monthly Electricity (Overview)'!Z113</f>
        <v>334481</v>
      </c>
      <c r="P35" s="56">
        <f>'Monthly Electricity (Overview)'!Y113</f>
        <v>593447</v>
      </c>
      <c r="Q35" s="56">
        <f t="shared" si="1"/>
        <v>7175112</v>
      </c>
      <c r="R35" s="56">
        <f t="shared" si="0"/>
        <v>7097344</v>
      </c>
    </row>
    <row r="36" spans="1:18" ht="16" x14ac:dyDescent="0.2">
      <c r="A36" s="548">
        <v>45047</v>
      </c>
      <c r="B36" s="56">
        <f>SUM('Monthly Electricity (Overview)'!C114:D114)+SUM('Monthly Electricity (Overview)'!F114:H114)+SUM('Monthly Electricity (Overview)'!O114:Q114)</f>
        <v>4194327</v>
      </c>
      <c r="C36" s="56">
        <f>'Monthly Electricity (Overview)'!I114</f>
        <v>1674901</v>
      </c>
      <c r="D36" s="56">
        <f>'Monthly Electricity (Overview)'!N114</f>
        <v>162347</v>
      </c>
      <c r="E36" s="56">
        <f>'Monthly Electricity (Overview)'!E114</f>
        <v>395100</v>
      </c>
      <c r="F36" s="56">
        <f>'Monthly Electricity (Overview)'!J114</f>
        <v>246200</v>
      </c>
      <c r="G36" s="56">
        <f>'Monthly Electricity (Overview)'!K114</f>
        <v>67214</v>
      </c>
      <c r="H36" s="56"/>
      <c r="I36" s="56"/>
      <c r="J36" s="56"/>
      <c r="K36" s="56">
        <f>'Monthly Electricity (Overview)'!L114</f>
        <v>129786</v>
      </c>
      <c r="L36" s="14">
        <v>50981</v>
      </c>
      <c r="M36" s="56">
        <f>SUM('Monthly Electricity (Overview)'!U114:X114)+'Monthly Electricity (Overview)'!AD114</f>
        <v>1081474</v>
      </c>
      <c r="N36" s="56">
        <f>'Monthly Electricity (Overview)'!AA114</f>
        <v>396044</v>
      </c>
      <c r="O36" s="56">
        <f>'Monthly Electricity (Overview)'!Z114</f>
        <v>378813</v>
      </c>
      <c r="P36" s="56">
        <f>'Monthly Electricity (Overview)'!Y114</f>
        <v>774857</v>
      </c>
      <c r="Q36" s="56">
        <f t="shared" si="1"/>
        <v>8777187</v>
      </c>
      <c r="R36" s="56">
        <f t="shared" si="0"/>
        <v>8726206</v>
      </c>
    </row>
    <row r="37" spans="1:18" ht="16" x14ac:dyDescent="0.2">
      <c r="A37" s="548">
        <v>45078</v>
      </c>
      <c r="B37" s="313">
        <f>SUM('Monthly Electricity (Overview)'!C115:D115)+SUM('Monthly Electricity (Overview)'!F115:H115)+SUM('Monthly Electricity (Overview)'!O115:Q115)</f>
        <v>4000725</v>
      </c>
      <c r="C37" s="313">
        <f>'Monthly Electricity (Overview)'!I115</f>
        <v>2088084</v>
      </c>
      <c r="D37" s="313">
        <f>'Monthly Electricity (Overview)'!N115</f>
        <v>185045</v>
      </c>
      <c r="E37" s="313">
        <f>'Monthly Electricity (Overview)'!E115</f>
        <v>377740</v>
      </c>
      <c r="F37" s="313">
        <f>'Monthly Electricity (Overview)'!J115</f>
        <v>221800</v>
      </c>
      <c r="G37" s="313">
        <f>'Monthly Electricity (Overview)'!K115</f>
        <v>56861</v>
      </c>
      <c r="H37" s="313"/>
      <c r="I37" s="313"/>
      <c r="J37" s="313"/>
      <c r="K37" s="313">
        <f>'Monthly Electricity (Overview)'!L115</f>
        <v>153093</v>
      </c>
      <c r="L37" s="314">
        <v>99770</v>
      </c>
      <c r="M37" s="313">
        <f>SUM('Monthly Electricity (Overview)'!U115:X115)+'Monthly Electricity (Overview)'!AD115</f>
        <v>1283750</v>
      </c>
      <c r="N37" s="313">
        <f>'Monthly Electricity (Overview)'!AA115</f>
        <v>581560</v>
      </c>
      <c r="O37" s="313">
        <f>'Monthly Electricity (Overview)'!Z115</f>
        <v>338399</v>
      </c>
      <c r="P37" s="313">
        <f>'Monthly Electricity (Overview)'!Y115</f>
        <v>919959</v>
      </c>
      <c r="Q37" s="313">
        <f t="shared" si="1"/>
        <v>9386827</v>
      </c>
      <c r="R37" s="313">
        <f t="shared" si="0"/>
        <v>9287057</v>
      </c>
    </row>
    <row r="38" spans="1:18" ht="16" x14ac:dyDescent="0.2">
      <c r="A38" s="548">
        <v>45108</v>
      </c>
      <c r="B38" s="56">
        <f>SUM('Monthly Electricity (Overview)'!C116:D116)+SUM('Monthly Electricity (Overview)'!F116:H116)+SUM('Monthly Electricity (Overview)'!O116:Q116)</f>
        <v>3162763</v>
      </c>
      <c r="C38" s="56">
        <f>'Monthly Electricity (Overview)'!I116</f>
        <v>2235244</v>
      </c>
      <c r="D38" s="56">
        <f>'Monthly Electricity (Overview)'!N116</f>
        <v>186865</v>
      </c>
      <c r="E38" s="56">
        <f>'Monthly Electricity (Overview)'!E116</f>
        <v>401450</v>
      </c>
      <c r="F38" s="56">
        <f>'Monthly Electricity (Overview)'!J116</f>
        <v>230400</v>
      </c>
      <c r="G38" s="56">
        <f>'Monthly Electricity (Overview)'!K116</f>
        <v>49612</v>
      </c>
      <c r="H38" s="56"/>
      <c r="I38" s="56"/>
      <c r="J38" s="56"/>
      <c r="K38" s="56">
        <f>'Monthly Electricity (Overview)'!L116</f>
        <v>149108</v>
      </c>
      <c r="L38" s="14">
        <v>99933</v>
      </c>
      <c r="M38" s="56">
        <f>SUM('Monthly Electricity (Overview)'!U116:X116)+'Monthly Electricity (Overview)'!AD116</f>
        <v>1227346</v>
      </c>
      <c r="N38" s="56">
        <f>'Monthly Electricity (Overview)'!AA116</f>
        <v>553377</v>
      </c>
      <c r="O38" s="56">
        <f>'Monthly Electricity (Overview)'!Z116</f>
        <v>301258</v>
      </c>
      <c r="P38" s="56">
        <f>'Monthly Electricity (Overview)'!Y116</f>
        <v>854635</v>
      </c>
      <c r="Q38" s="56">
        <f t="shared" si="1"/>
        <v>8597356</v>
      </c>
      <c r="R38" s="56">
        <f t="shared" si="0"/>
        <v>8497423</v>
      </c>
    </row>
    <row r="39" spans="1:18" ht="16" x14ac:dyDescent="0.2">
      <c r="A39" s="548">
        <v>45139</v>
      </c>
      <c r="B39" s="56">
        <f>SUM('Monthly Electricity (Overview)'!C117:D117)+SUM('Monthly Electricity (Overview)'!F117:H117)+SUM('Monthly Electricity (Overview)'!O117:Q117)</f>
        <v>4511494</v>
      </c>
      <c r="C39" s="56">
        <f>'Monthly Electricity (Overview)'!I117</f>
        <v>2261709</v>
      </c>
      <c r="D39" s="56">
        <f>'Monthly Electricity (Overview)'!N117</f>
        <v>245701</v>
      </c>
      <c r="E39" s="56">
        <f>'Monthly Electricity (Overview)'!E117</f>
        <v>386230</v>
      </c>
      <c r="F39" s="56">
        <f>'Monthly Electricity (Overview)'!J117</f>
        <v>220600</v>
      </c>
      <c r="G39" s="56">
        <f>'Monthly Electricity (Overview)'!K117</f>
        <v>63082</v>
      </c>
      <c r="H39" s="56"/>
      <c r="I39" s="56"/>
      <c r="J39" s="56"/>
      <c r="K39" s="56">
        <f>'Monthly Electricity (Overview)'!L117</f>
        <v>196791</v>
      </c>
      <c r="L39" s="14">
        <v>112757</v>
      </c>
      <c r="M39" s="56">
        <f>SUM('Monthly Electricity (Overview)'!U117:X117)+'Monthly Electricity (Overview)'!AD117</f>
        <v>1243608</v>
      </c>
      <c r="N39" s="56">
        <f>'Monthly Electricity (Overview)'!AA117</f>
        <v>670447</v>
      </c>
      <c r="O39" s="56">
        <f>'Monthly Electricity (Overview)'!Z117</f>
        <v>353508</v>
      </c>
      <c r="P39" s="56">
        <f>'Monthly Electricity (Overview)'!Y117</f>
        <v>1023955</v>
      </c>
      <c r="Q39" s="56">
        <f t="shared" si="1"/>
        <v>10265927</v>
      </c>
      <c r="R39" s="56">
        <f t="shared" si="0"/>
        <v>10153170</v>
      </c>
    </row>
    <row r="40" spans="1:18" ht="16" x14ac:dyDescent="0.2">
      <c r="A40" s="548">
        <v>45170</v>
      </c>
      <c r="B40" s="56">
        <f>SUM('Monthly Electricity (Overview)'!C118:D118)+SUM('Monthly Electricity (Overview)'!F118:H118)+SUM('Monthly Electricity (Overview)'!O118:Q118)</f>
        <v>3897750</v>
      </c>
      <c r="C40" s="56">
        <f>'Monthly Electricity (Overview)'!I118</f>
        <v>2087766</v>
      </c>
      <c r="D40" s="56">
        <f>'Monthly Electricity (Overview)'!N118</f>
        <v>172602</v>
      </c>
      <c r="E40" s="56">
        <f>'Monthly Electricity (Overview)'!E118</f>
        <v>397330</v>
      </c>
      <c r="F40" s="56">
        <f>'Monthly Electricity (Overview)'!J118</f>
        <v>228100</v>
      </c>
      <c r="G40" s="56">
        <f>'Monthly Electricity (Overview)'!K118</f>
        <v>48820</v>
      </c>
      <c r="H40" s="56"/>
      <c r="I40" s="56"/>
      <c r="J40" s="56"/>
      <c r="K40" s="56">
        <f>'Monthly Electricity (Overview)'!L118</f>
        <v>133636</v>
      </c>
      <c r="L40" s="14">
        <v>98239</v>
      </c>
      <c r="M40" s="56">
        <f>SUM('Monthly Electricity (Overview)'!U118:X118)+'Monthly Electricity (Overview)'!AD118</f>
        <v>1466544</v>
      </c>
      <c r="N40" s="56">
        <f>'Monthly Electricity (Overview)'!AA118</f>
        <v>554541</v>
      </c>
      <c r="O40" s="56">
        <f>'Monthly Electricity (Overview)'!Z118</f>
        <v>370944</v>
      </c>
      <c r="P40" s="56">
        <f>'Monthly Electricity (Overview)'!Y118</f>
        <v>925485</v>
      </c>
      <c r="Q40" s="56">
        <f t="shared" si="1"/>
        <v>9456272</v>
      </c>
      <c r="R40" s="56">
        <f t="shared" si="0"/>
        <v>9358033</v>
      </c>
    </row>
    <row r="41" spans="1:18" ht="16" x14ac:dyDescent="0.2">
      <c r="A41" s="548">
        <v>45200</v>
      </c>
      <c r="B41" s="56">
        <f>SUM('Monthly Electricity (Overview)'!C119:D119)+SUM('Monthly Electricity (Overview)'!F119:H119)+SUM('Monthly Electricity (Overview)'!O119:Q119)</f>
        <v>4296443</v>
      </c>
      <c r="C41" s="56">
        <f>'Monthly Electricity (Overview)'!I119</f>
        <v>1682178</v>
      </c>
      <c r="D41" s="56">
        <f>'Monthly Electricity (Overview)'!N119</f>
        <v>161279</v>
      </c>
      <c r="E41" s="56">
        <f>'Monthly Electricity (Overview)'!E119</f>
        <v>401070</v>
      </c>
      <c r="F41" s="56">
        <f>'Monthly Electricity (Overview)'!J119</f>
        <v>234800</v>
      </c>
      <c r="G41" s="56">
        <f>'Monthly Electricity (Overview)'!K119</f>
        <v>54006</v>
      </c>
      <c r="H41" s="56"/>
      <c r="I41" s="56"/>
      <c r="J41" s="56"/>
      <c r="K41" s="56">
        <f>'Monthly Electricity (Overview)'!L119</f>
        <v>129915</v>
      </c>
      <c r="L41" s="14">
        <v>88064</v>
      </c>
      <c r="M41" s="56">
        <f>SUM('Monthly Electricity (Overview)'!U119:X119)+'Monthly Electricity (Overview)'!AD119</f>
        <v>1277508</v>
      </c>
      <c r="N41" s="56">
        <f>'Monthly Electricity (Overview)'!AA119</f>
        <v>421737</v>
      </c>
      <c r="O41" s="56">
        <f>'Monthly Electricity (Overview)'!Z119</f>
        <v>377527</v>
      </c>
      <c r="P41" s="56">
        <f>'Monthly Electricity (Overview)'!Y119</f>
        <v>799264</v>
      </c>
      <c r="Q41" s="56">
        <f t="shared" si="1"/>
        <v>9124527</v>
      </c>
      <c r="R41" s="56">
        <f t="shared" si="0"/>
        <v>9036463</v>
      </c>
    </row>
    <row r="42" spans="1:18" ht="16" x14ac:dyDescent="0.2">
      <c r="A42" s="548">
        <v>45231</v>
      </c>
      <c r="B42" s="56">
        <f>SUM('Monthly Electricity (Overview)'!C120:D120)+SUM('Monthly Electricity (Overview)'!F120:H120)+SUM('Monthly Electricity (Overview)'!O120:Q120)</f>
        <v>3976209</v>
      </c>
      <c r="C42" s="56">
        <f>'Monthly Electricity (Overview)'!I120</f>
        <v>1145718</v>
      </c>
      <c r="D42" s="56">
        <f>'Monthly Electricity (Overview)'!N120</f>
        <v>110214</v>
      </c>
      <c r="E42" s="56">
        <f>'Monthly Electricity (Overview)'!E120</f>
        <v>401387</v>
      </c>
      <c r="F42" s="56">
        <f>'Monthly Electricity (Overview)'!J120</f>
        <v>240600</v>
      </c>
      <c r="G42" s="56">
        <f>'Monthly Electricity (Overview)'!K120</f>
        <v>52505</v>
      </c>
      <c r="H42" s="56"/>
      <c r="I42" s="56"/>
      <c r="J42" s="56"/>
      <c r="K42" s="56">
        <f>'Monthly Electricity (Overview)'!L120</f>
        <v>114445</v>
      </c>
      <c r="L42" s="14">
        <v>64642</v>
      </c>
      <c r="M42" s="56">
        <f>SUM('Monthly Electricity (Overview)'!U120:X120)+'Monthly Electricity (Overview)'!AD120</f>
        <v>967215</v>
      </c>
      <c r="N42" s="56">
        <f>'Monthly Electricity (Overview)'!AA120</f>
        <v>276724</v>
      </c>
      <c r="O42" s="56">
        <f>'Monthly Electricity (Overview)'!Z120</f>
        <v>389105</v>
      </c>
      <c r="P42" s="56">
        <f>'Monthly Electricity (Overview)'!Y120</f>
        <v>665829</v>
      </c>
      <c r="Q42" s="56">
        <f t="shared" si="1"/>
        <v>7738764</v>
      </c>
      <c r="R42" s="56">
        <f t="shared" si="0"/>
        <v>7674122</v>
      </c>
    </row>
    <row r="43" spans="1:18" ht="16" x14ac:dyDescent="0.2">
      <c r="A43" s="548">
        <v>45261</v>
      </c>
      <c r="B43" s="56">
        <f>SUM('Monthly Electricity (Overview)'!C121:D121)+SUM('Monthly Electricity (Overview)'!F121:H121)+SUM('Monthly Electricity (Overview)'!O121:Q121)</f>
        <v>3636983</v>
      </c>
      <c r="C43" s="56">
        <f>'Monthly Electricity (Overview)'!I121</f>
        <v>760035</v>
      </c>
      <c r="D43" s="56">
        <f>'Monthly Electricity (Overview)'!N121</f>
        <v>63014</v>
      </c>
      <c r="E43" s="56">
        <f>'Monthly Electricity (Overview)'!E121</f>
        <v>362093</v>
      </c>
      <c r="F43" s="56">
        <f>'Monthly Electricity (Overview)'!J121</f>
        <v>205900</v>
      </c>
      <c r="G43" s="56">
        <f>'Monthly Electricity (Overview)'!K121</f>
        <v>47269</v>
      </c>
      <c r="H43" s="56"/>
      <c r="I43" s="56"/>
      <c r="J43" s="56"/>
      <c r="K43" s="56">
        <f>'Monthly Electricity (Overview)'!L121</f>
        <v>92079</v>
      </c>
      <c r="L43" s="14">
        <v>58824</v>
      </c>
      <c r="M43" s="56">
        <f>SUM('Monthly Electricity (Overview)'!U121:X121)+'Monthly Electricity (Overview)'!AD121</f>
        <v>783576</v>
      </c>
      <c r="N43" s="56">
        <f>'Monthly Electricity (Overview)'!AA121</f>
        <v>248375</v>
      </c>
      <c r="O43" s="56">
        <f>'Monthly Electricity (Overview)'!Z121</f>
        <v>332453</v>
      </c>
      <c r="P43" s="56">
        <f>'Monthly Electricity (Overview)'!Y121</f>
        <v>580828</v>
      </c>
      <c r="Q43" s="56">
        <f t="shared" si="1"/>
        <v>6590601</v>
      </c>
      <c r="R43" s="56">
        <f t="shared" si="0"/>
        <v>6531777</v>
      </c>
    </row>
    <row r="44" spans="1:18" ht="16" x14ac:dyDescent="0.2">
      <c r="A44" s="549">
        <v>45292</v>
      </c>
      <c r="B44" s="56">
        <f>SUM('Monthly Electricity (Overview)'!C122:D122)+SUM('Monthly Electricity (Overview)'!F122:H122)+SUM('Monthly Electricity (Overview)'!O122:Q122)</f>
        <v>4118389</v>
      </c>
      <c r="C44" s="56">
        <f>'Monthly Electricity (Overview)'!I122</f>
        <v>578170</v>
      </c>
      <c r="D44" s="56">
        <f>'Monthly Electricity (Overview)'!N122</f>
        <v>40751</v>
      </c>
      <c r="E44" s="56">
        <f>'Monthly Electricity (Overview)'!E122</f>
        <v>396860</v>
      </c>
      <c r="F44" s="56">
        <f>'Monthly Electricity (Overview)'!J122</f>
        <v>227300</v>
      </c>
      <c r="G44" s="56">
        <f>'Monthly Electricity (Overview)'!K122</f>
        <v>41306</v>
      </c>
      <c r="H44" s="56"/>
      <c r="I44" s="56"/>
      <c r="J44" s="56"/>
      <c r="K44" s="56">
        <f>'Monthly Electricity (Overview)'!L122</f>
        <v>88012</v>
      </c>
      <c r="L44" s="14">
        <v>50823</v>
      </c>
      <c r="M44" s="56">
        <f>SUM('Monthly Electricity (Overview)'!U122:X122)+'Monthly Electricity (Overview)'!AD122</f>
        <v>625535</v>
      </c>
      <c r="N44" s="56">
        <f>'Monthly Electricity (Overview)'!AA122</f>
        <v>268230</v>
      </c>
      <c r="O44" s="56">
        <f>'Monthly Electricity (Overview)'!Z122</f>
        <v>349422</v>
      </c>
      <c r="P44" s="56">
        <f>'Monthly Electricity (Overview)'!Y122</f>
        <v>617652</v>
      </c>
      <c r="Q44" s="56">
        <f t="shared" si="1"/>
        <v>6784798</v>
      </c>
      <c r="R44" s="56">
        <f t="shared" si="0"/>
        <v>6733975</v>
      </c>
    </row>
    <row r="45" spans="1:18" ht="16" x14ac:dyDescent="0.2">
      <c r="A45" s="550">
        <v>45323</v>
      </c>
      <c r="B45" s="56">
        <f>SUM('Monthly Electricity (Overview)'!C123:D123)+SUM('Monthly Electricity (Overview)'!F123:H123)+SUM('Monthly Electricity (Overview)'!O123:Q123)</f>
        <v>3961728</v>
      </c>
      <c r="C45" s="56">
        <f>'Monthly Electricity (Overview)'!I123</f>
        <v>682091</v>
      </c>
      <c r="D45" s="56">
        <f>'Monthly Electricity (Overview)'!N123</f>
        <v>59396</v>
      </c>
      <c r="E45" s="56">
        <f>'Monthly Electricity (Overview)'!E123</f>
        <v>372509</v>
      </c>
      <c r="F45" s="56">
        <f>'Monthly Electricity (Overview)'!J123</f>
        <v>216300</v>
      </c>
      <c r="G45" s="56">
        <f>'Monthly Electricity (Overview)'!K123</f>
        <v>38954</v>
      </c>
      <c r="H45" s="56"/>
      <c r="I45" s="56">
        <f>'Monthly Electricity (Overview)'!S123</f>
        <v>1879</v>
      </c>
      <c r="J45" s="56"/>
      <c r="K45" s="56">
        <f>'Monthly Electricity (Overview)'!L123</f>
        <v>71168</v>
      </c>
      <c r="L45" s="14">
        <v>54165</v>
      </c>
      <c r="M45" s="56">
        <f>SUM('Monthly Electricity (Overview)'!U123:X123)+'Monthly Electricity (Overview)'!AD123</f>
        <v>704449</v>
      </c>
      <c r="N45" s="56">
        <f>'Monthly Electricity (Overview)'!AA123</f>
        <v>252644</v>
      </c>
      <c r="O45" s="56">
        <f>'Monthly Electricity (Overview)'!Z123</f>
        <v>351548</v>
      </c>
      <c r="P45" s="56">
        <f>'Monthly Electricity (Overview)'!Y123</f>
        <v>604192</v>
      </c>
      <c r="Q45" s="56">
        <f t="shared" si="1"/>
        <v>6766831</v>
      </c>
      <c r="R45" s="56">
        <f t="shared" si="0"/>
        <v>6712666</v>
      </c>
    </row>
    <row r="46" spans="1:18" ht="16" x14ac:dyDescent="0.2">
      <c r="A46" s="550">
        <v>45352</v>
      </c>
      <c r="B46" s="56">
        <f>SUM('Monthly Electricity (Overview)'!C124:D124)+SUM('Monthly Electricity (Overview)'!F124:H124)+SUM('Monthly Electricity (Overview)'!O124:Q124)</f>
        <v>3490692</v>
      </c>
      <c r="C46" s="56">
        <f>'Monthly Electricity (Overview)'!I124</f>
        <v>921046</v>
      </c>
      <c r="D46" s="56">
        <f>'Monthly Electricity (Overview)'!N124</f>
        <v>72772</v>
      </c>
      <c r="E46" s="56">
        <f>'Monthly Electricity (Overview)'!E124</f>
        <v>367021</v>
      </c>
      <c r="F46" s="56">
        <f>'Monthly Electricity (Overview)'!J124</f>
        <v>217900</v>
      </c>
      <c r="G46" s="56">
        <f>'Monthly Electricity (Overview)'!K124</f>
        <v>42295</v>
      </c>
      <c r="H46" s="56"/>
      <c r="I46" s="56">
        <f>'Monthly Electricity (Overview)'!S124</f>
        <v>5290</v>
      </c>
      <c r="J46" s="56"/>
      <c r="K46" s="56">
        <f>'Monthly Electricity (Overview)'!L124</f>
        <v>88712</v>
      </c>
      <c r="L46" s="14">
        <v>46664</v>
      </c>
      <c r="M46" s="56">
        <f>SUM('Monthly Electricity (Overview)'!U124:X124)+'Monthly Electricity (Overview)'!AD124</f>
        <v>854152</v>
      </c>
      <c r="N46" s="56">
        <f>'Monthly Electricity (Overview)'!AA124</f>
        <v>269197</v>
      </c>
      <c r="O46" s="56">
        <f>'Monthly Electricity (Overview)'!Z124</f>
        <v>350051</v>
      </c>
      <c r="P46" s="56">
        <f>'Monthly Electricity (Overview)'!Y124</f>
        <v>619248</v>
      </c>
      <c r="Q46" s="56">
        <f t="shared" si="1"/>
        <v>6725792</v>
      </c>
      <c r="R46" s="56">
        <f t="shared" si="0"/>
        <v>6679128</v>
      </c>
    </row>
    <row r="47" spans="1:18" ht="16" x14ac:dyDescent="0.2">
      <c r="A47" s="550">
        <v>45383</v>
      </c>
      <c r="B47" s="56">
        <f>SUM('Monthly Electricity (Overview)'!C125:D125)+SUM('Monthly Electricity (Overview)'!F125:H125)+SUM('Monthly Electricity (Overview)'!O125:Q125)</f>
        <v>4423922</v>
      </c>
      <c r="C47" s="56">
        <f>'Monthly Electricity (Overview)'!I125</f>
        <v>1608077</v>
      </c>
      <c r="D47" s="56">
        <f>'Monthly Electricity (Overview)'!N125</f>
        <v>116582</v>
      </c>
      <c r="E47" s="56">
        <f>'Monthly Electricity (Overview)'!E125</f>
        <v>452750</v>
      </c>
      <c r="F47" s="56">
        <f>'Monthly Electricity (Overview)'!J125</f>
        <v>248500</v>
      </c>
      <c r="G47" s="56">
        <f>'Monthly Electricity (Overview)'!K125</f>
        <v>48452</v>
      </c>
      <c r="H47" s="56"/>
      <c r="I47" s="56">
        <f>'Monthly Electricity (Overview)'!S125</f>
        <v>7974</v>
      </c>
      <c r="J47" s="56"/>
      <c r="K47" s="56">
        <f>'Monthly Electricity (Overview)'!L125</f>
        <v>116672</v>
      </c>
      <c r="L47" s="14">
        <v>76596</v>
      </c>
      <c r="M47" s="56">
        <f>SUM('Monthly Electricity (Overview)'!U125:X125)+'Monthly Electricity (Overview)'!AD125</f>
        <v>1273246</v>
      </c>
      <c r="N47" s="56">
        <f>'Monthly Electricity (Overview)'!AA125</f>
        <v>440626</v>
      </c>
      <c r="O47" s="56">
        <f>'Monthly Electricity (Overview)'!Z125</f>
        <v>399926</v>
      </c>
      <c r="P47" s="56">
        <f>'Monthly Electricity (Overview)'!Y125</f>
        <v>840552</v>
      </c>
      <c r="Q47" s="56">
        <f t="shared" si="1"/>
        <v>9213323</v>
      </c>
      <c r="R47" s="56">
        <f t="shared" si="0"/>
        <v>9136727</v>
      </c>
    </row>
    <row r="48" spans="1:18" ht="16" x14ac:dyDescent="0.2">
      <c r="A48" s="550">
        <v>45413</v>
      </c>
      <c r="B48" s="56">
        <f>SUM('Monthly Electricity (Overview)'!C126:D126)+SUM('Monthly Electricity (Overview)'!F126:H126)+SUM('Monthly Electricity (Overview)'!O126:Q126)</f>
        <v>3913685</v>
      </c>
      <c r="C48" s="56">
        <f>'Monthly Electricity (Overview)'!I126</f>
        <v>1626912</v>
      </c>
      <c r="D48" s="56">
        <f>'Monthly Electricity (Overview)'!N126</f>
        <v>101590</v>
      </c>
      <c r="E48" s="56">
        <f>'Monthly Electricity (Overview)'!E126</f>
        <v>410970</v>
      </c>
      <c r="F48" s="56">
        <f>'Monthly Electricity (Overview)'!J126</f>
        <v>231500</v>
      </c>
      <c r="G48" s="56">
        <f>'Monthly Electricity (Overview)'!K126</f>
        <v>42471</v>
      </c>
      <c r="H48" s="56"/>
      <c r="I48" s="56">
        <f>'Monthly Electricity (Overview)'!S126</f>
        <v>10102</v>
      </c>
      <c r="J48" s="56"/>
      <c r="K48" s="56">
        <f>'Monthly Electricity (Overview)'!L126</f>
        <v>113551</v>
      </c>
      <c r="L48" s="14">
        <v>69174</v>
      </c>
      <c r="M48" s="56">
        <f>SUM('Monthly Electricity (Overview)'!U126:X126)+'Monthly Electricity (Overview)'!AD126</f>
        <v>1308291</v>
      </c>
      <c r="N48" s="56">
        <f>'Monthly Electricity (Overview)'!AA126</f>
        <v>389597</v>
      </c>
      <c r="O48" s="56">
        <f>'Monthly Electricity (Overview)'!Z126</f>
        <v>380344</v>
      </c>
      <c r="P48" s="56">
        <f>'Monthly Electricity (Overview)'!Y126</f>
        <v>769941</v>
      </c>
      <c r="Q48" s="56">
        <f t="shared" si="1"/>
        <v>8598187</v>
      </c>
      <c r="R48" s="56">
        <f t="shared" si="0"/>
        <v>8529013</v>
      </c>
    </row>
    <row r="49" spans="1:18" ht="16" x14ac:dyDescent="0.2">
      <c r="A49" s="550">
        <v>45444</v>
      </c>
      <c r="B49" s="313">
        <f>SUM('Monthly Electricity (Overview)'!C127:D127)+SUM('Monthly Electricity (Overview)'!F127:H127)+SUM('Monthly Electricity (Overview)'!O127:Q127)</f>
        <v>3562315</v>
      </c>
      <c r="C49" s="313">
        <f>'Monthly Electricity (Overview)'!I127</f>
        <v>2083326</v>
      </c>
      <c r="D49" s="313">
        <f>'Monthly Electricity (Overview)'!N127</f>
        <v>166930</v>
      </c>
      <c r="E49" s="313">
        <f>'Monthly Electricity (Overview)'!E127</f>
        <v>396960</v>
      </c>
      <c r="F49" s="313">
        <f>'Monthly Electricity (Overview)'!J127</f>
        <v>211700</v>
      </c>
      <c r="G49" s="313">
        <f>'Monthly Electricity (Overview)'!K127</f>
        <v>59734</v>
      </c>
      <c r="H49" s="313"/>
      <c r="I49" s="313">
        <f>'Monthly Electricity (Overview)'!S127</f>
        <v>10738</v>
      </c>
      <c r="J49" s="313"/>
      <c r="K49" s="313">
        <f>'Monthly Electricity (Overview)'!L127</f>
        <v>167321</v>
      </c>
      <c r="L49" s="314">
        <v>89300</v>
      </c>
      <c r="M49" s="313">
        <f>SUM('Monthly Electricity (Overview)'!U127:X127)+'Monthly Electricity (Overview)'!AD127</f>
        <v>1222168</v>
      </c>
      <c r="N49" s="313">
        <f>'Monthly Electricity (Overview)'!AA127</f>
        <v>545833</v>
      </c>
      <c r="O49" s="313">
        <f>'Monthly Electricity (Overview)'!Z127</f>
        <v>335002</v>
      </c>
      <c r="P49" s="313">
        <f>'Monthly Electricity (Overview)'!Y127</f>
        <v>880835</v>
      </c>
      <c r="Q49" s="313">
        <f t="shared" si="1"/>
        <v>8851327</v>
      </c>
      <c r="R49" s="313">
        <f t="shared" si="0"/>
        <v>8762027</v>
      </c>
    </row>
    <row r="50" spans="1:18" ht="16" x14ac:dyDescent="0.2">
      <c r="A50" s="551">
        <v>45474</v>
      </c>
      <c r="B50" s="56">
        <f>SUM('Monthly Electricity (Overview)'!C128:D128)+SUM('Monthly Electricity (Overview)'!F128:H128)+SUM('Monthly Electricity (Overview)'!O128:Q128)</f>
        <v>4315786</v>
      </c>
      <c r="C50" s="56">
        <f>'Monthly Electricity (Overview)'!I128</f>
        <v>2536101</v>
      </c>
      <c r="D50" s="56">
        <f>'Monthly Electricity (Overview)'!N128</f>
        <v>146460</v>
      </c>
      <c r="E50" s="56">
        <f>'Monthly Electricity (Overview)'!E128</f>
        <v>452350</v>
      </c>
      <c r="F50" s="56">
        <f>'Monthly Electricity (Overview)'!J128</f>
        <v>242000</v>
      </c>
      <c r="G50" s="56">
        <f>'Monthly Electricity (Overview)'!K128</f>
        <v>49635</v>
      </c>
      <c r="H50" s="56"/>
      <c r="I50" s="56">
        <f>'Monthly Electricity (Overview)'!S128</f>
        <v>12602</v>
      </c>
      <c r="J50" s="56">
        <f>'Monthly Electricity (Overview)'!T128</f>
        <v>0</v>
      </c>
      <c r="K50" s="56">
        <f>'Monthly Electricity (Overview)'!L128</f>
        <v>148622</v>
      </c>
      <c r="L50" s="56">
        <v>96675</v>
      </c>
      <c r="M50" s="56">
        <f>SUM('Monthly Electricity (Overview)'!U128:X128)+'Monthly Electricity (Overview)'!AD128</f>
        <v>1489580</v>
      </c>
      <c r="N50" s="56">
        <f>'Monthly Electricity (Overview)'!AA128</f>
        <v>698723</v>
      </c>
      <c r="O50" s="56">
        <f>'Monthly Electricity (Overview)'!Z128</f>
        <v>365544</v>
      </c>
      <c r="P50" s="56">
        <f>'Monthly Electricity (Overview)'!Y128</f>
        <v>1064267</v>
      </c>
      <c r="Q50" s="56">
        <f>SUM(B50:P50)-P50</f>
        <v>10554078</v>
      </c>
      <c r="R50" s="56">
        <f>SUM(B50:O50)-L50</f>
        <v>10457403</v>
      </c>
    </row>
    <row r="51" spans="1:18" ht="16" x14ac:dyDescent="0.2">
      <c r="A51" s="551">
        <v>45505</v>
      </c>
      <c r="B51" s="56">
        <f>SUM('Monthly Electricity (Overview)'!C129:D129)+SUM('Monthly Electricity (Overview)'!F129:H129)+SUM('Monthly Electricity (Overview)'!O129:Q129)</f>
        <v>4038667</v>
      </c>
      <c r="C51" s="56">
        <f>'Monthly Electricity (Overview)'!I129</f>
        <v>2339192</v>
      </c>
      <c r="D51" s="56">
        <f>'Monthly Electricity (Overview)'!N129</f>
        <v>171979</v>
      </c>
      <c r="E51" s="56">
        <f>'Monthly Electricity (Overview)'!E129</f>
        <v>430560</v>
      </c>
      <c r="F51" s="56">
        <f>'Monthly Electricity (Overview)'!J129</f>
        <v>245100</v>
      </c>
      <c r="G51" s="56">
        <f>'Monthly Electricity (Overview)'!K129</f>
        <v>56920</v>
      </c>
      <c r="H51" s="56"/>
      <c r="I51" s="56">
        <f>'Monthly Electricity (Overview)'!S129</f>
        <v>12862</v>
      </c>
      <c r="J51" s="56">
        <f>'Monthly Electricity (Overview)'!T129</f>
        <v>0</v>
      </c>
      <c r="K51" s="56">
        <f>'Monthly Electricity (Overview)'!L129</f>
        <v>181289</v>
      </c>
      <c r="L51" s="56">
        <v>102262</v>
      </c>
      <c r="M51" s="56">
        <f>SUM('Monthly Electricity (Overview)'!U129:X129)+'Monthly Electricity (Overview)'!AD129</f>
        <v>1382991</v>
      </c>
      <c r="N51" s="56">
        <f>'Monthly Electricity (Overview)'!AA129</f>
        <v>655351</v>
      </c>
      <c r="O51" s="56">
        <f>'Monthly Electricity (Overview)'!Z129</f>
        <v>369772</v>
      </c>
      <c r="P51" s="56">
        <f>'Monthly Electricity (Overview)'!Y129</f>
        <v>1025123</v>
      </c>
      <c r="Q51" s="56">
        <f t="shared" ref="Q51:Q64" si="2">SUM(B51:P51)-P51</f>
        <v>9986945</v>
      </c>
      <c r="R51" s="56">
        <f t="shared" ref="R51:R61" si="3">SUM(B51:O51)-L51</f>
        <v>9884683</v>
      </c>
    </row>
    <row r="52" spans="1:18" ht="16" x14ac:dyDescent="0.2">
      <c r="A52" s="551">
        <v>45536</v>
      </c>
      <c r="B52" s="56">
        <f>SUM('Monthly Electricity (Overview)'!C130:D130)+SUM('Monthly Electricity (Overview)'!F130:H130)+SUM('Monthly Electricity (Overview)'!O130:Q130)</f>
        <v>4312478</v>
      </c>
      <c r="C52" s="56">
        <f>'Monthly Electricity (Overview)'!I130</f>
        <v>2259366</v>
      </c>
      <c r="D52" s="56">
        <f>'Monthly Electricity (Overview)'!N130</f>
        <v>166126</v>
      </c>
      <c r="E52" s="56">
        <f>'Monthly Electricity (Overview)'!E130</f>
        <v>411230</v>
      </c>
      <c r="F52" s="56">
        <f>'Monthly Electricity (Overview)'!J130</f>
        <v>247100</v>
      </c>
      <c r="G52" s="56">
        <f>'Monthly Electricity (Overview)'!K130</f>
        <v>52628</v>
      </c>
      <c r="H52" s="56"/>
      <c r="I52" s="56">
        <f>'Monthly Electricity (Overview)'!S130</f>
        <v>15342</v>
      </c>
      <c r="J52" s="56">
        <f>'Monthly Electricity (Overview)'!T130</f>
        <v>0</v>
      </c>
      <c r="K52" s="56">
        <f>'Monthly Electricity (Overview)'!L130</f>
        <v>163882</v>
      </c>
      <c r="L52" s="56">
        <v>94188</v>
      </c>
      <c r="M52" s="56">
        <f>SUM('Monthly Electricity (Overview)'!U130:X130)+'Monthly Electricity (Overview)'!AD130</f>
        <v>1637729</v>
      </c>
      <c r="N52" s="56">
        <f>'Monthly Electricity (Overview)'!AA130</f>
        <v>638681</v>
      </c>
      <c r="O52" s="56">
        <f>'Monthly Electricity (Overview)'!Z130</f>
        <v>418704</v>
      </c>
      <c r="P52" s="56">
        <f>'Monthly Electricity (Overview)'!Y130</f>
        <v>1057385</v>
      </c>
      <c r="Q52" s="56">
        <f t="shared" si="2"/>
        <v>10417454</v>
      </c>
      <c r="R52" s="56">
        <f t="shared" si="3"/>
        <v>10323266</v>
      </c>
    </row>
    <row r="53" spans="1:18" ht="16" x14ac:dyDescent="0.2">
      <c r="A53" s="551">
        <v>45566</v>
      </c>
      <c r="B53" s="56">
        <f>SUM('Monthly Electricity (Overview)'!C131:D131)+SUM('Monthly Electricity (Overview)'!F131:H131)+SUM('Monthly Electricity (Overview)'!O131:Q131)</f>
        <v>4180749</v>
      </c>
      <c r="C53" s="56">
        <f>'Monthly Electricity (Overview)'!I131</f>
        <v>1681166</v>
      </c>
      <c r="D53" s="56">
        <f>'Monthly Electricity (Overview)'!N131</f>
        <v>120288</v>
      </c>
      <c r="E53" s="56">
        <f>'Monthly Electricity (Overview)'!E131</f>
        <v>410000</v>
      </c>
      <c r="F53" s="56">
        <f>'Monthly Electricity (Overview)'!J131</f>
        <v>251900</v>
      </c>
      <c r="G53" s="56">
        <f>'Monthly Electricity (Overview)'!K131</f>
        <v>45340</v>
      </c>
      <c r="H53" s="56"/>
      <c r="I53" s="56">
        <f>'Monthly Electricity (Overview)'!S131</f>
        <v>12002</v>
      </c>
      <c r="J53" s="56">
        <f>'Monthly Electricity (Overview)'!T131</f>
        <v>0</v>
      </c>
      <c r="K53" s="56">
        <f>'Monthly Electricity (Overview)'!L131</f>
        <v>117930</v>
      </c>
      <c r="L53" s="56">
        <v>74174</v>
      </c>
      <c r="M53" s="56">
        <f>SUM('Monthly Electricity (Overview)'!U131:X131)+'Monthly Electricity (Overview)'!AD131</f>
        <v>1326153</v>
      </c>
      <c r="N53" s="56">
        <f>'Monthly Electricity (Overview)'!AA131</f>
        <v>422468</v>
      </c>
      <c r="O53" s="56">
        <f>'Monthly Electricity (Overview)'!Z131</f>
        <v>413057</v>
      </c>
      <c r="P53" s="56">
        <f>'Monthly Electricity (Overview)'!Y131</f>
        <v>835525</v>
      </c>
      <c r="Q53" s="56">
        <f t="shared" si="2"/>
        <v>9055227</v>
      </c>
      <c r="R53" s="56">
        <f t="shared" si="3"/>
        <v>8981053</v>
      </c>
    </row>
    <row r="54" spans="1:18" ht="16" x14ac:dyDescent="0.2">
      <c r="A54" s="551">
        <v>45597</v>
      </c>
      <c r="B54" s="56">
        <f>SUM('Monthly Electricity (Overview)'!C132:D132)+SUM('Monthly Electricity (Overview)'!F132:H132)+SUM('Monthly Electricity (Overview)'!O132:Q132)</f>
        <v>4486491</v>
      </c>
      <c r="C54" s="56">
        <f>'Monthly Electricity (Overview)'!I132</f>
        <v>1208974</v>
      </c>
      <c r="D54" s="56">
        <f>'Monthly Electricity (Overview)'!N132</f>
        <v>108966</v>
      </c>
      <c r="E54" s="56">
        <f>'Monthly Electricity (Overview)'!E132</f>
        <v>386500</v>
      </c>
      <c r="F54" s="56">
        <f>'Monthly Electricity (Overview)'!J132</f>
        <v>241600</v>
      </c>
      <c r="G54" s="56">
        <f>'Monthly Electricity (Overview)'!K132</f>
        <v>54146</v>
      </c>
      <c r="H54" s="56"/>
      <c r="I54" s="56">
        <f>'Monthly Electricity (Overview)'!S132</f>
        <v>5447</v>
      </c>
      <c r="J54" s="56">
        <f>'Monthly Electricity (Overview)'!T132</f>
        <v>0</v>
      </c>
      <c r="K54" s="56">
        <f>'Monthly Electricity (Overview)'!L132</f>
        <v>116907</v>
      </c>
      <c r="L54" s="56">
        <v>69509</v>
      </c>
      <c r="M54" s="56">
        <f>SUM('Monthly Electricity (Overview)'!U132:X132)+'Monthly Electricity (Overview)'!AD132</f>
        <v>1050654</v>
      </c>
      <c r="N54" s="56">
        <f>'Monthly Electricity (Overview)'!AA132</f>
        <v>294258</v>
      </c>
      <c r="O54" s="56">
        <f>'Monthly Electricity (Overview)'!Z132</f>
        <v>402470</v>
      </c>
      <c r="P54" s="56">
        <f>'Monthly Electricity (Overview)'!Y132</f>
        <v>696728</v>
      </c>
      <c r="Q54" s="56">
        <f t="shared" si="2"/>
        <v>8425922</v>
      </c>
      <c r="R54" s="56">
        <f t="shared" si="3"/>
        <v>8356413</v>
      </c>
    </row>
    <row r="55" spans="1:18" ht="16" x14ac:dyDescent="0.2">
      <c r="A55" s="551">
        <v>45627</v>
      </c>
      <c r="B55" s="56">
        <f>SUM('Monthly Electricity (Overview)'!C133:D133)+SUM('Monthly Electricity (Overview)'!F133:H133)+SUM('Monthly Electricity (Overview)'!O133:Q133)</f>
        <v>4283226</v>
      </c>
      <c r="C55" s="56">
        <f>'Monthly Electricity (Overview)'!I133</f>
        <v>668561</v>
      </c>
      <c r="D55" s="56">
        <f>'Monthly Electricity (Overview)'!N133</f>
        <v>47641</v>
      </c>
      <c r="E55" s="56">
        <f>'Monthly Electricity (Overview)'!E133</f>
        <v>439800</v>
      </c>
      <c r="F55" s="56">
        <f>'Monthly Electricity (Overview)'!J133</f>
        <v>261300</v>
      </c>
      <c r="G55" s="56">
        <f>'Monthly Electricity (Overview)'!K133</f>
        <v>39693</v>
      </c>
      <c r="H55" s="56"/>
      <c r="I55" s="56">
        <f>'Monthly Electricity (Overview)'!S133</f>
        <v>9029</v>
      </c>
      <c r="J55" s="56">
        <f>'Monthly Electricity (Overview)'!T133</f>
        <v>37973</v>
      </c>
      <c r="K55" s="56">
        <f>'Monthly Electricity (Overview)'!L133</f>
        <v>75231</v>
      </c>
      <c r="L55" s="56">
        <v>42277</v>
      </c>
      <c r="M55" s="56">
        <f>SUM('Monthly Electricity (Overview)'!U133:X133)+'Monthly Electricity (Overview)'!AD133</f>
        <v>807015</v>
      </c>
      <c r="N55" s="56">
        <f>'Monthly Electricity (Overview)'!AA133</f>
        <v>248724</v>
      </c>
      <c r="O55" s="56">
        <f>'Monthly Electricity (Overview)'!Z133</f>
        <v>386220</v>
      </c>
      <c r="P55" s="56">
        <f>'Monthly Electricity (Overview)'!Y133</f>
        <v>634944</v>
      </c>
      <c r="Q55" s="56">
        <f t="shared" si="2"/>
        <v>7346690</v>
      </c>
      <c r="R55" s="56">
        <f t="shared" si="3"/>
        <v>7304413</v>
      </c>
    </row>
    <row r="56" spans="1:18" ht="16" x14ac:dyDescent="0.2">
      <c r="A56" s="552">
        <v>45658</v>
      </c>
      <c r="B56" s="56">
        <f>SUM('Monthly Electricity (Overview)'!C134:D134)+SUM('Monthly Electricity (Overview)'!F134:H134)+SUM('Monthly Electricity (Overview)'!O134:Q134)</f>
        <v>3980431</v>
      </c>
      <c r="C56" s="56">
        <f>'Monthly Electricity (Overview)'!I134</f>
        <v>529555</v>
      </c>
      <c r="D56" s="56">
        <f>'Monthly Electricity (Overview)'!N134</f>
        <v>51613</v>
      </c>
      <c r="E56" s="56">
        <f>'Monthly Electricity (Overview)'!E134</f>
        <v>373437</v>
      </c>
      <c r="F56" s="56">
        <f>'Monthly Electricity (Overview)'!J134</f>
        <v>214600</v>
      </c>
      <c r="G56" s="56">
        <f>'Monthly Electricity (Overview)'!K134</f>
        <v>47528</v>
      </c>
      <c r="H56" s="56"/>
      <c r="I56" s="56">
        <f>'Monthly Electricity (Overview)'!S134</f>
        <v>10237</v>
      </c>
      <c r="J56" s="56">
        <f>'Monthly Electricity (Overview)'!T134</f>
        <v>28831</v>
      </c>
      <c r="K56" s="56">
        <f>'Monthly Electricity (Overview)'!L134</f>
        <v>83004</v>
      </c>
      <c r="L56" s="56">
        <v>42652</v>
      </c>
      <c r="M56" s="56">
        <f>SUM('Monthly Electricity (Overview)'!U134:X134)+'Monthly Electricity (Overview)'!AD134</f>
        <v>612893</v>
      </c>
      <c r="N56" s="56">
        <f>'Monthly Electricity (Overview)'!AA134</f>
        <v>211046</v>
      </c>
      <c r="O56" s="56">
        <f>'Monthly Electricity (Overview)'!Z134</f>
        <v>369287</v>
      </c>
      <c r="P56" s="56">
        <f>'Monthly Electricity (Overview)'!Y134</f>
        <v>580333</v>
      </c>
      <c r="Q56" s="56">
        <f t="shared" si="2"/>
        <v>6555114</v>
      </c>
      <c r="R56" s="56">
        <f>SUM(B56:O56)-L56</f>
        <v>6512462</v>
      </c>
    </row>
    <row r="57" spans="1:18" ht="16" x14ac:dyDescent="0.2">
      <c r="A57" s="552">
        <v>45689</v>
      </c>
      <c r="B57" s="56">
        <f>SUM('Monthly Electricity (Overview)'!C135:D135)+SUM('Monthly Electricity (Overview)'!F135:H135)+SUM('Monthly Electricity (Overview)'!O135:Q135)</f>
        <v>4304728</v>
      </c>
      <c r="C57" s="56">
        <f>'Monthly Electricity (Overview)'!I135</f>
        <v>522670</v>
      </c>
      <c r="D57" s="56">
        <f>'Monthly Electricity (Overview)'!N135</f>
        <v>48514</v>
      </c>
      <c r="E57" s="56">
        <f>'Monthly Electricity (Overview)'!E135</f>
        <v>416863</v>
      </c>
      <c r="F57" s="56">
        <f>'Monthly Electricity (Overview)'!J135</f>
        <v>253800</v>
      </c>
      <c r="G57" s="56">
        <f>'Monthly Electricity (Overview)'!K135</f>
        <v>46126</v>
      </c>
      <c r="H57" s="56"/>
      <c r="I57" s="56">
        <f>'Monthly Electricity (Overview)'!S135</f>
        <v>10191</v>
      </c>
      <c r="J57" s="56">
        <f>'Monthly Electricity (Overview)'!T135</f>
        <v>37593</v>
      </c>
      <c r="K57" s="56">
        <f>'Monthly Electricity (Overview)'!L135</f>
        <v>79071</v>
      </c>
      <c r="L57" s="56">
        <v>46317</v>
      </c>
      <c r="M57" s="56">
        <f>SUM('Monthly Electricity (Overview)'!U135:X135)+'Monthly Electricity (Overview)'!AD135</f>
        <v>792669</v>
      </c>
      <c r="N57" s="56">
        <f>'Monthly Electricity (Overview)'!AA135</f>
        <v>290822</v>
      </c>
      <c r="O57" s="56">
        <f>'Monthly Electricity (Overview)'!Z135</f>
        <v>387630</v>
      </c>
      <c r="P57" s="56">
        <f>'Monthly Electricity (Overview)'!Y135</f>
        <v>678452</v>
      </c>
      <c r="Q57" s="56">
        <f t="shared" si="2"/>
        <v>7236994</v>
      </c>
      <c r="R57" s="56">
        <f t="shared" si="3"/>
        <v>7190677</v>
      </c>
    </row>
    <row r="58" spans="1:18" ht="16" x14ac:dyDescent="0.2">
      <c r="A58" s="552">
        <v>45717</v>
      </c>
      <c r="B58" s="56">
        <f>SUM('Monthly Electricity (Overview)'!C136:D136)+SUM('Monthly Electricity (Overview)'!F136:H136)+SUM('Monthly Electricity (Overview)'!O136:Q136)</f>
        <v>3926483</v>
      </c>
      <c r="C58" s="56">
        <f>'Monthly Electricity (Overview)'!I136</f>
        <v>869960</v>
      </c>
      <c r="D58" s="56">
        <f>'Monthly Electricity (Overview)'!N136</f>
        <v>66365</v>
      </c>
      <c r="E58" s="56">
        <f>'Monthly Electricity (Overview)'!E136</f>
        <v>380900</v>
      </c>
      <c r="F58" s="56">
        <f>'Monthly Electricity (Overview)'!J136</f>
        <v>224600</v>
      </c>
      <c r="G58" s="56">
        <f>'Monthly Electricity (Overview)'!K136</f>
        <v>44236</v>
      </c>
      <c r="H58" s="56"/>
      <c r="I58" s="56">
        <f>'Monthly Electricity (Overview)'!S136</f>
        <v>5290</v>
      </c>
      <c r="J58" s="56">
        <f>'Monthly Electricity (Overview)'!T136</f>
        <v>21570</v>
      </c>
      <c r="K58" s="56">
        <f>'Monthly Electricity (Overview)'!L136</f>
        <v>76787</v>
      </c>
      <c r="L58" s="56">
        <v>40747</v>
      </c>
      <c r="M58" s="56">
        <f>SUM('Monthly Electricity (Overview)'!U136:X136)+'Monthly Electricity (Overview)'!AD136</f>
        <v>833894</v>
      </c>
      <c r="N58" s="56">
        <f>'Monthly Electricity (Overview)'!AA136</f>
        <v>260659</v>
      </c>
      <c r="O58" s="56">
        <f>'Monthly Electricity (Overview)'!Z136</f>
        <v>377349</v>
      </c>
      <c r="P58" s="56">
        <f>'Monthly Electricity (Overview)'!Y136</f>
        <v>638008</v>
      </c>
      <c r="Q58" s="56">
        <f t="shared" si="2"/>
        <v>7128840</v>
      </c>
      <c r="R58" s="56">
        <f t="shared" si="3"/>
        <v>7088093</v>
      </c>
    </row>
    <row r="59" spans="1:18" ht="16" x14ac:dyDescent="0.2">
      <c r="A59" s="552">
        <v>45748</v>
      </c>
      <c r="B59" s="56">
        <f>SUM('Monthly Electricity (Overview)'!C137:D137)+SUM('Monthly Electricity (Overview)'!F137:H137)+SUM('Monthly Electricity (Overview)'!O137:Q137)</f>
        <v>4831220</v>
      </c>
      <c r="C59" s="56">
        <f>'Monthly Electricity (Overview)'!I137</f>
        <v>1232583</v>
      </c>
      <c r="D59" s="56">
        <f>'Monthly Electricity (Overview)'!N137</f>
        <v>81173</v>
      </c>
      <c r="E59" s="56">
        <f>'Monthly Electricity (Overview)'!E137</f>
        <v>428000</v>
      </c>
      <c r="F59" s="56">
        <f>'Monthly Electricity (Overview)'!J137</f>
        <v>256600</v>
      </c>
      <c r="G59" s="56">
        <f>'Monthly Electricity (Overview)'!K137</f>
        <v>46949</v>
      </c>
      <c r="H59" s="56"/>
      <c r="I59" s="56">
        <f>'Monthly Electricity (Overview)'!S137</f>
        <v>14747</v>
      </c>
      <c r="J59" s="56">
        <f>'Monthly Electricity (Overview)'!T137</f>
        <v>21570</v>
      </c>
      <c r="K59" s="56">
        <f>'Monthly Electricity (Overview)'!L137</f>
        <v>86079</v>
      </c>
      <c r="L59" s="56">
        <v>59308</v>
      </c>
      <c r="M59" s="56">
        <f>SUM('Monthly Electricity (Overview)'!U137:X137)+'Monthly Electricity (Overview)'!AD137</f>
        <v>1053361</v>
      </c>
      <c r="N59" s="56">
        <f>'Monthly Electricity (Overview)'!AA137</f>
        <v>347588</v>
      </c>
      <c r="O59" s="56">
        <f>'Monthly Electricity (Overview)'!Z137</f>
        <v>427060</v>
      </c>
      <c r="P59" s="56">
        <f>'Monthly Electricity (Overview)'!Y137</f>
        <v>774648</v>
      </c>
      <c r="Q59" s="56">
        <f t="shared" si="2"/>
        <v>8886238</v>
      </c>
      <c r="R59" s="56">
        <f t="shared" si="3"/>
        <v>8826930</v>
      </c>
    </row>
    <row r="60" spans="1:18" ht="16" x14ac:dyDescent="0.2">
      <c r="A60" s="552">
        <v>45778</v>
      </c>
      <c r="B60" s="56">
        <f>SUM('Monthly Electricity (Overview)'!C138:D138)+SUM('Monthly Electricity (Overview)'!F138:H138)+SUM('Monthly Electricity (Overview)'!O138:Q138)</f>
        <v>4236902</v>
      </c>
      <c r="C60" s="56">
        <f>'Monthly Electricity (Overview)'!I138</f>
        <v>1887473</v>
      </c>
      <c r="D60" s="56">
        <f>'Monthly Electricity (Overview)'!N138</f>
        <v>145549</v>
      </c>
      <c r="E60" s="56">
        <f>'Monthly Electricity (Overview)'!E138</f>
        <v>398200</v>
      </c>
      <c r="F60" s="56">
        <f>'Monthly Electricity (Overview)'!J138</f>
        <v>234700</v>
      </c>
      <c r="G60" s="56">
        <f>'Monthly Electricity (Overview)'!K138</f>
        <v>57670</v>
      </c>
      <c r="H60" s="56"/>
      <c r="I60" s="56">
        <f>'Monthly Electricity (Overview)'!S138</f>
        <v>35670</v>
      </c>
      <c r="J60" s="56">
        <f>'Monthly Electricity (Overview)'!T138</f>
        <v>22289</v>
      </c>
      <c r="K60" s="56">
        <f>'Monthly Electricity (Overview)'!L138</f>
        <v>128987</v>
      </c>
      <c r="L60" s="56">
        <v>69996</v>
      </c>
      <c r="M60" s="56">
        <f>SUM('Monthly Electricity (Overview)'!U138:X138)+'Monthly Electricity (Overview)'!AD138</f>
        <v>1376516</v>
      </c>
      <c r="N60" s="56">
        <f>'Monthly Electricity (Overview)'!AA138</f>
        <v>465268</v>
      </c>
      <c r="O60" s="56">
        <f>'Monthly Electricity (Overview)'!Z138</f>
        <v>404853</v>
      </c>
      <c r="P60" s="56">
        <f>'Monthly Electricity (Overview)'!Y138</f>
        <v>870121</v>
      </c>
      <c r="Q60" s="56">
        <f t="shared" si="2"/>
        <v>9464073</v>
      </c>
      <c r="R60" s="56">
        <f t="shared" si="3"/>
        <v>9394077</v>
      </c>
    </row>
    <row r="61" spans="1:18" ht="16" x14ac:dyDescent="0.2">
      <c r="A61" s="552">
        <v>45809</v>
      </c>
      <c r="B61" s="313">
        <f>SUM('Monthly Electricity (Overview)'!C139:D139)+SUM('Monthly Electricity (Overview)'!F139:H139)+SUM('Monthly Electricity (Overview)'!O139:Q139)</f>
        <v>4515871</v>
      </c>
      <c r="C61" s="313">
        <f>'Monthly Electricity (Overview)'!I139</f>
        <v>2251997</v>
      </c>
      <c r="D61" s="313">
        <f>'Monthly Electricity (Overview)'!N139</f>
        <v>189802</v>
      </c>
      <c r="E61" s="313">
        <f>'Monthly Electricity (Overview)'!E139</f>
        <v>403500</v>
      </c>
      <c r="F61" s="313">
        <f>'Monthly Electricity (Overview)'!J139</f>
        <v>231300</v>
      </c>
      <c r="G61" s="313">
        <f>'Monthly Electricity (Overview)'!K139</f>
        <v>56296</v>
      </c>
      <c r="H61" s="313"/>
      <c r="I61" s="313">
        <f>'Monthly Electricity (Overview)'!S139</f>
        <v>36406</v>
      </c>
      <c r="J61" s="313">
        <f>'Monthly Electricity (Overview)'!T139</f>
        <v>21570</v>
      </c>
      <c r="K61" s="313">
        <f>'Monthly Electricity (Overview)'!L139</f>
        <v>128696</v>
      </c>
      <c r="L61" s="313">
        <v>80365</v>
      </c>
      <c r="M61" s="313">
        <f>SUM('Monthly Electricity (Overview)'!U139:X139)+'Monthly Electricity (Overview)'!AD139</f>
        <v>1303683</v>
      </c>
      <c r="N61" s="313">
        <f>'Monthly Electricity (Overview)'!AA139</f>
        <v>585012</v>
      </c>
      <c r="O61" s="313">
        <f>'Monthly Electricity (Overview)'!Z139</f>
        <v>375997</v>
      </c>
      <c r="P61" s="313">
        <f>'Monthly Electricity (Overview)'!Y139</f>
        <v>961009</v>
      </c>
      <c r="Q61" s="313">
        <f t="shared" si="2"/>
        <v>10180495</v>
      </c>
      <c r="R61" s="313">
        <f t="shared" si="3"/>
        <v>10100130</v>
      </c>
    </row>
    <row r="62" spans="1:18" ht="15.75" customHeight="1" x14ac:dyDescent="0.2">
      <c r="A62" s="552">
        <v>45839</v>
      </c>
      <c r="B62" s="56">
        <f>SUM('Monthly Electricity (Overview)'!C140:D140)+SUM('Monthly Electricity (Overview)'!F140:H140)+SUM('Monthly Electricity (Overview)'!O140:Q140)</f>
        <v>4222820</v>
      </c>
      <c r="C62" s="56">
        <f>'Monthly Electricity (Overview)'!I140</f>
        <v>2504159</v>
      </c>
      <c r="D62" s="56">
        <f>'Monthly Electricity (Overview)'!N140</f>
        <v>265504</v>
      </c>
      <c r="E62" s="56">
        <f>'Monthly Electricity (Overview)'!E140</f>
        <v>413100</v>
      </c>
      <c r="F62" s="56">
        <f>'Monthly Electricity (Overview)'!J140</f>
        <v>221700</v>
      </c>
      <c r="G62" s="56">
        <f>'Monthly Electricity (Overview)'!K140</f>
        <v>68672</v>
      </c>
      <c r="H62" s="56">
        <f>'Monthly Electricity (Overview)'!R140</f>
        <v>0</v>
      </c>
      <c r="I62" s="56">
        <f>'Monthly Electricity (Overview)'!S140</f>
        <v>29939</v>
      </c>
      <c r="J62" s="56">
        <f>'Monthly Electricity (Overview)'!T140</f>
        <v>22289</v>
      </c>
      <c r="K62" s="56">
        <f>'Monthly Electricity (Overview)'!L140</f>
        <v>145108</v>
      </c>
      <c r="L62" s="56"/>
      <c r="M62" s="56">
        <f>SUM('Monthly Electricity (Overview)'!U140:X140)+'Monthly Electricity (Overview)'!AD140</f>
        <v>1429657</v>
      </c>
      <c r="N62" s="56">
        <f>'Monthly Electricity (Overview)'!AA140</f>
        <v>617583</v>
      </c>
      <c r="O62" s="56">
        <f>'Monthly Electricity (Overview)'!Z140</f>
        <v>362265</v>
      </c>
      <c r="P62" s="56">
        <f>'Monthly Electricity (Overview)'!Y140</f>
        <v>979848</v>
      </c>
      <c r="Q62" s="56">
        <f t="shared" si="2"/>
        <v>10302796</v>
      </c>
      <c r="R62" s="56">
        <f>SUM(B62:O62)</f>
        <v>10302796</v>
      </c>
    </row>
    <row r="63" spans="1:18" ht="15.75" customHeight="1" x14ac:dyDescent="0.2">
      <c r="A63" s="552">
        <v>45870</v>
      </c>
      <c r="B63" s="56">
        <f>SUM('Monthly Electricity (Overview)'!C141:D141)+SUM('Monthly Electricity (Overview)'!F141:H141)+SUM('Monthly Electricity (Overview)'!O141:Q141)</f>
        <v>4271993</v>
      </c>
      <c r="C63" s="56">
        <f>'Monthly Electricity (Overview)'!I141</f>
        <v>2414329</v>
      </c>
      <c r="D63" s="56">
        <f>'Monthly Electricity (Overview)'!N141</f>
        <v>300733</v>
      </c>
      <c r="E63" s="56">
        <f>'Monthly Electricity (Overview)'!E141</f>
        <v>404500</v>
      </c>
      <c r="F63" s="56">
        <f>'Monthly Electricity (Overview)'!J141</f>
        <v>222500</v>
      </c>
      <c r="G63" s="56">
        <f>'Monthly Electricity (Overview)'!K141</f>
        <v>77608</v>
      </c>
      <c r="H63" s="56">
        <f>'Monthly Electricity (Overview)'!R141</f>
        <v>6228</v>
      </c>
      <c r="I63" s="56">
        <f>'Monthly Electricity (Overview)'!S141</f>
        <v>26544</v>
      </c>
      <c r="J63" s="56">
        <f>'Monthly Electricity (Overview)'!T141</f>
        <v>23886</v>
      </c>
      <c r="K63" s="56">
        <f>'Monthly Electricity (Overview)'!L141</f>
        <v>173834</v>
      </c>
      <c r="L63" s="56"/>
      <c r="M63" s="56">
        <f>SUM('Monthly Electricity (Overview)'!U141:X141)+'Monthly Electricity (Overview)'!AD141</f>
        <v>1277515</v>
      </c>
      <c r="N63" s="56">
        <f>'Monthly Electricity (Overview)'!AA141</f>
        <v>567769</v>
      </c>
      <c r="O63" s="56">
        <f>'Monthly Electricity (Overview)'!Z141</f>
        <v>378878</v>
      </c>
      <c r="P63" s="56">
        <f>'Monthly Electricity (Overview)'!Y141</f>
        <v>946647</v>
      </c>
      <c r="Q63" s="56">
        <f t="shared" si="2"/>
        <v>10146317</v>
      </c>
      <c r="R63" s="56">
        <f t="shared" ref="R63:R64" si="4">SUM(B63:O63)</f>
        <v>10146317</v>
      </c>
    </row>
    <row r="64" spans="1:18" ht="15.75" customHeight="1" x14ac:dyDescent="0.2">
      <c r="A64" s="552">
        <v>45901</v>
      </c>
      <c r="B64" s="56">
        <f>SUM('Monthly Electricity (Overview)'!C142:D142)+SUM('Monthly Electricity (Overview)'!F142:H142)+SUM('Monthly Electricity (Overview)'!O142:Q142)</f>
        <v>5010518</v>
      </c>
      <c r="C64" s="56">
        <f>'Monthly Electricity (Overview)'!I142</f>
        <v>2405351</v>
      </c>
      <c r="D64" s="56">
        <f>'Monthly Electricity (Overview)'!N142</f>
        <v>268527</v>
      </c>
      <c r="E64" s="56">
        <f>'Monthly Electricity (Overview)'!E142</f>
        <v>440900</v>
      </c>
      <c r="F64" s="56">
        <f>'Monthly Electricity (Overview)'!J142</f>
        <v>243800</v>
      </c>
      <c r="G64" s="56">
        <f>'Monthly Electricity (Overview)'!K142</f>
        <v>66523</v>
      </c>
      <c r="H64" s="56">
        <f>'Monthly Electricity (Overview)'!R142</f>
        <v>17858</v>
      </c>
      <c r="I64" s="56">
        <f>'Monthly Electricity (Overview)'!S142</f>
        <v>35372</v>
      </c>
      <c r="J64" s="56">
        <f>'Monthly Electricity (Overview)'!T142</f>
        <v>35948</v>
      </c>
      <c r="K64" s="56">
        <f>'Monthly Electricity (Overview)'!L142</f>
        <v>142935</v>
      </c>
      <c r="L64" s="56"/>
      <c r="M64" s="56">
        <f>SUM('Monthly Electricity (Overview)'!U142:X142)+'Monthly Electricity (Overview)'!AD142</f>
        <v>1725135</v>
      </c>
      <c r="N64" s="56">
        <f>'Monthly Electricity (Overview)'!AA142</f>
        <v>642697</v>
      </c>
      <c r="O64" s="56">
        <f>'Monthly Electricity (Overview)'!Z142</f>
        <v>437109</v>
      </c>
      <c r="P64" s="56">
        <f>'Monthly Electricity (Overview)'!Y142</f>
        <v>1079806</v>
      </c>
      <c r="Q64" s="56">
        <f t="shared" si="2"/>
        <v>11472673</v>
      </c>
      <c r="R64" s="56">
        <f t="shared" si="4"/>
        <v>11472673</v>
      </c>
    </row>
    <row r="65" spans="1:18" ht="15.75" customHeight="1" x14ac:dyDescent="0.2">
      <c r="A65" s="475">
        <v>45931</v>
      </c>
      <c r="B65" s="56">
        <f>SUM('Monthly Electricity (Overview)'!C143:D143)+SUM('Monthly Electricity (Overview)'!F143:H143)+SUM('Monthly Electricity (Overview)'!O143:Q143)</f>
        <v>4352429</v>
      </c>
      <c r="C65" s="56">
        <f>'Monthly Electricity (Overview)'!I143</f>
        <v>1957753</v>
      </c>
      <c r="D65" s="56">
        <f>'Monthly Electricity (Overview)'!N143</f>
        <v>251737</v>
      </c>
      <c r="E65" s="56">
        <f>'Monthly Electricity (Overview)'!E143</f>
        <v>404500</v>
      </c>
      <c r="F65" s="56">
        <f>'Monthly Electricity (Overview)'!J143</f>
        <v>241000</v>
      </c>
      <c r="G65" s="56">
        <f>'Monthly Electricity (Overview)'!K143</f>
        <v>70315</v>
      </c>
      <c r="H65" s="56">
        <f>'Monthly Electricity (Overview)'!R143</f>
        <v>17675</v>
      </c>
      <c r="I65" s="56">
        <f>'Monthly Electricity (Overview)'!S143</f>
        <v>34877</v>
      </c>
      <c r="J65" s="56">
        <f>'Monthly Electricity (Overview)'!T143</f>
        <v>54788</v>
      </c>
      <c r="K65" s="56">
        <f>'Monthly Electricity (Overview)'!L143</f>
        <v>143945</v>
      </c>
      <c r="L65" s="56"/>
      <c r="M65" s="56">
        <f>SUM('Monthly Electricity (Overview)'!U143:X143)+'Monthly Electricity (Overview)'!AD143</f>
        <v>1520582</v>
      </c>
      <c r="N65" s="56">
        <f>'Monthly Electricity (Overview)'!AA143</f>
        <v>468333</v>
      </c>
      <c r="O65" s="56">
        <f>'Monthly Electricity (Overview)'!Z143</f>
        <v>417169</v>
      </c>
      <c r="Q65" s="56">
        <f>SUM(B65:P65)-P65</f>
        <v>9935103</v>
      </c>
      <c r="R65" s="56">
        <f t="shared" ref="R65:R68" si="5">SUM(B65:O65)</f>
        <v>9935103</v>
      </c>
    </row>
    <row r="66" spans="1:18" ht="15.75" customHeight="1" x14ac:dyDescent="0.2">
      <c r="A66" s="475">
        <v>45962</v>
      </c>
      <c r="B66" s="56">
        <f>SUM('Monthly Electricity (Overview)'!C144:D144)+SUM('Monthly Electricity (Overview)'!F144:H144)+SUM('Monthly Electricity (Overview)'!O144:Q144)</f>
        <v>4486307</v>
      </c>
      <c r="C66" s="56">
        <f>'Monthly Electricity (Overview)'!I144</f>
        <v>1020447</v>
      </c>
      <c r="D66" s="56">
        <f>'Monthly Electricity (Overview)'!N144</f>
        <v>105031</v>
      </c>
      <c r="E66" s="56">
        <f>'Monthly Electricity (Overview)'!E144</f>
        <v>388197</v>
      </c>
      <c r="F66" s="56">
        <f>'Monthly Electricity (Overview)'!J144</f>
        <v>236053</v>
      </c>
      <c r="G66" s="56">
        <f>'Monthly Electricity (Overview)'!K144</f>
        <v>50979</v>
      </c>
      <c r="H66" s="56">
        <f>'Monthly Electricity (Overview)'!R144</f>
        <v>18927</v>
      </c>
      <c r="I66" s="56">
        <f>'Monthly Electricity (Overview)'!S144</f>
        <v>27839</v>
      </c>
      <c r="J66" s="56">
        <f>'Monthly Electricity (Overview)'!T144</f>
        <v>44844</v>
      </c>
      <c r="K66" s="56">
        <f>'Monthly Electricity (Overview)'!L144</f>
        <v>85990</v>
      </c>
      <c r="L66" s="56"/>
      <c r="M66" s="56">
        <f>SUM('Monthly Electricity (Overview)'!U144:X144)+'Monthly Electricity (Overview)'!AD144</f>
        <v>945470</v>
      </c>
      <c r="N66" s="56">
        <f>'Monthly Electricity (Overview)'!AA144</f>
        <v>243279</v>
      </c>
      <c r="O66" s="56">
        <f>'Monthly Electricity (Overview)'!Z144</f>
        <v>402881</v>
      </c>
      <c r="Q66" s="56">
        <f t="shared" ref="Q66:Q68" si="6">SUM(B66:P66)-P66</f>
        <v>8056244</v>
      </c>
      <c r="R66" s="56">
        <f t="shared" si="5"/>
        <v>8056244</v>
      </c>
    </row>
    <row r="67" spans="1:18" ht="15.75" customHeight="1" x14ac:dyDescent="0.2">
      <c r="A67" s="475">
        <v>45992</v>
      </c>
      <c r="B67" s="56">
        <f>SUM('Monthly Electricity (Overview)'!C145:D145)+SUM('Monthly Electricity (Overview)'!F145:H145)+SUM('Monthly Electricity (Overview)'!O145:Q145)</f>
        <v>4779642</v>
      </c>
      <c r="C67" s="56">
        <f>'Monthly Electricity (Overview)'!I145</f>
        <v>842964</v>
      </c>
      <c r="D67" s="56">
        <f>'Monthly Electricity (Overview)'!N145</f>
        <v>63573</v>
      </c>
      <c r="E67" s="56">
        <f>'Monthly Electricity (Overview)'!E145</f>
        <v>414803</v>
      </c>
      <c r="F67" s="56">
        <f>'Monthly Electricity (Overview)'!J145</f>
        <v>253147</v>
      </c>
      <c r="G67" s="56">
        <f>'Monthly Electricity (Overview)'!K145</f>
        <v>43259</v>
      </c>
      <c r="H67" s="56">
        <f>'Monthly Electricity (Overview)'!R145</f>
        <v>22453</v>
      </c>
      <c r="I67" s="56">
        <f>'Monthly Electricity (Overview)'!S145</f>
        <v>30350</v>
      </c>
      <c r="J67" s="56">
        <f>'Monthly Electricity (Overview)'!T145</f>
        <v>45023</v>
      </c>
      <c r="K67" s="56">
        <f>'Monthly Electricity (Overview)'!L145</f>
        <v>81529</v>
      </c>
      <c r="L67" s="56"/>
      <c r="M67" s="56">
        <f>SUM('Monthly Electricity (Overview)'!U145:X145)+'Monthly Electricity (Overview)'!AD145</f>
        <v>903591</v>
      </c>
      <c r="N67" s="56">
        <f>'Monthly Electricity (Overview)'!AA145</f>
        <v>237910</v>
      </c>
      <c r="O67" s="56">
        <f>'Monthly Electricity (Overview)'!Z145</f>
        <v>388825</v>
      </c>
      <c r="Q67" s="56">
        <f t="shared" si="6"/>
        <v>8107069</v>
      </c>
      <c r="R67" s="56">
        <f t="shared" si="5"/>
        <v>8107069</v>
      </c>
    </row>
    <row r="68" spans="1:18" ht="15.75" customHeight="1" x14ac:dyDescent="0.2">
      <c r="A68" s="512">
        <v>46023</v>
      </c>
      <c r="B68" s="56">
        <f>SUM('Monthly Electricity (Overview)'!C146:D146)+SUM('Monthly Electricity (Overview)'!F146:H146)+SUM('Monthly Electricity (Overview)'!O146:Q146)</f>
        <v>4420313</v>
      </c>
      <c r="C68" s="56">
        <f>'Monthly Electricity (Overview)'!I146</f>
        <v>620519</v>
      </c>
      <c r="D68" s="56">
        <f>'Monthly Electricity (Overview)'!N146</f>
        <v>56618</v>
      </c>
      <c r="E68" s="56">
        <f>'Monthly Electricity (Overview)'!E146</f>
        <v>418200</v>
      </c>
      <c r="F68" s="56">
        <f>'Monthly Electricity (Overview)'!J146</f>
        <v>239400</v>
      </c>
      <c r="G68" s="56">
        <f>'Monthly Electricity (Overview)'!K146</f>
        <v>56131</v>
      </c>
      <c r="H68" s="56">
        <f>'Monthly Electricity (Overview)'!R146</f>
        <v>24808</v>
      </c>
      <c r="I68" s="56">
        <f>'Monthly Electricity (Overview)'!S146</f>
        <v>16871</v>
      </c>
      <c r="J68" s="56">
        <f>'Monthly Electricity (Overview)'!T146</f>
        <v>38524</v>
      </c>
      <c r="K68" s="56">
        <f>'Monthly Electricity (Overview)'!L146</f>
        <v>102592</v>
      </c>
      <c r="L68" s="56"/>
      <c r="M68" s="56">
        <f>SUM('Monthly Electricity (Overview)'!U146:X146)+'Monthly Electricity (Overview)'!AD146</f>
        <v>731428</v>
      </c>
      <c r="N68" s="56">
        <f>'Monthly Electricity (Overview)'!AA146</f>
        <v>281582</v>
      </c>
      <c r="O68" s="56">
        <f>'Monthly Electricity (Overview)'!Z146</f>
        <v>338985</v>
      </c>
      <c r="Q68" s="56">
        <f t="shared" si="6"/>
        <v>7345971</v>
      </c>
      <c r="R68" s="56">
        <f t="shared" si="5"/>
        <v>7345971</v>
      </c>
    </row>
    <row r="69" spans="1:18" ht="15.75" customHeight="1" x14ac:dyDescent="0.2">
      <c r="A69" s="512">
        <v>46054</v>
      </c>
    </row>
    <row r="70" spans="1:18" ht="15.75" customHeight="1" x14ac:dyDescent="0.2">
      <c r="A70" s="512">
        <v>46082</v>
      </c>
    </row>
    <row r="71" spans="1:18" ht="15.75" customHeight="1" x14ac:dyDescent="0.2">
      <c r="A71" s="512">
        <v>46113</v>
      </c>
    </row>
    <row r="72" spans="1:18" ht="15.75" customHeight="1" x14ac:dyDescent="0.2">
      <c r="A72" s="512">
        <v>46143</v>
      </c>
    </row>
    <row r="73" spans="1:18" ht="15.75" customHeight="1" x14ac:dyDescent="0.2">
      <c r="A73" s="512">
        <v>46174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3455-6AA6-4C21-9212-5C72B284FCEB}">
  <dimension ref="A1:AK1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baseColWidth="10" defaultColWidth="8.6640625" defaultRowHeight="16" x14ac:dyDescent="0.2"/>
  <cols>
    <col min="1" max="1" width="10.6640625" style="365" customWidth="1"/>
    <col min="2" max="2" width="15.83203125" style="191" customWidth="1"/>
    <col min="3" max="3" width="15.6640625" style="8" customWidth="1"/>
    <col min="4" max="4" width="18.33203125" style="8" customWidth="1"/>
    <col min="5" max="5" width="10.6640625" style="8" customWidth="1"/>
    <col min="6" max="10" width="13.33203125" style="8" customWidth="1"/>
    <col min="11" max="13" width="10.6640625" style="8" customWidth="1"/>
    <col min="14" max="14" width="10.6640625" style="8" hidden="1" customWidth="1"/>
    <col min="15" max="24" width="10.6640625" style="8" customWidth="1"/>
    <col min="25" max="25" width="13.33203125" style="8" customWidth="1"/>
    <col min="26" max="26" width="15.6640625" style="8" hidden="1" customWidth="1"/>
    <col min="27" max="28" width="13.33203125" style="8" customWidth="1"/>
    <col min="29" max="29" width="13.33203125" style="8" hidden="1" customWidth="1"/>
    <col min="30" max="30" width="3.33203125" style="142" customWidth="1"/>
    <col min="31" max="31" width="10.83203125" style="8" customWidth="1"/>
    <col min="32" max="32" width="13.33203125" style="8" customWidth="1"/>
    <col min="33" max="33" width="15.83203125" style="8" customWidth="1"/>
    <col min="34" max="35" width="10.83203125" style="8" customWidth="1"/>
    <col min="36" max="37" width="13.33203125" style="8" customWidth="1"/>
    <col min="38" max="16384" width="8.6640625" style="8"/>
  </cols>
  <sheetData>
    <row r="1" spans="1:37" ht="69" thickBot="1" x14ac:dyDescent="0.25">
      <c r="A1" s="52" t="s">
        <v>28</v>
      </c>
      <c r="B1" s="52" t="s">
        <v>734</v>
      </c>
      <c r="C1" s="52" t="s">
        <v>87</v>
      </c>
      <c r="D1" s="169" t="s">
        <v>93</v>
      </c>
      <c r="E1" s="170" t="s">
        <v>94</v>
      </c>
      <c r="F1" s="170" t="s">
        <v>6</v>
      </c>
      <c r="G1" s="170" t="s">
        <v>95</v>
      </c>
      <c r="H1" s="170" t="s">
        <v>96</v>
      </c>
      <c r="I1" s="170" t="s">
        <v>97</v>
      </c>
      <c r="J1" s="171" t="s">
        <v>41</v>
      </c>
      <c r="K1" s="172" t="s">
        <v>98</v>
      </c>
      <c r="L1" s="172" t="s">
        <v>99</v>
      </c>
      <c r="M1" s="172" t="s">
        <v>45</v>
      </c>
      <c r="N1" s="172" t="s">
        <v>89</v>
      </c>
      <c r="O1" s="173" t="s">
        <v>42</v>
      </c>
      <c r="P1" s="174" t="s">
        <v>100</v>
      </c>
      <c r="Q1" s="174" t="s">
        <v>101</v>
      </c>
      <c r="R1" s="174" t="s">
        <v>102</v>
      </c>
      <c r="S1" s="566" t="s">
        <v>721</v>
      </c>
      <c r="T1" s="567" t="s">
        <v>722</v>
      </c>
      <c r="U1" s="583" t="s">
        <v>110</v>
      </c>
      <c r="V1" s="175" t="s">
        <v>104</v>
      </c>
      <c r="W1" s="175" t="s">
        <v>105</v>
      </c>
      <c r="X1" s="175" t="s">
        <v>106</v>
      </c>
      <c r="Y1" s="175" t="s">
        <v>47</v>
      </c>
      <c r="Z1" s="176" t="s">
        <v>90</v>
      </c>
      <c r="AA1" s="584" t="s">
        <v>91</v>
      </c>
      <c r="AB1" s="176" t="s">
        <v>24</v>
      </c>
      <c r="AC1" s="253" t="s">
        <v>92</v>
      </c>
      <c r="AD1" s="568"/>
      <c r="AE1" s="569" t="s">
        <v>108</v>
      </c>
      <c r="AF1" s="570" t="s">
        <v>723</v>
      </c>
      <c r="AG1" s="570" t="s">
        <v>724</v>
      </c>
      <c r="AH1" s="571" t="s">
        <v>725</v>
      </c>
      <c r="AI1" s="571" t="s">
        <v>726</v>
      </c>
      <c r="AJ1" s="572" t="s">
        <v>727</v>
      </c>
      <c r="AK1" s="572" t="s">
        <v>728</v>
      </c>
    </row>
    <row r="2" spans="1:37" x14ac:dyDescent="0.2">
      <c r="A2" s="365" t="s">
        <v>58</v>
      </c>
      <c r="B2" s="185">
        <f>C2+AE2</f>
        <v>93067207</v>
      </c>
      <c r="C2" s="9">
        <f>SUM('Monthly Electricity (Overview)'!B8:B19)</f>
        <v>93067207</v>
      </c>
      <c r="D2" s="9">
        <f>SUM('Monthly Electricity (Overview)'!C8:C19)</f>
        <v>48161326</v>
      </c>
      <c r="E2" s="9">
        <f>SUM('Monthly Electricity (Overview)'!D8:D19)</f>
        <v>2701602</v>
      </c>
      <c r="F2" s="9">
        <f>SUM('Monthly Electricity (Overview)'!E8:E19)</f>
        <v>1645614</v>
      </c>
      <c r="G2" s="9">
        <f>SUM('Monthly Electricity (Overview)'!F8:F19)</f>
        <v>0</v>
      </c>
      <c r="H2" s="9">
        <f>SUM('Monthly Electricity (Overview)'!G8:G19)</f>
        <v>0</v>
      </c>
      <c r="I2" s="9">
        <f>SUM('Monthly Electricity (Overview)'!H8:H19)</f>
        <v>0</v>
      </c>
      <c r="J2" s="9">
        <f>SUM('Monthly Electricity (Overview)'!I8:I19)</f>
        <v>18602394</v>
      </c>
      <c r="K2" s="9">
        <f>SUM('Monthly Electricity (Overview)'!J8:J19)</f>
        <v>2956133</v>
      </c>
      <c r="L2" s="9">
        <f>SUM('Monthly Electricity (Overview)'!K8:K19)</f>
        <v>729539</v>
      </c>
      <c r="M2" s="9"/>
      <c r="N2" s="9">
        <f>SUM('Monthly Electricity (Overview)'!M8:M19)</f>
        <v>0</v>
      </c>
      <c r="O2" s="9">
        <f>SUM('Monthly Electricity (Overview)'!N8:N19)</f>
        <v>1914636</v>
      </c>
      <c r="P2" s="9">
        <f>SUM('Monthly Electricity (Overview)'!O8:O19)</f>
        <v>972626</v>
      </c>
      <c r="Q2" s="9"/>
      <c r="R2" s="9"/>
      <c r="S2" s="9"/>
      <c r="T2" s="9"/>
      <c r="U2" s="9"/>
      <c r="V2" s="9"/>
      <c r="W2" s="9"/>
      <c r="X2" s="9"/>
      <c r="Y2" s="9">
        <f>SUM('Monthly Electricity (Overview)'!X8:X19)</f>
        <v>7303751</v>
      </c>
      <c r="Z2" s="9">
        <f>SUM('Monthly Electricity (Overview)'!Y8:Y19)</f>
        <v>8079586</v>
      </c>
      <c r="AA2" s="9">
        <f>SUM('Monthly Electricity (Overview)'!Z8:Z19)</f>
        <v>3418093</v>
      </c>
      <c r="AB2" s="9">
        <f>SUM('Monthly Electricity (Overview)'!AA8:AA19)</f>
        <v>4661493</v>
      </c>
      <c r="AC2" s="9">
        <f>SUM('Monthly Electricity (Overview)'!AB8:AB19)</f>
        <v>20517030</v>
      </c>
      <c r="AD2" s="149"/>
      <c r="AE2" s="9"/>
      <c r="AF2" s="9"/>
      <c r="AG2" s="9"/>
      <c r="AH2" s="9"/>
      <c r="AI2" s="9"/>
      <c r="AJ2" s="9"/>
      <c r="AK2" s="9"/>
    </row>
    <row r="3" spans="1:37" x14ac:dyDescent="0.2">
      <c r="A3" s="365" t="s">
        <v>61</v>
      </c>
      <c r="B3" s="185">
        <f t="shared" ref="B3:B13" si="0">C3+AE3</f>
        <v>95800070</v>
      </c>
      <c r="C3" s="9">
        <f>SUM('Monthly Electricity (Overview)'!B20:B31)</f>
        <v>95800070</v>
      </c>
      <c r="D3" s="9">
        <f>SUM('Monthly Electricity (Overview)'!C20:C31)</f>
        <v>47058849</v>
      </c>
      <c r="E3" s="9">
        <f>SUM('Monthly Electricity (Overview)'!D20:D31)</f>
        <v>2839774</v>
      </c>
      <c r="F3" s="9">
        <f>SUM('Monthly Electricity (Overview)'!E20:E31)</f>
        <v>3645309</v>
      </c>
      <c r="G3" s="9">
        <f>SUM('Monthly Electricity (Overview)'!F20:F31)</f>
        <v>0</v>
      </c>
      <c r="H3" s="9">
        <f>SUM('Monthly Electricity (Overview)'!G20:G31)</f>
        <v>0</v>
      </c>
      <c r="I3" s="9">
        <f>SUM('Monthly Electricity (Overview)'!H20:H31)</f>
        <v>0</v>
      </c>
      <c r="J3" s="9">
        <f>SUM('Monthly Electricity (Overview)'!I20:I31)</f>
        <v>18857102</v>
      </c>
      <c r="K3" s="9">
        <f>SUM('Monthly Electricity (Overview)'!J20:J31)</f>
        <v>3131115</v>
      </c>
      <c r="L3" s="9">
        <f>SUM('Monthly Electricity (Overview)'!K20:K31)</f>
        <v>683777</v>
      </c>
      <c r="M3" s="9">
        <f>SUM('Monthly Electricity (Overview)'!L20:L31)</f>
        <v>1485087</v>
      </c>
      <c r="N3" s="9">
        <f>SUM('Monthly Electricity (Overview)'!M20:M31)</f>
        <v>0</v>
      </c>
      <c r="O3" s="9">
        <f>SUM('Monthly Electricity (Overview)'!N20:N31)</f>
        <v>1869216</v>
      </c>
      <c r="P3" s="9">
        <f>SUM('Monthly Electricity (Overview)'!O20:O31)</f>
        <v>933203</v>
      </c>
      <c r="Q3" s="9"/>
      <c r="R3" s="9"/>
      <c r="S3" s="9"/>
      <c r="T3" s="9"/>
      <c r="U3" s="9"/>
      <c r="V3" s="9"/>
      <c r="W3" s="9"/>
      <c r="X3" s="9"/>
      <c r="Y3" s="9">
        <f>SUM('Monthly Electricity (Overview)'!X20:X31)</f>
        <v>7301731</v>
      </c>
      <c r="Z3" s="9">
        <f>SUM('Monthly Electricity (Overview)'!Y20:Y31)</f>
        <v>7994907</v>
      </c>
      <c r="AA3" s="9">
        <f>SUM('Monthly Electricity (Overview)'!Z20:Z31)</f>
        <v>3558064</v>
      </c>
      <c r="AB3" s="9">
        <f>SUM('Monthly Electricity (Overview)'!AA20:AA31)</f>
        <v>4436843</v>
      </c>
      <c r="AC3" s="9">
        <f>SUM('Monthly Electricity (Overview)'!AB20:AB31)</f>
        <v>20726318</v>
      </c>
      <c r="AD3" s="149"/>
      <c r="AE3" s="9"/>
      <c r="AF3" s="9"/>
      <c r="AG3" s="9"/>
      <c r="AH3" s="9"/>
      <c r="AI3" s="9"/>
      <c r="AJ3" s="9"/>
      <c r="AK3" s="9"/>
    </row>
    <row r="4" spans="1:37" x14ac:dyDescent="0.2">
      <c r="A4" s="365" t="s">
        <v>63</v>
      </c>
      <c r="B4" s="185">
        <f t="shared" si="0"/>
        <v>94486358</v>
      </c>
      <c r="C4" s="9">
        <f>SUM('Monthly Electricity (Overview)'!B32:B43)</f>
        <v>94486358</v>
      </c>
      <c r="D4" s="9">
        <f>SUM('Monthly Electricity (Overview)'!C32:C43)</f>
        <v>45199112</v>
      </c>
      <c r="E4" s="9">
        <f>SUM('Monthly Electricity (Overview)'!D32:D43)</f>
        <v>2881438</v>
      </c>
      <c r="F4" s="9">
        <f>SUM('Monthly Electricity (Overview)'!E32:E43)</f>
        <v>5024245</v>
      </c>
      <c r="G4" s="9">
        <f>SUM('Monthly Electricity (Overview)'!F32:F43)</f>
        <v>0</v>
      </c>
      <c r="H4" s="9">
        <f>SUM('Monthly Electricity (Overview)'!G32:G43)</f>
        <v>0</v>
      </c>
      <c r="I4" s="9">
        <f>SUM('Monthly Electricity (Overview)'!H32:H43)</f>
        <v>0</v>
      </c>
      <c r="J4" s="9">
        <f>SUM('Monthly Electricity (Overview)'!I32:I43)</f>
        <v>18781525</v>
      </c>
      <c r="K4" s="9">
        <f>SUM('Monthly Electricity (Overview)'!J32:J43)</f>
        <v>3213275</v>
      </c>
      <c r="L4" s="9">
        <f>SUM('Monthly Electricity (Overview)'!K32:K43)</f>
        <v>725249</v>
      </c>
      <c r="M4" s="9">
        <f>SUM('Monthly Electricity (Overview)'!L32:L43)</f>
        <v>1682602</v>
      </c>
      <c r="N4" s="9">
        <f>SUM('Monthly Electricity (Overview)'!M32:M43)</f>
        <v>0</v>
      </c>
      <c r="O4" s="9">
        <f>SUM('Monthly Electricity (Overview)'!N32:N43)</f>
        <v>1873179</v>
      </c>
      <c r="P4" s="9">
        <f>SUM('Monthly Electricity (Overview)'!O32:O43)</f>
        <v>804157</v>
      </c>
      <c r="Q4" s="9"/>
      <c r="R4" s="9"/>
      <c r="S4" s="9"/>
      <c r="T4" s="9"/>
      <c r="U4" s="9"/>
      <c r="V4" s="9"/>
      <c r="W4" s="9"/>
      <c r="X4" s="9"/>
      <c r="Y4" s="9">
        <f>SUM('Monthly Electricity (Overview)'!X32:X43)</f>
        <v>7205395</v>
      </c>
      <c r="Z4" s="9">
        <f>SUM('Monthly Electricity (Overview)'!Y32:Y43)</f>
        <v>7096181</v>
      </c>
      <c r="AA4" s="9">
        <f>SUM('Monthly Electricity (Overview)'!Z32:Z43)</f>
        <v>3657075</v>
      </c>
      <c r="AB4" s="9">
        <f>SUM('Monthly Electricity (Overview)'!AA32:AA43)</f>
        <v>3439106</v>
      </c>
      <c r="AC4" s="9">
        <f>SUM('Monthly Electricity (Overview)'!AB32:AB43)</f>
        <v>20654704</v>
      </c>
      <c r="AD4" s="149"/>
      <c r="AE4" s="9"/>
      <c r="AF4" s="9"/>
      <c r="AG4" s="9"/>
      <c r="AH4" s="9"/>
      <c r="AI4" s="9"/>
      <c r="AJ4" s="9"/>
      <c r="AK4" s="9"/>
    </row>
    <row r="5" spans="1:37" x14ac:dyDescent="0.2">
      <c r="A5" s="365" t="s">
        <v>64</v>
      </c>
      <c r="B5" s="185">
        <f t="shared" si="0"/>
        <v>93414359</v>
      </c>
      <c r="C5" s="9">
        <f>SUM('Monthly Electricity (Overview)'!B44:B55)</f>
        <v>92966450</v>
      </c>
      <c r="D5" s="9">
        <f>SUM('Monthly Electricity (Overview)'!C44:C55)</f>
        <v>43151332</v>
      </c>
      <c r="E5" s="9">
        <f>SUM('Monthly Electricity (Overview)'!D44:D55)</f>
        <v>3000072</v>
      </c>
      <c r="F5" s="9">
        <f>SUM('Monthly Electricity (Overview)'!E44:E55)</f>
        <v>5355531</v>
      </c>
      <c r="G5" s="9">
        <f>SUM('Monthly Electricity (Overview)'!F44:F55)</f>
        <v>0</v>
      </c>
      <c r="H5" s="9">
        <f>SUM('Monthly Electricity (Overview)'!G44:G55)</f>
        <v>0</v>
      </c>
      <c r="I5" s="9">
        <f>SUM('Monthly Electricity (Overview)'!H44:H55)</f>
        <v>0</v>
      </c>
      <c r="J5" s="9">
        <f>SUM('Monthly Electricity (Overview)'!I44:I55)</f>
        <v>18692394</v>
      </c>
      <c r="K5" s="9">
        <f>SUM('Monthly Electricity (Overview)'!J44:J55)</f>
        <v>3326876</v>
      </c>
      <c r="L5" s="9">
        <f>SUM('Monthly Electricity (Overview)'!K44:K55)</f>
        <v>719997</v>
      </c>
      <c r="M5" s="9">
        <f>SUM('Monthly Electricity (Overview)'!L44:L55)</f>
        <v>1903435</v>
      </c>
      <c r="N5" s="9">
        <f>SUM('Monthly Electricity (Overview)'!M44:M55)</f>
        <v>0</v>
      </c>
      <c r="O5" s="9">
        <f>SUM('Monthly Electricity (Overview)'!N44:N55)</f>
        <v>1968657</v>
      </c>
      <c r="P5" s="9">
        <f>SUM('Monthly Electricity (Overview)'!O44:O55)</f>
        <v>492045</v>
      </c>
      <c r="Q5" s="9"/>
      <c r="R5" s="9">
        <f>SUM('Monthly Electricity (Overview)'!Q44:Q55)</f>
        <v>24719</v>
      </c>
      <c r="S5" s="9"/>
      <c r="T5" s="9"/>
      <c r="U5" s="9"/>
      <c r="V5" s="9"/>
      <c r="W5" s="9"/>
      <c r="X5" s="9"/>
      <c r="Y5" s="9">
        <f>SUM('Monthly Electricity (Overview)'!X44:X55)</f>
        <v>7058212</v>
      </c>
      <c r="Z5" s="9">
        <f>SUM('Monthly Electricity (Overview)'!Y44:Y55)</f>
        <v>7273180</v>
      </c>
      <c r="AA5" s="9">
        <f>SUM('Monthly Electricity (Overview)'!Z44:Z55)</f>
        <v>3272833</v>
      </c>
      <c r="AB5" s="9">
        <f>SUM('Monthly Electricity (Overview)'!AA44:AA55)</f>
        <v>4000347</v>
      </c>
      <c r="AC5" s="9">
        <f>SUM('Monthly Electricity (Overview)'!AB44:AB55)</f>
        <v>20661051</v>
      </c>
      <c r="AD5" s="149"/>
      <c r="AE5" s="9">
        <f>SUM('Monthly Electricity (Overview)'!AD44:AD55)</f>
        <v>447909</v>
      </c>
      <c r="AF5" s="9"/>
      <c r="AG5" s="9"/>
      <c r="AH5" s="9"/>
      <c r="AI5" s="9"/>
      <c r="AJ5" s="9"/>
      <c r="AK5" s="9"/>
    </row>
    <row r="6" spans="1:37" x14ac:dyDescent="0.2">
      <c r="A6" s="365" t="s">
        <v>65</v>
      </c>
      <c r="B6" s="185">
        <f t="shared" si="0"/>
        <v>91176940</v>
      </c>
      <c r="C6" s="9">
        <f>SUM('Monthly Electricity (Overview)'!B56:B67)</f>
        <v>90186094</v>
      </c>
      <c r="D6" s="9">
        <f>SUM('Monthly Electricity (Overview)'!C56:C67)</f>
        <v>42370472</v>
      </c>
      <c r="E6" s="9">
        <f>SUM('Monthly Electricity (Overview)'!D56:D67)</f>
        <v>2705577</v>
      </c>
      <c r="F6" s="9">
        <f>SUM('Monthly Electricity (Overview)'!E56:E67)</f>
        <v>5130335</v>
      </c>
      <c r="G6" s="9">
        <f>SUM('Monthly Electricity (Overview)'!F56:F67)</f>
        <v>0</v>
      </c>
      <c r="H6" s="9">
        <f>SUM('Monthly Electricity (Overview)'!G56:G67)</f>
        <v>0</v>
      </c>
      <c r="I6" s="9">
        <f>SUM('Monthly Electricity (Overview)'!H56:H67)</f>
        <v>0</v>
      </c>
      <c r="J6" s="9">
        <f>SUM('Monthly Electricity (Overview)'!I56:I67)</f>
        <v>17377146</v>
      </c>
      <c r="K6" s="9">
        <f>SUM('Monthly Electricity (Overview)'!J56:J67)</f>
        <v>3145915</v>
      </c>
      <c r="L6" s="9">
        <f>SUM('Monthly Electricity (Overview)'!K56:K67)</f>
        <v>743529</v>
      </c>
      <c r="M6" s="9">
        <f>SUM('Monthly Electricity (Overview)'!L56:L67)</f>
        <v>1649404</v>
      </c>
      <c r="N6" s="9">
        <f>SUM('Monthly Electricity (Overview)'!M56:M67)</f>
        <v>0</v>
      </c>
      <c r="O6" s="9">
        <f>SUM('Monthly Electricity (Overview)'!N56:N67)</f>
        <v>1782046</v>
      </c>
      <c r="P6" s="9">
        <f>SUM('Monthly Electricity (Overview)'!O56:O67)</f>
        <v>385477</v>
      </c>
      <c r="Q6" s="9"/>
      <c r="R6" s="9">
        <f>SUM('Monthly Electricity (Overview)'!Q56:Q67)</f>
        <v>623747</v>
      </c>
      <c r="S6" s="9"/>
      <c r="T6" s="9"/>
      <c r="U6" s="9"/>
      <c r="V6" s="9"/>
      <c r="W6" s="9"/>
      <c r="X6" s="9"/>
      <c r="Y6" s="9">
        <f>SUM('Monthly Electricity (Overview)'!X56:X67)</f>
        <v>6477491</v>
      </c>
      <c r="Z6" s="9">
        <f>SUM('Monthly Electricity (Overview)'!Y56:Y67)</f>
        <v>7794955</v>
      </c>
      <c r="AA6" s="9">
        <f>SUM('Monthly Electricity (Overview)'!Z56:Z67)</f>
        <v>3855492</v>
      </c>
      <c r="AB6" s="9">
        <f>SUM('Monthly Electricity (Overview)'!AA56:AA67)</f>
        <v>3939463</v>
      </c>
      <c r="AC6" s="9">
        <f>SUM('Monthly Electricity (Overview)'!AB56:AB67)</f>
        <v>19159192</v>
      </c>
      <c r="AD6" s="149"/>
      <c r="AE6" s="9">
        <f>SUM('Monthly Electricity (Overview)'!AD56:AD67)</f>
        <v>990846</v>
      </c>
      <c r="AF6" s="9"/>
      <c r="AG6" s="9"/>
      <c r="AH6" s="9"/>
      <c r="AI6" s="9"/>
      <c r="AJ6" s="9"/>
      <c r="AK6" s="9"/>
    </row>
    <row r="7" spans="1:37" x14ac:dyDescent="0.2">
      <c r="A7" s="365" t="s">
        <v>66</v>
      </c>
      <c r="B7" s="185">
        <f t="shared" si="0"/>
        <v>88300941</v>
      </c>
      <c r="C7" s="9">
        <f>SUM('Monthly Electricity (Overview)'!B68:B79)</f>
        <v>87353244</v>
      </c>
      <c r="D7" s="9">
        <f>SUM('Monthly Electricity (Overview)'!C68:C79)</f>
        <v>39536318.898571558</v>
      </c>
      <c r="E7" s="9">
        <f>SUM('Monthly Electricity (Overview)'!D68:D79)</f>
        <v>2673238</v>
      </c>
      <c r="F7" s="9">
        <f>SUM('Monthly Electricity (Overview)'!E68:E79)</f>
        <v>4687192</v>
      </c>
      <c r="G7" s="9">
        <f>SUM('Monthly Electricity (Overview)'!F68:F79)</f>
        <v>0</v>
      </c>
      <c r="H7" s="9">
        <f>SUM('Monthly Electricity (Overview)'!G68:G79)</f>
        <v>1507305.8</v>
      </c>
      <c r="I7" s="9">
        <f>SUM('Monthly Electricity (Overview)'!H68:H79)</f>
        <v>742216</v>
      </c>
      <c r="J7" s="9">
        <f>SUM('Monthly Electricity (Overview)'!I68:I79)</f>
        <v>16675613.301428445</v>
      </c>
      <c r="K7" s="9">
        <f>SUM('Monthly Electricity (Overview)'!J68:J79)</f>
        <v>2809718</v>
      </c>
      <c r="L7" s="9">
        <f>SUM('Monthly Electricity (Overview)'!K68:K79)</f>
        <v>705125</v>
      </c>
      <c r="M7" s="9">
        <f>SUM('Monthly Electricity (Overview)'!L68:L79)</f>
        <v>1315160</v>
      </c>
      <c r="N7" s="9">
        <f>SUM('Monthly Electricity (Overview)'!M68:M79)</f>
        <v>0</v>
      </c>
      <c r="O7" s="9">
        <f>SUM('Monthly Electricity (Overview)'!N68:N79)</f>
        <v>1734286</v>
      </c>
      <c r="P7" s="9">
        <f>SUM('Monthly Electricity (Overview)'!O68:O79)</f>
        <v>601555</v>
      </c>
      <c r="Q7" s="9"/>
      <c r="R7" s="9">
        <f>SUM('Monthly Electricity (Overview)'!Q68:Q79)</f>
        <v>720089</v>
      </c>
      <c r="S7" s="9"/>
      <c r="T7" s="9"/>
      <c r="U7" s="9"/>
      <c r="V7" s="9"/>
      <c r="W7" s="9"/>
      <c r="X7" s="9"/>
      <c r="Y7" s="9">
        <f>SUM('Monthly Electricity (Overview)'!X68:X79)</f>
        <v>5611932</v>
      </c>
      <c r="Z7" s="9">
        <f>SUM('Monthly Electricity (Overview)'!Y68:Y79)</f>
        <v>8033495</v>
      </c>
      <c r="AA7" s="9">
        <f>SUM('Monthly Electricity (Overview)'!Z68:Z79)</f>
        <v>3325556</v>
      </c>
      <c r="AB7" s="9">
        <f>SUM('Monthly Electricity (Overview)'!AA68:AA79)</f>
        <v>4707939</v>
      </c>
      <c r="AC7" s="9">
        <f>SUM('Monthly Electricity (Overview)'!AB68:AB79)</f>
        <v>18409899.301428445</v>
      </c>
      <c r="AD7" s="149"/>
      <c r="AE7" s="9">
        <f>SUM('Monthly Electricity (Overview)'!AD68:AD79)</f>
        <v>947697</v>
      </c>
      <c r="AF7" s="9"/>
      <c r="AG7" s="9"/>
      <c r="AH7" s="9"/>
      <c r="AI7" s="9"/>
      <c r="AJ7" s="9"/>
      <c r="AK7" s="9"/>
    </row>
    <row r="8" spans="1:37" x14ac:dyDescent="0.2">
      <c r="A8" s="365" t="s">
        <v>68</v>
      </c>
      <c r="B8" s="185">
        <f t="shared" si="0"/>
        <v>89389542</v>
      </c>
      <c r="C8" s="9">
        <f>SUM('Monthly Electricity (Overview)'!B80:B91)</f>
        <v>88318175</v>
      </c>
      <c r="D8" s="9">
        <f>SUM('Monthly Electricity (Overview)'!C80:C91)</f>
        <v>40213438.649896383</v>
      </c>
      <c r="E8" s="9">
        <f>SUM('Monthly Electricity (Overview)'!D80:D91)</f>
        <v>2443488</v>
      </c>
      <c r="F8" s="9">
        <f>SUM('Monthly Electricity (Overview)'!E80:E91)</f>
        <v>4563321</v>
      </c>
      <c r="G8" s="9">
        <f>SUM('Monthly Electricity (Overview)'!F80:F91)</f>
        <v>0</v>
      </c>
      <c r="H8" s="9">
        <f>SUM('Monthly Electricity (Overview)'!G80:G91)</f>
        <v>1333380.6000000001</v>
      </c>
      <c r="I8" s="9">
        <f>SUM('Monthly Electricity (Overview)'!H80:H91)</f>
        <v>1886769</v>
      </c>
      <c r="J8" s="9">
        <f>SUM('Monthly Electricity (Overview)'!I80:I91)</f>
        <v>16098298.750103623</v>
      </c>
      <c r="K8" s="9">
        <f>SUM('Monthly Electricity (Overview)'!J80:J91)</f>
        <v>2719509</v>
      </c>
      <c r="L8" s="9">
        <f>SUM('Monthly Electricity (Overview)'!K80:K91)</f>
        <v>706462</v>
      </c>
      <c r="M8" s="9">
        <f>SUM('Monthly Electricity (Overview)'!L80:L91)</f>
        <v>1012439</v>
      </c>
      <c r="N8" s="9">
        <f>SUM('Monthly Electricity (Overview)'!M80:M91)</f>
        <v>0</v>
      </c>
      <c r="O8" s="9">
        <f>SUM('Monthly Electricity (Overview)'!N80:N91)</f>
        <v>1731267</v>
      </c>
      <c r="P8" s="9">
        <f>SUM('Monthly Electricity (Overview)'!O80:O91)</f>
        <v>584764</v>
      </c>
      <c r="Q8" s="9">
        <f>SUM('Monthly Electricity (Overview)'!P80:P91)</f>
        <v>13475</v>
      </c>
      <c r="R8" s="9">
        <f>SUM('Monthly Electricity (Overview)'!Q80:Q91)</f>
        <v>652466</v>
      </c>
      <c r="S8" s="9"/>
      <c r="T8" s="9"/>
      <c r="U8" s="9"/>
      <c r="V8" s="9"/>
      <c r="W8" s="9"/>
      <c r="X8" s="9">
        <f>SUM('Monthly Electricity (Overview)'!W80:W91)</f>
        <v>1107632</v>
      </c>
      <c r="Y8" s="9">
        <f>SUM('Monthly Electricity (Overview)'!X80:X91)</f>
        <v>5056989</v>
      </c>
      <c r="Z8" s="9">
        <f>SUM('Monthly Electricity (Overview)'!Y80:Y91)</f>
        <v>8194476</v>
      </c>
      <c r="AA8" s="9">
        <f>SUM('Monthly Electricity (Overview)'!Z80:Z91)</f>
        <v>3263145</v>
      </c>
      <c r="AB8" s="9">
        <f>SUM('Monthly Electricity (Overview)'!AA80:AA91)</f>
        <v>4931331</v>
      </c>
      <c r="AC8" s="9">
        <f>SUM('Monthly Electricity (Overview)'!AB80:AB91)</f>
        <v>17829565.750103623</v>
      </c>
      <c r="AD8" s="149"/>
      <c r="AE8" s="9">
        <f>SUM('Monthly Electricity (Overview)'!AD80:AD91)</f>
        <v>1071367</v>
      </c>
      <c r="AF8" s="9"/>
      <c r="AG8" s="9"/>
      <c r="AH8" s="9"/>
      <c r="AI8" s="9"/>
      <c r="AJ8" s="9"/>
      <c r="AK8" s="9"/>
    </row>
    <row r="9" spans="1:37" x14ac:dyDescent="0.2">
      <c r="A9" s="365" t="s">
        <v>70</v>
      </c>
      <c r="B9" s="185">
        <f t="shared" si="0"/>
        <v>90520156</v>
      </c>
      <c r="C9" s="9">
        <f>SUM('Monthly Electricity (Overview)'!B92:B103)</f>
        <v>89692408</v>
      </c>
      <c r="D9" s="9">
        <f>SUM('Monthly Electricity (Overview)'!C92:C103)</f>
        <v>39795150.677084811</v>
      </c>
      <c r="E9" s="9">
        <f>SUM('Monthly Electricity (Overview)'!D92:D103)</f>
        <v>2349802</v>
      </c>
      <c r="F9" s="9">
        <f>SUM('Monthly Electricity (Overview)'!E92:E103)</f>
        <v>4504535</v>
      </c>
      <c r="G9" s="9">
        <f>SUM('Monthly Electricity (Overview)'!F92:F103)</f>
        <v>437594</v>
      </c>
      <c r="H9" s="9">
        <f>SUM('Monthly Electricity (Overview)'!G92:G103)</f>
        <v>1367074</v>
      </c>
      <c r="I9" s="9">
        <f>SUM('Monthly Electricity (Overview)'!H92:H103)</f>
        <v>2686072.1229999997</v>
      </c>
      <c r="J9" s="9">
        <f>SUM('Monthly Electricity (Overview)'!I92:I103)</f>
        <v>16113173.199915197</v>
      </c>
      <c r="K9" s="9">
        <f>SUM('Monthly Electricity (Overview)'!J92:J103)</f>
        <v>2688466</v>
      </c>
      <c r="L9" s="9">
        <f>SUM('Monthly Electricity (Overview)'!K92:K103)</f>
        <v>625243</v>
      </c>
      <c r="M9" s="9">
        <f>SUM('Monthly Electricity (Overview)'!L92:L103)</f>
        <v>1013635</v>
      </c>
      <c r="N9" s="9">
        <f>SUM('Monthly Electricity (Overview)'!M92:M103)</f>
        <v>0</v>
      </c>
      <c r="O9" s="9">
        <f>SUM('Monthly Electricity (Overview)'!N92:N103)</f>
        <v>1606903</v>
      </c>
      <c r="P9" s="9">
        <f>SUM('Monthly Electricity (Overview)'!O92:O103)</f>
        <v>442785</v>
      </c>
      <c r="Q9" s="9">
        <f>SUM('Monthly Electricity (Overview)'!P92:P103)</f>
        <v>51827</v>
      </c>
      <c r="R9" s="9">
        <f>SUM('Monthly Electricity (Overview)'!Q92:Q103)</f>
        <v>669988</v>
      </c>
      <c r="S9" s="9"/>
      <c r="T9" s="9"/>
      <c r="U9" s="9"/>
      <c r="V9" s="9"/>
      <c r="W9" s="9"/>
      <c r="X9" s="9">
        <f>SUM('Monthly Electricity (Overview)'!W92:W103)</f>
        <v>1651414</v>
      </c>
      <c r="Y9" s="9">
        <f>SUM('Monthly Electricity (Overview)'!X92:X103)</f>
        <v>5555272</v>
      </c>
      <c r="Z9" s="9">
        <f>SUM('Monthly Electricity (Overview)'!Y92:Y103)</f>
        <v>8133474</v>
      </c>
      <c r="AA9" s="9">
        <f>SUM('Monthly Electricity (Overview)'!Z92:Z103)</f>
        <v>3480083</v>
      </c>
      <c r="AB9" s="9">
        <f>SUM('Monthly Electricity (Overview)'!AA92:AA103)</f>
        <v>4653391</v>
      </c>
      <c r="AC9" s="9">
        <f>SUM('Monthly Electricity (Overview)'!AB92:AB103)</f>
        <v>17720076.199915197</v>
      </c>
      <c r="AD9" s="149"/>
      <c r="AE9" s="9">
        <f>SUM('Monthly Electricity (Overview)'!AD92:AD103)</f>
        <v>827748</v>
      </c>
      <c r="AF9" s="9"/>
      <c r="AG9" s="9"/>
      <c r="AH9" s="9"/>
      <c r="AI9" s="9"/>
      <c r="AJ9" s="9"/>
      <c r="AK9" s="9"/>
    </row>
    <row r="10" spans="1:37" x14ac:dyDescent="0.2">
      <c r="A10" s="365" t="s">
        <v>72</v>
      </c>
      <c r="B10" s="185">
        <f t="shared" si="0"/>
        <v>95015051</v>
      </c>
      <c r="C10" s="9">
        <f>SUM('Monthly Electricity (Overview)'!B104:B115)</f>
        <v>93932338</v>
      </c>
      <c r="D10" s="9">
        <f>SUM('Monthly Electricity (Overview)'!C104:C115)</f>
        <v>38978951.835301891</v>
      </c>
      <c r="E10" s="9">
        <f>SUM('Monthly Electricity (Overview)'!D104:D115)</f>
        <v>2481890</v>
      </c>
      <c r="F10" s="9">
        <f>SUM('Monthly Electricity (Overview)'!E104:E115)</f>
        <v>4412027</v>
      </c>
      <c r="G10" s="9">
        <f>SUM('Monthly Electricity (Overview)'!F104:F115)</f>
        <v>796040</v>
      </c>
      <c r="H10" s="9">
        <f>SUM('Monthly Electricity (Overview)'!G104:G115)</f>
        <v>1854271</v>
      </c>
      <c r="I10" s="9">
        <f>SUM('Monthly Electricity (Overview)'!H104:H115)</f>
        <v>3420242.2789453128</v>
      </c>
      <c r="J10" s="9">
        <f>SUM('Monthly Electricity (Overview)'!I104:I115)</f>
        <v>16935746.5857528</v>
      </c>
      <c r="K10" s="9">
        <f>SUM('Monthly Electricity (Overview)'!J104:J115)</f>
        <v>2699255</v>
      </c>
      <c r="L10" s="9">
        <f>SUM('Monthly Electricity (Overview)'!K104:K115)</f>
        <v>654339</v>
      </c>
      <c r="M10" s="9">
        <f>SUM('Monthly Electricity (Overview)'!L104:L115)</f>
        <v>1222009</v>
      </c>
      <c r="N10" s="9">
        <f>SUM('Monthly Electricity (Overview)'!M104:M115)</f>
        <v>0</v>
      </c>
      <c r="O10" s="9">
        <f>SUM('Monthly Electricity (Overview)'!N104:N115)</f>
        <v>1632560</v>
      </c>
      <c r="P10" s="9">
        <f>SUM('Monthly Electricity (Overview)'!O104:O115)</f>
        <v>435302</v>
      </c>
      <c r="Q10" s="9">
        <f>SUM('Monthly Electricity (Overview)'!P104:P115)</f>
        <v>84546.3</v>
      </c>
      <c r="R10" s="9">
        <f>SUM('Monthly Electricity (Overview)'!Q104:Q115)</f>
        <v>725877</v>
      </c>
      <c r="S10" s="9"/>
      <c r="T10" s="9"/>
      <c r="U10" s="9"/>
      <c r="V10" s="9"/>
      <c r="W10" s="9">
        <f>SUM('Monthly Electricity (Overview)'!V104:V115)</f>
        <v>1083158</v>
      </c>
      <c r="X10" s="9">
        <f>SUM('Monthly Electricity (Overview)'!W104:W115)</f>
        <v>1713010</v>
      </c>
      <c r="Y10" s="9">
        <f>SUM('Monthly Electricity (Overview)'!X104:X115)</f>
        <v>6159096</v>
      </c>
      <c r="Z10" s="9">
        <f>SUM('Monthly Electricity (Overview)'!Y104:Y115)</f>
        <v>8644016</v>
      </c>
      <c r="AA10" s="9">
        <f>SUM('Monthly Electricity (Overview)'!Z104:Z115)</f>
        <v>4058505</v>
      </c>
      <c r="AB10" s="9">
        <f>SUM('Monthly Electricity (Overview)'!AA104:AA115)</f>
        <v>4585511</v>
      </c>
      <c r="AC10" s="9">
        <f>SUM('Monthly Electricity (Overview)'!AB104:AB115)</f>
        <v>18568306.5857528</v>
      </c>
      <c r="AD10" s="149"/>
      <c r="AE10" s="9">
        <f>SUM('Monthly Electricity (Overview)'!AD104:AD115)</f>
        <v>1082713</v>
      </c>
      <c r="AF10" s="9"/>
      <c r="AG10" s="9"/>
      <c r="AH10" s="9"/>
      <c r="AI10" s="9"/>
      <c r="AJ10" s="9"/>
      <c r="AK10" s="9"/>
    </row>
    <row r="11" spans="1:37" x14ac:dyDescent="0.2">
      <c r="A11" s="365" t="s">
        <v>74</v>
      </c>
      <c r="B11" s="185">
        <f t="shared" si="0"/>
        <v>97804523</v>
      </c>
      <c r="C11" s="9">
        <f>SUM('Monthly Electricity (Overview)'!B116:B127)</f>
        <v>96709341</v>
      </c>
      <c r="D11" s="9">
        <f>SUM('Monthly Electricity (Overview)'!C116:C127)</f>
        <v>36936835</v>
      </c>
      <c r="E11" s="9">
        <f>SUM('Monthly Electricity (Overview)'!D116:D127)</f>
        <v>2513300</v>
      </c>
      <c r="F11" s="9">
        <f>SUM('Monthly Electricity (Overview)'!E116:E127)</f>
        <v>4746630</v>
      </c>
      <c r="G11" s="9">
        <f>SUM('Monthly Electricity (Overview)'!F116:F127)</f>
        <v>733310</v>
      </c>
      <c r="H11" s="9">
        <f>SUM('Monthly Electricity (Overview)'!G116:G127)</f>
        <v>1603096</v>
      </c>
      <c r="I11" s="9">
        <f>SUM('Monthly Electricity (Overview)'!H116:H127)</f>
        <v>3962058</v>
      </c>
      <c r="J11" s="9">
        <f>SUM('Monthly Electricity (Overview)'!I116:I127)</f>
        <v>17672272</v>
      </c>
      <c r="K11" s="9">
        <f>SUM('Monthly Electricity (Overview)'!J116:J127)</f>
        <v>2713600</v>
      </c>
      <c r="L11" s="9">
        <f>SUM('Monthly Electricity (Overview)'!K116:K127)</f>
        <v>588506</v>
      </c>
      <c r="M11" s="9">
        <f>SUM('Monthly Electricity (Overview)'!L116:L127)</f>
        <v>1461410</v>
      </c>
      <c r="N11" s="9">
        <f>SUM('Monthly Electricity (Overview)'!M116:M127)</f>
        <v>0</v>
      </c>
      <c r="O11" s="9">
        <f>SUM('Monthly Electricity (Overview)'!N116:N127)</f>
        <v>1497696</v>
      </c>
      <c r="P11" s="9">
        <f>SUM('Monthly Electricity (Overview)'!O116:O127)</f>
        <v>473382</v>
      </c>
      <c r="Q11" s="9">
        <f>SUM('Monthly Electricity (Overview)'!P116:P127)</f>
        <v>88374</v>
      </c>
      <c r="R11" s="9">
        <f>SUM('Monthly Electricity (Overview)'!Q116:Q127)</f>
        <v>642018</v>
      </c>
      <c r="S11" s="9"/>
      <c r="T11" s="9">
        <f>SUM('Monthly Electricity (Overview)'!S116:S127)</f>
        <v>35983</v>
      </c>
      <c r="U11" s="9"/>
      <c r="V11" s="9">
        <f>SUM('Monthly Electricity (Overview)'!U116:U127)</f>
        <v>513261</v>
      </c>
      <c r="W11" s="9">
        <f>SUM('Monthly Electricity (Overview)'!V116:V127)</f>
        <v>3037600</v>
      </c>
      <c r="X11" s="9">
        <f>SUM('Monthly Electricity (Overview)'!W116:W127)</f>
        <v>1703030</v>
      </c>
      <c r="Y11" s="9">
        <f>SUM('Monthly Electricity (Overview)'!X116:X127)</f>
        <v>6604565</v>
      </c>
      <c r="Z11" s="9">
        <f>SUM('Monthly Electricity (Overview)'!Y116:Y127)</f>
        <v>9182416</v>
      </c>
      <c r="AA11" s="9">
        <f>SUM('Monthly Electricity (Overview)'!Z116:Z127)</f>
        <v>4291088</v>
      </c>
      <c r="AB11" s="9">
        <f>SUM('Monthly Electricity (Overview)'!AA116:AA127)</f>
        <v>4891328</v>
      </c>
      <c r="AC11" s="9">
        <f>SUM('Monthly Electricity (Overview)'!AB116:AB127)</f>
        <v>19169968</v>
      </c>
      <c r="AD11" s="149"/>
      <c r="AE11" s="9">
        <f>SUM('Monthly Electricity (Overview)'!AD116:AD127)</f>
        <v>1095182</v>
      </c>
      <c r="AF11" s="9"/>
      <c r="AG11" s="9"/>
      <c r="AH11" s="9"/>
      <c r="AI11" s="9"/>
      <c r="AJ11" s="9">
        <f>SUM('Monthly Electricity (Overview)'!AI116:AI127)</f>
        <v>39049</v>
      </c>
      <c r="AK11" s="9">
        <f>SUM('Monthly Electricity (Overview)'!AJ116:AJ127)</f>
        <v>318</v>
      </c>
    </row>
    <row r="12" spans="1:37" x14ac:dyDescent="0.2">
      <c r="A12" s="365" t="s">
        <v>76</v>
      </c>
      <c r="B12" s="185">
        <f>C12+AE12</f>
        <v>104419599</v>
      </c>
      <c r="C12" s="9">
        <f>SUM('Monthly Electricity (Overview)'!B128:B139)</f>
        <v>103383996</v>
      </c>
      <c r="D12" s="9">
        <f>SUM('Monthly Electricity (Overview)'!C128:C139)</f>
        <v>38172904</v>
      </c>
      <c r="E12" s="9">
        <f>SUM('Monthly Electricity (Overview)'!D128:D139)</f>
        <v>5364304</v>
      </c>
      <c r="F12" s="9">
        <f>SUM('Monthly Electricity (Overview)'!E128:E139)</f>
        <v>4931340</v>
      </c>
      <c r="G12" s="9">
        <f>SUM('Monthly Electricity (Overview)'!F128:F139)</f>
        <v>696930</v>
      </c>
      <c r="H12" s="9">
        <f>SUM('Monthly Electricity (Overview)'!G128:G139)</f>
        <v>1761536</v>
      </c>
      <c r="I12" s="9">
        <f>SUM('Monthly Electricity (Overview)'!H128:H139)</f>
        <v>4139929</v>
      </c>
      <c r="J12" s="9">
        <f>SUM('Monthly Electricity (Overview)'!I128:I139)</f>
        <v>17987598</v>
      </c>
      <c r="K12" s="9">
        <f>SUM('Monthly Electricity (Overview)'!J128:J139)</f>
        <v>2904600</v>
      </c>
      <c r="L12" s="9">
        <f>SUM('Monthly Electricity (Overview)'!K128:K139)</f>
        <v>597167</v>
      </c>
      <c r="M12" s="9">
        <f>SUM('Monthly Electricity (Overview)'!L128:L139)</f>
        <v>1386485</v>
      </c>
      <c r="N12" s="9">
        <f>SUM('Monthly Electricity (Overview)'!M128:M139)</f>
        <v>0</v>
      </c>
      <c r="O12" s="9">
        <f>SUM('Monthly Electricity (Overview)'!N128:N139)</f>
        <v>1344476</v>
      </c>
      <c r="P12" s="9">
        <f>SUM('Monthly Electricity (Overview)'!O128:O139)</f>
        <v>512457</v>
      </c>
      <c r="Q12" s="9">
        <f>SUM('Monthly Electricity (Overview)'!P128:P139)</f>
        <v>104933</v>
      </c>
      <c r="R12" s="9">
        <f>SUM('Monthly Electricity (Overview)'!Q128:Q139)</f>
        <v>660039</v>
      </c>
      <c r="S12" s="9"/>
      <c r="T12" s="9">
        <f>SUM('Monthly Electricity (Overview)'!S128:S139)</f>
        <v>179825</v>
      </c>
      <c r="U12" s="9">
        <f>SUM('Monthly Electricity (Overview)'!T128:T139)</f>
        <v>191396</v>
      </c>
      <c r="V12" s="9">
        <f>SUM('Monthly Electricity (Overview)'!U128:U139)</f>
        <v>906282</v>
      </c>
      <c r="W12" s="9">
        <f>SUM('Monthly Electricity (Overview)'!V128:V139)</f>
        <v>3169300</v>
      </c>
      <c r="X12" s="9">
        <f>SUM('Monthly Electricity (Overview)'!W128:W139)</f>
        <v>1736460</v>
      </c>
      <c r="Y12" s="9">
        <f>SUM('Monthly Electricity (Overview)'!X128:X139)</f>
        <v>6819493</v>
      </c>
      <c r="Z12" s="9">
        <f>SUM('Monthly Electricity (Overview)'!Y128:Y139)</f>
        <v>9816543</v>
      </c>
      <c r="AA12" s="9">
        <f>SUM('Monthly Electricity (Overview)'!Z128:Z139)</f>
        <v>4697943</v>
      </c>
      <c r="AB12" s="9">
        <f>SUM('Monthly Electricity (Overview)'!AA128:AA139)</f>
        <v>5118600</v>
      </c>
      <c r="AC12" s="9">
        <f>SUM('Monthly Electricity (Overview)'!AB128:AB139)</f>
        <v>19332074</v>
      </c>
      <c r="AD12" s="149"/>
      <c r="AE12" s="9">
        <f>SUM('Monthly Electricity (Overview)'!AD128:AD139)</f>
        <v>1035603</v>
      </c>
      <c r="AF12" s="9">
        <f>SUM('Monthly Electricity (Overview)'!AE128:AE139)</f>
        <v>2473501</v>
      </c>
      <c r="AG12" s="9">
        <f>SUM('Monthly Electricity (Overview)'!AF128:AF139)</f>
        <v>47610</v>
      </c>
      <c r="AH12" s="9"/>
      <c r="AI12" s="9"/>
      <c r="AJ12" s="9">
        <f>SUM('Monthly Electricity (Overview)'!AI128:AI139)</f>
        <v>130037</v>
      </c>
      <c r="AK12" s="9">
        <f>SUM('Monthly Electricity (Overview)'!AJ128:AJ139)</f>
        <v>239027</v>
      </c>
    </row>
    <row r="13" spans="1:37" x14ac:dyDescent="0.2">
      <c r="A13" s="365" t="s">
        <v>111</v>
      </c>
      <c r="B13" s="586">
        <f t="shared" si="0"/>
        <v>65366173</v>
      </c>
      <c r="C13" s="362">
        <f>SUM('Monthly Electricity (Overview)'!B140:B151)</f>
        <v>64707714</v>
      </c>
      <c r="D13" s="362">
        <f>SUM('Monthly Electricity (Overview)'!C140:C151)</f>
        <v>23013197</v>
      </c>
      <c r="E13" s="362">
        <f>SUM('Monthly Electricity (Overview)'!D140:D151)</f>
        <v>3689935</v>
      </c>
      <c r="F13" s="362">
        <f>SUM('Monthly Electricity (Overview)'!E140:E151)</f>
        <v>2884200</v>
      </c>
      <c r="G13" s="362">
        <f>SUM('Monthly Electricity (Overview)'!F140:F151)</f>
        <v>541000</v>
      </c>
      <c r="H13" s="362">
        <f>SUM('Monthly Electricity (Overview)'!G140:G151)</f>
        <v>959413</v>
      </c>
      <c r="I13" s="362">
        <f>SUM('Monthly Electricity (Overview)'!H140:H151)</f>
        <v>2484219</v>
      </c>
      <c r="J13" s="362">
        <f>SUM('Monthly Electricity (Overview)'!I140:I151)</f>
        <v>11765522</v>
      </c>
      <c r="K13" s="362">
        <f>SUM('Monthly Electricity (Overview)'!J140:J151)</f>
        <v>1657600</v>
      </c>
      <c r="L13" s="362">
        <f>SUM('Monthly Electricity (Overview)'!K140:K151)</f>
        <v>433487</v>
      </c>
      <c r="M13" s="362">
        <f>SUM('Monthly Electricity (Overview)'!L140:L151)</f>
        <v>875933</v>
      </c>
      <c r="N13" s="362">
        <f>SUM('Monthly Electricity (Overview)'!M140:M151)</f>
        <v>0</v>
      </c>
      <c r="O13" s="362">
        <f>SUM('Monthly Electricity (Overview)'!N140:N151)</f>
        <v>1311723</v>
      </c>
      <c r="P13" s="362">
        <f>SUM('Monthly Electricity (Overview)'!O140:O151)</f>
        <v>396637</v>
      </c>
      <c r="Q13" s="362">
        <f>SUM('Monthly Electricity (Overview)'!P140:P151)</f>
        <v>62342</v>
      </c>
      <c r="R13" s="362">
        <f>SUM('Monthly Electricity (Overview)'!Q140:Q151)</f>
        <v>397279</v>
      </c>
      <c r="S13" s="362">
        <f>SUM('Monthly Electricity (Overview)'!R140:R151)</f>
        <v>107949</v>
      </c>
      <c r="T13" s="362">
        <f>SUM('Monthly Electricity (Overview)'!S140:S151)</f>
        <v>201792</v>
      </c>
      <c r="U13" s="362">
        <f>SUM('Monthly Electricity (Overview)'!T140:T151)</f>
        <v>265302</v>
      </c>
      <c r="V13" s="362">
        <f>SUM('Monthly Electricity (Overview)'!U140:U151)</f>
        <v>869452</v>
      </c>
      <c r="W13" s="362">
        <f>SUM('Monthly Electricity (Overview)'!V140:V151)</f>
        <v>1863700</v>
      </c>
      <c r="X13" s="362">
        <f>SUM('Monthly Electricity (Overview)'!W140:W151)</f>
        <v>1069473</v>
      </c>
      <c r="Y13" s="362">
        <f>SUM('Monthly Electricity (Overview)'!X140:X151)</f>
        <v>4072294</v>
      </c>
      <c r="Z13" s="362">
        <f>SUM('Monthly Electricity (Overview)'!Y140:Y151)</f>
        <v>5785265</v>
      </c>
      <c r="AA13" s="362">
        <f>SUM('Monthly Electricity (Overview)'!Z140:Z151)</f>
        <v>2726112</v>
      </c>
      <c r="AB13" s="362">
        <f>SUM('Monthly Electricity (Overview)'!AA140:AA151)</f>
        <v>3059153</v>
      </c>
      <c r="AC13" s="362">
        <f>SUM('Monthly Electricity (Overview)'!AB140:AB151)</f>
        <v>13077245</v>
      </c>
      <c r="AD13" s="149"/>
      <c r="AE13" s="362">
        <f>SUM('Monthly Electricity (Overview)'!AD140:AD151)</f>
        <v>658459</v>
      </c>
      <c r="AF13" s="362">
        <f>SUM('Monthly Electricity (Overview)'!AE140:AE151)</f>
        <v>2273501</v>
      </c>
      <c r="AG13" s="362">
        <f>SUM('Monthly Electricity (Overview)'!AF140:AF151)</f>
        <v>43761</v>
      </c>
      <c r="AH13" s="362">
        <f>SUM('Monthly Electricity (Overview)'!AG140:AG151)</f>
        <v>218496</v>
      </c>
      <c r="AI13" s="362">
        <f>SUM('Monthly Electricity (Overview)'!AH140:AH151)</f>
        <v>81014</v>
      </c>
      <c r="AJ13" s="362">
        <f>SUM('Monthly Electricity (Overview)'!AI140:AI151)</f>
        <v>120650</v>
      </c>
      <c r="AK13" s="362">
        <f>SUM('Monthly Electricity (Overview)'!AJ140:AJ151)</f>
        <v>226889</v>
      </c>
    </row>
    <row r="14" spans="1:37" x14ac:dyDescent="0.2">
      <c r="D14" s="9"/>
    </row>
    <row r="15" spans="1:37" x14ac:dyDescent="0.2">
      <c r="D15" s="9"/>
      <c r="E15" s="9"/>
    </row>
    <row r="16" spans="1:37" x14ac:dyDescent="0.2">
      <c r="D16" s="9"/>
    </row>
    <row r="17" spans="3:4" x14ac:dyDescent="0.2">
      <c r="C17" s="207"/>
      <c r="D17" s="9"/>
    </row>
    <row r="18" spans="3:4" x14ac:dyDescent="0.2">
      <c r="D18" s="9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3CB1-4CE7-A14D-8F8B-9B42A4EA3AE6}">
  <dimension ref="A1:R21"/>
  <sheetViews>
    <sheetView zoomScale="11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B14" sqref="B14"/>
    </sheetView>
  </sheetViews>
  <sheetFormatPr baseColWidth="10" defaultColWidth="10.6640625" defaultRowHeight="15" customHeight="1" x14ac:dyDescent="0.2"/>
  <cols>
    <col min="1" max="1" width="15.33203125" style="366" customWidth="1"/>
    <col min="2" max="2" width="20.6640625" style="8" customWidth="1"/>
    <col min="3" max="15" width="15.6640625" style="8" customWidth="1"/>
    <col min="16" max="16" width="18.33203125" style="8" hidden="1" customWidth="1"/>
    <col min="17" max="17" width="28.33203125" style="8" customWidth="1"/>
    <col min="18" max="18" width="23.33203125" style="8" customWidth="1"/>
    <col min="19" max="16384" width="10.6640625" style="8"/>
  </cols>
  <sheetData>
    <row r="1" spans="1:18" ht="51" x14ac:dyDescent="0.2">
      <c r="A1" s="363" t="s">
        <v>77</v>
      </c>
      <c r="B1" s="65" t="s">
        <v>112</v>
      </c>
      <c r="C1" s="65" t="s">
        <v>41</v>
      </c>
      <c r="D1" s="65" t="s">
        <v>42</v>
      </c>
      <c r="E1" s="65" t="s">
        <v>40</v>
      </c>
      <c r="F1" s="65" t="s">
        <v>43</v>
      </c>
      <c r="G1" s="65" t="s">
        <v>44</v>
      </c>
      <c r="H1" s="65" t="s">
        <v>733</v>
      </c>
      <c r="I1" s="65" t="s">
        <v>732</v>
      </c>
      <c r="J1" s="65" t="s">
        <v>113</v>
      </c>
      <c r="K1" s="65" t="s">
        <v>45</v>
      </c>
      <c r="L1" s="65" t="s">
        <v>46</v>
      </c>
      <c r="M1" s="65" t="s">
        <v>47</v>
      </c>
      <c r="N1" s="65" t="s">
        <v>24</v>
      </c>
      <c r="O1" s="65" t="s">
        <v>91</v>
      </c>
      <c r="P1" s="65" t="s">
        <v>117</v>
      </c>
      <c r="Q1" s="65" t="s">
        <v>115</v>
      </c>
      <c r="R1" s="65" t="s">
        <v>116</v>
      </c>
    </row>
    <row r="2" spans="1:18" ht="17" x14ac:dyDescent="0.2">
      <c r="A2" s="363" t="s">
        <v>118</v>
      </c>
      <c r="B2" s="9">
        <v>66537464</v>
      </c>
      <c r="C2" s="364"/>
      <c r="D2" s="364"/>
      <c r="E2" s="364"/>
      <c r="F2" s="9">
        <v>5319031</v>
      </c>
      <c r="G2" s="364"/>
      <c r="H2" s="364"/>
      <c r="I2" s="364"/>
      <c r="J2" s="364"/>
      <c r="K2" s="364"/>
      <c r="L2" s="9">
        <v>1541135</v>
      </c>
      <c r="M2" s="9">
        <v>7622248</v>
      </c>
      <c r="N2" s="9"/>
      <c r="O2" s="9"/>
      <c r="P2" s="9">
        <v>8266497</v>
      </c>
      <c r="Q2" s="361">
        <f>SUM(B2:P2)</f>
        <v>89286375</v>
      </c>
      <c r="R2" s="361">
        <f>Q2-L2</f>
        <v>87745240</v>
      </c>
    </row>
    <row r="3" spans="1:18" ht="16" x14ac:dyDescent="0.2">
      <c r="A3" s="365" t="s">
        <v>58</v>
      </c>
      <c r="B3" s="9">
        <v>67393898</v>
      </c>
      <c r="C3" s="364"/>
      <c r="D3" s="364"/>
      <c r="E3" s="364"/>
      <c r="F3" s="9">
        <v>5600308</v>
      </c>
      <c r="G3" s="364"/>
      <c r="H3" s="364"/>
      <c r="I3" s="364"/>
      <c r="J3" s="364"/>
      <c r="K3" s="364"/>
      <c r="L3" s="9">
        <v>1858865</v>
      </c>
      <c r="M3" s="9">
        <v>9972879</v>
      </c>
      <c r="N3" s="9">
        <f>SUM('Monthly Electricity (Overview)'!AA8:AA19)</f>
        <v>4661493</v>
      </c>
      <c r="O3" s="9">
        <f>SUM('Monthly Electricity (Overview)'!Z8:Z19)</f>
        <v>3418093</v>
      </c>
      <c r="P3" s="9">
        <v>8079586</v>
      </c>
      <c r="Q3" s="361">
        <f t="shared" ref="Q3:Q8" si="0">SUM(B3:O3)</f>
        <v>92905536</v>
      </c>
      <c r="R3" s="361">
        <f t="shared" ref="R3:R9" si="1">Q3-L3</f>
        <v>91046671</v>
      </c>
    </row>
    <row r="4" spans="1:18" ht="16" x14ac:dyDescent="0.2">
      <c r="A4" s="365" t="s">
        <v>61</v>
      </c>
      <c r="B4" s="9">
        <v>49463702</v>
      </c>
      <c r="C4" s="9">
        <v>16770100</v>
      </c>
      <c r="D4" s="9">
        <v>1700914</v>
      </c>
      <c r="E4" s="9">
        <v>3645309</v>
      </c>
      <c r="F4" s="9">
        <v>3131115</v>
      </c>
      <c r="G4" s="9">
        <v>2552993</v>
      </c>
      <c r="H4" s="9"/>
      <c r="I4" s="9"/>
      <c r="J4" s="9"/>
      <c r="K4" s="9">
        <v>1485087</v>
      </c>
      <c r="L4" s="9">
        <v>1698200</v>
      </c>
      <c r="M4" s="9">
        <v>7357743</v>
      </c>
      <c r="N4" s="9">
        <f>SUM('Monthly Electricity (Overview)'!AA20:AA31)</f>
        <v>4436843</v>
      </c>
      <c r="O4" s="9">
        <f>SUM('Monthly Electricity (Overview)'!Z20:Z31)</f>
        <v>3558064</v>
      </c>
      <c r="P4" s="9">
        <v>7994907</v>
      </c>
      <c r="Q4" s="361">
        <f t="shared" si="0"/>
        <v>95800070</v>
      </c>
      <c r="R4" s="361">
        <f t="shared" si="1"/>
        <v>94101870</v>
      </c>
    </row>
    <row r="5" spans="1:18" ht="16" x14ac:dyDescent="0.2">
      <c r="A5" s="365" t="s">
        <v>63</v>
      </c>
      <c r="B5" s="9">
        <v>48006917</v>
      </c>
      <c r="C5" s="9">
        <v>16665790</v>
      </c>
      <c r="D5" s="9">
        <v>1730081</v>
      </c>
      <c r="E5" s="9">
        <v>5024155</v>
      </c>
      <c r="F5" s="9">
        <v>3213275</v>
      </c>
      <c r="G5" s="9">
        <v>2598423</v>
      </c>
      <c r="H5" s="9"/>
      <c r="I5" s="9"/>
      <c r="J5" s="9"/>
      <c r="K5" s="9">
        <v>1687180</v>
      </c>
      <c r="L5" s="9">
        <v>1234776</v>
      </c>
      <c r="M5" s="9">
        <v>7229580</v>
      </c>
      <c r="N5" s="9">
        <f>SUM('Monthly Electricity (Overview)'!AA32:AA43)</f>
        <v>3439106</v>
      </c>
      <c r="O5" s="9">
        <f>SUM('Monthly Electricity (Overview)'!Z32:Z43)</f>
        <v>3657075</v>
      </c>
      <c r="P5" s="9">
        <v>7096181</v>
      </c>
      <c r="Q5" s="361">
        <f t="shared" si="0"/>
        <v>94486358</v>
      </c>
      <c r="R5" s="361">
        <f t="shared" si="1"/>
        <v>93251582</v>
      </c>
    </row>
    <row r="6" spans="1:18" ht="16" x14ac:dyDescent="0.2">
      <c r="A6" s="365" t="s">
        <v>64</v>
      </c>
      <c r="B6" s="9">
        <v>45714514</v>
      </c>
      <c r="C6" s="9">
        <v>16384824</v>
      </c>
      <c r="D6" s="9">
        <v>1804895</v>
      </c>
      <c r="E6" s="9">
        <v>5097362</v>
      </c>
      <c r="F6" s="9">
        <v>3326876</v>
      </c>
      <c r="G6" s="9">
        <v>2668682</v>
      </c>
      <c r="H6" s="9"/>
      <c r="I6" s="9"/>
      <c r="J6" s="9"/>
      <c r="K6" s="9">
        <v>1903435</v>
      </c>
      <c r="L6" s="9">
        <v>2016215</v>
      </c>
      <c r="M6" s="9">
        <v>6776467</v>
      </c>
      <c r="N6" s="9">
        <f>SUM('Monthly Electricity (Overview)'!AA44:AA55)</f>
        <v>4000347</v>
      </c>
      <c r="O6" s="9">
        <f>SUM('Monthly Electricity (Overview)'!Z44:Z55)</f>
        <v>3272833</v>
      </c>
      <c r="P6" s="9">
        <v>7273180</v>
      </c>
      <c r="Q6" s="361">
        <f t="shared" si="0"/>
        <v>92966450</v>
      </c>
      <c r="R6" s="361">
        <f t="shared" si="1"/>
        <v>90950235</v>
      </c>
    </row>
    <row r="7" spans="1:18" ht="16" x14ac:dyDescent="0.2">
      <c r="A7" s="365" t="s">
        <v>65</v>
      </c>
      <c r="B7" s="9">
        <v>45233408</v>
      </c>
      <c r="C7" s="9">
        <v>17377146</v>
      </c>
      <c r="D7" s="9">
        <v>1782046</v>
      </c>
      <c r="E7" s="9">
        <v>5130335</v>
      </c>
      <c r="F7" s="9">
        <v>3145915</v>
      </c>
      <c r="G7" s="9">
        <v>681596</v>
      </c>
      <c r="H7" s="9"/>
      <c r="I7" s="9"/>
      <c r="J7" s="9"/>
      <c r="K7" s="9">
        <v>1649404</v>
      </c>
      <c r="L7" s="9">
        <v>913798</v>
      </c>
      <c r="M7" s="9">
        <v>6477491</v>
      </c>
      <c r="N7" s="9">
        <f>SUM('Monthly Electricity (Overview)'!AA56:AA67)</f>
        <v>3939463</v>
      </c>
      <c r="O7" s="9">
        <f>SUM('Monthly Electricity (Overview)'!Z56:Z67)</f>
        <v>3855492</v>
      </c>
      <c r="P7" s="9">
        <v>7794955</v>
      </c>
      <c r="Q7" s="361">
        <f t="shared" si="0"/>
        <v>90186094</v>
      </c>
      <c r="R7" s="361">
        <f t="shared" si="1"/>
        <v>89272296</v>
      </c>
    </row>
    <row r="8" spans="1:18" ht="16" x14ac:dyDescent="0.2">
      <c r="A8" s="365" t="s">
        <v>66</v>
      </c>
      <c r="B8" s="9">
        <v>47175537</v>
      </c>
      <c r="C8" s="9">
        <v>14469480</v>
      </c>
      <c r="D8" s="9">
        <v>1734286</v>
      </c>
      <c r="E8" s="9">
        <v>4687192</v>
      </c>
      <c r="F8" s="9">
        <v>2809718</v>
      </c>
      <c r="G8" s="9">
        <v>645509</v>
      </c>
      <c r="H8" s="9"/>
      <c r="I8" s="9"/>
      <c r="J8" s="9"/>
      <c r="K8" s="9">
        <v>1315160</v>
      </c>
      <c r="L8" s="9">
        <v>870935</v>
      </c>
      <c r="M8" s="9">
        <v>5611932</v>
      </c>
      <c r="N8" s="9">
        <f>SUM('Monthly Electricity (Overview)'!AA68:AA79)</f>
        <v>4707939</v>
      </c>
      <c r="O8" s="9">
        <f>SUM('Monthly Electricity (Overview)'!Z68:Z79)</f>
        <v>3325556</v>
      </c>
      <c r="P8" s="9">
        <v>8033495</v>
      </c>
      <c r="Q8" s="361">
        <f t="shared" si="0"/>
        <v>87353244</v>
      </c>
      <c r="R8" s="361">
        <f t="shared" si="1"/>
        <v>86482309</v>
      </c>
    </row>
    <row r="9" spans="1:18" ht="16" x14ac:dyDescent="0.2">
      <c r="A9" s="365" t="s">
        <v>68</v>
      </c>
      <c r="B9" s="9">
        <f>SUM('Monthly Electricity Reformatted'!B2:B13)</f>
        <v>47127781.249896392</v>
      </c>
      <c r="C9" s="9">
        <f>SUM('Monthly Electricity Reformatted'!C2:C13)</f>
        <v>16098298.750103623</v>
      </c>
      <c r="D9" s="9">
        <f>SUM('Monthly Electricity Reformatted'!D2:D13)</f>
        <v>1731267</v>
      </c>
      <c r="E9" s="9">
        <f>SUM('Monthly Electricity Reformatted'!E2:E13)</f>
        <v>4563321</v>
      </c>
      <c r="F9" s="9">
        <f>SUM('Monthly Electricity Reformatted'!F2:F13)</f>
        <v>2719509</v>
      </c>
      <c r="G9" s="9">
        <f>SUM('Monthly Electricity Reformatted'!G2:G13)</f>
        <v>706462</v>
      </c>
      <c r="H9" s="9"/>
      <c r="I9" s="9"/>
      <c r="J9" s="9"/>
      <c r="K9" s="9">
        <f>SUM('Monthly Electricity Reformatted'!K2:K13)</f>
        <v>1012439</v>
      </c>
      <c r="L9" s="9">
        <f>SUM('Monthly Electricity Reformatted'!L2:L13)</f>
        <v>915556</v>
      </c>
      <c r="M9" s="9">
        <f>SUM('Monthly Electricity Reformatted'!M2:M13)</f>
        <v>7235988</v>
      </c>
      <c r="N9" s="9">
        <f>SUM('Monthly Electricity Reformatted'!N2:N13)</f>
        <v>4931331</v>
      </c>
      <c r="O9" s="9">
        <f>SUM('Monthly Electricity Reformatted'!O2:O13)</f>
        <v>3263145</v>
      </c>
      <c r="P9" s="9">
        <f>SUM('Monthly Electricity Reformatted'!P2:P13)</f>
        <v>8194476</v>
      </c>
      <c r="Q9" s="361">
        <f>SUM(B9:O9)</f>
        <v>90305098.000000015</v>
      </c>
      <c r="R9" s="361">
        <f t="shared" si="1"/>
        <v>89389542.000000015</v>
      </c>
    </row>
    <row r="10" spans="1:18" ht="16" x14ac:dyDescent="0.2">
      <c r="A10" s="365" t="s">
        <v>70</v>
      </c>
      <c r="B10" s="9">
        <f>SUM('Monthly Electricity Reformatted'!B14:B25)</f>
        <v>47800292.8000848</v>
      </c>
      <c r="C10" s="9">
        <f>SUM('Monthly Electricity Reformatted'!C14:C25)</f>
        <v>16113173.199915197</v>
      </c>
      <c r="D10" s="9">
        <f>SUM('Monthly Electricity Reformatted'!D14:D25)</f>
        <v>1606903</v>
      </c>
      <c r="E10" s="9">
        <f>SUM('Monthly Electricity Reformatted'!E14:E25)</f>
        <v>4504535</v>
      </c>
      <c r="F10" s="9">
        <f>SUM('Monthly Electricity Reformatted'!F14:F25)</f>
        <v>2688466</v>
      </c>
      <c r="G10" s="9">
        <f>SUM('Monthly Electricity Reformatted'!G14:G25)</f>
        <v>625243</v>
      </c>
      <c r="H10" s="9"/>
      <c r="I10" s="9"/>
      <c r="J10" s="9"/>
      <c r="K10" s="9">
        <f>SUM('Monthly Electricity Reformatted'!K14:K25)</f>
        <v>1013635</v>
      </c>
      <c r="L10" s="9">
        <f>SUM('Monthly Electricity Reformatted'!L14:L25)</f>
        <v>876124</v>
      </c>
      <c r="M10" s="9">
        <f>SUM('Monthly Electricity Reformatted'!M14:M25)</f>
        <v>8034434</v>
      </c>
      <c r="N10" s="9">
        <f>SUM('Monthly Electricity Reformatted'!N14:N25)</f>
        <v>4653391</v>
      </c>
      <c r="O10" s="9">
        <f>SUM('Monthly Electricity Reformatted'!O14:O25)</f>
        <v>3480083</v>
      </c>
      <c r="P10" s="9">
        <f>SUM('Monthly Electricity Reformatted'!P14:P25)</f>
        <v>8133474</v>
      </c>
      <c r="Q10" s="361">
        <f t="shared" ref="Q10:Q12" si="2">SUM(B10:O10)</f>
        <v>91396280</v>
      </c>
      <c r="R10" s="361">
        <f>SUM('Monthly Electricity Reformatted'!R14:R25)</f>
        <v>90520156</v>
      </c>
    </row>
    <row r="11" spans="1:18" ht="16" x14ac:dyDescent="0.2">
      <c r="A11" s="365" t="s">
        <v>72</v>
      </c>
      <c r="B11" s="9">
        <f>SUM('Monthly Electricity Reformatted'!B26:B37)</f>
        <v>48777120.4142472</v>
      </c>
      <c r="C11" s="9">
        <f>SUM('Monthly Electricity Reformatted'!C26:C37)</f>
        <v>16935746.5857528</v>
      </c>
      <c r="D11" s="9">
        <f>SUM('Monthly Electricity Reformatted'!D26:D37)</f>
        <v>1632560</v>
      </c>
      <c r="E11" s="9">
        <f>SUM('Monthly Electricity Reformatted'!E26:E37)</f>
        <v>4412027</v>
      </c>
      <c r="F11" s="9">
        <f>SUM('Monthly Electricity Reformatted'!F26:F37)</f>
        <v>2699255</v>
      </c>
      <c r="G11" s="9">
        <f>SUM('Monthly Electricity Reformatted'!G26:G37)</f>
        <v>654339</v>
      </c>
      <c r="H11" s="9"/>
      <c r="I11" s="9"/>
      <c r="J11" s="9"/>
      <c r="K11" s="9">
        <f>SUM('Monthly Electricity Reformatted'!K26:K37)</f>
        <v>1222009</v>
      </c>
      <c r="L11" s="9">
        <f>SUM('Monthly Electricity Reformatted'!L26:L37)</f>
        <v>861699</v>
      </c>
      <c r="M11" s="9">
        <f>SUM('Monthly Electricity Reformatted'!M26:M37)</f>
        <v>10037977</v>
      </c>
      <c r="N11" s="9">
        <f>SUM('Monthly Electricity Reformatted'!N26:N37)</f>
        <v>4585511</v>
      </c>
      <c r="O11" s="9">
        <f>SUM('Monthly Electricity Reformatted'!O26:O37)</f>
        <v>4058505</v>
      </c>
      <c r="P11" s="9">
        <f>SUM('Monthly Electricity Reformatted'!P26:P37)</f>
        <v>8644016</v>
      </c>
      <c r="Q11" s="361">
        <f t="shared" si="2"/>
        <v>95876749</v>
      </c>
      <c r="R11" s="361">
        <f>SUM('Monthly Electricity Reformatted'!R26:R37)</f>
        <v>95015050</v>
      </c>
    </row>
    <row r="12" spans="1:18" ht="16" x14ac:dyDescent="0.2">
      <c r="A12" s="365" t="s">
        <v>74</v>
      </c>
      <c r="B12" s="9">
        <f>SUM('Monthly Electricity Reformatted'!B38:B49)</f>
        <v>46952373</v>
      </c>
      <c r="C12" s="9">
        <f>SUM('Monthly Electricity Reformatted'!C38:C49)</f>
        <v>17672272</v>
      </c>
      <c r="D12" s="9">
        <f>SUM('Monthly Electricity Reformatted'!D38:D49)</f>
        <v>1497696</v>
      </c>
      <c r="E12" s="9">
        <f>SUM('Monthly Electricity Reformatted'!E38:E49)</f>
        <v>4746630</v>
      </c>
      <c r="F12" s="9">
        <f>SUM('Monthly Electricity Reformatted'!F38:F49)</f>
        <v>2713600</v>
      </c>
      <c r="G12" s="9">
        <f>SUM('Monthly Electricity Reformatted'!G38:G49)</f>
        <v>588506</v>
      </c>
      <c r="H12" s="9"/>
      <c r="I12" s="9">
        <f>SUM('Monthly Electricity Reformatted'!I38:I49)</f>
        <v>35983</v>
      </c>
      <c r="J12" s="9"/>
      <c r="K12" s="9">
        <f>SUM('Monthly Electricity Reformatted'!K38:K49)</f>
        <v>1461410</v>
      </c>
      <c r="L12" s="9">
        <f>SUM('Monthly Electricity Reformatted'!L38:L49)</f>
        <v>909181</v>
      </c>
      <c r="M12" s="9">
        <f>SUM('Monthly Electricity Reformatted'!M38:M49)</f>
        <v>12953638</v>
      </c>
      <c r="N12" s="9">
        <f>SUM('Monthly Electricity Reformatted'!N38:N49)</f>
        <v>4891328</v>
      </c>
      <c r="O12" s="9">
        <f>SUM('Monthly Electricity Reformatted'!O38:O49)</f>
        <v>4291088</v>
      </c>
      <c r="P12" s="9">
        <f>SUM('Monthly Electricity Reformatted'!P38:P49)</f>
        <v>9182416</v>
      </c>
      <c r="Q12" s="361">
        <f t="shared" si="2"/>
        <v>98713705</v>
      </c>
      <c r="R12" s="361">
        <f>SUM('Monthly Electricity Reformatted'!R38:R49)</f>
        <v>97804524</v>
      </c>
    </row>
    <row r="13" spans="1:18" ht="16" x14ac:dyDescent="0.2">
      <c r="A13" s="365" t="s">
        <v>76</v>
      </c>
      <c r="B13" s="9">
        <f>SUM('Monthly Electricity Reformatted'!B50:B61)</f>
        <v>51413032</v>
      </c>
      <c r="C13" s="9">
        <f>SUM('Monthly Electricity Reformatted'!C50:C61)</f>
        <v>17987598</v>
      </c>
      <c r="D13" s="9">
        <f>SUM('Monthly Electricity Reformatted'!D50:D61)</f>
        <v>1344476</v>
      </c>
      <c r="E13" s="9">
        <f>SUM('Monthly Electricity Reformatted'!E50:E61)</f>
        <v>4931340</v>
      </c>
      <c r="F13" s="9">
        <f>SUM('Monthly Electricity Reformatted'!F50:F61)</f>
        <v>2904600</v>
      </c>
      <c r="G13" s="9">
        <f>SUM('Monthly Electricity Reformatted'!G50:G61)</f>
        <v>597167</v>
      </c>
      <c r="H13" s="9"/>
      <c r="I13" s="9">
        <f>SUM('Monthly Electricity Reformatted'!I50:I61)</f>
        <v>179825</v>
      </c>
      <c r="J13" s="9">
        <f>SUM('Monthly Electricity Reformatted'!J50:J61)</f>
        <v>191396</v>
      </c>
      <c r="K13" s="9">
        <f>SUM('Monthly Electricity Reformatted'!K50:K61)</f>
        <v>1386485</v>
      </c>
      <c r="L13" s="9">
        <f>SUM('Monthly Electricity Reformatted'!L50:L61)</f>
        <v>818470</v>
      </c>
      <c r="M13" s="9">
        <f>SUM('Monthly Electricity Reformatted'!M50:M61)</f>
        <v>13667138</v>
      </c>
      <c r="N13" s="9">
        <f>SUM('Monthly Electricity Reformatted'!N50:N61)</f>
        <v>5118600</v>
      </c>
      <c r="O13" s="9">
        <f>SUM('Monthly Electricity Reformatted'!O50:O61)</f>
        <v>4697943</v>
      </c>
      <c r="P13" s="9">
        <f>SUM('Monthly Electricity Reformatted'!P50:P61)</f>
        <v>9816543</v>
      </c>
      <c r="Q13" s="361">
        <f>SUM(B13:O13)</f>
        <v>105238070</v>
      </c>
      <c r="R13" s="361">
        <f>SUM('Monthly Electricity Reformatted'!R50:R61)</f>
        <v>104419600</v>
      </c>
    </row>
    <row r="14" spans="1:18" ht="15" customHeight="1" x14ac:dyDescent="0.2">
      <c r="A14" s="514" t="s">
        <v>111</v>
      </c>
      <c r="B14" s="362">
        <f>SUM('Monthly Electricity Reformatted'!B62:B73)</f>
        <v>31544022</v>
      </c>
      <c r="C14" s="362">
        <f>SUM('Monthly Electricity Reformatted'!C62:C73)</f>
        <v>11765522</v>
      </c>
      <c r="D14" s="362">
        <f>SUM('Monthly Electricity Reformatted'!D62:D73)</f>
        <v>1311723</v>
      </c>
      <c r="E14" s="362">
        <f>SUM('Monthly Electricity Reformatted'!E62:E73)</f>
        <v>2884200</v>
      </c>
      <c r="F14" s="362">
        <f>SUM('Monthly Electricity Reformatted'!F62:F73)</f>
        <v>1657600</v>
      </c>
      <c r="G14" s="362">
        <f>SUM('Monthly Electricity Reformatted'!G62:G73)</f>
        <v>433487</v>
      </c>
      <c r="H14" s="362">
        <f>SUM('Monthly Electricity Reformatted'!H62:H73)</f>
        <v>107949</v>
      </c>
      <c r="I14" s="362">
        <f>SUM('Monthly Electricity Reformatted'!I62:I73)</f>
        <v>201792</v>
      </c>
      <c r="J14" s="362">
        <f>SUM('Monthly Electricity Reformatted'!J62:J73)</f>
        <v>265302</v>
      </c>
      <c r="K14" s="362">
        <f>SUM('Monthly Electricity Reformatted'!K62:K73)</f>
        <v>875933</v>
      </c>
      <c r="L14" s="362">
        <f>SUM('Monthly Electricity Reformatted'!L62:L73)</f>
        <v>0</v>
      </c>
      <c r="M14" s="362">
        <f>SUM('Monthly Electricity Reformatted'!M62:M73)</f>
        <v>8533378</v>
      </c>
      <c r="N14" s="362">
        <f>SUM('Monthly Electricity Reformatted'!N62:N73)</f>
        <v>3059153</v>
      </c>
      <c r="O14" s="362">
        <f>SUM('Monthly Electricity Reformatted'!O62:O73)</f>
        <v>2726112</v>
      </c>
      <c r="P14" s="362">
        <f>SUM('Monthly Electricity Reformatted'!P62:P73)</f>
        <v>3006301</v>
      </c>
      <c r="Q14" s="362">
        <f>SUM('Monthly Electricity Reformatted'!Q62:Q73)</f>
        <v>65366173</v>
      </c>
      <c r="R14" s="362">
        <f>SUM('Monthly Electricity Reformatted'!R62:R73)</f>
        <v>65366173</v>
      </c>
    </row>
    <row r="15" spans="1:18" ht="15" customHeight="1" x14ac:dyDescent="0.2">
      <c r="Q15" s="9"/>
    </row>
    <row r="16" spans="1:18" ht="15" customHeight="1" x14ac:dyDescent="0.2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407"/>
      <c r="N16" s="139"/>
      <c r="O16" s="139"/>
      <c r="P16" s="9"/>
      <c r="Q16" s="139"/>
      <c r="R16" s="9"/>
    </row>
    <row r="17" spans="1:17" ht="15" customHeight="1" x14ac:dyDescent="0.2">
      <c r="Q17" s="139"/>
    </row>
    <row r="20" spans="1:17" s="207" customFormat="1" ht="15" customHeight="1" x14ac:dyDescent="0.2">
      <c r="A20" s="524" t="s">
        <v>119</v>
      </c>
      <c r="B20" s="207">
        <f t="shared" ref="B20:M20" si="3">B13/$Q$13</f>
        <v>0.48854024023815718</v>
      </c>
      <c r="C20" s="207">
        <f t="shared" si="3"/>
        <v>0.17092291791364095</v>
      </c>
      <c r="D20" s="207">
        <f t="shared" si="3"/>
        <v>1.2775566864728706E-2</v>
      </c>
      <c r="E20" s="207">
        <f t="shared" si="3"/>
        <v>4.6858898115482356E-2</v>
      </c>
      <c r="F20" s="207">
        <f t="shared" si="3"/>
        <v>2.7600278112283893E-2</v>
      </c>
      <c r="G20" s="207">
        <f t="shared" si="3"/>
        <v>5.6744389173993782E-3</v>
      </c>
      <c r="J20" s="207">
        <f t="shared" si="3"/>
        <v>1.8186954587821689E-3</v>
      </c>
      <c r="K20" s="207">
        <f t="shared" si="3"/>
        <v>1.3174747503446233E-2</v>
      </c>
      <c r="L20" s="207">
        <f t="shared" si="3"/>
        <v>7.777318607230254E-3</v>
      </c>
      <c r="M20" s="207">
        <f t="shared" si="3"/>
        <v>0.12986876327169436</v>
      </c>
      <c r="N20" s="207">
        <f>P13/$Q$13</f>
        <v>9.3279390243473675E-2</v>
      </c>
    </row>
    <row r="21" spans="1:17" ht="15" customHeight="1" x14ac:dyDescent="0.2">
      <c r="A21" s="366" t="s">
        <v>120</v>
      </c>
      <c r="B21" s="207">
        <f>B20*'Scope 2'!$N$8</f>
        <v>0.485727850793234</v>
      </c>
      <c r="C21" s="207">
        <f>C20*'Scope 2'!$N$8</f>
        <v>0.16993896250804025</v>
      </c>
      <c r="D21" s="207">
        <f>D20*'Scope 2'!$N$8</f>
        <v>1.2702021501534554E-2</v>
      </c>
      <c r="E21" s="207">
        <f>E20*'Scope 2'!$N$8</f>
        <v>4.6589144552507747E-2</v>
      </c>
      <c r="F21" s="207">
        <f>F20*'Scope 2'!$N$8</f>
        <v>2.7441391035137305E-2</v>
      </c>
      <c r="G21" s="207">
        <f>G20*'Scope 2'!$N$8</f>
        <v>5.6417727605452862E-3</v>
      </c>
      <c r="H21" s="207"/>
      <c r="I21" s="207"/>
      <c r="J21" s="207">
        <f>J20*'Scope 2'!$N$8</f>
        <v>1.8082257379884114E-3</v>
      </c>
      <c r="K21" s="207">
        <f>K20*'Scope 2'!$N$8</f>
        <v>1.3098904169025802E-2</v>
      </c>
      <c r="L21" s="207">
        <f>L20*'Scope 2'!$N$8</f>
        <v>7.7325467604932967E-3</v>
      </c>
      <c r="M21" s="207">
        <f>M20*'Scope 2'!$N$8</f>
        <v>0.12912114514535028</v>
      </c>
      <c r="N21" s="207">
        <f>N20*'Scope 2'!$N$8</f>
        <v>9.2742406898106408E-2</v>
      </c>
      <c r="O21" s="207"/>
      <c r="P21" s="207"/>
    </row>
  </sheetData>
  <pageMargins left="0.7" right="0.7" top="0.75" bottom="0.75" header="0.3" footer="0.3"/>
  <pageSetup paperSize="9" orientation="portrait" horizontalDpi="0" verticalDpi="0"/>
  <ignoredErrors>
    <ignoredError sqref="N3:N8 O3:O8" formulaRange="1"/>
  </ignoredErrors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CDDF-B59E-4343-AAB7-6E4B5668B83C}">
  <dimension ref="A1:AM73"/>
  <sheetViews>
    <sheetView workbookViewId="0">
      <pane xSplit="1" ySplit="1" topLeftCell="AF40" activePane="bottomRight" state="frozen"/>
      <selection pane="topRight" activeCell="B1" sqref="B1"/>
      <selection pane="bottomLeft" activeCell="A2" sqref="A2"/>
      <selection pane="bottomRight" activeCell="AL61" sqref="AL61"/>
    </sheetView>
  </sheetViews>
  <sheetFormatPr baseColWidth="10" defaultColWidth="10.6640625" defaultRowHeight="16" x14ac:dyDescent="0.2"/>
  <cols>
    <col min="1" max="1" width="10.6640625" style="18"/>
    <col min="2" max="3" width="29.5" style="55" customWidth="1"/>
    <col min="4" max="4" width="10.83203125" style="55" customWidth="1"/>
    <col min="5" max="6" width="15.6640625" style="55" customWidth="1"/>
    <col min="7" max="7" width="10.83203125" style="55" customWidth="1"/>
    <col min="8" max="9" width="15.6640625" style="55" customWidth="1"/>
    <col min="10" max="10" width="10.83203125" style="55" customWidth="1"/>
    <col min="11" max="12" width="15.6640625" style="55" customWidth="1"/>
    <col min="13" max="13" width="10.83203125" style="55" customWidth="1"/>
    <col min="14" max="15" width="15.6640625" style="55" customWidth="1"/>
    <col min="16" max="16" width="10.83203125" style="55" customWidth="1"/>
    <col min="17" max="18" width="15.6640625" style="55" customWidth="1"/>
    <col min="19" max="19" width="10.83203125" style="55" customWidth="1"/>
    <col min="20" max="21" width="15.6640625" style="55" customWidth="1"/>
    <col min="22" max="22" width="10.83203125" style="55" customWidth="1"/>
    <col min="23" max="24" width="15.6640625" style="55" customWidth="1"/>
    <col min="25" max="25" width="10.83203125" style="55" customWidth="1"/>
    <col min="26" max="26" width="22.1640625" style="55" customWidth="1"/>
    <col min="27" max="28" width="15.6640625" style="55" customWidth="1"/>
    <col min="29" max="29" width="10.83203125" style="55" customWidth="1"/>
    <col min="30" max="31" width="28" style="55" customWidth="1"/>
    <col min="32" max="32" width="10.83203125" style="55" customWidth="1"/>
    <col min="33" max="35" width="30.6640625" style="55" customWidth="1"/>
    <col min="36" max="36" width="10.83203125" style="55" customWidth="1"/>
    <col min="37" max="37" width="15.6640625" style="55" customWidth="1"/>
    <col min="38" max="38" width="20.6640625" style="55" customWidth="1"/>
    <col min="39" max="39" width="12.6640625" style="55" bestFit="1" customWidth="1"/>
    <col min="40" max="16384" width="10.6640625" style="55"/>
  </cols>
  <sheetData>
    <row r="1" spans="1:37" ht="34" x14ac:dyDescent="0.2">
      <c r="A1" s="132" t="s">
        <v>77</v>
      </c>
      <c r="B1" s="65" t="s">
        <v>112</v>
      </c>
      <c r="C1" s="518" t="s">
        <v>112</v>
      </c>
      <c r="D1" s="12"/>
      <c r="E1" s="65" t="s">
        <v>41</v>
      </c>
      <c r="F1" s="518" t="s">
        <v>41</v>
      </c>
      <c r="G1" s="12"/>
      <c r="H1" s="65" t="s">
        <v>42</v>
      </c>
      <c r="I1" s="518" t="s">
        <v>42</v>
      </c>
      <c r="J1" s="12"/>
      <c r="K1" s="65" t="s">
        <v>40</v>
      </c>
      <c r="L1" s="518" t="s">
        <v>40</v>
      </c>
      <c r="M1" s="12"/>
      <c r="N1" s="65" t="s">
        <v>43</v>
      </c>
      <c r="O1" s="518" t="s">
        <v>43</v>
      </c>
      <c r="P1" s="12"/>
      <c r="Q1" s="65" t="s">
        <v>44</v>
      </c>
      <c r="R1" s="518" t="s">
        <v>44</v>
      </c>
      <c r="S1" s="12"/>
      <c r="T1" s="65" t="s">
        <v>113</v>
      </c>
      <c r="U1" s="518" t="s">
        <v>113</v>
      </c>
      <c r="V1" s="519"/>
      <c r="W1" s="65" t="s">
        <v>45</v>
      </c>
      <c r="X1" s="518" t="s">
        <v>45</v>
      </c>
      <c r="Y1" s="12"/>
      <c r="Z1" s="65" t="s">
        <v>46</v>
      </c>
      <c r="AA1" s="65" t="s">
        <v>47</v>
      </c>
      <c r="AB1" s="518" t="s">
        <v>47</v>
      </c>
      <c r="AC1" s="12"/>
      <c r="AD1" s="65" t="s">
        <v>114</v>
      </c>
      <c r="AE1" s="518" t="s">
        <v>114</v>
      </c>
      <c r="AF1" s="12"/>
      <c r="AG1" s="65" t="s">
        <v>115</v>
      </c>
      <c r="AH1" s="65" t="s">
        <v>116</v>
      </c>
      <c r="AI1" s="518" t="s">
        <v>116</v>
      </c>
      <c r="AK1" s="55" t="s">
        <v>88</v>
      </c>
    </row>
    <row r="2" spans="1:37" ht="17" x14ac:dyDescent="0.2">
      <c r="A2" s="312">
        <v>44013</v>
      </c>
      <c r="B2" s="56">
        <f>'Monthly Electricity (Overview)'!B80-'Monthly Electricity (Overview)'!E80-SUM('Monthly Electricity (Overview)'!I80:N80)-SUM('Monthly Electricity (Overview)'!X80:Y80)+'Monthly Electricity (Overview)'!AD80</f>
        <v>4148454.4499999993</v>
      </c>
      <c r="C2" s="56">
        <f>'Monthly Electricity (Overview)'!B80-'Monthly Electricity (Overview)'!E80-SUM('Monthly Electricity (Overview)'!I80:N80)-SUM('Monthly Electricity (Overview)'!T80:Y80)</f>
        <v>4086378.4499999993</v>
      </c>
      <c r="D2" s="517" t="b">
        <f>IF(B2=C2,"/")</f>
        <v>0</v>
      </c>
      <c r="E2" s="56">
        <f>'Monthly Electricity (Overview)'!I80</f>
        <v>2154407.5500000003</v>
      </c>
      <c r="F2" s="56">
        <f>'Monthly Electricity (Overview)'!I80</f>
        <v>2154407.5500000003</v>
      </c>
      <c r="G2" s="517" t="str">
        <f>IF(E2=F2,"/")</f>
        <v>/</v>
      </c>
      <c r="H2" s="56">
        <f>'Monthly Electricity (Overview)'!N80</f>
        <v>242508</v>
      </c>
      <c r="I2" s="56">
        <f>'Monthly Electricity (Overview)'!N80</f>
        <v>242508</v>
      </c>
      <c r="J2" s="517" t="str">
        <f>IF(H2=I2,"/")</f>
        <v>/</v>
      </c>
      <c r="K2" s="56">
        <f>'Monthly Electricity (Overview)'!E80</f>
        <v>404540</v>
      </c>
      <c r="L2" s="56">
        <f>'Monthly Electricity (Overview)'!E80</f>
        <v>404540</v>
      </c>
      <c r="M2" s="517" t="str">
        <f>IF(K2=L2,"/")</f>
        <v>/</v>
      </c>
      <c r="N2" s="56">
        <f>'Monthly Electricity (Overview)'!J80</f>
        <v>231715</v>
      </c>
      <c r="O2" s="56">
        <f>'Monthly Electricity (Overview)'!J80</f>
        <v>231715</v>
      </c>
      <c r="P2" s="517" t="str">
        <f>IF(N2=O2,"/")</f>
        <v>/</v>
      </c>
      <c r="Q2" s="56">
        <f>'Monthly Electricity (Overview)'!K80</f>
        <v>83182</v>
      </c>
      <c r="R2" s="56">
        <f>'Monthly Electricity (Overview)'!K80</f>
        <v>83182</v>
      </c>
      <c r="S2" s="517" t="str">
        <f>IF(Q2=R2,"/")</f>
        <v>/</v>
      </c>
      <c r="T2" s="56"/>
      <c r="U2" s="56"/>
      <c r="V2" s="517" t="str">
        <f>IF(T2=U2,"/")</f>
        <v>/</v>
      </c>
      <c r="W2" s="56">
        <f>'Monthly Electricity (Overview)'!L80</f>
        <v>140263</v>
      </c>
      <c r="X2" s="56">
        <f>'Monthly Electricity (Overview)'!L80</f>
        <v>140263</v>
      </c>
      <c r="Y2" s="517" t="str">
        <f>IF(W2=X2,"/")</f>
        <v>/</v>
      </c>
      <c r="Z2" s="14">
        <v>99693</v>
      </c>
      <c r="AA2" s="56">
        <f>'Monthly Electricity (Overview)'!X80</f>
        <v>464378</v>
      </c>
      <c r="AB2" s="56">
        <f>SUM('Monthly Electricity (Overview)'!U80:X80)+'Monthly Electricity (Overview)'!AC80</f>
        <v>464378</v>
      </c>
      <c r="AC2" s="517" t="str">
        <f>IF(AA2=AB2,"/")</f>
        <v>/</v>
      </c>
      <c r="AD2" s="56">
        <f>'Monthly Electricity (Overview)'!Y80</f>
        <v>1025760</v>
      </c>
      <c r="AE2" s="56">
        <f>'Monthly Electricity (Overview)'!Y80</f>
        <v>1025760</v>
      </c>
      <c r="AF2" s="517" t="str">
        <f>IF(AD2=AE2,"/")</f>
        <v>/</v>
      </c>
      <c r="AG2" s="56">
        <f t="shared" ref="AG2:AG33" si="0">SUM(B2,E2,H2,K2,N2,Q2,W2,AA2,AD2,Z2)</f>
        <v>8994901</v>
      </c>
      <c r="AH2" s="56">
        <f t="shared" ref="AH2:AH33" si="1">SUM(B2,E2,H2,K2,N2,Q2,W2,AA2,AD2)</f>
        <v>8895208</v>
      </c>
      <c r="AI2" s="56">
        <f>SUM(C2,F2,I2,L2,O2,R2,U2,X2,AB2, AE2)</f>
        <v>8833132</v>
      </c>
      <c r="AJ2" s="517" t="b">
        <f>IF(AH2=AI2,"/")</f>
        <v>0</v>
      </c>
      <c r="AK2" s="56">
        <f>AH2-AI2</f>
        <v>62076</v>
      </c>
    </row>
    <row r="3" spans="1:37" ht="17" x14ac:dyDescent="0.2">
      <c r="A3" s="312">
        <v>44044</v>
      </c>
      <c r="B3" s="56">
        <f>'Monthly Electricity (Overview)'!B81-'Monthly Electricity (Overview)'!E81-SUM('Monthly Electricity (Overview)'!I81:N81)-SUM('Monthly Electricity (Overview)'!X81:Y81)+'Monthly Electricity (Overview)'!AD81</f>
        <v>3318934.5334795807</v>
      </c>
      <c r="C3" s="56">
        <f>'Monthly Electricity (Overview)'!B81-'Monthly Electricity (Overview)'!E81-SUM('Monthly Electricity (Overview)'!I81:N81)-SUM('Monthly Electricity (Overview)'!T81:Y81)</f>
        <v>3248295.5334795807</v>
      </c>
      <c r="D3" s="517" t="b">
        <f t="shared" ref="D3:D64" si="2">IF(B3=C3,"/")</f>
        <v>0</v>
      </c>
      <c r="E3" s="56">
        <f>'Monthly Electricity (Overview)'!I81</f>
        <v>2394486.4665204198</v>
      </c>
      <c r="F3" s="56">
        <f>'Monthly Electricity (Overview)'!I81</f>
        <v>2394486.4665204198</v>
      </c>
      <c r="G3" s="517" t="str">
        <f t="shared" ref="G3:G64" si="3">IF(E3=F3,"/")</f>
        <v>/</v>
      </c>
      <c r="H3" s="56">
        <f>'Monthly Electricity (Overview)'!N81</f>
        <v>229261</v>
      </c>
      <c r="I3" s="56">
        <f>'Monthly Electricity (Overview)'!N81</f>
        <v>229261</v>
      </c>
      <c r="J3" s="517" t="str">
        <f t="shared" ref="J3:J64" si="4">IF(H3=I3,"/")</f>
        <v>/</v>
      </c>
      <c r="K3" s="56">
        <f>'Monthly Electricity (Overview)'!E81</f>
        <v>348726</v>
      </c>
      <c r="L3" s="56">
        <f>'Monthly Electricity (Overview)'!E81</f>
        <v>348726</v>
      </c>
      <c r="M3" s="517" t="str">
        <f t="shared" ref="M3:M64" si="5">IF(K3=L3,"/")</f>
        <v>/</v>
      </c>
      <c r="N3" s="56">
        <f>'Monthly Electricity (Overview)'!J81</f>
        <v>200857</v>
      </c>
      <c r="O3" s="56">
        <f>'Monthly Electricity (Overview)'!J81</f>
        <v>200857</v>
      </c>
      <c r="P3" s="517" t="str">
        <f t="shared" ref="P3:P64" si="6">IF(N3=O3,"/")</f>
        <v>/</v>
      </c>
      <c r="Q3" s="56">
        <f>'Monthly Electricity (Overview)'!K81</f>
        <v>76791</v>
      </c>
      <c r="R3" s="56">
        <f>'Monthly Electricity (Overview)'!K81</f>
        <v>76791</v>
      </c>
      <c r="S3" s="517" t="str">
        <f t="shared" ref="S3:S64" si="7">IF(Q3=R3,"/")</f>
        <v>/</v>
      </c>
      <c r="T3" s="56"/>
      <c r="U3" s="56"/>
      <c r="V3" s="517" t="str">
        <f t="shared" ref="V3:V64" si="8">IF(T3=U3,"/")</f>
        <v>/</v>
      </c>
      <c r="W3" s="56">
        <f>'Monthly Electricity (Overview)'!L81</f>
        <v>121644</v>
      </c>
      <c r="X3" s="56">
        <f>'Monthly Electricity (Overview)'!L81</f>
        <v>121644</v>
      </c>
      <c r="Y3" s="517" t="str">
        <f t="shared" ref="Y3:Y64" si="9">IF(W3=X3,"/")</f>
        <v>/</v>
      </c>
      <c r="Z3" s="14">
        <v>111077</v>
      </c>
      <c r="AA3" s="56">
        <f>'Monthly Electricity (Overview)'!X81+'Monthly Electricity (Overview)'!W81+'Monthly Electricity (Overview)'!AC81</f>
        <v>481052</v>
      </c>
      <c r="AB3" s="56">
        <f>SUM('Monthly Electricity (Overview)'!U81:X81)+'Monthly Electricity (Overview)'!AC81</f>
        <v>481052</v>
      </c>
      <c r="AC3" s="517" t="str">
        <f t="shared" ref="AC3:AC64" si="10">IF(AA3=AB3,"/")</f>
        <v>/</v>
      </c>
      <c r="AD3" s="56">
        <f>'Monthly Electricity (Overview)'!Y81</f>
        <v>830339</v>
      </c>
      <c r="AE3" s="56">
        <f>'Monthly Electricity (Overview)'!Y81</f>
        <v>830339</v>
      </c>
      <c r="AF3" s="517" t="str">
        <f t="shared" ref="AF3:AF64" si="11">IF(AD3=AE3,"/")</f>
        <v>/</v>
      </c>
      <c r="AG3" s="56">
        <f t="shared" si="0"/>
        <v>8113168</v>
      </c>
      <c r="AH3" s="56">
        <f t="shared" si="1"/>
        <v>8002091</v>
      </c>
      <c r="AI3" s="56">
        <f t="shared" ref="AI3:AI64" si="12">SUM(C3,F3,I3,L3,O3,R3,U3,X3,AB3, AE3)</f>
        <v>7931452</v>
      </c>
      <c r="AJ3" s="517" t="b">
        <f t="shared" ref="AJ3:AJ64" si="13">IF(AH3=AI3,"/")</f>
        <v>0</v>
      </c>
      <c r="AK3" s="56">
        <f t="shared" ref="AK3:AK64" si="14">AH3-AI3</f>
        <v>70639</v>
      </c>
    </row>
    <row r="4" spans="1:37" ht="17" x14ac:dyDescent="0.2">
      <c r="A4" s="312">
        <v>44075</v>
      </c>
      <c r="B4" s="56">
        <f>'Monthly Electricity (Overview)'!B82-'Monthly Electricity (Overview)'!E82-SUM('Monthly Electricity (Overview)'!I82:N82)-SUM('Monthly Electricity (Overview)'!X82:Y82)+'Monthly Electricity (Overview)'!AD82</f>
        <v>5184805.6021305993</v>
      </c>
      <c r="C4" s="56">
        <f>'Monthly Electricity (Overview)'!B82-'Monthly Electricity (Overview)'!E82-SUM('Monthly Electricity (Overview)'!I82:N82)-SUM('Monthly Electricity (Overview)'!T82:Y82)</f>
        <v>4666264.6021305993</v>
      </c>
      <c r="D4" s="517" t="b">
        <f t="shared" si="2"/>
        <v>0</v>
      </c>
      <c r="E4" s="56">
        <f>'Monthly Electricity (Overview)'!I82</f>
        <v>2048304.3978694009</v>
      </c>
      <c r="F4" s="56">
        <f>'Monthly Electricity (Overview)'!I82</f>
        <v>2048304.3978694009</v>
      </c>
      <c r="G4" s="517" t="str">
        <f t="shared" si="3"/>
        <v>/</v>
      </c>
      <c r="H4" s="56">
        <f>'Monthly Electricity (Overview)'!N82</f>
        <v>227888</v>
      </c>
      <c r="I4" s="56">
        <f>'Monthly Electricity (Overview)'!N82</f>
        <v>227888</v>
      </c>
      <c r="J4" s="517" t="str">
        <f t="shared" si="4"/>
        <v>/</v>
      </c>
      <c r="K4" s="56">
        <f>'Monthly Electricity (Overview)'!E82</f>
        <v>401301</v>
      </c>
      <c r="L4" s="56">
        <f>'Monthly Electricity (Overview)'!E82</f>
        <v>401301</v>
      </c>
      <c r="M4" s="517" t="str">
        <f t="shared" si="5"/>
        <v>/</v>
      </c>
      <c r="N4" s="56">
        <f>'Monthly Electricity (Overview)'!J82</f>
        <v>250434</v>
      </c>
      <c r="O4" s="56">
        <f>'Monthly Electricity (Overview)'!J82</f>
        <v>250434</v>
      </c>
      <c r="P4" s="517" t="str">
        <f t="shared" si="6"/>
        <v>/</v>
      </c>
      <c r="Q4" s="56">
        <f>'Monthly Electricity (Overview)'!K82</f>
        <v>74921</v>
      </c>
      <c r="R4" s="56">
        <f>'Monthly Electricity (Overview)'!K82</f>
        <v>74921</v>
      </c>
      <c r="S4" s="517" t="str">
        <f t="shared" si="7"/>
        <v>/</v>
      </c>
      <c r="T4" s="56"/>
      <c r="U4" s="56"/>
      <c r="V4" s="517" t="str">
        <f t="shared" si="8"/>
        <v>/</v>
      </c>
      <c r="W4" s="56">
        <f>'Monthly Electricity (Overview)'!L82</f>
        <v>130572</v>
      </c>
      <c r="X4" s="56">
        <f>'Monthly Electricity (Overview)'!L82</f>
        <v>130572</v>
      </c>
      <c r="Y4" s="517" t="str">
        <f t="shared" si="9"/>
        <v>/</v>
      </c>
      <c r="Z4" s="14">
        <v>124553</v>
      </c>
      <c r="AA4" s="56">
        <f>'Monthly Electricity (Overview)'!X82+'Monthly Electricity (Overview)'!W82+'Monthly Electricity (Overview)'!AC82</f>
        <v>746434</v>
      </c>
      <c r="AB4" s="56">
        <f>SUM('Monthly Electricity (Overview)'!U82:X82)+'Monthly Electricity (Overview)'!AC82</f>
        <v>746434</v>
      </c>
      <c r="AC4" s="517" t="str">
        <f t="shared" si="10"/>
        <v>/</v>
      </c>
      <c r="AD4" s="56">
        <f>'Monthly Electricity (Overview)'!Y82</f>
        <v>927129</v>
      </c>
      <c r="AE4" s="56">
        <f>'Monthly Electricity (Overview)'!Y82</f>
        <v>927129</v>
      </c>
      <c r="AF4" s="517" t="str">
        <f t="shared" si="11"/>
        <v>/</v>
      </c>
      <c r="AG4" s="56">
        <f t="shared" si="0"/>
        <v>10116342</v>
      </c>
      <c r="AH4" s="56">
        <f t="shared" si="1"/>
        <v>9991789</v>
      </c>
      <c r="AI4" s="56">
        <f t="shared" si="12"/>
        <v>9473248</v>
      </c>
      <c r="AJ4" s="517" t="b">
        <f t="shared" si="13"/>
        <v>0</v>
      </c>
      <c r="AK4" s="56">
        <f t="shared" si="14"/>
        <v>518541</v>
      </c>
    </row>
    <row r="5" spans="1:37" ht="17" x14ac:dyDescent="0.2">
      <c r="A5" s="312">
        <v>44105</v>
      </c>
      <c r="B5" s="56">
        <f>'Monthly Electricity (Overview)'!B83-'Monthly Electricity (Overview)'!E83-SUM('Monthly Electricity (Overview)'!I83:N83)-SUM('Monthly Electricity (Overview)'!X83:Y83)+'Monthly Electricity (Overview)'!AD83</f>
        <v>4078311.6449934002</v>
      </c>
      <c r="C5" s="56">
        <f>'Monthly Electricity (Overview)'!B83-'Monthly Electricity (Overview)'!E83-SUM('Monthly Electricity (Overview)'!I83:N83)-SUM('Monthly Electricity (Overview)'!T83:Y83)</f>
        <v>3898002.6449934002</v>
      </c>
      <c r="D5" s="517" t="b">
        <f t="shared" si="2"/>
        <v>0</v>
      </c>
      <c r="E5" s="56">
        <f>'Monthly Electricity (Overview)'!I83</f>
        <v>1335753.3550066003</v>
      </c>
      <c r="F5" s="56">
        <f>'Monthly Electricity (Overview)'!I83</f>
        <v>1335753.3550066003</v>
      </c>
      <c r="G5" s="517" t="str">
        <f t="shared" si="3"/>
        <v>/</v>
      </c>
      <c r="H5" s="56">
        <f>'Monthly Electricity (Overview)'!N83</f>
        <v>152364</v>
      </c>
      <c r="I5" s="56">
        <f>'Monthly Electricity (Overview)'!N83</f>
        <v>152364</v>
      </c>
      <c r="J5" s="517" t="str">
        <f t="shared" si="4"/>
        <v>/</v>
      </c>
      <c r="K5" s="56">
        <f>'Monthly Electricity (Overview)'!E83</f>
        <v>373141</v>
      </c>
      <c r="L5" s="56">
        <f>'Monthly Electricity (Overview)'!E83</f>
        <v>373141</v>
      </c>
      <c r="M5" s="517" t="str">
        <f t="shared" si="5"/>
        <v>/</v>
      </c>
      <c r="N5" s="56">
        <f>'Monthly Electricity (Overview)'!J83</f>
        <v>232357</v>
      </c>
      <c r="O5" s="56">
        <f>'Monthly Electricity (Overview)'!J83</f>
        <v>232357</v>
      </c>
      <c r="P5" s="517" t="str">
        <f t="shared" si="6"/>
        <v>/</v>
      </c>
      <c r="Q5" s="56">
        <f>'Monthly Electricity (Overview)'!K83</f>
        <v>54482</v>
      </c>
      <c r="R5" s="56">
        <f>'Monthly Electricity (Overview)'!K83</f>
        <v>54482</v>
      </c>
      <c r="S5" s="517" t="str">
        <f t="shared" si="7"/>
        <v>/</v>
      </c>
      <c r="T5" s="56"/>
      <c r="U5" s="56"/>
      <c r="V5" s="517" t="str">
        <f t="shared" si="8"/>
        <v>/</v>
      </c>
      <c r="W5" s="56">
        <f>'Monthly Electricity (Overview)'!L83</f>
        <v>100678</v>
      </c>
      <c r="X5" s="56">
        <f>'Monthly Electricity (Overview)'!L83</f>
        <v>100678</v>
      </c>
      <c r="Y5" s="517" t="str">
        <f t="shared" si="9"/>
        <v>/</v>
      </c>
      <c r="Z5" s="14">
        <v>81463</v>
      </c>
      <c r="AA5" s="56">
        <f>'Monthly Electricity (Overview)'!X83+'Monthly Electricity (Overview)'!W83+'Monthly Electricity (Overview)'!AC83</f>
        <v>501916</v>
      </c>
      <c r="AB5" s="56">
        <f>SUM('Monthly Electricity (Overview)'!U83:X83)+'Monthly Electricity (Overview)'!AC83</f>
        <v>501916</v>
      </c>
      <c r="AC5" s="517" t="str">
        <f t="shared" si="10"/>
        <v>/</v>
      </c>
      <c r="AD5" s="56">
        <f>'Monthly Electricity (Overview)'!Y83</f>
        <v>587664</v>
      </c>
      <c r="AE5" s="56">
        <f>'Monthly Electricity (Overview)'!Y83</f>
        <v>587664</v>
      </c>
      <c r="AF5" s="517" t="str">
        <f t="shared" si="11"/>
        <v>/</v>
      </c>
      <c r="AG5" s="56">
        <f t="shared" si="0"/>
        <v>7498130</v>
      </c>
      <c r="AH5" s="56">
        <f t="shared" si="1"/>
        <v>7416667</v>
      </c>
      <c r="AI5" s="56">
        <f t="shared" si="12"/>
        <v>7236358</v>
      </c>
      <c r="AJ5" s="517" t="b">
        <f t="shared" si="13"/>
        <v>0</v>
      </c>
      <c r="AK5" s="56">
        <f t="shared" si="14"/>
        <v>180309</v>
      </c>
    </row>
    <row r="6" spans="1:37" ht="17" x14ac:dyDescent="0.2">
      <c r="A6" s="312">
        <v>44136</v>
      </c>
      <c r="B6" s="56">
        <f>'Monthly Electricity (Overview)'!B84-'Monthly Electricity (Overview)'!E84-SUM('Monthly Electricity (Overview)'!I84:N84)-SUM('Monthly Electricity (Overview)'!X84:Y84)+'Monthly Electricity (Overview)'!AD84</f>
        <v>4170475.6140417997</v>
      </c>
      <c r="C6" s="56">
        <f>'Monthly Electricity (Overview)'!B84-'Monthly Electricity (Overview)'!E84-SUM('Monthly Electricity (Overview)'!I84:N84)-SUM('Monthly Electricity (Overview)'!T84:Y84)</f>
        <v>4027716.6140417997</v>
      </c>
      <c r="D6" s="517" t="b">
        <f t="shared" si="2"/>
        <v>0</v>
      </c>
      <c r="E6" s="56">
        <f>'Monthly Electricity (Overview)'!I84</f>
        <v>915177.38595819974</v>
      </c>
      <c r="F6" s="56">
        <f>'Monthly Electricity (Overview)'!I84</f>
        <v>915177.38595819974</v>
      </c>
      <c r="G6" s="517" t="str">
        <f t="shared" si="3"/>
        <v>/</v>
      </c>
      <c r="H6" s="56">
        <f>'Monthly Electricity (Overview)'!N84</f>
        <v>98770</v>
      </c>
      <c r="I6" s="56">
        <f>'Monthly Electricity (Overview)'!N84</f>
        <v>98770</v>
      </c>
      <c r="J6" s="517" t="str">
        <f t="shared" si="4"/>
        <v>/</v>
      </c>
      <c r="K6" s="56">
        <f>'Monthly Electricity (Overview)'!E84</f>
        <v>396796</v>
      </c>
      <c r="L6" s="56">
        <f>'Monthly Electricity (Overview)'!E84</f>
        <v>396796</v>
      </c>
      <c r="M6" s="517" t="str">
        <f t="shared" si="5"/>
        <v>/</v>
      </c>
      <c r="N6" s="56">
        <f>'Monthly Electricity (Overview)'!J84</f>
        <v>234747</v>
      </c>
      <c r="O6" s="56">
        <f>'Monthly Electricity (Overview)'!J84</f>
        <v>234747</v>
      </c>
      <c r="P6" s="517" t="str">
        <f t="shared" si="6"/>
        <v>/</v>
      </c>
      <c r="Q6" s="56">
        <f>'Monthly Electricity (Overview)'!K84</f>
        <v>51126</v>
      </c>
      <c r="R6" s="56">
        <f>'Monthly Electricity (Overview)'!K84</f>
        <v>51126</v>
      </c>
      <c r="S6" s="517" t="str">
        <f t="shared" si="7"/>
        <v>/</v>
      </c>
      <c r="T6" s="56"/>
      <c r="U6" s="56"/>
      <c r="V6" s="517" t="str">
        <f t="shared" si="8"/>
        <v>/</v>
      </c>
      <c r="W6" s="56">
        <f>'Monthly Electricity (Overview)'!L84</f>
        <v>81285</v>
      </c>
      <c r="X6" s="56">
        <f>'Monthly Electricity (Overview)'!L84</f>
        <v>81285</v>
      </c>
      <c r="Y6" s="517" t="str">
        <f t="shared" si="9"/>
        <v>/</v>
      </c>
      <c r="Z6" s="14">
        <v>59032</v>
      </c>
      <c r="AA6" s="56">
        <f>'Monthly Electricity (Overview)'!X84+'Monthly Electricity (Overview)'!W84+'Monthly Electricity (Overview)'!AC84</f>
        <v>439138</v>
      </c>
      <c r="AB6" s="56">
        <f>SUM('Monthly Electricity (Overview)'!U84:X84)+'Monthly Electricity (Overview)'!AC84</f>
        <v>439138</v>
      </c>
      <c r="AC6" s="517" t="str">
        <f t="shared" si="10"/>
        <v>/</v>
      </c>
      <c r="AD6" s="56">
        <f>'Monthly Electricity (Overview)'!Y84</f>
        <v>525452</v>
      </c>
      <c r="AE6" s="56">
        <f>'Monthly Electricity (Overview)'!Y84</f>
        <v>525452</v>
      </c>
      <c r="AF6" s="517" t="str">
        <f t="shared" si="11"/>
        <v>/</v>
      </c>
      <c r="AG6" s="56">
        <f t="shared" si="0"/>
        <v>6971998.9999999991</v>
      </c>
      <c r="AH6" s="56">
        <f t="shared" si="1"/>
        <v>6912966.9999999991</v>
      </c>
      <c r="AI6" s="56">
        <f t="shared" si="12"/>
        <v>6770207.9999999991</v>
      </c>
      <c r="AJ6" s="517" t="b">
        <f t="shared" si="13"/>
        <v>0</v>
      </c>
      <c r="AK6" s="56">
        <f t="shared" si="14"/>
        <v>142759</v>
      </c>
    </row>
    <row r="7" spans="1:37" ht="17" x14ac:dyDescent="0.2">
      <c r="A7" s="312">
        <v>44166</v>
      </c>
      <c r="B7" s="313">
        <f>'Monthly Electricity (Overview)'!B85-'Monthly Electricity (Overview)'!E85-SUM('Monthly Electricity (Overview)'!I85:N85)-SUM('Monthly Electricity (Overview)'!X85:Y85)+'Monthly Electricity (Overview)'!AD85</f>
        <v>3753229.1964862002</v>
      </c>
      <c r="C7" s="56">
        <f>'Monthly Electricity (Overview)'!B85-'Monthly Electricity (Overview)'!E85-SUM('Monthly Electricity (Overview)'!I85:N85)-SUM('Monthly Electricity (Overview)'!T85:Y85)</f>
        <v>3623050.1964862002</v>
      </c>
      <c r="D7" s="517" t="b">
        <f t="shared" si="2"/>
        <v>0</v>
      </c>
      <c r="E7" s="313">
        <f>'Monthly Electricity (Overview)'!I85</f>
        <v>506804.80351379991</v>
      </c>
      <c r="F7" s="56">
        <f>'Monthly Electricity (Overview)'!I85</f>
        <v>506804.80351379991</v>
      </c>
      <c r="G7" s="517" t="str">
        <f t="shared" si="3"/>
        <v>/</v>
      </c>
      <c r="H7" s="313">
        <f>'Monthly Electricity (Overview)'!N85</f>
        <v>50904</v>
      </c>
      <c r="I7" s="56">
        <f>'Monthly Electricity (Overview)'!N85</f>
        <v>50904</v>
      </c>
      <c r="J7" s="517" t="str">
        <f t="shared" si="4"/>
        <v>/</v>
      </c>
      <c r="K7" s="313">
        <f>'Monthly Electricity (Overview)'!E85</f>
        <v>380382</v>
      </c>
      <c r="L7" s="56">
        <f>'Monthly Electricity (Overview)'!E85</f>
        <v>380382</v>
      </c>
      <c r="M7" s="517" t="str">
        <f t="shared" si="5"/>
        <v>/</v>
      </c>
      <c r="N7" s="313">
        <f>'Monthly Electricity (Overview)'!J85</f>
        <v>232272</v>
      </c>
      <c r="O7" s="56">
        <f>'Monthly Electricity (Overview)'!J85</f>
        <v>232272</v>
      </c>
      <c r="P7" s="517" t="str">
        <f t="shared" si="6"/>
        <v>/</v>
      </c>
      <c r="Q7" s="313">
        <f>'Monthly Electricity (Overview)'!K85</f>
        <v>47403</v>
      </c>
      <c r="R7" s="56">
        <f>'Monthly Electricity (Overview)'!K85</f>
        <v>47403</v>
      </c>
      <c r="S7" s="517" t="str">
        <f t="shared" si="7"/>
        <v>/</v>
      </c>
      <c r="T7" s="313"/>
      <c r="U7" s="313"/>
      <c r="V7" s="517" t="str">
        <f t="shared" si="8"/>
        <v>/</v>
      </c>
      <c r="W7" s="313">
        <f>'Monthly Electricity (Overview)'!L85</f>
        <v>48764</v>
      </c>
      <c r="X7" s="56">
        <f>'Monthly Electricity (Overview)'!L85</f>
        <v>48764</v>
      </c>
      <c r="Y7" s="517" t="str">
        <f t="shared" si="9"/>
        <v>/</v>
      </c>
      <c r="Z7" s="314">
        <v>53030</v>
      </c>
      <c r="AA7" s="56">
        <f>'Monthly Electricity (Overview)'!X85+'Monthly Electricity (Overview)'!W85+'Monthly Electricity (Overview)'!AC85</f>
        <v>374456</v>
      </c>
      <c r="AB7" s="56">
        <f>SUM('Monthly Electricity (Overview)'!U85:X85)+'Monthly Electricity (Overview)'!AC85</f>
        <v>374456</v>
      </c>
      <c r="AC7" s="517" t="str">
        <f t="shared" si="10"/>
        <v>/</v>
      </c>
      <c r="AD7" s="313">
        <f>'Monthly Electricity (Overview)'!Y85</f>
        <v>509484</v>
      </c>
      <c r="AE7" s="56">
        <f>'Monthly Electricity (Overview)'!Y85</f>
        <v>509484</v>
      </c>
      <c r="AF7" s="517" t="str">
        <f t="shared" si="11"/>
        <v>/</v>
      </c>
      <c r="AG7" s="56">
        <f t="shared" si="0"/>
        <v>5956729</v>
      </c>
      <c r="AH7" s="56">
        <f t="shared" si="1"/>
        <v>5903699</v>
      </c>
      <c r="AI7" s="56">
        <f t="shared" si="12"/>
        <v>5773520</v>
      </c>
      <c r="AJ7" s="517" t="b">
        <f t="shared" si="13"/>
        <v>0</v>
      </c>
      <c r="AK7" s="56">
        <f t="shared" si="14"/>
        <v>130179</v>
      </c>
    </row>
    <row r="8" spans="1:37" ht="17" x14ac:dyDescent="0.2">
      <c r="A8" s="315">
        <v>44197</v>
      </c>
      <c r="B8" s="56">
        <f>'Monthly Electricity (Overview)'!B86-'Monthly Electricity (Overview)'!E86-SUM('Monthly Electricity (Overview)'!I86:N86)-SUM('Monthly Electricity (Overview)'!X86:Y86)+'Monthly Electricity (Overview)'!AD86</f>
        <v>3711738.7757377997</v>
      </c>
      <c r="C8" s="56">
        <f>'Monthly Electricity (Overview)'!B86-'Monthly Electricity (Overview)'!E86-SUM('Monthly Electricity (Overview)'!I86:N86)-SUM('Monthly Electricity (Overview)'!T86:Y86)</f>
        <v>3569274.7757377997</v>
      </c>
      <c r="D8" s="517" t="b">
        <f t="shared" si="2"/>
        <v>0</v>
      </c>
      <c r="E8" s="56">
        <f>'Monthly Electricity (Overview)'!I86</f>
        <v>393066.2242622</v>
      </c>
      <c r="F8" s="56">
        <f>'Monthly Electricity (Overview)'!I86</f>
        <v>393066.2242622</v>
      </c>
      <c r="G8" s="517" t="str">
        <f t="shared" si="3"/>
        <v>/</v>
      </c>
      <c r="H8" s="56">
        <f>'Monthly Electricity (Overview)'!N86</f>
        <v>47672</v>
      </c>
      <c r="I8" s="56">
        <f>'Monthly Electricity (Overview)'!N86</f>
        <v>47672</v>
      </c>
      <c r="J8" s="517" t="str">
        <f t="shared" si="4"/>
        <v>/</v>
      </c>
      <c r="K8" s="56">
        <f>'Monthly Electricity (Overview)'!E86</f>
        <v>382076</v>
      </c>
      <c r="L8" s="56">
        <f>'Monthly Electricity (Overview)'!E86</f>
        <v>382076</v>
      </c>
      <c r="M8" s="517" t="str">
        <f t="shared" si="5"/>
        <v>/</v>
      </c>
      <c r="N8" s="56">
        <f>'Monthly Electricity (Overview)'!J86</f>
        <v>223334</v>
      </c>
      <c r="O8" s="56">
        <f>'Monthly Electricity (Overview)'!J86</f>
        <v>223334</v>
      </c>
      <c r="P8" s="517" t="str">
        <f t="shared" si="6"/>
        <v>/</v>
      </c>
      <c r="Q8" s="56">
        <f>'Monthly Electricity (Overview)'!K86</f>
        <v>44857</v>
      </c>
      <c r="R8" s="56">
        <f>'Monthly Electricity (Overview)'!K86</f>
        <v>44857</v>
      </c>
      <c r="S8" s="517" t="str">
        <f t="shared" si="7"/>
        <v>/</v>
      </c>
      <c r="T8" s="56"/>
      <c r="U8" s="56"/>
      <c r="V8" s="517" t="str">
        <f t="shared" si="8"/>
        <v>/</v>
      </c>
      <c r="W8" s="56">
        <f>'Monthly Electricity (Overview)'!L86</f>
        <v>48817</v>
      </c>
      <c r="X8" s="56">
        <f>'Monthly Electricity (Overview)'!L86</f>
        <v>48817</v>
      </c>
      <c r="Y8" s="517" t="str">
        <f t="shared" si="9"/>
        <v>/</v>
      </c>
      <c r="Z8" s="14">
        <v>48369</v>
      </c>
      <c r="AA8" s="56">
        <f>'Monthly Electricity (Overview)'!X86+'Monthly Electricity (Overview)'!W86+'Monthly Electricity (Overview)'!AC86</f>
        <v>405536</v>
      </c>
      <c r="AB8" s="56">
        <f>SUM('Monthly Electricity (Overview)'!U86:X86)+'Monthly Electricity (Overview)'!AC86</f>
        <v>405536</v>
      </c>
      <c r="AC8" s="517" t="str">
        <f t="shared" si="10"/>
        <v>/</v>
      </c>
      <c r="AD8" s="56">
        <f>'Monthly Electricity (Overview)'!Y86</f>
        <v>586715</v>
      </c>
      <c r="AE8" s="56">
        <f>'Monthly Electricity (Overview)'!Y86</f>
        <v>586715</v>
      </c>
      <c r="AF8" s="517" t="str">
        <f t="shared" si="11"/>
        <v>/</v>
      </c>
      <c r="AG8" s="56">
        <f t="shared" si="0"/>
        <v>5892181</v>
      </c>
      <c r="AH8" s="56">
        <f t="shared" si="1"/>
        <v>5843812</v>
      </c>
      <c r="AI8" s="56">
        <f t="shared" si="12"/>
        <v>5701348</v>
      </c>
      <c r="AJ8" s="517" t="b">
        <f t="shared" si="13"/>
        <v>0</v>
      </c>
      <c r="AK8" s="56">
        <f t="shared" si="14"/>
        <v>142464</v>
      </c>
    </row>
    <row r="9" spans="1:37" ht="17" x14ac:dyDescent="0.2">
      <c r="A9" s="315">
        <v>44228</v>
      </c>
      <c r="B9" s="56">
        <f>'Monthly Electricity (Overview)'!B87-'Monthly Electricity (Overview)'!E87-SUM('Monthly Electricity (Overview)'!I87:N87)-SUM('Monthly Electricity (Overview)'!X87:Y87)+'Monthly Electricity (Overview)'!AD87</f>
        <v>3562758.0367956003</v>
      </c>
      <c r="C9" s="56">
        <f>'Monthly Electricity (Overview)'!B87-'Monthly Electricity (Overview)'!E87-SUM('Monthly Electricity (Overview)'!I87:N87)-SUM('Monthly Electricity (Overview)'!T87:Y87)</f>
        <v>3434871.0367956003</v>
      </c>
      <c r="D9" s="517" t="b">
        <f t="shared" si="2"/>
        <v>0</v>
      </c>
      <c r="E9" s="56">
        <f>'Monthly Electricity (Overview)'!I87</f>
        <v>528780.96320439992</v>
      </c>
      <c r="F9" s="56">
        <f>'Monthly Electricity (Overview)'!I87</f>
        <v>528780.96320439992</v>
      </c>
      <c r="G9" s="517" t="str">
        <f t="shared" si="3"/>
        <v>/</v>
      </c>
      <c r="H9" s="56">
        <f>'Monthly Electricity (Overview)'!N87</f>
        <v>52226</v>
      </c>
      <c r="I9" s="56">
        <f>'Monthly Electricity (Overview)'!N87</f>
        <v>52226</v>
      </c>
      <c r="J9" s="517" t="str">
        <f t="shared" si="4"/>
        <v>/</v>
      </c>
      <c r="K9" s="56">
        <f>'Monthly Electricity (Overview)'!E87</f>
        <v>321055</v>
      </c>
      <c r="L9" s="56">
        <f>'Monthly Electricity (Overview)'!E87</f>
        <v>321055</v>
      </c>
      <c r="M9" s="517" t="str">
        <f t="shared" si="5"/>
        <v>/</v>
      </c>
      <c r="N9" s="56">
        <f>'Monthly Electricity (Overview)'!J87</f>
        <v>197886</v>
      </c>
      <c r="O9" s="56">
        <f>'Monthly Electricity (Overview)'!J87</f>
        <v>197886</v>
      </c>
      <c r="P9" s="517" t="str">
        <f t="shared" si="6"/>
        <v>/</v>
      </c>
      <c r="Q9" s="56">
        <f>'Monthly Electricity (Overview)'!K87</f>
        <v>40970</v>
      </c>
      <c r="R9" s="56">
        <f>'Monthly Electricity (Overview)'!K87</f>
        <v>40970</v>
      </c>
      <c r="S9" s="517" t="str">
        <f t="shared" si="7"/>
        <v>/</v>
      </c>
      <c r="T9" s="56"/>
      <c r="U9" s="56"/>
      <c r="V9" s="517" t="str">
        <f t="shared" si="8"/>
        <v>/</v>
      </c>
      <c r="W9" s="56">
        <f>'Monthly Electricity (Overview)'!L87</f>
        <v>42444</v>
      </c>
      <c r="X9" s="56">
        <f>'Monthly Electricity (Overview)'!L87</f>
        <v>42444</v>
      </c>
      <c r="Y9" s="517" t="str">
        <f t="shared" si="9"/>
        <v>/</v>
      </c>
      <c r="Z9" s="14">
        <v>45841</v>
      </c>
      <c r="AA9" s="56">
        <f>'Monthly Electricity (Overview)'!X87+'Monthly Electricity (Overview)'!W87+'Monthly Electricity (Overview)'!AC87</f>
        <v>384898</v>
      </c>
      <c r="AB9" s="56">
        <f>SUM('Monthly Electricity (Overview)'!U87:X87)+'Monthly Electricity (Overview)'!AC87</f>
        <v>384898</v>
      </c>
      <c r="AC9" s="517" t="str">
        <f t="shared" si="10"/>
        <v>/</v>
      </c>
      <c r="AD9" s="56">
        <f>'Monthly Electricity (Overview)'!Y87</f>
        <v>423484</v>
      </c>
      <c r="AE9" s="56">
        <f>'Monthly Electricity (Overview)'!Y87</f>
        <v>423484</v>
      </c>
      <c r="AF9" s="517" t="str">
        <f t="shared" si="11"/>
        <v>/</v>
      </c>
      <c r="AG9" s="56">
        <f t="shared" si="0"/>
        <v>5600343</v>
      </c>
      <c r="AH9" s="56">
        <f t="shared" si="1"/>
        <v>5554502</v>
      </c>
      <c r="AI9" s="56">
        <f t="shared" si="12"/>
        <v>5426615</v>
      </c>
      <c r="AJ9" s="517" t="b">
        <f t="shared" si="13"/>
        <v>0</v>
      </c>
      <c r="AK9" s="56">
        <f t="shared" si="14"/>
        <v>127887</v>
      </c>
    </row>
    <row r="10" spans="1:37" ht="17" x14ac:dyDescent="0.2">
      <c r="A10" s="315">
        <v>44256</v>
      </c>
      <c r="B10" s="56">
        <f>'Monthly Electricity (Overview)'!B88-'Monthly Electricity (Overview)'!E88-SUM('Monthly Electricity (Overview)'!I88:N88)-SUM('Monthly Electricity (Overview)'!X88:Y88)+'Monthly Electricity (Overview)'!AD88</f>
        <v>4369810.4016302004</v>
      </c>
      <c r="C10" s="56">
        <f>'Monthly Electricity (Overview)'!B88-'Monthly Electricity (Overview)'!E88-SUM('Monthly Electricity (Overview)'!I88:N88)-SUM('Monthly Electricity (Overview)'!T88:Y88)</f>
        <v>4228426.4016302004</v>
      </c>
      <c r="D10" s="517" t="b">
        <f t="shared" si="2"/>
        <v>0</v>
      </c>
      <c r="E10" s="56">
        <f>'Monthly Electricity (Overview)'!I88</f>
        <v>785188.59836980002</v>
      </c>
      <c r="F10" s="56">
        <f>'Monthly Electricity (Overview)'!I88</f>
        <v>785188.59836980002</v>
      </c>
      <c r="G10" s="517" t="str">
        <f t="shared" si="3"/>
        <v>/</v>
      </c>
      <c r="H10" s="56">
        <f>'Monthly Electricity (Overview)'!N88</f>
        <v>77337</v>
      </c>
      <c r="I10" s="56">
        <f>'Monthly Electricity (Overview)'!N88</f>
        <v>77337</v>
      </c>
      <c r="J10" s="517" t="str">
        <f t="shared" si="4"/>
        <v>/</v>
      </c>
      <c r="K10" s="56">
        <f>'Monthly Electricity (Overview)'!E88</f>
        <v>392798</v>
      </c>
      <c r="L10" s="56">
        <f>'Monthly Electricity (Overview)'!E88</f>
        <v>392798</v>
      </c>
      <c r="M10" s="517" t="str">
        <f t="shared" si="5"/>
        <v>/</v>
      </c>
      <c r="N10" s="56">
        <f>'Monthly Electricity (Overview)'!J88</f>
        <v>242322</v>
      </c>
      <c r="O10" s="56">
        <f>'Monthly Electricity (Overview)'!J88</f>
        <v>242322</v>
      </c>
      <c r="P10" s="517" t="str">
        <f t="shared" si="6"/>
        <v>/</v>
      </c>
      <c r="Q10" s="56">
        <f>'Monthly Electricity (Overview)'!K88</f>
        <v>52128</v>
      </c>
      <c r="R10" s="56">
        <f>'Monthly Electricity (Overview)'!K88</f>
        <v>52128</v>
      </c>
      <c r="S10" s="517" t="str">
        <f t="shared" si="7"/>
        <v>/</v>
      </c>
      <c r="T10" s="56"/>
      <c r="U10" s="56"/>
      <c r="V10" s="517" t="str">
        <f t="shared" si="8"/>
        <v>/</v>
      </c>
      <c r="W10" s="56">
        <f>'Monthly Electricity (Overview)'!L88</f>
        <v>54444</v>
      </c>
      <c r="X10" s="56">
        <f>'Monthly Electricity (Overview)'!L88</f>
        <v>54444</v>
      </c>
      <c r="Y10" s="517" t="str">
        <f t="shared" si="9"/>
        <v>/</v>
      </c>
      <c r="Z10" s="14">
        <v>55029</v>
      </c>
      <c r="AA10" s="56">
        <f>'Monthly Electricity (Overview)'!X88+'Monthly Electricity (Overview)'!W88+'Monthly Electricity (Overview)'!AC88</f>
        <v>439211</v>
      </c>
      <c r="AB10" s="56">
        <f>SUM('Monthly Electricity (Overview)'!U88:X88)+'Monthly Electricity (Overview)'!AC88</f>
        <v>439211</v>
      </c>
      <c r="AC10" s="517" t="str">
        <f t="shared" si="10"/>
        <v>/</v>
      </c>
      <c r="AD10" s="56">
        <f>'Monthly Electricity (Overview)'!Y88</f>
        <v>524832</v>
      </c>
      <c r="AE10" s="56">
        <f>'Monthly Electricity (Overview)'!Y88</f>
        <v>524832</v>
      </c>
      <c r="AF10" s="517" t="str">
        <f t="shared" si="11"/>
        <v>/</v>
      </c>
      <c r="AG10" s="56">
        <f t="shared" si="0"/>
        <v>6993100</v>
      </c>
      <c r="AH10" s="56">
        <f t="shared" si="1"/>
        <v>6938071</v>
      </c>
      <c r="AI10" s="56">
        <f t="shared" si="12"/>
        <v>6796687</v>
      </c>
      <c r="AJ10" s="517" t="b">
        <f t="shared" si="13"/>
        <v>0</v>
      </c>
      <c r="AK10" s="56">
        <f t="shared" si="14"/>
        <v>141384</v>
      </c>
    </row>
    <row r="11" spans="1:37" ht="17" x14ac:dyDescent="0.2">
      <c r="A11" s="315">
        <v>44287</v>
      </c>
      <c r="B11" s="56">
        <f>'Monthly Electricity (Overview)'!B89-'Monthly Electricity (Overview)'!E89-SUM('Monthly Electricity (Overview)'!I89:N89)-SUM('Monthly Electricity (Overview)'!X89:Y89)+'Monthly Electricity (Overview)'!AD89</f>
        <v>4270902.3847514</v>
      </c>
      <c r="C11" s="56">
        <f>'Monthly Electricity (Overview)'!B89-'Monthly Electricity (Overview)'!E89-SUM('Monthly Electricity (Overview)'!I89:N89)-SUM('Monthly Electricity (Overview)'!T89:Y89)</f>
        <v>4095221.3847514</v>
      </c>
      <c r="D11" s="517" t="b">
        <f t="shared" si="2"/>
        <v>0</v>
      </c>
      <c r="E11" s="56">
        <f>'Monthly Electricity (Overview)'!I89</f>
        <v>1050938.6152485998</v>
      </c>
      <c r="F11" s="56">
        <f>'Monthly Electricity (Overview)'!I89</f>
        <v>1050938.6152485998</v>
      </c>
      <c r="G11" s="517" t="str">
        <f t="shared" si="3"/>
        <v>/</v>
      </c>
      <c r="H11" s="56">
        <f>'Monthly Electricity (Overview)'!N89</f>
        <v>122683</v>
      </c>
      <c r="I11" s="56">
        <f>'Monthly Electricity (Overview)'!N89</f>
        <v>122683</v>
      </c>
      <c r="J11" s="517" t="str">
        <f t="shared" si="4"/>
        <v>/</v>
      </c>
      <c r="K11" s="56">
        <f>'Monthly Electricity (Overview)'!E89</f>
        <v>384122</v>
      </c>
      <c r="L11" s="56">
        <f>'Monthly Electricity (Overview)'!E89</f>
        <v>384122</v>
      </c>
      <c r="M11" s="517" t="str">
        <f t="shared" si="5"/>
        <v>/</v>
      </c>
      <c r="N11" s="56">
        <f>'Monthly Electricity (Overview)'!J89</f>
        <v>233551</v>
      </c>
      <c r="O11" s="56">
        <f>'Monthly Electricity (Overview)'!J89</f>
        <v>233551</v>
      </c>
      <c r="P11" s="517" t="str">
        <f t="shared" si="6"/>
        <v>/</v>
      </c>
      <c r="Q11" s="56">
        <f>'Monthly Electricity (Overview)'!K89</f>
        <v>52762</v>
      </c>
      <c r="R11" s="56">
        <f>'Monthly Electricity (Overview)'!K89</f>
        <v>52762</v>
      </c>
      <c r="S11" s="517" t="str">
        <f t="shared" si="7"/>
        <v>/</v>
      </c>
      <c r="T11" s="56"/>
      <c r="U11" s="56"/>
      <c r="V11" s="517" t="str">
        <f t="shared" si="8"/>
        <v>/</v>
      </c>
      <c r="W11" s="56">
        <f>'Monthly Electricity (Overview)'!L89</f>
        <v>53047</v>
      </c>
      <c r="X11" s="56">
        <f>'Monthly Electricity (Overview)'!L89</f>
        <v>53047</v>
      </c>
      <c r="Y11" s="517" t="str">
        <f t="shared" si="9"/>
        <v>/</v>
      </c>
      <c r="Z11" s="14">
        <v>62537</v>
      </c>
      <c r="AA11" s="56">
        <f>'Monthly Electricity (Overview)'!X89+'Monthly Electricity (Overview)'!W89+'Monthly Electricity (Overview)'!AC89</f>
        <v>541148</v>
      </c>
      <c r="AB11" s="56">
        <f>SUM('Monthly Electricity (Overview)'!U89:X89)+'Monthly Electricity (Overview)'!AC89</f>
        <v>541148</v>
      </c>
      <c r="AC11" s="517" t="str">
        <f t="shared" si="10"/>
        <v>/</v>
      </c>
      <c r="AD11" s="56">
        <f>'Monthly Electricity (Overview)'!Y89</f>
        <v>554260</v>
      </c>
      <c r="AE11" s="56">
        <f>'Monthly Electricity (Overview)'!Y89</f>
        <v>554260</v>
      </c>
      <c r="AF11" s="517" t="str">
        <f t="shared" si="11"/>
        <v>/</v>
      </c>
      <c r="AG11" s="56">
        <f t="shared" si="0"/>
        <v>7325951</v>
      </c>
      <c r="AH11" s="56">
        <f t="shared" si="1"/>
        <v>7263414</v>
      </c>
      <c r="AI11" s="56">
        <f t="shared" si="12"/>
        <v>7087733</v>
      </c>
      <c r="AJ11" s="517" t="b">
        <f t="shared" si="13"/>
        <v>0</v>
      </c>
      <c r="AK11" s="56">
        <f t="shared" si="14"/>
        <v>175681</v>
      </c>
    </row>
    <row r="12" spans="1:37" ht="17" x14ac:dyDescent="0.2">
      <c r="A12" s="315">
        <v>44317</v>
      </c>
      <c r="B12" s="56">
        <f>'Monthly Electricity (Overview)'!B90-'Monthly Electricity (Overview)'!E90-SUM('Monthly Electricity (Overview)'!I90:N90)-SUM('Monthly Electricity (Overview)'!X90:Y90)+'Monthly Electricity (Overview)'!AD90</f>
        <v>4497531.1497067995</v>
      </c>
      <c r="C12" s="56">
        <f>'Monthly Electricity (Overview)'!B90-'Monthly Electricity (Overview)'!E90-SUM('Monthly Electricity (Overview)'!I90:N90)-SUM('Monthly Electricity (Overview)'!T90:Y90)</f>
        <v>4271235.1497067995</v>
      </c>
      <c r="D12" s="517" t="b">
        <f t="shared" si="2"/>
        <v>0</v>
      </c>
      <c r="E12" s="56">
        <f>'Monthly Electricity (Overview)'!I90</f>
        <v>1964651.8502932002</v>
      </c>
      <c r="F12" s="56">
        <f>'Monthly Electricity (Overview)'!I90</f>
        <v>1964651.8502932002</v>
      </c>
      <c r="G12" s="517" t="str">
        <f t="shared" si="3"/>
        <v>/</v>
      </c>
      <c r="H12" s="56">
        <f>'Monthly Electricity (Overview)'!N90</f>
        <v>200723</v>
      </c>
      <c r="I12" s="56">
        <f>'Monthly Electricity (Overview)'!N90</f>
        <v>200723</v>
      </c>
      <c r="J12" s="517" t="str">
        <f t="shared" si="4"/>
        <v>/</v>
      </c>
      <c r="K12" s="56">
        <f>'Monthly Electricity (Overview)'!E90</f>
        <v>367014</v>
      </c>
      <c r="L12" s="56">
        <f>'Monthly Electricity (Overview)'!E90</f>
        <v>367014</v>
      </c>
      <c r="M12" s="517" t="str">
        <f t="shared" si="5"/>
        <v>/</v>
      </c>
      <c r="N12" s="56">
        <f>'Monthly Electricity (Overview)'!J90</f>
        <v>209323</v>
      </c>
      <c r="O12" s="56">
        <f>'Monthly Electricity (Overview)'!J90</f>
        <v>209323</v>
      </c>
      <c r="P12" s="517" t="str">
        <f t="shared" si="6"/>
        <v>/</v>
      </c>
      <c r="Q12" s="56">
        <f>'Monthly Electricity (Overview)'!K90</f>
        <v>63649</v>
      </c>
      <c r="R12" s="56">
        <f>'Monthly Electricity (Overview)'!K90</f>
        <v>63649</v>
      </c>
      <c r="S12" s="517" t="str">
        <f t="shared" si="7"/>
        <v>/</v>
      </c>
      <c r="T12" s="56"/>
      <c r="U12" s="56"/>
      <c r="V12" s="517" t="str">
        <f t="shared" si="8"/>
        <v>/</v>
      </c>
      <c r="W12" s="56">
        <f>'Monthly Electricity (Overview)'!L90</f>
        <v>77349</v>
      </c>
      <c r="X12" s="56">
        <f>'Monthly Electricity (Overview)'!L90</f>
        <v>77349</v>
      </c>
      <c r="Y12" s="517" t="str">
        <f t="shared" si="9"/>
        <v>/</v>
      </c>
      <c r="Z12" s="14">
        <v>84771</v>
      </c>
      <c r="AA12" s="56">
        <f>'Monthly Electricity (Overview)'!X90+'Monthly Electricity (Overview)'!W90+'Monthly Electricity (Overview)'!AC90</f>
        <v>748616</v>
      </c>
      <c r="AB12" s="56">
        <f>SUM('Monthly Electricity (Overview)'!U90:X90)+'Monthly Electricity (Overview)'!AC90</f>
        <v>748616</v>
      </c>
      <c r="AC12" s="517" t="str">
        <f t="shared" si="10"/>
        <v>/</v>
      </c>
      <c r="AD12" s="56">
        <f>'Monthly Electricity (Overview)'!Y90</f>
        <v>888154</v>
      </c>
      <c r="AE12" s="56">
        <f>'Monthly Electricity (Overview)'!Y90</f>
        <v>888154</v>
      </c>
      <c r="AF12" s="517" t="str">
        <f t="shared" si="11"/>
        <v>/</v>
      </c>
      <c r="AG12" s="56">
        <f t="shared" si="0"/>
        <v>9101782</v>
      </c>
      <c r="AH12" s="56">
        <f t="shared" si="1"/>
        <v>9017011</v>
      </c>
      <c r="AI12" s="56">
        <f t="shared" si="12"/>
        <v>8790715</v>
      </c>
      <c r="AJ12" s="517" t="b">
        <f t="shared" si="13"/>
        <v>0</v>
      </c>
      <c r="AK12" s="56">
        <f t="shared" si="14"/>
        <v>226296</v>
      </c>
    </row>
    <row r="13" spans="1:37" ht="17" x14ac:dyDescent="0.2">
      <c r="A13" s="315">
        <v>44348</v>
      </c>
      <c r="B13" s="56">
        <f>'Monthly Electricity (Overview)'!B91-'Monthly Electricity (Overview)'!E91-SUM('Monthly Electricity (Overview)'!I91:N91)-SUM('Monthly Electricity (Overview)'!X91:Y91)+'Monthly Electricity (Overview)'!AD91</f>
        <v>4239828.4601429999</v>
      </c>
      <c r="C13" s="56">
        <f>'Monthly Electricity (Overview)'!B91-'Monthly Electricity (Overview)'!E91-SUM('Monthly Electricity (Overview)'!I91:N91)-SUM('Monthly Electricity (Overview)'!T91:Y91)</f>
        <v>3979044.4601429999</v>
      </c>
      <c r="D13" s="517" t="b">
        <f t="shared" si="2"/>
        <v>0</v>
      </c>
      <c r="E13" s="56">
        <f>'Monthly Electricity (Overview)'!I91</f>
        <v>2020738.5398570001</v>
      </c>
      <c r="F13" s="56">
        <f>'Monthly Electricity (Overview)'!I91</f>
        <v>2020738.5398570001</v>
      </c>
      <c r="G13" s="517" t="str">
        <f t="shared" si="3"/>
        <v>/</v>
      </c>
      <c r="H13" s="56">
        <f>'Monthly Electricity (Overview)'!N91</f>
        <v>228931</v>
      </c>
      <c r="I13" s="56">
        <f>'Monthly Electricity (Overview)'!N91</f>
        <v>228931</v>
      </c>
      <c r="J13" s="517" t="str">
        <f t="shared" si="4"/>
        <v>/</v>
      </c>
      <c r="K13" s="56">
        <f>'Monthly Electricity (Overview)'!E91</f>
        <v>411370</v>
      </c>
      <c r="L13" s="56">
        <f>'Monthly Electricity (Overview)'!E91</f>
        <v>411370</v>
      </c>
      <c r="M13" s="517" t="str">
        <f t="shared" si="5"/>
        <v>/</v>
      </c>
      <c r="N13" s="56">
        <f>'Monthly Electricity (Overview)'!J91</f>
        <v>230711</v>
      </c>
      <c r="O13" s="56">
        <f>'Monthly Electricity (Overview)'!J91</f>
        <v>230711</v>
      </c>
      <c r="P13" s="517" t="str">
        <f t="shared" si="6"/>
        <v>/</v>
      </c>
      <c r="Q13" s="56">
        <f>'Monthly Electricity (Overview)'!K91</f>
        <v>64191</v>
      </c>
      <c r="R13" s="56">
        <f>'Monthly Electricity (Overview)'!K91</f>
        <v>64191</v>
      </c>
      <c r="S13" s="517" t="str">
        <f t="shared" si="7"/>
        <v>/</v>
      </c>
      <c r="T13" s="56"/>
      <c r="U13" s="56"/>
      <c r="V13" s="517" t="str">
        <f t="shared" si="8"/>
        <v>/</v>
      </c>
      <c r="W13" s="56">
        <f>'Monthly Electricity (Overview)'!L91</f>
        <v>113132</v>
      </c>
      <c r="X13" s="56">
        <f>'Monthly Electricity (Overview)'!L91</f>
        <v>113132</v>
      </c>
      <c r="Y13" s="517" t="str">
        <f t="shared" si="9"/>
        <v>/</v>
      </c>
      <c r="Z13" s="14">
        <v>90161</v>
      </c>
      <c r="AA13" s="56">
        <f>'Monthly Electricity (Overview)'!X91+'Monthly Electricity (Overview)'!W91+'Monthly Electricity (Overview)'!AC91</f>
        <v>637838</v>
      </c>
      <c r="AB13" s="56">
        <f>SUM('Monthly Electricity (Overview)'!U91:X91)+'Monthly Electricity (Overview)'!AC91</f>
        <v>637838</v>
      </c>
      <c r="AC13" s="517" t="str">
        <f t="shared" si="10"/>
        <v>/</v>
      </c>
      <c r="AD13" s="56">
        <f>'Monthly Electricity (Overview)'!Y91</f>
        <v>811203</v>
      </c>
      <c r="AE13" s="56">
        <f>'Monthly Electricity (Overview)'!Y91</f>
        <v>811203</v>
      </c>
      <c r="AF13" s="517" t="str">
        <f t="shared" si="11"/>
        <v>/</v>
      </c>
      <c r="AG13" s="56">
        <f t="shared" si="0"/>
        <v>8848104</v>
      </c>
      <c r="AH13" s="56">
        <f t="shared" si="1"/>
        <v>8757943</v>
      </c>
      <c r="AI13" s="56">
        <f t="shared" si="12"/>
        <v>8497159</v>
      </c>
      <c r="AJ13" s="517" t="b">
        <f t="shared" si="13"/>
        <v>0</v>
      </c>
      <c r="AK13" s="56">
        <f t="shared" si="14"/>
        <v>260784</v>
      </c>
    </row>
    <row r="14" spans="1:37" ht="17" x14ac:dyDescent="0.2">
      <c r="A14" s="315">
        <v>44378</v>
      </c>
      <c r="B14" s="56">
        <f>'Monthly Electricity (Overview)'!B92-'Monthly Electricity (Overview)'!E92-SUM('Monthly Electricity (Overview)'!I92:N92)-SUM('Monthly Electricity (Overview)'!X92:Y92)+'Monthly Electricity (Overview)'!AD92</f>
        <v>4398728.4297369998</v>
      </c>
      <c r="C14" s="56">
        <f>'Monthly Electricity (Overview)'!B92-'Monthly Electricity (Overview)'!E92-SUM('Monthly Electricity (Overview)'!I92:N92)-SUM('Monthly Electricity (Overview)'!T92:Y92)</f>
        <v>4165725.4297369998</v>
      </c>
      <c r="D14" s="517" t="b">
        <f t="shared" si="2"/>
        <v>0</v>
      </c>
      <c r="E14" s="56">
        <f>'Monthly Electricity (Overview)'!I92</f>
        <v>2299974.5702630007</v>
      </c>
      <c r="F14" s="56">
        <f>'Monthly Electricity (Overview)'!I92</f>
        <v>2299974.5702630007</v>
      </c>
      <c r="G14" s="517" t="str">
        <f t="shared" si="3"/>
        <v>/</v>
      </c>
      <c r="H14" s="56">
        <f>'Monthly Electricity (Overview)'!N92</f>
        <v>218297</v>
      </c>
      <c r="I14" s="56">
        <f>'Monthly Electricity (Overview)'!N92</f>
        <v>218297</v>
      </c>
      <c r="J14" s="517" t="str">
        <f t="shared" si="4"/>
        <v>/</v>
      </c>
      <c r="K14" s="56">
        <f>'Monthly Electricity (Overview)'!E92</f>
        <v>392084</v>
      </c>
      <c r="L14" s="56">
        <f>'Monthly Electricity (Overview)'!E92</f>
        <v>392084</v>
      </c>
      <c r="M14" s="517" t="str">
        <f t="shared" si="5"/>
        <v>/</v>
      </c>
      <c r="N14" s="56">
        <f>'Monthly Electricity (Overview)'!J92</f>
        <v>217688</v>
      </c>
      <c r="O14" s="56">
        <f>'Monthly Electricity (Overview)'!J92</f>
        <v>217688</v>
      </c>
      <c r="P14" s="517" t="str">
        <f t="shared" si="6"/>
        <v>/</v>
      </c>
      <c r="Q14" s="56">
        <f>'Monthly Electricity (Overview)'!K92</f>
        <v>64138</v>
      </c>
      <c r="R14" s="56">
        <f>'Monthly Electricity (Overview)'!K92</f>
        <v>64138</v>
      </c>
      <c r="S14" s="517" t="str">
        <f t="shared" si="7"/>
        <v>/</v>
      </c>
      <c r="T14" s="56"/>
      <c r="U14" s="56"/>
      <c r="V14" s="517" t="str">
        <f t="shared" si="8"/>
        <v>/</v>
      </c>
      <c r="W14" s="56">
        <f>'Monthly Electricity (Overview)'!L92</f>
        <v>116904</v>
      </c>
      <c r="X14" s="56">
        <f>'Monthly Electricity (Overview)'!L92</f>
        <v>116904</v>
      </c>
      <c r="Y14" s="517" t="str">
        <f t="shared" si="9"/>
        <v>/</v>
      </c>
      <c r="Z14" s="14">
        <v>91635</v>
      </c>
      <c r="AA14" s="56">
        <f>'Monthly Electricity (Overview)'!X92+'Monthly Electricity (Overview)'!W92+'Monthly Electricity (Overview)'!AC92</f>
        <v>560164</v>
      </c>
      <c r="AB14" s="56">
        <f>SUM('Monthly Electricity (Overview)'!U92:X92)+'Monthly Electricity (Overview)'!AC92</f>
        <v>560164</v>
      </c>
      <c r="AC14" s="517" t="str">
        <f t="shared" si="10"/>
        <v>/</v>
      </c>
      <c r="AD14" s="56">
        <f>'Monthly Electricity (Overview)'!Y92</f>
        <v>929945</v>
      </c>
      <c r="AE14" s="56">
        <f>'Monthly Electricity (Overview)'!Y92</f>
        <v>929945</v>
      </c>
      <c r="AF14" s="517" t="str">
        <f t="shared" si="11"/>
        <v>/</v>
      </c>
      <c r="AG14" s="56">
        <f t="shared" si="0"/>
        <v>9289558</v>
      </c>
      <c r="AH14" s="56">
        <f t="shared" si="1"/>
        <v>9197923</v>
      </c>
      <c r="AI14" s="56">
        <f t="shared" si="12"/>
        <v>8964920</v>
      </c>
      <c r="AJ14" s="517" t="b">
        <f t="shared" si="13"/>
        <v>0</v>
      </c>
      <c r="AK14" s="56">
        <f t="shared" si="14"/>
        <v>233003</v>
      </c>
    </row>
    <row r="15" spans="1:37" ht="17" x14ac:dyDescent="0.2">
      <c r="A15" s="315">
        <v>44409</v>
      </c>
      <c r="B15" s="56">
        <f>'Monthly Electricity (Overview)'!B93-'Monthly Electricity (Overview)'!E93-SUM('Monthly Electricity (Overview)'!I93:N93)-SUM('Monthly Electricity (Overview)'!X93:Y93)+'Monthly Electricity (Overview)'!AD93</f>
        <v>4590275.4115214003</v>
      </c>
      <c r="C15" s="56">
        <f>'Monthly Electricity (Overview)'!B93-'Monthly Electricity (Overview)'!E93-SUM('Monthly Electricity (Overview)'!I93:N93)-SUM('Monthly Electricity (Overview)'!T93:Y93)</f>
        <v>4356418.4115214003</v>
      </c>
      <c r="D15" s="517" t="b">
        <f t="shared" si="2"/>
        <v>0</v>
      </c>
      <c r="E15" s="56">
        <f>'Monthly Electricity (Overview)'!I93</f>
        <v>2132948.5884785997</v>
      </c>
      <c r="F15" s="56">
        <f>'Monthly Electricity (Overview)'!I93</f>
        <v>2132948.5884785997</v>
      </c>
      <c r="G15" s="517" t="str">
        <f t="shared" si="3"/>
        <v>/</v>
      </c>
      <c r="H15" s="56">
        <f>'Monthly Electricity (Overview)'!N93</f>
        <v>200250</v>
      </c>
      <c r="I15" s="56">
        <f>'Monthly Electricity (Overview)'!N93</f>
        <v>200250</v>
      </c>
      <c r="J15" s="517" t="str">
        <f t="shared" si="4"/>
        <v>/</v>
      </c>
      <c r="K15" s="56">
        <f>'Monthly Electricity (Overview)'!E93</f>
        <v>352448</v>
      </c>
      <c r="L15" s="56">
        <f>'Monthly Electricity (Overview)'!E93</f>
        <v>352448</v>
      </c>
      <c r="M15" s="517" t="str">
        <f t="shared" si="5"/>
        <v>/</v>
      </c>
      <c r="N15" s="56">
        <f>'Monthly Electricity (Overview)'!J93</f>
        <v>194063</v>
      </c>
      <c r="O15" s="56">
        <f>'Monthly Electricity (Overview)'!J93</f>
        <v>194063</v>
      </c>
      <c r="P15" s="517" t="str">
        <f t="shared" si="6"/>
        <v>/</v>
      </c>
      <c r="Q15" s="56">
        <f>'Monthly Electricity (Overview)'!K93</f>
        <v>60143</v>
      </c>
      <c r="R15" s="56">
        <f>'Monthly Electricity (Overview)'!K93</f>
        <v>60143</v>
      </c>
      <c r="S15" s="517" t="str">
        <f t="shared" si="7"/>
        <v>/</v>
      </c>
      <c r="T15" s="56"/>
      <c r="U15" s="56"/>
      <c r="V15" s="517" t="str">
        <f t="shared" si="8"/>
        <v>/</v>
      </c>
      <c r="W15" s="56">
        <f>'Monthly Electricity (Overview)'!L93</f>
        <v>118510</v>
      </c>
      <c r="X15" s="56">
        <f>'Monthly Electricity (Overview)'!L93</f>
        <v>118510</v>
      </c>
      <c r="Y15" s="517" t="str">
        <f t="shared" si="9"/>
        <v>/</v>
      </c>
      <c r="Z15" s="14">
        <v>93108</v>
      </c>
      <c r="AA15" s="56">
        <f>'Monthly Electricity (Overview)'!X93+'Monthly Electricity (Overview)'!W93+'Monthly Electricity (Overview)'!AC93</f>
        <v>547203</v>
      </c>
      <c r="AB15" s="56">
        <f>SUM('Monthly Electricity (Overview)'!U93:X93)+'Monthly Electricity (Overview)'!AC93</f>
        <v>547203</v>
      </c>
      <c r="AC15" s="517" t="str">
        <f t="shared" si="10"/>
        <v>/</v>
      </c>
      <c r="AD15" s="56">
        <f>'Monthly Electricity (Overview)'!Y93</f>
        <v>854104</v>
      </c>
      <c r="AE15" s="56">
        <f>'Monthly Electricity (Overview)'!Y93</f>
        <v>854104</v>
      </c>
      <c r="AF15" s="517" t="str">
        <f t="shared" si="11"/>
        <v>/</v>
      </c>
      <c r="AG15" s="56">
        <f t="shared" si="0"/>
        <v>9143053</v>
      </c>
      <c r="AH15" s="56">
        <f t="shared" si="1"/>
        <v>9049945</v>
      </c>
      <c r="AI15" s="56">
        <f t="shared" si="12"/>
        <v>8816088</v>
      </c>
      <c r="AJ15" s="517" t="b">
        <f t="shared" si="13"/>
        <v>0</v>
      </c>
      <c r="AK15" s="56">
        <f t="shared" si="14"/>
        <v>233857</v>
      </c>
    </row>
    <row r="16" spans="1:37" ht="17" x14ac:dyDescent="0.2">
      <c r="A16" s="315">
        <v>44440</v>
      </c>
      <c r="B16" s="56">
        <f>'Monthly Electricity (Overview)'!B94-'Monthly Electricity (Overview)'!E94-SUM('Monthly Electricity (Overview)'!I94:N94)-SUM('Monthly Electricity (Overview)'!X94:Y94)+'Monthly Electricity (Overview)'!AD94</f>
        <v>4753398.7220830005</v>
      </c>
      <c r="C16" s="56">
        <f>'Monthly Electricity (Overview)'!B94-'Monthly Electricity (Overview)'!E94-SUM('Monthly Electricity (Overview)'!I94:N94)-SUM('Monthly Electricity (Overview)'!T94:Y94)</f>
        <v>4439424.7220830005</v>
      </c>
      <c r="D16" s="517" t="b">
        <f t="shared" si="2"/>
        <v>0</v>
      </c>
      <c r="E16" s="56">
        <f>'Monthly Electricity (Overview)'!I94</f>
        <v>2283872.277917</v>
      </c>
      <c r="F16" s="56">
        <f>'Monthly Electricity (Overview)'!I94</f>
        <v>2283872.277917</v>
      </c>
      <c r="G16" s="517" t="str">
        <f t="shared" si="3"/>
        <v>/</v>
      </c>
      <c r="H16" s="56">
        <f>'Monthly Electricity (Overview)'!N94</f>
        <v>225009</v>
      </c>
      <c r="I16" s="56">
        <f>'Monthly Electricity (Overview)'!N94</f>
        <v>225009</v>
      </c>
      <c r="J16" s="517" t="str">
        <f t="shared" si="4"/>
        <v>/</v>
      </c>
      <c r="K16" s="56">
        <f>'Monthly Electricity (Overview)'!E94</f>
        <v>429406</v>
      </c>
      <c r="L16" s="56">
        <f>'Monthly Electricity (Overview)'!E94</f>
        <v>429406</v>
      </c>
      <c r="M16" s="517" t="str">
        <f t="shared" si="5"/>
        <v>/</v>
      </c>
      <c r="N16" s="56">
        <f>'Monthly Electricity (Overview)'!J94</f>
        <v>257162</v>
      </c>
      <c r="O16" s="56">
        <f>'Monthly Electricity (Overview)'!J94</f>
        <v>257162</v>
      </c>
      <c r="P16" s="517" t="str">
        <f t="shared" si="6"/>
        <v>/</v>
      </c>
      <c r="Q16" s="56">
        <f>'Monthly Electricity (Overview)'!K94</f>
        <v>66269</v>
      </c>
      <c r="R16" s="56">
        <f>'Monthly Electricity (Overview)'!K94</f>
        <v>66269</v>
      </c>
      <c r="S16" s="517" t="str">
        <f t="shared" si="7"/>
        <v>/</v>
      </c>
      <c r="T16" s="56"/>
      <c r="U16" s="56"/>
      <c r="V16" s="517" t="str">
        <f t="shared" si="8"/>
        <v>/</v>
      </c>
      <c r="W16" s="56">
        <f>'Monthly Electricity (Overview)'!L94</f>
        <v>118507</v>
      </c>
      <c r="X16" s="56">
        <f>'Monthly Electricity (Overview)'!L94</f>
        <v>118507</v>
      </c>
      <c r="Y16" s="517" t="str">
        <f t="shared" si="9"/>
        <v>/</v>
      </c>
      <c r="Z16" s="14">
        <v>141827</v>
      </c>
      <c r="AA16" s="56">
        <f>'Monthly Electricity (Overview)'!X94+'Monthly Electricity (Overview)'!W94+'Monthly Electricity (Overview)'!AC94</f>
        <v>947506</v>
      </c>
      <c r="AB16" s="56">
        <f>SUM('Monthly Electricity (Overview)'!U94:X94)+'Monthly Electricity (Overview)'!AC94</f>
        <v>947506</v>
      </c>
      <c r="AC16" s="517" t="str">
        <f t="shared" si="10"/>
        <v>/</v>
      </c>
      <c r="AD16" s="56">
        <f>'Monthly Electricity (Overview)'!Y94</f>
        <v>980025</v>
      </c>
      <c r="AE16" s="56">
        <f>'Monthly Electricity (Overview)'!Y94</f>
        <v>980025</v>
      </c>
      <c r="AF16" s="517" t="str">
        <f t="shared" si="11"/>
        <v>/</v>
      </c>
      <c r="AG16" s="56">
        <f t="shared" si="0"/>
        <v>10202982</v>
      </c>
      <c r="AH16" s="56">
        <f t="shared" si="1"/>
        <v>10061155</v>
      </c>
      <c r="AI16" s="56">
        <f t="shared" si="12"/>
        <v>9747181</v>
      </c>
      <c r="AJ16" s="517" t="b">
        <f t="shared" si="13"/>
        <v>0</v>
      </c>
      <c r="AK16" s="56">
        <f t="shared" si="14"/>
        <v>313974</v>
      </c>
    </row>
    <row r="17" spans="1:37" ht="17" x14ac:dyDescent="0.2">
      <c r="A17" s="315">
        <v>44470</v>
      </c>
      <c r="B17" s="56">
        <f>'Monthly Electricity (Overview)'!B95-'Monthly Electricity (Overview)'!E95-SUM('Monthly Electricity (Overview)'!I95:N95)-SUM('Monthly Electricity (Overview)'!X95:Y95)+'Monthly Electricity (Overview)'!AD95</f>
        <v>4127331.9167027995</v>
      </c>
      <c r="C17" s="56">
        <f>'Monthly Electricity (Overview)'!B95-'Monthly Electricity (Overview)'!E95-SUM('Monthly Electricity (Overview)'!I95:N95)-SUM('Monthly Electricity (Overview)'!T95:Y95)</f>
        <v>3839617.9167027995</v>
      </c>
      <c r="D17" s="517" t="b">
        <f t="shared" si="2"/>
        <v>0</v>
      </c>
      <c r="E17" s="56">
        <f>'Monthly Electricity (Overview)'!I95</f>
        <v>1567023.0832972005</v>
      </c>
      <c r="F17" s="56">
        <f>'Monthly Electricity (Overview)'!I95</f>
        <v>1567023.0832972005</v>
      </c>
      <c r="G17" s="517" t="str">
        <f t="shared" si="3"/>
        <v>/</v>
      </c>
      <c r="H17" s="56">
        <f>'Monthly Electricity (Overview)'!N95</f>
        <v>172981</v>
      </c>
      <c r="I17" s="56">
        <f>'Monthly Electricity (Overview)'!N95</f>
        <v>172981</v>
      </c>
      <c r="J17" s="517" t="str">
        <f t="shared" si="4"/>
        <v>/</v>
      </c>
      <c r="K17" s="56">
        <f>'Monthly Electricity (Overview)'!E95</f>
        <v>374048</v>
      </c>
      <c r="L17" s="56">
        <f>'Monthly Electricity (Overview)'!E95</f>
        <v>374048</v>
      </c>
      <c r="M17" s="517" t="str">
        <f t="shared" si="5"/>
        <v>/</v>
      </c>
      <c r="N17" s="56">
        <f>'Monthly Electricity (Overview)'!J95</f>
        <v>230083</v>
      </c>
      <c r="O17" s="56">
        <f>'Monthly Electricity (Overview)'!J95</f>
        <v>230083</v>
      </c>
      <c r="P17" s="517" t="str">
        <f t="shared" si="6"/>
        <v>/</v>
      </c>
      <c r="Q17" s="56">
        <f>'Monthly Electricity (Overview)'!K95</f>
        <v>61621</v>
      </c>
      <c r="R17" s="56">
        <f>'Monthly Electricity (Overview)'!K95</f>
        <v>61621</v>
      </c>
      <c r="S17" s="517" t="str">
        <f t="shared" si="7"/>
        <v>/</v>
      </c>
      <c r="T17" s="56"/>
      <c r="U17" s="56"/>
      <c r="V17" s="517" t="str">
        <f t="shared" si="8"/>
        <v>/</v>
      </c>
      <c r="W17" s="56">
        <f>'Monthly Electricity (Overview)'!L95</f>
        <v>100243</v>
      </c>
      <c r="X17" s="56">
        <f>'Monthly Electricity (Overview)'!L95</f>
        <v>100243</v>
      </c>
      <c r="Y17" s="517" t="str">
        <f t="shared" si="9"/>
        <v>/</v>
      </c>
      <c r="Z17" s="14">
        <v>106072</v>
      </c>
      <c r="AA17" s="56">
        <f>'Monthly Electricity (Overview)'!X95+'Monthly Electricity (Overview)'!W95+'Monthly Electricity (Overview)'!AC95</f>
        <v>820025</v>
      </c>
      <c r="AB17" s="56">
        <f>SUM('Monthly Electricity (Overview)'!U95:X95)+'Monthly Electricity (Overview)'!AC95</f>
        <v>820025</v>
      </c>
      <c r="AC17" s="517" t="str">
        <f t="shared" si="10"/>
        <v>/</v>
      </c>
      <c r="AD17" s="56">
        <f>'Monthly Electricity (Overview)'!Y95</f>
        <v>687261</v>
      </c>
      <c r="AE17" s="56">
        <f>'Monthly Electricity (Overview)'!Y95</f>
        <v>687261</v>
      </c>
      <c r="AF17" s="517" t="str">
        <f t="shared" si="11"/>
        <v>/</v>
      </c>
      <c r="AG17" s="56">
        <f t="shared" si="0"/>
        <v>8246689</v>
      </c>
      <c r="AH17" s="56">
        <f t="shared" si="1"/>
        <v>8140617</v>
      </c>
      <c r="AI17" s="56">
        <f t="shared" si="12"/>
        <v>7852903</v>
      </c>
      <c r="AJ17" s="517" t="b">
        <f t="shared" si="13"/>
        <v>0</v>
      </c>
      <c r="AK17" s="56">
        <f t="shared" si="14"/>
        <v>287714</v>
      </c>
    </row>
    <row r="18" spans="1:37" ht="17" x14ac:dyDescent="0.2">
      <c r="A18" s="315">
        <v>44501</v>
      </c>
      <c r="B18" s="56">
        <f>'Monthly Electricity (Overview)'!B96-'Monthly Electricity (Overview)'!E96-SUM('Monthly Electricity (Overview)'!I96:N96)-SUM('Monthly Electricity (Overview)'!X96:Y96)+'Monthly Electricity (Overview)'!AD96</f>
        <v>4622574.3902484002</v>
      </c>
      <c r="C18" s="56">
        <f>'Monthly Electricity (Overview)'!B96-'Monthly Electricity (Overview)'!E96-SUM('Monthly Electricity (Overview)'!I96:N96)-SUM('Monthly Electricity (Overview)'!T96:Y96)</f>
        <v>4417234.3902484002</v>
      </c>
      <c r="D18" s="517" t="b">
        <f t="shared" si="2"/>
        <v>0</v>
      </c>
      <c r="E18" s="56">
        <f>'Monthly Electricity (Overview)'!I96</f>
        <v>935874.60975159972</v>
      </c>
      <c r="F18" s="56">
        <f>'Monthly Electricity (Overview)'!I96</f>
        <v>935874.60975159972</v>
      </c>
      <c r="G18" s="517" t="str">
        <f t="shared" si="3"/>
        <v>/</v>
      </c>
      <c r="H18" s="56">
        <f>'Monthly Electricity (Overview)'!N96</f>
        <v>93801</v>
      </c>
      <c r="I18" s="56">
        <f>'Monthly Electricity (Overview)'!N96</f>
        <v>93801</v>
      </c>
      <c r="J18" s="517" t="str">
        <f t="shared" si="4"/>
        <v>/</v>
      </c>
      <c r="K18" s="56">
        <f>'Monthly Electricity (Overview)'!E96</f>
        <v>432887</v>
      </c>
      <c r="L18" s="56">
        <f>'Monthly Electricity (Overview)'!E96</f>
        <v>432887</v>
      </c>
      <c r="M18" s="517" t="str">
        <f t="shared" si="5"/>
        <v>/</v>
      </c>
      <c r="N18" s="56">
        <f>'Monthly Electricity (Overview)'!J96</f>
        <v>272363</v>
      </c>
      <c r="O18" s="56">
        <f>'Monthly Electricity (Overview)'!J96</f>
        <v>272363</v>
      </c>
      <c r="P18" s="517" t="str">
        <f t="shared" si="6"/>
        <v>/</v>
      </c>
      <c r="Q18" s="56">
        <f>'Monthly Electricity (Overview)'!K96</f>
        <v>46745</v>
      </c>
      <c r="R18" s="56">
        <f>'Monthly Electricity (Overview)'!K96</f>
        <v>46745</v>
      </c>
      <c r="S18" s="517" t="str">
        <f t="shared" si="7"/>
        <v>/</v>
      </c>
      <c r="T18" s="56"/>
      <c r="U18" s="56"/>
      <c r="V18" s="517" t="str">
        <f t="shared" si="8"/>
        <v>/</v>
      </c>
      <c r="W18" s="56">
        <f>'Monthly Electricity (Overview)'!L96</f>
        <v>69976</v>
      </c>
      <c r="X18" s="56">
        <f>'Monthly Electricity (Overview)'!L96</f>
        <v>69976</v>
      </c>
      <c r="Y18" s="517" t="str">
        <f t="shared" si="9"/>
        <v>/</v>
      </c>
      <c r="Z18" s="14">
        <v>115747</v>
      </c>
      <c r="AA18" s="56">
        <f>'Monthly Electricity (Overview)'!X96+'Monthly Electricity (Overview)'!W96+'Monthly Electricity (Overview)'!AC96</f>
        <v>617494</v>
      </c>
      <c r="AB18" s="56">
        <f>SUM('Monthly Electricity (Overview)'!U96:X96)+'Monthly Electricity (Overview)'!AC96</f>
        <v>617494</v>
      </c>
      <c r="AC18" s="517" t="str">
        <f t="shared" si="10"/>
        <v>/</v>
      </c>
      <c r="AD18" s="56">
        <f>'Monthly Electricity (Overview)'!Y96</f>
        <v>580932</v>
      </c>
      <c r="AE18" s="56">
        <f>'Monthly Electricity (Overview)'!Y96</f>
        <v>580932</v>
      </c>
      <c r="AF18" s="517" t="str">
        <f t="shared" si="11"/>
        <v>/</v>
      </c>
      <c r="AG18" s="56">
        <f t="shared" si="0"/>
        <v>7788394</v>
      </c>
      <c r="AH18" s="56">
        <f t="shared" si="1"/>
        <v>7672647</v>
      </c>
      <c r="AI18" s="56">
        <f t="shared" si="12"/>
        <v>7467307</v>
      </c>
      <c r="AJ18" s="517" t="b">
        <f t="shared" si="13"/>
        <v>0</v>
      </c>
      <c r="AK18" s="56">
        <f t="shared" si="14"/>
        <v>205340</v>
      </c>
    </row>
    <row r="19" spans="1:37" ht="17" x14ac:dyDescent="0.2">
      <c r="A19" s="315">
        <v>44531</v>
      </c>
      <c r="B19" s="313">
        <f>'Monthly Electricity (Overview)'!B97-'Monthly Electricity (Overview)'!E97-SUM('Monthly Electricity (Overview)'!I97:N97)-SUM('Monthly Electricity (Overview)'!X97:Y97)+'Monthly Electricity (Overview)'!AD97</f>
        <v>4016099.7597922003</v>
      </c>
      <c r="C19" s="56">
        <f>'Monthly Electricity (Overview)'!B97-'Monthly Electricity (Overview)'!E97-SUM('Monthly Electricity (Overview)'!I97:N97)-SUM('Monthly Electricity (Overview)'!T97:Y97)</f>
        <v>3833849.7597922003</v>
      </c>
      <c r="D19" s="517" t="b">
        <f t="shared" si="2"/>
        <v>0</v>
      </c>
      <c r="E19" s="313">
        <f>'Monthly Electricity (Overview)'!I97</f>
        <v>572406.24020779971</v>
      </c>
      <c r="F19" s="56">
        <f>'Monthly Electricity (Overview)'!I97</f>
        <v>572406.24020779971</v>
      </c>
      <c r="G19" s="517" t="str">
        <f t="shared" si="3"/>
        <v>/</v>
      </c>
      <c r="H19" s="313">
        <f>'Monthly Electricity (Overview)'!N97</f>
        <v>63246</v>
      </c>
      <c r="I19" s="56">
        <f>'Monthly Electricity (Overview)'!N97</f>
        <v>63246</v>
      </c>
      <c r="J19" s="517" t="str">
        <f t="shared" si="4"/>
        <v>/</v>
      </c>
      <c r="K19" s="313">
        <f>'Monthly Electricity (Overview)'!E97</f>
        <v>372696</v>
      </c>
      <c r="L19" s="56">
        <f>'Monthly Electricity (Overview)'!E97</f>
        <v>372696</v>
      </c>
      <c r="M19" s="517" t="str">
        <f t="shared" si="5"/>
        <v>/</v>
      </c>
      <c r="N19" s="313">
        <f>'Monthly Electricity (Overview)'!J97</f>
        <v>233281</v>
      </c>
      <c r="O19" s="56">
        <f>'Monthly Electricity (Overview)'!J97</f>
        <v>233281</v>
      </c>
      <c r="P19" s="517" t="str">
        <f t="shared" si="6"/>
        <v>/</v>
      </c>
      <c r="Q19" s="313">
        <f>'Monthly Electricity (Overview)'!K97</f>
        <v>41794</v>
      </c>
      <c r="R19" s="56">
        <f>'Monthly Electricity (Overview)'!K97</f>
        <v>41794</v>
      </c>
      <c r="S19" s="517" t="str">
        <f t="shared" si="7"/>
        <v>/</v>
      </c>
      <c r="T19" s="313"/>
      <c r="U19" s="313"/>
      <c r="V19" s="517" t="str">
        <f t="shared" si="8"/>
        <v>/</v>
      </c>
      <c r="W19" s="313">
        <f>'Monthly Electricity (Overview)'!L97</f>
        <v>67881</v>
      </c>
      <c r="X19" s="56">
        <f>'Monthly Electricity (Overview)'!L97</f>
        <v>67881</v>
      </c>
      <c r="Y19" s="517" t="str">
        <f t="shared" si="9"/>
        <v>/</v>
      </c>
      <c r="Z19" s="314">
        <v>29777</v>
      </c>
      <c r="AA19" s="56">
        <f>'Monthly Electricity (Overview)'!X97+'Monthly Electricity (Overview)'!W97+'Monthly Electricity (Overview)'!AC97</f>
        <v>510187</v>
      </c>
      <c r="AB19" s="56">
        <f>SUM('Monthly Electricity (Overview)'!U97:X97)+'Monthly Electricity (Overview)'!AC97</f>
        <v>510187</v>
      </c>
      <c r="AC19" s="517" t="str">
        <f t="shared" si="10"/>
        <v>/</v>
      </c>
      <c r="AD19" s="313">
        <f>'Monthly Electricity (Overview)'!Y97</f>
        <v>525622</v>
      </c>
      <c r="AE19" s="56">
        <f>'Monthly Electricity (Overview)'!Y97</f>
        <v>525622</v>
      </c>
      <c r="AF19" s="517" t="str">
        <f t="shared" si="11"/>
        <v>/</v>
      </c>
      <c r="AG19" s="56">
        <f t="shared" si="0"/>
        <v>6432990</v>
      </c>
      <c r="AH19" s="56">
        <f t="shared" si="1"/>
        <v>6403213</v>
      </c>
      <c r="AI19" s="56">
        <f t="shared" si="12"/>
        <v>6220963</v>
      </c>
      <c r="AJ19" s="517" t="b">
        <f t="shared" si="13"/>
        <v>0</v>
      </c>
      <c r="AK19" s="56">
        <f t="shared" si="14"/>
        <v>182250</v>
      </c>
    </row>
    <row r="20" spans="1:37" ht="17" x14ac:dyDescent="0.2">
      <c r="A20" s="316">
        <v>44562</v>
      </c>
      <c r="B20" s="56">
        <f>'Monthly Electricity (Overview)'!B98-'Monthly Electricity (Overview)'!E98-SUM('Monthly Electricity (Overview)'!I98:N98)-SUM('Monthly Electricity (Overview)'!X98:Y98)+'Monthly Electricity (Overview)'!AD98</f>
        <v>3559508.0600000005</v>
      </c>
      <c r="C20" s="56">
        <f>'Monthly Electricity (Overview)'!B98-'Monthly Electricity (Overview)'!E98-SUM('Monthly Electricity (Overview)'!I98:N98)-SUM('Monthly Electricity (Overview)'!T98:Y98)</f>
        <v>3447520.0600000005</v>
      </c>
      <c r="D20" s="517" t="b">
        <f t="shared" si="2"/>
        <v>0</v>
      </c>
      <c r="E20" s="56">
        <f>'Monthly Electricity (Overview)'!I98</f>
        <v>502701.94</v>
      </c>
      <c r="F20" s="56">
        <f>'Monthly Electricity (Overview)'!I98</f>
        <v>502701.94</v>
      </c>
      <c r="G20" s="517" t="str">
        <f t="shared" si="3"/>
        <v>/</v>
      </c>
      <c r="H20" s="56">
        <f>'Monthly Electricity (Overview)'!N98</f>
        <v>47723</v>
      </c>
      <c r="I20" s="56">
        <f>'Monthly Electricity (Overview)'!N98</f>
        <v>47723</v>
      </c>
      <c r="J20" s="517" t="str">
        <f t="shared" si="4"/>
        <v>/</v>
      </c>
      <c r="K20" s="56">
        <f>'Monthly Electricity (Overview)'!E98</f>
        <v>344018</v>
      </c>
      <c r="L20" s="56">
        <f>'Monthly Electricity (Overview)'!E98</f>
        <v>344018</v>
      </c>
      <c r="M20" s="517" t="str">
        <f t="shared" si="5"/>
        <v>/</v>
      </c>
      <c r="N20" s="56">
        <f>'Monthly Electricity (Overview)'!J98</f>
        <v>215329</v>
      </c>
      <c r="O20" s="56">
        <f>'Monthly Electricity (Overview)'!J98</f>
        <v>215329</v>
      </c>
      <c r="P20" s="517" t="str">
        <f t="shared" si="6"/>
        <v>/</v>
      </c>
      <c r="Q20" s="56">
        <f>'Monthly Electricity (Overview)'!K98</f>
        <v>38644</v>
      </c>
      <c r="R20" s="56">
        <f>'Monthly Electricity (Overview)'!K98</f>
        <v>38644</v>
      </c>
      <c r="S20" s="517" t="str">
        <f t="shared" si="7"/>
        <v>/</v>
      </c>
      <c r="T20" s="56"/>
      <c r="U20" s="56"/>
      <c r="V20" s="517" t="str">
        <f t="shared" si="8"/>
        <v>/</v>
      </c>
      <c r="W20" s="56">
        <f>'Monthly Electricity (Overview)'!L98</f>
        <v>60492</v>
      </c>
      <c r="X20" s="56">
        <f>'Monthly Electricity (Overview)'!L98</f>
        <v>60492</v>
      </c>
      <c r="Y20" s="517" t="str">
        <f t="shared" si="9"/>
        <v>/</v>
      </c>
      <c r="Z20" s="14">
        <v>44842</v>
      </c>
      <c r="AA20" s="56">
        <f>'Monthly Electricity (Overview)'!X98+'Monthly Electricity (Overview)'!W98+'Monthly Electricity (Overview)'!AC98</f>
        <v>551956</v>
      </c>
      <c r="AB20" s="56">
        <f>SUM('Monthly Electricity (Overview)'!U98:X98)+'Monthly Electricity (Overview)'!AC98</f>
        <v>551956</v>
      </c>
      <c r="AC20" s="517" t="str">
        <f t="shared" si="10"/>
        <v>/</v>
      </c>
      <c r="AD20" s="56">
        <f>'Monthly Electricity (Overview)'!Y98</f>
        <v>511246</v>
      </c>
      <c r="AE20" s="56">
        <f>'Monthly Electricity (Overview)'!Y98</f>
        <v>511246</v>
      </c>
      <c r="AF20" s="517" t="str">
        <f t="shared" si="11"/>
        <v>/</v>
      </c>
      <c r="AG20" s="56">
        <f t="shared" si="0"/>
        <v>5876460</v>
      </c>
      <c r="AH20" s="56">
        <f t="shared" si="1"/>
        <v>5831618</v>
      </c>
      <c r="AI20" s="56">
        <f t="shared" si="12"/>
        <v>5719630</v>
      </c>
      <c r="AJ20" s="517" t="b">
        <f t="shared" si="13"/>
        <v>0</v>
      </c>
      <c r="AK20" s="56">
        <f t="shared" si="14"/>
        <v>111988</v>
      </c>
    </row>
    <row r="21" spans="1:37" ht="17" x14ac:dyDescent="0.2">
      <c r="A21" s="316">
        <v>44593</v>
      </c>
      <c r="B21" s="56">
        <f>'Monthly Electricity (Overview)'!B99-'Monthly Electricity (Overview)'!E99-SUM('Monthly Electricity (Overview)'!I99:N99)-SUM('Monthly Electricity (Overview)'!X99:Y99)+'Monthly Electricity (Overview)'!AD99</f>
        <v>3886623.13</v>
      </c>
      <c r="C21" s="56">
        <f>'Monthly Electricity (Overview)'!B99-'Monthly Electricity (Overview)'!E99-SUM('Monthly Electricity (Overview)'!I99:N99)-SUM('Monthly Electricity (Overview)'!T99:Y99)</f>
        <v>3784145.13</v>
      </c>
      <c r="D21" s="517" t="b">
        <f t="shared" si="2"/>
        <v>0</v>
      </c>
      <c r="E21" s="56">
        <f>'Monthly Electricity (Overview)'!I99</f>
        <v>353482.87</v>
      </c>
      <c r="F21" s="56">
        <f>'Monthly Electricity (Overview)'!I99</f>
        <v>353482.87</v>
      </c>
      <c r="G21" s="517" t="str">
        <f t="shared" si="3"/>
        <v>/</v>
      </c>
      <c r="H21" s="56">
        <f>'Monthly Electricity (Overview)'!N99</f>
        <v>40630</v>
      </c>
      <c r="I21" s="56">
        <f>'Monthly Electricity (Overview)'!N99</f>
        <v>40630</v>
      </c>
      <c r="J21" s="517" t="str">
        <f t="shared" si="4"/>
        <v>/</v>
      </c>
      <c r="K21" s="56">
        <f>'Monthly Electricity (Overview)'!E99</f>
        <v>357227</v>
      </c>
      <c r="L21" s="56">
        <f>'Monthly Electricity (Overview)'!E99</f>
        <v>357227</v>
      </c>
      <c r="M21" s="517" t="str">
        <f t="shared" si="5"/>
        <v>/</v>
      </c>
      <c r="N21" s="56">
        <f>'Monthly Electricity (Overview)'!J99</f>
        <v>219454</v>
      </c>
      <c r="O21" s="56">
        <f>'Monthly Electricity (Overview)'!J99</f>
        <v>219454</v>
      </c>
      <c r="P21" s="517" t="str">
        <f t="shared" si="6"/>
        <v>/</v>
      </c>
      <c r="Q21" s="56">
        <f>'Monthly Electricity (Overview)'!K99</f>
        <v>37755</v>
      </c>
      <c r="R21" s="56">
        <f>'Monthly Electricity (Overview)'!K99</f>
        <v>37755</v>
      </c>
      <c r="S21" s="517" t="str">
        <f t="shared" si="7"/>
        <v>/</v>
      </c>
      <c r="T21" s="56"/>
      <c r="U21" s="56"/>
      <c r="V21" s="517" t="str">
        <f t="shared" si="8"/>
        <v>/</v>
      </c>
      <c r="W21" s="56">
        <f>'Monthly Electricity (Overview)'!L99</f>
        <v>52974</v>
      </c>
      <c r="X21" s="56">
        <f>'Monthly Electricity (Overview)'!L99</f>
        <v>52974</v>
      </c>
      <c r="Y21" s="517" t="str">
        <f t="shared" si="9"/>
        <v>/</v>
      </c>
      <c r="Z21" s="14">
        <v>32534</v>
      </c>
      <c r="AA21" s="56">
        <f>'Monthly Electricity (Overview)'!X99+'Monthly Electricity (Overview)'!W99+'Monthly Electricity (Overview)'!AC99</f>
        <v>477064</v>
      </c>
      <c r="AB21" s="56">
        <f>SUM('Monthly Electricity (Overview)'!U99:X99)+'Monthly Electricity (Overview)'!AC99</f>
        <v>477064</v>
      </c>
      <c r="AC21" s="517" t="str">
        <f t="shared" si="10"/>
        <v>/</v>
      </c>
      <c r="AD21" s="56">
        <f>'Monthly Electricity (Overview)'!Y99</f>
        <v>650640</v>
      </c>
      <c r="AE21" s="56">
        <f>'Monthly Electricity (Overview)'!Y99</f>
        <v>650640</v>
      </c>
      <c r="AF21" s="517" t="str">
        <f t="shared" si="11"/>
        <v>/</v>
      </c>
      <c r="AG21" s="56">
        <f t="shared" si="0"/>
        <v>6108384</v>
      </c>
      <c r="AH21" s="56">
        <f t="shared" si="1"/>
        <v>6075850</v>
      </c>
      <c r="AI21" s="56">
        <f t="shared" si="12"/>
        <v>5973372</v>
      </c>
      <c r="AJ21" s="517" t="b">
        <f t="shared" si="13"/>
        <v>0</v>
      </c>
      <c r="AK21" s="56">
        <f t="shared" si="14"/>
        <v>102478</v>
      </c>
    </row>
    <row r="22" spans="1:37" ht="17" x14ac:dyDescent="0.2">
      <c r="A22" s="316">
        <v>44621</v>
      </c>
      <c r="B22" s="56">
        <f>'Monthly Electricity (Overview)'!B100-'Monthly Electricity (Overview)'!E100-SUM('Monthly Electricity (Overview)'!I100:N100)-SUM('Monthly Electricity (Overview)'!X100:Y100)+'Monthly Electricity (Overview)'!AD100</f>
        <v>3759633.2699999996</v>
      </c>
      <c r="C22" s="56">
        <f>'Monthly Electricity (Overview)'!B100-'Monthly Electricity (Overview)'!E100-SUM('Monthly Electricity (Overview)'!I100:N100)-SUM('Monthly Electricity (Overview)'!T100:Y100)</f>
        <v>3584683.2699999996</v>
      </c>
      <c r="D22" s="517" t="b">
        <f t="shared" si="2"/>
        <v>0</v>
      </c>
      <c r="E22" s="56">
        <f>'Monthly Electricity (Overview)'!I100</f>
        <v>778373.73</v>
      </c>
      <c r="F22" s="56">
        <f>'Monthly Electricity (Overview)'!I100</f>
        <v>778373.73</v>
      </c>
      <c r="G22" s="517" t="str">
        <f t="shared" si="3"/>
        <v>/</v>
      </c>
      <c r="H22" s="56">
        <f>'Monthly Electricity (Overview)'!N100</f>
        <v>73854</v>
      </c>
      <c r="I22" s="56">
        <f>'Monthly Electricity (Overview)'!N100</f>
        <v>73854</v>
      </c>
      <c r="J22" s="517" t="str">
        <f t="shared" si="4"/>
        <v>/</v>
      </c>
      <c r="K22" s="56">
        <f>'Monthly Electricity (Overview)'!E100</f>
        <v>355006</v>
      </c>
      <c r="L22" s="56">
        <f>'Monthly Electricity (Overview)'!E100</f>
        <v>355006</v>
      </c>
      <c r="M22" s="517" t="str">
        <f t="shared" si="5"/>
        <v>/</v>
      </c>
      <c r="N22" s="56">
        <f>'Monthly Electricity (Overview)'!J100</f>
        <v>211474</v>
      </c>
      <c r="O22" s="56">
        <f>'Monthly Electricity (Overview)'!J100</f>
        <v>211474</v>
      </c>
      <c r="P22" s="517" t="str">
        <f t="shared" si="6"/>
        <v>/</v>
      </c>
      <c r="Q22" s="56">
        <f>'Monthly Electricity (Overview)'!K100</f>
        <v>40293</v>
      </c>
      <c r="R22" s="56">
        <f>'Monthly Electricity (Overview)'!K100</f>
        <v>40293</v>
      </c>
      <c r="S22" s="517" t="str">
        <f t="shared" si="7"/>
        <v>/</v>
      </c>
      <c r="T22" s="56"/>
      <c r="U22" s="56"/>
      <c r="V22" s="517" t="str">
        <f t="shared" si="8"/>
        <v>/</v>
      </c>
      <c r="W22" s="56">
        <f>'Monthly Electricity (Overview)'!L100</f>
        <v>58322</v>
      </c>
      <c r="X22" s="56">
        <f>'Monthly Electricity (Overview)'!L100</f>
        <v>58322</v>
      </c>
      <c r="Y22" s="517" t="str">
        <f t="shared" si="9"/>
        <v>/</v>
      </c>
      <c r="Z22" s="14">
        <v>39912</v>
      </c>
      <c r="AA22" s="56">
        <f>'Monthly Electricity (Overview)'!X100+'Monthly Electricity (Overview)'!W100+'Monthly Electricity (Overview)'!AC100</f>
        <v>463901</v>
      </c>
      <c r="AB22" s="56">
        <f>SUM('Monthly Electricity (Overview)'!U100:X100)+'Monthly Electricity (Overview)'!AC100</f>
        <v>463901</v>
      </c>
      <c r="AC22" s="517" t="str">
        <f t="shared" si="10"/>
        <v>/</v>
      </c>
      <c r="AD22" s="56">
        <f>'Monthly Electricity (Overview)'!Y100</f>
        <v>470468</v>
      </c>
      <c r="AE22" s="56">
        <f>'Monthly Electricity (Overview)'!Y100</f>
        <v>470468</v>
      </c>
      <c r="AF22" s="517" t="str">
        <f t="shared" si="11"/>
        <v>/</v>
      </c>
      <c r="AG22" s="56">
        <f t="shared" si="0"/>
        <v>6251237</v>
      </c>
      <c r="AH22" s="56">
        <f t="shared" si="1"/>
        <v>6211325</v>
      </c>
      <c r="AI22" s="56">
        <f t="shared" si="12"/>
        <v>6036375</v>
      </c>
      <c r="AJ22" s="517" t="b">
        <f t="shared" si="13"/>
        <v>0</v>
      </c>
      <c r="AK22" s="56">
        <f t="shared" si="14"/>
        <v>174950</v>
      </c>
    </row>
    <row r="23" spans="1:37" ht="17" x14ac:dyDescent="0.2">
      <c r="A23" s="316">
        <v>44652</v>
      </c>
      <c r="B23" s="56">
        <f>'Monthly Electricity (Overview)'!B101-'Monthly Electricity (Overview)'!E101-SUM('Monthly Electricity (Overview)'!I101:N101)-SUM('Monthly Electricity (Overview)'!X101:Y101)+'Monthly Electricity (Overview)'!AD101</f>
        <v>3941194.42</v>
      </c>
      <c r="C23" s="56">
        <f>'Monthly Electricity (Overview)'!B101-'Monthly Electricity (Overview)'!E101-SUM('Monthly Electricity (Overview)'!I101:N101)-SUM('Monthly Electricity (Overview)'!T101:Y101)</f>
        <v>3769948.42</v>
      </c>
      <c r="D23" s="517" t="b">
        <f t="shared" si="2"/>
        <v>0</v>
      </c>
      <c r="E23" s="56">
        <f>'Monthly Electricity (Overview)'!I101</f>
        <v>1054668.58</v>
      </c>
      <c r="F23" s="56">
        <f>'Monthly Electricity (Overview)'!I101</f>
        <v>1054668.58</v>
      </c>
      <c r="G23" s="517" t="str">
        <f t="shared" si="3"/>
        <v>/</v>
      </c>
      <c r="H23" s="56">
        <f>'Monthly Electricity (Overview)'!N101</f>
        <v>115979</v>
      </c>
      <c r="I23" s="56">
        <f>'Monthly Electricity (Overview)'!N101</f>
        <v>115979</v>
      </c>
      <c r="J23" s="517" t="str">
        <f t="shared" si="4"/>
        <v>/</v>
      </c>
      <c r="K23" s="56">
        <f>'Monthly Electricity (Overview)'!E101</f>
        <v>338789</v>
      </c>
      <c r="L23" s="56">
        <f>'Monthly Electricity (Overview)'!E101</f>
        <v>338789</v>
      </c>
      <c r="M23" s="517" t="str">
        <f t="shared" si="5"/>
        <v>/</v>
      </c>
      <c r="N23" s="56">
        <f>'Monthly Electricity (Overview)'!J101</f>
        <v>202690</v>
      </c>
      <c r="O23" s="56">
        <f>'Monthly Electricity (Overview)'!J101</f>
        <v>202690</v>
      </c>
      <c r="P23" s="517" t="str">
        <f t="shared" si="6"/>
        <v>/</v>
      </c>
      <c r="Q23" s="56">
        <f>'Monthly Electricity (Overview)'!K101</f>
        <v>50830</v>
      </c>
      <c r="R23" s="56">
        <f>'Monthly Electricity (Overview)'!K101</f>
        <v>50830</v>
      </c>
      <c r="S23" s="517" t="str">
        <f t="shared" si="7"/>
        <v>/</v>
      </c>
      <c r="T23" s="56"/>
      <c r="U23" s="56"/>
      <c r="V23" s="517" t="str">
        <f t="shared" si="8"/>
        <v>/</v>
      </c>
      <c r="W23" s="56">
        <f>'Monthly Electricity (Overview)'!L101</f>
        <v>57767</v>
      </c>
      <c r="X23" s="56">
        <f>'Monthly Electricity (Overview)'!L101</f>
        <v>57767</v>
      </c>
      <c r="Y23" s="517" t="str">
        <f t="shared" si="9"/>
        <v>/</v>
      </c>
      <c r="Z23" s="14">
        <v>52231</v>
      </c>
      <c r="AA23" s="56">
        <f>'Monthly Electricity (Overview)'!X101+'Monthly Electricity (Overview)'!W101+'Monthly Electricity (Overview)'!AC101</f>
        <v>503835</v>
      </c>
      <c r="AB23" s="56">
        <f>SUM('Monthly Electricity (Overview)'!U101:X101)+'Monthly Electricity (Overview)'!AC101</f>
        <v>503835</v>
      </c>
      <c r="AC23" s="517" t="str">
        <f t="shared" si="10"/>
        <v>/</v>
      </c>
      <c r="AD23" s="56">
        <f>'Monthly Electricity (Overview)'!Y101</f>
        <v>519962</v>
      </c>
      <c r="AE23" s="56">
        <f>'Monthly Electricity (Overview)'!Y101</f>
        <v>519962</v>
      </c>
      <c r="AF23" s="517" t="str">
        <f t="shared" si="11"/>
        <v>/</v>
      </c>
      <c r="AG23" s="56">
        <f t="shared" si="0"/>
        <v>6837946</v>
      </c>
      <c r="AH23" s="56">
        <f t="shared" si="1"/>
        <v>6785715</v>
      </c>
      <c r="AI23" s="56">
        <f t="shared" si="12"/>
        <v>6614469</v>
      </c>
      <c r="AJ23" s="517" t="b">
        <f t="shared" si="13"/>
        <v>0</v>
      </c>
      <c r="AK23" s="56">
        <f t="shared" si="14"/>
        <v>171246</v>
      </c>
    </row>
    <row r="24" spans="1:37" ht="17" x14ac:dyDescent="0.2">
      <c r="A24" s="316">
        <v>44682</v>
      </c>
      <c r="B24" s="56">
        <f>'Monthly Electricity (Overview)'!B102-'Monthly Electricity (Overview)'!E102-SUM('Monthly Electricity (Overview)'!I102:N102)-SUM('Monthly Electricity (Overview)'!X102:Y102)+'Monthly Electricity (Overview)'!AD102</f>
        <v>4274377.9000000004</v>
      </c>
      <c r="C24" s="56">
        <f>'Monthly Electricity (Overview)'!B102-'Monthly Electricity (Overview)'!E102-SUM('Monthly Electricity (Overview)'!I102:N102)-SUM('Monthly Electricity (Overview)'!T102:Y102)</f>
        <v>4073724.9000000004</v>
      </c>
      <c r="D24" s="517" t="b">
        <f t="shared" si="2"/>
        <v>0</v>
      </c>
      <c r="E24" s="56">
        <f>'Monthly Electricity (Overview)'!I102</f>
        <v>1500945.1</v>
      </c>
      <c r="F24" s="56">
        <f>'Monthly Electricity (Overview)'!I102</f>
        <v>1500945.1</v>
      </c>
      <c r="G24" s="517" t="str">
        <f t="shared" si="3"/>
        <v>/</v>
      </c>
      <c r="H24" s="56">
        <f>'Monthly Electricity (Overview)'!N102</f>
        <v>128870</v>
      </c>
      <c r="I24" s="56">
        <f>'Monthly Electricity (Overview)'!N102</f>
        <v>128870</v>
      </c>
      <c r="J24" s="517" t="str">
        <f t="shared" si="4"/>
        <v>/</v>
      </c>
      <c r="K24" s="56">
        <f>'Monthly Electricity (Overview)'!E102</f>
        <v>381972</v>
      </c>
      <c r="L24" s="56">
        <f>'Monthly Electricity (Overview)'!E102</f>
        <v>381972</v>
      </c>
      <c r="M24" s="517" t="str">
        <f t="shared" si="5"/>
        <v>/</v>
      </c>
      <c r="N24" s="56">
        <f>'Monthly Electricity (Overview)'!J102</f>
        <v>218112</v>
      </c>
      <c r="O24" s="56">
        <f>'Monthly Electricity (Overview)'!J102</f>
        <v>218112</v>
      </c>
      <c r="P24" s="517" t="str">
        <f t="shared" si="6"/>
        <v>/</v>
      </c>
      <c r="Q24" s="56">
        <f>'Monthly Electricity (Overview)'!K102</f>
        <v>47282</v>
      </c>
      <c r="R24" s="56">
        <f>'Monthly Electricity (Overview)'!K102</f>
        <v>47282</v>
      </c>
      <c r="S24" s="517" t="str">
        <f t="shared" si="7"/>
        <v>/</v>
      </c>
      <c r="T24" s="56"/>
      <c r="U24" s="56"/>
      <c r="V24" s="517" t="str">
        <f t="shared" si="8"/>
        <v>/</v>
      </c>
      <c r="W24" s="56">
        <f>'Monthly Electricity (Overview)'!L102</f>
        <v>60742</v>
      </c>
      <c r="X24" s="56">
        <f>'Monthly Electricity (Overview)'!L102</f>
        <v>60742</v>
      </c>
      <c r="Y24" s="517" t="str">
        <f t="shared" si="9"/>
        <v>/</v>
      </c>
      <c r="Z24" s="14">
        <v>52604</v>
      </c>
      <c r="AA24" s="56">
        <f>'Monthly Electricity (Overview)'!X102+'Monthly Electricity (Overview)'!W102+'Monthly Electricity (Overview)'!AC102</f>
        <v>523715</v>
      </c>
      <c r="AB24" s="56">
        <f>SUM('Monthly Electricity (Overview)'!U102:X102)+'Monthly Electricity (Overview)'!AC102</f>
        <v>523715</v>
      </c>
      <c r="AC24" s="517" t="str">
        <f t="shared" si="10"/>
        <v>/</v>
      </c>
      <c r="AD24" s="56">
        <f>'Monthly Electricity (Overview)'!Y102</f>
        <v>600781</v>
      </c>
      <c r="AE24" s="56">
        <f>'Monthly Electricity (Overview)'!Y102</f>
        <v>600781</v>
      </c>
      <c r="AF24" s="517" t="str">
        <f t="shared" si="11"/>
        <v>/</v>
      </c>
      <c r="AG24" s="56">
        <f t="shared" si="0"/>
        <v>7789401</v>
      </c>
      <c r="AH24" s="56">
        <f t="shared" si="1"/>
        <v>7736797</v>
      </c>
      <c r="AI24" s="56">
        <f t="shared" si="12"/>
        <v>7536144</v>
      </c>
      <c r="AJ24" s="517" t="b">
        <f t="shared" si="13"/>
        <v>0</v>
      </c>
      <c r="AK24" s="56">
        <f t="shared" si="14"/>
        <v>200653</v>
      </c>
    </row>
    <row r="25" spans="1:37" ht="17" x14ac:dyDescent="0.2">
      <c r="A25" s="316">
        <v>44713</v>
      </c>
      <c r="B25" s="56">
        <f>'Monthly Electricity (Overview)'!B103-'Monthly Electricity (Overview)'!E103-SUM('Monthly Electricity (Overview)'!I103:N103)-SUM('Monthly Electricity (Overview)'!X103:Y103)+'Monthly Electricity (Overview)'!AD103</f>
        <v>4349709.3900000006</v>
      </c>
      <c r="C25" s="56">
        <f>'Monthly Electricity (Overview)'!B103-'Monthly Electricity (Overview)'!E103-SUM('Monthly Electricity (Overview)'!I103:N103)-SUM('Monthly Electricity (Overview)'!T103:Y103)</f>
        <v>4088000.3900000006</v>
      </c>
      <c r="D25" s="517" t="b">
        <f t="shared" si="2"/>
        <v>0</v>
      </c>
      <c r="E25" s="56">
        <f>'Monthly Electricity (Overview)'!I103</f>
        <v>2130901.61</v>
      </c>
      <c r="F25" s="56">
        <f>'Monthly Electricity (Overview)'!I103</f>
        <v>2130901.61</v>
      </c>
      <c r="G25" s="517" t="str">
        <f t="shared" si="3"/>
        <v>/</v>
      </c>
      <c r="H25" s="56">
        <f>'Monthly Electricity (Overview)'!N103</f>
        <v>226263</v>
      </c>
      <c r="I25" s="56">
        <f>'Monthly Electricity (Overview)'!N103</f>
        <v>226263</v>
      </c>
      <c r="J25" s="517" t="str">
        <f t="shared" si="4"/>
        <v>/</v>
      </c>
      <c r="K25" s="56">
        <f>'Monthly Electricity (Overview)'!E103</f>
        <v>373954</v>
      </c>
      <c r="L25" s="56">
        <f>'Monthly Electricity (Overview)'!E103</f>
        <v>373954</v>
      </c>
      <c r="M25" s="517" t="str">
        <f t="shared" si="5"/>
        <v>/</v>
      </c>
      <c r="N25" s="56">
        <f>'Monthly Electricity (Overview)'!J103</f>
        <v>216767</v>
      </c>
      <c r="O25" s="56">
        <f>'Monthly Electricity (Overview)'!J103</f>
        <v>216767</v>
      </c>
      <c r="P25" s="517" t="str">
        <f t="shared" si="6"/>
        <v>/</v>
      </c>
      <c r="Q25" s="56">
        <f>'Monthly Electricity (Overview)'!K103</f>
        <v>69729</v>
      </c>
      <c r="R25" s="56">
        <f>'Monthly Electricity (Overview)'!K103</f>
        <v>69729</v>
      </c>
      <c r="S25" s="517" t="str">
        <f t="shared" si="7"/>
        <v>/</v>
      </c>
      <c r="T25" s="56"/>
      <c r="U25" s="56"/>
      <c r="V25" s="517" t="str">
        <f t="shared" si="8"/>
        <v>/</v>
      </c>
      <c r="W25" s="56">
        <f>'Monthly Electricity (Overview)'!L103</f>
        <v>131317</v>
      </c>
      <c r="X25" s="56">
        <f>'Monthly Electricity (Overview)'!L103</f>
        <v>131317</v>
      </c>
      <c r="Y25" s="517" t="str">
        <f t="shared" si="9"/>
        <v>/</v>
      </c>
      <c r="Z25" s="14">
        <v>75835</v>
      </c>
      <c r="AA25" s="56">
        <f>'Monthly Electricity (Overview)'!X103+'Monthly Electricity (Overview)'!W103+'Monthly Electricity (Overview)'!AC103</f>
        <v>683636</v>
      </c>
      <c r="AB25" s="56">
        <f>SUM('Monthly Electricity (Overview)'!U103:X103)+'Monthly Electricity (Overview)'!AC103</f>
        <v>683636</v>
      </c>
      <c r="AC25" s="517" t="str">
        <f t="shared" si="10"/>
        <v>/</v>
      </c>
      <c r="AD25" s="56">
        <f>'Monthly Electricity (Overview)'!Y103</f>
        <v>822488</v>
      </c>
      <c r="AE25" s="56">
        <f>'Monthly Electricity (Overview)'!Y103</f>
        <v>822488</v>
      </c>
      <c r="AF25" s="517" t="str">
        <f t="shared" si="11"/>
        <v>/</v>
      </c>
      <c r="AG25" s="56">
        <f t="shared" si="0"/>
        <v>9080600</v>
      </c>
      <c r="AH25" s="56">
        <f t="shared" si="1"/>
        <v>9004765</v>
      </c>
      <c r="AI25" s="56">
        <f t="shared" si="12"/>
        <v>8743056</v>
      </c>
      <c r="AJ25" s="517" t="b">
        <f t="shared" si="13"/>
        <v>0</v>
      </c>
      <c r="AK25" s="56">
        <f t="shared" si="14"/>
        <v>261709</v>
      </c>
    </row>
    <row r="26" spans="1:37" ht="17" x14ac:dyDescent="0.2">
      <c r="A26" s="316">
        <v>44743</v>
      </c>
      <c r="B26" s="56">
        <f>'Monthly Electricity (Overview)'!B104-'Monthly Electricity (Overview)'!E104-SUM('Monthly Electricity (Overview)'!I104:N104)-SUM('Monthly Electricity (Overview)'!X104:Y104)+'Monthly Electricity (Overview)'!AD104</f>
        <v>3974664</v>
      </c>
      <c r="C26" s="56">
        <f>'Monthly Electricity (Overview)'!B104-'Monthly Electricity (Overview)'!E104-SUM('Monthly Electricity (Overview)'!I104:N104)-SUM('Monthly Electricity (Overview)'!T104:Y104)</f>
        <v>3721119</v>
      </c>
      <c r="D26" s="517" t="b">
        <f t="shared" si="2"/>
        <v>0</v>
      </c>
      <c r="E26" s="56">
        <f>'Monthly Electricity (Overview)'!I104</f>
        <v>2485643</v>
      </c>
      <c r="F26" s="56">
        <f>'Monthly Electricity (Overview)'!I104</f>
        <v>2485643</v>
      </c>
      <c r="G26" s="517" t="str">
        <f t="shared" si="3"/>
        <v>/</v>
      </c>
      <c r="H26" s="56">
        <f>'Monthly Electricity (Overview)'!N104</f>
        <v>222744</v>
      </c>
      <c r="I26" s="56">
        <f>'Monthly Electricity (Overview)'!N104</f>
        <v>222744</v>
      </c>
      <c r="J26" s="517" t="str">
        <f t="shared" si="4"/>
        <v>/</v>
      </c>
      <c r="K26" s="56">
        <f>'Monthly Electricity (Overview)'!E104</f>
        <v>335327</v>
      </c>
      <c r="L26" s="56">
        <f>'Monthly Electricity (Overview)'!E104</f>
        <v>335327</v>
      </c>
      <c r="M26" s="517" t="str">
        <f t="shared" si="5"/>
        <v>/</v>
      </c>
      <c r="N26" s="56">
        <f>'Monthly Electricity (Overview)'!J104</f>
        <v>181196</v>
      </c>
      <c r="O26" s="56">
        <f>'Monthly Electricity (Overview)'!J104</f>
        <v>181196</v>
      </c>
      <c r="P26" s="517" t="str">
        <f t="shared" si="6"/>
        <v>/</v>
      </c>
      <c r="Q26" s="56">
        <f>'Monthly Electricity (Overview)'!K104</f>
        <v>67366</v>
      </c>
      <c r="R26" s="56">
        <f>'Monthly Electricity (Overview)'!K104</f>
        <v>67366</v>
      </c>
      <c r="S26" s="517" t="str">
        <f t="shared" si="7"/>
        <v>/</v>
      </c>
      <c r="T26" s="56"/>
      <c r="U26" s="56"/>
      <c r="V26" s="517" t="str">
        <f t="shared" si="8"/>
        <v>/</v>
      </c>
      <c r="W26" s="56">
        <f>'Monthly Electricity (Overview)'!L104</f>
        <v>129521</v>
      </c>
      <c r="X26" s="56">
        <f>'Monthly Electricity (Overview)'!L104</f>
        <v>129521</v>
      </c>
      <c r="Y26" s="517" t="str">
        <f t="shared" si="9"/>
        <v>/</v>
      </c>
      <c r="Z26" s="14">
        <v>99717</v>
      </c>
      <c r="AA26" s="56">
        <f>'Monthly Electricity (Overview)'!X104+'Monthly Electricity (Overview)'!W104+'Monthly Electricity (Overview)'!AC104</f>
        <v>648650</v>
      </c>
      <c r="AB26" s="56">
        <f>SUM('Monthly Electricity (Overview)'!U104:X104)+'Monthly Electricity (Overview)'!AC104</f>
        <v>648650</v>
      </c>
      <c r="AC26" s="517" t="str">
        <f t="shared" si="10"/>
        <v>/</v>
      </c>
      <c r="AD26" s="56">
        <f>'Monthly Electricity (Overview)'!Y104</f>
        <v>867082</v>
      </c>
      <c r="AE26" s="56">
        <f>'Monthly Electricity (Overview)'!Y104</f>
        <v>867082</v>
      </c>
      <c r="AF26" s="517" t="str">
        <f t="shared" si="11"/>
        <v>/</v>
      </c>
      <c r="AG26" s="56">
        <f t="shared" si="0"/>
        <v>9011910</v>
      </c>
      <c r="AH26" s="56">
        <f t="shared" si="1"/>
        <v>8912193</v>
      </c>
      <c r="AI26" s="56">
        <f t="shared" si="12"/>
        <v>8658648</v>
      </c>
      <c r="AJ26" s="517" t="b">
        <f t="shared" si="13"/>
        <v>0</v>
      </c>
      <c r="AK26" s="56">
        <f t="shared" si="14"/>
        <v>253545</v>
      </c>
    </row>
    <row r="27" spans="1:37" ht="17" x14ac:dyDescent="0.2">
      <c r="A27" s="316">
        <v>44774</v>
      </c>
      <c r="B27" s="56">
        <f>'Monthly Electricity (Overview)'!B105-'Monthly Electricity (Overview)'!E105-SUM('Monthly Electricity (Overview)'!I105:N105)-SUM('Monthly Electricity (Overview)'!X105:Y105)+'Monthly Electricity (Overview)'!AD105</f>
        <v>4811184.76</v>
      </c>
      <c r="C27" s="56">
        <f>'Monthly Electricity (Overview)'!B105-'Monthly Electricity (Overview)'!E105-SUM('Monthly Electricity (Overview)'!I105:N105)-SUM('Monthly Electricity (Overview)'!T105:Y105)</f>
        <v>4531191.76</v>
      </c>
      <c r="D27" s="517" t="b">
        <f t="shared" si="2"/>
        <v>0</v>
      </c>
      <c r="E27" s="56">
        <f>'Monthly Electricity (Overview)'!I105</f>
        <v>2278104.2400000002</v>
      </c>
      <c r="F27" s="56">
        <f>'Monthly Electricity (Overview)'!I105</f>
        <v>2278104.2400000002</v>
      </c>
      <c r="G27" s="517" t="str">
        <f t="shared" si="3"/>
        <v>/</v>
      </c>
      <c r="H27" s="56">
        <f>'Monthly Electricity (Overview)'!N105</f>
        <v>238990</v>
      </c>
      <c r="I27" s="56">
        <f>'Monthly Electricity (Overview)'!N105</f>
        <v>238990</v>
      </c>
      <c r="J27" s="517" t="str">
        <f t="shared" si="4"/>
        <v>/</v>
      </c>
      <c r="K27" s="56">
        <f>'Monthly Electricity (Overview)'!E105</f>
        <v>389800</v>
      </c>
      <c r="L27" s="56">
        <f>'Monthly Electricity (Overview)'!E105</f>
        <v>389800</v>
      </c>
      <c r="M27" s="517" t="str">
        <f t="shared" si="5"/>
        <v>/</v>
      </c>
      <c r="N27" s="56">
        <f>'Monthly Electricity (Overview)'!J105</f>
        <v>202462</v>
      </c>
      <c r="O27" s="56">
        <f>'Monthly Electricity (Overview)'!J105</f>
        <v>202462</v>
      </c>
      <c r="P27" s="517" t="str">
        <f t="shared" si="6"/>
        <v>/</v>
      </c>
      <c r="Q27" s="56">
        <f>'Monthly Electricity (Overview)'!K105</f>
        <v>68389</v>
      </c>
      <c r="R27" s="56">
        <f>'Monthly Electricity (Overview)'!K105</f>
        <v>68389</v>
      </c>
      <c r="S27" s="517" t="str">
        <f t="shared" si="7"/>
        <v>/</v>
      </c>
      <c r="T27" s="56"/>
      <c r="U27" s="56"/>
      <c r="V27" s="517" t="str">
        <f t="shared" si="8"/>
        <v>/</v>
      </c>
      <c r="W27" s="56">
        <f>'Monthly Electricity (Overview)'!L105</f>
        <v>127143</v>
      </c>
      <c r="X27" s="56">
        <f>'Monthly Electricity (Overview)'!L105</f>
        <v>127143</v>
      </c>
      <c r="Y27" s="517" t="str">
        <f t="shared" si="9"/>
        <v>/</v>
      </c>
      <c r="Z27" s="14">
        <v>89490</v>
      </c>
      <c r="AA27" s="56">
        <f>'Monthly Electricity (Overview)'!X105+'Monthly Electricity (Overview)'!W105+'Monthly Electricity (Overview)'!AC105</f>
        <v>709505</v>
      </c>
      <c r="AB27" s="56">
        <f>SUM('Monthly Electricity (Overview)'!U105:X105)+'Monthly Electricity (Overview)'!AC105</f>
        <v>709505</v>
      </c>
      <c r="AC27" s="517" t="str">
        <f t="shared" si="10"/>
        <v>/</v>
      </c>
      <c r="AD27" s="56">
        <f>'Monthly Electricity (Overview)'!Y105</f>
        <v>942693</v>
      </c>
      <c r="AE27" s="56">
        <f>'Monthly Electricity (Overview)'!Y105</f>
        <v>942693</v>
      </c>
      <c r="AF27" s="517" t="str">
        <f t="shared" si="11"/>
        <v>/</v>
      </c>
      <c r="AG27" s="56">
        <f t="shared" si="0"/>
        <v>9857761</v>
      </c>
      <c r="AH27" s="56">
        <f t="shared" si="1"/>
        <v>9768271</v>
      </c>
      <c r="AI27" s="56">
        <f t="shared" si="12"/>
        <v>9488278</v>
      </c>
      <c r="AJ27" s="517" t="b">
        <f t="shared" si="13"/>
        <v>0</v>
      </c>
      <c r="AK27" s="56">
        <f t="shared" si="14"/>
        <v>279993</v>
      </c>
    </row>
    <row r="28" spans="1:37" ht="17" x14ac:dyDescent="0.2">
      <c r="A28" s="316">
        <v>44805</v>
      </c>
      <c r="B28" s="56">
        <f>'Monthly Electricity (Overview)'!B106-'Monthly Electricity (Overview)'!E106-SUM('Monthly Electricity (Overview)'!I106:N106)-SUM('Monthly Electricity (Overview)'!X106:Y106)+'Monthly Electricity (Overview)'!AD106</f>
        <v>5099184</v>
      </c>
      <c r="C28" s="56">
        <f>'Monthly Electricity (Overview)'!B106-'Monthly Electricity (Overview)'!E106-SUM('Monthly Electricity (Overview)'!I106:N106)-SUM('Monthly Electricity (Overview)'!T106:Y106)</f>
        <v>4773007</v>
      </c>
      <c r="D28" s="517" t="b">
        <f t="shared" si="2"/>
        <v>0</v>
      </c>
      <c r="E28" s="56">
        <f>'Monthly Electricity (Overview)'!I106</f>
        <v>1988413</v>
      </c>
      <c r="F28" s="56">
        <f>'Monthly Electricity (Overview)'!I106</f>
        <v>1988413</v>
      </c>
      <c r="G28" s="517" t="str">
        <f t="shared" si="3"/>
        <v>/</v>
      </c>
      <c r="H28" s="56">
        <f>'Monthly Electricity (Overview)'!N106</f>
        <v>209950</v>
      </c>
      <c r="I28" s="56">
        <f>'Monthly Electricity (Overview)'!N106</f>
        <v>209950</v>
      </c>
      <c r="J28" s="517" t="str">
        <f t="shared" si="4"/>
        <v>/</v>
      </c>
      <c r="K28" s="56">
        <f>'Monthly Electricity (Overview)'!E106</f>
        <v>370600</v>
      </c>
      <c r="L28" s="56">
        <f>'Monthly Electricity (Overview)'!E106</f>
        <v>370600</v>
      </c>
      <c r="M28" s="517" t="str">
        <f t="shared" si="5"/>
        <v>/</v>
      </c>
      <c r="N28" s="56">
        <f>'Monthly Electricity (Overview)'!J106</f>
        <v>144397</v>
      </c>
      <c r="O28" s="56">
        <f>'Monthly Electricity (Overview)'!J106</f>
        <v>144397</v>
      </c>
      <c r="P28" s="517" t="str">
        <f t="shared" si="6"/>
        <v>/</v>
      </c>
      <c r="Q28" s="56">
        <f>'Monthly Electricity (Overview)'!K106</f>
        <v>59150</v>
      </c>
      <c r="R28" s="56">
        <f>'Monthly Electricity (Overview)'!K106</f>
        <v>59150</v>
      </c>
      <c r="S28" s="517" t="str">
        <f t="shared" si="7"/>
        <v>/</v>
      </c>
      <c r="T28" s="56"/>
      <c r="U28" s="56"/>
      <c r="V28" s="517" t="str">
        <f t="shared" si="8"/>
        <v>/</v>
      </c>
      <c r="W28" s="56">
        <f>'Monthly Electricity (Overview)'!L106</f>
        <v>126966</v>
      </c>
      <c r="X28" s="56">
        <f>'Monthly Electricity (Overview)'!L106</f>
        <v>126966</v>
      </c>
      <c r="Y28" s="517" t="str">
        <f t="shared" si="9"/>
        <v>/</v>
      </c>
      <c r="Z28" s="14">
        <v>94828</v>
      </c>
      <c r="AA28" s="56">
        <f>'Monthly Electricity (Overview)'!X106+'Monthly Electricity (Overview)'!W106+'Monthly Electricity (Overview)'!AC106</f>
        <v>990085</v>
      </c>
      <c r="AB28" s="56">
        <f>SUM('Monthly Electricity (Overview)'!U106:X106)+'Monthly Electricity (Overview)'!AC106</f>
        <v>990085</v>
      </c>
      <c r="AC28" s="517" t="str">
        <f t="shared" si="10"/>
        <v>/</v>
      </c>
      <c r="AD28" s="56">
        <f>'Monthly Electricity (Overview)'!Y106</f>
        <v>957812</v>
      </c>
      <c r="AE28" s="56">
        <f>'Monthly Electricity (Overview)'!Y106</f>
        <v>957812</v>
      </c>
      <c r="AF28" s="517" t="str">
        <f t="shared" si="11"/>
        <v>/</v>
      </c>
      <c r="AG28" s="56">
        <f t="shared" si="0"/>
        <v>10041385</v>
      </c>
      <c r="AH28" s="56">
        <f t="shared" si="1"/>
        <v>9946557</v>
      </c>
      <c r="AI28" s="56">
        <f t="shared" si="12"/>
        <v>9620380</v>
      </c>
      <c r="AJ28" s="517" t="b">
        <f t="shared" si="13"/>
        <v>0</v>
      </c>
      <c r="AK28" s="56">
        <f t="shared" si="14"/>
        <v>326177</v>
      </c>
    </row>
    <row r="29" spans="1:37" ht="17" x14ac:dyDescent="0.2">
      <c r="A29" s="316">
        <v>44835</v>
      </c>
      <c r="B29" s="56">
        <f>'Monthly Electricity (Overview)'!B107-'Monthly Electricity (Overview)'!E107-SUM('Monthly Electricity (Overview)'!I107:N107)-SUM('Monthly Electricity (Overview)'!X107:Y107)+'Monthly Electricity (Overview)'!AD107</f>
        <v>4080575.7393610002</v>
      </c>
      <c r="C29" s="56">
        <f>'Monthly Electricity (Overview)'!B107-'Monthly Electricity (Overview)'!E107-SUM('Monthly Electricity (Overview)'!I107:N107)-SUM('Monthly Electricity (Overview)'!T107:Y107)</f>
        <v>3811696.7393610002</v>
      </c>
      <c r="D29" s="517" t="b">
        <f t="shared" si="2"/>
        <v>0</v>
      </c>
      <c r="E29" s="56">
        <f>'Monthly Electricity (Overview)'!I107</f>
        <v>1469216.260639</v>
      </c>
      <c r="F29" s="56">
        <f>'Monthly Electricity (Overview)'!I107</f>
        <v>1469216.260639</v>
      </c>
      <c r="G29" s="517" t="str">
        <f t="shared" si="3"/>
        <v>/</v>
      </c>
      <c r="H29" s="56">
        <f>'Monthly Electricity (Overview)'!N107</f>
        <v>143116</v>
      </c>
      <c r="I29" s="56">
        <f>'Monthly Electricity (Overview)'!N107</f>
        <v>143116</v>
      </c>
      <c r="J29" s="517" t="str">
        <f t="shared" si="4"/>
        <v>/</v>
      </c>
      <c r="K29" s="56">
        <f>'Monthly Electricity (Overview)'!E107</f>
        <v>352020</v>
      </c>
      <c r="L29" s="56">
        <f>'Monthly Electricity (Overview)'!E107</f>
        <v>352020</v>
      </c>
      <c r="M29" s="517" t="str">
        <f t="shared" si="5"/>
        <v>/</v>
      </c>
      <c r="N29" s="56">
        <f>'Monthly Electricity (Overview)'!J107</f>
        <v>304172</v>
      </c>
      <c r="O29" s="56">
        <f>'Monthly Electricity (Overview)'!J107</f>
        <v>304172</v>
      </c>
      <c r="P29" s="517" t="str">
        <f t="shared" si="6"/>
        <v>/</v>
      </c>
      <c r="Q29" s="56">
        <f>'Monthly Electricity (Overview)'!K107</f>
        <v>47679</v>
      </c>
      <c r="R29" s="56">
        <f>'Monthly Electricity (Overview)'!K107</f>
        <v>47679</v>
      </c>
      <c r="S29" s="517" t="str">
        <f t="shared" si="7"/>
        <v>/</v>
      </c>
      <c r="T29" s="56"/>
      <c r="U29" s="56"/>
      <c r="V29" s="517" t="str">
        <f t="shared" si="8"/>
        <v>/</v>
      </c>
      <c r="W29" s="56">
        <f>'Monthly Electricity (Overview)'!L107</f>
        <v>93814</v>
      </c>
      <c r="X29" s="56">
        <f>'Monthly Electricity (Overview)'!L107</f>
        <v>93814</v>
      </c>
      <c r="Y29" s="517" t="str">
        <f t="shared" si="9"/>
        <v>/</v>
      </c>
      <c r="Z29" s="14">
        <v>72708</v>
      </c>
      <c r="AA29" s="56">
        <f>'Monthly Electricity (Overview)'!X107+'Monthly Electricity (Overview)'!W107+'Monthly Electricity (Overview)'!AC107</f>
        <v>729578</v>
      </c>
      <c r="AB29" s="56">
        <f>SUM('Monthly Electricity (Overview)'!U107:X107)+'Monthly Electricity (Overview)'!AC107</f>
        <v>729578</v>
      </c>
      <c r="AC29" s="517" t="str">
        <f t="shared" si="10"/>
        <v>/</v>
      </c>
      <c r="AD29" s="56">
        <f>'Monthly Electricity (Overview)'!Y107</f>
        <v>657084</v>
      </c>
      <c r="AE29" s="56">
        <f>'Monthly Electricity (Overview)'!Y107</f>
        <v>657084</v>
      </c>
      <c r="AF29" s="517" t="str">
        <f t="shared" si="11"/>
        <v>/</v>
      </c>
      <c r="AG29" s="56">
        <f t="shared" si="0"/>
        <v>7949963</v>
      </c>
      <c r="AH29" s="56">
        <f t="shared" si="1"/>
        <v>7877255</v>
      </c>
      <c r="AI29" s="56">
        <f t="shared" si="12"/>
        <v>7608376</v>
      </c>
      <c r="AJ29" s="517" t="b">
        <f t="shared" si="13"/>
        <v>0</v>
      </c>
      <c r="AK29" s="56">
        <f t="shared" si="14"/>
        <v>268879</v>
      </c>
    </row>
    <row r="30" spans="1:37" ht="17" x14ac:dyDescent="0.2">
      <c r="A30" s="316">
        <v>44866</v>
      </c>
      <c r="B30" s="56">
        <f>'Monthly Electricity (Overview)'!B108-'Monthly Electricity (Overview)'!E108-SUM('Monthly Electricity (Overview)'!I108:N108)-SUM('Monthly Electricity (Overview)'!X108:Y108)+'Monthly Electricity (Overview)'!AD108</f>
        <v>5054958.5076086</v>
      </c>
      <c r="C30" s="56">
        <f>'Monthly Electricity (Overview)'!B108-'Monthly Electricity (Overview)'!E108-SUM('Monthly Electricity (Overview)'!I108:N108)-SUM('Monthly Electricity (Overview)'!T108:Y108)</f>
        <v>4836186.5076086</v>
      </c>
      <c r="D30" s="517" t="b">
        <f t="shared" si="2"/>
        <v>0</v>
      </c>
      <c r="E30" s="56">
        <f>'Monthly Electricity (Overview)'!I108</f>
        <v>1233452.4923913998</v>
      </c>
      <c r="F30" s="56">
        <f>'Monthly Electricity (Overview)'!I108</f>
        <v>1233452.4923913998</v>
      </c>
      <c r="G30" s="517" t="str">
        <f t="shared" si="3"/>
        <v>/</v>
      </c>
      <c r="H30" s="56">
        <f>'Monthly Electricity (Overview)'!N108</f>
        <v>130337</v>
      </c>
      <c r="I30" s="56">
        <f>'Monthly Electricity (Overview)'!N108</f>
        <v>130337</v>
      </c>
      <c r="J30" s="517" t="str">
        <f t="shared" si="4"/>
        <v>/</v>
      </c>
      <c r="K30" s="56">
        <f>'Monthly Electricity (Overview)'!E108</f>
        <v>399870</v>
      </c>
      <c r="L30" s="56">
        <f>'Monthly Electricity (Overview)'!E108</f>
        <v>399870</v>
      </c>
      <c r="M30" s="517" t="str">
        <f t="shared" si="5"/>
        <v>/</v>
      </c>
      <c r="N30" s="56">
        <f>'Monthly Electricity (Overview)'!J108</f>
        <v>258047</v>
      </c>
      <c r="O30" s="56">
        <f>'Monthly Electricity (Overview)'!J108</f>
        <v>258047</v>
      </c>
      <c r="P30" s="517" t="str">
        <f t="shared" si="6"/>
        <v>/</v>
      </c>
      <c r="Q30" s="56">
        <f>'Monthly Electricity (Overview)'!K108</f>
        <v>56060</v>
      </c>
      <c r="R30" s="56">
        <f>'Monthly Electricity (Overview)'!K108</f>
        <v>56060</v>
      </c>
      <c r="S30" s="517" t="str">
        <f t="shared" si="7"/>
        <v>/</v>
      </c>
      <c r="T30" s="56"/>
      <c r="U30" s="56"/>
      <c r="V30" s="517" t="str">
        <f t="shared" si="8"/>
        <v>/</v>
      </c>
      <c r="W30" s="56">
        <f>'Monthly Electricity (Overview)'!L108</f>
        <v>72060</v>
      </c>
      <c r="X30" s="56">
        <f>'Monthly Electricity (Overview)'!L108</f>
        <v>72060</v>
      </c>
      <c r="Y30" s="517" t="str">
        <f t="shared" si="9"/>
        <v>/</v>
      </c>
      <c r="Z30" s="14">
        <v>65370</v>
      </c>
      <c r="AA30" s="56">
        <f>'Monthly Electricity (Overview)'!X108+'Monthly Electricity (Overview)'!W108+'Monthly Electricity (Overview)'!AC108</f>
        <v>629814</v>
      </c>
      <c r="AB30" s="56">
        <f>SUM('Monthly Electricity (Overview)'!U108:X108)+'Monthly Electricity (Overview)'!AC108</f>
        <v>629814</v>
      </c>
      <c r="AC30" s="517" t="str">
        <f t="shared" si="10"/>
        <v>/</v>
      </c>
      <c r="AD30" s="56">
        <f>'Monthly Electricity (Overview)'!Y108</f>
        <v>654578</v>
      </c>
      <c r="AE30" s="56">
        <f>'Monthly Electricity (Overview)'!Y108</f>
        <v>654578</v>
      </c>
      <c r="AF30" s="517" t="str">
        <f t="shared" si="11"/>
        <v>/</v>
      </c>
      <c r="AG30" s="56">
        <f t="shared" si="0"/>
        <v>8554547</v>
      </c>
      <c r="AH30" s="56">
        <f t="shared" si="1"/>
        <v>8489177</v>
      </c>
      <c r="AI30" s="56">
        <f t="shared" si="12"/>
        <v>8270405</v>
      </c>
      <c r="AJ30" s="517" t="b">
        <f t="shared" si="13"/>
        <v>0</v>
      </c>
      <c r="AK30" s="56">
        <f t="shared" si="14"/>
        <v>218772</v>
      </c>
    </row>
    <row r="31" spans="1:37" ht="17" x14ac:dyDescent="0.2">
      <c r="A31" s="316">
        <v>44896</v>
      </c>
      <c r="B31" s="313">
        <f>'Monthly Electricity (Overview)'!B109-'Monthly Electricity (Overview)'!E109-SUM('Monthly Electricity (Overview)'!I109:N109)-SUM('Monthly Electricity (Overview)'!X109:Y109)+'Monthly Electricity (Overview)'!AD109</f>
        <v>4015876.4072775999</v>
      </c>
      <c r="C31" s="56">
        <f>'Monthly Electricity (Overview)'!B109-'Monthly Electricity (Overview)'!E109-SUM('Monthly Electricity (Overview)'!I109:N109)-SUM('Monthly Electricity (Overview)'!T109:Y109)</f>
        <v>3831461.4072775999</v>
      </c>
      <c r="D31" s="517" t="b">
        <f t="shared" si="2"/>
        <v>0</v>
      </c>
      <c r="E31" s="313">
        <f>'Monthly Electricity (Overview)'!I109</f>
        <v>556257.59272239998</v>
      </c>
      <c r="F31" s="56">
        <f>'Monthly Electricity (Overview)'!I109</f>
        <v>556257.59272239998</v>
      </c>
      <c r="G31" s="517" t="str">
        <f t="shared" si="3"/>
        <v>/</v>
      </c>
      <c r="H31" s="313">
        <f>'Monthly Electricity (Overview)'!N109</f>
        <v>47314</v>
      </c>
      <c r="I31" s="56">
        <f>'Monthly Electricity (Overview)'!N109</f>
        <v>47314</v>
      </c>
      <c r="J31" s="517" t="str">
        <f t="shared" si="4"/>
        <v>/</v>
      </c>
      <c r="K31" s="313">
        <f>'Monthly Electricity (Overview)'!E109</f>
        <v>364897</v>
      </c>
      <c r="L31" s="56">
        <f>'Monthly Electricity (Overview)'!E109</f>
        <v>364897</v>
      </c>
      <c r="M31" s="517" t="str">
        <f t="shared" si="5"/>
        <v>/</v>
      </c>
      <c r="N31" s="313">
        <f>'Monthly Electricity (Overview)'!J109</f>
        <v>229681</v>
      </c>
      <c r="O31" s="56">
        <f>'Monthly Electricity (Overview)'!J109</f>
        <v>229681</v>
      </c>
      <c r="P31" s="517" t="str">
        <f t="shared" si="6"/>
        <v>/</v>
      </c>
      <c r="Q31" s="313">
        <f>'Monthly Electricity (Overview)'!K109</f>
        <v>44577</v>
      </c>
      <c r="R31" s="56">
        <f>'Monthly Electricity (Overview)'!K109</f>
        <v>44577</v>
      </c>
      <c r="S31" s="517" t="str">
        <f t="shared" si="7"/>
        <v>/</v>
      </c>
      <c r="T31" s="313"/>
      <c r="U31" s="313"/>
      <c r="V31" s="517" t="str">
        <f t="shared" si="8"/>
        <v>/</v>
      </c>
      <c r="W31" s="313">
        <f>'Monthly Electricity (Overview)'!L109</f>
        <v>91252</v>
      </c>
      <c r="X31" s="56">
        <f>'Monthly Electricity (Overview)'!L109</f>
        <v>91252</v>
      </c>
      <c r="Y31" s="517" t="str">
        <f t="shared" si="9"/>
        <v>/</v>
      </c>
      <c r="Z31" s="314">
        <v>55028</v>
      </c>
      <c r="AA31" s="56">
        <f>'Monthly Electricity (Overview)'!X109+'Monthly Electricity (Overview)'!W109+'Monthly Electricity (Overview)'!AC109</f>
        <v>513575</v>
      </c>
      <c r="AB31" s="56">
        <f>SUM('Monthly Electricity (Overview)'!U109:X109)+'Monthly Electricity (Overview)'!AC109</f>
        <v>513575</v>
      </c>
      <c r="AC31" s="517" t="str">
        <f t="shared" si="10"/>
        <v>/</v>
      </c>
      <c r="AD31" s="313">
        <f>'Monthly Electricity (Overview)'!Y109</f>
        <v>606624</v>
      </c>
      <c r="AE31" s="56">
        <f>'Monthly Electricity (Overview)'!Y109</f>
        <v>606624</v>
      </c>
      <c r="AF31" s="517" t="str">
        <f t="shared" si="11"/>
        <v>/</v>
      </c>
      <c r="AG31" s="56">
        <f t="shared" si="0"/>
        <v>6525082</v>
      </c>
      <c r="AH31" s="56">
        <f t="shared" si="1"/>
        <v>6470054</v>
      </c>
      <c r="AI31" s="56">
        <f t="shared" si="12"/>
        <v>6285639</v>
      </c>
      <c r="AJ31" s="517" t="b">
        <f t="shared" si="13"/>
        <v>0</v>
      </c>
      <c r="AK31" s="56">
        <f t="shared" si="14"/>
        <v>184415</v>
      </c>
    </row>
    <row r="32" spans="1:37" ht="17" x14ac:dyDescent="0.2">
      <c r="A32" s="317">
        <v>44927</v>
      </c>
      <c r="B32" s="56">
        <f>'Monthly Electricity (Overview)'!B110-'Monthly Electricity (Overview)'!E110-SUM('Monthly Electricity (Overview)'!I110:N110)-SUM('Monthly Electricity (Overview)'!X110:Y110)+'Monthly Electricity (Overview)'!AD110</f>
        <v>3986761</v>
      </c>
      <c r="C32" s="56">
        <f>'Monthly Electricity (Overview)'!B110-'Monthly Electricity (Overview)'!E110-SUM('Monthly Electricity (Overview)'!I110:N110)-SUM('Monthly Electricity (Overview)'!T110:Y110)</f>
        <v>3728129</v>
      </c>
      <c r="D32" s="517" t="b">
        <f t="shared" si="2"/>
        <v>0</v>
      </c>
      <c r="E32" s="56">
        <f>'Monthly Electricity (Overview)'!I110</f>
        <v>556060</v>
      </c>
      <c r="F32" s="56">
        <f>'Monthly Electricity (Overview)'!I110</f>
        <v>556060</v>
      </c>
      <c r="G32" s="517" t="str">
        <f t="shared" si="3"/>
        <v>/</v>
      </c>
      <c r="H32" s="56">
        <f>'Monthly Electricity (Overview)'!N110</f>
        <v>45634</v>
      </c>
      <c r="I32" s="56">
        <f>'Monthly Electricity (Overview)'!N110</f>
        <v>45634</v>
      </c>
      <c r="J32" s="517" t="str">
        <f t="shared" si="4"/>
        <v>/</v>
      </c>
      <c r="K32" s="56">
        <f>'Monthly Electricity (Overview)'!E110</f>
        <v>366341</v>
      </c>
      <c r="L32" s="56">
        <f>'Monthly Electricity (Overview)'!E110</f>
        <v>366341</v>
      </c>
      <c r="M32" s="517" t="str">
        <f t="shared" si="5"/>
        <v>/</v>
      </c>
      <c r="N32" s="56">
        <f>'Monthly Electricity (Overview)'!J110</f>
        <v>217300</v>
      </c>
      <c r="O32" s="56">
        <f>'Monthly Electricity (Overview)'!J110</f>
        <v>217300</v>
      </c>
      <c r="P32" s="517" t="str">
        <f t="shared" si="6"/>
        <v>/</v>
      </c>
      <c r="Q32" s="56">
        <f>'Monthly Electricity (Overview)'!K110</f>
        <v>39987</v>
      </c>
      <c r="R32" s="56">
        <f>'Monthly Electricity (Overview)'!K110</f>
        <v>39987</v>
      </c>
      <c r="S32" s="517" t="str">
        <f t="shared" si="7"/>
        <v>/</v>
      </c>
      <c r="T32" s="56"/>
      <c r="U32" s="56"/>
      <c r="V32" s="517" t="str">
        <f t="shared" si="8"/>
        <v>/</v>
      </c>
      <c r="W32" s="56">
        <f>'Monthly Electricity (Overview)'!L110</f>
        <v>69190</v>
      </c>
      <c r="X32" s="56">
        <f>'Monthly Electricity (Overview)'!L110</f>
        <v>69190</v>
      </c>
      <c r="Y32" s="517" t="str">
        <f t="shared" si="9"/>
        <v>/</v>
      </c>
      <c r="Z32" s="14">
        <v>57143</v>
      </c>
      <c r="AA32" s="56">
        <f>'Monthly Electricity (Overview)'!X110+'Monthly Electricity (Overview)'!W110+'Monthly Electricity (Overview)'!AC110</f>
        <v>414363</v>
      </c>
      <c r="AB32" s="56">
        <f>SUM('Monthly Electricity (Overview)'!U110:X110)+'Monthly Electricity (Overview)'!AC110</f>
        <v>534863</v>
      </c>
      <c r="AC32" s="517" t="b">
        <f t="shared" si="10"/>
        <v>0</v>
      </c>
      <c r="AD32" s="56">
        <f>'Monthly Electricity (Overview)'!Y110</f>
        <v>559384</v>
      </c>
      <c r="AE32" s="56">
        <f>'Monthly Electricity (Overview)'!Y110</f>
        <v>559384</v>
      </c>
      <c r="AF32" s="517" t="str">
        <f t="shared" si="11"/>
        <v>/</v>
      </c>
      <c r="AG32" s="56">
        <f t="shared" si="0"/>
        <v>6312163</v>
      </c>
      <c r="AH32" s="56">
        <f t="shared" si="1"/>
        <v>6255020</v>
      </c>
      <c r="AI32" s="56">
        <f t="shared" si="12"/>
        <v>6116888</v>
      </c>
      <c r="AJ32" s="517" t="b">
        <f t="shared" si="13"/>
        <v>0</v>
      </c>
      <c r="AK32" s="56">
        <f t="shared" si="14"/>
        <v>138132</v>
      </c>
    </row>
    <row r="33" spans="1:37" ht="17" x14ac:dyDescent="0.2">
      <c r="A33" s="318">
        <v>44958</v>
      </c>
      <c r="B33" s="56">
        <f>'Monthly Electricity (Overview)'!B111-'Monthly Electricity (Overview)'!E111-SUM('Monthly Electricity (Overview)'!I111:N111)-SUM('Monthly Electricity (Overview)'!X111:Y111)+'Monthly Electricity (Overview)'!AD111</f>
        <v>4046820</v>
      </c>
      <c r="C33" s="56">
        <f>'Monthly Electricity (Overview)'!B111-'Monthly Electricity (Overview)'!E111-SUM('Monthly Electricity (Overview)'!I111:N111)-SUM('Monthly Electricity (Overview)'!T111:Y111)</f>
        <v>3772063</v>
      </c>
      <c r="D33" s="517" t="b">
        <f t="shared" si="2"/>
        <v>0</v>
      </c>
      <c r="E33" s="56">
        <f>'Monthly Electricity (Overview)'!I111</f>
        <v>601288</v>
      </c>
      <c r="F33" s="56">
        <f>'Monthly Electricity (Overview)'!I111</f>
        <v>601288</v>
      </c>
      <c r="G33" s="517" t="str">
        <f t="shared" si="3"/>
        <v>/</v>
      </c>
      <c r="H33" s="56">
        <f>'Monthly Electricity (Overview)'!N111</f>
        <v>53805</v>
      </c>
      <c r="I33" s="56">
        <f>'Monthly Electricity (Overview)'!N111</f>
        <v>53805</v>
      </c>
      <c r="J33" s="517" t="str">
        <f t="shared" si="4"/>
        <v>/</v>
      </c>
      <c r="K33" s="56">
        <f>'Monthly Electricity (Overview)'!E111</f>
        <v>344682</v>
      </c>
      <c r="L33" s="56">
        <f>'Monthly Electricity (Overview)'!E111</f>
        <v>344682</v>
      </c>
      <c r="M33" s="517" t="str">
        <f t="shared" si="5"/>
        <v>/</v>
      </c>
      <c r="N33" s="56">
        <f>'Monthly Electricity (Overview)'!J111</f>
        <v>228400</v>
      </c>
      <c r="O33" s="56">
        <f>'Monthly Electricity (Overview)'!J111</f>
        <v>228400</v>
      </c>
      <c r="P33" s="517" t="str">
        <f t="shared" si="6"/>
        <v>/</v>
      </c>
      <c r="Q33" s="56">
        <f>'Monthly Electricity (Overview)'!K111</f>
        <v>42292</v>
      </c>
      <c r="R33" s="56">
        <f>'Monthly Electricity (Overview)'!K111</f>
        <v>42292</v>
      </c>
      <c r="S33" s="517" t="str">
        <f t="shared" si="7"/>
        <v>/</v>
      </c>
      <c r="T33" s="56"/>
      <c r="U33" s="56"/>
      <c r="V33" s="517" t="str">
        <f t="shared" si="8"/>
        <v>/</v>
      </c>
      <c r="W33" s="56">
        <f>'Monthly Electricity (Overview)'!L111</f>
        <v>66777</v>
      </c>
      <c r="X33" s="56">
        <f>'Monthly Electricity (Overview)'!L111</f>
        <v>66777</v>
      </c>
      <c r="Y33" s="517" t="str">
        <f t="shared" si="9"/>
        <v>/</v>
      </c>
      <c r="Z33" s="14">
        <v>46017</v>
      </c>
      <c r="AA33" s="56">
        <f>'Monthly Electricity (Overview)'!X111+'Monthly Electricity (Overview)'!W111+'Monthly Electricity (Overview)'!AC111</f>
        <v>499007</v>
      </c>
      <c r="AB33" s="56">
        <f>SUM('Monthly Electricity (Overview)'!U111:X111)+'Monthly Electricity (Overview)'!AC111</f>
        <v>610307</v>
      </c>
      <c r="AC33" s="517" t="b">
        <f t="shared" si="10"/>
        <v>0</v>
      </c>
      <c r="AD33" s="56">
        <f>'Monthly Electricity (Overview)'!Y111</f>
        <v>546828</v>
      </c>
      <c r="AE33" s="56">
        <f>'Monthly Electricity (Overview)'!Y111</f>
        <v>546828</v>
      </c>
      <c r="AF33" s="517" t="str">
        <f t="shared" si="11"/>
        <v>/</v>
      </c>
      <c r="AG33" s="56">
        <f t="shared" si="0"/>
        <v>6475916</v>
      </c>
      <c r="AH33" s="56">
        <f t="shared" si="1"/>
        <v>6429899</v>
      </c>
      <c r="AI33" s="56">
        <f t="shared" si="12"/>
        <v>6266442</v>
      </c>
      <c r="AJ33" s="517" t="b">
        <f t="shared" si="13"/>
        <v>0</v>
      </c>
      <c r="AK33" s="56">
        <f t="shared" si="14"/>
        <v>163457</v>
      </c>
    </row>
    <row r="34" spans="1:37" ht="17" x14ac:dyDescent="0.2">
      <c r="A34" s="318">
        <v>44986</v>
      </c>
      <c r="B34" s="56">
        <f>'Monthly Electricity (Overview)'!B112-'Monthly Electricity (Overview)'!E112-SUM('Monthly Electricity (Overview)'!I112:N112)-SUM('Monthly Electricity (Overview)'!X112:Y112)+'Monthly Electricity (Overview)'!AD112</f>
        <v>4203889</v>
      </c>
      <c r="C34" s="56">
        <f>'Monthly Electricity (Overview)'!B112-'Monthly Electricity (Overview)'!E112-SUM('Monthly Electricity (Overview)'!I112:N112)-SUM('Monthly Electricity (Overview)'!T112:Y112)</f>
        <v>3904323</v>
      </c>
      <c r="D34" s="517" t="b">
        <f t="shared" si="2"/>
        <v>0</v>
      </c>
      <c r="E34" s="56">
        <f>'Monthly Electricity (Overview)'!I112</f>
        <v>869346</v>
      </c>
      <c r="F34" s="56">
        <f>'Monthly Electricity (Overview)'!I112</f>
        <v>869346</v>
      </c>
      <c r="G34" s="517" t="str">
        <f t="shared" si="3"/>
        <v>/</v>
      </c>
      <c r="H34" s="56">
        <f>'Monthly Electricity (Overview)'!N112</f>
        <v>87303</v>
      </c>
      <c r="I34" s="56">
        <f>'Monthly Electricity (Overview)'!N112</f>
        <v>87303</v>
      </c>
      <c r="J34" s="517" t="str">
        <f t="shared" si="4"/>
        <v>/</v>
      </c>
      <c r="K34" s="56">
        <f>'Monthly Electricity (Overview)'!E112</f>
        <v>371708</v>
      </c>
      <c r="L34" s="56">
        <f>'Monthly Electricity (Overview)'!E112</f>
        <v>371708</v>
      </c>
      <c r="M34" s="517" t="str">
        <f t="shared" si="5"/>
        <v>/</v>
      </c>
      <c r="N34" s="56">
        <f>'Monthly Electricity (Overview)'!J112</f>
        <v>244523</v>
      </c>
      <c r="O34" s="56">
        <f>'Monthly Electricity (Overview)'!J112</f>
        <v>244523</v>
      </c>
      <c r="P34" s="517" t="str">
        <f t="shared" si="6"/>
        <v>/</v>
      </c>
      <c r="Q34" s="56">
        <f>'Monthly Electricity (Overview)'!K112</f>
        <v>53343</v>
      </c>
      <c r="R34" s="56">
        <f>'Monthly Electricity (Overview)'!K112</f>
        <v>53343</v>
      </c>
      <c r="S34" s="517" t="str">
        <f t="shared" si="7"/>
        <v>/</v>
      </c>
      <c r="T34" s="56"/>
      <c r="U34" s="56"/>
      <c r="V34" s="517" t="str">
        <f t="shared" si="8"/>
        <v>/</v>
      </c>
      <c r="W34" s="56">
        <f>'Monthly Electricity (Overview)'!L112</f>
        <v>77615</v>
      </c>
      <c r="X34" s="56">
        <f>'Monthly Electricity (Overview)'!L112</f>
        <v>77615</v>
      </c>
      <c r="Y34" s="517" t="str">
        <f t="shared" si="9"/>
        <v>/</v>
      </c>
      <c r="Z34" s="14">
        <v>52879</v>
      </c>
      <c r="AA34" s="56">
        <f>'Monthly Electricity (Overview)'!X112+'Monthly Electricity (Overview)'!W112+'Monthly Electricity (Overview)'!AC112</f>
        <v>528263</v>
      </c>
      <c r="AB34" s="56">
        <f>SUM('Monthly Electricity (Overview)'!U112:X112)+'Monthly Electricity (Overview)'!AC112</f>
        <v>656763</v>
      </c>
      <c r="AC34" s="517" t="b">
        <f t="shared" si="10"/>
        <v>0</v>
      </c>
      <c r="AD34" s="56">
        <f>'Monthly Electricity (Overview)'!Y112</f>
        <v>563668</v>
      </c>
      <c r="AE34" s="56">
        <f>'Monthly Electricity (Overview)'!Y112</f>
        <v>563668</v>
      </c>
      <c r="AF34" s="517" t="str">
        <f t="shared" si="11"/>
        <v>/</v>
      </c>
      <c r="AG34" s="56">
        <f t="shared" ref="AG34:AG64" si="15">SUM(B34,E34,H34,K34,N34,Q34,W34,AA34,AD34,Z34)</f>
        <v>7052537</v>
      </c>
      <c r="AH34" s="56">
        <f t="shared" ref="AH34:AH64" si="16">SUM(B34,E34,H34,K34,N34,Q34,W34,AA34,AD34)</f>
        <v>6999658</v>
      </c>
      <c r="AI34" s="56">
        <f t="shared" si="12"/>
        <v>6828592</v>
      </c>
      <c r="AJ34" s="517" t="b">
        <f t="shared" si="13"/>
        <v>0</v>
      </c>
      <c r="AK34" s="56">
        <f t="shared" si="14"/>
        <v>171066</v>
      </c>
    </row>
    <row r="35" spans="1:37" ht="17" x14ac:dyDescent="0.2">
      <c r="A35" s="318">
        <v>45017</v>
      </c>
      <c r="B35" s="56">
        <f>'Monthly Electricity (Overview)'!B113-'Monthly Electricity (Overview)'!E113-SUM('Monthly Electricity (Overview)'!I113:N113)-SUM('Monthly Electricity (Overview)'!X113:Y113)+'Monthly Electricity (Overview)'!AD113</f>
        <v>4056311</v>
      </c>
      <c r="C35" s="56">
        <f>'Monthly Electricity (Overview)'!B113-'Monthly Electricity (Overview)'!E113-SUM('Monthly Electricity (Overview)'!I113:N113)-SUM('Monthly Electricity (Overview)'!T113:Y113)</f>
        <v>3672892</v>
      </c>
      <c r="D35" s="517" t="b">
        <f t="shared" si="2"/>
        <v>0</v>
      </c>
      <c r="E35" s="56">
        <f>'Monthly Electricity (Overview)'!I113</f>
        <v>1134981</v>
      </c>
      <c r="F35" s="56">
        <f>'Monthly Electricity (Overview)'!I113</f>
        <v>1134981</v>
      </c>
      <c r="G35" s="517" t="str">
        <f t="shared" si="3"/>
        <v>/</v>
      </c>
      <c r="H35" s="56">
        <f>'Monthly Electricity (Overview)'!N113</f>
        <v>105975</v>
      </c>
      <c r="I35" s="56">
        <f>'Monthly Electricity (Overview)'!N113</f>
        <v>105975</v>
      </c>
      <c r="J35" s="517" t="str">
        <f t="shared" si="4"/>
        <v>/</v>
      </c>
      <c r="K35" s="56">
        <f>'Monthly Electricity (Overview)'!E113</f>
        <v>343942</v>
      </c>
      <c r="L35" s="56">
        <f>'Monthly Electricity (Overview)'!E113</f>
        <v>343942</v>
      </c>
      <c r="M35" s="517" t="str">
        <f t="shared" si="5"/>
        <v>/</v>
      </c>
      <c r="N35" s="56">
        <f>'Monthly Electricity (Overview)'!J113</f>
        <v>221077</v>
      </c>
      <c r="O35" s="56">
        <f>'Monthly Electricity (Overview)'!J113</f>
        <v>221077</v>
      </c>
      <c r="P35" s="517" t="str">
        <f t="shared" si="6"/>
        <v>/</v>
      </c>
      <c r="Q35" s="56">
        <f>'Monthly Electricity (Overview)'!K113</f>
        <v>51421</v>
      </c>
      <c r="R35" s="56">
        <f>'Monthly Electricity (Overview)'!K113</f>
        <v>51421</v>
      </c>
      <c r="S35" s="517" t="str">
        <f t="shared" si="7"/>
        <v>/</v>
      </c>
      <c r="T35" s="56"/>
      <c r="U35" s="56"/>
      <c r="V35" s="517" t="str">
        <f t="shared" si="8"/>
        <v>/</v>
      </c>
      <c r="W35" s="56">
        <f>'Monthly Electricity (Overview)'!L113</f>
        <v>84792</v>
      </c>
      <c r="X35" s="56">
        <f>'Monthly Electricity (Overview)'!L113</f>
        <v>84792</v>
      </c>
      <c r="Y35" s="517" t="str">
        <f t="shared" si="9"/>
        <v>/</v>
      </c>
      <c r="Z35" s="14">
        <v>77768</v>
      </c>
      <c r="AA35" s="56">
        <f>'Monthly Electricity (Overview)'!X113+'Monthly Electricity (Overview)'!W113+'Monthly Electricity (Overview)'!AC113</f>
        <v>618328</v>
      </c>
      <c r="AB35" s="56">
        <f>SUM('Monthly Electricity (Overview)'!U113:X113)+'Monthly Electricity (Overview)'!AC113</f>
        <v>789828</v>
      </c>
      <c r="AC35" s="517" t="b">
        <f t="shared" si="10"/>
        <v>0</v>
      </c>
      <c r="AD35" s="56">
        <f>'Monthly Electricity (Overview)'!Y113</f>
        <v>593447</v>
      </c>
      <c r="AE35" s="56">
        <f>'Monthly Electricity (Overview)'!Y113</f>
        <v>593447</v>
      </c>
      <c r="AF35" s="517" t="str">
        <f t="shared" si="11"/>
        <v>/</v>
      </c>
      <c r="AG35" s="56">
        <f t="shared" si="15"/>
        <v>7288042</v>
      </c>
      <c r="AH35" s="56">
        <f t="shared" si="16"/>
        <v>7210274</v>
      </c>
      <c r="AI35" s="56">
        <f t="shared" si="12"/>
        <v>6998355</v>
      </c>
      <c r="AJ35" s="517" t="b">
        <f t="shared" si="13"/>
        <v>0</v>
      </c>
      <c r="AK35" s="56">
        <f t="shared" si="14"/>
        <v>211919</v>
      </c>
    </row>
    <row r="36" spans="1:37" ht="17" x14ac:dyDescent="0.2">
      <c r="A36" s="318">
        <v>45047</v>
      </c>
      <c r="B36" s="56">
        <f>'Monthly Electricity (Overview)'!B114-'Monthly Electricity (Overview)'!E114-SUM('Monthly Electricity (Overview)'!I114:N114)-SUM('Monthly Electricity (Overview)'!X114:Y114)+'Monthly Electricity (Overview)'!AD114</f>
        <v>4695550</v>
      </c>
      <c r="C36" s="56">
        <f>'Monthly Electricity (Overview)'!B114-'Monthly Electricity (Overview)'!E114-SUM('Monthly Electricity (Overview)'!I114:N114)-SUM('Monthly Electricity (Overview)'!T114:Y114)</f>
        <v>4194327</v>
      </c>
      <c r="D36" s="517" t="b">
        <f t="shared" si="2"/>
        <v>0</v>
      </c>
      <c r="E36" s="56">
        <f>'Monthly Electricity (Overview)'!I114</f>
        <v>1674901</v>
      </c>
      <c r="F36" s="56">
        <f>'Monthly Electricity (Overview)'!I114</f>
        <v>1674901</v>
      </c>
      <c r="G36" s="517" t="str">
        <f t="shared" si="3"/>
        <v>/</v>
      </c>
      <c r="H36" s="56">
        <f>'Monthly Electricity (Overview)'!N114</f>
        <v>162347</v>
      </c>
      <c r="I36" s="56">
        <f>'Monthly Electricity (Overview)'!N114</f>
        <v>162347</v>
      </c>
      <c r="J36" s="517" t="str">
        <f t="shared" si="4"/>
        <v>/</v>
      </c>
      <c r="K36" s="56">
        <f>'Monthly Electricity (Overview)'!E114</f>
        <v>395100</v>
      </c>
      <c r="L36" s="56">
        <f>'Monthly Electricity (Overview)'!E114</f>
        <v>395100</v>
      </c>
      <c r="M36" s="517" t="str">
        <f t="shared" si="5"/>
        <v>/</v>
      </c>
      <c r="N36" s="56">
        <f>'Monthly Electricity (Overview)'!J114</f>
        <v>246200</v>
      </c>
      <c r="O36" s="56">
        <f>'Monthly Electricity (Overview)'!J114</f>
        <v>246200</v>
      </c>
      <c r="P36" s="517" t="str">
        <f t="shared" si="6"/>
        <v>/</v>
      </c>
      <c r="Q36" s="56">
        <f>'Monthly Electricity (Overview)'!K114</f>
        <v>67214</v>
      </c>
      <c r="R36" s="56">
        <f>'Monthly Electricity (Overview)'!K114</f>
        <v>67214</v>
      </c>
      <c r="S36" s="517" t="str">
        <f t="shared" si="7"/>
        <v>/</v>
      </c>
      <c r="T36" s="56"/>
      <c r="U36" s="56"/>
      <c r="V36" s="517" t="str">
        <f t="shared" si="8"/>
        <v>/</v>
      </c>
      <c r="W36" s="56">
        <f>'Monthly Electricity (Overview)'!L114</f>
        <v>129786</v>
      </c>
      <c r="X36" s="56">
        <f>'Monthly Electricity (Overview)'!L114</f>
        <v>129786</v>
      </c>
      <c r="Y36" s="517" t="str">
        <f t="shared" si="9"/>
        <v>/</v>
      </c>
      <c r="Z36" s="14">
        <v>50981</v>
      </c>
      <c r="AA36" s="56">
        <f>'Monthly Electricity (Overview)'!X114+'Monthly Electricity (Overview)'!W114+'Monthly Electricity (Overview)'!AC114</f>
        <v>738951</v>
      </c>
      <c r="AB36" s="56">
        <f>SUM('Monthly Electricity (Overview)'!U114:X114)+'Monthly Electricity (Overview)'!AC114</f>
        <v>980709</v>
      </c>
      <c r="AC36" s="517" t="b">
        <f t="shared" si="10"/>
        <v>0</v>
      </c>
      <c r="AD36" s="56">
        <f>'Monthly Electricity (Overview)'!Y114</f>
        <v>774857</v>
      </c>
      <c r="AE36" s="56">
        <f>'Monthly Electricity (Overview)'!Y114</f>
        <v>774857</v>
      </c>
      <c r="AF36" s="517" t="str">
        <f t="shared" si="11"/>
        <v>/</v>
      </c>
      <c r="AG36" s="56">
        <f t="shared" si="15"/>
        <v>8935887</v>
      </c>
      <c r="AH36" s="56">
        <f t="shared" si="16"/>
        <v>8884906</v>
      </c>
      <c r="AI36" s="56">
        <f t="shared" si="12"/>
        <v>8625441</v>
      </c>
      <c r="AJ36" s="517" t="b">
        <f t="shared" si="13"/>
        <v>0</v>
      </c>
      <c r="AK36" s="56">
        <f t="shared" si="14"/>
        <v>259465</v>
      </c>
    </row>
    <row r="37" spans="1:37" ht="17" x14ac:dyDescent="0.2">
      <c r="A37" s="318">
        <v>45078</v>
      </c>
      <c r="B37" s="56">
        <f>'Monthly Electricity (Overview)'!B115-'Monthly Electricity (Overview)'!E115-SUM('Monthly Electricity (Overview)'!I115:N115)-SUM('Monthly Electricity (Overview)'!X115:Y115)+'Monthly Electricity (Overview)'!AD115</f>
        <v>4630228</v>
      </c>
      <c r="C37" s="56">
        <f>'Monthly Electricity (Overview)'!B115-'Monthly Electricity (Overview)'!E115-SUM('Monthly Electricity (Overview)'!I115:N115)-SUM('Monthly Electricity (Overview)'!T115:Y115)</f>
        <v>4000725</v>
      </c>
      <c r="D37" s="517" t="b">
        <f t="shared" si="2"/>
        <v>0</v>
      </c>
      <c r="E37" s="56">
        <f>'Monthly Electricity (Overview)'!I115</f>
        <v>2088084</v>
      </c>
      <c r="F37" s="56">
        <f>'Monthly Electricity (Overview)'!I115</f>
        <v>2088084</v>
      </c>
      <c r="G37" s="517" t="str">
        <f t="shared" si="3"/>
        <v>/</v>
      </c>
      <c r="H37" s="56">
        <f>'Monthly Electricity (Overview)'!N115</f>
        <v>185045</v>
      </c>
      <c r="I37" s="56">
        <f>'Monthly Electricity (Overview)'!N115</f>
        <v>185045</v>
      </c>
      <c r="J37" s="517" t="str">
        <f t="shared" si="4"/>
        <v>/</v>
      </c>
      <c r="K37" s="56">
        <f>'Monthly Electricity (Overview)'!E115</f>
        <v>377740</v>
      </c>
      <c r="L37" s="56">
        <f>'Monthly Electricity (Overview)'!E115</f>
        <v>377740</v>
      </c>
      <c r="M37" s="517" t="str">
        <f t="shared" si="5"/>
        <v>/</v>
      </c>
      <c r="N37" s="56">
        <f>'Monthly Electricity (Overview)'!J115</f>
        <v>221800</v>
      </c>
      <c r="O37" s="56">
        <f>'Monthly Electricity (Overview)'!J115</f>
        <v>221800</v>
      </c>
      <c r="P37" s="517" t="str">
        <f t="shared" si="6"/>
        <v>/</v>
      </c>
      <c r="Q37" s="56">
        <f>'Monthly Electricity (Overview)'!K115</f>
        <v>56861</v>
      </c>
      <c r="R37" s="56">
        <f>'Monthly Electricity (Overview)'!K115</f>
        <v>56861</v>
      </c>
      <c r="S37" s="517" t="str">
        <f t="shared" si="7"/>
        <v>/</v>
      </c>
      <c r="T37" s="56"/>
      <c r="U37" s="56"/>
      <c r="V37" s="517" t="str">
        <f t="shared" si="8"/>
        <v>/</v>
      </c>
      <c r="W37" s="56">
        <f>'Monthly Electricity (Overview)'!L115</f>
        <v>153093</v>
      </c>
      <c r="X37" s="56">
        <f>'Monthly Electricity (Overview)'!L115</f>
        <v>153093</v>
      </c>
      <c r="Y37" s="517" t="str">
        <f t="shared" si="9"/>
        <v>/</v>
      </c>
      <c r="Z37" s="14">
        <v>99770</v>
      </c>
      <c r="AA37" s="56">
        <f>'Monthly Electricity (Overview)'!X115+'Monthly Electricity (Overview)'!W115+'Monthly Electricity (Overview)'!AC115</f>
        <v>851987</v>
      </c>
      <c r="AB37" s="56">
        <f>SUM('Monthly Electricity (Overview)'!U115:X115)+'Monthly Electricity (Overview)'!AC115</f>
        <v>1161587</v>
      </c>
      <c r="AC37" s="517" t="b">
        <f t="shared" si="10"/>
        <v>0</v>
      </c>
      <c r="AD37" s="56">
        <f>'Monthly Electricity (Overview)'!Y115</f>
        <v>919959</v>
      </c>
      <c r="AE37" s="56">
        <f>'Monthly Electricity (Overview)'!Y115</f>
        <v>919959</v>
      </c>
      <c r="AF37" s="517" t="str">
        <f t="shared" si="11"/>
        <v>/</v>
      </c>
      <c r="AG37" s="56">
        <f t="shared" si="15"/>
        <v>9584567</v>
      </c>
      <c r="AH37" s="56">
        <f t="shared" si="16"/>
        <v>9484797</v>
      </c>
      <c r="AI37" s="56">
        <f t="shared" si="12"/>
        <v>9164894</v>
      </c>
      <c r="AJ37" s="517" t="b">
        <f t="shared" si="13"/>
        <v>0</v>
      </c>
      <c r="AK37" s="56">
        <f t="shared" si="14"/>
        <v>319903</v>
      </c>
    </row>
    <row r="38" spans="1:37" ht="17" x14ac:dyDescent="0.2">
      <c r="A38" s="318">
        <v>45108</v>
      </c>
      <c r="B38" s="56">
        <f>'Monthly Electricity (Overview)'!B116-'Monthly Electricity (Overview)'!E116-SUM('Monthly Electricity (Overview)'!I116:N116)-SUM('Monthly Electricity (Overview)'!X116:Y116)+'Monthly Electricity (Overview)'!AD116</f>
        <v>3811148</v>
      </c>
      <c r="C38" s="56">
        <f>'Monthly Electricity (Overview)'!B116-'Monthly Electricity (Overview)'!E116-SUM('Monthly Electricity (Overview)'!I116:N116)-SUM('Monthly Electricity (Overview)'!T116:Y116)</f>
        <v>3162763</v>
      </c>
      <c r="D38" s="517" t="b">
        <f t="shared" si="2"/>
        <v>0</v>
      </c>
      <c r="E38" s="56">
        <f>'Monthly Electricity (Overview)'!I116</f>
        <v>2235244</v>
      </c>
      <c r="F38" s="56">
        <f>'Monthly Electricity (Overview)'!I116</f>
        <v>2235244</v>
      </c>
      <c r="G38" s="517" t="str">
        <f t="shared" si="3"/>
        <v>/</v>
      </c>
      <c r="H38" s="56">
        <f>'Monthly Electricity (Overview)'!N116</f>
        <v>186865</v>
      </c>
      <c r="I38" s="56">
        <f>'Monthly Electricity (Overview)'!N116</f>
        <v>186865</v>
      </c>
      <c r="J38" s="517" t="str">
        <f t="shared" si="4"/>
        <v>/</v>
      </c>
      <c r="K38" s="56">
        <f>'Monthly Electricity (Overview)'!E116</f>
        <v>401450</v>
      </c>
      <c r="L38" s="56">
        <f>'Monthly Electricity (Overview)'!E116</f>
        <v>401450</v>
      </c>
      <c r="M38" s="517" t="str">
        <f t="shared" si="5"/>
        <v>/</v>
      </c>
      <c r="N38" s="56">
        <f>'Monthly Electricity (Overview)'!J116</f>
        <v>230400</v>
      </c>
      <c r="O38" s="56">
        <f>'Monthly Electricity (Overview)'!J116</f>
        <v>230400</v>
      </c>
      <c r="P38" s="517" t="str">
        <f t="shared" si="6"/>
        <v>/</v>
      </c>
      <c r="Q38" s="56">
        <f>'Monthly Electricity (Overview)'!K116</f>
        <v>49612</v>
      </c>
      <c r="R38" s="56">
        <f>'Monthly Electricity (Overview)'!K116</f>
        <v>49612</v>
      </c>
      <c r="S38" s="517" t="str">
        <f t="shared" si="7"/>
        <v>/</v>
      </c>
      <c r="T38" s="56"/>
      <c r="U38" s="56"/>
      <c r="V38" s="517" t="str">
        <f t="shared" si="8"/>
        <v>/</v>
      </c>
      <c r="W38" s="56">
        <f>'Monthly Electricity (Overview)'!L116</f>
        <v>149108</v>
      </c>
      <c r="X38" s="56">
        <f>'Monthly Electricity (Overview)'!L116</f>
        <v>149108</v>
      </c>
      <c r="Y38" s="517" t="str">
        <f t="shared" si="9"/>
        <v>/</v>
      </c>
      <c r="Z38" s="14">
        <v>99933</v>
      </c>
      <c r="AA38" s="56">
        <f>'Monthly Electricity (Overview)'!X116+'Monthly Electricity (Overview)'!W116+'Monthly Electricity (Overview)'!AC116</f>
        <v>770201</v>
      </c>
      <c r="AB38" s="56">
        <f>SUM('Monthly Electricity (Overview)'!U116:X116)+'Monthly Electricity (Overview)'!AC116</f>
        <v>1125901</v>
      </c>
      <c r="AC38" s="517" t="b">
        <f t="shared" si="10"/>
        <v>0</v>
      </c>
      <c r="AD38" s="56">
        <f>'Monthly Electricity (Overview)'!Y116</f>
        <v>854635</v>
      </c>
      <c r="AE38" s="56">
        <f>'Monthly Electricity (Overview)'!Y116</f>
        <v>854635</v>
      </c>
      <c r="AF38" s="517" t="str">
        <f t="shared" si="11"/>
        <v>/</v>
      </c>
      <c r="AG38" s="56">
        <f t="shared" si="15"/>
        <v>8788596</v>
      </c>
      <c r="AH38" s="56">
        <f t="shared" si="16"/>
        <v>8688663</v>
      </c>
      <c r="AI38" s="56">
        <f t="shared" si="12"/>
        <v>8395978</v>
      </c>
      <c r="AJ38" s="517" t="b">
        <f t="shared" si="13"/>
        <v>0</v>
      </c>
      <c r="AK38" s="56">
        <f t="shared" si="14"/>
        <v>292685</v>
      </c>
    </row>
    <row r="39" spans="1:37" ht="17" x14ac:dyDescent="0.2">
      <c r="A39" s="318">
        <v>45139</v>
      </c>
      <c r="B39" s="56">
        <f>'Monthly Electricity (Overview)'!B117-'Monthly Electricity (Overview)'!E117-SUM('Monthly Electricity (Overview)'!I117:N117)-SUM('Monthly Electricity (Overview)'!X117:Y117)+'Monthly Electricity (Overview)'!AD117</f>
        <v>5180932</v>
      </c>
      <c r="C39" s="56">
        <f>'Monthly Electricity (Overview)'!B117-'Monthly Electricity (Overview)'!E117-SUM('Monthly Electricity (Overview)'!I117:N117)-SUM('Monthly Electricity (Overview)'!T117:Y117)</f>
        <v>4511494</v>
      </c>
      <c r="D39" s="517" t="b">
        <f t="shared" si="2"/>
        <v>0</v>
      </c>
      <c r="E39" s="56">
        <f>'Monthly Electricity (Overview)'!I117</f>
        <v>2261709</v>
      </c>
      <c r="F39" s="56">
        <f>'Monthly Electricity (Overview)'!I117</f>
        <v>2261709</v>
      </c>
      <c r="G39" s="517" t="str">
        <f t="shared" si="3"/>
        <v>/</v>
      </c>
      <c r="H39" s="56">
        <f>'Monthly Electricity (Overview)'!N117</f>
        <v>245701</v>
      </c>
      <c r="I39" s="56">
        <f>'Monthly Electricity (Overview)'!N117</f>
        <v>245701</v>
      </c>
      <c r="J39" s="517" t="str">
        <f t="shared" si="4"/>
        <v>/</v>
      </c>
      <c r="K39" s="56">
        <f>'Monthly Electricity (Overview)'!E117</f>
        <v>386230</v>
      </c>
      <c r="L39" s="56">
        <f>'Monthly Electricity (Overview)'!E117</f>
        <v>386230</v>
      </c>
      <c r="M39" s="517" t="str">
        <f t="shared" si="5"/>
        <v>/</v>
      </c>
      <c r="N39" s="56">
        <f>'Monthly Electricity (Overview)'!J117</f>
        <v>220600</v>
      </c>
      <c r="O39" s="56">
        <f>'Monthly Electricity (Overview)'!J117</f>
        <v>220600</v>
      </c>
      <c r="P39" s="517" t="str">
        <f t="shared" si="6"/>
        <v>/</v>
      </c>
      <c r="Q39" s="56">
        <f>'Monthly Electricity (Overview)'!K117</f>
        <v>63082</v>
      </c>
      <c r="R39" s="56">
        <f>'Monthly Electricity (Overview)'!K117</f>
        <v>63082</v>
      </c>
      <c r="S39" s="517" t="str">
        <f t="shared" si="7"/>
        <v>/</v>
      </c>
      <c r="T39" s="56"/>
      <c r="U39" s="56"/>
      <c r="V39" s="517" t="str">
        <f t="shared" si="8"/>
        <v>/</v>
      </c>
      <c r="W39" s="56">
        <f>'Monthly Electricity (Overview)'!L117</f>
        <v>196791</v>
      </c>
      <c r="X39" s="56">
        <f>'Monthly Electricity (Overview)'!L117</f>
        <v>196791</v>
      </c>
      <c r="Y39" s="517" t="str">
        <f t="shared" si="9"/>
        <v>/</v>
      </c>
      <c r="Z39" s="14">
        <v>112757</v>
      </c>
      <c r="AA39" s="56">
        <f>'Monthly Electricity (Overview)'!X117+'Monthly Electricity (Overview)'!W117+'Monthly Electricity (Overview)'!AC117</f>
        <v>756390</v>
      </c>
      <c r="AB39" s="56">
        <f>SUM('Monthly Electricity (Overview)'!U117:X117)+'Monthly Electricity (Overview)'!AC117</f>
        <v>1111490</v>
      </c>
      <c r="AC39" s="517" t="b">
        <f t="shared" si="10"/>
        <v>0</v>
      </c>
      <c r="AD39" s="56">
        <f>'Monthly Electricity (Overview)'!Y117</f>
        <v>1023955</v>
      </c>
      <c r="AE39" s="56">
        <f>'Monthly Electricity (Overview)'!Y117</f>
        <v>1023955</v>
      </c>
      <c r="AF39" s="517" t="str">
        <f t="shared" si="11"/>
        <v>/</v>
      </c>
      <c r="AG39" s="56">
        <f t="shared" si="15"/>
        <v>10448147</v>
      </c>
      <c r="AH39" s="56">
        <f t="shared" si="16"/>
        <v>10335390</v>
      </c>
      <c r="AI39" s="56">
        <f t="shared" si="12"/>
        <v>10021052</v>
      </c>
      <c r="AJ39" s="517" t="b">
        <f t="shared" si="13"/>
        <v>0</v>
      </c>
      <c r="AK39" s="56">
        <f t="shared" si="14"/>
        <v>314338</v>
      </c>
    </row>
    <row r="40" spans="1:37" ht="17" x14ac:dyDescent="0.2">
      <c r="A40" s="318">
        <v>45170</v>
      </c>
      <c r="B40" s="56">
        <f>'Monthly Electricity (Overview)'!B118-'Monthly Electricity (Overview)'!E118-SUM('Monthly Electricity (Overview)'!I118:N118)-SUM('Monthly Electricity (Overview)'!X118:Y118)+'Monthly Electricity (Overview)'!AD118</f>
        <v>4566149</v>
      </c>
      <c r="C40" s="56">
        <f>'Monthly Electricity (Overview)'!B118-'Monthly Electricity (Overview)'!E118-SUM('Monthly Electricity (Overview)'!I118:N118)-SUM('Monthly Electricity (Overview)'!T118:Y118)</f>
        <v>3897750</v>
      </c>
      <c r="D40" s="517" t="b">
        <f t="shared" si="2"/>
        <v>0</v>
      </c>
      <c r="E40" s="56">
        <f>'Monthly Electricity (Overview)'!I118</f>
        <v>2087766</v>
      </c>
      <c r="F40" s="56">
        <f>'Monthly Electricity (Overview)'!I118</f>
        <v>2087766</v>
      </c>
      <c r="G40" s="517" t="str">
        <f t="shared" si="3"/>
        <v>/</v>
      </c>
      <c r="H40" s="56">
        <f>'Monthly Electricity (Overview)'!N118</f>
        <v>172602</v>
      </c>
      <c r="I40" s="56">
        <f>'Monthly Electricity (Overview)'!N118</f>
        <v>172602</v>
      </c>
      <c r="J40" s="517" t="str">
        <f t="shared" si="4"/>
        <v>/</v>
      </c>
      <c r="K40" s="56">
        <f>'Monthly Electricity (Overview)'!E118</f>
        <v>397330</v>
      </c>
      <c r="L40" s="56">
        <f>'Monthly Electricity (Overview)'!E118</f>
        <v>397330</v>
      </c>
      <c r="M40" s="517" t="str">
        <f t="shared" si="5"/>
        <v>/</v>
      </c>
      <c r="N40" s="56">
        <f>'Monthly Electricity (Overview)'!J118</f>
        <v>228100</v>
      </c>
      <c r="O40" s="56">
        <f>'Monthly Electricity (Overview)'!J118</f>
        <v>228100</v>
      </c>
      <c r="P40" s="517" t="str">
        <f t="shared" si="6"/>
        <v>/</v>
      </c>
      <c r="Q40" s="56">
        <f>'Monthly Electricity (Overview)'!K118</f>
        <v>48820</v>
      </c>
      <c r="R40" s="56">
        <f>'Monthly Electricity (Overview)'!K118</f>
        <v>48820</v>
      </c>
      <c r="S40" s="517" t="str">
        <f t="shared" si="7"/>
        <v>/</v>
      </c>
      <c r="T40" s="56"/>
      <c r="U40" s="56"/>
      <c r="V40" s="517" t="str">
        <f t="shared" si="8"/>
        <v>/</v>
      </c>
      <c r="W40" s="56">
        <f>'Monthly Electricity (Overview)'!L118</f>
        <v>133636</v>
      </c>
      <c r="X40" s="56">
        <f>'Monthly Electricity (Overview)'!L118</f>
        <v>133636</v>
      </c>
      <c r="Y40" s="517" t="str">
        <f t="shared" si="9"/>
        <v>/</v>
      </c>
      <c r="Z40" s="14">
        <v>98239</v>
      </c>
      <c r="AA40" s="56">
        <f>'Monthly Electricity (Overview)'!X118+'Monthly Electricity (Overview)'!W118+'Monthly Electricity (Overview)'!AC118</f>
        <v>972705</v>
      </c>
      <c r="AB40" s="56">
        <f>SUM('Monthly Electricity (Overview)'!U118:X118)+'Monthly Electricity (Overview)'!AC118</f>
        <v>1343494</v>
      </c>
      <c r="AC40" s="517" t="b">
        <f t="shared" si="10"/>
        <v>0</v>
      </c>
      <c r="AD40" s="56">
        <f>'Monthly Electricity (Overview)'!Y118</f>
        <v>925485</v>
      </c>
      <c r="AE40" s="56">
        <f>'Monthly Electricity (Overview)'!Y118</f>
        <v>925485</v>
      </c>
      <c r="AF40" s="517" t="str">
        <f t="shared" si="11"/>
        <v>/</v>
      </c>
      <c r="AG40" s="56">
        <f t="shared" si="15"/>
        <v>9630832</v>
      </c>
      <c r="AH40" s="56">
        <f t="shared" si="16"/>
        <v>9532593</v>
      </c>
      <c r="AI40" s="56">
        <f t="shared" si="12"/>
        <v>9234983</v>
      </c>
      <c r="AJ40" s="517" t="b">
        <f t="shared" si="13"/>
        <v>0</v>
      </c>
      <c r="AK40" s="56">
        <f t="shared" si="14"/>
        <v>297610</v>
      </c>
    </row>
    <row r="41" spans="1:37" ht="17" x14ac:dyDescent="0.2">
      <c r="A41" s="318">
        <v>45200</v>
      </c>
      <c r="B41" s="56">
        <f>'Monthly Electricity (Overview)'!B119-'Monthly Electricity (Overview)'!E119-SUM('Monthly Electricity (Overview)'!I119:N119)-SUM('Monthly Electricity (Overview)'!X119:Y119)+'Monthly Electricity (Overview)'!AD119</f>
        <v>4878871</v>
      </c>
      <c r="C41" s="56">
        <f>'Monthly Electricity (Overview)'!B119-'Monthly Electricity (Overview)'!E119-SUM('Monthly Electricity (Overview)'!I119:N119)-SUM('Monthly Electricity (Overview)'!T119:Y119)</f>
        <v>4296443</v>
      </c>
      <c r="D41" s="517" t="b">
        <f t="shared" si="2"/>
        <v>0</v>
      </c>
      <c r="E41" s="56">
        <f>'Monthly Electricity (Overview)'!I119</f>
        <v>1682178</v>
      </c>
      <c r="F41" s="56">
        <f>'Monthly Electricity (Overview)'!I119</f>
        <v>1682178</v>
      </c>
      <c r="G41" s="517" t="str">
        <f t="shared" si="3"/>
        <v>/</v>
      </c>
      <c r="H41" s="56">
        <f>'Monthly Electricity (Overview)'!N119</f>
        <v>161279</v>
      </c>
      <c r="I41" s="56">
        <f>'Monthly Electricity (Overview)'!N119</f>
        <v>161279</v>
      </c>
      <c r="J41" s="517" t="str">
        <f t="shared" si="4"/>
        <v>/</v>
      </c>
      <c r="K41" s="56">
        <f>'Monthly Electricity (Overview)'!E119</f>
        <v>401070</v>
      </c>
      <c r="L41" s="56">
        <f>'Monthly Electricity (Overview)'!E119</f>
        <v>401070</v>
      </c>
      <c r="M41" s="517" t="str">
        <f t="shared" si="5"/>
        <v>/</v>
      </c>
      <c r="N41" s="56">
        <f>'Monthly Electricity (Overview)'!J119</f>
        <v>234800</v>
      </c>
      <c r="O41" s="56">
        <f>'Monthly Electricity (Overview)'!J119</f>
        <v>234800</v>
      </c>
      <c r="P41" s="517" t="str">
        <f t="shared" si="6"/>
        <v>/</v>
      </c>
      <c r="Q41" s="56">
        <f>'Monthly Electricity (Overview)'!K119</f>
        <v>54006</v>
      </c>
      <c r="R41" s="56">
        <f>'Monthly Electricity (Overview)'!K119</f>
        <v>54006</v>
      </c>
      <c r="S41" s="517" t="str">
        <f t="shared" si="7"/>
        <v>/</v>
      </c>
      <c r="T41" s="56"/>
      <c r="U41" s="56"/>
      <c r="V41" s="517" t="str">
        <f t="shared" si="8"/>
        <v>/</v>
      </c>
      <c r="W41" s="56">
        <f>'Monthly Electricity (Overview)'!L119</f>
        <v>129915</v>
      </c>
      <c r="X41" s="56">
        <f>'Monthly Electricity (Overview)'!L119</f>
        <v>129915</v>
      </c>
      <c r="Y41" s="517" t="str">
        <f t="shared" si="9"/>
        <v>/</v>
      </c>
      <c r="Z41" s="14">
        <v>88064</v>
      </c>
      <c r="AA41" s="56">
        <f>'Monthly Electricity (Overview)'!X119+'Monthly Electricity (Overview)'!W119+'Monthly Electricity (Overview)'!AC119</f>
        <v>836450</v>
      </c>
      <c r="AB41" s="56">
        <f>SUM('Monthly Electricity (Overview)'!U119:X119)+'Monthly Electricity (Overview)'!AC119</f>
        <v>1148039</v>
      </c>
      <c r="AC41" s="517" t="b">
        <f t="shared" si="10"/>
        <v>0</v>
      </c>
      <c r="AD41" s="56">
        <f>'Monthly Electricity (Overview)'!Y119</f>
        <v>799264</v>
      </c>
      <c r="AE41" s="56">
        <f>'Monthly Electricity (Overview)'!Y119</f>
        <v>799264</v>
      </c>
      <c r="AF41" s="517" t="str">
        <f t="shared" si="11"/>
        <v>/</v>
      </c>
      <c r="AG41" s="56">
        <f t="shared" si="15"/>
        <v>9265897</v>
      </c>
      <c r="AH41" s="56">
        <f t="shared" si="16"/>
        <v>9177833</v>
      </c>
      <c r="AI41" s="56">
        <f t="shared" si="12"/>
        <v>8906994</v>
      </c>
      <c r="AJ41" s="517" t="b">
        <f t="shared" si="13"/>
        <v>0</v>
      </c>
      <c r="AK41" s="56">
        <f t="shared" si="14"/>
        <v>270839</v>
      </c>
    </row>
    <row r="42" spans="1:37" ht="17" x14ac:dyDescent="0.2">
      <c r="A42" s="318">
        <v>45231</v>
      </c>
      <c r="B42" s="56">
        <f>'Monthly Electricity (Overview)'!B120-'Monthly Electricity (Overview)'!E120-SUM('Monthly Electricity (Overview)'!I120:N120)-SUM('Monthly Electricity (Overview)'!X120:Y120)+'Monthly Electricity (Overview)'!AD120</f>
        <v>4400598</v>
      </c>
      <c r="C42" s="56">
        <f>'Monthly Electricity (Overview)'!B120-'Monthly Electricity (Overview)'!E120-SUM('Monthly Electricity (Overview)'!I120:N120)-SUM('Monthly Electricity (Overview)'!T120:Y120)</f>
        <v>3976209</v>
      </c>
      <c r="D42" s="517" t="b">
        <f t="shared" si="2"/>
        <v>0</v>
      </c>
      <c r="E42" s="56">
        <f>'Monthly Electricity (Overview)'!I120</f>
        <v>1145718</v>
      </c>
      <c r="F42" s="56">
        <f>'Monthly Electricity (Overview)'!I120</f>
        <v>1145718</v>
      </c>
      <c r="G42" s="517" t="str">
        <f t="shared" si="3"/>
        <v>/</v>
      </c>
      <c r="H42" s="56">
        <f>'Monthly Electricity (Overview)'!N120</f>
        <v>110214</v>
      </c>
      <c r="I42" s="56">
        <f>'Monthly Electricity (Overview)'!N120</f>
        <v>110214</v>
      </c>
      <c r="J42" s="517" t="str">
        <f t="shared" si="4"/>
        <v>/</v>
      </c>
      <c r="K42" s="56">
        <f>'Monthly Electricity (Overview)'!E120</f>
        <v>401387</v>
      </c>
      <c r="L42" s="56">
        <f>'Monthly Electricity (Overview)'!E120</f>
        <v>401387</v>
      </c>
      <c r="M42" s="517" t="str">
        <f t="shared" si="5"/>
        <v>/</v>
      </c>
      <c r="N42" s="56">
        <f>'Monthly Electricity (Overview)'!J120</f>
        <v>240600</v>
      </c>
      <c r="O42" s="56">
        <f>'Monthly Electricity (Overview)'!J120</f>
        <v>240600</v>
      </c>
      <c r="P42" s="517" t="str">
        <f t="shared" si="6"/>
        <v>/</v>
      </c>
      <c r="Q42" s="56">
        <f>'Monthly Electricity (Overview)'!K120</f>
        <v>52505</v>
      </c>
      <c r="R42" s="56">
        <f>'Monthly Electricity (Overview)'!K120</f>
        <v>52505</v>
      </c>
      <c r="S42" s="517" t="str">
        <f t="shared" si="7"/>
        <v>/</v>
      </c>
      <c r="T42" s="56"/>
      <c r="U42" s="56"/>
      <c r="V42" s="517" t="str">
        <f t="shared" si="8"/>
        <v>/</v>
      </c>
      <c r="W42" s="56">
        <f>'Monthly Electricity (Overview)'!L120</f>
        <v>114445</v>
      </c>
      <c r="X42" s="56">
        <f>'Monthly Electricity (Overview)'!L120</f>
        <v>114445</v>
      </c>
      <c r="Y42" s="517" t="str">
        <f t="shared" si="9"/>
        <v>/</v>
      </c>
      <c r="Z42" s="14">
        <v>64642</v>
      </c>
      <c r="AA42" s="56">
        <f>'Monthly Electricity (Overview)'!X120+'Monthly Electricity (Overview)'!W120+'Monthly Electricity (Overview)'!AC120</f>
        <v>658946</v>
      </c>
      <c r="AB42" s="56">
        <f>SUM('Monthly Electricity (Overview)'!U120:X120)+'Monthly Electricity (Overview)'!AC120</f>
        <v>885735</v>
      </c>
      <c r="AC42" s="517" t="b">
        <f t="shared" si="10"/>
        <v>0</v>
      </c>
      <c r="AD42" s="56">
        <f>'Monthly Electricity (Overview)'!Y120</f>
        <v>665829</v>
      </c>
      <c r="AE42" s="56">
        <f>'Monthly Electricity (Overview)'!Y120</f>
        <v>665829</v>
      </c>
      <c r="AF42" s="517" t="str">
        <f t="shared" si="11"/>
        <v>/</v>
      </c>
      <c r="AG42" s="56">
        <f t="shared" si="15"/>
        <v>7854884</v>
      </c>
      <c r="AH42" s="56">
        <f t="shared" si="16"/>
        <v>7790242</v>
      </c>
      <c r="AI42" s="56">
        <f t="shared" si="12"/>
        <v>7592642</v>
      </c>
      <c r="AJ42" s="517" t="b">
        <f t="shared" si="13"/>
        <v>0</v>
      </c>
      <c r="AK42" s="56">
        <f t="shared" si="14"/>
        <v>197600</v>
      </c>
    </row>
    <row r="43" spans="1:37" ht="17" x14ac:dyDescent="0.2">
      <c r="A43" s="318">
        <v>45261</v>
      </c>
      <c r="B43" s="313">
        <f>'Monthly Electricity (Overview)'!B121-'Monthly Electricity (Overview)'!E121-SUM('Monthly Electricity (Overview)'!I121:N121)-SUM('Monthly Electricity (Overview)'!X121:Y121)+'Monthly Electricity (Overview)'!AD121</f>
        <v>3997103</v>
      </c>
      <c r="C43" s="56">
        <f>'Monthly Electricity (Overview)'!B121-'Monthly Electricity (Overview)'!E121-SUM('Monthly Electricity (Overview)'!I121:N121)-SUM('Monthly Electricity (Overview)'!T121:Y121)</f>
        <v>3636983</v>
      </c>
      <c r="D43" s="517" t="b">
        <f t="shared" si="2"/>
        <v>0</v>
      </c>
      <c r="E43" s="313">
        <f>'Monthly Electricity (Overview)'!I121</f>
        <v>760035</v>
      </c>
      <c r="F43" s="56">
        <f>'Monthly Electricity (Overview)'!I121</f>
        <v>760035</v>
      </c>
      <c r="G43" s="517" t="str">
        <f t="shared" si="3"/>
        <v>/</v>
      </c>
      <c r="H43" s="313">
        <f>'Monthly Electricity (Overview)'!N121</f>
        <v>63014</v>
      </c>
      <c r="I43" s="56">
        <f>'Monthly Electricity (Overview)'!N121</f>
        <v>63014</v>
      </c>
      <c r="J43" s="517" t="str">
        <f t="shared" si="4"/>
        <v>/</v>
      </c>
      <c r="K43" s="313">
        <f>'Monthly Electricity (Overview)'!E121</f>
        <v>362093</v>
      </c>
      <c r="L43" s="56">
        <f>'Monthly Electricity (Overview)'!E121</f>
        <v>362093</v>
      </c>
      <c r="M43" s="517" t="str">
        <f t="shared" si="5"/>
        <v>/</v>
      </c>
      <c r="N43" s="313">
        <f>'Monthly Electricity (Overview)'!J121</f>
        <v>205900</v>
      </c>
      <c r="O43" s="56">
        <f>'Monthly Electricity (Overview)'!J121</f>
        <v>205900</v>
      </c>
      <c r="P43" s="517" t="str">
        <f t="shared" si="6"/>
        <v>/</v>
      </c>
      <c r="Q43" s="313">
        <f>'Monthly Electricity (Overview)'!K121</f>
        <v>47269</v>
      </c>
      <c r="R43" s="56">
        <f>'Monthly Electricity (Overview)'!K121</f>
        <v>47269</v>
      </c>
      <c r="S43" s="517" t="str">
        <f t="shared" si="7"/>
        <v>/</v>
      </c>
      <c r="T43" s="313"/>
      <c r="U43" s="313"/>
      <c r="V43" s="517" t="str">
        <f t="shared" si="8"/>
        <v>/</v>
      </c>
      <c r="W43" s="313">
        <f>'Monthly Electricity (Overview)'!L121</f>
        <v>92079</v>
      </c>
      <c r="X43" s="56">
        <f>'Monthly Electricity (Overview)'!L121</f>
        <v>92079</v>
      </c>
      <c r="Y43" s="517" t="str">
        <f t="shared" si="9"/>
        <v>/</v>
      </c>
      <c r="Z43" s="314">
        <v>58824</v>
      </c>
      <c r="AA43" s="313">
        <f>'Monthly Electricity (Overview)'!X121+'Monthly Electricity (Overview)'!W121+'Monthly Electricity (Overview)'!AC121</f>
        <v>526366</v>
      </c>
      <c r="AB43" s="56">
        <f>SUM('Monthly Electricity (Overview)'!U121:X121)+'Monthly Electricity (Overview)'!AC121</f>
        <v>721855</v>
      </c>
      <c r="AC43" s="517" t="b">
        <f t="shared" si="10"/>
        <v>0</v>
      </c>
      <c r="AD43" s="313">
        <f>'Monthly Electricity (Overview)'!Y121</f>
        <v>580828</v>
      </c>
      <c r="AE43" s="56">
        <f>'Monthly Electricity (Overview)'!Y121</f>
        <v>580828</v>
      </c>
      <c r="AF43" s="517" t="str">
        <f t="shared" si="11"/>
        <v>/</v>
      </c>
      <c r="AG43" s="56">
        <f t="shared" si="15"/>
        <v>6693511</v>
      </c>
      <c r="AH43" s="56">
        <f t="shared" si="16"/>
        <v>6634687</v>
      </c>
      <c r="AI43" s="56">
        <f t="shared" si="12"/>
        <v>6470056</v>
      </c>
      <c r="AJ43" s="517" t="b">
        <f t="shared" si="13"/>
        <v>0</v>
      </c>
      <c r="AK43" s="56">
        <f t="shared" si="14"/>
        <v>164631</v>
      </c>
    </row>
    <row r="44" spans="1:37" ht="17" x14ac:dyDescent="0.2">
      <c r="A44" s="319">
        <v>45292</v>
      </c>
      <c r="B44" s="56">
        <f>'Monthly Electricity (Overview)'!B122-'Monthly Electricity (Overview)'!E122-SUM('Monthly Electricity (Overview)'!I122:N122)-SUM('Monthly Electricity (Overview)'!X122:Y122)+'Monthly Electricity (Overview)'!AD122</f>
        <v>4453677</v>
      </c>
      <c r="C44" s="56">
        <f>'Monthly Electricity (Overview)'!B122-'Monthly Electricity (Overview)'!E122-SUM('Monthly Electricity (Overview)'!I122:N122)-SUM('Monthly Electricity (Overview)'!T122:Y122)</f>
        <v>4118389</v>
      </c>
      <c r="D44" s="517" t="b">
        <f t="shared" si="2"/>
        <v>0</v>
      </c>
      <c r="E44" s="56">
        <f>'Monthly Electricity (Overview)'!I122</f>
        <v>578170</v>
      </c>
      <c r="F44" s="56">
        <f>'Monthly Electricity (Overview)'!I122</f>
        <v>578170</v>
      </c>
      <c r="G44" s="517" t="str">
        <f t="shared" si="3"/>
        <v>/</v>
      </c>
      <c r="H44" s="56">
        <f>'Monthly Electricity (Overview)'!N122</f>
        <v>40751</v>
      </c>
      <c r="I44" s="56">
        <f>'Monthly Electricity (Overview)'!N122</f>
        <v>40751</v>
      </c>
      <c r="J44" s="517" t="str">
        <f t="shared" si="4"/>
        <v>/</v>
      </c>
      <c r="K44" s="56">
        <f>'Monthly Electricity (Overview)'!E122</f>
        <v>396860</v>
      </c>
      <c r="L44" s="56">
        <f>'Monthly Electricity (Overview)'!E122</f>
        <v>396860</v>
      </c>
      <c r="M44" s="517" t="str">
        <f t="shared" si="5"/>
        <v>/</v>
      </c>
      <c r="N44" s="56">
        <f>'Monthly Electricity (Overview)'!J122</f>
        <v>227300</v>
      </c>
      <c r="O44" s="56">
        <f>'Monthly Electricity (Overview)'!J122</f>
        <v>227300</v>
      </c>
      <c r="P44" s="517" t="str">
        <f t="shared" si="6"/>
        <v>/</v>
      </c>
      <c r="Q44" s="56">
        <f>'Monthly Electricity (Overview)'!K122</f>
        <v>41306</v>
      </c>
      <c r="R44" s="56">
        <f>'Monthly Electricity (Overview)'!K122</f>
        <v>41306</v>
      </c>
      <c r="S44" s="517" t="str">
        <f t="shared" si="7"/>
        <v>/</v>
      </c>
      <c r="T44" s="56"/>
      <c r="U44" s="56"/>
      <c r="V44" s="517" t="str">
        <f t="shared" si="8"/>
        <v>/</v>
      </c>
      <c r="W44" s="56">
        <f>'Monthly Electricity (Overview)'!L122</f>
        <v>88012</v>
      </c>
      <c r="X44" s="56">
        <f>'Monthly Electricity (Overview)'!L122</f>
        <v>88012</v>
      </c>
      <c r="Y44" s="517" t="str">
        <f t="shared" si="9"/>
        <v>/</v>
      </c>
      <c r="Z44" s="14">
        <v>50823</v>
      </c>
      <c r="AA44" s="56">
        <f>'Monthly Electricity (Overview)'!X122+'Monthly Electricity (Overview)'!W122+'Monthly Electricity (Overview)'!AC122</f>
        <v>401207</v>
      </c>
      <c r="AB44" s="56">
        <f>SUM('Monthly Electricity (Overview)'!U122:X122)+'Monthly Electricity (Overview)'!AC122</f>
        <v>583827</v>
      </c>
      <c r="AC44" s="517" t="b">
        <f t="shared" si="10"/>
        <v>0</v>
      </c>
      <c r="AD44" s="56">
        <f>'Monthly Electricity (Overview)'!Y122</f>
        <v>617652</v>
      </c>
      <c r="AE44" s="56">
        <f>'Monthly Electricity (Overview)'!Y122</f>
        <v>617652</v>
      </c>
      <c r="AF44" s="517" t="str">
        <f t="shared" si="11"/>
        <v>/</v>
      </c>
      <c r="AG44" s="56">
        <f t="shared" si="15"/>
        <v>6895758</v>
      </c>
      <c r="AH44" s="56">
        <f t="shared" si="16"/>
        <v>6844935</v>
      </c>
      <c r="AI44" s="56">
        <f t="shared" si="12"/>
        <v>6692267</v>
      </c>
      <c r="AJ44" s="517" t="b">
        <f t="shared" si="13"/>
        <v>0</v>
      </c>
      <c r="AK44" s="56">
        <f t="shared" si="14"/>
        <v>152668</v>
      </c>
    </row>
    <row r="45" spans="1:37" ht="17" x14ac:dyDescent="0.2">
      <c r="A45" s="320">
        <v>45323</v>
      </c>
      <c r="B45" s="56">
        <f>'Monthly Electricity (Overview)'!B123-'Monthly Electricity (Overview)'!E123-SUM('Monthly Electricity (Overview)'!I123:N123)-SUM('Monthly Electricity (Overview)'!X123:Y123)+'Monthly Electricity (Overview)'!AD123</f>
        <v>4309054</v>
      </c>
      <c r="C45" s="56">
        <f>'Monthly Electricity (Overview)'!B123-'Monthly Electricity (Overview)'!E123-SUM('Monthly Electricity (Overview)'!I123:N123)-SUM('Monthly Electricity (Overview)'!T123:Y123)</f>
        <v>3963607</v>
      </c>
      <c r="D45" s="517" t="b">
        <f t="shared" si="2"/>
        <v>0</v>
      </c>
      <c r="E45" s="56">
        <f>'Monthly Electricity (Overview)'!I123</f>
        <v>682091</v>
      </c>
      <c r="F45" s="56">
        <f>'Monthly Electricity (Overview)'!I123</f>
        <v>682091</v>
      </c>
      <c r="G45" s="517" t="str">
        <f t="shared" si="3"/>
        <v>/</v>
      </c>
      <c r="H45" s="56">
        <f>'Monthly Electricity (Overview)'!N123</f>
        <v>59396</v>
      </c>
      <c r="I45" s="56">
        <f>'Monthly Electricity (Overview)'!N123</f>
        <v>59396</v>
      </c>
      <c r="J45" s="517" t="str">
        <f t="shared" si="4"/>
        <v>/</v>
      </c>
      <c r="K45" s="56">
        <f>'Monthly Electricity (Overview)'!E123</f>
        <v>372509</v>
      </c>
      <c r="L45" s="56">
        <f>'Monthly Electricity (Overview)'!E123</f>
        <v>372509</v>
      </c>
      <c r="M45" s="517" t="str">
        <f t="shared" si="5"/>
        <v>/</v>
      </c>
      <c r="N45" s="56">
        <f>'Monthly Electricity (Overview)'!J123</f>
        <v>216300</v>
      </c>
      <c r="O45" s="56">
        <f>'Monthly Electricity (Overview)'!J123</f>
        <v>216300</v>
      </c>
      <c r="P45" s="517" t="str">
        <f t="shared" si="6"/>
        <v>/</v>
      </c>
      <c r="Q45" s="56">
        <f>'Monthly Electricity (Overview)'!K123</f>
        <v>38954</v>
      </c>
      <c r="R45" s="56">
        <f>'Monthly Electricity (Overview)'!K123</f>
        <v>38954</v>
      </c>
      <c r="S45" s="517" t="str">
        <f t="shared" si="7"/>
        <v>/</v>
      </c>
      <c r="T45" s="56"/>
      <c r="U45" s="56"/>
      <c r="V45" s="517" t="str">
        <f t="shared" si="8"/>
        <v>/</v>
      </c>
      <c r="W45" s="56">
        <f>'Monthly Electricity (Overview)'!L123</f>
        <v>71168</v>
      </c>
      <c r="X45" s="56">
        <f>'Monthly Electricity (Overview)'!L123</f>
        <v>71168</v>
      </c>
      <c r="Y45" s="517" t="str">
        <f t="shared" si="9"/>
        <v>/</v>
      </c>
      <c r="Z45" s="14">
        <v>54165</v>
      </c>
      <c r="AA45" s="56">
        <f>'Monthly Electricity (Overview)'!X123+'Monthly Electricity (Overview)'!W123+'Monthly Electricity (Overview)'!AC123</f>
        <v>449702</v>
      </c>
      <c r="AB45" s="56">
        <f>SUM('Monthly Electricity (Overview)'!U123:X123)+'Monthly Electricity (Overview)'!AC123</f>
        <v>646363</v>
      </c>
      <c r="AC45" s="517" t="b">
        <f t="shared" si="10"/>
        <v>0</v>
      </c>
      <c r="AD45" s="56">
        <f>'Monthly Electricity (Overview)'!Y123</f>
        <v>604192</v>
      </c>
      <c r="AE45" s="56">
        <f>'Monthly Electricity (Overview)'!Y123</f>
        <v>604192</v>
      </c>
      <c r="AF45" s="517" t="str">
        <f t="shared" si="11"/>
        <v>/</v>
      </c>
      <c r="AG45" s="56">
        <f t="shared" si="15"/>
        <v>6857531</v>
      </c>
      <c r="AH45" s="56">
        <f t="shared" si="16"/>
        <v>6803366</v>
      </c>
      <c r="AI45" s="56">
        <f t="shared" si="12"/>
        <v>6654580</v>
      </c>
      <c r="AJ45" s="517" t="b">
        <f t="shared" si="13"/>
        <v>0</v>
      </c>
      <c r="AK45" s="56">
        <f t="shared" si="14"/>
        <v>148786</v>
      </c>
    </row>
    <row r="46" spans="1:37" ht="17" x14ac:dyDescent="0.2">
      <c r="A46" s="320">
        <v>45352</v>
      </c>
      <c r="B46" s="56">
        <f>'Monthly Electricity (Overview)'!B124-'Monthly Electricity (Overview)'!E124-SUM('Monthly Electricity (Overview)'!I124:N124)-SUM('Monthly Electricity (Overview)'!X124:Y124)+'Monthly Electricity (Overview)'!AD124</f>
        <v>3933377</v>
      </c>
      <c r="C46" s="56">
        <f>'Monthly Electricity (Overview)'!B124-'Monthly Electricity (Overview)'!E124-SUM('Monthly Electricity (Overview)'!I124:N124)-SUM('Monthly Electricity (Overview)'!T124:Y124)</f>
        <v>3495982</v>
      </c>
      <c r="D46" s="517" t="b">
        <f t="shared" si="2"/>
        <v>0</v>
      </c>
      <c r="E46" s="56">
        <f>'Monthly Electricity (Overview)'!I124</f>
        <v>921046</v>
      </c>
      <c r="F46" s="56">
        <f>'Monthly Electricity (Overview)'!I124</f>
        <v>921046</v>
      </c>
      <c r="G46" s="517" t="str">
        <f t="shared" si="3"/>
        <v>/</v>
      </c>
      <c r="H46" s="56">
        <f>'Monthly Electricity (Overview)'!N124</f>
        <v>72772</v>
      </c>
      <c r="I46" s="56">
        <f>'Monthly Electricity (Overview)'!N124</f>
        <v>72772</v>
      </c>
      <c r="J46" s="517" t="str">
        <f t="shared" si="4"/>
        <v>/</v>
      </c>
      <c r="K46" s="56">
        <f>'Monthly Electricity (Overview)'!E124</f>
        <v>367021</v>
      </c>
      <c r="L46" s="56">
        <f>'Monthly Electricity (Overview)'!E124</f>
        <v>367021</v>
      </c>
      <c r="M46" s="517" t="str">
        <f t="shared" si="5"/>
        <v>/</v>
      </c>
      <c r="N46" s="56">
        <f>'Monthly Electricity (Overview)'!J124</f>
        <v>217900</v>
      </c>
      <c r="O46" s="56">
        <f>'Monthly Electricity (Overview)'!J124</f>
        <v>217900</v>
      </c>
      <c r="P46" s="517" t="str">
        <f t="shared" si="6"/>
        <v>/</v>
      </c>
      <c r="Q46" s="56">
        <f>'Monthly Electricity (Overview)'!K124</f>
        <v>42295</v>
      </c>
      <c r="R46" s="56">
        <f>'Monthly Electricity (Overview)'!K124</f>
        <v>42295</v>
      </c>
      <c r="S46" s="517" t="str">
        <f t="shared" si="7"/>
        <v>/</v>
      </c>
      <c r="T46" s="56"/>
      <c r="U46" s="56"/>
      <c r="V46" s="517" t="str">
        <f t="shared" si="8"/>
        <v>/</v>
      </c>
      <c r="W46" s="56">
        <f>'Monthly Electricity (Overview)'!L124</f>
        <v>88712</v>
      </c>
      <c r="X46" s="56">
        <f>'Monthly Electricity (Overview)'!L124</f>
        <v>88712</v>
      </c>
      <c r="Y46" s="517" t="str">
        <f t="shared" si="9"/>
        <v>/</v>
      </c>
      <c r="Z46" s="14">
        <v>46664</v>
      </c>
      <c r="AA46" s="56">
        <f>'Monthly Electricity (Overview)'!X124+'Monthly Electricity (Overview)'!W124+'Monthly Electricity (Overview)'!AC124</f>
        <v>532117</v>
      </c>
      <c r="AB46" s="56">
        <f>SUM('Monthly Electricity (Overview)'!U124:X124)+'Monthly Electricity (Overview)'!AC124</f>
        <v>786354</v>
      </c>
      <c r="AC46" s="517" t="b">
        <f t="shared" si="10"/>
        <v>0</v>
      </c>
      <c r="AD46" s="56">
        <f>'Monthly Electricity (Overview)'!Y124</f>
        <v>619248</v>
      </c>
      <c r="AE46" s="56">
        <f>'Monthly Electricity (Overview)'!Y124</f>
        <v>619248</v>
      </c>
      <c r="AF46" s="517" t="str">
        <f t="shared" si="11"/>
        <v>/</v>
      </c>
      <c r="AG46" s="56">
        <f t="shared" si="15"/>
        <v>6841152</v>
      </c>
      <c r="AH46" s="56">
        <f t="shared" si="16"/>
        <v>6794488</v>
      </c>
      <c r="AI46" s="56">
        <f t="shared" si="12"/>
        <v>6611330</v>
      </c>
      <c r="AJ46" s="517" t="b">
        <f t="shared" si="13"/>
        <v>0</v>
      </c>
      <c r="AK46" s="56">
        <f t="shared" si="14"/>
        <v>183158</v>
      </c>
    </row>
    <row r="47" spans="1:37" ht="17" x14ac:dyDescent="0.2">
      <c r="A47" s="320">
        <v>45383</v>
      </c>
      <c r="B47" s="56">
        <f>'Monthly Electricity (Overview)'!B125-'Monthly Electricity (Overview)'!E125-SUM('Monthly Electricity (Overview)'!I125:N125)-SUM('Monthly Electricity (Overview)'!X125:Y125)+'Monthly Electricity (Overview)'!AD125</f>
        <v>5030351</v>
      </c>
      <c r="C47" s="56">
        <f>'Monthly Electricity (Overview)'!B125-'Monthly Electricity (Overview)'!E125-SUM('Monthly Electricity (Overview)'!I125:N125)-SUM('Monthly Electricity (Overview)'!T125:Y125)</f>
        <v>4431895</v>
      </c>
      <c r="D47" s="517" t="b">
        <f t="shared" si="2"/>
        <v>0</v>
      </c>
      <c r="E47" s="56">
        <f>'Monthly Electricity (Overview)'!I125</f>
        <v>1608077</v>
      </c>
      <c r="F47" s="56">
        <f>'Monthly Electricity (Overview)'!I125</f>
        <v>1608077</v>
      </c>
      <c r="G47" s="517" t="str">
        <f t="shared" si="3"/>
        <v>/</v>
      </c>
      <c r="H47" s="56">
        <f>'Monthly Electricity (Overview)'!N125</f>
        <v>116582</v>
      </c>
      <c r="I47" s="56">
        <f>'Monthly Electricity (Overview)'!N125</f>
        <v>116582</v>
      </c>
      <c r="J47" s="517" t="str">
        <f t="shared" si="4"/>
        <v>/</v>
      </c>
      <c r="K47" s="56">
        <f>'Monthly Electricity (Overview)'!E125</f>
        <v>452750</v>
      </c>
      <c r="L47" s="56">
        <f>'Monthly Electricity (Overview)'!E125</f>
        <v>452750</v>
      </c>
      <c r="M47" s="517" t="str">
        <f t="shared" si="5"/>
        <v>/</v>
      </c>
      <c r="N47" s="56">
        <f>'Monthly Electricity (Overview)'!J125</f>
        <v>248500</v>
      </c>
      <c r="O47" s="56">
        <f>'Monthly Electricity (Overview)'!J125</f>
        <v>248500</v>
      </c>
      <c r="P47" s="517" t="str">
        <f t="shared" si="6"/>
        <v>/</v>
      </c>
      <c r="Q47" s="56">
        <f>'Monthly Electricity (Overview)'!K125</f>
        <v>48452</v>
      </c>
      <c r="R47" s="56">
        <f>'Monthly Electricity (Overview)'!K125</f>
        <v>48452</v>
      </c>
      <c r="S47" s="517" t="str">
        <f t="shared" si="7"/>
        <v>/</v>
      </c>
      <c r="T47" s="56"/>
      <c r="U47" s="56"/>
      <c r="V47" s="517" t="str">
        <f t="shared" si="8"/>
        <v>/</v>
      </c>
      <c r="W47" s="56">
        <f>'Monthly Electricity (Overview)'!L125</f>
        <v>116672</v>
      </c>
      <c r="X47" s="56">
        <f>'Monthly Electricity (Overview)'!L125</f>
        <v>116672</v>
      </c>
      <c r="Y47" s="517" t="str">
        <f t="shared" si="9"/>
        <v>/</v>
      </c>
      <c r="Z47" s="14">
        <v>76596</v>
      </c>
      <c r="AA47" s="56">
        <f>'Monthly Electricity (Overview)'!X125+'Monthly Electricity (Overview)'!W125+'Monthly Electricity (Overview)'!AC125</f>
        <v>838430</v>
      </c>
      <c r="AB47" s="56">
        <f>SUM('Monthly Electricity (Overview)'!U125:X125)+'Monthly Electricity (Overview)'!AC125</f>
        <v>1178505</v>
      </c>
      <c r="AC47" s="517" t="b">
        <f t="shared" si="10"/>
        <v>0</v>
      </c>
      <c r="AD47" s="56">
        <f>'Monthly Electricity (Overview)'!Y125</f>
        <v>840552</v>
      </c>
      <c r="AE47" s="56">
        <f>'Monthly Electricity (Overview)'!Y125</f>
        <v>840552</v>
      </c>
      <c r="AF47" s="517" t="str">
        <f t="shared" si="11"/>
        <v>/</v>
      </c>
      <c r="AG47" s="56">
        <f t="shared" si="15"/>
        <v>9376962</v>
      </c>
      <c r="AH47" s="56">
        <f t="shared" si="16"/>
        <v>9300366</v>
      </c>
      <c r="AI47" s="56">
        <f t="shared" si="12"/>
        <v>9041985</v>
      </c>
      <c r="AJ47" s="517" t="b">
        <f t="shared" si="13"/>
        <v>0</v>
      </c>
      <c r="AK47" s="56">
        <f t="shared" si="14"/>
        <v>258381</v>
      </c>
    </row>
    <row r="48" spans="1:37" ht="17" x14ac:dyDescent="0.2">
      <c r="A48" s="320">
        <v>45413</v>
      </c>
      <c r="B48" s="56">
        <f>'Monthly Electricity (Overview)'!B126-'Monthly Electricity (Overview)'!E126-SUM('Monthly Electricity (Overview)'!I126:N126)-SUM('Monthly Electricity (Overview)'!X126:Y126)+'Monthly Electricity (Overview)'!AD126</f>
        <v>4520044</v>
      </c>
      <c r="C48" s="56">
        <f>'Monthly Electricity (Overview)'!B126-'Monthly Electricity (Overview)'!E126-SUM('Monthly Electricity (Overview)'!I126:N126)-SUM('Monthly Electricity (Overview)'!T126:Y126)</f>
        <v>3923787</v>
      </c>
      <c r="D48" s="517" t="b">
        <f t="shared" si="2"/>
        <v>0</v>
      </c>
      <c r="E48" s="56">
        <f>'Monthly Electricity (Overview)'!I126</f>
        <v>1626912</v>
      </c>
      <c r="F48" s="56">
        <f>'Monthly Electricity (Overview)'!I126</f>
        <v>1626912</v>
      </c>
      <c r="G48" s="517" t="str">
        <f t="shared" si="3"/>
        <v>/</v>
      </c>
      <c r="H48" s="56">
        <f>'Monthly Electricity (Overview)'!N126</f>
        <v>101590</v>
      </c>
      <c r="I48" s="56">
        <f>'Monthly Electricity (Overview)'!N126</f>
        <v>101590</v>
      </c>
      <c r="J48" s="517" t="str">
        <f t="shared" si="4"/>
        <v>/</v>
      </c>
      <c r="K48" s="56">
        <f>'Monthly Electricity (Overview)'!E126</f>
        <v>410970</v>
      </c>
      <c r="L48" s="56">
        <f>'Monthly Electricity (Overview)'!E126</f>
        <v>410970</v>
      </c>
      <c r="M48" s="517" t="str">
        <f t="shared" si="5"/>
        <v>/</v>
      </c>
      <c r="N48" s="56">
        <f>'Monthly Electricity (Overview)'!J126</f>
        <v>231500</v>
      </c>
      <c r="O48" s="56">
        <f>'Monthly Electricity (Overview)'!J126</f>
        <v>231500</v>
      </c>
      <c r="P48" s="517" t="str">
        <f t="shared" si="6"/>
        <v>/</v>
      </c>
      <c r="Q48" s="56">
        <f>'Monthly Electricity (Overview)'!K126</f>
        <v>42471</v>
      </c>
      <c r="R48" s="56">
        <f>'Monthly Electricity (Overview)'!K126</f>
        <v>42471</v>
      </c>
      <c r="S48" s="517" t="str">
        <f t="shared" si="7"/>
        <v>/</v>
      </c>
      <c r="T48" s="56"/>
      <c r="U48" s="56"/>
      <c r="V48" s="517" t="str">
        <f t="shared" si="8"/>
        <v>/</v>
      </c>
      <c r="W48" s="56">
        <f>'Monthly Electricity (Overview)'!L126</f>
        <v>113551</v>
      </c>
      <c r="X48" s="56">
        <f>'Monthly Electricity (Overview)'!L126</f>
        <v>113551</v>
      </c>
      <c r="Y48" s="517" t="str">
        <f t="shared" si="9"/>
        <v>/</v>
      </c>
      <c r="Z48" s="14">
        <v>69174</v>
      </c>
      <c r="AA48" s="56">
        <f>'Monthly Electricity (Overview)'!X126+'Monthly Electricity (Overview)'!W126+'Monthly Electricity (Overview)'!AC126</f>
        <v>856094</v>
      </c>
      <c r="AB48" s="56">
        <f>SUM('Monthly Electricity (Overview)'!U126:X126)+'Monthly Electricity (Overview)'!AC126</f>
        <v>1200469</v>
      </c>
      <c r="AC48" s="517" t="b">
        <f t="shared" si="10"/>
        <v>0</v>
      </c>
      <c r="AD48" s="56">
        <f>'Monthly Electricity (Overview)'!Y126</f>
        <v>769941</v>
      </c>
      <c r="AE48" s="56">
        <f>'Monthly Electricity (Overview)'!Y126</f>
        <v>769941</v>
      </c>
      <c r="AF48" s="517" t="str">
        <f t="shared" si="11"/>
        <v>/</v>
      </c>
      <c r="AG48" s="56">
        <f t="shared" si="15"/>
        <v>8742247</v>
      </c>
      <c r="AH48" s="56">
        <f t="shared" si="16"/>
        <v>8673073</v>
      </c>
      <c r="AI48" s="56">
        <f t="shared" si="12"/>
        <v>8421191</v>
      </c>
      <c r="AJ48" s="517" t="b">
        <f t="shared" si="13"/>
        <v>0</v>
      </c>
      <c r="AK48" s="56">
        <f t="shared" si="14"/>
        <v>251882</v>
      </c>
    </row>
    <row r="49" spans="1:39" ht="17" x14ac:dyDescent="0.2">
      <c r="A49" s="320">
        <v>45444</v>
      </c>
      <c r="B49" s="56">
        <f>'Monthly Electricity (Overview)'!B127-'Monthly Electricity (Overview)'!E127-SUM('Monthly Electricity (Overview)'!I127:N127)-SUM('Monthly Electricity (Overview)'!X127:Y127)+'Monthly Electricity (Overview)'!AD127</f>
        <v>4256124</v>
      </c>
      <c r="C49" s="56">
        <f>'Monthly Electricity (Overview)'!B127-'Monthly Electricity (Overview)'!E127-SUM('Monthly Electricity (Overview)'!I127:N127)-SUM('Monthly Electricity (Overview)'!T127:Y127)</f>
        <v>3573053</v>
      </c>
      <c r="D49" s="517" t="b">
        <f t="shared" si="2"/>
        <v>0</v>
      </c>
      <c r="E49" s="56">
        <f>'Monthly Electricity (Overview)'!I127</f>
        <v>2083326</v>
      </c>
      <c r="F49" s="56">
        <f>'Monthly Electricity (Overview)'!I127</f>
        <v>2083326</v>
      </c>
      <c r="G49" s="517" t="str">
        <f t="shared" si="3"/>
        <v>/</v>
      </c>
      <c r="H49" s="56">
        <f>'Monthly Electricity (Overview)'!N127</f>
        <v>166930</v>
      </c>
      <c r="I49" s="56">
        <f>'Monthly Electricity (Overview)'!N127</f>
        <v>166930</v>
      </c>
      <c r="J49" s="517" t="str">
        <f t="shared" si="4"/>
        <v>/</v>
      </c>
      <c r="K49" s="56">
        <f>'Monthly Electricity (Overview)'!E127</f>
        <v>396960</v>
      </c>
      <c r="L49" s="56">
        <f>'Monthly Electricity (Overview)'!E127</f>
        <v>396960</v>
      </c>
      <c r="M49" s="517" t="str">
        <f t="shared" si="5"/>
        <v>/</v>
      </c>
      <c r="N49" s="56">
        <f>'Monthly Electricity (Overview)'!J127</f>
        <v>211700</v>
      </c>
      <c r="O49" s="56">
        <f>'Monthly Electricity (Overview)'!J127</f>
        <v>211700</v>
      </c>
      <c r="P49" s="517" t="str">
        <f t="shared" si="6"/>
        <v>/</v>
      </c>
      <c r="Q49" s="56">
        <f>'Monthly Electricity (Overview)'!K127</f>
        <v>59734</v>
      </c>
      <c r="R49" s="56">
        <f>'Monthly Electricity (Overview)'!K127</f>
        <v>59734</v>
      </c>
      <c r="S49" s="517" t="str">
        <f t="shared" si="7"/>
        <v>/</v>
      </c>
      <c r="T49" s="56"/>
      <c r="U49" s="56"/>
      <c r="V49" s="517" t="str">
        <f t="shared" si="8"/>
        <v>/</v>
      </c>
      <c r="W49" s="56">
        <f>'Monthly Electricity (Overview)'!L127</f>
        <v>167321</v>
      </c>
      <c r="X49" s="56">
        <f>'Monthly Electricity (Overview)'!L127</f>
        <v>167321</v>
      </c>
      <c r="Y49" s="517" t="str">
        <f t="shared" si="9"/>
        <v>/</v>
      </c>
      <c r="Z49" s="14">
        <v>89300</v>
      </c>
      <c r="AA49" s="56">
        <f>'Monthly Electricity (Overview)'!X127+'Monthly Electricity (Overview)'!W127+'Monthly Electricity (Overview)'!AC127</f>
        <v>708987</v>
      </c>
      <c r="AB49" s="56">
        <f>SUM('Monthly Electricity (Overview)'!U127:X127)+'Monthly Electricity (Overview)'!AC127</f>
        <v>1126424</v>
      </c>
      <c r="AC49" s="517" t="b">
        <f t="shared" si="10"/>
        <v>0</v>
      </c>
      <c r="AD49" s="56">
        <f>'Monthly Electricity (Overview)'!Y127</f>
        <v>880835</v>
      </c>
      <c r="AE49" s="56">
        <f>'Monthly Electricity (Overview)'!Y127</f>
        <v>880835</v>
      </c>
      <c r="AF49" s="517" t="str">
        <f t="shared" si="11"/>
        <v>/</v>
      </c>
      <c r="AG49" s="56">
        <f t="shared" si="15"/>
        <v>9021217</v>
      </c>
      <c r="AH49" s="56">
        <f t="shared" si="16"/>
        <v>8931917</v>
      </c>
      <c r="AI49" s="56">
        <f t="shared" si="12"/>
        <v>8666283</v>
      </c>
      <c r="AJ49" s="517" t="b">
        <f t="shared" si="13"/>
        <v>0</v>
      </c>
      <c r="AK49" s="56">
        <f t="shared" si="14"/>
        <v>265634</v>
      </c>
    </row>
    <row r="50" spans="1:39" ht="17" x14ac:dyDescent="0.2">
      <c r="A50" s="321">
        <v>45474</v>
      </c>
      <c r="B50" s="56">
        <f>'Monthly Electricity (Overview)'!B128-'Monthly Electricity (Overview)'!E128-SUM('Monthly Electricity (Overview)'!I128:L128)-'Monthly Electricity (Overview)'!N128-SUM('Monthly Electricity (Overview)'!W128:Y128)</f>
        <v>4802463</v>
      </c>
      <c r="C50" s="56">
        <f>'Monthly Electricity (Overview)'!B128-'Monthly Electricity (Overview)'!E128-SUM('Monthly Electricity (Overview)'!I128:N128)-SUM('Monthly Electricity (Overview)'!T128:Y128)</f>
        <v>4328388</v>
      </c>
      <c r="D50" s="517" t="b">
        <f t="shared" si="2"/>
        <v>0</v>
      </c>
      <c r="E50" s="56">
        <f>'Monthly Electricity (Overview)'!I128</f>
        <v>2536101</v>
      </c>
      <c r="F50" s="56">
        <f>'Monthly Electricity (Overview)'!I128</f>
        <v>2536101</v>
      </c>
      <c r="G50" s="517" t="str">
        <f t="shared" si="3"/>
        <v>/</v>
      </c>
      <c r="H50" s="56">
        <f>'Monthly Electricity (Overview)'!N128</f>
        <v>146460</v>
      </c>
      <c r="I50" s="56">
        <f>'Monthly Electricity (Overview)'!N128</f>
        <v>146460</v>
      </c>
      <c r="J50" s="517" t="str">
        <f t="shared" si="4"/>
        <v>/</v>
      </c>
      <c r="K50" s="56">
        <f>'Monthly Electricity (Overview)'!E128</f>
        <v>452350</v>
      </c>
      <c r="L50" s="56">
        <f>'Monthly Electricity (Overview)'!E128</f>
        <v>452350</v>
      </c>
      <c r="M50" s="517" t="str">
        <f t="shared" si="5"/>
        <v>/</v>
      </c>
      <c r="N50" s="56">
        <f>'Monthly Electricity (Overview)'!J128</f>
        <v>242000</v>
      </c>
      <c r="O50" s="56">
        <f>'Monthly Electricity (Overview)'!J128</f>
        <v>242000</v>
      </c>
      <c r="P50" s="517" t="str">
        <f t="shared" si="6"/>
        <v>/</v>
      </c>
      <c r="Q50" s="56">
        <f>'Monthly Electricity (Overview)'!K128</f>
        <v>49635</v>
      </c>
      <c r="R50" s="56">
        <f>'Monthly Electricity (Overview)'!K128</f>
        <v>49635</v>
      </c>
      <c r="S50" s="517" t="str">
        <f t="shared" si="7"/>
        <v>/</v>
      </c>
      <c r="T50" s="56"/>
      <c r="U50" s="56"/>
      <c r="V50" s="517" t="str">
        <f t="shared" si="8"/>
        <v>/</v>
      </c>
      <c r="W50" s="56">
        <f>'Monthly Electricity (Overview)'!L128</f>
        <v>148622</v>
      </c>
      <c r="X50" s="56">
        <f>'Monthly Electricity (Overview)'!L128</f>
        <v>148622</v>
      </c>
      <c r="Y50" s="517" t="str">
        <f t="shared" si="9"/>
        <v>/</v>
      </c>
      <c r="Z50" s="56">
        <v>96675</v>
      </c>
      <c r="AA50" s="56">
        <f>'Monthly Electricity (Overview)'!X128+'Monthly Electricity (Overview)'!W128+'Monthly Electricity (Overview)'!AC128</f>
        <v>908905</v>
      </c>
      <c r="AB50" s="56">
        <f>SUM('Monthly Electricity (Overview)'!U128:X128)+'Monthly Electricity (Overview)'!AC128</f>
        <v>1382980</v>
      </c>
      <c r="AC50" s="517" t="b">
        <f t="shared" si="10"/>
        <v>0</v>
      </c>
      <c r="AD50" s="56">
        <f>'Monthly Electricity (Overview)'!Y128</f>
        <v>1064267</v>
      </c>
      <c r="AE50" s="56">
        <f>'Monthly Electricity (Overview)'!Y128</f>
        <v>1064267</v>
      </c>
      <c r="AF50" s="517" t="str">
        <f t="shared" si="11"/>
        <v>/</v>
      </c>
      <c r="AG50" s="56">
        <f t="shared" si="15"/>
        <v>10447478</v>
      </c>
      <c r="AH50" s="56">
        <f t="shared" si="16"/>
        <v>10350803</v>
      </c>
      <c r="AI50" s="56">
        <f t="shared" si="12"/>
        <v>10350803</v>
      </c>
      <c r="AJ50" s="517" t="str">
        <f t="shared" si="13"/>
        <v>/</v>
      </c>
      <c r="AK50" s="56">
        <f t="shared" si="14"/>
        <v>0</v>
      </c>
      <c r="AL50" s="56"/>
    </row>
    <row r="51" spans="1:39" ht="17" x14ac:dyDescent="0.2">
      <c r="A51" s="321">
        <v>45505</v>
      </c>
      <c r="B51" s="56">
        <f>'Monthly Electricity (Overview)'!B129-'Monthly Electricity (Overview)'!E129-SUM('Monthly Electricity (Overview)'!I129:L129)-'Monthly Electricity (Overview)'!N129-SUM('Monthly Electricity (Overview)'!W129:Y129)</f>
        <v>4513404</v>
      </c>
      <c r="C51" s="56">
        <f>'Monthly Electricity (Overview)'!B129-'Monthly Electricity (Overview)'!E129-SUM('Monthly Electricity (Overview)'!I129:N129)-SUM('Monthly Electricity (Overview)'!T129:Y129)</f>
        <v>4051529</v>
      </c>
      <c r="D51" s="517" t="b">
        <f t="shared" si="2"/>
        <v>0</v>
      </c>
      <c r="E51" s="56">
        <f>'Monthly Electricity (Overview)'!I129</f>
        <v>2339192</v>
      </c>
      <c r="F51" s="56">
        <f>'Monthly Electricity (Overview)'!I129</f>
        <v>2339192</v>
      </c>
      <c r="G51" s="517" t="str">
        <f t="shared" si="3"/>
        <v>/</v>
      </c>
      <c r="H51" s="56">
        <f>'Monthly Electricity (Overview)'!N129</f>
        <v>171979</v>
      </c>
      <c r="I51" s="56">
        <f>'Monthly Electricity (Overview)'!N129</f>
        <v>171979</v>
      </c>
      <c r="J51" s="517" t="str">
        <f t="shared" si="4"/>
        <v>/</v>
      </c>
      <c r="K51" s="56">
        <f>'Monthly Electricity (Overview)'!E129</f>
        <v>430560</v>
      </c>
      <c r="L51" s="56">
        <f>'Monthly Electricity (Overview)'!E129</f>
        <v>430560</v>
      </c>
      <c r="M51" s="517" t="str">
        <f t="shared" si="5"/>
        <v>/</v>
      </c>
      <c r="N51" s="56">
        <f>'Monthly Electricity (Overview)'!J129</f>
        <v>245100</v>
      </c>
      <c r="O51" s="56">
        <f>'Monthly Electricity (Overview)'!J129</f>
        <v>245100</v>
      </c>
      <c r="P51" s="517" t="str">
        <f t="shared" si="6"/>
        <v>/</v>
      </c>
      <c r="Q51" s="56">
        <f>'Monthly Electricity (Overview)'!K129</f>
        <v>56920</v>
      </c>
      <c r="R51" s="56">
        <f>'Monthly Electricity (Overview)'!K129</f>
        <v>56920</v>
      </c>
      <c r="S51" s="517" t="str">
        <f t="shared" si="7"/>
        <v>/</v>
      </c>
      <c r="T51" s="56"/>
      <c r="U51" s="56"/>
      <c r="V51" s="517" t="str">
        <f t="shared" si="8"/>
        <v>/</v>
      </c>
      <c r="W51" s="56">
        <f>'Monthly Electricity (Overview)'!L129</f>
        <v>181289</v>
      </c>
      <c r="X51" s="56">
        <f>'Monthly Electricity (Overview)'!L129</f>
        <v>181289</v>
      </c>
      <c r="Y51" s="517" t="str">
        <f t="shared" si="9"/>
        <v>/</v>
      </c>
      <c r="Z51" s="56">
        <v>102262</v>
      </c>
      <c r="AA51" s="56">
        <f>'Monthly Electricity (Overview)'!X129+'Monthly Electricity (Overview)'!W129+'Monthly Electricity (Overview)'!AC129</f>
        <v>836810</v>
      </c>
      <c r="AB51" s="56">
        <f>SUM('Monthly Electricity (Overview)'!U129:X129)+'Monthly Electricity (Overview)'!AC129</f>
        <v>1298685</v>
      </c>
      <c r="AC51" s="517" t="b">
        <f t="shared" si="10"/>
        <v>0</v>
      </c>
      <c r="AD51" s="56">
        <f>'Monthly Electricity (Overview)'!Y129</f>
        <v>1025123</v>
      </c>
      <c r="AE51" s="56">
        <f>'Monthly Electricity (Overview)'!Y129</f>
        <v>1025123</v>
      </c>
      <c r="AF51" s="517" t="str">
        <f t="shared" si="11"/>
        <v>/</v>
      </c>
      <c r="AG51" s="56">
        <f t="shared" si="15"/>
        <v>9902639</v>
      </c>
      <c r="AH51" s="56">
        <f t="shared" si="16"/>
        <v>9800377</v>
      </c>
      <c r="AI51" s="56">
        <f t="shared" si="12"/>
        <v>9800377</v>
      </c>
      <c r="AJ51" s="517" t="str">
        <f t="shared" si="13"/>
        <v>/</v>
      </c>
      <c r="AK51" s="56">
        <f t="shared" si="14"/>
        <v>0</v>
      </c>
    </row>
    <row r="52" spans="1:39" ht="17" x14ac:dyDescent="0.2">
      <c r="A52" s="321">
        <v>45536</v>
      </c>
      <c r="B52" s="56">
        <f>'Monthly Electricity (Overview)'!B130-'Monthly Electricity (Overview)'!E130-SUM('Monthly Electricity (Overview)'!I130:L130)-'Monthly Electricity (Overview)'!N130-SUM('Monthly Electricity (Overview)'!W130:Y130)</f>
        <v>4800062</v>
      </c>
      <c r="C52" s="56">
        <f>'Monthly Electricity (Overview)'!B130-'Monthly Electricity (Overview)'!E130-SUM('Monthly Electricity (Overview)'!I130:N130)-SUM('Monthly Electricity (Overview)'!T130:Y130)</f>
        <v>4327820</v>
      </c>
      <c r="D52" s="517" t="b">
        <f t="shared" si="2"/>
        <v>0</v>
      </c>
      <c r="E52" s="56">
        <f>'Monthly Electricity (Overview)'!I130</f>
        <v>2259366</v>
      </c>
      <c r="F52" s="56">
        <f>'Monthly Electricity (Overview)'!I130</f>
        <v>2259366</v>
      </c>
      <c r="G52" s="517" t="str">
        <f t="shared" si="3"/>
        <v>/</v>
      </c>
      <c r="H52" s="56">
        <f>'Monthly Electricity (Overview)'!N130</f>
        <v>166126</v>
      </c>
      <c r="I52" s="56">
        <f>'Monthly Electricity (Overview)'!N130</f>
        <v>166126</v>
      </c>
      <c r="J52" s="517" t="str">
        <f t="shared" si="4"/>
        <v>/</v>
      </c>
      <c r="K52" s="56">
        <f>'Monthly Electricity (Overview)'!E130</f>
        <v>411230</v>
      </c>
      <c r="L52" s="56">
        <f>'Monthly Electricity (Overview)'!E130</f>
        <v>411230</v>
      </c>
      <c r="M52" s="517" t="str">
        <f t="shared" si="5"/>
        <v>/</v>
      </c>
      <c r="N52" s="56">
        <f>'Monthly Electricity (Overview)'!J130</f>
        <v>247100</v>
      </c>
      <c r="O52" s="56">
        <f>'Monthly Electricity (Overview)'!J130</f>
        <v>247100</v>
      </c>
      <c r="P52" s="517" t="str">
        <f t="shared" si="6"/>
        <v>/</v>
      </c>
      <c r="Q52" s="56">
        <f>'Monthly Electricity (Overview)'!K130</f>
        <v>52628</v>
      </c>
      <c r="R52" s="56">
        <f>'Monthly Electricity (Overview)'!K130</f>
        <v>52628</v>
      </c>
      <c r="S52" s="517" t="str">
        <f t="shared" si="7"/>
        <v>/</v>
      </c>
      <c r="T52" s="56"/>
      <c r="U52" s="56"/>
      <c r="V52" s="517" t="str">
        <f t="shared" si="8"/>
        <v>/</v>
      </c>
      <c r="W52" s="56">
        <f>'Monthly Electricity (Overview)'!L130</f>
        <v>163882</v>
      </c>
      <c r="X52" s="56">
        <f>'Monthly Electricity (Overview)'!L130</f>
        <v>163882</v>
      </c>
      <c r="Y52" s="517" t="str">
        <f t="shared" si="9"/>
        <v>/</v>
      </c>
      <c r="Z52" s="56">
        <v>94188</v>
      </c>
      <c r="AA52" s="56">
        <f>'Monthly Electricity (Overview)'!X130+'Monthly Electricity (Overview)'!W130+'Monthly Electricity (Overview)'!AC130</f>
        <v>1047578</v>
      </c>
      <c r="AB52" s="56">
        <f>SUM('Monthly Electricity (Overview)'!U130:X130)+'Monthly Electricity (Overview)'!AC130</f>
        <v>1519820</v>
      </c>
      <c r="AC52" s="517" t="b">
        <f t="shared" si="10"/>
        <v>0</v>
      </c>
      <c r="AD52" s="56">
        <f>'Monthly Electricity (Overview)'!Y130</f>
        <v>1057385</v>
      </c>
      <c r="AE52" s="56">
        <f>'Monthly Electricity (Overview)'!Y130</f>
        <v>1057385</v>
      </c>
      <c r="AF52" s="517" t="str">
        <f t="shared" si="11"/>
        <v>/</v>
      </c>
      <c r="AG52" s="56">
        <f t="shared" si="15"/>
        <v>10299545</v>
      </c>
      <c r="AH52" s="56">
        <f t="shared" si="16"/>
        <v>10205357</v>
      </c>
      <c r="AI52" s="56">
        <f t="shared" si="12"/>
        <v>10205357</v>
      </c>
      <c r="AJ52" s="517" t="str">
        <f t="shared" si="13"/>
        <v>/</v>
      </c>
      <c r="AK52" s="56">
        <f t="shared" si="14"/>
        <v>0</v>
      </c>
    </row>
    <row r="53" spans="1:39" ht="17" x14ac:dyDescent="0.2">
      <c r="A53" s="321">
        <v>45566</v>
      </c>
      <c r="B53" s="56">
        <f>'Monthly Electricity (Overview)'!B131-'Monthly Electricity (Overview)'!E131-SUM('Monthly Electricity (Overview)'!I131:L131)-'Monthly Electricity (Overview)'!N131-SUM('Monthly Electricity (Overview)'!W131:Y131)</f>
        <v>4560964</v>
      </c>
      <c r="C53" s="56">
        <f>'Monthly Electricity (Overview)'!B131-'Monthly Electricity (Overview)'!E131-SUM('Monthly Electricity (Overview)'!I131:N131)-SUM('Monthly Electricity (Overview)'!T131:Y131)</f>
        <v>4192751</v>
      </c>
      <c r="D53" s="517" t="b">
        <f t="shared" si="2"/>
        <v>0</v>
      </c>
      <c r="E53" s="56">
        <f>'Monthly Electricity (Overview)'!I131</f>
        <v>1681166</v>
      </c>
      <c r="F53" s="56">
        <f>'Monthly Electricity (Overview)'!I131</f>
        <v>1681166</v>
      </c>
      <c r="G53" s="517" t="str">
        <f t="shared" si="3"/>
        <v>/</v>
      </c>
      <c r="H53" s="56">
        <f>'Monthly Electricity (Overview)'!N131</f>
        <v>120288</v>
      </c>
      <c r="I53" s="56">
        <f>'Monthly Electricity (Overview)'!N131</f>
        <v>120288</v>
      </c>
      <c r="J53" s="517" t="str">
        <f t="shared" si="4"/>
        <v>/</v>
      </c>
      <c r="K53" s="56">
        <f>'Monthly Electricity (Overview)'!E131</f>
        <v>410000</v>
      </c>
      <c r="L53" s="56">
        <f>'Monthly Electricity (Overview)'!E131</f>
        <v>410000</v>
      </c>
      <c r="M53" s="517" t="str">
        <f t="shared" si="5"/>
        <v>/</v>
      </c>
      <c r="N53" s="56">
        <f>'Monthly Electricity (Overview)'!J131</f>
        <v>251900</v>
      </c>
      <c r="O53" s="56">
        <f>'Monthly Electricity (Overview)'!J131</f>
        <v>251900</v>
      </c>
      <c r="P53" s="517" t="str">
        <f t="shared" si="6"/>
        <v>/</v>
      </c>
      <c r="Q53" s="56">
        <f>'Monthly Electricity (Overview)'!K131</f>
        <v>45340</v>
      </c>
      <c r="R53" s="56">
        <f>'Monthly Electricity (Overview)'!K131</f>
        <v>45340</v>
      </c>
      <c r="S53" s="517" t="str">
        <f t="shared" si="7"/>
        <v>/</v>
      </c>
      <c r="T53" s="56"/>
      <c r="U53" s="56"/>
      <c r="V53" s="517" t="str">
        <f t="shared" si="8"/>
        <v>/</v>
      </c>
      <c r="W53" s="56">
        <f>'Monthly Electricity (Overview)'!L131</f>
        <v>117930</v>
      </c>
      <c r="X53" s="56">
        <f>'Monthly Electricity (Overview)'!L131</f>
        <v>117930</v>
      </c>
      <c r="Y53" s="517" t="str">
        <f t="shared" si="9"/>
        <v>/</v>
      </c>
      <c r="Z53" s="56">
        <v>74174</v>
      </c>
      <c r="AA53" s="56">
        <f>'Monthly Electricity (Overview)'!X131+'Monthly Electricity (Overview)'!W131+'Monthly Electricity (Overview)'!AC131</f>
        <v>827614</v>
      </c>
      <c r="AB53" s="56">
        <f>SUM('Monthly Electricity (Overview)'!U131:X131)+'Monthly Electricity (Overview)'!AC131</f>
        <v>1195827</v>
      </c>
      <c r="AC53" s="517" t="b">
        <f t="shared" si="10"/>
        <v>0</v>
      </c>
      <c r="AD53" s="56">
        <f>'Monthly Electricity (Overview)'!Y131</f>
        <v>835525</v>
      </c>
      <c r="AE53" s="56">
        <f>'Monthly Electricity (Overview)'!Y131</f>
        <v>835525</v>
      </c>
      <c r="AF53" s="517" t="str">
        <f t="shared" si="11"/>
        <v>/</v>
      </c>
      <c r="AG53" s="56">
        <f t="shared" si="15"/>
        <v>8924901</v>
      </c>
      <c r="AH53" s="56">
        <f t="shared" si="16"/>
        <v>8850727</v>
      </c>
      <c r="AI53" s="56">
        <f t="shared" si="12"/>
        <v>8850727</v>
      </c>
      <c r="AJ53" s="517" t="str">
        <f t="shared" si="13"/>
        <v>/</v>
      </c>
      <c r="AK53" s="56">
        <f t="shared" si="14"/>
        <v>0</v>
      </c>
    </row>
    <row r="54" spans="1:39" ht="17" x14ac:dyDescent="0.2">
      <c r="A54" s="321">
        <v>45597</v>
      </c>
      <c r="B54" s="56">
        <f>'Monthly Electricity (Overview)'!B132-'Monthly Electricity (Overview)'!E132-SUM('Monthly Electricity (Overview)'!I132:L132)-'Monthly Electricity (Overview)'!N132-SUM('Monthly Electricity (Overview)'!W132:Y132)</f>
        <v>4770965</v>
      </c>
      <c r="C54" s="56">
        <f>'Monthly Electricity (Overview)'!B132-'Monthly Electricity (Overview)'!E132-SUM('Monthly Electricity (Overview)'!I132:N132)-SUM('Monthly Electricity (Overview)'!T132:Y132)</f>
        <v>4491938</v>
      </c>
      <c r="D54" s="517" t="b">
        <f t="shared" si="2"/>
        <v>0</v>
      </c>
      <c r="E54" s="56">
        <f>'Monthly Electricity (Overview)'!I132</f>
        <v>1208974</v>
      </c>
      <c r="F54" s="56">
        <f>'Monthly Electricity (Overview)'!I132</f>
        <v>1208974</v>
      </c>
      <c r="G54" s="517" t="str">
        <f t="shared" si="3"/>
        <v>/</v>
      </c>
      <c r="H54" s="56">
        <f>'Monthly Electricity (Overview)'!N132</f>
        <v>108966</v>
      </c>
      <c r="I54" s="56">
        <f>'Monthly Electricity (Overview)'!N132</f>
        <v>108966</v>
      </c>
      <c r="J54" s="517" t="str">
        <f t="shared" si="4"/>
        <v>/</v>
      </c>
      <c r="K54" s="56">
        <f>'Monthly Electricity (Overview)'!E132</f>
        <v>386500</v>
      </c>
      <c r="L54" s="56">
        <f>'Monthly Electricity (Overview)'!E132</f>
        <v>386500</v>
      </c>
      <c r="M54" s="517" t="str">
        <f t="shared" si="5"/>
        <v>/</v>
      </c>
      <c r="N54" s="56">
        <f>'Monthly Electricity (Overview)'!J132</f>
        <v>241600</v>
      </c>
      <c r="O54" s="56">
        <f>'Monthly Electricity (Overview)'!J132</f>
        <v>241600</v>
      </c>
      <c r="P54" s="517" t="str">
        <f t="shared" si="6"/>
        <v>/</v>
      </c>
      <c r="Q54" s="56">
        <f>'Monthly Electricity (Overview)'!K132</f>
        <v>54146</v>
      </c>
      <c r="R54" s="56">
        <f>'Monthly Electricity (Overview)'!K132</f>
        <v>54146</v>
      </c>
      <c r="S54" s="517" t="str">
        <f t="shared" si="7"/>
        <v>/</v>
      </c>
      <c r="T54" s="56"/>
      <c r="U54" s="56"/>
      <c r="V54" s="517" t="str">
        <f t="shared" si="8"/>
        <v>/</v>
      </c>
      <c r="W54" s="56">
        <f>'Monthly Electricity (Overview)'!L132</f>
        <v>116907</v>
      </c>
      <c r="X54" s="56">
        <f>'Monthly Electricity (Overview)'!L132</f>
        <v>116907</v>
      </c>
      <c r="Y54" s="517" t="str">
        <f t="shared" si="9"/>
        <v>/</v>
      </c>
      <c r="Z54" s="56">
        <v>69509</v>
      </c>
      <c r="AA54" s="56">
        <f>'Monthly Electricity (Overview)'!X132+'Monthly Electricity (Overview)'!W132+'Monthly Electricity (Overview)'!AC132</f>
        <v>679739</v>
      </c>
      <c r="AB54" s="56">
        <f>SUM('Monthly Electricity (Overview)'!U132:X132)+'Monthly Electricity (Overview)'!AC132</f>
        <v>958766</v>
      </c>
      <c r="AC54" s="517" t="b">
        <f t="shared" si="10"/>
        <v>0</v>
      </c>
      <c r="AD54" s="56">
        <f>'Monthly Electricity (Overview)'!Y132</f>
        <v>696728</v>
      </c>
      <c r="AE54" s="56">
        <f>'Monthly Electricity (Overview)'!Y132</f>
        <v>696728</v>
      </c>
      <c r="AF54" s="517" t="str">
        <f t="shared" si="11"/>
        <v>/</v>
      </c>
      <c r="AG54" s="56">
        <f t="shared" si="15"/>
        <v>8334034</v>
      </c>
      <c r="AH54" s="56">
        <f t="shared" si="16"/>
        <v>8264525</v>
      </c>
      <c r="AI54" s="56">
        <f t="shared" si="12"/>
        <v>8264525</v>
      </c>
      <c r="AJ54" s="517" t="str">
        <f t="shared" si="13"/>
        <v>/</v>
      </c>
      <c r="AK54" s="56">
        <f t="shared" si="14"/>
        <v>0</v>
      </c>
    </row>
    <row r="55" spans="1:39" ht="17" x14ac:dyDescent="0.2">
      <c r="A55" s="321">
        <v>45627</v>
      </c>
      <c r="B55" s="480">
        <f>'Monthly Electricity (Overview)'!B133-'Monthly Electricity (Overview)'!E133-SUM('Monthly Electricity (Overview)'!I133:L133)-'Monthly Electricity (Overview)'!N133-SUM('Monthly Electricity (Overview)'!W133:Y133)</f>
        <v>4558456</v>
      </c>
      <c r="C55" s="56">
        <f>'Monthly Electricity (Overview)'!B133-'Monthly Electricity (Overview)'!E133-SUM('Monthly Electricity (Overview)'!I133:N133)-SUM('Monthly Electricity (Overview)'!T133:Y133)</f>
        <v>4292255</v>
      </c>
      <c r="D55" s="517" t="b">
        <f t="shared" si="2"/>
        <v>0</v>
      </c>
      <c r="E55" s="313">
        <f>'Monthly Electricity (Overview)'!I133</f>
        <v>668561</v>
      </c>
      <c r="F55" s="56">
        <f>'Monthly Electricity (Overview)'!I133</f>
        <v>668561</v>
      </c>
      <c r="G55" s="517" t="str">
        <f t="shared" si="3"/>
        <v>/</v>
      </c>
      <c r="H55" s="313">
        <f>'Monthly Electricity (Overview)'!N133</f>
        <v>47641</v>
      </c>
      <c r="I55" s="56">
        <f>'Monthly Electricity (Overview)'!N133</f>
        <v>47641</v>
      </c>
      <c r="J55" s="517" t="str">
        <f t="shared" si="4"/>
        <v>/</v>
      </c>
      <c r="K55" s="313">
        <f>'Monthly Electricity (Overview)'!E133</f>
        <v>439800</v>
      </c>
      <c r="L55" s="56">
        <f>'Monthly Electricity (Overview)'!E133</f>
        <v>439800</v>
      </c>
      <c r="M55" s="517" t="str">
        <f t="shared" si="5"/>
        <v>/</v>
      </c>
      <c r="N55" s="313">
        <f>'Monthly Electricity (Overview)'!J133</f>
        <v>261300</v>
      </c>
      <c r="O55" s="56">
        <f>'Monthly Electricity (Overview)'!J133</f>
        <v>261300</v>
      </c>
      <c r="P55" s="517" t="str">
        <f t="shared" si="6"/>
        <v>/</v>
      </c>
      <c r="Q55" s="313">
        <f>'Monthly Electricity (Overview)'!K133</f>
        <v>39693</v>
      </c>
      <c r="R55" s="56">
        <f>'Monthly Electricity (Overview)'!K133</f>
        <v>39693</v>
      </c>
      <c r="S55" s="517" t="str">
        <f t="shared" si="7"/>
        <v>/</v>
      </c>
      <c r="T55" s="313"/>
      <c r="U55" s="313"/>
      <c r="V55" s="517" t="str">
        <f t="shared" si="8"/>
        <v>/</v>
      </c>
      <c r="W55" s="313">
        <f>'Monthly Electricity (Overview)'!L133</f>
        <v>75231</v>
      </c>
      <c r="X55" s="56">
        <f>'Monthly Electricity (Overview)'!L133</f>
        <v>75231</v>
      </c>
      <c r="Y55" s="517" t="str">
        <f t="shared" si="9"/>
        <v>/</v>
      </c>
      <c r="Z55" s="313">
        <v>42277</v>
      </c>
      <c r="AA55" s="313">
        <f>'Monthly Electricity (Overview)'!X133+'Monthly Electricity (Overview)'!W133+'Monthly Electricity (Overview)'!AC133</f>
        <v>517320</v>
      </c>
      <c r="AB55" s="56">
        <f>SUM('Monthly Electricity (Overview)'!U133:X133)+'Monthly Electricity (Overview)'!AC133</f>
        <v>745548</v>
      </c>
      <c r="AC55" s="517" t="b">
        <f t="shared" si="10"/>
        <v>0</v>
      </c>
      <c r="AD55" s="313">
        <f>'Monthly Electricity (Overview)'!Y133</f>
        <v>634944</v>
      </c>
      <c r="AE55" s="56">
        <f>'Monthly Electricity (Overview)'!Y133</f>
        <v>634944</v>
      </c>
      <c r="AF55" s="517" t="str">
        <f t="shared" si="11"/>
        <v>/</v>
      </c>
      <c r="AG55" s="56">
        <f t="shared" si="15"/>
        <v>7285223</v>
      </c>
      <c r="AH55" s="56">
        <f t="shared" si="16"/>
        <v>7242946</v>
      </c>
      <c r="AI55" s="56">
        <f t="shared" si="12"/>
        <v>7204973</v>
      </c>
      <c r="AJ55" s="517" t="b">
        <f t="shared" si="13"/>
        <v>0</v>
      </c>
      <c r="AK55" s="56">
        <f t="shared" si="14"/>
        <v>37973</v>
      </c>
    </row>
    <row r="56" spans="1:39" ht="17" x14ac:dyDescent="0.2">
      <c r="A56" s="475">
        <v>45658</v>
      </c>
      <c r="B56" s="56">
        <f>'Monthly Electricity (Overview)'!B134-'Monthly Electricity (Overview)'!E134-SUM('Monthly Electricity (Overview)'!I134:L134)-'Monthly Electricity (Overview)'!N134-SUM('Monthly Electricity (Overview)'!W134:Y134)</f>
        <v>4249112</v>
      </c>
      <c r="C56" s="56">
        <f>'Monthly Electricity (Overview)'!B134-'Monthly Electricity (Overview)'!E134-SUM('Monthly Electricity (Overview)'!I134:N134)-SUM('Monthly Electricity (Overview)'!T134:Y134)</f>
        <v>3990668</v>
      </c>
      <c r="D56" s="517" t="b">
        <f t="shared" si="2"/>
        <v>0</v>
      </c>
      <c r="E56" s="56">
        <f>'Monthly Electricity (Overview)'!I134</f>
        <v>529555</v>
      </c>
      <c r="F56" s="56">
        <f>'Monthly Electricity (Overview)'!I134</f>
        <v>529555</v>
      </c>
      <c r="G56" s="517" t="str">
        <f t="shared" si="3"/>
        <v>/</v>
      </c>
      <c r="H56" s="56">
        <f>'Monthly Electricity (Overview)'!N134</f>
        <v>51613</v>
      </c>
      <c r="I56" s="56">
        <f>'Monthly Electricity (Overview)'!N134</f>
        <v>51613</v>
      </c>
      <c r="J56" s="517" t="str">
        <f t="shared" si="4"/>
        <v>/</v>
      </c>
      <c r="K56" s="56">
        <f>'Monthly Electricity (Overview)'!E134</f>
        <v>373437</v>
      </c>
      <c r="L56" s="56">
        <f>'Monthly Electricity (Overview)'!E134</f>
        <v>373437</v>
      </c>
      <c r="M56" s="517" t="str">
        <f t="shared" si="5"/>
        <v>/</v>
      </c>
      <c r="N56" s="56">
        <f>'Monthly Electricity (Overview)'!J134</f>
        <v>214600</v>
      </c>
      <c r="O56" s="56">
        <f>'Monthly Electricity (Overview)'!J134</f>
        <v>214600</v>
      </c>
      <c r="P56" s="517" t="str">
        <f t="shared" si="6"/>
        <v>/</v>
      </c>
      <c r="Q56" s="56">
        <f>'Monthly Electricity (Overview)'!K134</f>
        <v>47528</v>
      </c>
      <c r="R56" s="56">
        <f>'Monthly Electricity (Overview)'!K134</f>
        <v>47528</v>
      </c>
      <c r="S56" s="517" t="str">
        <f t="shared" si="7"/>
        <v>/</v>
      </c>
      <c r="T56" s="56"/>
      <c r="U56" s="56"/>
      <c r="V56" s="517" t="str">
        <f t="shared" si="8"/>
        <v>/</v>
      </c>
      <c r="W56" s="56">
        <f>'Monthly Electricity (Overview)'!L134</f>
        <v>83004</v>
      </c>
      <c r="X56" s="56">
        <f>'Monthly Electricity (Overview)'!L134</f>
        <v>83004</v>
      </c>
      <c r="Y56" s="517" t="str">
        <f t="shared" si="9"/>
        <v>/</v>
      </c>
      <c r="Z56" s="56">
        <v>42652</v>
      </c>
      <c r="AA56" s="56">
        <f>'Monthly Electricity (Overview)'!X134+'Monthly Electricity (Overview)'!W134+'Monthly Electricity (Overview)'!AC134</f>
        <v>342300</v>
      </c>
      <c r="AB56" s="56">
        <f>SUM('Monthly Electricity (Overview)'!U134:X134)+'Monthly Electricity (Overview)'!AC134</f>
        <v>571913</v>
      </c>
      <c r="AC56" s="517" t="b">
        <f t="shared" si="10"/>
        <v>0</v>
      </c>
      <c r="AD56" s="56">
        <f>'Monthly Electricity (Overview)'!Y134</f>
        <v>580333</v>
      </c>
      <c r="AE56" s="56">
        <f>'Monthly Electricity (Overview)'!Y134</f>
        <v>580333</v>
      </c>
      <c r="AF56" s="517" t="str">
        <f t="shared" si="11"/>
        <v>/</v>
      </c>
      <c r="AG56" s="56">
        <f t="shared" si="15"/>
        <v>6514134</v>
      </c>
      <c r="AH56" s="56">
        <f t="shared" si="16"/>
        <v>6471482</v>
      </c>
      <c r="AI56" s="56">
        <f t="shared" si="12"/>
        <v>6442651</v>
      </c>
      <c r="AJ56" s="517" t="b">
        <f t="shared" si="13"/>
        <v>0</v>
      </c>
      <c r="AK56" s="56">
        <f t="shared" si="14"/>
        <v>28831</v>
      </c>
    </row>
    <row r="57" spans="1:39" ht="17" x14ac:dyDescent="0.2">
      <c r="A57" s="475">
        <v>45689</v>
      </c>
      <c r="B57" s="56">
        <f>'Monthly Electricity (Overview)'!B135-'Monthly Electricity (Overview)'!E135-SUM('Monthly Electricity (Overview)'!I135:L135)-'Monthly Electricity (Overview)'!N135-SUM('Monthly Electricity (Overview)'!W135:Y135)</f>
        <v>4539710</v>
      </c>
      <c r="C57" s="56">
        <f>'Monthly Electricity (Overview)'!B135-'Monthly Electricity (Overview)'!E135-SUM('Monthly Electricity (Overview)'!I135:N135)-SUM('Monthly Electricity (Overview)'!T135:Y135)</f>
        <v>4314918</v>
      </c>
      <c r="D57" s="517" t="b">
        <f t="shared" si="2"/>
        <v>0</v>
      </c>
      <c r="E57" s="56">
        <f>'Monthly Electricity (Overview)'!I135</f>
        <v>522670</v>
      </c>
      <c r="F57" s="56">
        <f>'Monthly Electricity (Overview)'!I135</f>
        <v>522670</v>
      </c>
      <c r="G57" s="517" t="str">
        <f t="shared" si="3"/>
        <v>/</v>
      </c>
      <c r="H57" s="56">
        <f>'Monthly Electricity (Overview)'!N135</f>
        <v>48514</v>
      </c>
      <c r="I57" s="56">
        <f>'Monthly Electricity (Overview)'!N135</f>
        <v>48514</v>
      </c>
      <c r="J57" s="517" t="str">
        <f t="shared" si="4"/>
        <v>/</v>
      </c>
      <c r="K57" s="56">
        <f>'Monthly Electricity (Overview)'!E135</f>
        <v>416863</v>
      </c>
      <c r="L57" s="56">
        <f>'Monthly Electricity (Overview)'!E135</f>
        <v>416863</v>
      </c>
      <c r="M57" s="517" t="str">
        <f t="shared" si="5"/>
        <v>/</v>
      </c>
      <c r="N57" s="56">
        <f>'Monthly Electricity (Overview)'!J135</f>
        <v>253800</v>
      </c>
      <c r="O57" s="56">
        <f>'Monthly Electricity (Overview)'!J135</f>
        <v>253800</v>
      </c>
      <c r="P57" s="517" t="str">
        <f t="shared" si="6"/>
        <v>/</v>
      </c>
      <c r="Q57" s="56">
        <f>'Monthly Electricity (Overview)'!K135</f>
        <v>46126</v>
      </c>
      <c r="R57" s="56">
        <f>'Monthly Electricity (Overview)'!K135</f>
        <v>46126</v>
      </c>
      <c r="S57" s="517" t="str">
        <f t="shared" si="7"/>
        <v>/</v>
      </c>
      <c r="T57" s="56"/>
      <c r="U57" s="56"/>
      <c r="V57" s="517" t="str">
        <f t="shared" si="8"/>
        <v>/</v>
      </c>
      <c r="W57" s="56">
        <f>'Monthly Electricity (Overview)'!L135</f>
        <v>79071</v>
      </c>
      <c r="X57" s="56">
        <f>'Monthly Electricity (Overview)'!L135</f>
        <v>79071</v>
      </c>
      <c r="Y57" s="517" t="str">
        <f t="shared" si="9"/>
        <v>/</v>
      </c>
      <c r="Z57" s="56">
        <v>46317</v>
      </c>
      <c r="AA57" s="56">
        <f>'Monthly Electricity (Overview)'!X135+'Monthly Electricity (Overview)'!W135+'Monthly Electricity (Overview)'!AC135</f>
        <v>548046</v>
      </c>
      <c r="AB57" s="56">
        <f>SUM('Monthly Electricity (Overview)'!U135:X135)+'Monthly Electricity (Overview)'!AC135</f>
        <v>735245</v>
      </c>
      <c r="AC57" s="517" t="b">
        <f t="shared" si="10"/>
        <v>0</v>
      </c>
      <c r="AD57" s="56">
        <f>'Monthly Electricity (Overview)'!Y135</f>
        <v>678452</v>
      </c>
      <c r="AE57" s="56">
        <f>'Monthly Electricity (Overview)'!Y135</f>
        <v>678452</v>
      </c>
      <c r="AF57" s="517" t="str">
        <f t="shared" si="11"/>
        <v>/</v>
      </c>
      <c r="AG57" s="56">
        <f t="shared" si="15"/>
        <v>7179569</v>
      </c>
      <c r="AH57" s="56">
        <f t="shared" si="16"/>
        <v>7133252</v>
      </c>
      <c r="AI57" s="56">
        <f t="shared" si="12"/>
        <v>7095659</v>
      </c>
      <c r="AJ57" s="517" t="b">
        <f t="shared" si="13"/>
        <v>0</v>
      </c>
      <c r="AK57" s="56">
        <f t="shared" si="14"/>
        <v>37593</v>
      </c>
    </row>
    <row r="58" spans="1:39" ht="17" x14ac:dyDescent="0.2">
      <c r="A58" s="475">
        <v>45717</v>
      </c>
      <c r="B58" s="56">
        <f>'Monthly Electricity (Overview)'!B136-'Monthly Electricity (Overview)'!E136-SUM('Monthly Electricity (Overview)'!I136:L136)-'Monthly Electricity (Overview)'!N136-SUM('Monthly Electricity (Overview)'!W136:Y136)</f>
        <v>4216285</v>
      </c>
      <c r="C58" s="56">
        <f>'Monthly Electricity (Overview)'!B136-'Monthly Electricity (Overview)'!E136-SUM('Monthly Electricity (Overview)'!I136:N136)-SUM('Monthly Electricity (Overview)'!T136:Y136)</f>
        <v>3931773</v>
      </c>
      <c r="D58" s="517" t="b">
        <f t="shared" si="2"/>
        <v>0</v>
      </c>
      <c r="E58" s="56">
        <f>'Monthly Electricity (Overview)'!I136</f>
        <v>869960</v>
      </c>
      <c r="F58" s="56">
        <f>'Monthly Electricity (Overview)'!I136</f>
        <v>869960</v>
      </c>
      <c r="G58" s="517" t="str">
        <f t="shared" si="3"/>
        <v>/</v>
      </c>
      <c r="H58" s="56">
        <f>'Monthly Electricity (Overview)'!N136</f>
        <v>66365</v>
      </c>
      <c r="I58" s="56">
        <f>'Monthly Electricity (Overview)'!N136</f>
        <v>66365</v>
      </c>
      <c r="J58" s="517" t="str">
        <f t="shared" si="4"/>
        <v>/</v>
      </c>
      <c r="K58" s="56">
        <f>'Monthly Electricity (Overview)'!E136</f>
        <v>380900</v>
      </c>
      <c r="L58" s="56">
        <f>'Monthly Electricity (Overview)'!E136</f>
        <v>380900</v>
      </c>
      <c r="M58" s="517" t="str">
        <f t="shared" si="5"/>
        <v>/</v>
      </c>
      <c r="N58" s="56">
        <f>'Monthly Electricity (Overview)'!J136</f>
        <v>224600</v>
      </c>
      <c r="O58" s="56">
        <f>'Monthly Electricity (Overview)'!J136</f>
        <v>224600</v>
      </c>
      <c r="P58" s="517" t="str">
        <f t="shared" si="6"/>
        <v>/</v>
      </c>
      <c r="Q58" s="56">
        <f>'Monthly Electricity (Overview)'!K136</f>
        <v>44236</v>
      </c>
      <c r="R58" s="56">
        <f>'Monthly Electricity (Overview)'!K136</f>
        <v>44236</v>
      </c>
      <c r="S58" s="517" t="str">
        <f t="shared" si="7"/>
        <v>/</v>
      </c>
      <c r="T58" s="56"/>
      <c r="U58" s="56"/>
      <c r="V58" s="517" t="str">
        <f t="shared" si="8"/>
        <v>/</v>
      </c>
      <c r="W58" s="56">
        <f>'Monthly Electricity (Overview)'!L136</f>
        <v>76787</v>
      </c>
      <c r="X58" s="56">
        <f>'Monthly Electricity (Overview)'!L136</f>
        <v>76787</v>
      </c>
      <c r="Y58" s="517" t="str">
        <f t="shared" si="9"/>
        <v>/</v>
      </c>
      <c r="Z58" s="56">
        <v>40747</v>
      </c>
      <c r="AA58" s="56">
        <f>'Monthly Electricity (Overview)'!X136+'Monthly Electricity (Overview)'!W136+'Monthly Electricity (Overview)'!AC136</f>
        <v>505313</v>
      </c>
      <c r="AB58" s="56">
        <f>SUM('Monthly Electricity (Overview)'!U136:X136)+'Monthly Electricity (Overview)'!AC136</f>
        <v>768255</v>
      </c>
      <c r="AC58" s="517" t="b">
        <f t="shared" si="10"/>
        <v>0</v>
      </c>
      <c r="AD58" s="56">
        <f>'Monthly Electricity (Overview)'!Y136</f>
        <v>638008</v>
      </c>
      <c r="AE58" s="56">
        <f>'Monthly Electricity (Overview)'!Y136</f>
        <v>638008</v>
      </c>
      <c r="AF58" s="517" t="str">
        <f t="shared" si="11"/>
        <v>/</v>
      </c>
      <c r="AG58" s="56">
        <f t="shared" si="15"/>
        <v>7063201</v>
      </c>
      <c r="AH58" s="56">
        <f t="shared" si="16"/>
        <v>7022454</v>
      </c>
      <c r="AI58" s="56">
        <f t="shared" si="12"/>
        <v>7000884</v>
      </c>
      <c r="AJ58" s="517" t="b">
        <f t="shared" si="13"/>
        <v>0</v>
      </c>
      <c r="AK58" s="56">
        <f t="shared" si="14"/>
        <v>21570</v>
      </c>
    </row>
    <row r="59" spans="1:39" ht="17" x14ac:dyDescent="0.2">
      <c r="A59" s="475">
        <v>45748</v>
      </c>
      <c r="B59" s="56">
        <f>'Monthly Electricity (Overview)'!B137-'Monthly Electricity (Overview)'!E137-SUM('Monthly Electricity (Overview)'!I137:L137)-'Monthly Electricity (Overview)'!N137-SUM('Monthly Electricity (Overview)'!W137:Y137)</f>
        <v>5168650</v>
      </c>
      <c r="C59" s="56">
        <f>'Monthly Electricity (Overview)'!B137-'Monthly Electricity (Overview)'!E137-SUM('Monthly Electricity (Overview)'!I137:N137)-SUM('Monthly Electricity (Overview)'!T137:Y137)</f>
        <v>4845967</v>
      </c>
      <c r="D59" s="517" t="b">
        <f t="shared" si="2"/>
        <v>0</v>
      </c>
      <c r="E59" s="56">
        <f>'Monthly Electricity (Overview)'!I137</f>
        <v>1232583</v>
      </c>
      <c r="F59" s="56">
        <f>'Monthly Electricity (Overview)'!I137</f>
        <v>1232583</v>
      </c>
      <c r="G59" s="517" t="str">
        <f t="shared" si="3"/>
        <v>/</v>
      </c>
      <c r="H59" s="56">
        <f>'Monthly Electricity (Overview)'!N137</f>
        <v>81173</v>
      </c>
      <c r="I59" s="56">
        <f>'Monthly Electricity (Overview)'!N137</f>
        <v>81173</v>
      </c>
      <c r="J59" s="517" t="str">
        <f t="shared" si="4"/>
        <v>/</v>
      </c>
      <c r="K59" s="56">
        <f>'Monthly Electricity (Overview)'!E137</f>
        <v>428000</v>
      </c>
      <c r="L59" s="56">
        <f>'Monthly Electricity (Overview)'!E137</f>
        <v>428000</v>
      </c>
      <c r="M59" s="517" t="str">
        <f t="shared" si="5"/>
        <v>/</v>
      </c>
      <c r="N59" s="56">
        <f>'Monthly Electricity (Overview)'!J137</f>
        <v>256600</v>
      </c>
      <c r="O59" s="56">
        <f>'Monthly Electricity (Overview)'!J137</f>
        <v>256600</v>
      </c>
      <c r="P59" s="517" t="str">
        <f t="shared" si="6"/>
        <v>/</v>
      </c>
      <c r="Q59" s="56">
        <f>'Monthly Electricity (Overview)'!K137</f>
        <v>46949</v>
      </c>
      <c r="R59" s="56">
        <f>'Monthly Electricity (Overview)'!K137</f>
        <v>46949</v>
      </c>
      <c r="S59" s="517" t="str">
        <f t="shared" si="7"/>
        <v>/</v>
      </c>
      <c r="T59" s="56"/>
      <c r="U59" s="56"/>
      <c r="V59" s="517" t="str">
        <f t="shared" si="8"/>
        <v>/</v>
      </c>
      <c r="W59" s="56">
        <f>'Monthly Electricity (Overview)'!L137</f>
        <v>86079</v>
      </c>
      <c r="X59" s="56">
        <f>'Monthly Electricity (Overview)'!L137</f>
        <v>86079</v>
      </c>
      <c r="Y59" s="517" t="str">
        <f t="shared" si="9"/>
        <v>/</v>
      </c>
      <c r="Z59" s="56">
        <v>59308</v>
      </c>
      <c r="AA59" s="56">
        <f>'Monthly Electricity (Overview)'!X137+'Monthly Electricity (Overview)'!W137+'Monthly Electricity (Overview)'!AC137</f>
        <v>676338</v>
      </c>
      <c r="AB59" s="56">
        <f>SUM('Monthly Electricity (Overview)'!U137:X137)+'Monthly Electricity (Overview)'!AC137</f>
        <v>977451</v>
      </c>
      <c r="AC59" s="517" t="b">
        <f t="shared" si="10"/>
        <v>0</v>
      </c>
      <c r="AD59" s="56">
        <f>'Monthly Electricity (Overview)'!Y137</f>
        <v>774648</v>
      </c>
      <c r="AE59" s="56">
        <f>'Monthly Electricity (Overview)'!Y137</f>
        <v>774648</v>
      </c>
      <c r="AF59" s="517" t="str">
        <f t="shared" si="11"/>
        <v>/</v>
      </c>
      <c r="AG59" s="56">
        <f t="shared" si="15"/>
        <v>8810328</v>
      </c>
      <c r="AH59" s="56">
        <f t="shared" si="16"/>
        <v>8751020</v>
      </c>
      <c r="AI59" s="56">
        <f t="shared" si="12"/>
        <v>8729450</v>
      </c>
      <c r="AJ59" s="517" t="b">
        <f t="shared" si="13"/>
        <v>0</v>
      </c>
      <c r="AK59" s="56">
        <f t="shared" si="14"/>
        <v>21570</v>
      </c>
    </row>
    <row r="60" spans="1:39" ht="17" x14ac:dyDescent="0.2">
      <c r="A60" s="475">
        <v>45778</v>
      </c>
      <c r="B60" s="56">
        <f>'Monthly Electricity (Overview)'!B138-'Monthly Electricity (Overview)'!E138-SUM('Monthly Electricity (Overview)'!I138:L138)-'Monthly Electricity (Overview)'!N138-SUM('Monthly Electricity (Overview)'!W138:Y138)</f>
        <v>4681774</v>
      </c>
      <c r="C60" s="56">
        <f>'Monthly Electricity (Overview)'!B138-'Monthly Electricity (Overview)'!E138-SUM('Monthly Electricity (Overview)'!I138:N138)-SUM('Monthly Electricity (Overview)'!T138:Y138)</f>
        <v>4272572</v>
      </c>
      <c r="D60" s="517" t="b">
        <f t="shared" si="2"/>
        <v>0</v>
      </c>
      <c r="E60" s="56">
        <f>'Monthly Electricity (Overview)'!I138</f>
        <v>1887473</v>
      </c>
      <c r="F60" s="56">
        <f>'Monthly Electricity (Overview)'!I138</f>
        <v>1887473</v>
      </c>
      <c r="G60" s="517" t="str">
        <f t="shared" si="3"/>
        <v>/</v>
      </c>
      <c r="H60" s="56">
        <f>'Monthly Electricity (Overview)'!N138</f>
        <v>145549</v>
      </c>
      <c r="I60" s="56">
        <f>'Monthly Electricity (Overview)'!N138</f>
        <v>145549</v>
      </c>
      <c r="J60" s="517" t="str">
        <f t="shared" si="4"/>
        <v>/</v>
      </c>
      <c r="K60" s="56">
        <f>'Monthly Electricity (Overview)'!E138</f>
        <v>398200</v>
      </c>
      <c r="L60" s="56">
        <f>'Monthly Electricity (Overview)'!E138</f>
        <v>398200</v>
      </c>
      <c r="M60" s="517" t="str">
        <f t="shared" si="5"/>
        <v>/</v>
      </c>
      <c r="N60" s="56">
        <f>'Monthly Electricity (Overview)'!J138</f>
        <v>234700</v>
      </c>
      <c r="O60" s="56">
        <f>'Monthly Electricity (Overview)'!J138</f>
        <v>234700</v>
      </c>
      <c r="P60" s="517" t="str">
        <f t="shared" si="6"/>
        <v>/</v>
      </c>
      <c r="Q60" s="56">
        <f>'Monthly Electricity (Overview)'!K138</f>
        <v>57670</v>
      </c>
      <c r="R60" s="56">
        <f>'Monthly Electricity (Overview)'!K138</f>
        <v>57670</v>
      </c>
      <c r="S60" s="517" t="str">
        <f t="shared" si="7"/>
        <v>/</v>
      </c>
      <c r="T60" s="56"/>
      <c r="U60" s="56"/>
      <c r="V60" s="517" t="str">
        <f t="shared" si="8"/>
        <v>/</v>
      </c>
      <c r="W60" s="56">
        <f>'Monthly Electricity (Overview)'!L138</f>
        <v>128987</v>
      </c>
      <c r="X60" s="56">
        <f>'Monthly Electricity (Overview)'!L138</f>
        <v>128987</v>
      </c>
      <c r="Y60" s="517" t="str">
        <f t="shared" si="9"/>
        <v>/</v>
      </c>
      <c r="Z60" s="56">
        <v>69996</v>
      </c>
      <c r="AA60" s="56">
        <f>'Monthly Electricity (Overview)'!X138+'Monthly Electricity (Overview)'!W138+'Monthly Electricity (Overview)'!AC138</f>
        <v>882544</v>
      </c>
      <c r="AB60" s="56">
        <f>SUM('Monthly Electricity (Overview)'!U138:X138)+'Monthly Electricity (Overview)'!AC138</f>
        <v>1269457</v>
      </c>
      <c r="AC60" s="517" t="b">
        <f t="shared" si="10"/>
        <v>0</v>
      </c>
      <c r="AD60" s="56">
        <f>'Monthly Electricity (Overview)'!Y138</f>
        <v>870121</v>
      </c>
      <c r="AE60" s="56">
        <f>'Monthly Electricity (Overview)'!Y138</f>
        <v>870121</v>
      </c>
      <c r="AF60" s="517" t="str">
        <f t="shared" si="11"/>
        <v>/</v>
      </c>
      <c r="AG60" s="56">
        <f t="shared" si="15"/>
        <v>9357014</v>
      </c>
      <c r="AH60" s="56">
        <f t="shared" si="16"/>
        <v>9287018</v>
      </c>
      <c r="AI60" s="56">
        <f t="shared" si="12"/>
        <v>9264729</v>
      </c>
      <c r="AJ60" s="517" t="b">
        <f t="shared" si="13"/>
        <v>0</v>
      </c>
      <c r="AK60" s="56">
        <f t="shared" si="14"/>
        <v>22289</v>
      </c>
    </row>
    <row r="61" spans="1:39" ht="17" x14ac:dyDescent="0.2">
      <c r="A61" s="475">
        <v>45809</v>
      </c>
      <c r="B61" s="56">
        <f>'Monthly Electricity (Overview)'!C139+'Monthly Electricity (Overview)'!D139+'Monthly Electricity (Overview)'!F139+'Monthly Electricity (Overview)'!G139+'Monthly Electricity (Overview)'!H139+'Monthly Electricity (Overview)'!O139+'Monthly Electricity (Overview)'!P139+'Monthly Electricity (Overview)'!Q139</f>
        <v>4515871</v>
      </c>
      <c r="C61" s="56">
        <f>'Monthly Electricity (Overview)'!B139-'Monthly Electricity (Overview)'!E139-SUM('Monthly Electricity (Overview)'!I139:N139)-SUM('Monthly Electricity (Overview)'!T139:Y139)</f>
        <v>4552277</v>
      </c>
      <c r="D61" s="517" t="b">
        <f t="shared" si="2"/>
        <v>0</v>
      </c>
      <c r="E61" s="56">
        <f>'Monthly Electricity (Overview)'!I139</f>
        <v>2251997</v>
      </c>
      <c r="F61" s="56">
        <f>'Monthly Electricity (Overview)'!I139</f>
        <v>2251997</v>
      </c>
      <c r="G61" s="517" t="str">
        <f t="shared" si="3"/>
        <v>/</v>
      </c>
      <c r="H61" s="56">
        <f>'Monthly Electricity (Overview)'!N139</f>
        <v>189802</v>
      </c>
      <c r="I61" s="56">
        <f>'Monthly Electricity (Overview)'!N139</f>
        <v>189802</v>
      </c>
      <c r="J61" s="517" t="str">
        <f t="shared" si="4"/>
        <v>/</v>
      </c>
      <c r="K61" s="56">
        <f>'Monthly Electricity (Overview)'!E139</f>
        <v>403500</v>
      </c>
      <c r="L61" s="56">
        <f>'Monthly Electricity (Overview)'!E139</f>
        <v>403500</v>
      </c>
      <c r="M61" s="517" t="str">
        <f t="shared" si="5"/>
        <v>/</v>
      </c>
      <c r="N61" s="56">
        <f>'Monthly Electricity (Overview)'!J139</f>
        <v>231300</v>
      </c>
      <c r="O61" s="56">
        <f>'Monthly Electricity (Overview)'!J139</f>
        <v>231300</v>
      </c>
      <c r="P61" s="517" t="str">
        <f t="shared" si="6"/>
        <v>/</v>
      </c>
      <c r="Q61" s="56">
        <f>'Monthly Electricity (Overview)'!K139</f>
        <v>56296</v>
      </c>
      <c r="R61" s="56">
        <f>'Monthly Electricity (Overview)'!K139</f>
        <v>56296</v>
      </c>
      <c r="S61" s="517" t="str">
        <f t="shared" si="7"/>
        <v>/</v>
      </c>
      <c r="T61" s="56"/>
      <c r="U61" s="56"/>
      <c r="V61" s="517" t="str">
        <f t="shared" si="8"/>
        <v>/</v>
      </c>
      <c r="W61" s="56">
        <f>'Monthly Electricity (Overview)'!L139</f>
        <v>128696</v>
      </c>
      <c r="X61" s="56">
        <f>'Monthly Electricity (Overview)'!L139</f>
        <v>128696</v>
      </c>
      <c r="Y61" s="517" t="str">
        <f t="shared" si="9"/>
        <v>/</v>
      </c>
      <c r="Z61" s="56">
        <v>80365</v>
      </c>
      <c r="AA61" s="56">
        <f>'Monthly Electricity (Overview)'!X139+'Monthly Electricity (Overview)'!W139+'Monthly Electricity (Overview)'!AC139</f>
        <v>783446</v>
      </c>
      <c r="AB61" s="56">
        <f>SUM('Monthly Electricity (Overview)'!U139:X139)+'Monthly Electricity (Overview)'!AC139</f>
        <v>1207588</v>
      </c>
      <c r="AC61" s="517" t="b">
        <f t="shared" si="10"/>
        <v>0</v>
      </c>
      <c r="AD61" s="56">
        <f>'Monthly Electricity (Overview)'!Y139</f>
        <v>961009</v>
      </c>
      <c r="AE61" s="56">
        <f>'Monthly Electricity (Overview)'!Y139</f>
        <v>961009</v>
      </c>
      <c r="AF61" s="517" t="str">
        <f t="shared" si="11"/>
        <v>/</v>
      </c>
      <c r="AG61" s="56">
        <f t="shared" si="15"/>
        <v>9602282</v>
      </c>
      <c r="AH61" s="56">
        <f t="shared" si="16"/>
        <v>9521917</v>
      </c>
      <c r="AI61" s="56">
        <f t="shared" si="12"/>
        <v>9982465</v>
      </c>
      <c r="AJ61" s="517" t="b">
        <f t="shared" si="13"/>
        <v>0</v>
      </c>
      <c r="AK61" s="56">
        <f t="shared" si="14"/>
        <v>-460548</v>
      </c>
      <c r="AL61" s="56"/>
      <c r="AM61" s="56"/>
    </row>
    <row r="62" spans="1:39" ht="15.75" customHeight="1" x14ac:dyDescent="0.2">
      <c r="A62" s="475">
        <v>45839</v>
      </c>
      <c r="B62" s="56">
        <f>'Monthly Electricity (Overview)'!C140+'Monthly Electricity (Overview)'!D140+'Monthly Electricity (Overview)'!F140+'Monthly Electricity (Overview)'!G140+'Monthly Electricity (Overview)'!H140+'Monthly Electricity (Overview)'!O140+'Monthly Electricity (Overview)'!P140+'Monthly Electricity (Overview)'!Q140</f>
        <v>4222820</v>
      </c>
      <c r="C62" s="56">
        <f>'Monthly Electricity (Overview)'!B140-'Monthly Electricity (Overview)'!E140-SUM('Monthly Electricity (Overview)'!I140:N140)-SUM('Monthly Electricity (Overview)'!T140:Y140)</f>
        <v>4252759</v>
      </c>
      <c r="D62" s="517" t="b">
        <f t="shared" si="2"/>
        <v>0</v>
      </c>
      <c r="E62" s="56">
        <f>'Monthly Electricity (Overview)'!I140</f>
        <v>2504159</v>
      </c>
      <c r="F62" s="56">
        <f>'Monthly Electricity (Overview)'!I140</f>
        <v>2504159</v>
      </c>
      <c r="G62" s="517" t="str">
        <f t="shared" si="3"/>
        <v>/</v>
      </c>
      <c r="H62" s="56">
        <f>'Monthly Electricity (Overview)'!N140</f>
        <v>265504</v>
      </c>
      <c r="I62" s="56">
        <f>'Monthly Electricity (Overview)'!N140</f>
        <v>265504</v>
      </c>
      <c r="J62" s="517" t="str">
        <f t="shared" si="4"/>
        <v>/</v>
      </c>
      <c r="K62" s="56">
        <f>'Monthly Electricity (Overview)'!E140</f>
        <v>413100</v>
      </c>
      <c r="L62" s="56">
        <f>'Monthly Electricity (Overview)'!E140</f>
        <v>413100</v>
      </c>
      <c r="M62" s="517" t="str">
        <f t="shared" si="5"/>
        <v>/</v>
      </c>
      <c r="N62" s="56">
        <f>'Monthly Electricity (Overview)'!J140</f>
        <v>221700</v>
      </c>
      <c r="O62" s="56">
        <f>'Monthly Electricity (Overview)'!J140</f>
        <v>221700</v>
      </c>
      <c r="P62" s="517" t="str">
        <f t="shared" si="6"/>
        <v>/</v>
      </c>
      <c r="Q62" s="56">
        <f>'Monthly Electricity (Overview)'!K140</f>
        <v>68672</v>
      </c>
      <c r="R62" s="56">
        <f>'Monthly Electricity (Overview)'!K140</f>
        <v>68672</v>
      </c>
      <c r="S62" s="517" t="str">
        <f t="shared" si="7"/>
        <v>/</v>
      </c>
      <c r="T62" s="56">
        <f>'Monthly Electricity (Overview)'!T140</f>
        <v>22289</v>
      </c>
      <c r="U62" s="56">
        <f>'Monthly Electricity (Overview)'!T140</f>
        <v>22289</v>
      </c>
      <c r="V62" s="517" t="str">
        <f t="shared" si="8"/>
        <v>/</v>
      </c>
      <c r="W62" s="56">
        <f>'Monthly Electricity (Overview)'!L140</f>
        <v>145108</v>
      </c>
      <c r="X62" s="56">
        <f>'Monthly Electricity (Overview)'!L140</f>
        <v>145108</v>
      </c>
      <c r="Y62" s="517" t="str">
        <f t="shared" si="9"/>
        <v>/</v>
      </c>
      <c r="Z62" s="56"/>
      <c r="AA62" s="56">
        <f>'Monthly Electricity (Overview)'!X140+'Monthly Electricity (Overview)'!W140+'Monthly Electricity (Overview)'!AC140</f>
        <v>852406</v>
      </c>
      <c r="AB62" s="56">
        <f>SUM('Monthly Electricity (Overview)'!U140:X140)+'Monthly Electricity (Overview)'!AC140</f>
        <v>1319319</v>
      </c>
      <c r="AC62" s="517" t="b">
        <f t="shared" si="10"/>
        <v>0</v>
      </c>
      <c r="AD62" s="56">
        <f>'Monthly Electricity (Overview)'!Y140</f>
        <v>979848</v>
      </c>
      <c r="AE62" s="56">
        <f>'Monthly Electricity (Overview)'!Y140</f>
        <v>979848</v>
      </c>
      <c r="AF62" s="517" t="str">
        <f t="shared" si="11"/>
        <v>/</v>
      </c>
      <c r="AG62" s="56">
        <f t="shared" si="15"/>
        <v>9673317</v>
      </c>
      <c r="AH62" s="56">
        <f t="shared" si="16"/>
        <v>9673317</v>
      </c>
      <c r="AI62" s="56">
        <f>SUM(C62,F62,I62,L62,O62,R62,U62,X62,AB62, AE62)</f>
        <v>10192458</v>
      </c>
      <c r="AJ62" s="517" t="b">
        <f t="shared" si="13"/>
        <v>0</v>
      </c>
      <c r="AK62" s="56">
        <f>AH62-AI62</f>
        <v>-519141</v>
      </c>
    </row>
    <row r="63" spans="1:39" ht="15.75" customHeight="1" x14ac:dyDescent="0.2">
      <c r="A63" s="475">
        <v>45870</v>
      </c>
      <c r="B63" s="56">
        <f>'Monthly Electricity (Overview)'!C141+'Monthly Electricity (Overview)'!D141+'Monthly Electricity (Overview)'!F141+'Monthly Electricity (Overview)'!G141+'Monthly Electricity (Overview)'!H141+'Monthly Electricity (Overview)'!O141+'Monthly Electricity (Overview)'!P141+'Monthly Electricity (Overview)'!Q141</f>
        <v>4271993</v>
      </c>
      <c r="C63" s="56">
        <f>'Monthly Electricity (Overview)'!B141-'Monthly Electricity (Overview)'!E141-SUM('Monthly Electricity (Overview)'!I141:N141)-SUM('Monthly Electricity (Overview)'!T141:Y141)</f>
        <v>4304765</v>
      </c>
      <c r="D63" s="517" t="b">
        <f t="shared" si="2"/>
        <v>0</v>
      </c>
      <c r="E63" s="56">
        <f>'Monthly Electricity (Overview)'!I141</f>
        <v>2414329</v>
      </c>
      <c r="F63" s="56">
        <f>'Monthly Electricity (Overview)'!I141</f>
        <v>2414329</v>
      </c>
      <c r="G63" s="517" t="str">
        <f t="shared" si="3"/>
        <v>/</v>
      </c>
      <c r="H63" s="56">
        <f>'Monthly Electricity (Overview)'!N141</f>
        <v>300733</v>
      </c>
      <c r="I63" s="56">
        <f>'Monthly Electricity (Overview)'!N141</f>
        <v>300733</v>
      </c>
      <c r="J63" s="517" t="str">
        <f t="shared" si="4"/>
        <v>/</v>
      </c>
      <c r="K63" s="56">
        <f>'Monthly Electricity (Overview)'!E141</f>
        <v>404500</v>
      </c>
      <c r="L63" s="56">
        <f>'Monthly Electricity (Overview)'!E141</f>
        <v>404500</v>
      </c>
      <c r="M63" s="517" t="str">
        <f t="shared" si="5"/>
        <v>/</v>
      </c>
      <c r="N63" s="56">
        <f>'Monthly Electricity (Overview)'!J141</f>
        <v>222500</v>
      </c>
      <c r="O63" s="56">
        <f>'Monthly Electricity (Overview)'!J141</f>
        <v>222500</v>
      </c>
      <c r="P63" s="517" t="str">
        <f t="shared" si="6"/>
        <v>/</v>
      </c>
      <c r="Q63" s="56">
        <f>'Monthly Electricity (Overview)'!K141</f>
        <v>77608</v>
      </c>
      <c r="R63" s="56">
        <f>'Monthly Electricity (Overview)'!K141</f>
        <v>77608</v>
      </c>
      <c r="S63" s="517" t="str">
        <f t="shared" si="7"/>
        <v>/</v>
      </c>
      <c r="T63" s="56">
        <f>'Monthly Electricity (Overview)'!T141</f>
        <v>23886</v>
      </c>
      <c r="U63" s="56">
        <f>'Monthly Electricity (Overview)'!T141</f>
        <v>23886</v>
      </c>
      <c r="V63" s="517" t="str">
        <f t="shared" si="8"/>
        <v>/</v>
      </c>
      <c r="W63" s="56">
        <f>'Monthly Electricity (Overview)'!L141</f>
        <v>173834</v>
      </c>
      <c r="X63" s="56">
        <f>'Monthly Electricity (Overview)'!L141</f>
        <v>173834</v>
      </c>
      <c r="Y63" s="517" t="str">
        <f t="shared" si="9"/>
        <v>/</v>
      </c>
      <c r="Z63" s="56"/>
      <c r="AA63" s="56">
        <f>'Monthly Electricity (Overview)'!X141+'Monthly Electricity (Overview)'!W141+'Monthly Electricity (Overview)'!AC141</f>
        <v>757636</v>
      </c>
      <c r="AB63" s="56">
        <f>SUM('Monthly Electricity (Overview)'!U141:X141)+'Monthly Electricity (Overview)'!AC141</f>
        <v>1185625</v>
      </c>
      <c r="AC63" s="517" t="b">
        <f t="shared" si="10"/>
        <v>0</v>
      </c>
      <c r="AD63" s="56">
        <f>'Monthly Electricity (Overview)'!Y141</f>
        <v>946647</v>
      </c>
      <c r="AE63" s="56">
        <f>'Monthly Electricity (Overview)'!Y141</f>
        <v>946647</v>
      </c>
      <c r="AF63" s="517" t="str">
        <f t="shared" si="11"/>
        <v>/</v>
      </c>
      <c r="AG63" s="56">
        <f t="shared" si="15"/>
        <v>9569780</v>
      </c>
      <c r="AH63" s="56">
        <f t="shared" si="16"/>
        <v>9569780</v>
      </c>
      <c r="AI63" s="56">
        <f t="shared" si="12"/>
        <v>10054427</v>
      </c>
      <c r="AJ63" s="517" t="b">
        <f t="shared" si="13"/>
        <v>0</v>
      </c>
      <c r="AK63" s="56">
        <f t="shared" si="14"/>
        <v>-484647</v>
      </c>
    </row>
    <row r="64" spans="1:39" ht="15.75" customHeight="1" x14ac:dyDescent="0.2">
      <c r="A64" s="475">
        <v>45901</v>
      </c>
      <c r="B64" s="56">
        <f>'Monthly Electricity (Overview)'!C142+'Monthly Electricity (Overview)'!D142+'Monthly Electricity (Overview)'!F142+'Monthly Electricity (Overview)'!G142+'Monthly Electricity (Overview)'!H142+'Monthly Electricity (Overview)'!O142+'Monthly Electricity (Overview)'!P142+'Monthly Electricity (Overview)'!Q142</f>
        <v>5010518</v>
      </c>
      <c r="C64" s="56">
        <f>'Monthly Electricity (Overview)'!B142-'Monthly Electricity (Overview)'!E142-SUM('Monthly Electricity (Overview)'!I142:N142)-SUM('Monthly Electricity (Overview)'!T142:Y142)</f>
        <v>5063748</v>
      </c>
      <c r="D64" s="517" t="b">
        <f t="shared" si="2"/>
        <v>0</v>
      </c>
      <c r="E64" s="56">
        <f>'Monthly Electricity (Overview)'!I142</f>
        <v>2405351</v>
      </c>
      <c r="F64" s="56">
        <f>'Monthly Electricity (Overview)'!I142</f>
        <v>2405351</v>
      </c>
      <c r="G64" s="517" t="str">
        <f t="shared" si="3"/>
        <v>/</v>
      </c>
      <c r="H64" s="56">
        <f>'Monthly Electricity (Overview)'!N142</f>
        <v>268527</v>
      </c>
      <c r="I64" s="56">
        <f>'Monthly Electricity (Overview)'!N142</f>
        <v>268527</v>
      </c>
      <c r="J64" s="517" t="str">
        <f t="shared" si="4"/>
        <v>/</v>
      </c>
      <c r="K64" s="56">
        <f>'Monthly Electricity (Overview)'!E142</f>
        <v>440900</v>
      </c>
      <c r="L64" s="56">
        <f>'Monthly Electricity (Overview)'!E142</f>
        <v>440900</v>
      </c>
      <c r="M64" s="517" t="str">
        <f t="shared" si="5"/>
        <v>/</v>
      </c>
      <c r="N64" s="56">
        <f>'Monthly Electricity (Overview)'!J142</f>
        <v>243800</v>
      </c>
      <c r="O64" s="56">
        <f>'Monthly Electricity (Overview)'!J142</f>
        <v>243800</v>
      </c>
      <c r="P64" s="517" t="str">
        <f t="shared" si="6"/>
        <v>/</v>
      </c>
      <c r="Q64" s="56">
        <f>'Monthly Electricity (Overview)'!K142</f>
        <v>66523</v>
      </c>
      <c r="R64" s="56">
        <f>'Monthly Electricity (Overview)'!K142</f>
        <v>66523</v>
      </c>
      <c r="S64" s="517" t="str">
        <f t="shared" si="7"/>
        <v>/</v>
      </c>
      <c r="T64" s="56">
        <f>'Monthly Electricity (Overview)'!T142</f>
        <v>35948</v>
      </c>
      <c r="U64" s="56">
        <f>'Monthly Electricity (Overview)'!T142</f>
        <v>35948</v>
      </c>
      <c r="V64" s="517" t="str">
        <f t="shared" si="8"/>
        <v>/</v>
      </c>
      <c r="W64" s="56">
        <f>'Monthly Electricity (Overview)'!L142</f>
        <v>142935</v>
      </c>
      <c r="X64" s="56">
        <f>'Monthly Electricity (Overview)'!L142</f>
        <v>142935</v>
      </c>
      <c r="Y64" s="517" t="str">
        <f t="shared" si="9"/>
        <v>/</v>
      </c>
      <c r="Z64" s="56"/>
      <c r="AA64" s="56">
        <f>'Monthly Electricity (Overview)'!X142+'Monthly Electricity (Overview)'!W142+'Monthly Electricity (Overview)'!AC142</f>
        <v>1086083</v>
      </c>
      <c r="AB64" s="56">
        <f>SUM('Monthly Electricity (Overview)'!U142:X142)+'Monthly Electricity (Overview)'!AC142</f>
        <v>1583871</v>
      </c>
      <c r="AC64" s="517" t="b">
        <f t="shared" si="10"/>
        <v>0</v>
      </c>
      <c r="AD64" s="56">
        <f>'Monthly Electricity (Overview)'!Y142</f>
        <v>1079806</v>
      </c>
      <c r="AE64" s="56">
        <f>'Monthly Electricity (Overview)'!Y142</f>
        <v>1079806</v>
      </c>
      <c r="AF64" s="517" t="str">
        <f t="shared" si="11"/>
        <v>/</v>
      </c>
      <c r="AG64" s="56">
        <f t="shared" si="15"/>
        <v>10744443</v>
      </c>
      <c r="AH64" s="56">
        <f t="shared" si="16"/>
        <v>10744443</v>
      </c>
      <c r="AI64" s="56">
        <f t="shared" si="12"/>
        <v>11331409</v>
      </c>
      <c r="AJ64" s="517" t="b">
        <f t="shared" si="13"/>
        <v>0</v>
      </c>
      <c r="AK64" s="56">
        <f t="shared" si="14"/>
        <v>-586966</v>
      </c>
    </row>
    <row r="65" spans="1:28" ht="15.75" customHeight="1" x14ac:dyDescent="0.2">
      <c r="A65" s="475">
        <v>45931</v>
      </c>
    </row>
    <row r="66" spans="1:28" ht="15.75" customHeight="1" x14ac:dyDescent="0.2">
      <c r="A66" s="475">
        <v>45962</v>
      </c>
      <c r="AB66" s="56"/>
    </row>
    <row r="67" spans="1:28" ht="15.75" customHeight="1" x14ac:dyDescent="0.2">
      <c r="A67" s="475">
        <v>45992</v>
      </c>
      <c r="AB67" s="56"/>
    </row>
    <row r="68" spans="1:28" ht="15.75" customHeight="1" x14ac:dyDescent="0.2">
      <c r="A68" s="512">
        <v>46023</v>
      </c>
      <c r="AB68" s="56"/>
    </row>
    <row r="69" spans="1:28" ht="15.75" customHeight="1" x14ac:dyDescent="0.2">
      <c r="A69" s="512">
        <v>46054</v>
      </c>
    </row>
    <row r="70" spans="1:28" ht="15.75" customHeight="1" x14ac:dyDescent="0.2">
      <c r="A70" s="512">
        <v>46082</v>
      </c>
    </row>
    <row r="71" spans="1:28" ht="15.75" customHeight="1" x14ac:dyDescent="0.2">
      <c r="A71" s="512">
        <v>46113</v>
      </c>
    </row>
    <row r="72" spans="1:28" ht="15.75" customHeight="1" x14ac:dyDescent="0.2">
      <c r="A72" s="512">
        <v>46143</v>
      </c>
    </row>
    <row r="73" spans="1:28" ht="15.75" customHeight="1" x14ac:dyDescent="0.2">
      <c r="A73" s="512">
        <v>46174</v>
      </c>
    </row>
  </sheetData>
  <conditionalFormatting sqref="D2:D64">
    <cfRule type="cellIs" dxfId="11" priority="1" operator="equal">
      <formula>"/"</formula>
    </cfRule>
  </conditionalFormatting>
  <conditionalFormatting sqref="G2:G64">
    <cfRule type="cellIs" dxfId="10" priority="12" operator="equal">
      <formula>"/"</formula>
    </cfRule>
  </conditionalFormatting>
  <conditionalFormatting sqref="J2:J64">
    <cfRule type="cellIs" dxfId="9" priority="11" operator="equal">
      <formula>"/"</formula>
    </cfRule>
  </conditionalFormatting>
  <conditionalFormatting sqref="M2:M64">
    <cfRule type="cellIs" dxfId="8" priority="10" operator="equal">
      <formula>"/"</formula>
    </cfRule>
  </conditionalFormatting>
  <conditionalFormatting sqref="P2:P64">
    <cfRule type="cellIs" dxfId="7" priority="9" operator="equal">
      <formula>"/"</formula>
    </cfRule>
  </conditionalFormatting>
  <conditionalFormatting sqref="S2:S64">
    <cfRule type="cellIs" dxfId="6" priority="8" operator="equal">
      <formula>"/"</formula>
    </cfRule>
  </conditionalFormatting>
  <conditionalFormatting sqref="V2:V64">
    <cfRule type="cellIs" dxfId="5" priority="7" operator="equal">
      <formula>"/"</formula>
    </cfRule>
  </conditionalFormatting>
  <conditionalFormatting sqref="Y2:Y64">
    <cfRule type="cellIs" dxfId="4" priority="6" operator="equal">
      <formula>"/"</formula>
    </cfRule>
  </conditionalFormatting>
  <conditionalFormatting sqref="AC2:AC64">
    <cfRule type="cellIs" dxfId="3" priority="2" operator="equal">
      <formula>FALSE</formula>
    </cfRule>
    <cfRule type="cellIs" dxfId="2" priority="5" operator="equal">
      <formula>"/"</formula>
    </cfRule>
  </conditionalFormatting>
  <conditionalFormatting sqref="AF2:AF64">
    <cfRule type="cellIs" dxfId="1" priority="4" operator="equal">
      <formula>"/"</formula>
    </cfRule>
  </conditionalFormatting>
  <conditionalFormatting sqref="AJ2:AJ64">
    <cfRule type="cellIs" dxfId="0" priority="3" operator="equal">
      <formula>"/"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C955-98EA-4FC9-AF3D-72CA7A18A8BB}">
  <dimension ref="A1:I37"/>
  <sheetViews>
    <sheetView zoomScaleNormal="100" workbookViewId="0">
      <pane xSplit="1" ySplit="1" topLeftCell="B6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0.6640625" defaultRowHeight="16" x14ac:dyDescent="0.2"/>
  <cols>
    <col min="1" max="1" width="13.33203125" style="94" customWidth="1"/>
    <col min="2" max="2" width="18.33203125" style="8" customWidth="1"/>
    <col min="3" max="3" width="20.6640625" style="8" customWidth="1"/>
    <col min="4" max="6" width="18.33203125" style="8" customWidth="1"/>
    <col min="7" max="7" width="18.33203125" style="92" customWidth="1"/>
    <col min="8" max="8" width="18.33203125" style="8" customWidth="1"/>
    <col min="9" max="9" width="13.1640625" style="8" bestFit="1" customWidth="1"/>
    <col min="10" max="16384" width="10.6640625" style="8"/>
  </cols>
  <sheetData>
    <row r="1" spans="1:9" s="12" customFormat="1" ht="52" thickBot="1" x14ac:dyDescent="0.25">
      <c r="A1" s="93" t="s">
        <v>28</v>
      </c>
      <c r="B1" s="96" t="s">
        <v>121</v>
      </c>
      <c r="C1" s="96" t="s">
        <v>122</v>
      </c>
      <c r="D1" s="96" t="s">
        <v>47</v>
      </c>
      <c r="E1" s="96" t="s">
        <v>123</v>
      </c>
      <c r="F1" s="96" t="s">
        <v>124</v>
      </c>
      <c r="G1" s="96" t="s">
        <v>125</v>
      </c>
      <c r="H1" s="97" t="s">
        <v>126</v>
      </c>
    </row>
    <row r="2" spans="1:9" ht="17" thickBot="1" x14ac:dyDescent="0.25">
      <c r="A2" s="95">
        <v>45108</v>
      </c>
      <c r="B2" s="9">
        <v>2940</v>
      </c>
      <c r="C2" s="9">
        <v>17466</v>
      </c>
      <c r="D2" s="9">
        <v>3771</v>
      </c>
      <c r="E2" s="237">
        <f>446*879/2715900*20833.33</f>
        <v>3007.2438945542913</v>
      </c>
      <c r="F2" s="9">
        <f>SUM(B2:E2)</f>
        <v>27184.243894554293</v>
      </c>
      <c r="G2" s="9">
        <f>F2*48</f>
        <v>1304843.706938606</v>
      </c>
      <c r="H2" s="62">
        <f>G2*0.2777778</f>
        <v>362456.61425725074</v>
      </c>
    </row>
    <row r="3" spans="1:9" ht="17" thickBot="1" x14ac:dyDescent="0.25">
      <c r="A3" s="94">
        <v>45139</v>
      </c>
      <c r="B3" s="9">
        <v>3509</v>
      </c>
      <c r="C3" s="9">
        <v>17722</v>
      </c>
      <c r="D3" s="9">
        <v>3740</v>
      </c>
      <c r="E3" s="238">
        <f>446*859/2715900*20833.33</f>
        <v>2938.8196876247289</v>
      </c>
      <c r="F3" s="9">
        <f t="shared" ref="F3:F13" si="0">SUM(B3:E3)</f>
        <v>27909.819687624728</v>
      </c>
      <c r="G3" s="9">
        <f t="shared" ref="G3:G13" si="1">F3*48</f>
        <v>1339671.345005987</v>
      </c>
      <c r="H3" s="62">
        <f t="shared" ref="H3:H13" si="2">G3*0.2777778</f>
        <v>372130.95893880405</v>
      </c>
    </row>
    <row r="4" spans="1:9" ht="17" thickBot="1" x14ac:dyDescent="0.25">
      <c r="A4" s="94">
        <v>45170</v>
      </c>
      <c r="B4" s="9">
        <v>3140</v>
      </c>
      <c r="C4" s="9">
        <v>14723</v>
      </c>
      <c r="D4" s="9">
        <v>7447</v>
      </c>
      <c r="E4" s="238">
        <f>446*911/2715900*20833.33</f>
        <v>3116.7226256415925</v>
      </c>
      <c r="F4" s="9">
        <f t="shared" si="0"/>
        <v>28426.722625641592</v>
      </c>
      <c r="G4" s="9">
        <f t="shared" si="1"/>
        <v>1364482.6860307965</v>
      </c>
      <c r="H4" s="62">
        <f t="shared" si="2"/>
        <v>379022.99866372539</v>
      </c>
    </row>
    <row r="5" spans="1:9" ht="17" thickBot="1" x14ac:dyDescent="0.25">
      <c r="A5" s="94">
        <v>45200</v>
      </c>
      <c r="B5" s="9">
        <v>2274</v>
      </c>
      <c r="C5" s="9">
        <v>27563</v>
      </c>
      <c r="D5" s="9">
        <v>9859</v>
      </c>
      <c r="E5" s="238">
        <f>444*915/2714700*20833.33</f>
        <v>3117.7473185987401</v>
      </c>
      <c r="F5" s="9">
        <f t="shared" si="0"/>
        <v>42813.74731859874</v>
      </c>
      <c r="G5" s="9">
        <f t="shared" si="1"/>
        <v>2055059.8712927396</v>
      </c>
      <c r="H5" s="62">
        <f t="shared" si="2"/>
        <v>570850.00991598039</v>
      </c>
    </row>
    <row r="6" spans="1:9" ht="17" thickBot="1" x14ac:dyDescent="0.25">
      <c r="A6" s="94">
        <v>45231</v>
      </c>
      <c r="B6" s="9">
        <v>2909</v>
      </c>
      <c r="C6" s="9">
        <v>21260</v>
      </c>
      <c r="D6" s="9">
        <v>11907</v>
      </c>
      <c r="E6" s="238">
        <f>444*1166/2714700*20833.33</f>
        <v>3972.9982223892143</v>
      </c>
      <c r="F6" s="9">
        <f t="shared" si="0"/>
        <v>40048.998222389215</v>
      </c>
      <c r="G6" s="9">
        <f t="shared" si="1"/>
        <v>1922351.9146746823</v>
      </c>
      <c r="H6" s="62">
        <f t="shared" si="2"/>
        <v>533986.68568412098</v>
      </c>
    </row>
    <row r="7" spans="1:9" ht="17" thickBot="1" x14ac:dyDescent="0.25">
      <c r="A7" s="94">
        <v>45261</v>
      </c>
      <c r="B7" s="9">
        <v>2564</v>
      </c>
      <c r="C7" s="9">
        <v>23845</v>
      </c>
      <c r="D7" s="9">
        <v>12557</v>
      </c>
      <c r="E7" s="238">
        <f>444*1350/2714700*20833.33</f>
        <v>4599.9550602276495</v>
      </c>
      <c r="F7" s="9">
        <f>SUM(B7:E7)</f>
        <v>43565.95506022765</v>
      </c>
      <c r="G7" s="9">
        <f t="shared" si="1"/>
        <v>2091165.8428909271</v>
      </c>
      <c r="H7" s="62">
        <f t="shared" si="2"/>
        <v>580879.44727338746</v>
      </c>
    </row>
    <row r="8" spans="1:9" ht="17" thickBot="1" x14ac:dyDescent="0.25">
      <c r="A8" s="94">
        <v>45292</v>
      </c>
      <c r="B8" s="9">
        <v>2862</v>
      </c>
      <c r="C8" s="9">
        <v>15798</v>
      </c>
      <c r="D8" s="9">
        <v>8292</v>
      </c>
      <c r="E8" s="238">
        <f>444*1665/2734600*20833.33</f>
        <v>5631.9928091128504</v>
      </c>
      <c r="F8" s="9">
        <f t="shared" si="0"/>
        <v>32583.992809112849</v>
      </c>
      <c r="G8" s="9">
        <f t="shared" si="1"/>
        <v>1564031.6548374167</v>
      </c>
      <c r="H8" s="62">
        <f t="shared" si="2"/>
        <v>434453.27221109701</v>
      </c>
    </row>
    <row r="9" spans="1:9" ht="17" thickBot="1" x14ac:dyDescent="0.25">
      <c r="A9" s="94">
        <v>45323</v>
      </c>
      <c r="B9" s="9">
        <v>2635</v>
      </c>
      <c r="C9" s="9">
        <v>18709</v>
      </c>
      <c r="D9" s="9">
        <v>13531</v>
      </c>
      <c r="E9" s="238">
        <f>444*1724/2734600*20833.33</f>
        <v>5831.5649266730061</v>
      </c>
      <c r="F9" s="9">
        <f t="shared" si="0"/>
        <v>40706.564926673003</v>
      </c>
      <c r="G9" s="9">
        <f t="shared" si="1"/>
        <v>1953915.1164803042</v>
      </c>
      <c r="H9" s="62">
        <f t="shared" si="2"/>
        <v>542754.24244264269</v>
      </c>
    </row>
    <row r="10" spans="1:9" ht="17" thickBot="1" x14ac:dyDescent="0.25">
      <c r="A10" s="94">
        <v>45352</v>
      </c>
      <c r="B10" s="9">
        <v>2946</v>
      </c>
      <c r="C10" s="9">
        <v>20862</v>
      </c>
      <c r="D10" s="9">
        <v>16132</v>
      </c>
      <c r="E10" s="238">
        <f>444*1433/2734600*20833.33</f>
        <v>4847.2346519271559</v>
      </c>
      <c r="F10" s="9">
        <f t="shared" si="0"/>
        <v>44787.234651927152</v>
      </c>
      <c r="G10" s="9">
        <f t="shared" si="1"/>
        <v>2149787.2632925035</v>
      </c>
      <c r="H10" s="62">
        <f t="shared" si="2"/>
        <v>597163.17646541249</v>
      </c>
    </row>
    <row r="11" spans="1:9" ht="17" thickBot="1" x14ac:dyDescent="0.25">
      <c r="A11" s="94">
        <v>45383</v>
      </c>
      <c r="B11" s="9">
        <v>2833</v>
      </c>
      <c r="C11" s="9">
        <v>21494</v>
      </c>
      <c r="D11" s="9">
        <v>12655</v>
      </c>
      <c r="E11" s="238">
        <f>442*1389/2748400*20833.33</f>
        <v>4653.7523481079907</v>
      </c>
      <c r="F11" s="9">
        <f t="shared" si="0"/>
        <v>41635.752348107992</v>
      </c>
      <c r="G11" s="9">
        <f t="shared" si="1"/>
        <v>1998516.1127091837</v>
      </c>
      <c r="H11" s="62">
        <f t="shared" si="2"/>
        <v>555143.40905290912</v>
      </c>
    </row>
    <row r="12" spans="1:9" ht="17" thickBot="1" x14ac:dyDescent="0.25">
      <c r="A12" s="94">
        <v>45413</v>
      </c>
      <c r="B12" s="9">
        <v>3158</v>
      </c>
      <c r="C12" s="9">
        <v>21182</v>
      </c>
      <c r="D12" s="9">
        <v>11619</v>
      </c>
      <c r="E12" s="238">
        <f>442*1088/2748400*20833.33</f>
        <v>3645.2718176684621</v>
      </c>
      <c r="F12" s="9">
        <f t="shared" si="0"/>
        <v>39604.271817668465</v>
      </c>
      <c r="G12" s="9">
        <f t="shared" si="1"/>
        <v>1901005.0472480864</v>
      </c>
      <c r="H12" s="62">
        <f t="shared" si="2"/>
        <v>528056.99981346959</v>
      </c>
    </row>
    <row r="13" spans="1:9" ht="17" thickBot="1" x14ac:dyDescent="0.25">
      <c r="A13" s="94">
        <v>45444</v>
      </c>
      <c r="B13" s="9">
        <v>2974</v>
      </c>
      <c r="C13" s="9">
        <v>15391</v>
      </c>
      <c r="D13" s="9">
        <v>5729</v>
      </c>
      <c r="E13" s="238">
        <f>442*1077/2748400*20833.33</f>
        <v>3608.4170474530638</v>
      </c>
      <c r="F13" s="9">
        <f t="shared" si="0"/>
        <v>27702.417047453062</v>
      </c>
      <c r="G13" s="9">
        <f t="shared" si="1"/>
        <v>1329716.0182777471</v>
      </c>
      <c r="H13" s="62">
        <f t="shared" si="2"/>
        <v>369365.5901819524</v>
      </c>
      <c r="I13" s="62"/>
    </row>
    <row r="14" spans="1:9" x14ac:dyDescent="0.2">
      <c r="A14" s="94">
        <v>45474</v>
      </c>
      <c r="B14" s="14">
        <v>3131</v>
      </c>
      <c r="C14" s="14">
        <v>17540</v>
      </c>
      <c r="D14" s="14">
        <v>3916</v>
      </c>
      <c r="E14" s="362">
        <f>444*893/2764000*20833.33</f>
        <v>2988.5125464399421</v>
      </c>
      <c r="F14" s="9">
        <f t="shared" ref="F14:F28" si="3">SUM(B14:E14)</f>
        <v>27575.512546439943</v>
      </c>
      <c r="G14" s="9">
        <f t="shared" ref="G14:G15" si="4">F14*48</f>
        <v>1323624.6022291172</v>
      </c>
      <c r="H14" s="62">
        <f t="shared" ref="H14:H15" si="5">G14*0.2777778</f>
        <v>367673.53003307927</v>
      </c>
    </row>
    <row r="15" spans="1:9" x14ac:dyDescent="0.2">
      <c r="A15" s="94">
        <v>45505</v>
      </c>
      <c r="B15" s="14">
        <v>3522</v>
      </c>
      <c r="C15" s="14">
        <v>16815</v>
      </c>
      <c r="D15" s="14">
        <v>4486</v>
      </c>
      <c r="E15" s="362">
        <f>444*875/2764000*20833.33</f>
        <v>2928.2737717076702</v>
      </c>
      <c r="F15" s="9">
        <f t="shared" si="3"/>
        <v>27751.273771707671</v>
      </c>
      <c r="G15" s="9">
        <f t="shared" si="4"/>
        <v>1332061.1410419683</v>
      </c>
      <c r="H15" s="62">
        <f t="shared" si="5"/>
        <v>370017.0132241277</v>
      </c>
    </row>
    <row r="16" spans="1:9" x14ac:dyDescent="0.2">
      <c r="A16" s="94">
        <v>45536</v>
      </c>
      <c r="B16" s="9">
        <v>180</v>
      </c>
      <c r="C16" s="9">
        <v>21907</v>
      </c>
      <c r="D16" s="9">
        <v>6755</v>
      </c>
      <c r="E16" s="362">
        <f>444*873/2764000*20833.33</f>
        <v>2921.5805745151956</v>
      </c>
      <c r="F16" s="9">
        <f t="shared" si="3"/>
        <v>31763.580574515196</v>
      </c>
      <c r="G16" s="9">
        <f t="shared" ref="G16:G35" si="6">F16*48</f>
        <v>1524651.8675767295</v>
      </c>
      <c r="H16" s="62">
        <f t="shared" ref="H16:H35" si="7">G16*0.2777778</f>
        <v>423514.44154135528</v>
      </c>
    </row>
    <row r="17" spans="1:8" x14ac:dyDescent="0.2">
      <c r="A17" s="94">
        <v>45566</v>
      </c>
      <c r="B17" s="9">
        <v>592</v>
      </c>
      <c r="C17" s="9">
        <v>20873</v>
      </c>
      <c r="D17" s="9">
        <v>8933</v>
      </c>
      <c r="E17" s="362">
        <f>440*893/2758400*20833.33</f>
        <v>2967.6015166763345</v>
      </c>
      <c r="F17" s="9">
        <f t="shared" si="3"/>
        <v>33365.601516676332</v>
      </c>
      <c r="G17" s="9">
        <f t="shared" si="6"/>
        <v>1601548.8728004638</v>
      </c>
      <c r="H17" s="62">
        <f t="shared" si="7"/>
        <v>444874.72247899271</v>
      </c>
    </row>
    <row r="18" spans="1:8" x14ac:dyDescent="0.2">
      <c r="A18" s="94">
        <v>45597</v>
      </c>
      <c r="B18" s="9">
        <v>3037</v>
      </c>
      <c r="C18" s="9">
        <v>19854</v>
      </c>
      <c r="D18" s="9">
        <v>11374</v>
      </c>
      <c r="E18" s="362">
        <f>440*1126/2758400*20833.33</f>
        <v>3741.90292024362</v>
      </c>
      <c r="F18" s="9">
        <f t="shared" si="3"/>
        <v>38006.902920243621</v>
      </c>
      <c r="G18" s="9">
        <f t="shared" si="6"/>
        <v>1824331.3401716938</v>
      </c>
      <c r="H18" s="62">
        <f t="shared" si="7"/>
        <v>506758.74614394479</v>
      </c>
    </row>
    <row r="19" spans="1:8" x14ac:dyDescent="0.2">
      <c r="A19" s="94">
        <v>45627</v>
      </c>
      <c r="B19" s="9">
        <v>2867</v>
      </c>
      <c r="C19" s="9">
        <v>20265</v>
      </c>
      <c r="D19" s="9">
        <v>12848</v>
      </c>
      <c r="E19" s="362">
        <f>440*1401/2758400*20833.33</f>
        <v>4655.7779673723908</v>
      </c>
      <c r="F19" s="9">
        <f t="shared" si="3"/>
        <v>40635.777967372393</v>
      </c>
      <c r="G19" s="9">
        <f t="shared" si="6"/>
        <v>1950517.342433875</v>
      </c>
      <c r="H19" s="62">
        <f t="shared" si="7"/>
        <v>541810.41624312848</v>
      </c>
    </row>
    <row r="20" spans="1:8" x14ac:dyDescent="0.2">
      <c r="A20" s="94">
        <v>45658</v>
      </c>
      <c r="B20" s="9">
        <v>2722</v>
      </c>
      <c r="C20" s="9">
        <v>15492</v>
      </c>
      <c r="D20" s="9">
        <v>9966</v>
      </c>
      <c r="E20" s="362">
        <f>442*1698/2776500*20833.33</f>
        <v>5631.4595707833605</v>
      </c>
      <c r="F20" s="9">
        <f t="shared" si="3"/>
        <v>33811.459570783358</v>
      </c>
      <c r="G20" s="9">
        <f t="shared" si="6"/>
        <v>1622950.0593976011</v>
      </c>
      <c r="H20" s="62">
        <f t="shared" si="7"/>
        <v>450819.49700933497</v>
      </c>
    </row>
    <row r="21" spans="1:8" x14ac:dyDescent="0.2">
      <c r="A21" s="94">
        <v>45689</v>
      </c>
      <c r="B21" s="9">
        <v>3139</v>
      </c>
      <c r="C21" s="9">
        <v>18410</v>
      </c>
      <c r="D21" s="9">
        <v>15013</v>
      </c>
      <c r="E21" s="362">
        <f>442*1719/2776500*20833.33</f>
        <v>5701.1065972771485</v>
      </c>
      <c r="F21" s="9">
        <f t="shared" si="3"/>
        <v>42263.106597277147</v>
      </c>
      <c r="G21" s="9">
        <f t="shared" si="6"/>
        <v>2028629.116669303</v>
      </c>
      <c r="H21" s="62">
        <f t="shared" si="7"/>
        <v>563508.13304434239</v>
      </c>
    </row>
    <row r="22" spans="1:8" x14ac:dyDescent="0.2">
      <c r="A22" s="94">
        <v>45717</v>
      </c>
      <c r="B22" s="9">
        <v>3719</v>
      </c>
      <c r="C22" s="9">
        <v>19737</v>
      </c>
      <c r="D22" s="9">
        <v>14786</v>
      </c>
      <c r="E22" s="362">
        <f>442*1372/2776500*20833.33</f>
        <v>4550.2723975940935</v>
      </c>
      <c r="F22" s="9">
        <f>SUM(B22:E22)</f>
        <v>42792.27239759409</v>
      </c>
      <c r="G22" s="9">
        <f t="shared" si="6"/>
        <v>2054029.0750845163</v>
      </c>
      <c r="H22" s="62">
        <f t="shared" si="7"/>
        <v>570563.67761301179</v>
      </c>
    </row>
    <row r="23" spans="1:8" x14ac:dyDescent="0.2">
      <c r="A23" s="94">
        <v>45748</v>
      </c>
      <c r="B23" s="9">
        <v>3321</v>
      </c>
      <c r="C23" s="9">
        <v>19176</v>
      </c>
      <c r="D23" s="9">
        <v>13420</v>
      </c>
      <c r="E23" s="362">
        <f>461*1580/2775300*20833.33</f>
        <v>5467.7263378373509</v>
      </c>
      <c r="F23" s="9">
        <f t="shared" si="3"/>
        <v>41384.726337837354</v>
      </c>
      <c r="G23" s="9">
        <f t="shared" si="6"/>
        <v>1986466.8642161931</v>
      </c>
      <c r="H23" s="62">
        <f t="shared" si="7"/>
        <v>551796.39531487285</v>
      </c>
    </row>
    <row r="24" spans="1:8" x14ac:dyDescent="0.2">
      <c r="A24" s="94">
        <v>45778</v>
      </c>
      <c r="B24" s="9">
        <v>3063</v>
      </c>
      <c r="C24" s="9">
        <v>18040</v>
      </c>
      <c r="D24" s="9">
        <v>8810</v>
      </c>
      <c r="E24" s="362">
        <f>461*1104/2775300*20833.33</f>
        <v>3820.4872639066048</v>
      </c>
      <c r="F24" s="9">
        <f t="shared" si="3"/>
        <v>33733.487263906602</v>
      </c>
      <c r="G24" s="9">
        <f t="shared" si="6"/>
        <v>1619207.3886675169</v>
      </c>
      <c r="H24" s="62">
        <f t="shared" si="7"/>
        <v>449779.86616780778</v>
      </c>
    </row>
    <row r="25" spans="1:8" x14ac:dyDescent="0.2">
      <c r="A25" s="94">
        <v>45809</v>
      </c>
      <c r="B25" s="9">
        <v>2669</v>
      </c>
      <c r="C25" s="9">
        <v>16400</v>
      </c>
      <c r="D25" s="9">
        <v>6523</v>
      </c>
      <c r="E25" s="362">
        <f>461*1114/2775300*20833.33</f>
        <v>3855.0931268043096</v>
      </c>
      <c r="F25" s="9">
        <f t="shared" si="3"/>
        <v>29447.09312680431</v>
      </c>
      <c r="G25" s="9">
        <f t="shared" si="6"/>
        <v>1413460.4700866069</v>
      </c>
      <c r="H25" s="62">
        <f t="shared" si="7"/>
        <v>392627.93976762349</v>
      </c>
    </row>
    <row r="26" spans="1:8" x14ac:dyDescent="0.2">
      <c r="A26" s="94">
        <v>45839</v>
      </c>
      <c r="B26" s="9">
        <v>4607</v>
      </c>
      <c r="C26" s="9">
        <v>14853</v>
      </c>
      <c r="D26" s="9">
        <v>4536</v>
      </c>
      <c r="E26" s="9"/>
      <c r="F26" s="9">
        <f t="shared" si="3"/>
        <v>23996</v>
      </c>
      <c r="G26" s="9">
        <f t="shared" si="6"/>
        <v>1151808</v>
      </c>
      <c r="H26" s="62">
        <f t="shared" si="7"/>
        <v>319946.6922624</v>
      </c>
    </row>
    <row r="27" spans="1:8" x14ac:dyDescent="0.2">
      <c r="A27" s="94">
        <v>45870</v>
      </c>
      <c r="B27" s="9">
        <v>2819</v>
      </c>
      <c r="C27" s="9">
        <v>15132</v>
      </c>
      <c r="D27" s="9">
        <v>5787</v>
      </c>
      <c r="E27" s="9"/>
      <c r="F27" s="9">
        <f t="shared" si="3"/>
        <v>23738</v>
      </c>
      <c r="G27" s="9">
        <f t="shared" si="6"/>
        <v>1139424</v>
      </c>
      <c r="H27" s="62">
        <f t="shared" si="7"/>
        <v>316506.6919872</v>
      </c>
    </row>
    <row r="28" spans="1:8" x14ac:dyDescent="0.2">
      <c r="A28" s="94">
        <v>45901</v>
      </c>
      <c r="B28" s="9">
        <v>3115</v>
      </c>
      <c r="C28" s="9">
        <v>20778</v>
      </c>
      <c r="D28" s="9">
        <v>7399</v>
      </c>
      <c r="E28" s="9"/>
      <c r="F28" s="9">
        <f t="shared" si="3"/>
        <v>31292</v>
      </c>
      <c r="G28" s="9">
        <f t="shared" si="6"/>
        <v>1502016</v>
      </c>
      <c r="H28" s="62">
        <f t="shared" si="7"/>
        <v>417226.7000448</v>
      </c>
    </row>
    <row r="29" spans="1:8" x14ac:dyDescent="0.2">
      <c r="A29" s="94">
        <v>45931</v>
      </c>
      <c r="B29" s="9">
        <v>2848</v>
      </c>
      <c r="C29" s="9">
        <v>20231</v>
      </c>
      <c r="D29" s="9">
        <v>8987</v>
      </c>
      <c r="E29" s="9"/>
      <c r="F29" s="9">
        <f t="shared" ref="F29:F35" si="8">SUM(B29:E29)</f>
        <v>32066</v>
      </c>
      <c r="G29" s="9">
        <f t="shared" si="6"/>
        <v>1539168</v>
      </c>
      <c r="H29" s="9">
        <f t="shared" si="7"/>
        <v>427546.7008704</v>
      </c>
    </row>
    <row r="30" spans="1:8" x14ac:dyDescent="0.2">
      <c r="A30" s="94">
        <v>45962</v>
      </c>
      <c r="B30" s="9">
        <v>3729</v>
      </c>
      <c r="C30" s="9">
        <v>16673</v>
      </c>
      <c r="D30" s="9">
        <v>12354</v>
      </c>
      <c r="E30" s="9"/>
      <c r="F30" s="9">
        <f t="shared" si="8"/>
        <v>32756</v>
      </c>
      <c r="G30" s="9">
        <f t="shared" si="6"/>
        <v>1572288</v>
      </c>
      <c r="H30" s="9">
        <f t="shared" si="7"/>
        <v>436746.70160640002</v>
      </c>
    </row>
    <row r="31" spans="1:8" x14ac:dyDescent="0.2">
      <c r="A31" s="94">
        <v>45992</v>
      </c>
      <c r="B31" s="9">
        <v>3649</v>
      </c>
      <c r="C31" s="9">
        <v>21817</v>
      </c>
      <c r="D31" s="9">
        <v>12248</v>
      </c>
      <c r="E31" s="9"/>
      <c r="F31" s="9">
        <f t="shared" si="8"/>
        <v>37714</v>
      </c>
      <c r="G31" s="9">
        <f t="shared" si="6"/>
        <v>1810272</v>
      </c>
      <c r="H31" s="9">
        <f t="shared" si="7"/>
        <v>502853.37356160005</v>
      </c>
    </row>
    <row r="32" spans="1:8" x14ac:dyDescent="0.2">
      <c r="A32" s="94">
        <v>46023</v>
      </c>
      <c r="B32" s="9">
        <v>3849</v>
      </c>
      <c r="C32" s="9">
        <v>15383</v>
      </c>
      <c r="D32" s="9">
        <v>10270</v>
      </c>
      <c r="E32" s="9"/>
      <c r="F32" s="9">
        <f t="shared" si="8"/>
        <v>29502</v>
      </c>
      <c r="G32" s="9">
        <f t="shared" si="6"/>
        <v>1416096</v>
      </c>
      <c r="H32" s="9">
        <f t="shared" si="7"/>
        <v>393360.03146880004</v>
      </c>
    </row>
    <row r="33" spans="1:8" x14ac:dyDescent="0.2">
      <c r="A33" s="94">
        <v>46054</v>
      </c>
      <c r="B33" s="9">
        <v>2908</v>
      </c>
      <c r="C33" s="9">
        <v>14845</v>
      </c>
      <c r="D33" s="9">
        <v>13059</v>
      </c>
      <c r="E33" s="9"/>
      <c r="F33" s="9">
        <f t="shared" si="8"/>
        <v>30812</v>
      </c>
      <c r="G33" s="9">
        <f t="shared" si="6"/>
        <v>1478976</v>
      </c>
      <c r="H33" s="9">
        <f t="shared" si="7"/>
        <v>410826.6995328</v>
      </c>
    </row>
    <row r="34" spans="1:8" x14ac:dyDescent="0.2">
      <c r="A34" s="94">
        <v>46082</v>
      </c>
      <c r="B34" s="9">
        <v>4414</v>
      </c>
      <c r="C34" s="9">
        <v>21952</v>
      </c>
      <c r="D34" s="9">
        <v>14712</v>
      </c>
      <c r="E34" s="9"/>
      <c r="F34" s="9">
        <f t="shared" si="8"/>
        <v>41078</v>
      </c>
      <c r="G34" s="9">
        <f t="shared" si="6"/>
        <v>1971744</v>
      </c>
      <c r="H34" s="9">
        <f t="shared" si="7"/>
        <v>547706.71048320003</v>
      </c>
    </row>
    <row r="35" spans="1:8" x14ac:dyDescent="0.2">
      <c r="A35" s="94">
        <v>46113</v>
      </c>
      <c r="B35" s="9">
        <v>3465</v>
      </c>
      <c r="C35" s="9">
        <v>17677</v>
      </c>
      <c r="D35" s="9">
        <v>11376</v>
      </c>
      <c r="E35" s="9"/>
      <c r="F35" s="9">
        <f t="shared" si="8"/>
        <v>32518</v>
      </c>
      <c r="G35" s="9">
        <f t="shared" si="6"/>
        <v>1560864</v>
      </c>
      <c r="H35" s="9">
        <f t="shared" si="7"/>
        <v>433573.36801920005</v>
      </c>
    </row>
    <row r="36" spans="1:8" x14ac:dyDescent="0.2">
      <c r="A36" s="94">
        <v>46143</v>
      </c>
      <c r="B36" s="9"/>
      <c r="C36" s="9"/>
      <c r="D36" s="9"/>
      <c r="E36" s="9"/>
      <c r="F36" s="9"/>
      <c r="G36" s="9"/>
      <c r="H36" s="9"/>
    </row>
    <row r="37" spans="1:8" x14ac:dyDescent="0.2">
      <c r="A37" s="94">
        <v>46174</v>
      </c>
      <c r="B37" s="9"/>
      <c r="C37" s="9"/>
      <c r="D37" s="9"/>
      <c r="E37" s="9"/>
      <c r="F37" s="9"/>
      <c r="G37" s="9"/>
      <c r="H37" s="9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54BD-2546-470B-82B3-6AB7AE7D63F5}">
  <dimension ref="A1:J28"/>
  <sheetViews>
    <sheetView workbookViewId="0">
      <selection activeCell="I17" sqref="I17"/>
    </sheetView>
  </sheetViews>
  <sheetFormatPr baseColWidth="10" defaultColWidth="10.1640625" defaultRowHeight="16" x14ac:dyDescent="0.2"/>
  <cols>
    <col min="1" max="1" width="10.1640625" style="87"/>
    <col min="2" max="4" width="18.1640625" style="8" customWidth="1"/>
    <col min="5" max="5" width="15.33203125" style="8" customWidth="1"/>
    <col min="6" max="6" width="24" style="8" customWidth="1"/>
    <col min="7" max="7" width="27" style="53" customWidth="1"/>
    <col min="8" max="8" width="24.1640625" style="53" customWidth="1"/>
    <col min="9" max="10" width="24.1640625" style="8" customWidth="1"/>
    <col min="11" max="16384" width="10.1640625" style="8"/>
  </cols>
  <sheetData>
    <row r="1" spans="1:10" s="90" customFormat="1" ht="34" x14ac:dyDescent="0.2">
      <c r="A1" s="88" t="s">
        <v>28</v>
      </c>
      <c r="B1" s="89" t="s">
        <v>127</v>
      </c>
      <c r="C1" s="88" t="s">
        <v>128</v>
      </c>
      <c r="D1" s="88" t="s">
        <v>47</v>
      </c>
      <c r="E1" s="88" t="s">
        <v>129</v>
      </c>
      <c r="F1" s="89" t="s">
        <v>130</v>
      </c>
      <c r="G1" s="89" t="s">
        <v>124</v>
      </c>
      <c r="H1" s="89" t="s">
        <v>125</v>
      </c>
      <c r="I1" s="89" t="s">
        <v>131</v>
      </c>
      <c r="J1" s="88" t="s">
        <v>132</v>
      </c>
    </row>
    <row r="2" spans="1:10" x14ac:dyDescent="0.2">
      <c r="A2" s="86" t="s">
        <v>133</v>
      </c>
      <c r="B2" s="78"/>
      <c r="C2" s="78"/>
      <c r="D2" s="78"/>
      <c r="E2" s="78"/>
      <c r="F2" s="78"/>
      <c r="G2" s="103"/>
      <c r="H2" s="166">
        <v>2892240</v>
      </c>
      <c r="I2" s="80">
        <v>803400</v>
      </c>
      <c r="J2" s="78"/>
    </row>
    <row r="3" spans="1:10" x14ac:dyDescent="0.2">
      <c r="A3" s="86" t="s">
        <v>134</v>
      </c>
      <c r="B3" s="78"/>
      <c r="C3" s="78"/>
      <c r="D3" s="78"/>
      <c r="E3" s="78"/>
      <c r="F3" s="78"/>
      <c r="G3" s="103"/>
      <c r="H3" s="167">
        <v>2751506</v>
      </c>
      <c r="I3" s="80">
        <v>764307</v>
      </c>
      <c r="J3" s="78"/>
    </row>
    <row r="4" spans="1:10" x14ac:dyDescent="0.2">
      <c r="A4" s="86" t="s">
        <v>135</v>
      </c>
      <c r="B4" s="78"/>
      <c r="C4" s="78"/>
      <c r="D4" s="78"/>
      <c r="E4" s="78"/>
      <c r="F4" s="78"/>
      <c r="G4" s="140"/>
      <c r="H4" s="167">
        <v>736176</v>
      </c>
      <c r="I4" s="80">
        <v>204493</v>
      </c>
      <c r="J4" s="78"/>
    </row>
    <row r="5" spans="1:10" x14ac:dyDescent="0.2">
      <c r="A5" s="86" t="s">
        <v>118</v>
      </c>
      <c r="B5" s="80">
        <v>1314</v>
      </c>
      <c r="C5" s="81">
        <v>60067</v>
      </c>
      <c r="D5" s="78"/>
      <c r="E5" s="82">
        <v>251482</v>
      </c>
      <c r="F5" s="80">
        <v>3389</v>
      </c>
      <c r="G5" s="83">
        <v>316252</v>
      </c>
      <c r="H5" s="83">
        <v>15180103</v>
      </c>
      <c r="I5" s="80">
        <v>4216695</v>
      </c>
      <c r="J5" s="78"/>
    </row>
    <row r="6" spans="1:10" x14ac:dyDescent="0.2">
      <c r="A6" s="86" t="s">
        <v>58</v>
      </c>
      <c r="B6" s="80">
        <v>1384</v>
      </c>
      <c r="C6" s="81">
        <v>57157</v>
      </c>
      <c r="D6" s="80">
        <v>123524</v>
      </c>
      <c r="E6" s="82">
        <v>256811</v>
      </c>
      <c r="F6" s="80">
        <v>3081</v>
      </c>
      <c r="G6" s="83">
        <v>440573</v>
      </c>
      <c r="H6" s="83">
        <v>21147510</v>
      </c>
      <c r="I6" s="80">
        <v>5874308</v>
      </c>
      <c r="J6" s="78"/>
    </row>
    <row r="7" spans="1:10" x14ac:dyDescent="0.2">
      <c r="A7" s="86" t="s">
        <v>61</v>
      </c>
      <c r="B7" s="80">
        <v>2879</v>
      </c>
      <c r="C7" s="81">
        <v>62717</v>
      </c>
      <c r="D7" s="80">
        <v>169348</v>
      </c>
      <c r="E7" s="82">
        <v>306151</v>
      </c>
      <c r="F7" s="80">
        <v>1357</v>
      </c>
      <c r="G7" s="83">
        <v>542452</v>
      </c>
      <c r="H7" s="83">
        <v>26037712</v>
      </c>
      <c r="I7" s="80">
        <v>7232698</v>
      </c>
      <c r="J7" s="78"/>
    </row>
    <row r="8" spans="1:10" x14ac:dyDescent="0.2">
      <c r="A8" s="86" t="s">
        <v>63</v>
      </c>
      <c r="B8" s="80">
        <v>1943</v>
      </c>
      <c r="C8" s="81">
        <v>64368</v>
      </c>
      <c r="D8" s="80">
        <v>153668</v>
      </c>
      <c r="E8" s="82">
        <v>273854</v>
      </c>
      <c r="F8" s="78">
        <v>0</v>
      </c>
      <c r="G8" s="83">
        <v>493833</v>
      </c>
      <c r="H8" s="83">
        <v>23703999</v>
      </c>
      <c r="I8" s="80">
        <v>6584444</v>
      </c>
      <c r="J8" s="78"/>
    </row>
    <row r="9" spans="1:10" x14ac:dyDescent="0.2">
      <c r="A9" s="86" t="s">
        <v>64</v>
      </c>
      <c r="B9" s="80">
        <v>1849</v>
      </c>
      <c r="C9" s="81">
        <v>51068</v>
      </c>
      <c r="D9" s="80">
        <v>144642</v>
      </c>
      <c r="E9" s="82">
        <v>227386</v>
      </c>
      <c r="F9" s="78">
        <v>0</v>
      </c>
      <c r="G9" s="83">
        <v>424945</v>
      </c>
      <c r="H9" s="83">
        <v>20397358</v>
      </c>
      <c r="I9" s="80">
        <v>5665933</v>
      </c>
      <c r="J9" s="78"/>
    </row>
    <row r="10" spans="1:10" x14ac:dyDescent="0.2">
      <c r="A10" s="86" t="s">
        <v>65</v>
      </c>
      <c r="B10" s="82">
        <v>1838</v>
      </c>
      <c r="C10" s="81">
        <v>48642</v>
      </c>
      <c r="D10" s="82">
        <v>134629</v>
      </c>
      <c r="E10" s="82">
        <v>274505</v>
      </c>
      <c r="F10" s="78">
        <v>0</v>
      </c>
      <c r="G10" s="83">
        <v>459614</v>
      </c>
      <c r="H10" s="83">
        <v>22061455</v>
      </c>
      <c r="I10" s="80">
        <v>6128182</v>
      </c>
      <c r="J10" s="78"/>
    </row>
    <row r="11" spans="1:10" x14ac:dyDescent="0.2">
      <c r="A11" s="86" t="s">
        <v>66</v>
      </c>
      <c r="B11" s="82">
        <v>11443</v>
      </c>
      <c r="C11" s="81">
        <v>49313</v>
      </c>
      <c r="D11" s="82">
        <v>97681</v>
      </c>
      <c r="E11" s="82">
        <v>180594</v>
      </c>
      <c r="F11" s="78">
        <v>0</v>
      </c>
      <c r="G11" s="83">
        <v>339031</v>
      </c>
      <c r="H11" s="83">
        <v>16273494</v>
      </c>
      <c r="I11" s="80">
        <v>4520415</v>
      </c>
      <c r="J11" s="78"/>
    </row>
    <row r="12" spans="1:10" x14ac:dyDescent="0.2">
      <c r="A12" s="86" t="s">
        <v>68</v>
      </c>
      <c r="B12" s="80">
        <v>14510</v>
      </c>
      <c r="C12" s="80">
        <v>52537.85</v>
      </c>
      <c r="D12" s="80">
        <v>98340</v>
      </c>
      <c r="E12" s="80">
        <v>187208</v>
      </c>
      <c r="F12" s="80">
        <v>0</v>
      </c>
      <c r="G12" s="84">
        <v>352596</v>
      </c>
      <c r="H12" s="83">
        <v>16924601</v>
      </c>
      <c r="I12" s="80">
        <v>4701278</v>
      </c>
      <c r="J12" s="78">
        <v>13.33333333</v>
      </c>
    </row>
    <row r="13" spans="1:10" x14ac:dyDescent="0.2">
      <c r="A13" s="86" t="s">
        <v>70</v>
      </c>
      <c r="B13" s="80">
        <v>24970</v>
      </c>
      <c r="C13" s="80">
        <v>55678.58</v>
      </c>
      <c r="D13" s="80">
        <v>107914</v>
      </c>
      <c r="E13" s="80">
        <v>194913</v>
      </c>
      <c r="F13" s="80">
        <v>0</v>
      </c>
      <c r="G13" s="84">
        <v>383476</v>
      </c>
      <c r="H13" s="83">
        <v>18406828</v>
      </c>
      <c r="I13" s="80">
        <v>5113008</v>
      </c>
      <c r="J13" s="78">
        <v>13.33333333</v>
      </c>
    </row>
    <row r="14" spans="1:10" x14ac:dyDescent="0.2">
      <c r="A14" s="86" t="s">
        <v>72</v>
      </c>
      <c r="B14" s="80">
        <v>36199</v>
      </c>
      <c r="C14" s="80">
        <v>49004.959999999999</v>
      </c>
      <c r="D14" s="80">
        <v>95670</v>
      </c>
      <c r="E14" s="80">
        <v>230979</v>
      </c>
      <c r="F14" s="80">
        <v>0</v>
      </c>
      <c r="G14" s="84">
        <v>411853</v>
      </c>
      <c r="H14" s="83">
        <v>19768942</v>
      </c>
      <c r="I14" s="80">
        <v>5491373</v>
      </c>
      <c r="J14" s="78"/>
    </row>
    <row r="15" spans="1:10" x14ac:dyDescent="0.2">
      <c r="A15" s="87" t="s">
        <v>74</v>
      </c>
      <c r="B15" s="9">
        <f>SUM('Monthly Towngas (TGU)'!B2:B13)</f>
        <v>34744</v>
      </c>
      <c r="C15" s="62">
        <f>SUM('Monthly Towngas (TGU)'!E2:E13)</f>
        <v>48971.720409978749</v>
      </c>
      <c r="D15" s="9">
        <f>SUM('Monthly Towngas (TGU)'!D2:D13)</f>
        <v>117239</v>
      </c>
      <c r="E15" s="9">
        <f>SUM('Monthly Towngas (TGU)'!C2:C13)</f>
        <v>236015</v>
      </c>
      <c r="F15" s="9">
        <v>0</v>
      </c>
      <c r="G15" s="242">
        <f>SUM(B15:F15)</f>
        <v>436969.72040997876</v>
      </c>
      <c r="H15" s="165">
        <f>G15*48</f>
        <v>20974546.579678982</v>
      </c>
      <c r="I15" s="9">
        <f>H15*0.2777778</f>
        <v>5826263.4049007529</v>
      </c>
    </row>
    <row r="16" spans="1:10" x14ac:dyDescent="0.2">
      <c r="A16" s="87" t="s">
        <v>76</v>
      </c>
      <c r="B16" s="9">
        <f>SUM('Monthly Towngas (TGU)'!B14:B25)</f>
        <v>31962</v>
      </c>
      <c r="C16" s="62">
        <f>SUM('Monthly Towngas (TGU)'!E14:E25)</f>
        <v>49229.794591158032</v>
      </c>
      <c r="D16" s="9">
        <f>SUM('Monthly Towngas (TGU)'!D14:D25)</f>
        <v>116830</v>
      </c>
      <c r="E16" s="9">
        <f>SUM('Monthly Towngas (TGU)'!C14:C25)</f>
        <v>224509</v>
      </c>
      <c r="F16" s="9">
        <v>0</v>
      </c>
      <c r="G16" s="242">
        <f>SUM(B16:F16)</f>
        <v>422530.79459115805</v>
      </c>
      <c r="H16" s="165">
        <f>G16*48</f>
        <v>20281478.140375584</v>
      </c>
      <c r="I16" s="9">
        <f>H16*0.2777778</f>
        <v>5633744.3785816217</v>
      </c>
    </row>
    <row r="17" spans="1:9" x14ac:dyDescent="0.2">
      <c r="A17" s="87" t="s">
        <v>111</v>
      </c>
      <c r="B17" s="362">
        <f>SUM('Monthly Towngas (TGU)'!B26:B37)</f>
        <v>35403</v>
      </c>
      <c r="C17" s="63">
        <f>SUM('Monthly Towngas (TGU)'!E26:E37)</f>
        <v>0</v>
      </c>
      <c r="D17" s="362">
        <f>SUM('Monthly Towngas (TGU)'!D26:D37)</f>
        <v>100728</v>
      </c>
      <c r="E17" s="362">
        <f>SUM('Monthly Towngas (TGU)'!C26:C37)</f>
        <v>179341</v>
      </c>
      <c r="F17" s="362">
        <v>0</v>
      </c>
      <c r="G17" s="591">
        <f>SUM(B17:F17)</f>
        <v>315472</v>
      </c>
      <c r="H17" s="591">
        <f>G17*48</f>
        <v>15142656</v>
      </c>
      <c r="I17" s="362">
        <f>H17*0.2777778</f>
        <v>4206293.6698368005</v>
      </c>
    </row>
    <row r="19" spans="1:9" x14ac:dyDescent="0.2">
      <c r="G19" s="8"/>
    </row>
    <row r="20" spans="1:9" x14ac:dyDescent="0.2">
      <c r="G20" s="8"/>
    </row>
    <row r="21" spans="1:9" x14ac:dyDescent="0.2">
      <c r="G21" s="592" t="s">
        <v>137</v>
      </c>
    </row>
    <row r="23" spans="1:9" x14ac:dyDescent="0.2">
      <c r="G23" s="8" t="s">
        <v>136</v>
      </c>
    </row>
    <row r="25" spans="1:9" x14ac:dyDescent="0.2">
      <c r="B25" s="78" t="s">
        <v>138</v>
      </c>
      <c r="G25" s="53">
        <f>2.8317/100</f>
        <v>2.8317000000000002E-2</v>
      </c>
    </row>
    <row r="26" spans="1:9" x14ac:dyDescent="0.2">
      <c r="B26" s="592" t="s">
        <v>139</v>
      </c>
    </row>
    <row r="27" spans="1:9" x14ac:dyDescent="0.2">
      <c r="B27" s="78"/>
    </row>
    <row r="28" spans="1:9" x14ac:dyDescent="0.2">
      <c r="B28" s="85" t="s">
        <v>140</v>
      </c>
    </row>
  </sheetData>
  <hyperlinks>
    <hyperlink ref="B28" r:id="rId1" location=":~:text=Town%20gas%2C%20produced%20from%20naphtha,it%20can%20be%20detected%20easily." xr:uid="{6660F6D2-DEC4-1C44-A949-28F41766F1D8}"/>
    <hyperlink ref="G21" r:id="rId2" xr:uid="{E16D6045-606E-A549-B07C-40BA94693734}"/>
    <hyperlink ref="B26" r:id="rId3" xr:uid="{9FAD2FA9-F0D7-CE4A-B703-AD386A58E9A9}"/>
  </hyperlinks>
  <pageMargins left="0.7" right="0.7" top="0.75" bottom="0.75" header="0.3" footer="0.3"/>
  <pageSetup paperSize="9" orientation="portrait" horizontalDpi="0" verticalDpi="0"/>
  <legacy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98E4-1461-B244-943E-CADFCAD0152A}">
  <dimension ref="A1:K17"/>
  <sheetViews>
    <sheetView topLeftCell="B1" workbookViewId="0">
      <selection activeCell="E20" sqref="E20"/>
    </sheetView>
  </sheetViews>
  <sheetFormatPr baseColWidth="10" defaultColWidth="11.5" defaultRowHeight="16" x14ac:dyDescent="0.2"/>
  <cols>
    <col min="1" max="1" width="11.5" style="98"/>
    <col min="2" max="6" width="20.6640625" style="436" customWidth="1"/>
    <col min="7" max="7" width="20.6640625" style="436" hidden="1" customWidth="1"/>
    <col min="8" max="11" width="20.6640625" style="436" customWidth="1"/>
    <col min="12" max="16384" width="11.5" style="436"/>
  </cols>
  <sheetData>
    <row r="1" spans="1:11" ht="89" customHeight="1" x14ac:dyDescent="0.15">
      <c r="A1" s="89" t="s">
        <v>28</v>
      </c>
      <c r="B1" s="89" t="s">
        <v>141</v>
      </c>
      <c r="C1" s="89" t="s">
        <v>142</v>
      </c>
      <c r="D1" s="89" t="s">
        <v>143</v>
      </c>
      <c r="E1" s="89" t="s">
        <v>739</v>
      </c>
      <c r="F1" s="89" t="s">
        <v>738</v>
      </c>
      <c r="G1" s="89" t="s">
        <v>144</v>
      </c>
      <c r="H1" s="89" t="s">
        <v>737</v>
      </c>
      <c r="I1" s="89" t="s">
        <v>145</v>
      </c>
      <c r="J1" s="89" t="s">
        <v>146</v>
      </c>
      <c r="K1" s="89" t="s">
        <v>147</v>
      </c>
    </row>
    <row r="2" spans="1:11" x14ac:dyDescent="0.15">
      <c r="A2" s="86" t="s">
        <v>133</v>
      </c>
      <c r="B2" s="79">
        <v>15760</v>
      </c>
      <c r="C2" s="481">
        <v>139233.83009999999</v>
      </c>
      <c r="D2" s="78"/>
      <c r="E2" s="78"/>
      <c r="F2" s="78"/>
      <c r="G2" s="78"/>
      <c r="H2" s="79">
        <v>9547</v>
      </c>
      <c r="I2" s="481">
        <v>95761.835510000004</v>
      </c>
      <c r="J2" s="80">
        <v>234996</v>
      </c>
      <c r="K2" s="100">
        <v>234995.66560000001</v>
      </c>
    </row>
    <row r="3" spans="1:11" x14ac:dyDescent="0.15">
      <c r="A3" s="86" t="s">
        <v>134</v>
      </c>
      <c r="B3" s="80">
        <v>23249</v>
      </c>
      <c r="C3" s="481">
        <v>205398.00339999999</v>
      </c>
      <c r="D3" s="78"/>
      <c r="E3" s="78"/>
      <c r="F3" s="78"/>
      <c r="G3" s="78"/>
      <c r="H3" s="79">
        <v>11284</v>
      </c>
      <c r="I3" s="481">
        <v>113181.9659</v>
      </c>
      <c r="J3" s="80">
        <v>318580</v>
      </c>
      <c r="K3" s="100">
        <v>318579.9693</v>
      </c>
    </row>
    <row r="4" spans="1:11" x14ac:dyDescent="0.15">
      <c r="A4" s="86" t="s">
        <v>135</v>
      </c>
      <c r="B4" s="101">
        <v>28983</v>
      </c>
      <c r="C4" s="481">
        <v>256059.2102</v>
      </c>
      <c r="D4" s="78"/>
      <c r="E4" s="78"/>
      <c r="F4" s="78"/>
      <c r="G4" s="78"/>
      <c r="H4" s="80">
        <v>12204</v>
      </c>
      <c r="I4" s="481">
        <v>122407.22169999999</v>
      </c>
      <c r="J4" s="80">
        <v>378466</v>
      </c>
      <c r="K4" s="100">
        <v>378466.43180000002</v>
      </c>
    </row>
    <row r="5" spans="1:11" x14ac:dyDescent="0.15">
      <c r="A5" s="86" t="s">
        <v>118</v>
      </c>
      <c r="B5" s="78"/>
      <c r="C5" s="78">
        <v>0</v>
      </c>
      <c r="D5" s="78"/>
      <c r="E5" s="78"/>
      <c r="F5" s="78"/>
      <c r="G5" s="78"/>
      <c r="H5" s="78"/>
      <c r="I5" s="78">
        <v>0</v>
      </c>
      <c r="J5" s="78">
        <v>0</v>
      </c>
      <c r="K5" s="100"/>
    </row>
    <row r="6" spans="1:11" x14ac:dyDescent="0.15">
      <c r="A6" s="86" t="s">
        <v>58</v>
      </c>
      <c r="B6" s="100">
        <v>10679.44</v>
      </c>
      <c r="C6" s="102">
        <v>0</v>
      </c>
      <c r="D6" s="102"/>
      <c r="E6" s="102"/>
      <c r="F6" s="102"/>
      <c r="G6" s="102"/>
      <c r="H6" s="102"/>
      <c r="I6" s="102">
        <v>0</v>
      </c>
      <c r="J6" s="102">
        <v>0</v>
      </c>
      <c r="K6" s="63">
        <v>280000</v>
      </c>
    </row>
    <row r="7" spans="1:11" x14ac:dyDescent="0.15">
      <c r="A7" s="86" t="s">
        <v>61</v>
      </c>
      <c r="B7" s="102"/>
      <c r="C7" s="102">
        <v>0</v>
      </c>
      <c r="D7" s="102"/>
      <c r="E7" s="102"/>
      <c r="F7" s="102"/>
      <c r="G7" s="102"/>
      <c r="H7" s="102"/>
      <c r="I7" s="102">
        <v>0</v>
      </c>
      <c r="J7" s="102">
        <v>0</v>
      </c>
      <c r="K7" s="63">
        <v>370000</v>
      </c>
    </row>
    <row r="8" spans="1:11" x14ac:dyDescent="0.15">
      <c r="A8" s="86" t="s">
        <v>63</v>
      </c>
      <c r="B8" s="102"/>
      <c r="C8" s="102">
        <v>0</v>
      </c>
      <c r="D8" s="102"/>
      <c r="E8" s="102"/>
      <c r="F8" s="102"/>
      <c r="G8" s="102"/>
      <c r="H8" s="102"/>
      <c r="I8" s="102">
        <v>0</v>
      </c>
      <c r="J8" s="102">
        <v>0</v>
      </c>
      <c r="K8" s="62">
        <v>201980.5</v>
      </c>
    </row>
    <row r="9" spans="1:11" x14ac:dyDescent="0.15">
      <c r="A9" s="86" t="s">
        <v>64</v>
      </c>
      <c r="B9" s="102"/>
      <c r="C9" s="102">
        <v>0</v>
      </c>
      <c r="D9" s="102"/>
      <c r="E9" s="102"/>
      <c r="F9" s="102"/>
      <c r="G9" s="102"/>
      <c r="H9" s="102"/>
      <c r="I9" s="102">
        <v>0</v>
      </c>
      <c r="J9" s="102">
        <v>0</v>
      </c>
      <c r="K9" s="62">
        <v>221452.21</v>
      </c>
    </row>
    <row r="10" spans="1:11" x14ac:dyDescent="0.15">
      <c r="A10" s="86" t="s">
        <v>65</v>
      </c>
      <c r="B10" s="102"/>
      <c r="C10" s="102">
        <v>0</v>
      </c>
      <c r="D10" s="102"/>
      <c r="E10" s="102"/>
      <c r="F10" s="102"/>
      <c r="G10" s="102"/>
      <c r="H10" s="102"/>
      <c r="I10" s="102">
        <v>0</v>
      </c>
      <c r="J10" s="102">
        <v>0</v>
      </c>
      <c r="K10" s="62">
        <v>205172.45</v>
      </c>
    </row>
    <row r="11" spans="1:11" x14ac:dyDescent="0.15">
      <c r="A11" s="86" t="s">
        <v>66</v>
      </c>
      <c r="B11" s="102"/>
      <c r="C11" s="102">
        <v>0</v>
      </c>
      <c r="D11" s="102"/>
      <c r="E11" s="102"/>
      <c r="F11" s="102"/>
      <c r="G11" s="102"/>
      <c r="H11" s="102"/>
      <c r="I11" s="102">
        <v>0</v>
      </c>
      <c r="J11" s="102">
        <v>0</v>
      </c>
      <c r="K11" s="62">
        <v>181092.19</v>
      </c>
    </row>
    <row r="12" spans="1:11" x14ac:dyDescent="0.15">
      <c r="A12" s="86" t="s">
        <v>68</v>
      </c>
      <c r="B12" s="102"/>
      <c r="C12" s="102">
        <v>0</v>
      </c>
      <c r="D12" s="102"/>
      <c r="E12" s="102"/>
      <c r="F12" s="102"/>
      <c r="G12" s="102"/>
      <c r="H12" s="102"/>
      <c r="I12" s="102">
        <v>0</v>
      </c>
      <c r="J12" s="102">
        <v>0</v>
      </c>
      <c r="K12" s="62">
        <v>224833.4</v>
      </c>
    </row>
    <row r="13" spans="1:11" x14ac:dyDescent="0.15">
      <c r="A13" s="86" t="s">
        <v>70</v>
      </c>
      <c r="B13" s="102"/>
      <c r="C13" s="102">
        <v>0</v>
      </c>
      <c r="D13" s="102"/>
      <c r="E13" s="102"/>
      <c r="F13" s="102"/>
      <c r="G13" s="102"/>
      <c r="H13" s="102"/>
      <c r="I13" s="102">
        <v>0</v>
      </c>
      <c r="J13" s="102">
        <v>0</v>
      </c>
      <c r="K13" s="100">
        <v>234812</v>
      </c>
    </row>
    <row r="14" spans="1:11" x14ac:dyDescent="0.15">
      <c r="A14" s="86" t="s">
        <v>72</v>
      </c>
      <c r="B14" s="100">
        <f>'Scope 1'!K5</f>
        <v>20821.03</v>
      </c>
      <c r="C14" s="481">
        <f>B14 * 'Emission Factor'!$O$16</f>
        <v>183947.61020763335</v>
      </c>
      <c r="D14" s="80">
        <f>'Scope 1'!B5</f>
        <v>3011</v>
      </c>
      <c r="E14" s="78">
        <f>'Scope 1'!M5</f>
        <v>51</v>
      </c>
      <c r="F14" s="100">
        <f>'Scope 1'!O5</f>
        <v>7807.65</v>
      </c>
      <c r="G14" s="78">
        <v>3836.3980000000001</v>
      </c>
      <c r="H14" s="100">
        <f>SUM(D14:F14)</f>
        <v>10869.65</v>
      </c>
      <c r="I14" s="481">
        <f>H14 * 'Emission Factor'!$O$7</f>
        <v>109023.57070330551</v>
      </c>
      <c r="J14" s="481">
        <f>I14+C14</f>
        <v>292971.18091093889</v>
      </c>
      <c r="K14" s="100">
        <f>J14</f>
        <v>292971.18091093889</v>
      </c>
    </row>
    <row r="15" spans="1:11" x14ac:dyDescent="0.2">
      <c r="A15" s="86" t="s">
        <v>74</v>
      </c>
      <c r="B15" s="431">
        <v>15052.07</v>
      </c>
      <c r="C15" s="482">
        <v>132980.5637</v>
      </c>
      <c r="D15" s="483">
        <v>2570</v>
      </c>
      <c r="E15" s="432">
        <v>76.430000000000007</v>
      </c>
      <c r="F15" s="484">
        <v>8369.7000000000007</v>
      </c>
      <c r="G15" s="433">
        <v>11016.13</v>
      </c>
      <c r="H15" s="100">
        <f>SUM(D15:F15)</f>
        <v>11016.130000000001</v>
      </c>
      <c r="I15" s="481">
        <f>H15 * 'Emission Factor'!$O$7</f>
        <v>110492.77832605512</v>
      </c>
      <c r="J15" s="481">
        <f>I15+C15</f>
        <v>243473.34202605512</v>
      </c>
      <c r="K15" s="100">
        <v>243473.34</v>
      </c>
    </row>
    <row r="16" spans="1:11" x14ac:dyDescent="0.2">
      <c r="A16" s="86" t="s">
        <v>76</v>
      </c>
      <c r="B16" s="15">
        <v>12974.05</v>
      </c>
      <c r="C16" s="154">
        <v>114621.8747</v>
      </c>
      <c r="D16" s="14">
        <v>2538</v>
      </c>
      <c r="E16" s="1">
        <v>143.27500000000001</v>
      </c>
      <c r="F16" s="15">
        <v>7503.07</v>
      </c>
      <c r="G16" s="1">
        <v>10184.344999999999</v>
      </c>
      <c r="H16" s="15">
        <v>102149.89969999999</v>
      </c>
      <c r="I16" s="154">
        <v>216771.77439999999</v>
      </c>
      <c r="J16" s="154">
        <v>219309.77</v>
      </c>
      <c r="K16" s="15">
        <v>219309.77</v>
      </c>
    </row>
    <row r="17" spans="1:11" x14ac:dyDescent="0.2">
      <c r="A17" s="98" t="s">
        <v>111</v>
      </c>
      <c r="K17" s="100"/>
    </row>
  </sheetData>
  <phoneticPr fontId="9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7162-9D6D-CD46-BBE3-4C4D00C26AE7}">
  <dimension ref="A1:AC36"/>
  <sheetViews>
    <sheetView topLeftCell="D1" workbookViewId="0">
      <selection activeCell="C8" sqref="C8"/>
    </sheetView>
  </sheetViews>
  <sheetFormatPr baseColWidth="10" defaultColWidth="11.5" defaultRowHeight="14" x14ac:dyDescent="0.15"/>
  <cols>
    <col min="1" max="1" width="13.6640625" style="436" bestFit="1" customWidth="1"/>
    <col min="2" max="3" width="11.6640625" style="436" bestFit="1" customWidth="1"/>
    <col min="4" max="4" width="15.6640625" style="436" bestFit="1" customWidth="1"/>
    <col min="5" max="5" width="12.1640625" style="436" bestFit="1" customWidth="1"/>
    <col min="6" max="6" width="17.6640625" style="436" customWidth="1"/>
    <col min="7" max="10" width="11.6640625" style="436" bestFit="1" customWidth="1"/>
    <col min="11" max="11" width="12.1640625" style="436" bestFit="1" customWidth="1"/>
    <col min="12" max="14" width="11.6640625" style="436" bestFit="1" customWidth="1"/>
    <col min="15" max="15" width="12.1640625" style="436" bestFit="1" customWidth="1"/>
    <col min="16" max="16" width="10.1640625" style="436" bestFit="1" customWidth="1"/>
    <col min="17" max="17" width="11.6640625" style="436" bestFit="1" customWidth="1"/>
    <col min="18" max="18" width="9.6640625" style="436" customWidth="1"/>
    <col min="19" max="19" width="17.33203125" style="436" customWidth="1"/>
    <col min="20" max="27" width="11.6640625" style="436" bestFit="1" customWidth="1"/>
    <col min="28" max="28" width="15.6640625" style="436" bestFit="1" customWidth="1"/>
    <col min="29" max="29" width="12.6640625" style="436" bestFit="1" customWidth="1"/>
    <col min="30" max="16384" width="11.5" style="436"/>
  </cols>
  <sheetData>
    <row r="1" spans="1:29" ht="16.25" customHeight="1" x14ac:dyDescent="0.15">
      <c r="A1" s="437"/>
      <c r="B1" s="637" t="s">
        <v>741</v>
      </c>
      <c r="C1" s="638"/>
      <c r="D1" s="638"/>
      <c r="E1" s="638"/>
      <c r="F1" s="438"/>
      <c r="G1" s="637" t="s">
        <v>149</v>
      </c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9"/>
      <c r="T1" s="640" t="s">
        <v>150</v>
      </c>
      <c r="U1" s="641"/>
      <c r="V1" s="641"/>
      <c r="W1" s="641"/>
      <c r="X1" s="641"/>
      <c r="Y1" s="641"/>
      <c r="Z1" s="641"/>
      <c r="AA1" s="642"/>
      <c r="AB1" s="439"/>
      <c r="AC1" s="410" t="s">
        <v>151</v>
      </c>
    </row>
    <row r="2" spans="1:29" ht="15" customHeight="1" x14ac:dyDescent="0.15">
      <c r="A2" s="623"/>
      <c r="B2" s="625" t="s">
        <v>740</v>
      </c>
      <c r="C2" s="626"/>
      <c r="D2" s="625" t="s">
        <v>152</v>
      </c>
      <c r="E2" s="626"/>
      <c r="F2" s="629" t="s">
        <v>148</v>
      </c>
      <c r="G2" s="631" t="s">
        <v>153</v>
      </c>
      <c r="H2" s="632"/>
      <c r="I2" s="625" t="s">
        <v>154</v>
      </c>
      <c r="J2" s="626"/>
      <c r="K2" s="631" t="s">
        <v>155</v>
      </c>
      <c r="L2" s="632"/>
      <c r="M2" s="625" t="s">
        <v>156</v>
      </c>
      <c r="N2" s="626"/>
      <c r="O2" s="631" t="s">
        <v>157</v>
      </c>
      <c r="P2" s="632"/>
      <c r="Q2" s="631" t="s">
        <v>158</v>
      </c>
      <c r="R2" s="632"/>
      <c r="S2" s="629" t="s">
        <v>149</v>
      </c>
      <c r="T2" s="625" t="s">
        <v>159</v>
      </c>
      <c r="U2" s="626"/>
      <c r="V2" s="631" t="s">
        <v>160</v>
      </c>
      <c r="W2" s="632"/>
      <c r="X2" s="631" t="s">
        <v>161</v>
      </c>
      <c r="Y2" s="632"/>
      <c r="Z2" s="631" t="s">
        <v>162</v>
      </c>
      <c r="AA2" s="632"/>
      <c r="AB2" s="629" t="s">
        <v>150</v>
      </c>
      <c r="AC2" s="635"/>
    </row>
    <row r="3" spans="1:29" ht="74" customHeight="1" x14ac:dyDescent="0.15">
      <c r="A3" s="624"/>
      <c r="B3" s="627"/>
      <c r="C3" s="628"/>
      <c r="D3" s="627"/>
      <c r="E3" s="628"/>
      <c r="F3" s="630"/>
      <c r="G3" s="633"/>
      <c r="H3" s="634"/>
      <c r="I3" s="627"/>
      <c r="J3" s="628"/>
      <c r="K3" s="633"/>
      <c r="L3" s="634"/>
      <c r="M3" s="627"/>
      <c r="N3" s="628"/>
      <c r="O3" s="633"/>
      <c r="P3" s="634"/>
      <c r="Q3" s="633"/>
      <c r="R3" s="634"/>
      <c r="S3" s="630"/>
      <c r="T3" s="627"/>
      <c r="U3" s="628"/>
      <c r="V3" s="633"/>
      <c r="W3" s="634"/>
      <c r="X3" s="633"/>
      <c r="Y3" s="634"/>
      <c r="Z3" s="633"/>
      <c r="AA3" s="634"/>
      <c r="AB3" s="630"/>
      <c r="AC3" s="636"/>
    </row>
    <row r="4" spans="1:29" ht="40" x14ac:dyDescent="0.15">
      <c r="A4" s="624"/>
      <c r="B4" s="413" t="s">
        <v>163</v>
      </c>
      <c r="C4" s="413" t="s">
        <v>164</v>
      </c>
      <c r="D4" s="413" t="s">
        <v>165</v>
      </c>
      <c r="E4" s="413" t="s">
        <v>164</v>
      </c>
      <c r="F4" s="414"/>
      <c r="G4" s="413" t="s">
        <v>163</v>
      </c>
      <c r="H4" s="413" t="s">
        <v>164</v>
      </c>
      <c r="I4" s="413" t="s">
        <v>163</v>
      </c>
      <c r="J4" s="413" t="s">
        <v>164</v>
      </c>
      <c r="K4" s="413" t="s">
        <v>163</v>
      </c>
      <c r="L4" s="413" t="s">
        <v>164</v>
      </c>
      <c r="M4" s="413" t="s">
        <v>163</v>
      </c>
      <c r="N4" s="413" t="s">
        <v>164</v>
      </c>
      <c r="O4" s="413" t="s">
        <v>163</v>
      </c>
      <c r="P4" s="413" t="s">
        <v>164</v>
      </c>
      <c r="Q4" s="413" t="s">
        <v>163</v>
      </c>
      <c r="R4" s="413" t="s">
        <v>164</v>
      </c>
      <c r="S4" s="414"/>
      <c r="T4" s="413" t="s">
        <v>166</v>
      </c>
      <c r="U4" s="413" t="s">
        <v>164</v>
      </c>
      <c r="V4" s="413" t="s">
        <v>166</v>
      </c>
      <c r="W4" s="413" t="s">
        <v>164</v>
      </c>
      <c r="X4" s="413" t="s">
        <v>166</v>
      </c>
      <c r="Y4" s="413" t="s">
        <v>164</v>
      </c>
      <c r="Z4" s="413" t="s">
        <v>167</v>
      </c>
      <c r="AA4" s="413" t="s">
        <v>168</v>
      </c>
      <c r="AB4" s="413"/>
      <c r="AC4" s="411" t="s">
        <v>164</v>
      </c>
    </row>
    <row r="5" spans="1:29" ht="19" x14ac:dyDescent="0.2">
      <c r="A5" s="440" t="s">
        <v>169</v>
      </c>
      <c r="B5" s="485">
        <v>3011</v>
      </c>
      <c r="C5" s="441">
        <f>B5*'Emission Factor'!$L$7/1000</f>
        <v>7.8791724549</v>
      </c>
      <c r="D5" s="412">
        <v>411852.96439534758</v>
      </c>
      <c r="E5" s="442">
        <f>D5*'Emission Factor'!$L$8/1000</f>
        <v>1051.462924477923</v>
      </c>
      <c r="F5" s="486">
        <f>C5+E5</f>
        <v>1059.3420969328231</v>
      </c>
      <c r="G5" s="441">
        <v>0</v>
      </c>
      <c r="H5" s="441">
        <f>G5*'Emission Factor'!$L$16/1000</f>
        <v>0</v>
      </c>
      <c r="I5" s="441">
        <v>0</v>
      </c>
      <c r="J5" s="441">
        <f>I5*'Emission Factor'!$L$22/1000</f>
        <v>0</v>
      </c>
      <c r="K5" s="487">
        <v>20821.03</v>
      </c>
      <c r="L5" s="441">
        <f>K5*'Emission Factor'!$L$22/1000</f>
        <v>56.584542852889996</v>
      </c>
      <c r="M5" s="441">
        <v>51</v>
      </c>
      <c r="N5" s="441">
        <f>M5*'Emission Factor'!$L$27/1000</f>
        <v>0.141390972</v>
      </c>
      <c r="O5" s="442">
        <v>7807.65</v>
      </c>
      <c r="P5" s="441">
        <f>O5*'Emission Factor'!$L$27/1000</f>
        <v>21.645710245799997</v>
      </c>
      <c r="Q5" s="441">
        <v>0</v>
      </c>
      <c r="R5" s="441">
        <f>Q5*'Emission Factor'!$L$28/1000</f>
        <v>0</v>
      </c>
      <c r="S5" s="486">
        <f>H5+J5+L5+N5+P5+R5</f>
        <v>78.371644070689996</v>
      </c>
      <c r="T5" s="441">
        <v>0</v>
      </c>
      <c r="U5" s="441">
        <f>(T5*'Emission Factor'!$B$32)/1000</f>
        <v>0</v>
      </c>
      <c r="V5" s="441">
        <v>0</v>
      </c>
      <c r="W5" s="441">
        <f>(V5*'Emission Factor'!$B$33)/1000</f>
        <v>0</v>
      </c>
      <c r="X5" s="441">
        <v>70</v>
      </c>
      <c r="Y5" s="441">
        <f>(X5*'Emission Factor'!$B$34)/1000</f>
        <v>106.82</v>
      </c>
      <c r="Z5" s="441">
        <v>0.22700000000000001</v>
      </c>
      <c r="AA5" s="441">
        <f>(Z5*'Emission Factor'!$B$35)/1000</f>
        <v>5.1756000000000002</v>
      </c>
      <c r="AB5" s="486">
        <f>U5+W5+Y5+AA5</f>
        <v>111.9956</v>
      </c>
      <c r="AC5" s="442">
        <f>C5+E5+H5+J5+L5+N5+P5+R5+U5+W5+AA5+Y5</f>
        <v>1249.7093410035131</v>
      </c>
    </row>
    <row r="6" spans="1:29" ht="19" x14ac:dyDescent="0.2">
      <c r="A6" s="440" t="s">
        <v>170</v>
      </c>
      <c r="B6" s="485">
        <v>2570</v>
      </c>
      <c r="C6" s="441">
        <f>B6*'Emission Factor'!$L$7/1000</f>
        <v>6.7251654630000006</v>
      </c>
      <c r="D6" s="412">
        <v>436969.72040997876</v>
      </c>
      <c r="E6" s="442">
        <f>D6*'Emission Factor'!$L$8/1000</f>
        <v>1115.5861432371103</v>
      </c>
      <c r="F6" s="486">
        <f>C6+E6</f>
        <v>1122.3113087001102</v>
      </c>
      <c r="G6" s="441">
        <v>0</v>
      </c>
      <c r="H6" s="441">
        <f>G6*'Emission Factor'!$L$16/1000</f>
        <v>0</v>
      </c>
      <c r="I6" s="441">
        <v>0</v>
      </c>
      <c r="J6" s="441">
        <f>I6*'Emission Factor'!$L$22/1000</f>
        <v>0</v>
      </c>
      <c r="K6" s="487">
        <v>15052.07</v>
      </c>
      <c r="L6" s="441">
        <f>K6*'Emission Factor'!$L$22/1000</f>
        <v>40.906453712409999</v>
      </c>
      <c r="M6" s="441">
        <v>76.430000000000007</v>
      </c>
      <c r="N6" s="441">
        <f>M6*'Emission Factor'!$L$27/1000</f>
        <v>0.21189239196000001</v>
      </c>
      <c r="O6" s="442">
        <v>8369.7000000000007</v>
      </c>
      <c r="P6" s="441">
        <f>O6*'Emission Factor'!$L$27/1000</f>
        <v>23.2039219284</v>
      </c>
      <c r="Q6" s="441">
        <v>0</v>
      </c>
      <c r="R6" s="441">
        <f>Q6*'Emission Factor'!$L$28/1000</f>
        <v>0</v>
      </c>
      <c r="S6" s="486">
        <f>H6+J6+L6+N6+P6+R6</f>
        <v>64.322268032769998</v>
      </c>
      <c r="T6" s="441">
        <v>0</v>
      </c>
      <c r="U6" s="441">
        <f>(T6*'Emission Factor'!$B$32)/1000</f>
        <v>0</v>
      </c>
      <c r="V6" s="441">
        <v>4.76</v>
      </c>
      <c r="W6" s="441">
        <f>(V6*'Emission Factor'!$B$33)/1000</f>
        <v>8.2110000000000003</v>
      </c>
      <c r="X6" s="441">
        <v>181.44</v>
      </c>
      <c r="Y6" s="441">
        <f>(X6*'Emission Factor'!$B$34)/1000</f>
        <v>276.87743999999998</v>
      </c>
      <c r="Z6" s="441">
        <v>45</v>
      </c>
      <c r="AA6" s="441">
        <f>(Z6*'Emission Factor'!$B$35)/1000</f>
        <v>1026</v>
      </c>
      <c r="AB6" s="486">
        <f>U6+W6+Y6+AA6</f>
        <v>1311.08844</v>
      </c>
      <c r="AC6" s="442">
        <f>C6+E6+H6+J6+L6+N6+P6+R6+U6+W6+AA6+Y6</f>
        <v>2497.7220167328805</v>
      </c>
    </row>
    <row r="7" spans="1:29" ht="19" x14ac:dyDescent="0.2">
      <c r="A7" s="440" t="s">
        <v>171</v>
      </c>
      <c r="B7" s="485">
        <v>2538</v>
      </c>
      <c r="C7" s="441">
        <f>B7*'Emission Factor'!$L$7/1000</f>
        <v>6.6414279941999999</v>
      </c>
      <c r="D7" s="442">
        <f>'Yearly Towngas (TGU)'!G16</f>
        <v>422530.79459115805</v>
      </c>
      <c r="E7" s="442">
        <f>D7*'Emission Factor'!$L$8/1000</f>
        <v>1078.7234847636762</v>
      </c>
      <c r="F7" s="486">
        <f>C7+E7</f>
        <v>1085.3649127578763</v>
      </c>
      <c r="G7" s="441">
        <v>0</v>
      </c>
      <c r="H7" s="441">
        <f>G7*'Emission Factor'!$L$16/1000</f>
        <v>0</v>
      </c>
      <c r="I7" s="441">
        <v>0</v>
      </c>
      <c r="J7" s="441">
        <f>I7*'Emission Factor'!$L$22/1000</f>
        <v>0</v>
      </c>
      <c r="K7" s="487">
        <v>12974.05</v>
      </c>
      <c r="L7" s="441">
        <f>K7*'Emission Factor'!$L$22/1000</f>
        <v>35.259095645149998</v>
      </c>
      <c r="M7" s="441">
        <v>143.27500000000001</v>
      </c>
      <c r="N7" s="441">
        <f>M7*'Emission Factor'!$L$27/1000</f>
        <v>0.39721159829999997</v>
      </c>
      <c r="O7" s="442">
        <v>7503.07</v>
      </c>
      <c r="P7" s="441">
        <f>O7*'Emission Factor'!$L$27/1000</f>
        <v>20.80130118204</v>
      </c>
      <c r="Q7" s="441">
        <v>0</v>
      </c>
      <c r="R7" s="441">
        <f>Q7*'Emission Factor'!$L$28/1000</f>
        <v>0</v>
      </c>
      <c r="S7" s="486">
        <f>H7+J7+L7+N7+P7+R7</f>
        <v>56.457608425489994</v>
      </c>
      <c r="T7" s="441">
        <v>0</v>
      </c>
      <c r="U7" s="441">
        <f>(T7*'Emission Factor'!$B$32)/1000</f>
        <v>0</v>
      </c>
      <c r="V7" s="441">
        <v>4.54</v>
      </c>
      <c r="W7" s="441">
        <f>(V7*'Emission Factor'!$B$33)/1000</f>
        <v>7.8315000000000001</v>
      </c>
      <c r="X7" s="441">
        <v>46.81</v>
      </c>
      <c r="Y7" s="441">
        <f>(X7*'Emission Factor'!$B$34)/1000</f>
        <v>71.432059999999993</v>
      </c>
      <c r="Z7" s="441">
        <v>0</v>
      </c>
      <c r="AA7" s="441">
        <f>(Z7*'Emission Factor'!$B$35)/1000</f>
        <v>0</v>
      </c>
      <c r="AB7" s="486">
        <f>U7+W7+Y7+AA7</f>
        <v>79.263559999999998</v>
      </c>
      <c r="AC7" s="442">
        <f>C7+E7+H7+J7+L7+N7+P7+R7+U7+W7+AA7+Y7</f>
        <v>1221.0860811833663</v>
      </c>
    </row>
    <row r="8" spans="1:29" x14ac:dyDescent="0.15">
      <c r="L8" s="498">
        <f>(L7-L6)/L6</f>
        <v>-0.13805543024979292</v>
      </c>
      <c r="M8" s="498">
        <f t="shared" ref="M8:P8" si="0">(M7-M6)/M6</f>
        <v>0.87459112913777304</v>
      </c>
      <c r="N8" s="498">
        <f t="shared" si="0"/>
        <v>0.87459112913777293</v>
      </c>
      <c r="O8" s="498">
        <f t="shared" si="0"/>
        <v>-0.10354373513984981</v>
      </c>
      <c r="P8" s="498">
        <f t="shared" si="0"/>
        <v>-0.10354373513984971</v>
      </c>
    </row>
    <row r="9" spans="1:29" x14ac:dyDescent="0.15">
      <c r="C9" s="521">
        <f>C7/AC7</f>
        <v>5.4389515174587261E-3</v>
      </c>
      <c r="E9" s="521">
        <f>E7/AC7</f>
        <v>0.88341313637632723</v>
      </c>
    </row>
    <row r="10" spans="1:29" x14ac:dyDescent="0.15">
      <c r="S10" s="521">
        <f>S7/AC7</f>
        <v>4.6235567905889466E-2</v>
      </c>
      <c r="AB10" s="521">
        <f>AB7/AC7</f>
        <v>6.4912344200324448E-2</v>
      </c>
    </row>
    <row r="18" ht="16.25" customHeight="1" x14ac:dyDescent="0.15"/>
    <row r="19" ht="15" customHeight="1" x14ac:dyDescent="0.15"/>
    <row r="20" ht="15" customHeight="1" x14ac:dyDescent="0.15"/>
    <row r="36" ht="16.25" customHeight="1" x14ac:dyDescent="0.15"/>
  </sheetData>
  <protectedRanges>
    <protectedRange sqref="D5 A2:A4" name="Range1_2"/>
    <protectedRange sqref="D6" name="Range1_2_2"/>
  </protectedRanges>
  <mergeCells count="20">
    <mergeCell ref="X2:Y3"/>
    <mergeCell ref="Z2:AA3"/>
    <mergeCell ref="AB2:AB3"/>
    <mergeCell ref="AC2:AC3"/>
    <mergeCell ref="B1:E1"/>
    <mergeCell ref="G1:S1"/>
    <mergeCell ref="T1:AA1"/>
    <mergeCell ref="I2:J3"/>
    <mergeCell ref="K2:L3"/>
    <mergeCell ref="M2:N3"/>
    <mergeCell ref="O2:P3"/>
    <mergeCell ref="Q2:R3"/>
    <mergeCell ref="S2:S3"/>
    <mergeCell ref="T2:U3"/>
    <mergeCell ref="V2:W3"/>
    <mergeCell ref="A2:A4"/>
    <mergeCell ref="B2:C3"/>
    <mergeCell ref="D2:E3"/>
    <mergeCell ref="F2:F3"/>
    <mergeCell ref="G2:H3"/>
  </mergeCells>
  <phoneticPr fontId="9" type="noConversion"/>
  <pageMargins left="0.7" right="0.7" top="0.75" bottom="0.75" header="0.3" footer="0.3"/>
  <pageSetup paperSize="9"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5CCD-205A-0240-A9CA-1FE013A6CDB5}">
  <dimension ref="A1:Q14"/>
  <sheetViews>
    <sheetView workbookViewId="0">
      <selection activeCell="A9" sqref="A9"/>
    </sheetView>
  </sheetViews>
  <sheetFormatPr baseColWidth="10" defaultColWidth="11.5" defaultRowHeight="16" x14ac:dyDescent="0.2"/>
  <cols>
    <col min="1" max="1" width="13" style="55" bestFit="1" customWidth="1"/>
    <col min="2" max="2" width="15.83203125" style="55" customWidth="1"/>
    <col min="3" max="4" width="12.33203125" style="55" customWidth="1"/>
    <col min="5" max="5" width="13" style="55" customWidth="1"/>
    <col min="6" max="9" width="12.33203125" style="55" customWidth="1"/>
    <col min="10" max="10" width="13" style="55" customWidth="1"/>
    <col min="11" max="11" width="12.33203125" style="55" customWidth="1"/>
    <col min="12" max="12" width="14.83203125" style="55" customWidth="1"/>
    <col min="13" max="13" width="20.6640625" style="55" customWidth="1"/>
    <col min="14" max="14" width="13.33203125" style="55" bestFit="1" customWidth="1"/>
    <col min="15" max="15" width="20.6640625" style="55" customWidth="1"/>
    <col min="16" max="17" width="13.33203125" style="55" bestFit="1" customWidth="1"/>
    <col min="18" max="16384" width="11.5" style="55"/>
  </cols>
  <sheetData>
    <row r="1" spans="1:17" ht="18" thickBot="1" x14ac:dyDescent="0.25">
      <c r="A1" s="450"/>
      <c r="B1" s="645" t="s">
        <v>172</v>
      </c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6"/>
      <c r="O1" s="643" t="s">
        <v>173</v>
      </c>
      <c r="P1" s="644"/>
      <c r="Q1" s="443" t="s">
        <v>174</v>
      </c>
    </row>
    <row r="2" spans="1:17" ht="69" thickBot="1" x14ac:dyDescent="0.25">
      <c r="A2" s="525"/>
      <c r="B2" s="526" t="s">
        <v>175</v>
      </c>
      <c r="C2" s="527" t="s">
        <v>176</v>
      </c>
      <c r="D2" s="527" t="s">
        <v>177</v>
      </c>
      <c r="E2" s="527" t="s">
        <v>178</v>
      </c>
      <c r="F2" s="527" t="s">
        <v>179</v>
      </c>
      <c r="G2" s="527" t="s">
        <v>180</v>
      </c>
      <c r="H2" s="527" t="s">
        <v>181</v>
      </c>
      <c r="I2" s="527" t="s">
        <v>182</v>
      </c>
      <c r="J2" s="527" t="s">
        <v>183</v>
      </c>
      <c r="K2" s="527" t="s">
        <v>184</v>
      </c>
      <c r="L2" s="527" t="s">
        <v>185</v>
      </c>
      <c r="M2" s="528" t="s">
        <v>186</v>
      </c>
      <c r="N2" s="434" t="s">
        <v>164</v>
      </c>
      <c r="O2" s="444" t="s">
        <v>187</v>
      </c>
      <c r="P2" s="435" t="s">
        <v>164</v>
      </c>
      <c r="Q2" s="448" t="s">
        <v>164</v>
      </c>
    </row>
    <row r="3" spans="1:17" ht="18" thickBot="1" x14ac:dyDescent="0.25">
      <c r="A3" s="448" t="s">
        <v>169</v>
      </c>
      <c r="B3" s="449">
        <f>49860279.8632136*'Emission Factor (new)'!R39/1000</f>
        <v>19445.509146653305</v>
      </c>
      <c r="C3" s="449">
        <f>16935747.1367864*'Emission Factor (new)'!R39/1000</f>
        <v>6604.9413833466961</v>
      </c>
      <c r="D3" s="449">
        <f>1632560*'Emission Factor (new)'!R39/1000</f>
        <v>636.69839999999999</v>
      </c>
      <c r="E3" s="449">
        <f>4412027*'Emission Factor (new)'!R39/1000</f>
        <v>1720.6905300000001</v>
      </c>
      <c r="F3" s="449">
        <f>2699255*'Emission Factor (new)'!R39/1000</f>
        <v>1052.7094500000001</v>
      </c>
      <c r="G3" s="449">
        <f>654339*'Emission Factor (new)'!R39/1000</f>
        <v>255.19221000000002</v>
      </c>
      <c r="H3" s="449">
        <v>0</v>
      </c>
      <c r="I3" s="449">
        <f>1222009*'Emission Factor (new)'!R39/1000</f>
        <v>476.58350999999999</v>
      </c>
      <c r="J3" s="449"/>
      <c r="K3" s="449">
        <f>7872105*'Emission Factor (new)'!R39/1000</f>
        <v>3070.12095</v>
      </c>
      <c r="L3" s="449">
        <f>8644016*'Emission Factor (new)'!R39/1000</f>
        <v>3371.16624</v>
      </c>
      <c r="M3" s="449">
        <v>93932338</v>
      </c>
      <c r="N3" s="446">
        <f>M3*'Emission Factor'!$B$39/1000</f>
        <v>36633.611819999998</v>
      </c>
      <c r="O3" s="445">
        <v>411852.96439534758</v>
      </c>
      <c r="P3" s="445">
        <f>O3*'Emission Factor'!$B$40/1000</f>
        <v>237.22730749172018</v>
      </c>
      <c r="Q3" s="447">
        <f>N3+P3</f>
        <v>36870.839127491716</v>
      </c>
    </row>
    <row r="4" spans="1:17" ht="18" thickBot="1" x14ac:dyDescent="0.25">
      <c r="A4" s="448" t="s">
        <v>170</v>
      </c>
      <c r="B4" s="449">
        <f>50540568.68*'Emission Factor (new)'!S39/1000</f>
        <v>19710.821785200002</v>
      </c>
      <c r="C4" s="449">
        <f>17653437.02*'Emission Factor (new)'!S39/1000</f>
        <v>6884.8404378000005</v>
      </c>
      <c r="D4" s="449">
        <f>1497696*'Emission Factor (new)'!S39/1000</f>
        <v>584.10144000000003</v>
      </c>
      <c r="E4" s="449">
        <f>4746630*'Emission Factor (new)'!S39/1000</f>
        <v>1851.1857</v>
      </c>
      <c r="F4" s="449">
        <f>2713600*'Emission Factor (new)'!S39/1000</f>
        <v>1058.3040000000001</v>
      </c>
      <c r="G4" s="449">
        <f>588506*'Emission Factor (new)'!S39/1000</f>
        <v>229.51733999999999</v>
      </c>
      <c r="H4" s="449">
        <v>0</v>
      </c>
      <c r="I4" s="449">
        <f>1478893*'Emission Factor (new)'!S39/1000</f>
        <v>576.76827000000003</v>
      </c>
      <c r="J4" s="449"/>
      <c r="K4" s="449">
        <f>8307594*'Emission Factor (new)'!S39/1000</f>
        <v>3239.9616599999999</v>
      </c>
      <c r="L4" s="449">
        <f>9182416*'Emission Factor (new)'!S39/1000</f>
        <v>3581.1422400000001</v>
      </c>
      <c r="M4" s="449">
        <v>96709341</v>
      </c>
      <c r="N4" s="446">
        <f>M4*'Emission Factor'!$B$39/1000</f>
        <v>37716.64299</v>
      </c>
      <c r="O4" s="445">
        <v>436970</v>
      </c>
      <c r="P4" s="445">
        <f>O4*'Emission Factor'!$B$40/1000</f>
        <v>251.69471999999996</v>
      </c>
      <c r="Q4" s="445">
        <f>N4+P4</f>
        <v>37968.33771</v>
      </c>
    </row>
    <row r="5" spans="1:17" ht="18" thickBot="1" x14ac:dyDescent="0.25">
      <c r="A5" s="448" t="s">
        <v>171</v>
      </c>
      <c r="B5" s="449">
        <f>55859834.7*'Emission Factor (new)'!T39/1000</f>
        <v>21226.737186000002</v>
      </c>
      <c r="C5" s="449">
        <f>17987597.3*'Emission Factor (new)'!T39/1000</f>
        <v>6835.2869740000006</v>
      </c>
      <c r="D5" s="449">
        <f>1344476*'Emission Factor (new)'!T39/1000</f>
        <v>510.90088000000003</v>
      </c>
      <c r="E5" s="449">
        <f>4931340*'Emission Factor (new)'!T39/1000</f>
        <v>1873.9092000000001</v>
      </c>
      <c r="F5" s="449">
        <f>2904600*'Emission Factor (new)'!T39/1000</f>
        <v>1103.748</v>
      </c>
      <c r="G5" s="449">
        <f>597167*'Emission Factor (new)'!T39/1000</f>
        <v>226.92346000000001</v>
      </c>
      <c r="H5" s="449">
        <v>0</v>
      </c>
      <c r="I5" s="449">
        <f>1386485*'Emission Factor (new)'!T39/1000</f>
        <v>526.86430000000007</v>
      </c>
      <c r="J5" s="449">
        <f>818470*'Emission Factor (new)'!T39/1000</f>
        <v>311.01859999999999</v>
      </c>
      <c r="K5" s="449">
        <f>9591556*'Emission Factor (new)'!T39/1000</f>
        <v>3644.7912800000004</v>
      </c>
      <c r="L5" s="449">
        <f>9816543*'Emission Factor (new)'!T39/1000</f>
        <v>3730.2863399999997</v>
      </c>
      <c r="M5" s="449">
        <f>'Yearly Electricity Reformatted'!Q13</f>
        <v>105238070</v>
      </c>
      <c r="N5" s="446">
        <f>M5*'Emission Factor (new)'!B39/1000</f>
        <v>39990.4666</v>
      </c>
      <c r="O5" s="445">
        <f>'Yearly Towngas (TGU)'!G16</f>
        <v>422530.79459115805</v>
      </c>
      <c r="P5" s="445">
        <f>O5*'Emission Factor (new)'!B40/1000</f>
        <v>231.54687543595463</v>
      </c>
      <c r="Q5" s="445">
        <f>N5+P5</f>
        <v>40222.013475435953</v>
      </c>
    </row>
    <row r="6" spans="1:17" x14ac:dyDescent="0.2">
      <c r="M6" s="56"/>
    </row>
    <row r="7" spans="1:17" x14ac:dyDescent="0.2">
      <c r="B7" s="244"/>
      <c r="M7" s="244"/>
      <c r="N7" s="244"/>
      <c r="O7" s="244"/>
      <c r="P7" s="244"/>
      <c r="Q7" s="244"/>
    </row>
    <row r="8" spans="1:17" x14ac:dyDescent="0.2">
      <c r="B8" s="244"/>
      <c r="M8" s="244"/>
      <c r="N8" s="523">
        <f>N5/Q5</f>
        <v>0.99424327985028993</v>
      </c>
      <c r="P8" s="522">
        <f>P5/Q5</f>
        <v>5.7567201497101322E-3</v>
      </c>
    </row>
    <row r="9" spans="1:17" x14ac:dyDescent="0.2">
      <c r="B9" s="244"/>
      <c r="J9" s="56"/>
      <c r="M9" s="244"/>
      <c r="N9" s="244"/>
    </row>
    <row r="10" spans="1:17" x14ac:dyDescent="0.2">
      <c r="B10" s="56"/>
      <c r="M10" s="349"/>
    </row>
    <row r="11" spans="1:17" x14ac:dyDescent="0.2">
      <c r="M11" s="349"/>
    </row>
    <row r="12" spans="1:17" x14ac:dyDescent="0.2">
      <c r="M12" s="244"/>
    </row>
    <row r="14" spans="1:17" x14ac:dyDescent="0.2">
      <c r="M14" s="244"/>
    </row>
  </sheetData>
  <mergeCells count="2">
    <mergeCell ref="O1:P1"/>
    <mergeCell ref="B1:N1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B5C3-F707-AA4A-A5C1-1065D86F6DBE}">
  <dimension ref="A1:K45"/>
  <sheetViews>
    <sheetView workbookViewId="0">
      <selection activeCell="B43" sqref="B43"/>
    </sheetView>
  </sheetViews>
  <sheetFormatPr baseColWidth="10" defaultColWidth="11.5" defaultRowHeight="16" x14ac:dyDescent="0.2"/>
  <cols>
    <col min="1" max="1" width="11.5" style="1"/>
    <col min="2" max="2" width="12.1640625" style="1" bestFit="1" customWidth="1"/>
    <col min="3" max="3" width="11.5" style="1"/>
    <col min="4" max="4" width="15.83203125" style="1" customWidth="1"/>
    <col min="5" max="5" width="15.6640625" style="1" customWidth="1"/>
    <col min="6" max="6" width="24" style="1" bestFit="1" customWidth="1"/>
    <col min="7" max="7" width="23.6640625" style="1" bestFit="1" customWidth="1"/>
    <col min="8" max="16384" width="11.5" style="1"/>
  </cols>
  <sheetData>
    <row r="1" spans="1:9" ht="17" thickBot="1" x14ac:dyDescent="0.25">
      <c r="A1" s="452"/>
      <c r="B1" s="649" t="s">
        <v>188</v>
      </c>
      <c r="C1" s="650"/>
      <c r="D1" s="650"/>
      <c r="E1" s="650"/>
      <c r="F1" s="650" t="s">
        <v>189</v>
      </c>
      <c r="G1" s="650"/>
      <c r="H1" s="651"/>
      <c r="I1" s="239" t="s">
        <v>190</v>
      </c>
    </row>
    <row r="2" spans="1:9" x14ac:dyDescent="0.2">
      <c r="A2" s="652"/>
      <c r="B2" s="654" t="s">
        <v>191</v>
      </c>
      <c r="C2" s="655"/>
      <c r="D2" s="658" t="s">
        <v>192</v>
      </c>
      <c r="E2" s="660" t="s">
        <v>188</v>
      </c>
      <c r="F2" s="654" t="s">
        <v>193</v>
      </c>
      <c r="G2" s="662" t="s">
        <v>194</v>
      </c>
      <c r="H2" s="664" t="s">
        <v>189</v>
      </c>
      <c r="I2" s="647"/>
    </row>
    <row r="3" spans="1:9" ht="17" thickBot="1" x14ac:dyDescent="0.25">
      <c r="A3" s="653"/>
      <c r="B3" s="656"/>
      <c r="C3" s="657"/>
      <c r="D3" s="659"/>
      <c r="E3" s="661"/>
      <c r="F3" s="656"/>
      <c r="G3" s="663"/>
      <c r="H3" s="665"/>
      <c r="I3" s="648"/>
    </row>
    <row r="4" spans="1:9" ht="35" thickBot="1" x14ac:dyDescent="0.25">
      <c r="A4" s="653"/>
      <c r="B4" s="458" t="s">
        <v>195</v>
      </c>
      <c r="C4" s="459" t="s">
        <v>164</v>
      </c>
      <c r="D4" s="460" t="s">
        <v>164</v>
      </c>
      <c r="E4" s="461"/>
      <c r="F4" s="462" t="s">
        <v>196</v>
      </c>
      <c r="G4" s="463" t="s">
        <v>196</v>
      </c>
      <c r="H4" s="464" t="s">
        <v>164</v>
      </c>
      <c r="I4" s="448" t="s">
        <v>164</v>
      </c>
    </row>
    <row r="5" spans="1:9" hidden="1" x14ac:dyDescent="0.2">
      <c r="A5" s="468" t="s">
        <v>197</v>
      </c>
      <c r="B5" s="465"/>
      <c r="C5" s="447">
        <f>B5*'Emission Factor'!$B$45/1000</f>
        <v>0</v>
      </c>
      <c r="D5" s="447">
        <f>B5*'Emission Factor'!$B$46/1000</f>
        <v>0</v>
      </c>
      <c r="E5" s="456">
        <f>C5+D5</f>
        <v>0</v>
      </c>
      <c r="F5" s="451">
        <f>'Monthly Paper Distribution'!P144</f>
        <v>9989</v>
      </c>
      <c r="G5" s="451">
        <v>10655</v>
      </c>
      <c r="H5" s="456">
        <f>((F5-G5)*4.8)/1000</f>
        <v>-3.1967999999999996</v>
      </c>
      <c r="I5" s="457">
        <f>C5+D5+H5</f>
        <v>-3.1967999999999996</v>
      </c>
    </row>
    <row r="6" spans="1:9" hidden="1" x14ac:dyDescent="0.2">
      <c r="A6" s="469" t="s">
        <v>198</v>
      </c>
      <c r="B6" s="466"/>
      <c r="C6" s="445">
        <f>B6*'Emission Factor'!$B$45/1000</f>
        <v>0</v>
      </c>
      <c r="D6" s="445">
        <f>B6*'Emission Factor'!$B$46/1000</f>
        <v>0</v>
      </c>
      <c r="E6" s="453">
        <f t="shared" ref="E6:E16" si="0">C6+D6</f>
        <v>0</v>
      </c>
      <c r="F6" s="454">
        <f>'Monthly Paper Distribution'!P145</f>
        <v>13764.2</v>
      </c>
      <c r="G6" s="454">
        <v>11619</v>
      </c>
      <c r="H6" s="453">
        <f t="shared" ref="H6:H15" si="1">((F6-G6)*4.8)/1000</f>
        <v>10.296960000000002</v>
      </c>
      <c r="I6" s="344">
        <f t="shared" ref="I6:I15" si="2">C6+D6+H6</f>
        <v>10.296960000000002</v>
      </c>
    </row>
    <row r="7" spans="1:9" hidden="1" x14ac:dyDescent="0.2">
      <c r="A7" s="469" t="s">
        <v>199</v>
      </c>
      <c r="B7" s="466"/>
      <c r="C7" s="445">
        <f>B7*'Emission Factor'!$B$45/1000</f>
        <v>0</v>
      </c>
      <c r="D7" s="445">
        <f>B7*'Emission Factor'!$B$46/1000</f>
        <v>0</v>
      </c>
      <c r="E7" s="453">
        <f t="shared" si="0"/>
        <v>0</v>
      </c>
      <c r="F7" s="454">
        <f>'Monthly Paper Distribution'!P146</f>
        <v>17988.2</v>
      </c>
      <c r="G7" s="454">
        <v>13120</v>
      </c>
      <c r="H7" s="453">
        <f>((F7-G7)*4.8)/1000</f>
        <v>23.367360000000005</v>
      </c>
      <c r="I7" s="344">
        <f t="shared" si="2"/>
        <v>23.367360000000005</v>
      </c>
    </row>
    <row r="8" spans="1:9" hidden="1" x14ac:dyDescent="0.2">
      <c r="A8" s="469" t="s">
        <v>200</v>
      </c>
      <c r="B8" s="466"/>
      <c r="C8" s="445">
        <f>B8*'Emission Factor'!$B$45/1000</f>
        <v>0</v>
      </c>
      <c r="D8" s="445">
        <f>B8*'Emission Factor'!$B$46/1000</f>
        <v>0</v>
      </c>
      <c r="E8" s="453">
        <f t="shared" si="0"/>
        <v>0</v>
      </c>
      <c r="F8" s="454">
        <f>'Monthly Paper Distribution'!P147</f>
        <v>17983.400000000001</v>
      </c>
      <c r="G8" s="454">
        <v>13030</v>
      </c>
      <c r="H8" s="453">
        <f>((F8-G8)*4.8)/1000</f>
        <v>23.776320000000005</v>
      </c>
      <c r="I8" s="344">
        <f t="shared" si="2"/>
        <v>23.776320000000005</v>
      </c>
    </row>
    <row r="9" spans="1:9" hidden="1" x14ac:dyDescent="0.2">
      <c r="A9" s="469" t="s">
        <v>201</v>
      </c>
      <c r="B9" s="466"/>
      <c r="C9" s="445">
        <f>B9*'Emission Factor'!$B$45/1000</f>
        <v>0</v>
      </c>
      <c r="D9" s="445">
        <f>B9*'Emission Factor'!$B$46/1000</f>
        <v>0</v>
      </c>
      <c r="E9" s="453">
        <f t="shared" si="0"/>
        <v>0</v>
      </c>
      <c r="F9" s="454">
        <f>'Monthly Paper Distribution'!P148</f>
        <v>18314.599999999999</v>
      </c>
      <c r="G9" s="454">
        <v>12168</v>
      </c>
      <c r="H9" s="453">
        <f t="shared" si="1"/>
        <v>29.503679999999992</v>
      </c>
      <c r="I9" s="344">
        <f t="shared" si="2"/>
        <v>29.503679999999992</v>
      </c>
    </row>
    <row r="10" spans="1:9" hidden="1" x14ac:dyDescent="0.2">
      <c r="A10" s="469" t="s">
        <v>202</v>
      </c>
      <c r="B10" s="466"/>
      <c r="C10" s="445">
        <f>B10*'Emission Factor'!$B$45/1000</f>
        <v>0</v>
      </c>
      <c r="D10" s="445">
        <f>B10*'Emission Factor'!$B$46/1000</f>
        <v>0</v>
      </c>
      <c r="E10" s="453">
        <f t="shared" si="0"/>
        <v>0</v>
      </c>
      <c r="F10" s="454">
        <f>'Monthly Paper Distribution'!P149</f>
        <v>16377.8</v>
      </c>
      <c r="G10" s="454">
        <v>12209</v>
      </c>
      <c r="H10" s="453">
        <f t="shared" si="1"/>
        <v>20.010239999999996</v>
      </c>
      <c r="I10" s="344">
        <f t="shared" si="2"/>
        <v>20.010239999999996</v>
      </c>
    </row>
    <row r="11" spans="1:9" hidden="1" x14ac:dyDescent="0.2">
      <c r="A11" s="469" t="s">
        <v>203</v>
      </c>
      <c r="B11" s="466"/>
      <c r="C11" s="445">
        <f>B11*'Emission Factor'!$B$45/1000</f>
        <v>0</v>
      </c>
      <c r="D11" s="445">
        <f>B11*'Emission Factor'!$B$46/1000</f>
        <v>0</v>
      </c>
      <c r="E11" s="453">
        <f t="shared" si="0"/>
        <v>0</v>
      </c>
      <c r="F11" s="454">
        <f>'Monthly Paper Distribution'!P150</f>
        <v>12113</v>
      </c>
      <c r="G11" s="454">
        <v>9418</v>
      </c>
      <c r="H11" s="453">
        <f t="shared" si="1"/>
        <v>12.936</v>
      </c>
      <c r="I11" s="344">
        <f t="shared" si="2"/>
        <v>12.936</v>
      </c>
    </row>
    <row r="12" spans="1:9" hidden="1" x14ac:dyDescent="0.2">
      <c r="A12" s="469" t="s">
        <v>204</v>
      </c>
      <c r="B12" s="466"/>
      <c r="C12" s="445">
        <f>B12*'Emission Factor'!$B$45/1000</f>
        <v>0</v>
      </c>
      <c r="D12" s="445">
        <f>B12*'Emission Factor'!$B$46/1000</f>
        <v>0</v>
      </c>
      <c r="E12" s="453">
        <f t="shared" si="0"/>
        <v>0</v>
      </c>
      <c r="F12" s="454">
        <f>'Monthly Paper Distribution'!P151</f>
        <v>13146.6</v>
      </c>
      <c r="G12" s="454">
        <v>10379</v>
      </c>
      <c r="H12" s="453">
        <f t="shared" si="1"/>
        <v>13.284480000000002</v>
      </c>
      <c r="I12" s="344">
        <f t="shared" si="2"/>
        <v>13.284480000000002</v>
      </c>
    </row>
    <row r="13" spans="1:9" hidden="1" x14ac:dyDescent="0.2">
      <c r="A13" s="469" t="s">
        <v>205</v>
      </c>
      <c r="B13" s="466"/>
      <c r="C13" s="445">
        <f>B13*'Emission Factor'!$B$45/1000</f>
        <v>0</v>
      </c>
      <c r="D13" s="445">
        <f>B13*'Emission Factor'!$B$46/1000</f>
        <v>0</v>
      </c>
      <c r="E13" s="453">
        <f t="shared" si="0"/>
        <v>0</v>
      </c>
      <c r="F13" s="454">
        <f>'Monthly Paper Distribution'!P152</f>
        <v>17890.599999999999</v>
      </c>
      <c r="G13" s="454">
        <v>11198</v>
      </c>
      <c r="H13" s="453">
        <f t="shared" si="1"/>
        <v>32.124479999999991</v>
      </c>
      <c r="I13" s="344">
        <f t="shared" si="2"/>
        <v>32.124479999999991</v>
      </c>
    </row>
    <row r="14" spans="1:9" hidden="1" x14ac:dyDescent="0.2">
      <c r="A14" s="469" t="s">
        <v>206</v>
      </c>
      <c r="B14" s="466"/>
      <c r="C14" s="445">
        <f>B14*'Emission Factor'!$B$45/1000</f>
        <v>0</v>
      </c>
      <c r="D14" s="445">
        <f>B14*'Emission Factor'!$B$46/1000</f>
        <v>0</v>
      </c>
      <c r="E14" s="453">
        <f t="shared" si="0"/>
        <v>0</v>
      </c>
      <c r="F14" s="454">
        <f>'Monthly Paper Distribution'!P153</f>
        <v>15096.2</v>
      </c>
      <c r="G14" s="454">
        <v>10871</v>
      </c>
      <c r="H14" s="453">
        <f t="shared" si="1"/>
        <v>20.280960000000004</v>
      </c>
      <c r="I14" s="344">
        <f t="shared" si="2"/>
        <v>20.280960000000004</v>
      </c>
    </row>
    <row r="15" spans="1:9" hidden="1" x14ac:dyDescent="0.2">
      <c r="A15" s="469" t="s">
        <v>207</v>
      </c>
      <c r="B15" s="466"/>
      <c r="C15" s="445">
        <f>B15*'Emission Factor'!$B$45/1000</f>
        <v>0</v>
      </c>
      <c r="D15" s="445">
        <f>B15*'Emission Factor'!$B$46/1000</f>
        <v>0</v>
      </c>
      <c r="E15" s="453">
        <f t="shared" si="0"/>
        <v>0</v>
      </c>
      <c r="F15" s="454">
        <f>'Monthly Paper Distribution'!P154</f>
        <v>15259.400000000001</v>
      </c>
      <c r="G15" s="454">
        <v>10533</v>
      </c>
      <c r="H15" s="453">
        <f t="shared" si="1"/>
        <v>22.686720000000005</v>
      </c>
      <c r="I15" s="344">
        <f t="shared" si="2"/>
        <v>22.686720000000005</v>
      </c>
    </row>
    <row r="16" spans="1:9" ht="17" hidden="1" thickBot="1" x14ac:dyDescent="0.25">
      <c r="A16" s="469" t="s">
        <v>208</v>
      </c>
      <c r="B16" s="466">
        <f>'Annual Report (Water)'!J11</f>
        <v>470431.66599999997</v>
      </c>
      <c r="C16" s="445">
        <f>B16*'Emission Factor'!$B$45/1000</f>
        <v>201.34475304799997</v>
      </c>
      <c r="D16" s="445">
        <f>B16*'Emission Factor'!$B$46/1000</f>
        <v>98.790649859999988</v>
      </c>
      <c r="E16" s="453">
        <f t="shared" si="0"/>
        <v>300.13540290799995</v>
      </c>
      <c r="F16" s="454">
        <f>'Monthly Paper Distribution'!P155</f>
        <v>15911.8</v>
      </c>
      <c r="G16" s="455">
        <v>10392</v>
      </c>
      <c r="H16" s="453">
        <f>((F16-G16)*4.8)/1000</f>
        <v>26.495039999999996</v>
      </c>
      <c r="I16" s="344">
        <f>C16+D16+H16</f>
        <v>326.63044290799996</v>
      </c>
    </row>
    <row r="17" spans="1:9" ht="17" thickBot="1" x14ac:dyDescent="0.25">
      <c r="A17" s="470" t="s">
        <v>169</v>
      </c>
      <c r="B17" s="467">
        <f>'Annual Report (Water)'!J11</f>
        <v>470431.66599999997</v>
      </c>
      <c r="C17" s="445">
        <f>B17*'Emission Factor'!$B$45/1000</f>
        <v>201.34475304799997</v>
      </c>
      <c r="D17" s="445">
        <f>B17*'Emission Factor'!$B$46/1000</f>
        <v>98.790649859999988</v>
      </c>
      <c r="E17" s="445">
        <f>C17+D17</f>
        <v>300.13540290799995</v>
      </c>
      <c r="F17" s="445">
        <f>SUM(F5:F16)</f>
        <v>183834.8</v>
      </c>
      <c r="G17" s="445">
        <f>SUM(G5:G16)</f>
        <v>135592</v>
      </c>
      <c r="H17" s="445">
        <f>SUM(H5:H16)</f>
        <v>231.56543999999997</v>
      </c>
      <c r="I17" s="445">
        <f>SUM(I5:I16)</f>
        <v>531.70084290799991</v>
      </c>
    </row>
    <row r="18" spans="1:9" hidden="1" x14ac:dyDescent="0.2">
      <c r="A18" s="469" t="s">
        <v>197</v>
      </c>
      <c r="B18" s="466"/>
      <c r="C18" s="445">
        <f>B18*'Emission Factor'!$B$45/1000</f>
        <v>0</v>
      </c>
      <c r="D18" s="445">
        <f>B18*'Emission Factor'!$B$46/1000</f>
        <v>0</v>
      </c>
      <c r="E18" s="445">
        <f>C18+D18</f>
        <v>0</v>
      </c>
      <c r="F18" s="454">
        <f>'Monthly Paper Distribution'!P156</f>
        <v>11982.8</v>
      </c>
      <c r="G18" s="454">
        <f>'Raw Data (KG)'!D122</f>
        <v>10670</v>
      </c>
      <c r="H18" s="445">
        <f>((F18-G18)*4.8)/1000</f>
        <v>6.3014399999999959</v>
      </c>
      <c r="I18" s="344">
        <f>C18+D18+H18</f>
        <v>6.3014399999999959</v>
      </c>
    </row>
    <row r="19" spans="1:9" hidden="1" x14ac:dyDescent="0.2">
      <c r="A19" s="469" t="s">
        <v>198</v>
      </c>
      <c r="B19" s="466"/>
      <c r="C19" s="445">
        <f>B19*'Emission Factor'!$B$45/1000</f>
        <v>0</v>
      </c>
      <c r="D19" s="445">
        <f>B19*'Emission Factor'!$B$46/1000</f>
        <v>0</v>
      </c>
      <c r="E19" s="445">
        <f t="shared" ref="E19:E29" si="3">C19+D19</f>
        <v>0</v>
      </c>
      <c r="F19" s="454">
        <f>'Monthly Paper Distribution'!P157</f>
        <v>12947.8</v>
      </c>
      <c r="G19" s="454">
        <f>'Raw Data (KG)'!D123</f>
        <v>10732</v>
      </c>
      <c r="H19" s="445">
        <f t="shared" ref="H19" si="4">((F19-G19)*4.8)/1000</f>
        <v>10.635839999999996</v>
      </c>
      <c r="I19" s="344">
        <f t="shared" ref="I19:I28" si="5">C19+D19+H19</f>
        <v>10.635839999999996</v>
      </c>
    </row>
    <row r="20" spans="1:9" hidden="1" x14ac:dyDescent="0.2">
      <c r="A20" s="469" t="s">
        <v>199</v>
      </c>
      <c r="B20" s="466"/>
      <c r="C20" s="445">
        <f>B20*'Emission Factor'!$B$45/1000</f>
        <v>0</v>
      </c>
      <c r="D20" s="445">
        <f>B20*'Emission Factor'!$B$46/1000</f>
        <v>0</v>
      </c>
      <c r="E20" s="445">
        <f t="shared" si="3"/>
        <v>0</v>
      </c>
      <c r="F20" s="454">
        <f>'Monthly Paper Distribution'!P158</f>
        <v>12120.3</v>
      </c>
      <c r="G20" s="454">
        <f>'Raw Data (KG)'!D124</f>
        <v>11135</v>
      </c>
      <c r="H20" s="445">
        <f>((F20-G20)*4.8)/1000</f>
        <v>4.7294399999999959</v>
      </c>
      <c r="I20" s="344">
        <f t="shared" si="5"/>
        <v>4.7294399999999959</v>
      </c>
    </row>
    <row r="21" spans="1:9" hidden="1" x14ac:dyDescent="0.2">
      <c r="A21" s="469" t="s">
        <v>200</v>
      </c>
      <c r="B21" s="466"/>
      <c r="C21" s="445">
        <f>B21*'Emission Factor'!$B$45/1000</f>
        <v>0</v>
      </c>
      <c r="D21" s="445">
        <f>B21*'Emission Factor'!$B$46/1000</f>
        <v>0</v>
      </c>
      <c r="E21" s="445">
        <f t="shared" si="3"/>
        <v>0</v>
      </c>
      <c r="F21" s="454">
        <f>'Monthly Paper Distribution'!P159</f>
        <v>12455.3</v>
      </c>
      <c r="G21" s="454">
        <f>'Raw Data (KG)'!D125</f>
        <v>11304</v>
      </c>
      <c r="H21" s="445">
        <f>((F21-G21)*4.8)/1000</f>
        <v>5.526239999999996</v>
      </c>
      <c r="I21" s="344">
        <f t="shared" si="5"/>
        <v>5.526239999999996</v>
      </c>
    </row>
    <row r="22" spans="1:9" hidden="1" x14ac:dyDescent="0.2">
      <c r="A22" s="469" t="s">
        <v>201</v>
      </c>
      <c r="B22" s="466"/>
      <c r="C22" s="445">
        <f>B22*'Emission Factor'!$B$45/1000</f>
        <v>0</v>
      </c>
      <c r="D22" s="445">
        <f>B22*'Emission Factor'!$B$46/1000</f>
        <v>0</v>
      </c>
      <c r="E22" s="445">
        <f t="shared" si="3"/>
        <v>0</v>
      </c>
      <c r="F22" s="454">
        <f>'Monthly Paper Distribution'!P160</f>
        <v>18868.900000000001</v>
      </c>
      <c r="G22" s="454">
        <f>'Raw Data (KG)'!D126</f>
        <v>13460</v>
      </c>
      <c r="H22" s="445">
        <f t="shared" ref="H22:H28" si="6">((F22-G22)*4.8)/1000</f>
        <v>25.962720000000004</v>
      </c>
      <c r="I22" s="344">
        <f t="shared" si="5"/>
        <v>25.962720000000004</v>
      </c>
    </row>
    <row r="23" spans="1:9" hidden="1" x14ac:dyDescent="0.2">
      <c r="A23" s="469" t="s">
        <v>202</v>
      </c>
      <c r="B23" s="466"/>
      <c r="C23" s="445">
        <f>B23*'Emission Factor'!$B$45/1000</f>
        <v>0</v>
      </c>
      <c r="D23" s="445">
        <f>B23*'Emission Factor'!$B$46/1000</f>
        <v>0</v>
      </c>
      <c r="E23" s="445">
        <f t="shared" si="3"/>
        <v>0</v>
      </c>
      <c r="F23" s="454">
        <f>'Monthly Paper Distribution'!P161</f>
        <v>15873.8</v>
      </c>
      <c r="G23" s="454">
        <f>'Raw Data (KG)'!D127</f>
        <v>13442</v>
      </c>
      <c r="H23" s="445">
        <f t="shared" si="6"/>
        <v>11.672639999999996</v>
      </c>
      <c r="I23" s="344">
        <f t="shared" si="5"/>
        <v>11.672639999999996</v>
      </c>
    </row>
    <row r="24" spans="1:9" hidden="1" x14ac:dyDescent="0.2">
      <c r="A24" s="469" t="s">
        <v>203</v>
      </c>
      <c r="B24" s="466"/>
      <c r="C24" s="445">
        <f>B24*'Emission Factor'!$B$45/1000</f>
        <v>0</v>
      </c>
      <c r="D24" s="445">
        <f>B24*'Emission Factor'!$B$46/1000</f>
        <v>0</v>
      </c>
      <c r="E24" s="445">
        <f t="shared" si="3"/>
        <v>0</v>
      </c>
      <c r="F24" s="454">
        <f>'Monthly Paper Distribution'!P162</f>
        <v>13304.6</v>
      </c>
      <c r="G24" s="454">
        <f>'Raw Data (KG)'!D128</f>
        <v>13416</v>
      </c>
      <c r="H24" s="445">
        <f t="shared" si="6"/>
        <v>-0.5347199999999982</v>
      </c>
      <c r="I24" s="344">
        <f t="shared" si="5"/>
        <v>-0.5347199999999982</v>
      </c>
    </row>
    <row r="25" spans="1:9" hidden="1" x14ac:dyDescent="0.2">
      <c r="A25" s="469" t="s">
        <v>204</v>
      </c>
      <c r="B25" s="466"/>
      <c r="C25" s="445">
        <f>B25*'Emission Factor'!$B$45/1000</f>
        <v>0</v>
      </c>
      <c r="D25" s="445">
        <f>B25*'Emission Factor'!$B$46/1000</f>
        <v>0</v>
      </c>
      <c r="E25" s="445">
        <f t="shared" si="3"/>
        <v>0</v>
      </c>
      <c r="F25" s="454">
        <f>'Monthly Paper Distribution'!P163</f>
        <v>13043.900000000001</v>
      </c>
      <c r="G25" s="454">
        <f>'Raw Data (KG)'!D129</f>
        <v>12589</v>
      </c>
      <c r="H25" s="445">
        <f t="shared" si="6"/>
        <v>2.1835200000000068</v>
      </c>
      <c r="I25" s="344">
        <f t="shared" si="5"/>
        <v>2.1835200000000068</v>
      </c>
    </row>
    <row r="26" spans="1:9" hidden="1" x14ac:dyDescent="0.2">
      <c r="A26" s="469" t="s">
        <v>205</v>
      </c>
      <c r="B26" s="466"/>
      <c r="C26" s="445">
        <f>B26*'Emission Factor'!$B$45/1000</f>
        <v>0</v>
      </c>
      <c r="D26" s="445">
        <f>B26*'Emission Factor'!$B$46/1000</f>
        <v>0</v>
      </c>
      <c r="E26" s="445">
        <f t="shared" si="3"/>
        <v>0</v>
      </c>
      <c r="F26" s="454">
        <f>'Monthly Paper Distribution'!P164</f>
        <v>16142.900000000001</v>
      </c>
      <c r="G26" s="454">
        <f>'Raw Data (KG)'!D130</f>
        <v>13346</v>
      </c>
      <c r="H26" s="445">
        <f t="shared" si="6"/>
        <v>13.425120000000007</v>
      </c>
      <c r="I26" s="344">
        <f t="shared" si="5"/>
        <v>13.425120000000007</v>
      </c>
    </row>
    <row r="27" spans="1:9" hidden="1" x14ac:dyDescent="0.2">
      <c r="A27" s="469" t="s">
        <v>206</v>
      </c>
      <c r="B27" s="466"/>
      <c r="C27" s="445">
        <f>B27*'Emission Factor'!$B$45/1000</f>
        <v>0</v>
      </c>
      <c r="D27" s="445">
        <f>B27*'Emission Factor'!$B$46/1000</f>
        <v>0</v>
      </c>
      <c r="E27" s="445">
        <f t="shared" si="3"/>
        <v>0</v>
      </c>
      <c r="F27" s="454">
        <f>'Monthly Paper Distribution'!P165</f>
        <v>13279.400000000001</v>
      </c>
      <c r="G27" s="454">
        <f>'Raw Data (KG)'!D131</f>
        <v>12371</v>
      </c>
      <c r="H27" s="445">
        <f t="shared" si="6"/>
        <v>4.3603200000000069</v>
      </c>
      <c r="I27" s="344">
        <f t="shared" si="5"/>
        <v>4.3603200000000069</v>
      </c>
    </row>
    <row r="28" spans="1:9" hidden="1" x14ac:dyDescent="0.2">
      <c r="A28" s="469" t="s">
        <v>207</v>
      </c>
      <c r="B28" s="466"/>
      <c r="C28" s="445">
        <f>B28*'Emission Factor'!$B$45/1000</f>
        <v>0</v>
      </c>
      <c r="D28" s="445">
        <f>B28*'Emission Factor'!$B$46/1000</f>
        <v>0</v>
      </c>
      <c r="E28" s="445">
        <f t="shared" si="3"/>
        <v>0</v>
      </c>
      <c r="F28" s="454">
        <f>'Monthly Paper Distribution'!P166</f>
        <v>19024.400000000001</v>
      </c>
      <c r="G28" s="454">
        <f>'Raw Data (KG)'!D132</f>
        <v>13434</v>
      </c>
      <c r="H28" s="445">
        <f t="shared" si="6"/>
        <v>26.833920000000006</v>
      </c>
      <c r="I28" s="344">
        <f t="shared" si="5"/>
        <v>26.833920000000006</v>
      </c>
    </row>
    <row r="29" spans="1:9" ht="17" hidden="1" thickBot="1" x14ac:dyDescent="0.25">
      <c r="A29" s="469" t="s">
        <v>208</v>
      </c>
      <c r="B29" s="466">
        <f>'Annual Report (Water)'!J12</f>
        <v>463486</v>
      </c>
      <c r="C29" s="445">
        <f>B29*'Emission Factor'!$B$45/1000</f>
        <v>198.37200799999999</v>
      </c>
      <c r="D29" s="445">
        <f>B29*'Emission Factor'!$B$46/1000</f>
        <v>97.332059999999998</v>
      </c>
      <c r="E29" s="445">
        <f t="shared" si="3"/>
        <v>295.70406800000001</v>
      </c>
      <c r="F29" s="454">
        <f>'Monthly Paper Distribution'!P167</f>
        <v>9496.9</v>
      </c>
      <c r="G29" s="454">
        <f>'Raw Data (KG)'!D133</f>
        <v>12778</v>
      </c>
      <c r="H29" s="445">
        <f>((F29-G29)*4.8)/1000</f>
        <v>-15.749280000000001</v>
      </c>
      <c r="I29" s="344">
        <f>C29+D29+H29</f>
        <v>279.95478800000001</v>
      </c>
    </row>
    <row r="30" spans="1:9" ht="17" thickBot="1" x14ac:dyDescent="0.25">
      <c r="A30" s="470" t="s">
        <v>170</v>
      </c>
      <c r="B30" s="467">
        <f>'Annual Report (Water)'!J12</f>
        <v>463486</v>
      </c>
      <c r="C30" s="445">
        <f>B30*'Emission Factor'!$B$45/1000</f>
        <v>198.37200799999999</v>
      </c>
      <c r="D30" s="445">
        <f>B30*'Emission Factor'!$B$46/1000</f>
        <v>97.332059999999998</v>
      </c>
      <c r="E30" s="445">
        <f>C30+D30</f>
        <v>295.70406800000001</v>
      </c>
      <c r="F30" s="445">
        <f>SUM(F18:F29)</f>
        <v>168541</v>
      </c>
      <c r="G30" s="445">
        <f>SUM(G18:G29)</f>
        <v>148677</v>
      </c>
      <c r="H30" s="445">
        <f>SUM(H18:H29)</f>
        <v>95.347200000000015</v>
      </c>
      <c r="I30" s="445">
        <f>SUM(I18:I29)</f>
        <v>391.05126800000005</v>
      </c>
    </row>
    <row r="31" spans="1:9" hidden="1" x14ac:dyDescent="0.2">
      <c r="A31" s="469" t="s">
        <v>197</v>
      </c>
      <c r="B31" s="466"/>
      <c r="C31" s="445">
        <f>B31*'Emission Factor'!$B$45/1000</f>
        <v>0</v>
      </c>
      <c r="D31" s="445">
        <f>B31*'Emission Factor'!$B$46/1000</f>
        <v>0</v>
      </c>
      <c r="E31" s="445">
        <f>C31+D31</f>
        <v>0</v>
      </c>
      <c r="F31" s="454">
        <f>'Monthly Paper Distribution'!P168</f>
        <v>11543.900000000001</v>
      </c>
      <c r="G31" s="454">
        <f>'Raw Data (KG)'!D134</f>
        <v>12412</v>
      </c>
      <c r="H31" s="445">
        <f>((F31-G31)*4.8)/1000</f>
        <v>-4.1668799999999928</v>
      </c>
      <c r="I31" s="344">
        <f>C31+D31+H31</f>
        <v>-4.1668799999999928</v>
      </c>
    </row>
    <row r="32" spans="1:9" hidden="1" x14ac:dyDescent="0.2">
      <c r="A32" s="469" t="s">
        <v>198</v>
      </c>
      <c r="B32" s="466"/>
      <c r="C32" s="445">
        <f>B32*'Emission Factor'!$B$45/1000</f>
        <v>0</v>
      </c>
      <c r="D32" s="445">
        <f>B32*'Emission Factor'!$B$46/1000</f>
        <v>0</v>
      </c>
      <c r="E32" s="445">
        <f t="shared" ref="E32:E42" si="7">C32+D32</f>
        <v>0</v>
      </c>
      <c r="F32" s="454">
        <f>'Monthly Paper Distribution'!P169</f>
        <v>13710.6</v>
      </c>
      <c r="G32" s="454">
        <f>'Raw Data (KG)'!D135</f>
        <v>13553</v>
      </c>
      <c r="H32" s="445">
        <f t="shared" ref="H32" si="8">((F32-G32)*4.8)/1000</f>
        <v>0.75648000000000171</v>
      </c>
      <c r="I32" s="344">
        <f t="shared" ref="I32:I41" si="9">C32+D32+H32</f>
        <v>0.75648000000000171</v>
      </c>
    </row>
    <row r="33" spans="1:11" hidden="1" x14ac:dyDescent="0.2">
      <c r="A33" s="469" t="s">
        <v>199</v>
      </c>
      <c r="B33" s="466"/>
      <c r="C33" s="445">
        <f>B33*'Emission Factor'!$B$45/1000</f>
        <v>0</v>
      </c>
      <c r="D33" s="445">
        <f>B33*'Emission Factor'!$B$46/1000</f>
        <v>0</v>
      </c>
      <c r="E33" s="445">
        <f t="shared" si="7"/>
        <v>0</v>
      </c>
      <c r="F33" s="454">
        <f>'Monthly Paper Distribution'!P170</f>
        <v>14094.5</v>
      </c>
      <c r="G33" s="454">
        <f>'Raw Data (KG)'!D136</f>
        <v>13355</v>
      </c>
      <c r="H33" s="445">
        <f>((F33-G33)*4.8)/1000</f>
        <v>3.5495999999999999</v>
      </c>
      <c r="I33" s="344">
        <f t="shared" si="9"/>
        <v>3.5495999999999999</v>
      </c>
    </row>
    <row r="34" spans="1:11" hidden="1" x14ac:dyDescent="0.2">
      <c r="A34" s="469" t="s">
        <v>200</v>
      </c>
      <c r="B34" s="466"/>
      <c r="C34" s="445">
        <f>B34*'Emission Factor'!$B$45/1000</f>
        <v>0</v>
      </c>
      <c r="D34" s="445">
        <f>B34*'Emission Factor'!$B$46/1000</f>
        <v>0</v>
      </c>
      <c r="E34" s="445">
        <f t="shared" si="7"/>
        <v>0</v>
      </c>
      <c r="F34" s="454">
        <f>'Monthly Paper Distribution'!P171</f>
        <v>18652</v>
      </c>
      <c r="G34" s="454">
        <f>'Raw Data (KG)'!D137</f>
        <v>14395</v>
      </c>
      <c r="H34" s="445">
        <f>((F34-G34)*4.8)/1000</f>
        <v>20.433599999999998</v>
      </c>
      <c r="I34" s="344">
        <f t="shared" si="9"/>
        <v>20.433599999999998</v>
      </c>
    </row>
    <row r="35" spans="1:11" hidden="1" x14ac:dyDescent="0.2">
      <c r="A35" s="469" t="s">
        <v>201</v>
      </c>
      <c r="B35" s="466"/>
      <c r="C35" s="445">
        <f>B35*'Emission Factor'!$B$45/1000</f>
        <v>0</v>
      </c>
      <c r="D35" s="445">
        <f>B35*'Emission Factor'!$B$46/1000</f>
        <v>0</v>
      </c>
      <c r="E35" s="445">
        <f t="shared" si="7"/>
        <v>0</v>
      </c>
      <c r="F35" s="454">
        <f>'Monthly Paper Distribution'!P172</f>
        <v>15152.7</v>
      </c>
      <c r="G35" s="454">
        <f>'Raw Data (KG)'!D138</f>
        <v>13980</v>
      </c>
      <c r="H35" s="445">
        <f t="shared" ref="H35:H41" si="10">((F35-G35)*4.8)/1000</f>
        <v>5.6289600000000037</v>
      </c>
      <c r="I35" s="344">
        <f t="shared" si="9"/>
        <v>5.6289600000000037</v>
      </c>
    </row>
    <row r="36" spans="1:11" hidden="1" x14ac:dyDescent="0.2">
      <c r="A36" s="469" t="s">
        <v>202</v>
      </c>
      <c r="B36" s="466"/>
      <c r="C36" s="445">
        <f>B36*'Emission Factor'!$B$45/1000</f>
        <v>0</v>
      </c>
      <c r="D36" s="445">
        <f>B36*'Emission Factor'!$B$46/1000</f>
        <v>0</v>
      </c>
      <c r="E36" s="445">
        <f t="shared" si="7"/>
        <v>0</v>
      </c>
      <c r="F36" s="454">
        <f>'Monthly Paper Distribution'!P173</f>
        <v>14050.1</v>
      </c>
      <c r="G36" s="454">
        <f>'Raw Data (KG)'!D139</f>
        <v>13076</v>
      </c>
      <c r="H36" s="445">
        <f t="shared" si="10"/>
        <v>4.6756800000000016</v>
      </c>
      <c r="I36" s="344">
        <f t="shared" si="9"/>
        <v>4.6756800000000016</v>
      </c>
    </row>
    <row r="37" spans="1:11" hidden="1" x14ac:dyDescent="0.2">
      <c r="A37" s="469" t="s">
        <v>203</v>
      </c>
      <c r="B37" s="466"/>
      <c r="C37" s="445">
        <f>B37*'Emission Factor'!$B$45/1000</f>
        <v>0</v>
      </c>
      <c r="D37" s="445">
        <f>B37*'Emission Factor'!$B$46/1000</f>
        <v>0</v>
      </c>
      <c r="E37" s="445">
        <f t="shared" si="7"/>
        <v>0</v>
      </c>
      <c r="F37" s="454">
        <f>'Monthly Paper Distribution'!P174</f>
        <v>12611.8</v>
      </c>
      <c r="G37" s="454">
        <f>'Raw Data (KG)'!D140</f>
        <v>12180</v>
      </c>
      <c r="H37" s="445">
        <f t="shared" si="10"/>
        <v>2.0726399999999963</v>
      </c>
      <c r="I37" s="344">
        <f t="shared" si="9"/>
        <v>2.0726399999999963</v>
      </c>
    </row>
    <row r="38" spans="1:11" hidden="1" x14ac:dyDescent="0.2">
      <c r="A38" s="469" t="s">
        <v>204</v>
      </c>
      <c r="B38" s="466"/>
      <c r="C38" s="445">
        <f>B38*'Emission Factor'!$B$45/1000</f>
        <v>0</v>
      </c>
      <c r="D38" s="445">
        <f>B38*'Emission Factor'!$B$46/1000</f>
        <v>0</v>
      </c>
      <c r="E38" s="445">
        <f t="shared" si="7"/>
        <v>0</v>
      </c>
      <c r="F38" s="454">
        <f>'Monthly Paper Distribution'!P175</f>
        <v>13994.2</v>
      </c>
      <c r="G38" s="454">
        <f>'Raw Data (KG)'!D141</f>
        <v>12819</v>
      </c>
      <c r="H38" s="445">
        <f t="shared" si="10"/>
        <v>5.6409600000000033</v>
      </c>
      <c r="I38" s="344">
        <f t="shared" si="9"/>
        <v>5.6409600000000033</v>
      </c>
    </row>
    <row r="39" spans="1:11" hidden="1" x14ac:dyDescent="0.2">
      <c r="A39" s="469" t="s">
        <v>205</v>
      </c>
      <c r="B39" s="466"/>
      <c r="C39" s="445">
        <f>B39*'Emission Factor'!$B$45/1000</f>
        <v>0</v>
      </c>
      <c r="D39" s="445">
        <f>B39*'Emission Factor'!$B$46/1000</f>
        <v>0</v>
      </c>
      <c r="E39" s="445">
        <f t="shared" si="7"/>
        <v>0</v>
      </c>
      <c r="F39" s="454">
        <f>'Monthly Paper Distribution'!P176</f>
        <v>14579.8</v>
      </c>
      <c r="G39" s="454">
        <f>'Raw Data (KG)'!D142</f>
        <v>13802</v>
      </c>
      <c r="H39" s="445">
        <f t="shared" si="10"/>
        <v>3.7334399999999963</v>
      </c>
      <c r="I39" s="344">
        <f t="shared" si="9"/>
        <v>3.7334399999999963</v>
      </c>
    </row>
    <row r="40" spans="1:11" hidden="1" x14ac:dyDescent="0.2">
      <c r="A40" s="469" t="s">
        <v>206</v>
      </c>
      <c r="B40" s="466"/>
      <c r="C40" s="445">
        <f>B40*'Emission Factor'!$B$45/1000</f>
        <v>0</v>
      </c>
      <c r="D40" s="445">
        <f>B40*'Emission Factor'!$B$46/1000</f>
        <v>0</v>
      </c>
      <c r="E40" s="445">
        <f t="shared" si="7"/>
        <v>0</v>
      </c>
      <c r="F40" s="454">
        <f>'Monthly Paper Distribution'!P177</f>
        <v>16071.3</v>
      </c>
      <c r="G40" s="454">
        <f>'Raw Data (KG)'!D143</f>
        <v>13793</v>
      </c>
      <c r="H40" s="445">
        <f t="shared" si="10"/>
        <v>10.935839999999997</v>
      </c>
      <c r="I40" s="344">
        <f t="shared" si="9"/>
        <v>10.935839999999997</v>
      </c>
    </row>
    <row r="41" spans="1:11" hidden="1" x14ac:dyDescent="0.2">
      <c r="A41" s="469" t="s">
        <v>207</v>
      </c>
      <c r="B41" s="466"/>
      <c r="C41" s="445">
        <f>B41*'Emission Factor'!$B$45/1000</f>
        <v>0</v>
      </c>
      <c r="D41" s="445">
        <f>B41*'Emission Factor'!$B$46/1000</f>
        <v>0</v>
      </c>
      <c r="E41" s="445">
        <f t="shared" si="7"/>
        <v>0</v>
      </c>
      <c r="F41" s="454">
        <f>'Monthly Paper Distribution'!P178</f>
        <v>15131.5</v>
      </c>
      <c r="G41" s="454">
        <f>'Raw Data (KG)'!D144</f>
        <v>13599</v>
      </c>
      <c r="H41" s="445">
        <f t="shared" si="10"/>
        <v>7.3559999999999999</v>
      </c>
      <c r="I41" s="344">
        <f t="shared" si="9"/>
        <v>7.3559999999999999</v>
      </c>
    </row>
    <row r="42" spans="1:11" ht="17" hidden="1" thickBot="1" x14ac:dyDescent="0.25">
      <c r="A42" s="469" t="s">
        <v>208</v>
      </c>
      <c r="B42" s="466">
        <f>'Annual Report (Water)'!J13</f>
        <v>483991.82679999998</v>
      </c>
      <c r="C42" s="445">
        <f>B42*'Emission Factor (new)'!B45/1000</f>
        <v>123.90190766080001</v>
      </c>
      <c r="D42" s="445">
        <f>B42*'Emission Factor (new)'!B46/1000</f>
        <v>106.478201896</v>
      </c>
      <c r="E42" s="445">
        <f t="shared" si="7"/>
        <v>230.38010955679999</v>
      </c>
      <c r="F42" s="454">
        <f>'Monthly Paper Distribution'!P179</f>
        <v>11494.8</v>
      </c>
      <c r="G42" s="454">
        <f>'Raw Data (KG)'!D145</f>
        <v>12886</v>
      </c>
      <c r="H42" s="445">
        <f>((F42-G42)*4.8)/1000</f>
        <v>-6.6777600000000028</v>
      </c>
      <c r="I42" s="344">
        <f>C42+D42+H42</f>
        <v>223.70234955679999</v>
      </c>
      <c r="K42" s="15"/>
    </row>
    <row r="43" spans="1:11" ht="17" thickBot="1" x14ac:dyDescent="0.25">
      <c r="A43" s="470" t="s">
        <v>171</v>
      </c>
      <c r="B43" s="467">
        <f>'Annual Report (Water)'!J13</f>
        <v>483991.82679999998</v>
      </c>
      <c r="C43" s="445">
        <f>B43*'Emission Factor (new)'!B45/1000</f>
        <v>123.90190766080001</v>
      </c>
      <c r="D43" s="445">
        <f>B43*'Emission Factor (new)'!B46/1000</f>
        <v>106.478201896</v>
      </c>
      <c r="E43" s="445">
        <f>C43+D43</f>
        <v>230.38010955679999</v>
      </c>
      <c r="F43" s="445">
        <f>SUM(F31:F42)</f>
        <v>171087.19999999998</v>
      </c>
      <c r="G43" s="445">
        <f>SUM(G31:G42)</f>
        <v>159850</v>
      </c>
      <c r="H43" s="445">
        <f>SUM(H31:H42)</f>
        <v>53.93856000000001</v>
      </c>
      <c r="I43" s="495">
        <f>E43+H43</f>
        <v>284.31866955679999</v>
      </c>
      <c r="J43" s="15"/>
    </row>
    <row r="45" spans="1:11" x14ac:dyDescent="0.2">
      <c r="B45" s="15"/>
      <c r="E45" s="494"/>
    </row>
  </sheetData>
  <mergeCells count="10">
    <mergeCell ref="I2:I3"/>
    <mergeCell ref="B1:E1"/>
    <mergeCell ref="F1:H1"/>
    <mergeCell ref="A2:A4"/>
    <mergeCell ref="B2:C3"/>
    <mergeCell ref="D2:D3"/>
    <mergeCell ref="E2:E3"/>
    <mergeCell ref="F2:F3"/>
    <mergeCell ref="G2:G3"/>
    <mergeCell ref="H2:H3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4EAC-6685-4B69-8B48-6CD077B619F2}">
  <dimension ref="A1:L27"/>
  <sheetViews>
    <sheetView workbookViewId="0">
      <selection activeCell="B16" sqref="B16"/>
    </sheetView>
  </sheetViews>
  <sheetFormatPr baseColWidth="10" defaultColWidth="8.6640625" defaultRowHeight="16" x14ac:dyDescent="0.2"/>
  <cols>
    <col min="1" max="1" width="10.6640625" style="98" customWidth="1"/>
    <col min="2" max="6" width="15.6640625" style="1" customWidth="1"/>
    <col min="7" max="7" width="13.33203125" style="1" customWidth="1"/>
    <col min="8" max="10" width="15.6640625" style="1" customWidth="1"/>
    <col min="11" max="16384" width="8.6640625" style="1"/>
  </cols>
  <sheetData>
    <row r="1" spans="1:12" s="91" customFormat="1" ht="34" x14ac:dyDescent="0.2">
      <c r="A1" s="65" t="s">
        <v>28</v>
      </c>
      <c r="B1" s="65" t="s">
        <v>209</v>
      </c>
      <c r="C1" s="65" t="s">
        <v>210</v>
      </c>
      <c r="D1" s="65" t="s">
        <v>211</v>
      </c>
      <c r="E1" s="65" t="s">
        <v>50</v>
      </c>
      <c r="F1" s="65" t="s">
        <v>212</v>
      </c>
      <c r="G1" s="65" t="s">
        <v>213</v>
      </c>
      <c r="H1" s="65" t="s">
        <v>214</v>
      </c>
      <c r="I1" s="65" t="s">
        <v>215</v>
      </c>
      <c r="J1" s="65" t="s">
        <v>216</v>
      </c>
    </row>
    <row r="2" spans="1:12" x14ac:dyDescent="0.2">
      <c r="A2" s="98" t="s">
        <v>133</v>
      </c>
      <c r="B2" s="15">
        <v>1339.4703332346187</v>
      </c>
      <c r="C2" s="15">
        <v>48492.308919534771</v>
      </c>
      <c r="D2" s="15">
        <v>928.83259873999987</v>
      </c>
      <c r="E2" s="62">
        <f>SUM(B2:C2)</f>
        <v>49831.779252769389</v>
      </c>
      <c r="F2" s="62">
        <f>SUM(B2:D2)</f>
        <v>50760.611851509391</v>
      </c>
      <c r="G2" s="16">
        <v>12358.5</v>
      </c>
      <c r="H2" s="15">
        <v>396061.68800000014</v>
      </c>
      <c r="I2" s="99">
        <f>E2/G2</f>
        <v>4.0321866935930242</v>
      </c>
      <c r="J2" s="99">
        <f t="shared" ref="J2:J15" si="0">(E2*10)/H2</f>
        <v>1.2581822671212111</v>
      </c>
    </row>
    <row r="3" spans="1:12" x14ac:dyDescent="0.2">
      <c r="A3" s="98" t="s">
        <v>134</v>
      </c>
      <c r="B3" s="15">
        <v>1263.7907613791729</v>
      </c>
      <c r="C3" s="15">
        <v>49759.626084118099</v>
      </c>
      <c r="D3" s="15">
        <v>933.83259873999987</v>
      </c>
      <c r="E3" s="62">
        <f t="shared" ref="E3:E15" si="1">SUM(B3:C3)</f>
        <v>51023.416845497275</v>
      </c>
      <c r="F3" s="62">
        <f t="shared" ref="F3:F15" si="2">SUM(B3:D3)</f>
        <v>51957.249444237277</v>
      </c>
      <c r="G3" s="16">
        <v>12836.5</v>
      </c>
      <c r="H3" s="15">
        <v>396150.50800000015</v>
      </c>
      <c r="I3" s="99">
        <f t="shared" ref="I3:I15" si="3">E3/G3</f>
        <v>3.9748698512442857</v>
      </c>
      <c r="J3" s="99">
        <f t="shared" si="0"/>
        <v>1.2879805986642141</v>
      </c>
    </row>
    <row r="4" spans="1:12" x14ac:dyDescent="0.2">
      <c r="A4" s="98" t="s">
        <v>135</v>
      </c>
      <c r="B4" s="15">
        <v>1130.880531924455</v>
      </c>
      <c r="C4" s="15">
        <v>52306.257729534773</v>
      </c>
      <c r="D4" s="15">
        <v>926.83259873999987</v>
      </c>
      <c r="E4" s="62">
        <f t="shared" si="1"/>
        <v>53437.138261459229</v>
      </c>
      <c r="F4" s="62">
        <f t="shared" si="2"/>
        <v>54363.970860199232</v>
      </c>
      <c r="G4" s="16">
        <v>15176</v>
      </c>
      <c r="H4" s="15">
        <v>397633.34600000014</v>
      </c>
      <c r="I4" s="99">
        <f t="shared" si="3"/>
        <v>3.5211609291947306</v>
      </c>
      <c r="J4" s="99">
        <f t="shared" si="0"/>
        <v>1.3438797022184155</v>
      </c>
    </row>
    <row r="5" spans="1:12" ht="17" thickBot="1" x14ac:dyDescent="0.25">
      <c r="A5" s="98" t="s">
        <v>217</v>
      </c>
      <c r="B5" s="15">
        <v>1047.2195338675383</v>
      </c>
      <c r="C5" s="15">
        <v>56735.433339534778</v>
      </c>
      <c r="D5" s="15">
        <v>943.57496973999991</v>
      </c>
      <c r="E5" s="62">
        <f t="shared" si="1"/>
        <v>57782.652873402316</v>
      </c>
      <c r="F5" s="62">
        <f t="shared" si="2"/>
        <v>58726.227843142318</v>
      </c>
      <c r="G5" s="15">
        <v>15828.5</v>
      </c>
      <c r="H5" s="15">
        <v>451064.35200000013</v>
      </c>
      <c r="I5" s="62">
        <f t="shared" si="3"/>
        <v>3.6505450847144276</v>
      </c>
      <c r="J5" s="62">
        <f t="shared" si="0"/>
        <v>1.2810290287227644</v>
      </c>
    </row>
    <row r="6" spans="1:12" x14ac:dyDescent="0.2">
      <c r="A6" s="208" t="s">
        <v>58</v>
      </c>
      <c r="B6" s="209">
        <v>1405.200312029305</v>
      </c>
      <c r="C6" s="209">
        <v>59828.186753623566</v>
      </c>
      <c r="D6" s="209">
        <v>795.24598702799994</v>
      </c>
      <c r="E6" s="210">
        <f t="shared" si="1"/>
        <v>61233.387065652874</v>
      </c>
      <c r="F6" s="210">
        <f t="shared" si="2"/>
        <v>62028.633052680874</v>
      </c>
      <c r="G6" s="209">
        <v>16340</v>
      </c>
      <c r="H6" s="209">
        <v>473560.66800000018</v>
      </c>
      <c r="I6" s="210">
        <f t="shared" si="3"/>
        <v>3.7474533087914854</v>
      </c>
      <c r="J6" s="490">
        <f t="shared" si="0"/>
        <v>1.2930420789433648</v>
      </c>
    </row>
    <row r="7" spans="1:12" x14ac:dyDescent="0.2">
      <c r="A7" s="211" t="s">
        <v>61</v>
      </c>
      <c r="B7" s="15">
        <v>1563.6205354876383</v>
      </c>
      <c r="C7" s="15">
        <v>52060.221465614901</v>
      </c>
      <c r="D7" s="15">
        <v>865.87690612799997</v>
      </c>
      <c r="E7" s="62">
        <f t="shared" si="1"/>
        <v>53623.842001102537</v>
      </c>
      <c r="F7" s="62">
        <f t="shared" si="2"/>
        <v>54489.718907230534</v>
      </c>
      <c r="G7" s="15">
        <v>16621</v>
      </c>
      <c r="H7" s="15">
        <v>480093.4920000002</v>
      </c>
      <c r="I7" s="62">
        <f t="shared" si="3"/>
        <v>3.2262705012395485</v>
      </c>
      <c r="J7" s="491">
        <f t="shared" si="0"/>
        <v>1.1169458219005084</v>
      </c>
    </row>
    <row r="8" spans="1:12" x14ac:dyDescent="0.2">
      <c r="A8" s="211" t="s">
        <v>63</v>
      </c>
      <c r="B8" s="15">
        <v>1337.0609269059973</v>
      </c>
      <c r="C8" s="15">
        <v>51318.439473707338</v>
      </c>
      <c r="D8" s="15">
        <v>662.19891291520003</v>
      </c>
      <c r="E8" s="62">
        <f t="shared" si="1"/>
        <v>52655.500400613339</v>
      </c>
      <c r="F8" s="62">
        <f t="shared" si="2"/>
        <v>53317.699313528537</v>
      </c>
      <c r="G8" s="15">
        <v>17299.5</v>
      </c>
      <c r="H8" s="15">
        <v>508000</v>
      </c>
      <c r="I8" s="62">
        <f t="shared" si="3"/>
        <v>3.0437585132872824</v>
      </c>
      <c r="J8" s="491">
        <f t="shared" si="0"/>
        <v>1.0365255984372705</v>
      </c>
    </row>
    <row r="9" spans="1:12" x14ac:dyDescent="0.2">
      <c r="A9" s="211" t="s">
        <v>64</v>
      </c>
      <c r="B9" s="15">
        <v>1148.4810877614743</v>
      </c>
      <c r="C9" s="15">
        <v>47664.456912654132</v>
      </c>
      <c r="D9" s="15">
        <v>639.41977355847359</v>
      </c>
      <c r="E9" s="62">
        <f t="shared" si="1"/>
        <v>48812.938000415605</v>
      </c>
      <c r="F9" s="62">
        <f t="shared" si="2"/>
        <v>49452.357773974079</v>
      </c>
      <c r="G9" s="15">
        <v>17923.5</v>
      </c>
      <c r="H9" s="15">
        <v>512620</v>
      </c>
      <c r="I9" s="62">
        <f t="shared" si="3"/>
        <v>2.7234043574310602</v>
      </c>
      <c r="J9" s="491">
        <f t="shared" si="0"/>
        <v>0.95222461083093912</v>
      </c>
    </row>
    <row r="10" spans="1:12" x14ac:dyDescent="0.2">
      <c r="A10" s="211" t="s">
        <v>65</v>
      </c>
      <c r="B10" s="15">
        <v>1227.695594864362</v>
      </c>
      <c r="C10" s="15">
        <v>46254.13003972482</v>
      </c>
      <c r="D10" s="15">
        <v>656.55334308672002</v>
      </c>
      <c r="E10" s="62">
        <f t="shared" si="1"/>
        <v>47481.825634589179</v>
      </c>
      <c r="F10" s="62">
        <f t="shared" si="2"/>
        <v>48138.3789776759</v>
      </c>
      <c r="G10" s="15">
        <v>18508.5</v>
      </c>
      <c r="H10" s="15">
        <v>515105.13900000002</v>
      </c>
      <c r="I10" s="62">
        <f t="shared" si="3"/>
        <v>2.5654064691676353</v>
      </c>
      <c r="J10" s="491">
        <f t="shared" si="0"/>
        <v>0.92178901042936745</v>
      </c>
    </row>
    <row r="11" spans="1:12" x14ac:dyDescent="0.2">
      <c r="A11" s="211" t="s">
        <v>66</v>
      </c>
      <c r="B11" s="15">
        <v>971.24594365821793</v>
      </c>
      <c r="C11" s="15">
        <v>43879.023507000005</v>
      </c>
      <c r="D11" s="15">
        <v>241.89825599999998</v>
      </c>
      <c r="E11" s="62">
        <f t="shared" si="1"/>
        <v>44850.269450658227</v>
      </c>
      <c r="F11" s="62">
        <f t="shared" si="2"/>
        <v>45092.167706658227</v>
      </c>
      <c r="G11" s="15">
        <v>17679</v>
      </c>
      <c r="H11" s="15">
        <v>515105.13900000002</v>
      </c>
      <c r="I11" s="62">
        <f t="shared" si="3"/>
        <v>2.5369234374488503</v>
      </c>
      <c r="J11" s="491">
        <f t="shared" si="0"/>
        <v>0.87070126183808516</v>
      </c>
    </row>
    <row r="12" spans="1:12" x14ac:dyDescent="0.2">
      <c r="A12" s="211" t="s">
        <v>68</v>
      </c>
      <c r="B12" s="15">
        <v>1017.8076872774918</v>
      </c>
      <c r="C12" s="15">
        <v>32886.461494444658</v>
      </c>
      <c r="D12" s="15">
        <v>124.753760052</v>
      </c>
      <c r="E12" s="62">
        <f t="shared" si="1"/>
        <v>33904.269181722149</v>
      </c>
      <c r="F12" s="62">
        <f t="shared" si="2"/>
        <v>34029.02294177415</v>
      </c>
      <c r="G12" s="15">
        <v>19717</v>
      </c>
      <c r="H12" s="15">
        <v>563595</v>
      </c>
      <c r="I12" s="62">
        <f t="shared" si="3"/>
        <v>1.7195450211351702</v>
      </c>
      <c r="J12" s="491">
        <f t="shared" si="0"/>
        <v>0.60157150403609239</v>
      </c>
    </row>
    <row r="13" spans="1:12" x14ac:dyDescent="0.2">
      <c r="A13" s="211" t="s">
        <v>70</v>
      </c>
      <c r="B13" s="15">
        <v>1046.650922770445</v>
      </c>
      <c r="C13" s="15">
        <v>35205.522759149062</v>
      </c>
      <c r="D13" s="15">
        <v>258.65208525200001</v>
      </c>
      <c r="E13" s="62">
        <f t="shared" si="1"/>
        <v>36252.173681919507</v>
      </c>
      <c r="F13" s="62">
        <f t="shared" si="2"/>
        <v>36510.825767171504</v>
      </c>
      <c r="G13" s="15">
        <v>20543</v>
      </c>
      <c r="H13" s="15">
        <v>578007.25</v>
      </c>
      <c r="I13" s="62">
        <f t="shared" si="3"/>
        <v>1.7646971563023661</v>
      </c>
      <c r="J13" s="491">
        <f t="shared" si="0"/>
        <v>0.62719236967909153</v>
      </c>
    </row>
    <row r="14" spans="1:12" ht="17" thickBot="1" x14ac:dyDescent="0.25">
      <c r="A14" s="212" t="s">
        <v>72</v>
      </c>
      <c r="B14" s="213">
        <v>1142.8893326863972</v>
      </c>
      <c r="C14" s="213">
        <v>36870.839127491701</v>
      </c>
      <c r="D14" s="213">
        <v>555.67177890799996</v>
      </c>
      <c r="E14" s="214">
        <f t="shared" si="1"/>
        <v>38013.728460178099</v>
      </c>
      <c r="F14" s="214">
        <f t="shared" si="2"/>
        <v>38569.400239086099</v>
      </c>
      <c r="G14" s="213">
        <v>21497</v>
      </c>
      <c r="H14" s="213">
        <v>578007</v>
      </c>
      <c r="I14" s="214">
        <f t="shared" si="3"/>
        <v>1.7683271368180722</v>
      </c>
      <c r="J14" s="492">
        <f t="shared" si="0"/>
        <v>0.65766899812940149</v>
      </c>
      <c r="L14" s="164"/>
    </row>
    <row r="15" spans="1:12" ht="17" thickBot="1" x14ac:dyDescent="0.25">
      <c r="A15" s="98" t="s">
        <v>74</v>
      </c>
      <c r="B15" s="15">
        <v>2497.7199999999998</v>
      </c>
      <c r="C15" s="15">
        <v>37968.339999999997</v>
      </c>
      <c r="D15" s="15">
        <v>425.79</v>
      </c>
      <c r="E15" s="214">
        <f t="shared" si="1"/>
        <v>40466.06</v>
      </c>
      <c r="F15" s="214">
        <f t="shared" si="2"/>
        <v>40891.85</v>
      </c>
      <c r="G15" s="15">
        <f>4249+17920</f>
        <v>22169</v>
      </c>
      <c r="H15" s="493">
        <v>587292</v>
      </c>
      <c r="I15" s="214">
        <f t="shared" si="3"/>
        <v>1.8253443998376109</v>
      </c>
      <c r="J15" s="492">
        <f t="shared" si="0"/>
        <v>0.68902794521294342</v>
      </c>
    </row>
    <row r="16" spans="1:12" ht="17" thickBot="1" x14ac:dyDescent="0.25">
      <c r="A16" s="98" t="s">
        <v>76</v>
      </c>
      <c r="B16" s="15">
        <f>'Scope 1'!AC7</f>
        <v>1221.0860811833663</v>
      </c>
      <c r="C16" s="15">
        <f>'Scope 2'!Q5</f>
        <v>40222.013475435953</v>
      </c>
      <c r="D16" s="15">
        <f>'Scope 3'!I43</f>
        <v>284.31866955679999</v>
      </c>
      <c r="E16" s="214">
        <f>SUM(B16:C16)</f>
        <v>41443.099556619316</v>
      </c>
      <c r="F16" s="214">
        <f>SUM(B16:D16)</f>
        <v>41727.418226176116</v>
      </c>
      <c r="G16" s="15">
        <f>4593+19284</f>
        <v>23877</v>
      </c>
      <c r="H16" s="493">
        <v>587292</v>
      </c>
      <c r="I16" s="214">
        <f>E16/G16</f>
        <v>1.735691232425318</v>
      </c>
      <c r="J16" s="492">
        <f>(E16*10)/H16</f>
        <v>0.70566429572715639</v>
      </c>
    </row>
    <row r="17" spans="1:9" x14ac:dyDescent="0.2">
      <c r="A17" s="98" t="s">
        <v>111</v>
      </c>
      <c r="B17" s="153"/>
      <c r="C17" s="153"/>
      <c r="D17" s="153"/>
      <c r="E17" s="153"/>
      <c r="F17" s="153"/>
      <c r="G17" s="153"/>
      <c r="H17" s="153"/>
      <c r="I17" s="153"/>
    </row>
    <row r="18" spans="1:9" x14ac:dyDescent="0.2">
      <c r="B18" s="163"/>
      <c r="C18" s="164"/>
      <c r="D18" s="153"/>
      <c r="E18" s="530">
        <f>E6*0.6</f>
        <v>36740.032239391723</v>
      </c>
      <c r="I18" s="153"/>
    </row>
    <row r="19" spans="1:9" x14ac:dyDescent="0.2">
      <c r="C19" s="163"/>
    </row>
    <row r="23" spans="1:9" x14ac:dyDescent="0.2">
      <c r="E23" s="163"/>
    </row>
    <row r="27" spans="1:9" x14ac:dyDescent="0.2">
      <c r="H27" s="15"/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E769-9344-E94B-AC16-D5C5A95455AF}">
  <dimension ref="A1:W62"/>
  <sheetViews>
    <sheetView topLeftCell="O31" workbookViewId="0">
      <selection activeCell="V34" sqref="V34"/>
    </sheetView>
  </sheetViews>
  <sheetFormatPr baseColWidth="10" defaultColWidth="10.33203125" defaultRowHeight="16" x14ac:dyDescent="0.2"/>
  <cols>
    <col min="1" max="1" width="41" style="8" customWidth="1"/>
    <col min="2" max="2" width="14.1640625" style="8" bestFit="1" customWidth="1"/>
    <col min="3" max="3" width="10.1640625" style="8" customWidth="1"/>
    <col min="4" max="4" width="11.1640625" style="8" customWidth="1"/>
    <col min="5" max="5" width="23.83203125" style="8" bestFit="1" customWidth="1"/>
    <col min="6" max="7" width="10.33203125" style="8"/>
    <col min="8" max="8" width="12.6640625" style="8" bestFit="1" customWidth="1"/>
    <col min="9" max="14" width="10.33203125" style="8"/>
    <col min="15" max="15" width="18.33203125" style="8" customWidth="1"/>
    <col min="16" max="16" width="15.5" style="8" bestFit="1" customWidth="1"/>
    <col min="17" max="20" width="10.33203125" style="8"/>
    <col min="21" max="21" width="14.1640625" style="8" bestFit="1" customWidth="1"/>
    <col min="22" max="16384" width="10.33203125" style="8"/>
  </cols>
  <sheetData>
    <row r="1" spans="1:16" x14ac:dyDescent="0.2"/>
    <row r="2" spans="1:16" s="53" customFormat="1" x14ac:dyDescent="0.2">
      <c r="A2" s="53" t="s">
        <v>218</v>
      </c>
    </row>
    <row r="4" spans="1:16" x14ac:dyDescent="0.2">
      <c r="A4" s="106" t="s">
        <v>219</v>
      </c>
    </row>
    <row r="5" spans="1:16" x14ac:dyDescent="0.2">
      <c r="B5" s="666" t="s">
        <v>220</v>
      </c>
      <c r="C5" s="666"/>
      <c r="D5" s="668" t="s">
        <v>221</v>
      </c>
      <c r="E5" s="669"/>
      <c r="F5" s="669"/>
      <c r="G5" s="670"/>
      <c r="H5" s="666" t="s">
        <v>222</v>
      </c>
      <c r="I5" s="666"/>
      <c r="J5" s="666"/>
      <c r="K5" s="666"/>
      <c r="L5" s="666" t="s">
        <v>223</v>
      </c>
      <c r="M5" s="666"/>
    </row>
    <row r="6" spans="1:16" x14ac:dyDescent="0.2">
      <c r="B6" s="666"/>
      <c r="C6" s="666"/>
      <c r="D6" s="666" t="s">
        <v>221</v>
      </c>
      <c r="E6" s="666"/>
      <c r="F6" s="666" t="s">
        <v>224</v>
      </c>
      <c r="G6" s="666"/>
      <c r="H6" s="107"/>
      <c r="I6" s="107" t="s">
        <v>222</v>
      </c>
      <c r="J6" s="666" t="s">
        <v>225</v>
      </c>
      <c r="K6" s="666"/>
      <c r="L6" s="666"/>
      <c r="M6" s="666"/>
      <c r="O6" s="8" t="s">
        <v>226</v>
      </c>
      <c r="P6" s="8" t="s">
        <v>227</v>
      </c>
    </row>
    <row r="7" spans="1:16" x14ac:dyDescent="0.2">
      <c r="A7" s="6" t="s">
        <v>228</v>
      </c>
      <c r="B7" s="6">
        <v>2.6139999999999999</v>
      </c>
      <c r="C7" s="6" t="s">
        <v>229</v>
      </c>
      <c r="D7" s="6">
        <v>2.3900000000000001E-2</v>
      </c>
      <c r="E7" s="6" t="s">
        <v>230</v>
      </c>
      <c r="F7" s="6">
        <f>D7/1000*21</f>
        <v>5.019E-4</v>
      </c>
      <c r="G7" s="6" t="s">
        <v>229</v>
      </c>
      <c r="H7" s="6">
        <v>7.4000000000000003E-3</v>
      </c>
      <c r="I7" s="6" t="s">
        <v>230</v>
      </c>
      <c r="J7" s="6">
        <f>H7/1000*310</f>
        <v>2.294E-3</v>
      </c>
      <c r="K7" s="6" t="s">
        <v>229</v>
      </c>
      <c r="L7" s="6">
        <f>B7+F7+J7</f>
        <v>2.6167959000000001</v>
      </c>
      <c r="M7" s="6" t="s">
        <v>229</v>
      </c>
      <c r="O7" s="8">
        <v>10.030090270000001</v>
      </c>
      <c r="P7" s="8">
        <f>L7/10.03009027</f>
        <v>0.26089455125113248</v>
      </c>
    </row>
    <row r="8" spans="1:16" x14ac:dyDescent="0.2">
      <c r="A8" s="6" t="s">
        <v>231</v>
      </c>
      <c r="B8" s="6">
        <v>2.5489999999999999</v>
      </c>
      <c r="C8" s="6" t="s">
        <v>232</v>
      </c>
      <c r="D8" s="6">
        <v>4.4600000000000001E-2</v>
      </c>
      <c r="E8" s="6" t="s">
        <v>233</v>
      </c>
      <c r="F8" s="6">
        <f>D8/1000*21</f>
        <v>9.366E-4</v>
      </c>
      <c r="G8" s="6" t="s">
        <v>232</v>
      </c>
      <c r="H8" s="6">
        <v>9.9000000000000008E-3</v>
      </c>
      <c r="I8" s="6" t="s">
        <v>233</v>
      </c>
      <c r="J8" s="6">
        <f>H8/1000*310</f>
        <v>3.0690000000000001E-3</v>
      </c>
      <c r="K8" s="6" t="s">
        <v>232</v>
      </c>
      <c r="L8" s="6">
        <f>B8+F8+J8</f>
        <v>2.5530056000000001</v>
      </c>
      <c r="M8" s="6" t="s">
        <v>232</v>
      </c>
      <c r="O8" s="8" t="s">
        <v>234</v>
      </c>
      <c r="P8" s="8">
        <f>L8/13.333344</f>
        <v>0.19147526681978655</v>
      </c>
    </row>
    <row r="10" spans="1:16" x14ac:dyDescent="0.2">
      <c r="A10" s="8" t="s">
        <v>235</v>
      </c>
    </row>
    <row r="11" spans="1:16" x14ac:dyDescent="0.2">
      <c r="A11" s="106" t="s">
        <v>236</v>
      </c>
    </row>
    <row r="12" spans="1:16" x14ac:dyDescent="0.2">
      <c r="A12" s="8" t="s">
        <v>237</v>
      </c>
    </row>
    <row r="13" spans="1:16" x14ac:dyDescent="0.2">
      <c r="B13" s="666" t="s">
        <v>220</v>
      </c>
      <c r="C13" s="666"/>
      <c r="D13" s="668" t="s">
        <v>221</v>
      </c>
      <c r="E13" s="669"/>
      <c r="F13" s="669"/>
      <c r="G13" s="670"/>
      <c r="H13" s="666" t="s">
        <v>222</v>
      </c>
      <c r="I13" s="666"/>
      <c r="J13" s="666"/>
      <c r="K13" s="666"/>
      <c r="L13" s="666" t="s">
        <v>223</v>
      </c>
      <c r="M13" s="666"/>
    </row>
    <row r="14" spans="1:16" x14ac:dyDescent="0.2">
      <c r="B14" s="666"/>
      <c r="C14" s="666"/>
      <c r="D14" s="666" t="s">
        <v>221</v>
      </c>
      <c r="E14" s="666"/>
      <c r="F14" s="666" t="s">
        <v>224</v>
      </c>
      <c r="G14" s="666"/>
      <c r="H14" s="107"/>
      <c r="I14" s="107" t="s">
        <v>222</v>
      </c>
      <c r="J14" s="666" t="s">
        <v>225</v>
      </c>
      <c r="K14" s="666"/>
      <c r="L14" s="666"/>
      <c r="M14" s="666"/>
    </row>
    <row r="15" spans="1:16" x14ac:dyDescent="0.2">
      <c r="A15" s="6" t="s">
        <v>238</v>
      </c>
      <c r="B15" s="6">
        <v>2.6139999999999999</v>
      </c>
      <c r="C15" s="6" t="s">
        <v>229</v>
      </c>
      <c r="D15" s="6">
        <v>7.1999999999999995E-2</v>
      </c>
      <c r="E15" s="6" t="s">
        <v>230</v>
      </c>
      <c r="F15" s="6">
        <f>D15/1000*21</f>
        <v>1.5119999999999997E-3</v>
      </c>
      <c r="G15" s="6" t="s">
        <v>229</v>
      </c>
      <c r="H15" s="6">
        <v>0.11</v>
      </c>
      <c r="I15" s="6" t="s">
        <v>230</v>
      </c>
      <c r="J15" s="6">
        <f>H15/1000*310</f>
        <v>3.4099999999999998E-2</v>
      </c>
      <c r="K15" s="6" t="s">
        <v>229</v>
      </c>
      <c r="L15" s="6">
        <f>B15+F15+J15</f>
        <v>2.6496119999999999</v>
      </c>
      <c r="M15" s="6" t="s">
        <v>229</v>
      </c>
      <c r="O15" s="8" t="s">
        <v>239</v>
      </c>
      <c r="P15" s="8">
        <f>L15/10.03009027</f>
        <v>0.26416631642139743</v>
      </c>
    </row>
    <row r="16" spans="1:16" x14ac:dyDescent="0.2">
      <c r="A16" s="6" t="s">
        <v>240</v>
      </c>
      <c r="B16" s="6">
        <v>2.36</v>
      </c>
      <c r="C16" s="6" t="s">
        <v>229</v>
      </c>
      <c r="D16" s="6">
        <v>0.253</v>
      </c>
      <c r="E16" s="6" t="s">
        <v>233</v>
      </c>
      <c r="F16" s="6">
        <f>D16/1000*21</f>
        <v>5.3130000000000009E-3</v>
      </c>
      <c r="G16" s="6" t="s">
        <v>229</v>
      </c>
      <c r="H16" s="6">
        <v>1.105</v>
      </c>
      <c r="I16" s="6" t="s">
        <v>233</v>
      </c>
      <c r="J16" s="6">
        <f>H16/1000*310</f>
        <v>0.34255000000000002</v>
      </c>
      <c r="K16" s="6" t="s">
        <v>229</v>
      </c>
      <c r="L16" s="6">
        <f>B16+F16+J16</f>
        <v>2.7078630000000001</v>
      </c>
      <c r="M16" s="6" t="s">
        <v>229</v>
      </c>
      <c r="O16" s="8">
        <v>8.8347027120000003</v>
      </c>
      <c r="P16" s="8">
        <f>L16/8.834702712</f>
        <v>0.30650301297880278</v>
      </c>
    </row>
    <row r="18" spans="1:16" x14ac:dyDescent="0.2">
      <c r="A18" s="8" t="s">
        <v>241</v>
      </c>
    </row>
    <row r="19" spans="1:16" x14ac:dyDescent="0.2">
      <c r="B19" s="666" t="s">
        <v>220</v>
      </c>
      <c r="C19" s="666"/>
      <c r="D19" s="668" t="s">
        <v>221</v>
      </c>
      <c r="E19" s="669"/>
      <c r="F19" s="669"/>
      <c r="G19" s="670"/>
      <c r="H19" s="666" t="s">
        <v>222</v>
      </c>
      <c r="I19" s="666"/>
      <c r="J19" s="666"/>
      <c r="K19" s="666"/>
      <c r="L19" s="666" t="s">
        <v>223</v>
      </c>
      <c r="M19" s="666"/>
    </row>
    <row r="20" spans="1:16" x14ac:dyDescent="0.2">
      <c r="B20" s="666"/>
      <c r="C20" s="666"/>
      <c r="D20" s="666" t="s">
        <v>221</v>
      </c>
      <c r="E20" s="666"/>
      <c r="F20" s="666" t="s">
        <v>224</v>
      </c>
      <c r="G20" s="666"/>
      <c r="H20" s="107"/>
      <c r="I20" s="107" t="s">
        <v>222</v>
      </c>
      <c r="J20" s="666" t="s">
        <v>225</v>
      </c>
      <c r="K20" s="666"/>
      <c r="L20" s="666"/>
      <c r="M20" s="666"/>
    </row>
    <row r="21" spans="1:16" x14ac:dyDescent="0.2">
      <c r="A21" s="6" t="s">
        <v>238</v>
      </c>
      <c r="B21" s="6">
        <v>2.6139999999999999</v>
      </c>
      <c r="C21" s="6" t="s">
        <v>229</v>
      </c>
      <c r="D21" s="6">
        <v>7.1999999999999995E-2</v>
      </c>
      <c r="E21" s="6" t="s">
        <v>230</v>
      </c>
      <c r="F21" s="6">
        <f>D21/1000*21</f>
        <v>1.5119999999999997E-3</v>
      </c>
      <c r="G21" s="6" t="s">
        <v>229</v>
      </c>
      <c r="H21" s="6">
        <v>0.50600000000000001</v>
      </c>
      <c r="I21" s="6" t="s">
        <v>230</v>
      </c>
      <c r="J21" s="6">
        <f>H21/1000*310</f>
        <v>0.15686000000000003</v>
      </c>
      <c r="K21" s="6" t="s">
        <v>229</v>
      </c>
      <c r="L21" s="6">
        <f>B21+F21+J21</f>
        <v>2.7723719999999998</v>
      </c>
      <c r="M21" s="6" t="s">
        <v>229</v>
      </c>
      <c r="O21" s="8" t="s">
        <v>239</v>
      </c>
      <c r="P21" s="8">
        <f>L21/10.03009027</f>
        <v>0.27640548842238882</v>
      </c>
    </row>
    <row r="22" spans="1:16" x14ac:dyDescent="0.2">
      <c r="A22" s="6" t="s">
        <v>240</v>
      </c>
      <c r="B22" s="6">
        <v>2.36</v>
      </c>
      <c r="C22" s="6" t="s">
        <v>229</v>
      </c>
      <c r="D22" s="6">
        <v>0.20300000000000001</v>
      </c>
      <c r="E22" s="6" t="s">
        <v>233</v>
      </c>
      <c r="F22" s="6">
        <f>D22/1000*21</f>
        <v>4.2630000000000003E-3</v>
      </c>
      <c r="G22" s="6" t="s">
        <v>229</v>
      </c>
      <c r="H22" s="6">
        <v>1.1399999999999999</v>
      </c>
      <c r="I22" s="6" t="s">
        <v>233</v>
      </c>
      <c r="J22" s="6">
        <f>H22/1000*310</f>
        <v>0.35339999999999999</v>
      </c>
      <c r="K22" s="6" t="s">
        <v>229</v>
      </c>
      <c r="L22" s="6">
        <f>B22+F22+J22</f>
        <v>2.7176629999999999</v>
      </c>
      <c r="M22" s="6" t="s">
        <v>229</v>
      </c>
      <c r="O22" s="8" t="s">
        <v>242</v>
      </c>
      <c r="P22" s="8">
        <f>L22/8.834702712</f>
        <v>0.30761227497883459</v>
      </c>
    </row>
    <row r="24" spans="1:16" x14ac:dyDescent="0.2">
      <c r="A24" s="8" t="s">
        <v>243</v>
      </c>
    </row>
    <row r="25" spans="1:16" x14ac:dyDescent="0.2">
      <c r="B25" s="666" t="s">
        <v>220</v>
      </c>
      <c r="C25" s="666"/>
      <c r="D25" s="668" t="s">
        <v>221</v>
      </c>
      <c r="E25" s="669"/>
      <c r="F25" s="669"/>
      <c r="G25" s="670"/>
      <c r="H25" s="666" t="s">
        <v>222</v>
      </c>
      <c r="I25" s="666"/>
      <c r="J25" s="666"/>
      <c r="K25" s="666"/>
      <c r="L25" s="666" t="s">
        <v>223</v>
      </c>
      <c r="M25" s="666"/>
    </row>
    <row r="26" spans="1:16" x14ac:dyDescent="0.2">
      <c r="B26" s="666"/>
      <c r="C26" s="666"/>
      <c r="D26" s="666" t="s">
        <v>221</v>
      </c>
      <c r="E26" s="666"/>
      <c r="F26" s="666" t="s">
        <v>224</v>
      </c>
      <c r="G26" s="666"/>
      <c r="H26" s="107"/>
      <c r="I26" s="107" t="s">
        <v>222</v>
      </c>
      <c r="J26" s="666" t="s">
        <v>225</v>
      </c>
      <c r="K26" s="666"/>
      <c r="L26" s="666"/>
      <c r="M26" s="666"/>
    </row>
    <row r="27" spans="1:16" ht="15.75" customHeight="1" x14ac:dyDescent="0.2">
      <c r="A27" s="6" t="s">
        <v>238</v>
      </c>
      <c r="B27" s="6">
        <v>2.6139999999999999</v>
      </c>
      <c r="C27" s="6" t="s">
        <v>229</v>
      </c>
      <c r="D27" s="6">
        <v>7.1999999999999995E-2</v>
      </c>
      <c r="E27" s="6" t="s">
        <v>230</v>
      </c>
      <c r="F27" s="6">
        <f>D27/1000*21</f>
        <v>1.5119999999999997E-3</v>
      </c>
      <c r="G27" s="6" t="s">
        <v>229</v>
      </c>
      <c r="H27" s="6">
        <v>0.50600000000000001</v>
      </c>
      <c r="I27" s="6" t="s">
        <v>230</v>
      </c>
      <c r="J27" s="6">
        <f>H27/1000*310</f>
        <v>0.15686000000000003</v>
      </c>
      <c r="K27" s="6" t="s">
        <v>229</v>
      </c>
      <c r="L27" s="6">
        <f>B27+F27+J27</f>
        <v>2.7723719999999998</v>
      </c>
      <c r="M27" s="6" t="s">
        <v>229</v>
      </c>
      <c r="O27" s="8" t="s">
        <v>239</v>
      </c>
      <c r="P27" s="8">
        <f>L27/10.03009027</f>
        <v>0.27640548842238882</v>
      </c>
    </row>
    <row r="28" spans="1:16" x14ac:dyDescent="0.2">
      <c r="A28" s="6" t="s">
        <v>240</v>
      </c>
      <c r="B28" s="6">
        <v>2.36</v>
      </c>
      <c r="C28" s="6" t="s">
        <v>229</v>
      </c>
      <c r="D28" s="6">
        <v>0.20300000000000001</v>
      </c>
      <c r="E28" s="6" t="s">
        <v>233</v>
      </c>
      <c r="F28" s="6">
        <f>D28/1000*21</f>
        <v>4.2630000000000003E-3</v>
      </c>
      <c r="G28" s="6" t="s">
        <v>229</v>
      </c>
      <c r="H28" s="6">
        <v>1.105</v>
      </c>
      <c r="I28" s="6" t="s">
        <v>233</v>
      </c>
      <c r="J28" s="6">
        <f>H28/1000*310</f>
        <v>0.34255000000000002</v>
      </c>
      <c r="K28" s="6" t="s">
        <v>229</v>
      </c>
      <c r="L28" s="6">
        <f>B28+F28+J28</f>
        <v>2.7068129999999999</v>
      </c>
      <c r="M28" s="6" t="s">
        <v>229</v>
      </c>
      <c r="O28" s="8" t="s">
        <v>242</v>
      </c>
      <c r="P28" s="8">
        <f>L28/8.834702712</f>
        <v>0.30638416347879932</v>
      </c>
    </row>
    <row r="31" spans="1:16" x14ac:dyDescent="0.2">
      <c r="A31" s="106" t="s">
        <v>244</v>
      </c>
    </row>
    <row r="32" spans="1:16" x14ac:dyDescent="0.2">
      <c r="A32" s="8" t="s">
        <v>245</v>
      </c>
      <c r="B32" s="8">
        <v>1810</v>
      </c>
    </row>
    <row r="33" spans="1:23" x14ac:dyDescent="0.2">
      <c r="A33" s="8" t="s">
        <v>246</v>
      </c>
      <c r="B33" s="8">
        <v>1725</v>
      </c>
    </row>
    <row r="34" spans="1:23" x14ac:dyDescent="0.2">
      <c r="A34" s="8" t="s">
        <v>247</v>
      </c>
      <c r="B34" s="8">
        <v>1526</v>
      </c>
      <c r="D34" s="8" t="s">
        <v>248</v>
      </c>
    </row>
    <row r="35" spans="1:23" x14ac:dyDescent="0.2">
      <c r="A35" s="8" t="s">
        <v>249</v>
      </c>
      <c r="B35" s="8">
        <v>22800</v>
      </c>
      <c r="D35" s="8" t="s">
        <v>250</v>
      </c>
    </row>
    <row r="36" spans="1:23" x14ac:dyDescent="0.2">
      <c r="R36" s="554"/>
      <c r="S36" s="554"/>
      <c r="T36" s="554"/>
    </row>
    <row r="37" spans="1:23" x14ac:dyDescent="0.2">
      <c r="A37" s="106" t="s">
        <v>251</v>
      </c>
      <c r="F37" s="111">
        <v>2010</v>
      </c>
      <c r="G37" s="111">
        <v>2011</v>
      </c>
      <c r="H37" s="111">
        <v>2012</v>
      </c>
      <c r="I37" s="111">
        <v>2013</v>
      </c>
      <c r="J37" s="111">
        <v>2014</v>
      </c>
      <c r="K37" s="111">
        <v>2015</v>
      </c>
      <c r="L37" s="111">
        <v>2016</v>
      </c>
      <c r="M37" s="111">
        <v>2017</v>
      </c>
      <c r="N37" s="111">
        <v>2018</v>
      </c>
      <c r="O37" s="6">
        <v>2019</v>
      </c>
      <c r="P37" s="6">
        <v>2020</v>
      </c>
      <c r="Q37" s="6">
        <v>2021</v>
      </c>
      <c r="R37" s="6">
        <v>2022</v>
      </c>
      <c r="S37" s="6">
        <v>2023</v>
      </c>
      <c r="T37" s="6">
        <v>2024</v>
      </c>
    </row>
    <row r="38" spans="1:23" x14ac:dyDescent="0.2">
      <c r="B38" s="666" t="s">
        <v>223</v>
      </c>
      <c r="C38" s="666"/>
      <c r="D38" s="6" t="s">
        <v>252</v>
      </c>
      <c r="F38" s="471" t="s">
        <v>223</v>
      </c>
      <c r="G38" s="471"/>
      <c r="H38" s="471"/>
      <c r="I38" s="471"/>
      <c r="J38" s="471"/>
      <c r="K38" s="471"/>
      <c r="L38" s="471"/>
      <c r="M38" s="471"/>
      <c r="N38" s="471"/>
    </row>
    <row r="39" spans="1:23" x14ac:dyDescent="0.2">
      <c r="A39" s="6" t="s">
        <v>31</v>
      </c>
      <c r="B39" s="108">
        <v>0.38</v>
      </c>
      <c r="C39" s="6" t="s">
        <v>253</v>
      </c>
      <c r="D39" s="108">
        <v>2024</v>
      </c>
      <c r="F39" s="472">
        <v>0.54</v>
      </c>
      <c r="G39" s="472">
        <v>0.59</v>
      </c>
      <c r="H39" s="472">
        <v>0.57999999999999996</v>
      </c>
      <c r="I39" s="472">
        <v>0.63</v>
      </c>
      <c r="J39" s="472">
        <v>0.64</v>
      </c>
      <c r="K39" s="472">
        <v>0.54</v>
      </c>
      <c r="L39" s="472">
        <v>0.54</v>
      </c>
      <c r="M39" s="472">
        <v>0.51</v>
      </c>
      <c r="N39" s="472">
        <v>0.51</v>
      </c>
      <c r="O39" s="108">
        <v>0.51</v>
      </c>
      <c r="P39" s="108">
        <v>0.37</v>
      </c>
      <c r="Q39" s="108">
        <v>0.39</v>
      </c>
      <c r="R39" s="108">
        <v>0.39</v>
      </c>
      <c r="S39" s="108">
        <v>0.39</v>
      </c>
      <c r="T39" s="108">
        <v>0.38</v>
      </c>
      <c r="U39" s="8" t="s">
        <v>254</v>
      </c>
    </row>
    <row r="40" spans="1:23" x14ac:dyDescent="0.2">
      <c r="A40" s="6" t="s">
        <v>231</v>
      </c>
      <c r="B40" s="108">
        <v>0.54800000000000004</v>
      </c>
      <c r="C40" s="6" t="s">
        <v>255</v>
      </c>
      <c r="D40" s="108">
        <v>2024</v>
      </c>
      <c r="F40" s="108">
        <v>0.62</v>
      </c>
      <c r="G40" s="108">
        <v>0.61799999999999999</v>
      </c>
      <c r="H40" s="108">
        <v>0.61</v>
      </c>
      <c r="I40" s="108">
        <v>0.62</v>
      </c>
      <c r="J40" s="108">
        <v>0.6</v>
      </c>
      <c r="K40" s="108">
        <v>0.60499999999999998</v>
      </c>
      <c r="L40" s="108">
        <v>0.59899999999999998</v>
      </c>
      <c r="M40" s="108">
        <v>0.59199999999999997</v>
      </c>
      <c r="N40" s="108">
        <v>0.56399999999999995</v>
      </c>
      <c r="O40" s="108">
        <v>0.59699999999999998</v>
      </c>
      <c r="P40" s="108">
        <v>0.59199999999999997</v>
      </c>
      <c r="Q40" s="108">
        <v>0.58799999999999997</v>
      </c>
      <c r="R40" s="108">
        <v>0.57599999999999996</v>
      </c>
      <c r="S40" s="108">
        <v>0.54900000000000004</v>
      </c>
      <c r="T40" s="108">
        <v>0.54800000000000004</v>
      </c>
      <c r="U40" s="8" t="s">
        <v>256</v>
      </c>
      <c r="W40" s="8" t="s">
        <v>257</v>
      </c>
    </row>
    <row r="41" spans="1:23" x14ac:dyDescent="0.2">
      <c r="B41" s="110">
        <f>(B39-J39)/J39</f>
        <v>-0.40625</v>
      </c>
      <c r="C41" s="110">
        <f>(B39-M39)/K39</f>
        <v>-0.24074074074074073</v>
      </c>
    </row>
    <row r="42" spans="1:23" x14ac:dyDescent="0.2">
      <c r="B42" s="110">
        <f>(B40-J40)/J40</f>
        <v>-8.6666666666666559E-2</v>
      </c>
    </row>
    <row r="43" spans="1:23" x14ac:dyDescent="0.2">
      <c r="A43" s="106" t="s">
        <v>258</v>
      </c>
    </row>
    <row r="44" spans="1:23" x14ac:dyDescent="0.2">
      <c r="B44" s="667" t="s">
        <v>223</v>
      </c>
      <c r="C44" s="667"/>
      <c r="D44" s="111" t="s">
        <v>252</v>
      </c>
      <c r="F44" s="474" t="s">
        <v>223</v>
      </c>
      <c r="G44" s="474"/>
      <c r="H44" s="474"/>
      <c r="I44" s="474"/>
      <c r="J44" s="474"/>
      <c r="K44" s="474"/>
      <c r="L44" s="474"/>
      <c r="M44" s="474"/>
      <c r="N44" s="474"/>
      <c r="O44" s="474"/>
    </row>
    <row r="45" spans="1:23" x14ac:dyDescent="0.2">
      <c r="A45" s="6" t="s">
        <v>259</v>
      </c>
      <c r="B45" s="108">
        <v>0.25600000000000001</v>
      </c>
      <c r="C45" s="6" t="s">
        <v>260</v>
      </c>
      <c r="D45" s="108">
        <v>2024</v>
      </c>
      <c r="F45" s="472">
        <v>0.42399999999999999</v>
      </c>
      <c r="G45" s="472">
        <v>0.41499999999999998</v>
      </c>
      <c r="H45" s="473">
        <v>0.44</v>
      </c>
      <c r="I45" s="473">
        <v>0.41</v>
      </c>
      <c r="J45" s="472">
        <v>0.39800000000000002</v>
      </c>
      <c r="K45" s="472">
        <v>0.40699999999999997</v>
      </c>
      <c r="L45" s="472">
        <v>0.40200000000000002</v>
      </c>
      <c r="M45" s="472">
        <v>0.40300000000000002</v>
      </c>
      <c r="N45" s="472">
        <v>0.40400000000000003</v>
      </c>
      <c r="O45" s="472">
        <v>0.42399999999999999</v>
      </c>
      <c r="P45" s="108">
        <v>0.41699999999999998</v>
      </c>
      <c r="Q45" s="108">
        <v>0.42799999999999999</v>
      </c>
      <c r="R45" s="108">
        <v>0.435</v>
      </c>
      <c r="S45" s="108">
        <v>0.437</v>
      </c>
      <c r="T45" s="108">
        <v>0.25600000000000001</v>
      </c>
      <c r="U45" s="8" t="s">
        <v>261</v>
      </c>
    </row>
    <row r="46" spans="1:23" x14ac:dyDescent="0.2">
      <c r="A46" s="6" t="s">
        <v>262</v>
      </c>
      <c r="B46" s="114">
        <v>0.22</v>
      </c>
      <c r="C46" s="6" t="s">
        <v>260</v>
      </c>
      <c r="D46" s="108">
        <v>2024</v>
      </c>
      <c r="F46" s="108">
        <v>0.17199999999999999</v>
      </c>
      <c r="G46" s="108">
        <v>0.16700000000000001</v>
      </c>
      <c r="H46" s="113">
        <v>0.17</v>
      </c>
      <c r="I46" s="113">
        <v>0.16700000000000001</v>
      </c>
      <c r="J46" s="108">
        <v>0.16900000000000001</v>
      </c>
      <c r="K46" s="108">
        <v>0.18099999999999999</v>
      </c>
      <c r="L46" s="108">
        <v>0.19</v>
      </c>
      <c r="M46" s="108">
        <v>0.20272000000000001</v>
      </c>
      <c r="N46" s="108">
        <v>0.219</v>
      </c>
      <c r="O46" s="108">
        <v>0.2</v>
      </c>
      <c r="P46" s="108">
        <v>0.2</v>
      </c>
      <c r="Q46" s="108">
        <v>0.21</v>
      </c>
      <c r="R46" s="108">
        <v>0.21</v>
      </c>
      <c r="S46" s="108">
        <v>0.21</v>
      </c>
      <c r="T46" s="108">
        <v>0.22</v>
      </c>
      <c r="U46" s="8" t="s">
        <v>263</v>
      </c>
    </row>
    <row r="47" spans="1:23" x14ac:dyDescent="0.2">
      <c r="B47" s="110">
        <f>(B45-J45)/J45</f>
        <v>-0.35678391959799</v>
      </c>
    </row>
    <row r="48" spans="1:23" x14ac:dyDescent="0.2">
      <c r="B48" s="110">
        <f>(B46-J46)/J46</f>
        <v>0.30177514792899401</v>
      </c>
    </row>
    <row r="57" spans="5:16" x14ac:dyDescent="0.2">
      <c r="F57" s="6" t="s">
        <v>223</v>
      </c>
    </row>
    <row r="58" spans="5:16" x14ac:dyDescent="0.2">
      <c r="F58" s="6">
        <v>2010</v>
      </c>
      <c r="G58" s="6">
        <v>2011</v>
      </c>
      <c r="H58" s="6">
        <v>2012</v>
      </c>
      <c r="I58" s="6">
        <v>2013</v>
      </c>
      <c r="J58" s="6">
        <v>2014</v>
      </c>
      <c r="K58" s="6">
        <v>2015</v>
      </c>
      <c r="L58" s="6">
        <v>2016</v>
      </c>
      <c r="M58" s="6">
        <v>2017</v>
      </c>
      <c r="N58" s="6">
        <v>2018</v>
      </c>
      <c r="O58" s="6">
        <v>2019</v>
      </c>
      <c r="P58" s="6">
        <v>2020</v>
      </c>
    </row>
    <row r="59" spans="5:16" x14ac:dyDescent="0.2">
      <c r="E59" s="6" t="s">
        <v>264</v>
      </c>
      <c r="F59" s="108">
        <v>0.54</v>
      </c>
      <c r="G59" s="108">
        <v>0.59</v>
      </c>
      <c r="H59" s="108">
        <v>0.57999999999999996</v>
      </c>
      <c r="I59" s="108">
        <v>0.63</v>
      </c>
    </row>
    <row r="60" spans="5:16" x14ac:dyDescent="0.2">
      <c r="E60" s="6" t="s">
        <v>265</v>
      </c>
      <c r="F60" s="108">
        <v>0.62</v>
      </c>
      <c r="G60" s="108">
        <v>0.61799999999999999</v>
      </c>
      <c r="H60" s="108">
        <v>0.61</v>
      </c>
      <c r="I60" s="108">
        <v>0.62</v>
      </c>
      <c r="J60" s="108">
        <v>0.6</v>
      </c>
    </row>
    <row r="61" spans="5:16" x14ac:dyDescent="0.2">
      <c r="E61" s="6" t="s">
        <v>266</v>
      </c>
      <c r="J61" s="108">
        <v>0.64</v>
      </c>
      <c r="K61" s="108">
        <v>0.54</v>
      </c>
      <c r="L61" s="108">
        <v>0.54</v>
      </c>
      <c r="M61" s="108">
        <v>0.51</v>
      </c>
      <c r="N61" s="115">
        <v>0.51</v>
      </c>
      <c r="O61" s="115">
        <v>0.51</v>
      </c>
      <c r="P61" s="115">
        <v>0.37</v>
      </c>
    </row>
    <row r="62" spans="5:16" x14ac:dyDescent="0.2">
      <c r="E62" s="6" t="s">
        <v>267</v>
      </c>
      <c r="I62" s="108"/>
      <c r="J62" s="108">
        <v>0.6</v>
      </c>
      <c r="K62" s="108">
        <v>0.60499999999999998</v>
      </c>
      <c r="L62" s="108">
        <v>0.59899999999999998</v>
      </c>
      <c r="M62" s="108">
        <v>0.59199999999999997</v>
      </c>
      <c r="N62" s="109">
        <v>0.56399999999999995</v>
      </c>
      <c r="O62" s="109">
        <v>0.56399999999999995</v>
      </c>
    </row>
  </sheetData>
  <mergeCells count="30">
    <mergeCell ref="B5:C6"/>
    <mergeCell ref="D5:G5"/>
    <mergeCell ref="H5:K5"/>
    <mergeCell ref="L5:M6"/>
    <mergeCell ref="D6:E6"/>
    <mergeCell ref="F6:G6"/>
    <mergeCell ref="J6:K6"/>
    <mergeCell ref="L19:M20"/>
    <mergeCell ref="D20:E20"/>
    <mergeCell ref="F20:G20"/>
    <mergeCell ref="J20:K20"/>
    <mergeCell ref="B13:C14"/>
    <mergeCell ref="D13:G13"/>
    <mergeCell ref="H13:K13"/>
    <mergeCell ref="L13:M14"/>
    <mergeCell ref="D14:E14"/>
    <mergeCell ref="F14:G14"/>
    <mergeCell ref="J14:K14"/>
    <mergeCell ref="B44:C44"/>
    <mergeCell ref="B25:C26"/>
    <mergeCell ref="D25:G25"/>
    <mergeCell ref="H25:K25"/>
    <mergeCell ref="B19:C20"/>
    <mergeCell ref="D19:G19"/>
    <mergeCell ref="H19:K19"/>
    <mergeCell ref="L25:M26"/>
    <mergeCell ref="D26:E26"/>
    <mergeCell ref="F26:G26"/>
    <mergeCell ref="J26:K26"/>
    <mergeCell ref="B38:C38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B4F2-F54F-4CAA-BF33-12C978C1543C}">
  <dimension ref="A1:U62"/>
  <sheetViews>
    <sheetView workbookViewId="0"/>
  </sheetViews>
  <sheetFormatPr baseColWidth="10" defaultColWidth="10.33203125" defaultRowHeight="16" x14ac:dyDescent="0.2"/>
  <cols>
    <col min="1" max="1" width="41" style="8" customWidth="1"/>
    <col min="2" max="2" width="14.1640625" style="8" bestFit="1" customWidth="1"/>
    <col min="3" max="3" width="10.1640625" style="8" customWidth="1"/>
    <col min="4" max="4" width="11.1640625" style="8" customWidth="1"/>
    <col min="5" max="5" width="11" style="8" customWidth="1"/>
    <col min="6" max="7" width="10.33203125" style="8"/>
    <col min="8" max="8" width="12.6640625" style="8" bestFit="1" customWidth="1"/>
    <col min="9" max="14" width="10.33203125" style="8"/>
    <col min="15" max="15" width="21" style="8" bestFit="1" customWidth="1"/>
    <col min="16" max="16" width="15.5" style="8" bestFit="1" customWidth="1"/>
    <col min="17" max="17" width="10.33203125" style="8"/>
    <col min="18" max="18" width="14.1640625" style="8" bestFit="1" customWidth="1"/>
    <col min="19" max="16384" width="10.33203125" style="8"/>
  </cols>
  <sheetData>
    <row r="1" spans="1:16" x14ac:dyDescent="0.2">
      <c r="C1" s="671" t="s">
        <v>268</v>
      </c>
      <c r="D1" s="671"/>
      <c r="E1" s="671"/>
      <c r="F1" s="671"/>
      <c r="G1" s="671"/>
      <c r="H1" s="671"/>
      <c r="I1" s="671"/>
      <c r="J1" s="671"/>
      <c r="K1" s="671"/>
      <c r="L1" s="671"/>
      <c r="M1" s="671"/>
    </row>
    <row r="2" spans="1:16" s="53" customFormat="1" x14ac:dyDescent="0.2">
      <c r="A2" s="53" t="s">
        <v>218</v>
      </c>
      <c r="C2" s="671"/>
      <c r="D2" s="671"/>
      <c r="E2" s="671"/>
      <c r="F2" s="671"/>
      <c r="G2" s="671"/>
      <c r="H2" s="671"/>
      <c r="I2" s="671"/>
      <c r="J2" s="671"/>
      <c r="K2" s="671"/>
      <c r="L2" s="671"/>
      <c r="M2" s="671"/>
    </row>
    <row r="3" spans="1:16" x14ac:dyDescent="0.2"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1"/>
    </row>
    <row r="4" spans="1:16" x14ac:dyDescent="0.2">
      <c r="A4" s="106" t="s">
        <v>219</v>
      </c>
    </row>
    <row r="5" spans="1:16" x14ac:dyDescent="0.2">
      <c r="B5" s="666" t="s">
        <v>220</v>
      </c>
      <c r="C5" s="666"/>
      <c r="D5" s="668" t="s">
        <v>221</v>
      </c>
      <c r="E5" s="669"/>
      <c r="F5" s="669"/>
      <c r="G5" s="670"/>
      <c r="H5" s="666" t="s">
        <v>222</v>
      </c>
      <c r="I5" s="666"/>
      <c r="J5" s="666"/>
      <c r="K5" s="666"/>
      <c r="L5" s="666" t="s">
        <v>223</v>
      </c>
      <c r="M5" s="666"/>
    </row>
    <row r="6" spans="1:16" x14ac:dyDescent="0.2">
      <c r="B6" s="666"/>
      <c r="C6" s="666"/>
      <c r="D6" s="666" t="s">
        <v>221</v>
      </c>
      <c r="E6" s="666"/>
      <c r="F6" s="666" t="s">
        <v>224</v>
      </c>
      <c r="G6" s="666"/>
      <c r="H6" s="107"/>
      <c r="I6" s="107" t="s">
        <v>222</v>
      </c>
      <c r="J6" s="666" t="s">
        <v>225</v>
      </c>
      <c r="K6" s="666"/>
      <c r="L6" s="666"/>
      <c r="M6" s="666"/>
      <c r="O6" s="8" t="s">
        <v>226</v>
      </c>
      <c r="P6" s="8" t="s">
        <v>227</v>
      </c>
    </row>
    <row r="7" spans="1:16" x14ac:dyDescent="0.2">
      <c r="A7" s="6" t="s">
        <v>228</v>
      </c>
      <c r="B7" s="6">
        <v>2.6139999999999999</v>
      </c>
      <c r="C7" s="6" t="s">
        <v>229</v>
      </c>
      <c r="D7" s="6">
        <v>2.3900000000000001E-2</v>
      </c>
      <c r="E7" s="6" t="s">
        <v>230</v>
      </c>
      <c r="F7" s="6">
        <f>D7/1000*21</f>
        <v>5.019E-4</v>
      </c>
      <c r="G7" s="6" t="s">
        <v>229</v>
      </c>
      <c r="H7" s="6">
        <v>7.4000000000000003E-3</v>
      </c>
      <c r="I7" s="6" t="s">
        <v>230</v>
      </c>
      <c r="J7" s="6">
        <f>H7/1000*310</f>
        <v>2.294E-3</v>
      </c>
      <c r="K7" s="6" t="s">
        <v>229</v>
      </c>
      <c r="L7" s="6">
        <f>B7+F7+J7</f>
        <v>2.6167959000000001</v>
      </c>
      <c r="M7" s="6" t="s">
        <v>229</v>
      </c>
      <c r="O7" s="8">
        <v>10.030090270000001</v>
      </c>
      <c r="P7" s="8">
        <f>L7/10.03009027</f>
        <v>0.26089455125113248</v>
      </c>
    </row>
    <row r="8" spans="1:16" x14ac:dyDescent="0.2">
      <c r="A8" s="6" t="s">
        <v>231</v>
      </c>
      <c r="B8" s="6">
        <v>2.5489999999999999</v>
      </c>
      <c r="C8" s="6" t="s">
        <v>232</v>
      </c>
      <c r="D8" s="6">
        <v>4.4600000000000001E-2</v>
      </c>
      <c r="E8" s="6" t="s">
        <v>233</v>
      </c>
      <c r="F8" s="6">
        <f>D8/1000*21</f>
        <v>9.366E-4</v>
      </c>
      <c r="G8" s="6" t="s">
        <v>232</v>
      </c>
      <c r="H8" s="6">
        <v>9.9000000000000008E-3</v>
      </c>
      <c r="I8" s="6" t="s">
        <v>233</v>
      </c>
      <c r="J8" s="6">
        <f>H8/1000*310</f>
        <v>3.0690000000000001E-3</v>
      </c>
      <c r="K8" s="6" t="s">
        <v>232</v>
      </c>
      <c r="L8" s="6">
        <f>B8+F8+J8</f>
        <v>2.5530056000000001</v>
      </c>
      <c r="M8" s="6" t="s">
        <v>232</v>
      </c>
      <c r="O8" s="8" t="s">
        <v>234</v>
      </c>
      <c r="P8" s="8">
        <f>L8/13.333344</f>
        <v>0.19147526681978655</v>
      </c>
    </row>
    <row r="10" spans="1:16" x14ac:dyDescent="0.2">
      <c r="A10" s="8" t="s">
        <v>235</v>
      </c>
    </row>
    <row r="11" spans="1:16" x14ac:dyDescent="0.2">
      <c r="A11" s="106" t="s">
        <v>236</v>
      </c>
    </row>
    <row r="12" spans="1:16" x14ac:dyDescent="0.2">
      <c r="A12" s="8" t="s">
        <v>237</v>
      </c>
    </row>
    <row r="13" spans="1:16" x14ac:dyDescent="0.2">
      <c r="B13" s="666" t="s">
        <v>220</v>
      </c>
      <c r="C13" s="666"/>
      <c r="D13" s="668" t="s">
        <v>221</v>
      </c>
      <c r="E13" s="669"/>
      <c r="F13" s="669"/>
      <c r="G13" s="670"/>
      <c r="H13" s="666" t="s">
        <v>222</v>
      </c>
      <c r="I13" s="666"/>
      <c r="J13" s="666"/>
      <c r="K13" s="666"/>
      <c r="L13" s="666" t="s">
        <v>223</v>
      </c>
      <c r="M13" s="666"/>
    </row>
    <row r="14" spans="1:16" x14ac:dyDescent="0.2">
      <c r="B14" s="666"/>
      <c r="C14" s="666"/>
      <c r="D14" s="666" t="s">
        <v>221</v>
      </c>
      <c r="E14" s="666"/>
      <c r="F14" s="666" t="s">
        <v>224</v>
      </c>
      <c r="G14" s="666"/>
      <c r="H14" s="107"/>
      <c r="I14" s="107" t="s">
        <v>222</v>
      </c>
      <c r="J14" s="666" t="s">
        <v>225</v>
      </c>
      <c r="K14" s="666"/>
      <c r="L14" s="666"/>
      <c r="M14" s="666"/>
    </row>
    <row r="15" spans="1:16" x14ac:dyDescent="0.2">
      <c r="A15" s="6" t="s">
        <v>238</v>
      </c>
      <c r="B15" s="6">
        <v>2.6139999999999999</v>
      </c>
      <c r="C15" s="6" t="s">
        <v>229</v>
      </c>
      <c r="D15" s="6">
        <v>7.1999999999999995E-2</v>
      </c>
      <c r="E15" s="6" t="s">
        <v>230</v>
      </c>
      <c r="F15" s="6">
        <f>D15/1000*21</f>
        <v>1.5119999999999997E-3</v>
      </c>
      <c r="G15" s="6" t="s">
        <v>229</v>
      </c>
      <c r="H15" s="6">
        <v>0.11</v>
      </c>
      <c r="I15" s="6" t="s">
        <v>230</v>
      </c>
      <c r="J15" s="6">
        <f>H15/1000*310</f>
        <v>3.4099999999999998E-2</v>
      </c>
      <c r="K15" s="6" t="s">
        <v>229</v>
      </c>
      <c r="L15" s="6">
        <f>B15+F15+J15</f>
        <v>2.6496119999999999</v>
      </c>
      <c r="M15" s="6" t="s">
        <v>229</v>
      </c>
      <c r="O15" s="8" t="s">
        <v>239</v>
      </c>
      <c r="P15" s="8">
        <f>L15/10.03009027</f>
        <v>0.26416631642139743</v>
      </c>
    </row>
    <row r="16" spans="1:16" x14ac:dyDescent="0.2">
      <c r="A16" s="6" t="s">
        <v>240</v>
      </c>
      <c r="B16" s="6">
        <v>2.36</v>
      </c>
      <c r="C16" s="6" t="s">
        <v>229</v>
      </c>
      <c r="D16" s="6">
        <v>0.253</v>
      </c>
      <c r="E16" s="6" t="s">
        <v>233</v>
      </c>
      <c r="F16" s="6">
        <f>D16/1000*21</f>
        <v>5.3130000000000009E-3</v>
      </c>
      <c r="G16" s="6" t="s">
        <v>229</v>
      </c>
      <c r="H16" s="6">
        <v>1.105</v>
      </c>
      <c r="I16" s="6" t="s">
        <v>233</v>
      </c>
      <c r="J16" s="6">
        <f>H16/1000*310</f>
        <v>0.34255000000000002</v>
      </c>
      <c r="K16" s="6" t="s">
        <v>229</v>
      </c>
      <c r="L16" s="6">
        <f>B16+F16+J16</f>
        <v>2.7078630000000001</v>
      </c>
      <c r="M16" s="6" t="s">
        <v>229</v>
      </c>
      <c r="O16" s="8">
        <v>8.8347027120000003</v>
      </c>
      <c r="P16" s="8">
        <f>L16/8.834702712</f>
        <v>0.30650301297880278</v>
      </c>
    </row>
    <row r="18" spans="1:16" x14ac:dyDescent="0.2">
      <c r="A18" s="8" t="s">
        <v>241</v>
      </c>
    </row>
    <row r="19" spans="1:16" x14ac:dyDescent="0.2">
      <c r="B19" s="666" t="s">
        <v>220</v>
      </c>
      <c r="C19" s="666"/>
      <c r="D19" s="668" t="s">
        <v>221</v>
      </c>
      <c r="E19" s="669"/>
      <c r="F19" s="669"/>
      <c r="G19" s="670"/>
      <c r="H19" s="666" t="s">
        <v>222</v>
      </c>
      <c r="I19" s="666"/>
      <c r="J19" s="666"/>
      <c r="K19" s="666"/>
      <c r="L19" s="666" t="s">
        <v>223</v>
      </c>
      <c r="M19" s="666"/>
    </row>
    <row r="20" spans="1:16" x14ac:dyDescent="0.2">
      <c r="B20" s="666"/>
      <c r="C20" s="666"/>
      <c r="D20" s="666" t="s">
        <v>221</v>
      </c>
      <c r="E20" s="666"/>
      <c r="F20" s="666" t="s">
        <v>224</v>
      </c>
      <c r="G20" s="666"/>
      <c r="H20" s="107"/>
      <c r="I20" s="107" t="s">
        <v>222</v>
      </c>
      <c r="J20" s="666" t="s">
        <v>225</v>
      </c>
      <c r="K20" s="666"/>
      <c r="L20" s="666"/>
      <c r="M20" s="666"/>
    </row>
    <row r="21" spans="1:16" x14ac:dyDescent="0.2">
      <c r="A21" s="6" t="s">
        <v>238</v>
      </c>
      <c r="B21" s="6">
        <v>2.6139999999999999</v>
      </c>
      <c r="C21" s="6" t="s">
        <v>229</v>
      </c>
      <c r="D21" s="6">
        <v>7.1999999999999995E-2</v>
      </c>
      <c r="E21" s="6" t="s">
        <v>230</v>
      </c>
      <c r="F21" s="6">
        <f>D21/1000*21</f>
        <v>1.5119999999999997E-3</v>
      </c>
      <c r="G21" s="6" t="s">
        <v>229</v>
      </c>
      <c r="H21" s="6">
        <v>0.50600000000000001</v>
      </c>
      <c r="I21" s="6" t="s">
        <v>230</v>
      </c>
      <c r="J21" s="6">
        <f>H21/1000*310</f>
        <v>0.15686000000000003</v>
      </c>
      <c r="K21" s="6" t="s">
        <v>229</v>
      </c>
      <c r="L21" s="6">
        <f>B21+F21+J21</f>
        <v>2.7723719999999998</v>
      </c>
      <c r="M21" s="6" t="s">
        <v>229</v>
      </c>
      <c r="O21" s="8" t="s">
        <v>239</v>
      </c>
      <c r="P21" s="8">
        <f>L21/10.03009027</f>
        <v>0.27640548842238882</v>
      </c>
    </row>
    <row r="22" spans="1:16" x14ac:dyDescent="0.2">
      <c r="A22" s="6" t="s">
        <v>240</v>
      </c>
      <c r="B22" s="6">
        <v>2.36</v>
      </c>
      <c r="C22" s="6" t="s">
        <v>229</v>
      </c>
      <c r="D22" s="6">
        <v>0.20300000000000001</v>
      </c>
      <c r="E22" s="6" t="s">
        <v>233</v>
      </c>
      <c r="F22" s="6">
        <f>D22/1000*21</f>
        <v>4.2630000000000003E-3</v>
      </c>
      <c r="G22" s="6" t="s">
        <v>229</v>
      </c>
      <c r="H22" s="6">
        <v>1.1399999999999999</v>
      </c>
      <c r="I22" s="6" t="s">
        <v>233</v>
      </c>
      <c r="J22" s="6">
        <f>H22/1000*310</f>
        <v>0.35339999999999999</v>
      </c>
      <c r="K22" s="6" t="s">
        <v>229</v>
      </c>
      <c r="L22" s="6">
        <f>B22+F22+J22</f>
        <v>2.7176629999999999</v>
      </c>
      <c r="M22" s="6" t="s">
        <v>229</v>
      </c>
      <c r="O22" s="8" t="s">
        <v>242</v>
      </c>
      <c r="P22" s="8">
        <f>L22/8.834702712</f>
        <v>0.30761227497883459</v>
      </c>
    </row>
    <row r="24" spans="1:16" x14ac:dyDescent="0.2">
      <c r="A24" s="8" t="s">
        <v>243</v>
      </c>
    </row>
    <row r="25" spans="1:16" x14ac:dyDescent="0.2">
      <c r="B25" s="666" t="s">
        <v>220</v>
      </c>
      <c r="C25" s="666"/>
      <c r="D25" s="668" t="s">
        <v>221</v>
      </c>
      <c r="E25" s="669"/>
      <c r="F25" s="669"/>
      <c r="G25" s="670"/>
      <c r="H25" s="666" t="s">
        <v>222</v>
      </c>
      <c r="I25" s="666"/>
      <c r="J25" s="666"/>
      <c r="K25" s="666"/>
      <c r="L25" s="666" t="s">
        <v>223</v>
      </c>
      <c r="M25" s="666"/>
    </row>
    <row r="26" spans="1:16" x14ac:dyDescent="0.2">
      <c r="B26" s="666"/>
      <c r="C26" s="666"/>
      <c r="D26" s="666" t="s">
        <v>221</v>
      </c>
      <c r="E26" s="666"/>
      <c r="F26" s="666" t="s">
        <v>224</v>
      </c>
      <c r="G26" s="666"/>
      <c r="H26" s="107"/>
      <c r="I26" s="107" t="s">
        <v>222</v>
      </c>
      <c r="J26" s="666" t="s">
        <v>225</v>
      </c>
      <c r="K26" s="666"/>
      <c r="L26" s="666"/>
      <c r="M26" s="666"/>
    </row>
    <row r="27" spans="1:16" ht="15.75" customHeight="1" x14ac:dyDescent="0.2">
      <c r="A27" s="6" t="s">
        <v>238</v>
      </c>
      <c r="B27" s="6">
        <v>2.6139999999999999</v>
      </c>
      <c r="C27" s="6" t="s">
        <v>229</v>
      </c>
      <c r="D27" s="6">
        <v>7.1999999999999995E-2</v>
      </c>
      <c r="E27" s="6" t="s">
        <v>230</v>
      </c>
      <c r="F27" s="6">
        <f>D27/1000*21</f>
        <v>1.5119999999999997E-3</v>
      </c>
      <c r="G27" s="6" t="s">
        <v>229</v>
      </c>
      <c r="H27" s="6">
        <v>0.50600000000000001</v>
      </c>
      <c r="I27" s="6" t="s">
        <v>230</v>
      </c>
      <c r="J27" s="6">
        <f>H27/1000*310</f>
        <v>0.15686000000000003</v>
      </c>
      <c r="K27" s="6" t="s">
        <v>229</v>
      </c>
      <c r="L27" s="6">
        <f>B27+F27+J27</f>
        <v>2.7723719999999998</v>
      </c>
      <c r="M27" s="6" t="s">
        <v>229</v>
      </c>
      <c r="O27" s="8" t="s">
        <v>239</v>
      </c>
      <c r="P27" s="8">
        <f>L27/10.03009027</f>
        <v>0.27640548842238882</v>
      </c>
    </row>
    <row r="28" spans="1:16" x14ac:dyDescent="0.2">
      <c r="A28" s="6" t="s">
        <v>240</v>
      </c>
      <c r="B28" s="6">
        <v>2.36</v>
      </c>
      <c r="C28" s="6" t="s">
        <v>229</v>
      </c>
      <c r="D28" s="6">
        <v>0.20300000000000001</v>
      </c>
      <c r="E28" s="6" t="s">
        <v>233</v>
      </c>
      <c r="F28" s="6">
        <f>D28/1000*21</f>
        <v>4.2630000000000003E-3</v>
      </c>
      <c r="G28" s="6" t="s">
        <v>229</v>
      </c>
      <c r="H28" s="6">
        <v>1.105</v>
      </c>
      <c r="I28" s="6" t="s">
        <v>233</v>
      </c>
      <c r="J28" s="6">
        <f>H28/1000*310</f>
        <v>0.34255000000000002</v>
      </c>
      <c r="K28" s="6" t="s">
        <v>229</v>
      </c>
      <c r="L28" s="6">
        <f>B28+F28+J28</f>
        <v>2.7068129999999999</v>
      </c>
      <c r="M28" s="6" t="s">
        <v>229</v>
      </c>
      <c r="O28" s="8" t="s">
        <v>242</v>
      </c>
      <c r="P28" s="8">
        <f>L28/8.834702712</f>
        <v>0.30638416347879932</v>
      </c>
    </row>
    <row r="31" spans="1:16" x14ac:dyDescent="0.2">
      <c r="A31" s="106" t="s">
        <v>244</v>
      </c>
    </row>
    <row r="32" spans="1:16" x14ac:dyDescent="0.2">
      <c r="A32" s="8" t="s">
        <v>245</v>
      </c>
      <c r="B32" s="8">
        <v>1810</v>
      </c>
    </row>
    <row r="33" spans="1:21" x14ac:dyDescent="0.2">
      <c r="A33" s="8" t="s">
        <v>246</v>
      </c>
      <c r="B33" s="8">
        <v>1725</v>
      </c>
    </row>
    <row r="34" spans="1:21" x14ac:dyDescent="0.2">
      <c r="A34" s="8" t="s">
        <v>247</v>
      </c>
      <c r="B34" s="8">
        <v>1526</v>
      </c>
      <c r="D34" s="8" t="s">
        <v>248</v>
      </c>
    </row>
    <row r="35" spans="1:21" x14ac:dyDescent="0.2">
      <c r="A35" s="8" t="s">
        <v>249</v>
      </c>
      <c r="B35" s="8">
        <v>22800</v>
      </c>
      <c r="D35" s="8" t="s">
        <v>250</v>
      </c>
    </row>
    <row r="37" spans="1:21" x14ac:dyDescent="0.2">
      <c r="A37" s="106" t="s">
        <v>251</v>
      </c>
      <c r="F37" s="6">
        <v>2010</v>
      </c>
      <c r="G37" s="6">
        <v>2011</v>
      </c>
      <c r="H37" s="6">
        <v>2012</v>
      </c>
      <c r="I37" s="6">
        <v>2013</v>
      </c>
      <c r="J37" s="6">
        <v>2014</v>
      </c>
      <c r="K37" s="6">
        <v>2015</v>
      </c>
      <c r="L37" s="6">
        <v>2016</v>
      </c>
      <c r="M37" s="6">
        <v>2017</v>
      </c>
      <c r="N37" s="6">
        <v>2018</v>
      </c>
      <c r="O37" s="6">
        <v>2019</v>
      </c>
      <c r="P37" s="6">
        <v>2020</v>
      </c>
      <c r="Q37" s="6">
        <v>2021</v>
      </c>
    </row>
    <row r="38" spans="1:21" x14ac:dyDescent="0.2">
      <c r="B38" s="666" t="s">
        <v>223</v>
      </c>
      <c r="C38" s="666"/>
      <c r="D38" s="6" t="s">
        <v>252</v>
      </c>
      <c r="F38" s="6" t="s">
        <v>223</v>
      </c>
      <c r="G38" s="6"/>
      <c r="H38" s="6"/>
      <c r="I38" s="6"/>
      <c r="J38" s="6"/>
      <c r="K38" s="6"/>
      <c r="L38" s="6"/>
      <c r="M38" s="6"/>
      <c r="N38" s="6"/>
    </row>
    <row r="39" spans="1:21" x14ac:dyDescent="0.2">
      <c r="A39" s="6" t="s">
        <v>31</v>
      </c>
      <c r="B39" s="108">
        <v>0.39</v>
      </c>
      <c r="C39" s="6" t="s">
        <v>253</v>
      </c>
      <c r="D39" s="108">
        <v>2022</v>
      </c>
      <c r="F39" s="108">
        <v>0.54</v>
      </c>
      <c r="G39" s="108">
        <v>0.59</v>
      </c>
      <c r="H39" s="108">
        <v>0.57999999999999996</v>
      </c>
      <c r="I39" s="108">
        <v>0.63</v>
      </c>
      <c r="J39" s="108">
        <v>0.64</v>
      </c>
      <c r="K39" s="108">
        <v>0.54</v>
      </c>
      <c r="L39" s="108">
        <v>0.54</v>
      </c>
      <c r="M39" s="108">
        <v>0.51</v>
      </c>
      <c r="N39" s="108">
        <v>0.51</v>
      </c>
      <c r="O39" s="109">
        <v>0.51</v>
      </c>
      <c r="P39" s="109">
        <v>0.37</v>
      </c>
      <c r="Q39" s="109">
        <v>0.39</v>
      </c>
      <c r="R39" s="8" t="s">
        <v>254</v>
      </c>
      <c r="U39" s="8">
        <f>B39</f>
        <v>0.39</v>
      </c>
    </row>
    <row r="40" spans="1:21" x14ac:dyDescent="0.2">
      <c r="A40" s="6" t="s">
        <v>231</v>
      </c>
      <c r="B40" s="108">
        <v>0.57599999999999996</v>
      </c>
      <c r="C40" s="6" t="s">
        <v>255</v>
      </c>
      <c r="D40" s="108">
        <v>2022</v>
      </c>
      <c r="F40" s="108">
        <v>0.62</v>
      </c>
      <c r="G40" s="108">
        <v>0.61799999999999999</v>
      </c>
      <c r="H40" s="108">
        <v>0.61</v>
      </c>
      <c r="I40" s="108">
        <v>0.62</v>
      </c>
      <c r="J40" s="108">
        <v>0.6</v>
      </c>
      <c r="K40" s="108">
        <v>0.60499999999999998</v>
      </c>
      <c r="L40" s="108">
        <v>0.59899999999999998</v>
      </c>
      <c r="M40" s="108">
        <v>0.59199999999999997</v>
      </c>
      <c r="N40" s="108">
        <v>0.56399999999999995</v>
      </c>
      <c r="O40" s="109">
        <v>0.59699999999999998</v>
      </c>
      <c r="P40" s="109">
        <v>0.59199999999999997</v>
      </c>
      <c r="Q40" s="109">
        <v>0.58799999999999997</v>
      </c>
      <c r="R40" s="8" t="s">
        <v>256</v>
      </c>
      <c r="T40" s="8" t="s">
        <v>257</v>
      </c>
      <c r="U40" s="8">
        <f>B40/13.333344</f>
        <v>4.3199965440027646E-2</v>
      </c>
    </row>
    <row r="41" spans="1:21" x14ac:dyDescent="0.2">
      <c r="B41" s="110">
        <f>(B39-J39)/J39</f>
        <v>-0.390625</v>
      </c>
      <c r="C41" s="110">
        <f>(B39-M39)/K39</f>
        <v>-0.22222222222222221</v>
      </c>
    </row>
    <row r="42" spans="1:21" x14ac:dyDescent="0.2">
      <c r="B42" s="110">
        <f>(B40-J40)/J40</f>
        <v>-4.0000000000000036E-2</v>
      </c>
    </row>
    <row r="43" spans="1:21" x14ac:dyDescent="0.2">
      <c r="A43" s="106" t="s">
        <v>258</v>
      </c>
    </row>
    <row r="44" spans="1:21" x14ac:dyDescent="0.2">
      <c r="B44" s="667" t="s">
        <v>223</v>
      </c>
      <c r="C44" s="667"/>
      <c r="D44" s="111" t="s">
        <v>252</v>
      </c>
      <c r="F44" s="112" t="s">
        <v>223</v>
      </c>
      <c r="G44" s="112"/>
      <c r="H44" s="112"/>
      <c r="I44" s="112"/>
      <c r="J44" s="112"/>
      <c r="K44" s="112"/>
      <c r="L44" s="112"/>
      <c r="M44" s="112"/>
      <c r="N44" s="112"/>
      <c r="O44" s="112"/>
    </row>
    <row r="45" spans="1:21" x14ac:dyDescent="0.2">
      <c r="A45" s="6" t="s">
        <v>269</v>
      </c>
      <c r="B45" s="108">
        <v>0.42799999999999999</v>
      </c>
      <c r="C45" s="6" t="s">
        <v>260</v>
      </c>
      <c r="D45" s="108">
        <v>2021</v>
      </c>
      <c r="F45" s="108">
        <v>0.42399999999999999</v>
      </c>
      <c r="G45" s="108">
        <v>0.41499999999999998</v>
      </c>
      <c r="H45" s="113">
        <v>0.44</v>
      </c>
      <c r="I45" s="113">
        <v>0.41</v>
      </c>
      <c r="J45" s="108">
        <v>0.39800000000000002</v>
      </c>
      <c r="K45" s="108">
        <v>0.40699999999999997</v>
      </c>
      <c r="L45" s="108">
        <v>0.40200000000000002</v>
      </c>
      <c r="M45" s="108">
        <v>0.40300000000000002</v>
      </c>
      <c r="N45" s="108">
        <v>0.40400000000000003</v>
      </c>
      <c r="O45" s="108">
        <v>0.42399999999999999</v>
      </c>
      <c r="P45" s="108">
        <v>0.41699999999999998</v>
      </c>
      <c r="Q45" s="109">
        <v>0.42799999999999999</v>
      </c>
      <c r="R45" s="8" t="s">
        <v>261</v>
      </c>
    </row>
    <row r="46" spans="1:21" x14ac:dyDescent="0.2">
      <c r="A46" s="6" t="s">
        <v>270</v>
      </c>
      <c r="B46" s="114">
        <v>0.21</v>
      </c>
      <c r="C46" s="6" t="s">
        <v>260</v>
      </c>
      <c r="D46" s="108">
        <v>2022</v>
      </c>
      <c r="F46" s="108">
        <v>0.17199999999999999</v>
      </c>
      <c r="G46" s="108">
        <v>0.16700000000000001</v>
      </c>
      <c r="H46" s="113">
        <v>0.17</v>
      </c>
      <c r="I46" s="113">
        <v>0.16700000000000001</v>
      </c>
      <c r="J46" s="108">
        <v>0.16900000000000001</v>
      </c>
      <c r="K46" s="108">
        <v>0.18099999999999999</v>
      </c>
      <c r="L46" s="108">
        <v>0.19</v>
      </c>
      <c r="M46" s="108">
        <v>0.20272000000000001</v>
      </c>
      <c r="N46" s="108">
        <v>0.219</v>
      </c>
      <c r="O46" s="108">
        <v>0.2</v>
      </c>
      <c r="P46" s="108">
        <v>0.2</v>
      </c>
      <c r="Q46" s="109">
        <v>0.21</v>
      </c>
      <c r="R46" s="8" t="s">
        <v>263</v>
      </c>
    </row>
    <row r="47" spans="1:21" x14ac:dyDescent="0.2">
      <c r="B47" s="110">
        <f>(B45-J45)/J45</f>
        <v>7.5376884422110477E-2</v>
      </c>
    </row>
    <row r="48" spans="1:21" x14ac:dyDescent="0.2">
      <c r="B48" s="110">
        <f>(B46-J46)/J46</f>
        <v>0.24260355029585787</v>
      </c>
    </row>
    <row r="57" spans="5:16" x14ac:dyDescent="0.2">
      <c r="F57" s="6" t="s">
        <v>223</v>
      </c>
    </row>
    <row r="58" spans="5:16" x14ac:dyDescent="0.2">
      <c r="F58" s="6">
        <v>2010</v>
      </c>
      <c r="G58" s="6">
        <v>2011</v>
      </c>
      <c r="H58" s="6">
        <v>2012</v>
      </c>
      <c r="I58" s="6">
        <v>2013</v>
      </c>
      <c r="J58" s="6">
        <v>2014</v>
      </c>
      <c r="K58" s="6">
        <v>2015</v>
      </c>
      <c r="L58" s="6">
        <v>2016</v>
      </c>
      <c r="M58" s="6">
        <v>2017</v>
      </c>
      <c r="N58" s="6">
        <v>2018</v>
      </c>
      <c r="O58" s="6">
        <v>2019</v>
      </c>
      <c r="P58" s="6">
        <v>2020</v>
      </c>
    </row>
    <row r="59" spans="5:16" x14ac:dyDescent="0.2">
      <c r="E59" s="6" t="s">
        <v>264</v>
      </c>
      <c r="F59" s="108">
        <v>0.54</v>
      </c>
      <c r="G59" s="108">
        <v>0.59</v>
      </c>
      <c r="H59" s="108">
        <v>0.57999999999999996</v>
      </c>
      <c r="I59" s="108">
        <v>0.63</v>
      </c>
    </row>
    <row r="60" spans="5:16" x14ac:dyDescent="0.2">
      <c r="E60" s="6" t="s">
        <v>265</v>
      </c>
      <c r="F60" s="108">
        <v>0.62</v>
      </c>
      <c r="G60" s="108">
        <v>0.61799999999999999</v>
      </c>
      <c r="H60" s="108">
        <v>0.61</v>
      </c>
      <c r="I60" s="108">
        <v>0.62</v>
      </c>
      <c r="J60" s="108">
        <v>0.6</v>
      </c>
    </row>
    <row r="61" spans="5:16" x14ac:dyDescent="0.2">
      <c r="E61" s="6" t="s">
        <v>266</v>
      </c>
      <c r="J61" s="108">
        <v>0.64</v>
      </c>
      <c r="K61" s="108">
        <v>0.54</v>
      </c>
      <c r="L61" s="108">
        <v>0.54</v>
      </c>
      <c r="M61" s="108">
        <v>0.51</v>
      </c>
      <c r="N61" s="115">
        <v>0.51</v>
      </c>
      <c r="O61" s="115">
        <v>0.51</v>
      </c>
      <c r="P61" s="115">
        <v>0.37</v>
      </c>
    </row>
    <row r="62" spans="5:16" x14ac:dyDescent="0.2">
      <c r="E62" s="6" t="s">
        <v>267</v>
      </c>
      <c r="I62" s="108"/>
      <c r="J62" s="108">
        <v>0.6</v>
      </c>
      <c r="K62" s="108">
        <v>0.60499999999999998</v>
      </c>
      <c r="L62" s="108">
        <v>0.59899999999999998</v>
      </c>
      <c r="M62" s="108">
        <v>0.59199999999999997</v>
      </c>
      <c r="N62" s="109">
        <v>0.56399999999999995</v>
      </c>
      <c r="O62" s="109">
        <v>0.56399999999999995</v>
      </c>
    </row>
  </sheetData>
  <mergeCells count="31">
    <mergeCell ref="C1:M3"/>
    <mergeCell ref="B5:C6"/>
    <mergeCell ref="D5:G5"/>
    <mergeCell ref="H5:K5"/>
    <mergeCell ref="L5:M6"/>
    <mergeCell ref="D6:E6"/>
    <mergeCell ref="F6:G6"/>
    <mergeCell ref="J6:K6"/>
    <mergeCell ref="B13:C14"/>
    <mergeCell ref="D13:G13"/>
    <mergeCell ref="H13:K13"/>
    <mergeCell ref="L13:M14"/>
    <mergeCell ref="D14:E14"/>
    <mergeCell ref="F14:G14"/>
    <mergeCell ref="J14:K14"/>
    <mergeCell ref="L25:M26"/>
    <mergeCell ref="D26:E26"/>
    <mergeCell ref="F26:G26"/>
    <mergeCell ref="J26:K26"/>
    <mergeCell ref="B19:C20"/>
    <mergeCell ref="D19:G19"/>
    <mergeCell ref="H19:K19"/>
    <mergeCell ref="L19:M20"/>
    <mergeCell ref="D20:E20"/>
    <mergeCell ref="F20:G20"/>
    <mergeCell ref="J20:K20"/>
    <mergeCell ref="B38:C38"/>
    <mergeCell ref="B44:C44"/>
    <mergeCell ref="B25:C26"/>
    <mergeCell ref="D25:G25"/>
    <mergeCell ref="H25:K25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D275-55C9-4DAF-A60F-6A0DDAB872F5}">
  <dimension ref="A1:O28"/>
  <sheetViews>
    <sheetView topLeftCell="I1" workbookViewId="0">
      <selection activeCell="L12" sqref="L12"/>
    </sheetView>
  </sheetViews>
  <sheetFormatPr baseColWidth="10" defaultColWidth="8.6640625" defaultRowHeight="16" x14ac:dyDescent="0.2"/>
  <cols>
    <col min="1" max="1" width="10.6640625" style="87" customWidth="1"/>
    <col min="2" max="3" width="15.6640625" style="8" customWidth="1"/>
    <col min="4" max="4" width="10.6640625" style="8" customWidth="1"/>
    <col min="5" max="5" width="13.33203125" style="8" customWidth="1"/>
    <col min="6" max="6" width="10.6640625" style="8" customWidth="1"/>
    <col min="7" max="8" width="15.6640625" style="8" customWidth="1"/>
    <col min="9" max="9" width="18.1640625" style="8" customWidth="1"/>
    <col min="10" max="12" width="15.6640625" style="8" customWidth="1"/>
    <col min="13" max="13" width="9.5" style="8" bestFit="1" customWidth="1"/>
    <col min="14" max="14" width="10.6640625" style="8" customWidth="1"/>
    <col min="15" max="15" width="9.6640625" style="8" bestFit="1" customWidth="1"/>
    <col min="16" max="16384" width="8.6640625" style="8"/>
  </cols>
  <sheetData>
    <row r="1" spans="1:15" x14ac:dyDescent="0.2">
      <c r="A1" s="672" t="s">
        <v>271</v>
      </c>
      <c r="B1" s="672"/>
      <c r="C1" s="672"/>
      <c r="D1" s="672"/>
      <c r="E1" s="672"/>
      <c r="F1" s="672"/>
      <c r="G1" s="672"/>
      <c r="H1" s="672"/>
      <c r="I1" s="672"/>
    </row>
    <row r="2" spans="1:15" s="91" customFormat="1" ht="51" x14ac:dyDescent="0.2">
      <c r="A2" s="65" t="s">
        <v>272</v>
      </c>
      <c r="B2" s="65" t="s">
        <v>127</v>
      </c>
      <c r="C2" s="65" t="s">
        <v>40</v>
      </c>
      <c r="D2" s="65" t="s">
        <v>273</v>
      </c>
      <c r="E2" s="65" t="s">
        <v>45</v>
      </c>
      <c r="F2" s="65" t="s">
        <v>47</v>
      </c>
      <c r="G2" s="65" t="s">
        <v>274</v>
      </c>
      <c r="H2" s="65" t="s">
        <v>275</v>
      </c>
      <c r="I2" s="65" t="s">
        <v>128</v>
      </c>
      <c r="J2" s="12" t="s">
        <v>276</v>
      </c>
      <c r="K2" s="12" t="s">
        <v>277</v>
      </c>
      <c r="L2" s="91" t="s">
        <v>278</v>
      </c>
    </row>
    <row r="3" spans="1:15" x14ac:dyDescent="0.2">
      <c r="A3" s="87" t="str">
        <f>'Yearly Potable (Overview)'!A3</f>
        <v>2014/15</v>
      </c>
      <c r="B3" s="9">
        <f>'Yearly Potable (Overview)'!B3</f>
        <v>90262</v>
      </c>
      <c r="C3" s="9">
        <f>'Yearly Potable (Overview)'!C3</f>
        <v>0</v>
      </c>
      <c r="D3" s="9">
        <f>'Yearly Potable (Overview)'!D3</f>
        <v>124383</v>
      </c>
      <c r="E3" s="9">
        <f>'Yearly Potable (Overview)'!E3</f>
        <v>0</v>
      </c>
      <c r="F3" s="9">
        <f>'Yearly Potable (Overview)'!F3</f>
        <v>7484</v>
      </c>
      <c r="G3" s="9">
        <f>'Yearly Potable (Overview)'!G3</f>
        <v>116140</v>
      </c>
      <c r="H3" s="9">
        <f>'Yearly Potable (Overview)'!H3</f>
        <v>116140</v>
      </c>
      <c r="I3" s="9">
        <f>'Yearly Potable (Overview)'!I3</f>
        <v>61598.784000000014</v>
      </c>
      <c r="J3" s="7">
        <f>SUM(B3:I3)</f>
        <v>516007.78399999999</v>
      </c>
      <c r="K3" s="7">
        <f t="shared" ref="K3:K13" si="0">J3/L3</f>
        <v>31.579423745410036</v>
      </c>
      <c r="L3" s="7">
        <f>'Yearly GHG (mCO2)'!G6</f>
        <v>16340</v>
      </c>
    </row>
    <row r="4" spans="1:15" x14ac:dyDescent="0.2">
      <c r="A4" s="87" t="str">
        <f>'Yearly Potable (Overview)'!A4</f>
        <v>2015/16</v>
      </c>
      <c r="B4" s="9">
        <f>'Yearly Potable (Overview)'!B4</f>
        <v>97307</v>
      </c>
      <c r="C4" s="9">
        <f>'Yearly Potable (Overview)'!C4</f>
        <v>7383</v>
      </c>
      <c r="D4" s="9">
        <f>'Yearly Potable (Overview)'!D4</f>
        <v>2424</v>
      </c>
      <c r="E4" s="9">
        <f>'Yearly Potable (Overview)'!E4</f>
        <v>1727</v>
      </c>
      <c r="F4" s="9">
        <f>'Yearly Potable (Overview)'!F4</f>
        <v>117734</v>
      </c>
      <c r="G4" s="9">
        <f>'Yearly Potable (Overview)'!G4</f>
        <v>6611</v>
      </c>
      <c r="H4" s="9">
        <f>'Yearly Potable (Overview)'!H4</f>
        <v>117818</v>
      </c>
      <c r="I4" s="9">
        <f>'Yearly Potable (Overview)'!I4</f>
        <v>68814.956000000006</v>
      </c>
      <c r="J4" s="7">
        <f t="shared" ref="J4:J10" si="1">SUM(B4:I4)</f>
        <v>419818.95600000001</v>
      </c>
      <c r="K4" s="7">
        <f t="shared" si="0"/>
        <v>25.258345225919019</v>
      </c>
      <c r="L4" s="7">
        <f>'Yearly GHG (mCO2)'!G7</f>
        <v>16621</v>
      </c>
    </row>
    <row r="5" spans="1:15" x14ac:dyDescent="0.2">
      <c r="A5" s="87" t="str">
        <f>'Yearly Potable (Overview)'!A5</f>
        <v>2016/17</v>
      </c>
      <c r="B5" s="9">
        <f>'Yearly Potable (Overview)'!B5</f>
        <v>87033</v>
      </c>
      <c r="C5" s="9">
        <f>'Yearly Potable (Overview)'!C5</f>
        <v>13328</v>
      </c>
      <c r="D5" s="9">
        <f>'Yearly Potable (Overview)'!D5</f>
        <v>6762</v>
      </c>
      <c r="E5" s="9">
        <f>'Yearly Potable (Overview)'!E5</f>
        <v>1608</v>
      </c>
      <c r="F5" s="9">
        <f>'Yearly Potable (Overview)'!F5</f>
        <v>114980</v>
      </c>
      <c r="G5" s="9">
        <f>'Yearly Potable (Overview)'!G5</f>
        <v>7503</v>
      </c>
      <c r="H5" s="9">
        <f>'Yearly Potable (Overview)'!H5</f>
        <v>125215</v>
      </c>
      <c r="I5" s="9">
        <f>'Yearly Potable (Overview)'!I5</f>
        <v>69931.055599999992</v>
      </c>
      <c r="J5" s="7">
        <f t="shared" si="1"/>
        <v>426360.05559999996</v>
      </c>
      <c r="K5" s="7">
        <f t="shared" si="0"/>
        <v>24.645802225497846</v>
      </c>
      <c r="L5" s="7">
        <f>'Yearly GHG (mCO2)'!G8</f>
        <v>17299.5</v>
      </c>
    </row>
    <row r="6" spans="1:15" x14ac:dyDescent="0.2">
      <c r="A6" s="87" t="str">
        <f>'Yearly Potable (Overview)'!A6</f>
        <v>2017/18</v>
      </c>
      <c r="B6" s="9">
        <f>'Yearly Potable (Overview)'!B6</f>
        <v>83776</v>
      </c>
      <c r="C6" s="9">
        <f>'Yearly Potable (Overview)'!C6</f>
        <v>22095</v>
      </c>
      <c r="D6" s="9">
        <f>'Yearly Potable (Overview)'!D6</f>
        <v>25843</v>
      </c>
      <c r="E6" s="9">
        <f>'Yearly Potable (Overview)'!E6</f>
        <v>1862</v>
      </c>
      <c r="F6" s="9">
        <f>'Yearly Potable (Overview)'!F6</f>
        <v>108941</v>
      </c>
      <c r="G6" s="9">
        <f>'Yearly Potable (Overview)'!G6</f>
        <v>7341</v>
      </c>
      <c r="H6" s="9">
        <f>'Yearly Potable (Overview)'!H6</f>
        <v>94785</v>
      </c>
      <c r="I6" s="9">
        <f>'Yearly Potable (Overview)'!I6</f>
        <v>53724.452880000012</v>
      </c>
      <c r="J6" s="7">
        <f t="shared" si="1"/>
        <v>398367.45288</v>
      </c>
      <c r="K6" s="7">
        <f t="shared" si="0"/>
        <v>22.225985598794878</v>
      </c>
      <c r="L6" s="7">
        <f>'Yearly GHG (mCO2)'!G9</f>
        <v>17923.5</v>
      </c>
      <c r="M6" s="207"/>
    </row>
    <row r="7" spans="1:15" ht="15" customHeight="1" x14ac:dyDescent="0.2">
      <c r="A7" s="87" t="str">
        <f>'Yearly Potable (Overview)'!A7</f>
        <v>2018/19</v>
      </c>
      <c r="B7" s="9">
        <f>'Yearly Potable (Overview)'!B7</f>
        <v>83643</v>
      </c>
      <c r="C7" s="9">
        <f>'Yearly Potable (Overview)'!C7</f>
        <v>18381</v>
      </c>
      <c r="D7" s="9">
        <f>'Yearly Potable (Overview)'!D7</f>
        <v>25305</v>
      </c>
      <c r="E7" s="9">
        <f>'Yearly Potable (Overview)'!E7</f>
        <v>2127</v>
      </c>
      <c r="F7" s="9">
        <f>'Yearly Potable (Overview)'!F7</f>
        <v>103073</v>
      </c>
      <c r="G7" s="9">
        <f>'Yearly Potable (Overview)'!G7</f>
        <v>6187</v>
      </c>
      <c r="H7" s="9">
        <f>'Yearly Potable (Overview)'!H7</f>
        <v>102223</v>
      </c>
      <c r="I7" s="9">
        <f>'Yearly Potable (Overview)'!I7</f>
        <v>54959.656639999994</v>
      </c>
      <c r="J7" s="7">
        <f t="shared" si="1"/>
        <v>395898.65664</v>
      </c>
      <c r="K7" s="7">
        <f t="shared" si="0"/>
        <v>21.390099502390793</v>
      </c>
      <c r="L7" s="7">
        <f>'Yearly GHG (mCO2)'!G10</f>
        <v>18508.5</v>
      </c>
      <c r="M7" s="207"/>
    </row>
    <row r="8" spans="1:15" x14ac:dyDescent="0.2">
      <c r="A8" s="87" t="str">
        <f>'Yearly Potable (Overview)'!A8</f>
        <v>2019/20</v>
      </c>
      <c r="B8" s="9">
        <f>'Yearly Potable (Overview)'!B8</f>
        <v>74165</v>
      </c>
      <c r="C8" s="9">
        <f>'Yearly Potable (Overview)'!C8</f>
        <v>13180</v>
      </c>
      <c r="D8" s="9">
        <f>'Yearly Potable (Overview)'!D8</f>
        <v>21793</v>
      </c>
      <c r="E8" s="9">
        <f>'Yearly Potable (Overview)'!E8</f>
        <v>2569</v>
      </c>
      <c r="F8" s="9">
        <f>'Yearly Potable (Overview)'!F8</f>
        <v>66051</v>
      </c>
      <c r="G8" s="9">
        <f>'Yearly Potable (Overview)'!G8</f>
        <v>20850</v>
      </c>
      <c r="H8" s="9">
        <f>'Yearly Potable (Overview)'!H8</f>
        <v>90627</v>
      </c>
      <c r="I8" s="9">
        <f>'Yearly Potable (Overview)'!I8</f>
        <v>53434.107999999993</v>
      </c>
      <c r="J8" s="7">
        <f t="shared" si="1"/>
        <v>342669.10800000001</v>
      </c>
      <c r="K8" s="7">
        <f t="shared" si="0"/>
        <v>19.382833191922622</v>
      </c>
      <c r="L8" s="7">
        <f>'Yearly GHG (mCO2)'!G11</f>
        <v>17679</v>
      </c>
      <c r="M8" s="207"/>
    </row>
    <row r="9" spans="1:15" x14ac:dyDescent="0.2">
      <c r="A9" s="87" t="str">
        <f>'Yearly Potable (Overview)'!A9</f>
        <v>2020/21</v>
      </c>
      <c r="B9" s="9">
        <f>'Yearly Potable (Overview)'!B9</f>
        <v>81810</v>
      </c>
      <c r="C9" s="9">
        <f>'Yearly Potable (Overview)'!C9</f>
        <v>15361</v>
      </c>
      <c r="D9" s="9">
        <f>'Yearly Potable (Overview)'!D9</f>
        <v>21744</v>
      </c>
      <c r="E9" s="9">
        <f>'Yearly Potable (Overview)'!E9</f>
        <v>1645</v>
      </c>
      <c r="F9" s="9">
        <f>'Yearly Potable (Overview)'!F9</f>
        <v>59072</v>
      </c>
      <c r="G9" s="9">
        <f>'Yearly Potable (Overview)'!G9</f>
        <v>15359</v>
      </c>
      <c r="H9" s="9">
        <f>'Yearly Potable (Overview)'!H9</f>
        <v>86742</v>
      </c>
      <c r="I9" s="9">
        <f>'Yearly Potable (Overview)'!I9</f>
        <v>54429</v>
      </c>
      <c r="J9" s="7">
        <f t="shared" si="1"/>
        <v>336162</v>
      </c>
      <c r="K9" s="7">
        <f t="shared" si="0"/>
        <v>17.049348278135618</v>
      </c>
      <c r="L9" s="7">
        <f>'Yearly GHG (mCO2)'!G12</f>
        <v>19717</v>
      </c>
      <c r="M9" s="207"/>
    </row>
    <row r="10" spans="1:15" x14ac:dyDescent="0.2">
      <c r="A10" s="87" t="str">
        <f>'Yearly Potable (Overview)'!A10</f>
        <v>2021/22</v>
      </c>
      <c r="B10" s="9">
        <f>'Yearly Potable (Overview)'!B10</f>
        <v>85216</v>
      </c>
      <c r="C10" s="9">
        <f>'Yearly Potable (Overview)'!C10</f>
        <v>15114</v>
      </c>
      <c r="D10" s="9">
        <f>'Yearly Potable (Overview)'!D10</f>
        <v>16319</v>
      </c>
      <c r="E10" s="9">
        <f>'Yearly Potable (Overview)'!E10</f>
        <v>914</v>
      </c>
      <c r="F10" s="9">
        <f>'Yearly Potable (Overview)'!F10</f>
        <v>87311</v>
      </c>
      <c r="G10" s="9">
        <f>'Yearly Potable (Overview)'!G10</f>
        <v>10548</v>
      </c>
      <c r="H10" s="9">
        <f>'Yearly Potable (Overview)'!H10</f>
        <v>85163</v>
      </c>
      <c r="I10" s="9">
        <f>'Yearly Potable (Overview)'!I10</f>
        <v>55371.65400000001</v>
      </c>
      <c r="J10" s="7">
        <f t="shared" si="1"/>
        <v>355956.65399999998</v>
      </c>
      <c r="K10" s="7">
        <f t="shared" si="0"/>
        <v>17.327393954144963</v>
      </c>
      <c r="L10" s="7">
        <f>'Yearly GHG (mCO2)'!G13</f>
        <v>20543</v>
      </c>
      <c r="M10" s="207"/>
    </row>
    <row r="11" spans="1:15" x14ac:dyDescent="0.2">
      <c r="A11" s="87" t="str">
        <f>'Yearly Potable (Overview)'!A11</f>
        <v>2022/23</v>
      </c>
      <c r="B11" s="9">
        <f>'Yearly Potable (Overview)'!B11</f>
        <v>145694</v>
      </c>
      <c r="C11" s="9">
        <v>16633</v>
      </c>
      <c r="D11" s="9">
        <f>'Yearly Potable (Overview)'!D11</f>
        <v>21086</v>
      </c>
      <c r="E11" s="9">
        <f>'Yearly Potable (Overview)'!E11</f>
        <v>843</v>
      </c>
      <c r="F11" s="9">
        <f>'Yearly Potable (Overview)'!F11</f>
        <v>115671</v>
      </c>
      <c r="G11" s="9">
        <f>'Yearly Potable (Overview)'!G11</f>
        <v>9005</v>
      </c>
      <c r="H11" s="9">
        <f>'Yearly Potable (Overview)'!H11</f>
        <v>107598</v>
      </c>
      <c r="I11" s="9">
        <f>'Yearly Potable (Overview)'!I11</f>
        <v>53901.665999999997</v>
      </c>
      <c r="J11" s="7">
        <f>SUM(B11:I11)</f>
        <v>470431.66599999997</v>
      </c>
      <c r="K11" s="7">
        <f t="shared" si="0"/>
        <v>21.883596129692513</v>
      </c>
      <c r="L11" s="7">
        <f>'Yearly GHG (mCO2)'!G14</f>
        <v>21497</v>
      </c>
      <c r="M11" s="207"/>
    </row>
    <row r="12" spans="1:15" x14ac:dyDescent="0.2">
      <c r="A12" s="87" t="str">
        <f>'Yearly Potable (Overview)'!A12</f>
        <v>2023/24</v>
      </c>
      <c r="B12" s="9">
        <f>'Yearly Potable (Overview)'!B12</f>
        <v>133507</v>
      </c>
      <c r="C12" s="9">
        <f>'Yearly Potable (Overview)'!C12</f>
        <v>11706</v>
      </c>
      <c r="D12" s="9">
        <f>'Yearly Potable (Overview)'!D12</f>
        <v>29197</v>
      </c>
      <c r="E12" s="9">
        <f>'Yearly Potable (Overview)'!E12</f>
        <v>4976</v>
      </c>
      <c r="F12" s="9">
        <f>'Yearly Potable (Overview)'!F12</f>
        <v>107801</v>
      </c>
      <c r="G12" s="9">
        <f>'Yearly Potable (Overview)'!G12</f>
        <v>8563</v>
      </c>
      <c r="H12" s="9">
        <f>'Yearly Potable (Overview)'!H12</f>
        <v>108541</v>
      </c>
      <c r="I12" s="9">
        <f>'Yearly Potable (Overview)'!I12</f>
        <v>59195</v>
      </c>
      <c r="J12" s="7">
        <f>SUM(B12:I12)</f>
        <v>463486</v>
      </c>
      <c r="K12" s="7">
        <f t="shared" si="0"/>
        <v>20.90694212639271</v>
      </c>
      <c r="L12" s="7">
        <f>'Yearly GHG (mCO2)'!G15</f>
        <v>22169</v>
      </c>
      <c r="M12" s="139"/>
    </row>
    <row r="13" spans="1:15" x14ac:dyDescent="0.2">
      <c r="A13" s="87" t="str">
        <f>'Yearly Potable (Overview)'!A13</f>
        <v>2024/25</v>
      </c>
      <c r="B13" s="243">
        <f>'Yearly Potable (Overview)'!B13</f>
        <v>166053</v>
      </c>
      <c r="C13" s="243">
        <f>'Yearly Potable (Overview)'!C13</f>
        <v>15227</v>
      </c>
      <c r="D13" s="243">
        <f>'Yearly Potable (Overview)'!D13</f>
        <v>14415</v>
      </c>
      <c r="E13" s="243">
        <f>'Yearly Potable (Overview)'!E13</f>
        <v>1842</v>
      </c>
      <c r="F13" s="243">
        <f>'Yearly Potable (Overview)'!F13</f>
        <v>101607</v>
      </c>
      <c r="G13" s="243">
        <f>'Yearly Potable (Overview)'!G13</f>
        <v>8963</v>
      </c>
      <c r="H13" s="243">
        <f>'Yearly Potable (Overview)'!H13</f>
        <v>119568</v>
      </c>
      <c r="I13" s="243">
        <f>'Yearly Potable (Overview)'!I13</f>
        <v>56316.826799999995</v>
      </c>
      <c r="J13" s="513">
        <f>SUM(B13:I13)</f>
        <v>483991.82679999998</v>
      </c>
      <c r="K13" s="7">
        <f t="shared" si="0"/>
        <v>20.270210947774007</v>
      </c>
      <c r="L13" s="7">
        <f>'Yearly GHG (mCO2)'!G16</f>
        <v>23877</v>
      </c>
    </row>
    <row r="14" spans="1:15" x14ac:dyDescent="0.2">
      <c r="B14" s="139">
        <f>B13/$J$13</f>
        <v>0.34309050443659272</v>
      </c>
      <c r="C14" s="139">
        <f t="shared" ref="C14:I14" si="2">C13/$J$13</f>
        <v>3.1461275081184903E-2</v>
      </c>
      <c r="D14" s="139">
        <f t="shared" si="2"/>
        <v>2.9783560799584975E-2</v>
      </c>
      <c r="E14" s="139">
        <f t="shared" si="2"/>
        <v>3.8058493924963944E-3</v>
      </c>
      <c r="F14" s="139">
        <f t="shared" si="2"/>
        <v>0.20993536331345339</v>
      </c>
      <c r="G14" s="139">
        <f t="shared" si="2"/>
        <v>1.8518907765985439E-2</v>
      </c>
      <c r="H14" s="139">
        <f t="shared" si="2"/>
        <v>0.24704549411618287</v>
      </c>
      <c r="I14" s="139">
        <f t="shared" si="2"/>
        <v>0.11635904509451934</v>
      </c>
      <c r="J14" s="139">
        <f>(J13-J3)/J3</f>
        <v>-6.2045492709078991E-2</v>
      </c>
      <c r="K14" s="139">
        <f>(K13-K3)/K3</f>
        <v>-0.35811966959276087</v>
      </c>
      <c r="L14" s="139"/>
    </row>
    <row r="15" spans="1:15" x14ac:dyDescent="0.2">
      <c r="J15" s="139">
        <f>J13/J12-1</f>
        <v>4.4242602365551553E-2</v>
      </c>
      <c r="K15" s="139">
        <f>K13/K12-1</f>
        <v>-3.0455490562385945E-2</v>
      </c>
      <c r="L15" s="139"/>
    </row>
    <row r="16" spans="1:15" x14ac:dyDescent="0.2">
      <c r="K16" s="139">
        <f>K13/K3-1</f>
        <v>-0.35811966959276087</v>
      </c>
      <c r="L16" s="139"/>
      <c r="N16" s="8" t="s">
        <v>58</v>
      </c>
      <c r="O16" s="9">
        <v>516007.78399999999</v>
      </c>
    </row>
    <row r="17" spans="11:15" x14ac:dyDescent="0.2">
      <c r="N17" s="8" t="s">
        <v>61</v>
      </c>
      <c r="O17" s="9">
        <v>419818.95600000001</v>
      </c>
    </row>
    <row r="18" spans="11:15" x14ac:dyDescent="0.2">
      <c r="N18" s="8" t="s">
        <v>63</v>
      </c>
      <c r="O18" s="9">
        <v>426360.05559999996</v>
      </c>
    </row>
    <row r="19" spans="11:15" x14ac:dyDescent="0.2">
      <c r="K19" s="515">
        <f>(J13-J12)/J12</f>
        <v>4.4242602365551456E-2</v>
      </c>
      <c r="N19" s="8" t="s">
        <v>64</v>
      </c>
      <c r="O19" s="9">
        <v>398367.45288</v>
      </c>
    </row>
    <row r="20" spans="11:15" x14ac:dyDescent="0.2">
      <c r="K20" s="207">
        <f>(J13-J3)/J3</f>
        <v>-6.2045492709078991E-2</v>
      </c>
      <c r="N20" s="8" t="s">
        <v>65</v>
      </c>
      <c r="O20" s="9">
        <v>395898.65664</v>
      </c>
    </row>
    <row r="21" spans="11:15" x14ac:dyDescent="0.2">
      <c r="N21" s="8" t="s">
        <v>66</v>
      </c>
      <c r="O21" s="9">
        <v>342669.10800000001</v>
      </c>
    </row>
    <row r="22" spans="11:15" x14ac:dyDescent="0.2">
      <c r="N22" s="8" t="s">
        <v>68</v>
      </c>
      <c r="O22" s="9">
        <v>336162</v>
      </c>
    </row>
    <row r="23" spans="11:15" x14ac:dyDescent="0.2">
      <c r="N23" s="8" t="s">
        <v>70</v>
      </c>
      <c r="O23" s="9">
        <v>377686.65399999998</v>
      </c>
    </row>
    <row r="24" spans="11:15" x14ac:dyDescent="0.2">
      <c r="N24" s="8" t="s">
        <v>72</v>
      </c>
      <c r="O24" s="9">
        <v>470431.67</v>
      </c>
    </row>
    <row r="25" spans="11:15" ht="17" x14ac:dyDescent="0.2">
      <c r="N25" s="55" t="s">
        <v>74</v>
      </c>
      <c r="O25" s="9">
        <v>463486</v>
      </c>
    </row>
    <row r="26" spans="11:15" ht="51" x14ac:dyDescent="0.2">
      <c r="N26" s="55" t="s">
        <v>279</v>
      </c>
      <c r="O26" s="9">
        <v>441256</v>
      </c>
    </row>
    <row r="28" spans="11:15" x14ac:dyDescent="0.2">
      <c r="O28" s="139">
        <f>(O26-500000)/500000</f>
        <v>-0.117488</v>
      </c>
    </row>
  </sheetData>
  <mergeCells count="1">
    <mergeCell ref="A1:I1"/>
  </mergeCells>
  <phoneticPr fontId="9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7844-E4EB-472C-8BC1-04E84822DE3F}">
  <dimension ref="A1:J36"/>
  <sheetViews>
    <sheetView workbookViewId="0">
      <selection sqref="A1:I1"/>
    </sheetView>
  </sheetViews>
  <sheetFormatPr baseColWidth="10" defaultColWidth="8.6640625" defaultRowHeight="16" x14ac:dyDescent="0.2"/>
  <cols>
    <col min="1" max="1" width="8.6640625" style="1"/>
    <col min="2" max="2" width="18.33203125" style="1" customWidth="1"/>
    <col min="3" max="3" width="15.6640625" style="1" customWidth="1"/>
    <col min="4" max="4" width="13.33203125" style="1" customWidth="1"/>
    <col min="5" max="8" width="15.6640625" style="1" customWidth="1"/>
    <col min="9" max="9" width="10.6640625" style="1" customWidth="1"/>
    <col min="10" max="10" width="3.33203125" style="134" customWidth="1"/>
    <col min="11" max="16384" width="8.6640625" style="1"/>
  </cols>
  <sheetData>
    <row r="1" spans="1:10" ht="18" x14ac:dyDescent="0.2">
      <c r="A1" s="673" t="s">
        <v>280</v>
      </c>
      <c r="B1" s="672"/>
      <c r="C1" s="672"/>
      <c r="D1" s="672"/>
      <c r="E1" s="672"/>
      <c r="F1" s="672"/>
      <c r="G1" s="672"/>
      <c r="H1" s="672"/>
      <c r="I1" s="672"/>
    </row>
    <row r="2" spans="1:10" s="55" customFormat="1" ht="51" x14ac:dyDescent="0.2">
      <c r="A2" s="65" t="s">
        <v>272</v>
      </c>
      <c r="B2" s="65" t="s">
        <v>281</v>
      </c>
      <c r="C2" s="65" t="s">
        <v>40</v>
      </c>
      <c r="D2" s="65" t="s">
        <v>273</v>
      </c>
      <c r="E2" s="65" t="s">
        <v>45</v>
      </c>
      <c r="F2" s="65" t="s">
        <v>47</v>
      </c>
      <c r="G2" s="65" t="s">
        <v>275</v>
      </c>
      <c r="H2" s="65" t="s">
        <v>128</v>
      </c>
      <c r="I2" s="65" t="s">
        <v>282</v>
      </c>
      <c r="J2" s="177"/>
    </row>
    <row r="3" spans="1:10" x14ac:dyDescent="0.2">
      <c r="A3" s="105">
        <v>45108</v>
      </c>
      <c r="B3" s="14" cm="1">
        <f t="array" ref="B3:J8">'Monthly Potable (Overview)'!B62:J67</f>
        <v>15525</v>
      </c>
      <c r="C3" s="1">
        <v>1122</v>
      </c>
      <c r="D3" s="1">
        <v>2675</v>
      </c>
      <c r="E3" s="1">
        <v>123</v>
      </c>
      <c r="F3" s="1">
        <v>5054</v>
      </c>
      <c r="G3" s="1">
        <v>8918</v>
      </c>
      <c r="H3" s="1">
        <v>5033</v>
      </c>
      <c r="I3" s="1">
        <v>811</v>
      </c>
      <c r="J3" s="134">
        <v>39261</v>
      </c>
    </row>
    <row r="4" spans="1:10" x14ac:dyDescent="0.2">
      <c r="A4" s="105">
        <v>45139</v>
      </c>
      <c r="B4" s="1">
        <v>13190</v>
      </c>
      <c r="C4" s="1">
        <v>870</v>
      </c>
      <c r="D4" s="1">
        <v>2587</v>
      </c>
      <c r="E4" s="1">
        <v>201</v>
      </c>
      <c r="F4" s="1">
        <v>3906</v>
      </c>
      <c r="G4" s="1">
        <v>8003</v>
      </c>
      <c r="H4" s="1">
        <v>5033</v>
      </c>
      <c r="I4" s="1">
        <v>893</v>
      </c>
      <c r="J4" s="134">
        <v>34683</v>
      </c>
    </row>
    <row r="5" spans="1:10" x14ac:dyDescent="0.2">
      <c r="A5" s="105">
        <v>45170</v>
      </c>
      <c r="B5" s="1">
        <v>9180</v>
      </c>
      <c r="C5" s="1">
        <v>817</v>
      </c>
      <c r="D5" s="1">
        <v>6279</v>
      </c>
      <c r="E5" s="1">
        <v>1297</v>
      </c>
      <c r="F5" s="1">
        <v>11143</v>
      </c>
      <c r="G5" s="1">
        <v>10310</v>
      </c>
      <c r="H5" s="1">
        <v>4870</v>
      </c>
      <c r="I5" s="1">
        <v>733</v>
      </c>
      <c r="J5" s="134">
        <v>44629</v>
      </c>
    </row>
    <row r="6" spans="1:10" x14ac:dyDescent="0.2">
      <c r="A6" s="105">
        <v>45200</v>
      </c>
      <c r="B6" s="1">
        <v>11141</v>
      </c>
      <c r="C6" s="1">
        <v>1366</v>
      </c>
      <c r="D6" s="1">
        <v>4385</v>
      </c>
      <c r="E6" s="1">
        <v>740</v>
      </c>
      <c r="F6" s="1">
        <v>12101</v>
      </c>
      <c r="G6" s="1">
        <v>11555</v>
      </c>
      <c r="H6" s="1">
        <v>5010</v>
      </c>
      <c r="I6" s="1">
        <v>633</v>
      </c>
      <c r="J6" s="134">
        <v>46931</v>
      </c>
    </row>
    <row r="7" spans="1:10" x14ac:dyDescent="0.2">
      <c r="A7" s="105">
        <v>45231</v>
      </c>
      <c r="B7" s="1">
        <v>7139</v>
      </c>
      <c r="C7" s="1">
        <v>1155</v>
      </c>
      <c r="D7" s="1">
        <v>5099</v>
      </c>
      <c r="E7" s="1">
        <v>1127</v>
      </c>
      <c r="F7" s="1">
        <v>12345</v>
      </c>
      <c r="G7" s="1">
        <v>9609</v>
      </c>
      <c r="H7" s="1">
        <v>4848</v>
      </c>
      <c r="I7" s="1">
        <v>901</v>
      </c>
      <c r="J7" s="134">
        <v>42223</v>
      </c>
    </row>
    <row r="8" spans="1:10" x14ac:dyDescent="0.2">
      <c r="A8" s="105">
        <v>45261</v>
      </c>
      <c r="B8" s="1">
        <v>8690</v>
      </c>
      <c r="C8" s="1">
        <v>1086</v>
      </c>
      <c r="D8" s="1">
        <v>1891</v>
      </c>
      <c r="E8" s="1">
        <v>146</v>
      </c>
      <c r="F8" s="1">
        <v>12811</v>
      </c>
      <c r="G8" s="1">
        <v>9607</v>
      </c>
      <c r="H8" s="1">
        <v>5010</v>
      </c>
      <c r="I8" s="1">
        <v>814</v>
      </c>
      <c r="J8" s="134">
        <v>40055</v>
      </c>
    </row>
    <row r="30" spans="1:10" ht="51" x14ac:dyDescent="0.2">
      <c r="A30" s="65" t="s">
        <v>272</v>
      </c>
      <c r="B30" s="65" t="s">
        <v>281</v>
      </c>
      <c r="C30" s="65" t="s">
        <v>40</v>
      </c>
      <c r="D30" s="65" t="s">
        <v>273</v>
      </c>
      <c r="E30" s="65" t="s">
        <v>45</v>
      </c>
      <c r="F30" s="65" t="s">
        <v>47</v>
      </c>
      <c r="G30" s="65" t="s">
        <v>275</v>
      </c>
      <c r="H30" s="65" t="s">
        <v>128</v>
      </c>
      <c r="I30" s="65" t="s">
        <v>282</v>
      </c>
    </row>
    <row r="31" spans="1:10" x14ac:dyDescent="0.2">
      <c r="A31" s="105">
        <v>45292</v>
      </c>
      <c r="B31" s="14" cm="1">
        <f t="array" ref="B31:J36">'Monthly Potable (Overview)'!B68:J73</f>
        <v>5770</v>
      </c>
      <c r="C31" s="1">
        <v>1150</v>
      </c>
      <c r="D31" s="1">
        <v>1617</v>
      </c>
      <c r="E31" s="1">
        <v>205</v>
      </c>
      <c r="F31" s="1">
        <v>5012</v>
      </c>
      <c r="G31" s="1">
        <v>7282</v>
      </c>
      <c r="H31" s="1">
        <v>4988</v>
      </c>
      <c r="I31" s="1">
        <v>719</v>
      </c>
      <c r="J31" s="134">
        <v>26743</v>
      </c>
    </row>
    <row r="32" spans="1:10" x14ac:dyDescent="0.2">
      <c r="A32" s="105">
        <v>45323</v>
      </c>
      <c r="B32" s="1">
        <v>8413</v>
      </c>
      <c r="C32" s="1">
        <v>752</v>
      </c>
      <c r="D32" s="1">
        <v>602</v>
      </c>
      <c r="E32" s="1">
        <v>485</v>
      </c>
      <c r="F32" s="1">
        <v>8652</v>
      </c>
      <c r="G32" s="1">
        <v>7959</v>
      </c>
      <c r="H32" s="1">
        <v>4687</v>
      </c>
      <c r="I32" s="1">
        <v>587</v>
      </c>
      <c r="J32" s="134">
        <v>32137</v>
      </c>
    </row>
    <row r="33" spans="1:10" x14ac:dyDescent="0.2">
      <c r="A33" s="105">
        <v>45352</v>
      </c>
      <c r="B33" s="1">
        <v>10100</v>
      </c>
      <c r="C33" s="1">
        <v>908</v>
      </c>
      <c r="D33" s="1">
        <v>640</v>
      </c>
      <c r="E33" s="1">
        <v>218</v>
      </c>
      <c r="F33" s="1">
        <v>10837</v>
      </c>
      <c r="G33" s="1">
        <v>8977</v>
      </c>
      <c r="H33" s="1">
        <v>5010</v>
      </c>
      <c r="I33" s="1">
        <v>568</v>
      </c>
      <c r="J33" s="134">
        <v>37258</v>
      </c>
    </row>
    <row r="34" spans="1:10" x14ac:dyDescent="0.2">
      <c r="A34" s="105">
        <v>45383</v>
      </c>
      <c r="B34" s="1">
        <v>15117</v>
      </c>
      <c r="C34" s="1">
        <v>890</v>
      </c>
      <c r="D34" s="1">
        <v>1150</v>
      </c>
      <c r="E34" s="1">
        <v>131</v>
      </c>
      <c r="F34" s="1">
        <v>10675</v>
      </c>
      <c r="G34" s="1">
        <v>9445</v>
      </c>
      <c r="H34" s="1">
        <v>4848</v>
      </c>
      <c r="I34" s="1">
        <v>671</v>
      </c>
      <c r="J34" s="134">
        <v>42927</v>
      </c>
    </row>
    <row r="35" spans="1:10" x14ac:dyDescent="0.2">
      <c r="A35" s="105">
        <v>45413</v>
      </c>
      <c r="B35" s="1">
        <v>14227</v>
      </c>
      <c r="C35" s="1">
        <v>852</v>
      </c>
      <c r="D35" s="1">
        <v>1062</v>
      </c>
      <c r="E35" s="1">
        <v>173</v>
      </c>
      <c r="F35" s="1">
        <v>10554</v>
      </c>
      <c r="G35" s="1">
        <v>9380</v>
      </c>
      <c r="H35" s="1">
        <v>5010</v>
      </c>
      <c r="I35" s="1">
        <v>595</v>
      </c>
      <c r="J35" s="134">
        <v>41853</v>
      </c>
    </row>
    <row r="36" spans="1:10" x14ac:dyDescent="0.2">
      <c r="A36" s="105">
        <v>45444</v>
      </c>
      <c r="B36" s="1">
        <v>15015</v>
      </c>
      <c r="C36" s="1">
        <v>738</v>
      </c>
      <c r="D36" s="1">
        <v>1210</v>
      </c>
      <c r="E36" s="1">
        <v>130</v>
      </c>
      <c r="F36" s="1">
        <v>4711</v>
      </c>
      <c r="G36" s="1">
        <v>7496</v>
      </c>
      <c r="H36" s="1">
        <v>4848</v>
      </c>
      <c r="I36" s="1">
        <v>638</v>
      </c>
      <c r="J36" s="134">
        <v>34786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14C4-2972-44BA-B22F-ED9F73C0DD96}">
  <dimension ref="A1:W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8" sqref="H8"/>
    </sheetView>
  </sheetViews>
  <sheetFormatPr baseColWidth="10" defaultColWidth="10.6640625" defaultRowHeight="16" x14ac:dyDescent="0.2"/>
  <cols>
    <col min="1" max="1" width="13.33203125" style="590" customWidth="1"/>
    <col min="2" max="9" width="18.33203125" style="55" customWidth="1"/>
    <col min="10" max="10" width="15.6640625" style="55" customWidth="1"/>
    <col min="11" max="14" width="10.6640625" style="55"/>
    <col min="15" max="15" width="15.5" style="55" customWidth="1"/>
    <col min="16" max="16" width="15.6640625" style="55" customWidth="1"/>
    <col min="17" max="16384" width="10.6640625" style="55"/>
  </cols>
  <sheetData>
    <row r="1" spans="1:11" ht="51" x14ac:dyDescent="0.2">
      <c r="A1" s="587" t="s">
        <v>272</v>
      </c>
      <c r="B1" s="65" t="s">
        <v>281</v>
      </c>
      <c r="C1" s="65" t="s">
        <v>40</v>
      </c>
      <c r="D1" s="65" t="s">
        <v>283</v>
      </c>
      <c r="E1" s="65" t="s">
        <v>45</v>
      </c>
      <c r="F1" s="65" t="s">
        <v>47</v>
      </c>
      <c r="G1" s="65" t="s">
        <v>275</v>
      </c>
      <c r="H1" s="65" t="s">
        <v>284</v>
      </c>
      <c r="I1" s="65" t="s">
        <v>285</v>
      </c>
      <c r="J1" s="65" t="s">
        <v>736</v>
      </c>
      <c r="K1" s="55" t="s">
        <v>287</v>
      </c>
    </row>
    <row r="2" spans="1:11" x14ac:dyDescent="0.2">
      <c r="A2" s="588">
        <v>43282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x14ac:dyDescent="0.2">
      <c r="A3" s="588">
        <v>43313</v>
      </c>
      <c r="B3" s="12"/>
      <c r="C3" s="12"/>
      <c r="D3" s="12"/>
      <c r="E3" s="12"/>
      <c r="F3" s="12"/>
      <c r="G3" s="12"/>
      <c r="H3" s="12"/>
      <c r="I3" s="12"/>
      <c r="J3" s="12"/>
    </row>
    <row r="4" spans="1:11" x14ac:dyDescent="0.2">
      <c r="A4" s="588">
        <v>43344</v>
      </c>
      <c r="B4" s="12"/>
      <c r="C4" s="12"/>
      <c r="D4" s="12"/>
      <c r="E4" s="12"/>
      <c r="F4" s="12"/>
      <c r="G4" s="12"/>
      <c r="H4" s="12"/>
      <c r="I4" s="12"/>
      <c r="J4" s="12"/>
    </row>
    <row r="5" spans="1:11" x14ac:dyDescent="0.2">
      <c r="A5" s="589">
        <v>43374</v>
      </c>
      <c r="B5" s="9">
        <v>4792</v>
      </c>
      <c r="C5" s="9">
        <v>1813</v>
      </c>
      <c r="D5" s="9">
        <v>2440</v>
      </c>
      <c r="E5" s="8">
        <v>221</v>
      </c>
      <c r="F5" s="9">
        <v>12334</v>
      </c>
      <c r="G5" s="9">
        <v>10815</v>
      </c>
      <c r="H5" s="364"/>
      <c r="I5" s="9">
        <v>1635</v>
      </c>
      <c r="J5" s="56">
        <f>SUM(B5:I5)</f>
        <v>34050</v>
      </c>
    </row>
    <row r="6" spans="1:11" x14ac:dyDescent="0.2">
      <c r="A6" s="589">
        <v>43405</v>
      </c>
      <c r="B6" s="9">
        <v>3791</v>
      </c>
      <c r="C6" s="9">
        <v>1872</v>
      </c>
      <c r="D6" s="9">
        <v>2222</v>
      </c>
      <c r="E6" s="8">
        <v>164</v>
      </c>
      <c r="F6" s="9">
        <v>12510</v>
      </c>
      <c r="G6" s="9">
        <v>9900</v>
      </c>
      <c r="H6" s="364"/>
      <c r="I6" s="9">
        <v>1312</v>
      </c>
      <c r="J6" s="56">
        <f t="shared" ref="J6:J14" si="0">SUM(B6:I6)</f>
        <v>31771</v>
      </c>
    </row>
    <row r="7" spans="1:11" x14ac:dyDescent="0.2">
      <c r="A7" s="589">
        <v>43435</v>
      </c>
      <c r="B7" s="9">
        <v>3355</v>
      </c>
      <c r="C7" s="9">
        <v>1435</v>
      </c>
      <c r="D7" s="9">
        <v>1947</v>
      </c>
      <c r="E7" s="8">
        <v>188</v>
      </c>
      <c r="F7" s="9">
        <v>10429</v>
      </c>
      <c r="G7" s="9">
        <v>9925</v>
      </c>
      <c r="H7" s="364"/>
      <c r="I7" s="8">
        <v>948</v>
      </c>
      <c r="J7" s="56">
        <f t="shared" si="0"/>
        <v>28227</v>
      </c>
    </row>
    <row r="8" spans="1:11" x14ac:dyDescent="0.2">
      <c r="A8" s="589">
        <v>43466</v>
      </c>
      <c r="B8" s="9">
        <v>2572</v>
      </c>
      <c r="C8" s="9">
        <v>1783</v>
      </c>
      <c r="D8" s="9">
        <v>1635</v>
      </c>
      <c r="E8" s="8">
        <v>206</v>
      </c>
      <c r="F8" s="9">
        <v>5019</v>
      </c>
      <c r="G8" s="9">
        <v>8948</v>
      </c>
      <c r="H8" s="364"/>
      <c r="I8" s="8">
        <v>817</v>
      </c>
      <c r="J8" s="56">
        <f t="shared" si="0"/>
        <v>20980</v>
      </c>
    </row>
    <row r="9" spans="1:11" x14ac:dyDescent="0.2">
      <c r="A9" s="589">
        <v>43497</v>
      </c>
      <c r="B9" s="9">
        <v>3907</v>
      </c>
      <c r="C9" s="9">
        <v>1415</v>
      </c>
      <c r="D9" s="9">
        <v>1397</v>
      </c>
      <c r="E9" s="8">
        <v>104</v>
      </c>
      <c r="F9" s="9">
        <v>11334</v>
      </c>
      <c r="G9" s="9">
        <v>9575</v>
      </c>
      <c r="H9" s="364"/>
      <c r="I9" s="8">
        <v>721</v>
      </c>
      <c r="J9" s="56">
        <f t="shared" si="0"/>
        <v>28453</v>
      </c>
    </row>
    <row r="10" spans="1:11" x14ac:dyDescent="0.2">
      <c r="A10" s="589">
        <v>43525</v>
      </c>
      <c r="B10" s="9">
        <v>3824</v>
      </c>
      <c r="C10" s="9">
        <v>2010</v>
      </c>
      <c r="D10" s="9">
        <v>1521</v>
      </c>
      <c r="E10" s="8">
        <v>122</v>
      </c>
      <c r="F10" s="9">
        <v>16283</v>
      </c>
      <c r="G10" s="9">
        <v>10774</v>
      </c>
      <c r="H10" s="364"/>
      <c r="I10" s="9">
        <v>1040</v>
      </c>
      <c r="J10" s="56">
        <f t="shared" si="0"/>
        <v>35574</v>
      </c>
    </row>
    <row r="11" spans="1:11" x14ac:dyDescent="0.2">
      <c r="A11" s="589">
        <v>43556</v>
      </c>
      <c r="B11" s="9">
        <v>6508</v>
      </c>
      <c r="C11" s="9">
        <v>1496</v>
      </c>
      <c r="D11" s="9">
        <v>2510</v>
      </c>
      <c r="E11" s="8">
        <v>144</v>
      </c>
      <c r="F11" s="9">
        <v>10294</v>
      </c>
      <c r="G11" s="9">
        <v>12406</v>
      </c>
      <c r="H11" s="364"/>
      <c r="I11" s="9">
        <v>1286</v>
      </c>
      <c r="J11" s="56">
        <f t="shared" si="0"/>
        <v>34644</v>
      </c>
    </row>
    <row r="12" spans="1:11" x14ac:dyDescent="0.2">
      <c r="A12" s="589">
        <v>43586</v>
      </c>
      <c r="B12" s="9">
        <v>3052</v>
      </c>
      <c r="C12" s="9">
        <v>1113</v>
      </c>
      <c r="D12" s="9">
        <v>2747</v>
      </c>
      <c r="E12" s="8">
        <v>142</v>
      </c>
      <c r="F12" s="9">
        <v>10496</v>
      </c>
      <c r="G12" s="9">
        <v>11155</v>
      </c>
      <c r="H12" s="364"/>
      <c r="I12" s="9">
        <v>1432</v>
      </c>
      <c r="J12" s="56">
        <f t="shared" si="0"/>
        <v>30137</v>
      </c>
    </row>
    <row r="13" spans="1:11" x14ac:dyDescent="0.2">
      <c r="A13" s="589">
        <v>43617</v>
      </c>
      <c r="B13" s="9">
        <v>2502</v>
      </c>
      <c r="C13" s="9">
        <v>1112</v>
      </c>
      <c r="D13" s="9">
        <v>3174</v>
      </c>
      <c r="E13" s="8">
        <v>258</v>
      </c>
      <c r="F13" s="9">
        <v>5127</v>
      </c>
      <c r="G13" s="9">
        <v>8561</v>
      </c>
      <c r="H13" s="364"/>
      <c r="I13" s="9">
        <v>1904</v>
      </c>
      <c r="J13" s="56">
        <f t="shared" si="0"/>
        <v>22638</v>
      </c>
    </row>
    <row r="14" spans="1:11" x14ac:dyDescent="0.2">
      <c r="A14" s="589">
        <v>43647</v>
      </c>
      <c r="B14" s="9">
        <v>1904</v>
      </c>
      <c r="C14" s="9">
        <v>1234</v>
      </c>
      <c r="D14" s="9">
        <v>2387</v>
      </c>
      <c r="E14" s="8">
        <v>178</v>
      </c>
      <c r="F14" s="9">
        <v>4833</v>
      </c>
      <c r="G14" s="9">
        <v>6933</v>
      </c>
      <c r="H14" s="364"/>
      <c r="I14" s="9">
        <v>1849</v>
      </c>
      <c r="J14" s="56">
        <f t="shared" si="0"/>
        <v>19318</v>
      </c>
    </row>
    <row r="15" spans="1:11" x14ac:dyDescent="0.2">
      <c r="A15" s="589">
        <v>43678</v>
      </c>
      <c r="B15" s="56"/>
      <c r="C15" s="364"/>
      <c r="D15" s="364"/>
      <c r="E15" s="364"/>
      <c r="F15" s="364"/>
      <c r="G15" s="364"/>
      <c r="H15" s="364"/>
      <c r="I15" s="364"/>
      <c r="J15" s="56"/>
      <c r="K15" s="247"/>
    </row>
    <row r="16" spans="1:11" x14ac:dyDescent="0.2">
      <c r="A16" s="589">
        <v>43709</v>
      </c>
      <c r="B16" s="56"/>
      <c r="C16" s="364"/>
      <c r="D16" s="364"/>
      <c r="E16" s="364"/>
      <c r="F16" s="364"/>
      <c r="G16" s="364"/>
      <c r="H16" s="364"/>
      <c r="I16" s="364"/>
      <c r="J16" s="56"/>
    </row>
    <row r="17" spans="1:11" x14ac:dyDescent="0.2">
      <c r="A17" s="589">
        <v>43739</v>
      </c>
      <c r="B17" s="56"/>
      <c r="C17" s="364"/>
      <c r="D17" s="364"/>
      <c r="E17" s="364"/>
      <c r="F17" s="364"/>
      <c r="G17" s="364"/>
      <c r="H17" s="364"/>
      <c r="I17" s="364"/>
      <c r="J17" s="56"/>
    </row>
    <row r="18" spans="1:11" x14ac:dyDescent="0.2">
      <c r="A18" s="589">
        <v>43770</v>
      </c>
      <c r="B18" s="9">
        <v>4236</v>
      </c>
      <c r="C18" s="8">
        <v>868</v>
      </c>
      <c r="D18" s="8">
        <v>975</v>
      </c>
      <c r="E18" s="8">
        <v>86</v>
      </c>
      <c r="F18" s="9">
        <v>8314</v>
      </c>
      <c r="G18" s="9">
        <v>8298</v>
      </c>
      <c r="H18" s="364"/>
      <c r="I18" s="8">
        <v>965</v>
      </c>
      <c r="J18" s="56">
        <f>SUM(B18:I18)</f>
        <v>23742</v>
      </c>
    </row>
    <row r="19" spans="1:11" x14ac:dyDescent="0.2">
      <c r="A19" s="589">
        <v>43800</v>
      </c>
      <c r="B19" s="9">
        <v>3907</v>
      </c>
      <c r="C19" s="9">
        <v>1073</v>
      </c>
      <c r="D19" s="9">
        <v>1014</v>
      </c>
      <c r="E19" s="8">
        <v>41</v>
      </c>
      <c r="F19" s="9">
        <v>4410</v>
      </c>
      <c r="G19" s="9">
        <v>8316</v>
      </c>
      <c r="H19" s="364"/>
      <c r="I19" s="9">
        <v>1133</v>
      </c>
      <c r="J19" s="56">
        <f>SUM(B19:I19)</f>
        <v>19894</v>
      </c>
    </row>
    <row r="20" spans="1:11" x14ac:dyDescent="0.2">
      <c r="A20" s="589">
        <v>43831</v>
      </c>
      <c r="B20" s="9">
        <v>3262</v>
      </c>
      <c r="C20" s="9">
        <v>1021</v>
      </c>
      <c r="D20" s="9">
        <v>1165</v>
      </c>
      <c r="E20" s="8">
        <v>139</v>
      </c>
      <c r="F20" s="9">
        <v>3205</v>
      </c>
      <c r="G20" s="9">
        <v>7462</v>
      </c>
      <c r="H20" s="364"/>
      <c r="I20" s="8">
        <v>994</v>
      </c>
      <c r="J20" s="56">
        <f t="shared" ref="J20:J21" si="1">SUM(B20:I20)</f>
        <v>17248</v>
      </c>
    </row>
    <row r="21" spans="1:11" x14ac:dyDescent="0.2">
      <c r="A21" s="589">
        <v>43862</v>
      </c>
      <c r="B21" s="8">
        <v>948</v>
      </c>
      <c r="C21" s="9">
        <v>1444</v>
      </c>
      <c r="D21" s="8">
        <v>746</v>
      </c>
      <c r="E21" s="8">
        <v>763</v>
      </c>
      <c r="F21" s="9">
        <v>3205</v>
      </c>
      <c r="G21" s="9">
        <v>3821</v>
      </c>
      <c r="H21" s="364"/>
      <c r="I21" s="8">
        <v>793</v>
      </c>
      <c r="J21" s="56">
        <f t="shared" si="1"/>
        <v>11720</v>
      </c>
    </row>
    <row r="22" spans="1:11" x14ac:dyDescent="0.2">
      <c r="A22" s="589">
        <v>43891</v>
      </c>
      <c r="B22" s="56"/>
      <c r="C22" s="364"/>
      <c r="D22" s="364"/>
      <c r="E22" s="364"/>
      <c r="F22" s="364"/>
      <c r="G22" s="364"/>
      <c r="H22" s="364"/>
      <c r="I22" s="364"/>
      <c r="J22" s="56"/>
    </row>
    <row r="23" spans="1:11" x14ac:dyDescent="0.2">
      <c r="A23" s="589">
        <v>43922</v>
      </c>
      <c r="B23" s="9">
        <v>1829</v>
      </c>
      <c r="C23" s="8">
        <v>685</v>
      </c>
      <c r="D23" s="9">
        <v>2204</v>
      </c>
      <c r="E23" s="8">
        <v>32</v>
      </c>
      <c r="F23" s="9">
        <v>3400</v>
      </c>
      <c r="G23" s="9">
        <v>5913</v>
      </c>
      <c r="H23" s="364"/>
      <c r="I23" s="9">
        <v>2563</v>
      </c>
      <c r="J23" s="56">
        <f>SUM(B23:I23)</f>
        <v>16626</v>
      </c>
      <c r="K23" s="9"/>
    </row>
    <row r="24" spans="1:11" x14ac:dyDescent="0.2">
      <c r="A24" s="589">
        <v>43952</v>
      </c>
      <c r="B24" s="9">
        <v>6473</v>
      </c>
      <c r="C24" s="9">
        <v>1030</v>
      </c>
      <c r="D24" s="8">
        <v>384</v>
      </c>
      <c r="E24" s="8">
        <v>23</v>
      </c>
      <c r="F24" s="9">
        <v>4009</v>
      </c>
      <c r="G24" s="9">
        <v>7244</v>
      </c>
      <c r="H24" s="364"/>
      <c r="I24" s="8">
        <v>689</v>
      </c>
      <c r="J24" s="56">
        <f t="shared" ref="J24:J25" si="2">SUM(B24:I24)</f>
        <v>19852</v>
      </c>
      <c r="K24" s="9"/>
    </row>
    <row r="25" spans="1:11" x14ac:dyDescent="0.2">
      <c r="A25" s="589">
        <v>43983</v>
      </c>
      <c r="B25" s="9">
        <v>2564</v>
      </c>
      <c r="C25" s="9">
        <v>1299</v>
      </c>
      <c r="D25" s="9">
        <v>2061</v>
      </c>
      <c r="E25" s="8">
        <v>105</v>
      </c>
      <c r="F25" s="9">
        <v>2296</v>
      </c>
      <c r="G25" s="9">
        <v>7897</v>
      </c>
      <c r="H25" s="364"/>
      <c r="I25" s="9">
        <v>2103</v>
      </c>
      <c r="J25" s="56">
        <f t="shared" si="2"/>
        <v>18325</v>
      </c>
      <c r="K25" s="9"/>
    </row>
    <row r="26" spans="1:11" x14ac:dyDescent="0.2">
      <c r="A26" s="589">
        <v>44013</v>
      </c>
      <c r="B26" s="9">
        <v>2480</v>
      </c>
      <c r="C26" s="9">
        <v>1114</v>
      </c>
      <c r="D26" s="9">
        <v>2086</v>
      </c>
      <c r="E26" s="8">
        <v>124</v>
      </c>
      <c r="F26" s="9">
        <v>1920</v>
      </c>
      <c r="G26" s="9">
        <v>8052</v>
      </c>
      <c r="H26" s="364"/>
      <c r="I26" s="9">
        <v>2328</v>
      </c>
      <c r="J26" s="56">
        <f>SUM(B26:I26)</f>
        <v>18104</v>
      </c>
      <c r="K26" s="9"/>
    </row>
    <row r="27" spans="1:11" x14ac:dyDescent="0.2">
      <c r="A27" s="589">
        <v>44044</v>
      </c>
      <c r="B27" s="9">
        <v>1359</v>
      </c>
      <c r="C27" s="9">
        <v>1132</v>
      </c>
      <c r="D27" s="9">
        <v>2755</v>
      </c>
      <c r="E27" s="8">
        <v>416</v>
      </c>
      <c r="F27" s="9">
        <v>4179</v>
      </c>
      <c r="G27" s="9">
        <v>8347</v>
      </c>
      <c r="H27" s="364"/>
      <c r="I27" s="9">
        <v>2201</v>
      </c>
      <c r="J27" s="56">
        <f>SUM(B27:I27)</f>
        <v>20389</v>
      </c>
      <c r="K27" s="8"/>
    </row>
    <row r="28" spans="1:11" x14ac:dyDescent="0.2">
      <c r="A28" s="589">
        <v>44075</v>
      </c>
      <c r="B28" s="9">
        <v>2983</v>
      </c>
      <c r="C28" s="8">
        <v>365</v>
      </c>
      <c r="D28" s="9">
        <v>1930</v>
      </c>
      <c r="E28" s="8">
        <v>184</v>
      </c>
      <c r="F28" s="9">
        <v>3648</v>
      </c>
      <c r="G28" s="9">
        <v>6181</v>
      </c>
      <c r="H28" s="364"/>
      <c r="I28" s="9">
        <v>1735</v>
      </c>
      <c r="J28" s="56">
        <f>SUM(B28:I28)</f>
        <v>17026</v>
      </c>
      <c r="K28" s="9"/>
    </row>
    <row r="29" spans="1:11" x14ac:dyDescent="0.2">
      <c r="A29" s="589">
        <v>44105</v>
      </c>
      <c r="B29" s="9">
        <v>3233</v>
      </c>
      <c r="C29" s="9">
        <v>1284</v>
      </c>
      <c r="D29" s="9">
        <v>1992</v>
      </c>
      <c r="E29" s="8">
        <v>181</v>
      </c>
      <c r="F29" s="9">
        <v>4590</v>
      </c>
      <c r="G29" s="9">
        <v>7461</v>
      </c>
      <c r="H29" s="364"/>
      <c r="I29" s="9">
        <v>1420</v>
      </c>
      <c r="J29" s="56">
        <f t="shared" ref="J29:J37" si="3">SUM(B29:I29)</f>
        <v>20161</v>
      </c>
      <c r="K29" s="9"/>
    </row>
    <row r="30" spans="1:11" x14ac:dyDescent="0.2">
      <c r="A30" s="589">
        <v>44136</v>
      </c>
      <c r="B30" s="9">
        <v>4079</v>
      </c>
      <c r="C30" s="9">
        <v>1290</v>
      </c>
      <c r="D30" s="9">
        <v>2371</v>
      </c>
      <c r="E30" s="8">
        <v>66</v>
      </c>
      <c r="F30" s="9">
        <v>4659</v>
      </c>
      <c r="G30" s="9">
        <v>8898</v>
      </c>
      <c r="H30" s="364"/>
      <c r="I30" s="9">
        <v>1361</v>
      </c>
      <c r="J30" s="56">
        <f t="shared" si="3"/>
        <v>22724</v>
      </c>
      <c r="K30" s="9"/>
    </row>
    <row r="31" spans="1:11" x14ac:dyDescent="0.2">
      <c r="A31" s="589">
        <v>44166</v>
      </c>
      <c r="B31" s="9">
        <v>3319</v>
      </c>
      <c r="C31" s="9">
        <v>1227</v>
      </c>
      <c r="D31" s="9">
        <v>1857</v>
      </c>
      <c r="E31" s="8">
        <v>16</v>
      </c>
      <c r="F31" s="9">
        <v>4321</v>
      </c>
      <c r="G31" s="9">
        <v>6538</v>
      </c>
      <c r="H31" s="364"/>
      <c r="I31" s="8">
        <v>752</v>
      </c>
      <c r="J31" s="56">
        <f t="shared" si="3"/>
        <v>18030</v>
      </c>
      <c r="K31" s="9"/>
    </row>
    <row r="32" spans="1:11" x14ac:dyDescent="0.2">
      <c r="A32" s="589">
        <v>44197</v>
      </c>
      <c r="B32" s="9">
        <v>2867</v>
      </c>
      <c r="C32" s="9">
        <v>1789</v>
      </c>
      <c r="D32" s="9">
        <v>1229</v>
      </c>
      <c r="E32" s="8">
        <v>53</v>
      </c>
      <c r="F32" s="9">
        <v>4652</v>
      </c>
      <c r="G32" s="9">
        <v>5646</v>
      </c>
      <c r="H32" s="364"/>
      <c r="I32" s="8">
        <v>952</v>
      </c>
      <c r="J32" s="56">
        <f t="shared" si="3"/>
        <v>17188</v>
      </c>
      <c r="K32" s="9"/>
    </row>
    <row r="33" spans="1:12" x14ac:dyDescent="0.2">
      <c r="A33" s="589">
        <v>44228</v>
      </c>
      <c r="B33" s="9">
        <v>4029</v>
      </c>
      <c r="C33" s="8">
        <v>930</v>
      </c>
      <c r="D33" s="8">
        <v>951</v>
      </c>
      <c r="E33" s="8">
        <v>113</v>
      </c>
      <c r="F33" s="9">
        <v>6109</v>
      </c>
      <c r="G33" s="9">
        <v>5131</v>
      </c>
      <c r="H33" s="364"/>
      <c r="I33" s="8">
        <v>701</v>
      </c>
      <c r="J33" s="56">
        <f t="shared" si="3"/>
        <v>17964</v>
      </c>
      <c r="K33" s="9"/>
    </row>
    <row r="34" spans="1:12" x14ac:dyDescent="0.2">
      <c r="A34" s="589">
        <v>44256</v>
      </c>
      <c r="B34" s="9">
        <v>3743</v>
      </c>
      <c r="C34" s="9">
        <v>1784</v>
      </c>
      <c r="D34" s="9">
        <v>1197</v>
      </c>
      <c r="E34" s="8">
        <v>125</v>
      </c>
      <c r="F34" s="9">
        <v>6153</v>
      </c>
      <c r="G34" s="9">
        <v>7959</v>
      </c>
      <c r="H34" s="364"/>
      <c r="I34" s="8">
        <v>715</v>
      </c>
      <c r="J34" s="56">
        <f t="shared" si="3"/>
        <v>21676</v>
      </c>
      <c r="K34" s="9"/>
    </row>
    <row r="35" spans="1:12" x14ac:dyDescent="0.2">
      <c r="A35" s="589">
        <v>44287</v>
      </c>
      <c r="B35" s="9">
        <v>4232</v>
      </c>
      <c r="C35" s="9">
        <v>1458</v>
      </c>
      <c r="D35" s="9">
        <v>1187</v>
      </c>
      <c r="E35" s="8">
        <v>111</v>
      </c>
      <c r="F35" s="9">
        <v>7317</v>
      </c>
      <c r="G35" s="9">
        <v>7202</v>
      </c>
      <c r="H35" s="364"/>
      <c r="I35" s="9">
        <v>1155</v>
      </c>
      <c r="J35" s="56">
        <f t="shared" si="3"/>
        <v>22662</v>
      </c>
      <c r="K35" s="9"/>
    </row>
    <row r="36" spans="1:12" x14ac:dyDescent="0.2">
      <c r="A36" s="589">
        <v>44317</v>
      </c>
      <c r="B36" s="9">
        <v>7181</v>
      </c>
      <c r="C36" s="9">
        <v>1360</v>
      </c>
      <c r="D36" s="9">
        <v>1976</v>
      </c>
      <c r="E36" s="8">
        <v>110</v>
      </c>
      <c r="F36" s="9">
        <v>6677</v>
      </c>
      <c r="G36" s="9">
        <v>7832</v>
      </c>
      <c r="H36" s="364"/>
      <c r="I36" s="8">
        <v>947</v>
      </c>
      <c r="J36" s="56">
        <f t="shared" si="3"/>
        <v>26083</v>
      </c>
      <c r="K36" s="9"/>
    </row>
    <row r="37" spans="1:12" x14ac:dyDescent="0.2">
      <c r="A37" s="589">
        <v>44348</v>
      </c>
      <c r="B37" s="9">
        <v>3375</v>
      </c>
      <c r="C37" s="9">
        <v>1628</v>
      </c>
      <c r="D37" s="9">
        <v>2393</v>
      </c>
      <c r="E37" s="8">
        <v>146</v>
      </c>
      <c r="F37" s="9">
        <v>4817</v>
      </c>
      <c r="G37" s="9">
        <v>7495</v>
      </c>
      <c r="H37" s="364"/>
      <c r="I37" s="9">
        <v>1140</v>
      </c>
      <c r="J37" s="56">
        <f t="shared" si="3"/>
        <v>20994</v>
      </c>
      <c r="K37" s="9"/>
    </row>
    <row r="38" spans="1:12" x14ac:dyDescent="0.2">
      <c r="A38" s="589">
        <v>44378</v>
      </c>
      <c r="B38" s="9">
        <f>6164-SUM(C38:E38)</f>
        <v>3765</v>
      </c>
      <c r="C38" s="9">
        <v>1142</v>
      </c>
      <c r="D38" s="9">
        <v>1142</v>
      </c>
      <c r="E38" s="8">
        <v>115</v>
      </c>
      <c r="F38" s="9">
        <v>3654</v>
      </c>
      <c r="G38" s="9">
        <v>6187</v>
      </c>
      <c r="H38" s="364"/>
      <c r="I38" s="8">
        <v>960</v>
      </c>
      <c r="J38" s="56">
        <f>SUM(B38:I38)</f>
        <v>16965</v>
      </c>
      <c r="K38" s="9"/>
    </row>
    <row r="39" spans="1:12" x14ac:dyDescent="0.2">
      <c r="A39" s="589">
        <v>44409</v>
      </c>
      <c r="B39" s="9">
        <f>7403-SUM(C39:E39)</f>
        <v>3885</v>
      </c>
      <c r="C39" s="9">
        <v>1656</v>
      </c>
      <c r="D39" s="9">
        <v>1656</v>
      </c>
      <c r="E39" s="8">
        <v>206</v>
      </c>
      <c r="F39" s="9">
        <v>2948</v>
      </c>
      <c r="G39" s="9">
        <v>8057</v>
      </c>
      <c r="H39" s="364"/>
      <c r="I39" s="8">
        <v>748</v>
      </c>
      <c r="J39" s="56">
        <f t="shared" ref="J39:J49" si="4">SUM(B39:I39)</f>
        <v>19156</v>
      </c>
      <c r="K39" s="9"/>
    </row>
    <row r="40" spans="1:12" x14ac:dyDescent="0.2">
      <c r="A40" s="589">
        <v>44440</v>
      </c>
      <c r="B40" s="9">
        <f>10079-SUM(C40:E40)</f>
        <v>5479</v>
      </c>
      <c r="C40" s="9">
        <v>1439</v>
      </c>
      <c r="D40" s="9">
        <v>2927</v>
      </c>
      <c r="E40" s="8">
        <v>234</v>
      </c>
      <c r="F40" s="9">
        <v>9448</v>
      </c>
      <c r="G40" s="9">
        <v>9615</v>
      </c>
      <c r="H40" s="364"/>
      <c r="I40" s="8">
        <v>661</v>
      </c>
      <c r="J40" s="56">
        <f t="shared" si="4"/>
        <v>29803</v>
      </c>
      <c r="K40" s="9"/>
    </row>
    <row r="41" spans="1:12" x14ac:dyDescent="0.2">
      <c r="A41" s="589">
        <v>44470</v>
      </c>
      <c r="B41" s="9">
        <v>10442</v>
      </c>
      <c r="C41" s="9">
        <v>1345</v>
      </c>
      <c r="D41" s="9">
        <v>1507</v>
      </c>
      <c r="E41" s="8">
        <v>19</v>
      </c>
      <c r="F41" s="9">
        <v>10633</v>
      </c>
      <c r="G41" s="9">
        <v>8612</v>
      </c>
      <c r="H41" s="364"/>
      <c r="I41" s="8">
        <v>705</v>
      </c>
      <c r="J41" s="56">
        <f>SUM(B41:I41)</f>
        <v>33263</v>
      </c>
    </row>
    <row r="42" spans="1:12" x14ac:dyDescent="0.2">
      <c r="A42" s="589">
        <v>44501</v>
      </c>
      <c r="B42" s="9">
        <v>10136</v>
      </c>
      <c r="C42" s="9">
        <v>1364</v>
      </c>
      <c r="D42" s="9">
        <v>1903</v>
      </c>
      <c r="E42" s="8">
        <v>35</v>
      </c>
      <c r="F42" s="9">
        <v>10596</v>
      </c>
      <c r="G42" s="9">
        <v>10370</v>
      </c>
      <c r="H42" s="364"/>
      <c r="I42" s="8">
        <v>849</v>
      </c>
      <c r="J42" s="56">
        <f t="shared" si="4"/>
        <v>35253</v>
      </c>
    </row>
    <row r="43" spans="1:12" x14ac:dyDescent="0.2">
      <c r="A43" s="589">
        <v>44531</v>
      </c>
      <c r="B43" s="9">
        <v>6492</v>
      </c>
      <c r="C43" s="9">
        <v>1248</v>
      </c>
      <c r="D43" s="9">
        <v>1182</v>
      </c>
      <c r="E43" s="8">
        <v>49</v>
      </c>
      <c r="F43" s="9">
        <v>10814</v>
      </c>
      <c r="G43" s="9">
        <v>8681</v>
      </c>
      <c r="H43" s="364"/>
      <c r="I43" s="8">
        <v>825</v>
      </c>
      <c r="J43" s="56">
        <f t="shared" si="4"/>
        <v>29291</v>
      </c>
    </row>
    <row r="44" spans="1:12" x14ac:dyDescent="0.2">
      <c r="A44" s="589">
        <v>44562</v>
      </c>
      <c r="B44" s="9">
        <v>5198</v>
      </c>
      <c r="C44" s="9">
        <v>1252</v>
      </c>
      <c r="D44" s="8">
        <v>797</v>
      </c>
      <c r="E44" s="8">
        <v>51</v>
      </c>
      <c r="F44" s="9">
        <v>7669</v>
      </c>
      <c r="G44" s="9">
        <v>6926</v>
      </c>
      <c r="H44" s="364"/>
      <c r="I44" s="8">
        <v>634</v>
      </c>
      <c r="J44" s="56">
        <f>SUM(B44:I44)</f>
        <v>22527</v>
      </c>
      <c r="L44" s="56">
        <f>SUM(I50:I61)</f>
        <v>9005</v>
      </c>
    </row>
    <row r="45" spans="1:12" x14ac:dyDescent="0.2">
      <c r="A45" s="589">
        <v>44593</v>
      </c>
      <c r="B45" s="9">
        <v>3868</v>
      </c>
      <c r="C45" s="8">
        <v>999</v>
      </c>
      <c r="D45" s="8">
        <v>501</v>
      </c>
      <c r="E45" s="8">
        <v>58</v>
      </c>
      <c r="F45" s="9">
        <v>7642</v>
      </c>
      <c r="G45" s="9">
        <v>4973</v>
      </c>
      <c r="H45" s="364"/>
      <c r="I45" s="8">
        <v>697</v>
      </c>
      <c r="J45" s="56">
        <f t="shared" si="4"/>
        <v>18738</v>
      </c>
    </row>
    <row r="46" spans="1:12" x14ac:dyDescent="0.2">
      <c r="A46" s="589">
        <v>44621</v>
      </c>
      <c r="B46" s="9">
        <v>2956</v>
      </c>
      <c r="C46" s="9">
        <v>1500</v>
      </c>
      <c r="D46" s="8">
        <v>725</v>
      </c>
      <c r="E46" s="8">
        <v>96</v>
      </c>
      <c r="F46" s="9">
        <v>6305</v>
      </c>
      <c r="G46" s="9">
        <v>3985</v>
      </c>
      <c r="H46" s="364"/>
      <c r="I46" s="9">
        <v>2371</v>
      </c>
      <c r="J46" s="56">
        <f t="shared" si="4"/>
        <v>17938</v>
      </c>
    </row>
    <row r="47" spans="1:12" x14ac:dyDescent="0.2">
      <c r="A47" s="589">
        <v>44652</v>
      </c>
      <c r="B47" s="9">
        <v>9842</v>
      </c>
      <c r="C47" s="9">
        <v>1014</v>
      </c>
      <c r="D47" s="8">
        <v>917</v>
      </c>
      <c r="E47" s="8">
        <v>19</v>
      </c>
      <c r="F47" s="9">
        <v>6981</v>
      </c>
      <c r="G47" s="9">
        <v>5079</v>
      </c>
      <c r="H47" s="364"/>
      <c r="I47" s="8">
        <v>775</v>
      </c>
      <c r="J47" s="56">
        <f t="shared" si="4"/>
        <v>24627</v>
      </c>
    </row>
    <row r="48" spans="1:12" x14ac:dyDescent="0.2">
      <c r="A48" s="589">
        <v>44682</v>
      </c>
      <c r="B48" s="9">
        <v>11534</v>
      </c>
      <c r="C48" s="9">
        <v>1088</v>
      </c>
      <c r="D48" s="9">
        <v>1336</v>
      </c>
      <c r="E48" s="8">
        <v>9</v>
      </c>
      <c r="F48" s="9">
        <v>7093</v>
      </c>
      <c r="G48" s="9">
        <v>6786</v>
      </c>
      <c r="H48" s="364"/>
      <c r="I48" s="8">
        <v>741</v>
      </c>
      <c r="J48" s="56">
        <f t="shared" si="4"/>
        <v>28587</v>
      </c>
    </row>
    <row r="49" spans="1:13" x14ac:dyDescent="0.2">
      <c r="A49" s="589">
        <v>44713</v>
      </c>
      <c r="B49" s="9">
        <v>11619</v>
      </c>
      <c r="C49" s="9">
        <v>1067</v>
      </c>
      <c r="D49" s="9">
        <v>1726</v>
      </c>
      <c r="E49" s="8">
        <v>23</v>
      </c>
      <c r="F49" s="9">
        <v>3528</v>
      </c>
      <c r="G49" s="9">
        <v>5892</v>
      </c>
      <c r="H49" s="364"/>
      <c r="I49" s="8">
        <v>582</v>
      </c>
      <c r="J49" s="56">
        <f t="shared" si="4"/>
        <v>24437</v>
      </c>
    </row>
    <row r="50" spans="1:13" x14ac:dyDescent="0.2">
      <c r="A50" s="589">
        <v>44743</v>
      </c>
      <c r="B50" s="9">
        <v>12917</v>
      </c>
      <c r="C50" s="9">
        <v>1149</v>
      </c>
      <c r="D50" s="9">
        <v>1963</v>
      </c>
      <c r="E50" s="8">
        <v>18</v>
      </c>
      <c r="F50" s="9">
        <v>3104</v>
      </c>
      <c r="G50" s="9">
        <v>7352</v>
      </c>
      <c r="H50" s="364"/>
      <c r="I50" s="8">
        <v>819</v>
      </c>
      <c r="J50" s="56">
        <f>SUM(B50:I50)</f>
        <v>27322</v>
      </c>
      <c r="K50" s="9">
        <v>10417</v>
      </c>
      <c r="L50" s="56"/>
      <c r="M50" s="56"/>
    </row>
    <row r="51" spans="1:13" x14ac:dyDescent="0.2">
      <c r="A51" s="589">
        <v>44774</v>
      </c>
      <c r="B51" s="9">
        <v>14385</v>
      </c>
      <c r="C51" s="9">
        <v>1139</v>
      </c>
      <c r="D51" s="9">
        <v>2126</v>
      </c>
      <c r="E51" s="8">
        <v>16</v>
      </c>
      <c r="F51" s="9">
        <v>2867</v>
      </c>
      <c r="G51" s="9">
        <v>6871</v>
      </c>
      <c r="H51" s="364"/>
      <c r="I51" s="8">
        <v>639</v>
      </c>
      <c r="J51" s="56">
        <f t="shared" ref="J51:J60" si="5">SUM(B51:I51)</f>
        <v>28043</v>
      </c>
      <c r="K51" s="9">
        <v>10769</v>
      </c>
      <c r="L51" s="56"/>
      <c r="M51" s="56"/>
    </row>
    <row r="52" spans="1:13" x14ac:dyDescent="0.2">
      <c r="A52" s="589">
        <v>44805</v>
      </c>
      <c r="B52" s="9">
        <v>14369</v>
      </c>
      <c r="C52" s="9">
        <v>1511</v>
      </c>
      <c r="D52" s="9">
        <v>2647</v>
      </c>
      <c r="E52" s="8">
        <v>24</v>
      </c>
      <c r="F52" s="9">
        <v>9907</v>
      </c>
      <c r="G52" s="9">
        <v>10118</v>
      </c>
      <c r="H52" s="364"/>
      <c r="I52" s="8">
        <v>880</v>
      </c>
      <c r="J52" s="56">
        <f t="shared" si="5"/>
        <v>39456</v>
      </c>
      <c r="K52" s="9">
        <v>10871</v>
      </c>
    </row>
    <row r="53" spans="1:13" x14ac:dyDescent="0.2">
      <c r="A53" s="589">
        <v>44835</v>
      </c>
      <c r="B53" s="9">
        <v>17984</v>
      </c>
      <c r="C53" s="9">
        <v>1337</v>
      </c>
      <c r="D53" s="9">
        <v>1683</v>
      </c>
      <c r="E53" s="8">
        <v>67</v>
      </c>
      <c r="F53" s="9">
        <v>11531</v>
      </c>
      <c r="G53" s="9">
        <v>10791</v>
      </c>
      <c r="H53" s="364"/>
      <c r="I53" s="8">
        <v>739</v>
      </c>
      <c r="J53" s="56">
        <f t="shared" si="5"/>
        <v>44132</v>
      </c>
      <c r="K53" s="9">
        <v>8876</v>
      </c>
    </row>
    <row r="54" spans="1:13" x14ac:dyDescent="0.2">
      <c r="A54" s="589">
        <v>44866</v>
      </c>
      <c r="B54" s="9">
        <v>13357</v>
      </c>
      <c r="C54" s="9">
        <v>1548</v>
      </c>
      <c r="D54" s="9">
        <v>2260</v>
      </c>
      <c r="E54" s="8">
        <v>35</v>
      </c>
      <c r="F54" s="9">
        <v>14095</v>
      </c>
      <c r="G54" s="9">
        <v>9942</v>
      </c>
      <c r="H54" s="364"/>
      <c r="I54" s="8">
        <v>799</v>
      </c>
      <c r="J54" s="56">
        <f t="shared" si="5"/>
        <v>42036</v>
      </c>
      <c r="K54" s="9">
        <v>7673</v>
      </c>
    </row>
    <row r="55" spans="1:13" x14ac:dyDescent="0.2">
      <c r="A55" s="589">
        <v>44896</v>
      </c>
      <c r="B55" s="9">
        <v>7710</v>
      </c>
      <c r="C55" s="9">
        <v>1149</v>
      </c>
      <c r="D55" s="9">
        <v>1043</v>
      </c>
      <c r="E55" s="8">
        <v>38</v>
      </c>
      <c r="F55" s="9">
        <v>19086</v>
      </c>
      <c r="G55" s="9">
        <v>8353</v>
      </c>
      <c r="H55" s="364"/>
      <c r="I55" s="8">
        <v>714</v>
      </c>
      <c r="J55" s="56">
        <f t="shared" si="5"/>
        <v>38093</v>
      </c>
      <c r="K55" s="9">
        <v>1121</v>
      </c>
    </row>
    <row r="56" spans="1:13" x14ac:dyDescent="0.2">
      <c r="A56" s="589">
        <v>44927</v>
      </c>
      <c r="B56" s="9">
        <v>6540</v>
      </c>
      <c r="C56" s="9">
        <v>2088</v>
      </c>
      <c r="D56" s="8">
        <v>921</v>
      </c>
      <c r="E56" s="8">
        <v>69</v>
      </c>
      <c r="F56" s="9">
        <v>6393</v>
      </c>
      <c r="G56" s="9">
        <v>7456</v>
      </c>
      <c r="H56" s="364"/>
      <c r="I56" s="8">
        <v>912</v>
      </c>
      <c r="J56" s="56">
        <f t="shared" si="5"/>
        <v>24379</v>
      </c>
      <c r="K56" s="9">
        <v>1093</v>
      </c>
    </row>
    <row r="57" spans="1:13" x14ac:dyDescent="0.2">
      <c r="A57" s="589">
        <v>44958</v>
      </c>
      <c r="B57" s="9">
        <v>7341</v>
      </c>
      <c r="C57" s="9">
        <v>1666</v>
      </c>
      <c r="D57" s="9">
        <v>1216</v>
      </c>
      <c r="E57" s="8">
        <v>111</v>
      </c>
      <c r="F57" s="9">
        <v>10383</v>
      </c>
      <c r="G57" s="9">
        <v>8751</v>
      </c>
      <c r="H57" s="364"/>
      <c r="I57" s="8">
        <v>712</v>
      </c>
      <c r="J57" s="56">
        <f t="shared" si="5"/>
        <v>30180</v>
      </c>
      <c r="K57" s="9">
        <v>1727</v>
      </c>
    </row>
    <row r="58" spans="1:13" x14ac:dyDescent="0.2">
      <c r="A58" s="589">
        <v>44986</v>
      </c>
      <c r="B58" s="9">
        <v>9923</v>
      </c>
      <c r="C58" s="9">
        <v>1569</v>
      </c>
      <c r="D58" s="9">
        <v>1299</v>
      </c>
      <c r="E58" s="8">
        <v>65</v>
      </c>
      <c r="F58" s="9">
        <v>11659</v>
      </c>
      <c r="G58" s="9">
        <v>9780</v>
      </c>
      <c r="H58" s="364"/>
      <c r="I58" s="8">
        <v>865</v>
      </c>
      <c r="J58" s="56">
        <f t="shared" si="5"/>
        <v>35160</v>
      </c>
      <c r="K58" s="9">
        <v>3550</v>
      </c>
    </row>
    <row r="59" spans="1:13" x14ac:dyDescent="0.2">
      <c r="A59" s="589">
        <v>45017</v>
      </c>
      <c r="B59" s="9">
        <v>12526</v>
      </c>
      <c r="C59" s="9">
        <v>1196</v>
      </c>
      <c r="D59" s="9">
        <v>1485</v>
      </c>
      <c r="E59" s="8">
        <v>93</v>
      </c>
      <c r="F59" s="9">
        <v>10521</v>
      </c>
      <c r="G59" s="9">
        <v>10863</v>
      </c>
      <c r="H59" s="364"/>
      <c r="I59" s="8">
        <v>582</v>
      </c>
      <c r="J59" s="56">
        <f t="shared" si="5"/>
        <v>37266</v>
      </c>
      <c r="K59" s="9">
        <v>5861</v>
      </c>
    </row>
    <row r="60" spans="1:13" x14ac:dyDescent="0.2">
      <c r="A60" s="589">
        <v>45047</v>
      </c>
      <c r="B60" s="9">
        <v>13882</v>
      </c>
      <c r="C60" s="9">
        <v>1126</v>
      </c>
      <c r="D60" s="9">
        <v>2104</v>
      </c>
      <c r="E60" s="8">
        <v>133</v>
      </c>
      <c r="F60" s="9">
        <v>9803</v>
      </c>
      <c r="G60" s="9">
        <v>9125</v>
      </c>
      <c r="H60" s="364"/>
      <c r="I60" s="8">
        <v>622</v>
      </c>
      <c r="J60" s="56">
        <f t="shared" si="5"/>
        <v>36795</v>
      </c>
      <c r="K60" s="9">
        <v>9229</v>
      </c>
    </row>
    <row r="61" spans="1:13" x14ac:dyDescent="0.2">
      <c r="A61" s="589">
        <v>45078</v>
      </c>
      <c r="B61" s="9">
        <v>14760</v>
      </c>
      <c r="C61" s="9">
        <v>1155</v>
      </c>
      <c r="D61" s="9">
        <v>2339</v>
      </c>
      <c r="E61" s="8">
        <v>174</v>
      </c>
      <c r="F61" s="9">
        <v>6322</v>
      </c>
      <c r="G61" s="9">
        <v>8196</v>
      </c>
      <c r="H61" s="364"/>
      <c r="I61" s="8">
        <v>722</v>
      </c>
      <c r="J61" s="56">
        <f>SUM(B61:I61)</f>
        <v>33668</v>
      </c>
      <c r="K61" s="9">
        <v>11403</v>
      </c>
    </row>
    <row r="62" spans="1:13" x14ac:dyDescent="0.2">
      <c r="A62" s="589">
        <v>45108</v>
      </c>
      <c r="B62" s="9">
        <v>15525</v>
      </c>
      <c r="C62" s="9">
        <v>1122</v>
      </c>
      <c r="D62" s="9">
        <v>2675</v>
      </c>
      <c r="E62" s="8">
        <v>123</v>
      </c>
      <c r="F62" s="9">
        <v>5054</v>
      </c>
      <c r="G62" s="9">
        <v>8918</v>
      </c>
      <c r="H62" s="9">
        <v>5033</v>
      </c>
      <c r="I62" s="8">
        <v>811</v>
      </c>
      <c r="J62" s="56">
        <f>SUM(B62:I62)</f>
        <v>39261</v>
      </c>
      <c r="K62" s="9">
        <v>12405</v>
      </c>
      <c r="L62" s="56"/>
    </row>
    <row r="63" spans="1:13" x14ac:dyDescent="0.2">
      <c r="A63" s="589">
        <v>45139</v>
      </c>
      <c r="B63" s="9">
        <v>13190</v>
      </c>
      <c r="C63" s="8">
        <v>870</v>
      </c>
      <c r="D63" s="9">
        <v>2587</v>
      </c>
      <c r="E63" s="8">
        <v>201</v>
      </c>
      <c r="F63" s="9">
        <v>3906</v>
      </c>
      <c r="G63" s="9">
        <v>8003</v>
      </c>
      <c r="H63" s="9">
        <v>5033</v>
      </c>
      <c r="I63" s="8">
        <v>893</v>
      </c>
      <c r="J63" s="56">
        <f t="shared" ref="J63:J75" si="6">SUM(B63:I63)</f>
        <v>34683</v>
      </c>
      <c r="K63" s="9">
        <v>11967</v>
      </c>
    </row>
    <row r="64" spans="1:13" x14ac:dyDescent="0.2">
      <c r="A64" s="589">
        <v>45170</v>
      </c>
      <c r="B64" s="9">
        <v>9180</v>
      </c>
      <c r="C64" s="8">
        <v>817</v>
      </c>
      <c r="D64" s="9">
        <v>6279</v>
      </c>
      <c r="E64" s="9">
        <v>1297</v>
      </c>
      <c r="F64" s="9">
        <v>11143</v>
      </c>
      <c r="G64" s="9">
        <v>10310</v>
      </c>
      <c r="H64" s="9">
        <v>4870</v>
      </c>
      <c r="I64" s="8">
        <v>733</v>
      </c>
      <c r="J64" s="56">
        <f t="shared" si="6"/>
        <v>44629</v>
      </c>
      <c r="K64" s="9">
        <v>11433</v>
      </c>
    </row>
    <row r="65" spans="1:23" x14ac:dyDescent="0.2">
      <c r="A65" s="589">
        <v>45200</v>
      </c>
      <c r="B65" s="362">
        <v>11141</v>
      </c>
      <c r="C65" s="9">
        <v>1366</v>
      </c>
      <c r="D65" s="9">
        <v>4385</v>
      </c>
      <c r="E65" s="8">
        <v>740</v>
      </c>
      <c r="F65" s="9">
        <v>12101</v>
      </c>
      <c r="G65" s="9">
        <v>11555</v>
      </c>
      <c r="H65" s="9">
        <v>5010</v>
      </c>
      <c r="I65" s="8">
        <v>633</v>
      </c>
      <c r="J65" s="56">
        <f t="shared" si="6"/>
        <v>46931</v>
      </c>
      <c r="K65" s="9">
        <v>9030</v>
      </c>
    </row>
    <row r="66" spans="1:23" x14ac:dyDescent="0.2">
      <c r="A66" s="589">
        <v>45231</v>
      </c>
      <c r="B66" s="362">
        <v>7139</v>
      </c>
      <c r="C66" s="9">
        <v>1155</v>
      </c>
      <c r="D66" s="9">
        <v>5099</v>
      </c>
      <c r="E66" s="9">
        <v>1127</v>
      </c>
      <c r="F66" s="9">
        <v>12345</v>
      </c>
      <c r="G66" s="9">
        <v>9609</v>
      </c>
      <c r="H66" s="9">
        <v>4848</v>
      </c>
      <c r="I66" s="8">
        <v>901</v>
      </c>
      <c r="J66" s="56">
        <f t="shared" si="6"/>
        <v>42223</v>
      </c>
      <c r="K66" s="9">
        <v>5627</v>
      </c>
    </row>
    <row r="67" spans="1:23" x14ac:dyDescent="0.2">
      <c r="A67" s="589">
        <v>45261</v>
      </c>
      <c r="B67" s="362">
        <v>8690</v>
      </c>
      <c r="C67" s="9">
        <v>1086</v>
      </c>
      <c r="D67" s="9">
        <v>1891</v>
      </c>
      <c r="E67" s="8">
        <v>146</v>
      </c>
      <c r="F67" s="9">
        <v>12811</v>
      </c>
      <c r="G67" s="9">
        <v>9607</v>
      </c>
      <c r="H67" s="9">
        <v>5010</v>
      </c>
      <c r="I67" s="8">
        <v>814</v>
      </c>
      <c r="J67" s="56">
        <f t="shared" si="6"/>
        <v>40055</v>
      </c>
      <c r="K67" s="9">
        <v>2879</v>
      </c>
    </row>
    <row r="68" spans="1:23" x14ac:dyDescent="0.2">
      <c r="A68" s="589">
        <v>45292</v>
      </c>
      <c r="B68" s="9">
        <v>5770</v>
      </c>
      <c r="C68" s="9">
        <v>1150</v>
      </c>
      <c r="D68" s="9">
        <v>1617</v>
      </c>
      <c r="E68" s="8">
        <v>205</v>
      </c>
      <c r="F68" s="9">
        <v>5012</v>
      </c>
      <c r="G68" s="9">
        <v>7282</v>
      </c>
      <c r="H68" s="9">
        <v>4988</v>
      </c>
      <c r="I68" s="8">
        <v>719</v>
      </c>
      <c r="J68" s="56">
        <f t="shared" si="6"/>
        <v>26743</v>
      </c>
      <c r="K68" s="9">
        <v>1638</v>
      </c>
    </row>
    <row r="69" spans="1:23" x14ac:dyDescent="0.2">
      <c r="A69" s="589">
        <v>45323</v>
      </c>
      <c r="B69" s="9">
        <v>8413</v>
      </c>
      <c r="C69" s="8">
        <v>752</v>
      </c>
      <c r="D69" s="8">
        <v>602</v>
      </c>
      <c r="E69" s="8">
        <v>485</v>
      </c>
      <c r="F69" s="9">
        <v>8652</v>
      </c>
      <c r="G69" s="9">
        <v>7959</v>
      </c>
      <c r="H69" s="9">
        <v>4687</v>
      </c>
      <c r="I69" s="8">
        <v>587</v>
      </c>
      <c r="J69" s="56">
        <f t="shared" si="6"/>
        <v>32137</v>
      </c>
      <c r="K69" s="9">
        <v>1841</v>
      </c>
    </row>
    <row r="70" spans="1:23" x14ac:dyDescent="0.2">
      <c r="A70" s="589">
        <v>45352</v>
      </c>
      <c r="B70" s="9">
        <v>10100</v>
      </c>
      <c r="C70" s="8">
        <v>908</v>
      </c>
      <c r="D70" s="8">
        <v>640</v>
      </c>
      <c r="E70" s="8">
        <v>218</v>
      </c>
      <c r="F70" s="9">
        <v>10837</v>
      </c>
      <c r="G70" s="9">
        <v>8977</v>
      </c>
      <c r="H70" s="9">
        <v>5010</v>
      </c>
      <c r="I70" s="8">
        <v>568</v>
      </c>
      <c r="J70" s="56">
        <f t="shared" si="6"/>
        <v>37258</v>
      </c>
      <c r="K70" s="9">
        <v>3661</v>
      </c>
      <c r="N70" s="56"/>
    </row>
    <row r="71" spans="1:23" x14ac:dyDescent="0.2">
      <c r="A71" s="589">
        <v>45383</v>
      </c>
      <c r="B71" s="9">
        <v>15117</v>
      </c>
      <c r="C71" s="8">
        <v>890</v>
      </c>
      <c r="D71" s="9">
        <v>1150</v>
      </c>
      <c r="E71" s="8">
        <v>131</v>
      </c>
      <c r="F71" s="9">
        <v>10675</v>
      </c>
      <c r="G71" s="9">
        <v>9445</v>
      </c>
      <c r="H71" s="9">
        <v>4848</v>
      </c>
      <c r="I71" s="8">
        <v>671</v>
      </c>
      <c r="J71" s="56">
        <f t="shared" si="6"/>
        <v>42927</v>
      </c>
    </row>
    <row r="72" spans="1:23" ht="29.25" customHeight="1" x14ac:dyDescent="0.2">
      <c r="A72" s="589">
        <v>45413</v>
      </c>
      <c r="B72" s="9">
        <v>14227</v>
      </c>
      <c r="C72" s="8">
        <v>852</v>
      </c>
      <c r="D72" s="9">
        <v>1062</v>
      </c>
      <c r="E72" s="8">
        <v>173</v>
      </c>
      <c r="F72" s="9">
        <v>10554</v>
      </c>
      <c r="G72" s="9">
        <v>9380</v>
      </c>
      <c r="H72" s="9">
        <v>5010</v>
      </c>
      <c r="I72" s="8">
        <v>595</v>
      </c>
      <c r="J72" s="56">
        <f t="shared" si="6"/>
        <v>41853</v>
      </c>
    </row>
    <row r="73" spans="1:23" ht="85" x14ac:dyDescent="0.2">
      <c r="A73" s="589">
        <v>45444</v>
      </c>
      <c r="B73" s="9">
        <v>15015</v>
      </c>
      <c r="C73" s="8">
        <v>738</v>
      </c>
      <c r="D73" s="9">
        <v>1210</v>
      </c>
      <c r="E73" s="8">
        <v>130</v>
      </c>
      <c r="F73" s="9">
        <v>4711</v>
      </c>
      <c r="G73" s="9">
        <v>7496</v>
      </c>
      <c r="H73" s="9">
        <v>4848</v>
      </c>
      <c r="I73" s="8">
        <v>638</v>
      </c>
      <c r="J73" s="56">
        <f t="shared" si="6"/>
        <v>34786</v>
      </c>
      <c r="P73" s="65" t="s">
        <v>281</v>
      </c>
      <c r="Q73" s="65" t="s">
        <v>40</v>
      </c>
      <c r="R73" s="65" t="s">
        <v>273</v>
      </c>
      <c r="S73" s="65" t="s">
        <v>45</v>
      </c>
      <c r="T73" s="65" t="s">
        <v>47</v>
      </c>
      <c r="U73" s="65" t="s">
        <v>275</v>
      </c>
      <c r="V73" s="65" t="s">
        <v>288</v>
      </c>
      <c r="W73" s="65" t="s">
        <v>286</v>
      </c>
    </row>
    <row r="74" spans="1:23" ht="17" x14ac:dyDescent="0.2">
      <c r="A74" s="589">
        <v>45474</v>
      </c>
      <c r="B74" s="9">
        <f>22363-(SUM(C74:E74))</f>
        <v>19518</v>
      </c>
      <c r="C74" s="9">
        <v>1040</v>
      </c>
      <c r="D74" s="9">
        <v>1688</v>
      </c>
      <c r="E74" s="8">
        <v>117</v>
      </c>
      <c r="F74" s="9">
        <v>3862</v>
      </c>
      <c r="G74" s="9">
        <v>8940</v>
      </c>
      <c r="H74" s="9">
        <f>(444*2.6)*(133.2/1000)*31</f>
        <v>4766.7484799999993</v>
      </c>
      <c r="I74" s="8">
        <v>538</v>
      </c>
      <c r="J74" s="56">
        <f t="shared" si="6"/>
        <v>40469.748480000002</v>
      </c>
      <c r="K74" s="56"/>
      <c r="O74" s="55" t="s">
        <v>289</v>
      </c>
      <c r="P74" s="56">
        <v>40274</v>
      </c>
      <c r="Q74" s="56">
        <v>3495</v>
      </c>
      <c r="R74" s="56">
        <f t="shared" ref="R74:U74" si="7">SUM(D77:D79)</f>
        <v>3159</v>
      </c>
      <c r="S74" s="56">
        <f t="shared" si="7"/>
        <v>581</v>
      </c>
      <c r="T74" s="56">
        <f t="shared" si="7"/>
        <v>32735</v>
      </c>
      <c r="U74" s="56">
        <f t="shared" si="7"/>
        <v>33038</v>
      </c>
      <c r="V74" s="56">
        <f>SUM(I77:I79)</f>
        <v>2417</v>
      </c>
      <c r="W74" s="56">
        <f>SUM(J77:J79)</f>
        <v>129268.0336</v>
      </c>
    </row>
    <row r="75" spans="1:23" ht="17" x14ac:dyDescent="0.2">
      <c r="A75" s="589">
        <v>45505</v>
      </c>
      <c r="B75" s="56">
        <f>20046-(SUM(C75:E75))</f>
        <v>17312</v>
      </c>
      <c r="C75" s="8">
        <v>932</v>
      </c>
      <c r="D75" s="9">
        <v>1650</v>
      </c>
      <c r="E75" s="8">
        <v>152</v>
      </c>
      <c r="F75" s="9">
        <v>3203</v>
      </c>
      <c r="G75" s="9">
        <v>9043</v>
      </c>
      <c r="H75" s="9">
        <f>(444*2.6)*((133.2/1000)*30)</f>
        <v>4612.9823999999999</v>
      </c>
      <c r="I75" s="8">
        <v>662</v>
      </c>
      <c r="J75" s="56">
        <f t="shared" si="6"/>
        <v>37566.982400000001</v>
      </c>
      <c r="K75" s="56"/>
      <c r="O75" s="55" t="s">
        <v>290</v>
      </c>
      <c r="P75" s="56">
        <v>40209</v>
      </c>
      <c r="Q75" s="56">
        <f t="shared" ref="Q75:U75" si="8">SUM(C65:C67)</f>
        <v>3607</v>
      </c>
      <c r="R75" s="56">
        <f t="shared" si="8"/>
        <v>11375</v>
      </c>
      <c r="S75" s="56">
        <f t="shared" si="8"/>
        <v>2013</v>
      </c>
      <c r="T75" s="56">
        <f t="shared" si="8"/>
        <v>37257</v>
      </c>
      <c r="U75" s="56">
        <f t="shared" si="8"/>
        <v>30771</v>
      </c>
      <c r="V75" s="56">
        <f>SUM(I65:I67)</f>
        <v>2348</v>
      </c>
      <c r="W75" s="56">
        <f>SUM(J65:J67)</f>
        <v>129209</v>
      </c>
    </row>
    <row r="76" spans="1:23" x14ac:dyDescent="0.2">
      <c r="A76" s="589">
        <v>45536</v>
      </c>
      <c r="B76" s="9">
        <f>19814-(SUM(C76:E76))</f>
        <v>16829</v>
      </c>
      <c r="C76" s="9">
        <v>1204</v>
      </c>
      <c r="D76" s="9">
        <v>1619</v>
      </c>
      <c r="E76" s="8">
        <v>162</v>
      </c>
      <c r="F76" s="9">
        <v>8389</v>
      </c>
      <c r="G76" s="9">
        <v>11852</v>
      </c>
      <c r="H76" s="9">
        <f>(444*2.6)*((133.2/1000)*30)</f>
        <v>4612.9823999999999</v>
      </c>
      <c r="I76" s="9">
        <v>1594</v>
      </c>
      <c r="J76" s="56">
        <f t="shared" ref="J76:J97" si="9">SUM(B76:I76)</f>
        <v>46261.982400000001</v>
      </c>
      <c r="K76" s="56"/>
      <c r="P76" s="349">
        <f>(P74-P75)/P75</f>
        <v>1.6165535079211122E-3</v>
      </c>
      <c r="Q76" s="349">
        <f t="shared" ref="Q76:W76" si="10">(Q74-Q75)/Q75</f>
        <v>-3.1050734682561684E-2</v>
      </c>
      <c r="R76" s="349">
        <f t="shared" si="10"/>
        <v>-0.72228571428571431</v>
      </c>
      <c r="S76" s="349">
        <f t="shared" si="10"/>
        <v>-0.71137605563835071</v>
      </c>
      <c r="T76" s="349">
        <f t="shared" si="10"/>
        <v>-0.12137316477440481</v>
      </c>
      <c r="U76" s="349">
        <f t="shared" si="10"/>
        <v>7.367326378733223E-2</v>
      </c>
      <c r="V76" s="349">
        <f t="shared" si="10"/>
        <v>2.9386712095400339E-2</v>
      </c>
      <c r="W76" s="349">
        <f t="shared" si="10"/>
        <v>4.5688458234329811E-4</v>
      </c>
    </row>
    <row r="77" spans="1:23" x14ac:dyDescent="0.2">
      <c r="A77" s="589">
        <v>45566</v>
      </c>
      <c r="B77" s="9">
        <f>19577-(SUM(C77:E77))</f>
        <v>16587</v>
      </c>
      <c r="C77" s="56">
        <v>1480</v>
      </c>
      <c r="D77" s="56">
        <v>1361</v>
      </c>
      <c r="E77" s="56">
        <v>149</v>
      </c>
      <c r="F77" s="56">
        <v>10126</v>
      </c>
      <c r="G77" s="56">
        <v>11695</v>
      </c>
      <c r="H77" s="9">
        <f>(440*2.6)*((133.2/1000)*31)</f>
        <v>4723.804799999999</v>
      </c>
      <c r="I77" s="56">
        <v>774</v>
      </c>
      <c r="J77" s="56">
        <f>SUM(B77:I77)</f>
        <v>46895.804799999998</v>
      </c>
      <c r="K77" s="56"/>
      <c r="W77" s="56"/>
    </row>
    <row r="78" spans="1:23" x14ac:dyDescent="0.2">
      <c r="A78" s="589">
        <v>45597</v>
      </c>
      <c r="B78" s="9">
        <f>16079-(SUM(C78:E78))</f>
        <v>13513</v>
      </c>
      <c r="C78" s="56">
        <v>1263</v>
      </c>
      <c r="D78" s="56">
        <v>1081</v>
      </c>
      <c r="E78" s="56">
        <v>222</v>
      </c>
      <c r="F78" s="56">
        <v>11918</v>
      </c>
      <c r="G78" s="56">
        <v>11071</v>
      </c>
      <c r="H78" s="9">
        <f>(440*2.6)*((133.2/1000)*30)</f>
        <v>4571.4239999999991</v>
      </c>
      <c r="I78" s="56">
        <v>766</v>
      </c>
      <c r="J78" s="56">
        <f t="shared" si="9"/>
        <v>44405.423999999999</v>
      </c>
      <c r="K78" s="56"/>
      <c r="W78" s="56"/>
    </row>
    <row r="79" spans="1:23" x14ac:dyDescent="0.2">
      <c r="A79" s="589">
        <v>45627</v>
      </c>
      <c r="B79" s="9">
        <f>11403-(SUM(C79:E79))</f>
        <v>8961</v>
      </c>
      <c r="C79" s="56">
        <v>1515</v>
      </c>
      <c r="D79" s="56">
        <v>717</v>
      </c>
      <c r="E79" s="56">
        <v>210</v>
      </c>
      <c r="F79" s="56">
        <v>10691</v>
      </c>
      <c r="G79" s="56">
        <v>10272</v>
      </c>
      <c r="H79" s="9">
        <f>(440*2.6)*((133.2/1000)*31)</f>
        <v>4723.804799999999</v>
      </c>
      <c r="I79" s="56">
        <v>877</v>
      </c>
      <c r="J79" s="56">
        <f t="shared" si="9"/>
        <v>37966.804799999998</v>
      </c>
      <c r="K79" s="56"/>
      <c r="Q79" s="350">
        <v>45200</v>
      </c>
      <c r="R79" s="350">
        <v>45231</v>
      </c>
      <c r="S79" s="350">
        <v>45261</v>
      </c>
      <c r="W79" s="56"/>
    </row>
    <row r="80" spans="1:23" x14ac:dyDescent="0.2">
      <c r="A80" s="589">
        <v>45658</v>
      </c>
      <c r="B80" s="9">
        <f>9234-(SUM(C80:E80))</f>
        <v>7290</v>
      </c>
      <c r="C80" s="56">
        <v>1245</v>
      </c>
      <c r="D80" s="56">
        <v>543</v>
      </c>
      <c r="E80" s="56">
        <v>156</v>
      </c>
      <c r="F80" s="56">
        <v>4797</v>
      </c>
      <c r="G80" s="56">
        <v>7943</v>
      </c>
      <c r="H80" s="9">
        <f>(442*2.6)*((133.2/1000)*31)</f>
        <v>4745.2766399999991</v>
      </c>
      <c r="I80" s="56">
        <v>868</v>
      </c>
      <c r="J80" s="56">
        <f t="shared" si="9"/>
        <v>27587.27664</v>
      </c>
      <c r="K80" s="56"/>
      <c r="O80" s="56"/>
      <c r="P80" s="56"/>
      <c r="Q80" s="55">
        <v>47</v>
      </c>
      <c r="R80" s="55">
        <v>95</v>
      </c>
      <c r="S80" s="55">
        <v>84</v>
      </c>
    </row>
    <row r="81" spans="1:19" x14ac:dyDescent="0.2">
      <c r="A81" s="589">
        <v>45689</v>
      </c>
      <c r="B81" s="9">
        <f>9881-(SUM(C81:E81))</f>
        <v>7797</v>
      </c>
      <c r="C81" s="56">
        <v>1410</v>
      </c>
      <c r="D81" s="56">
        <v>544</v>
      </c>
      <c r="E81" s="56">
        <v>130</v>
      </c>
      <c r="F81" s="56">
        <v>8651</v>
      </c>
      <c r="G81" s="56">
        <v>9368</v>
      </c>
      <c r="H81" s="9">
        <f>(442*2.6)*((133.2/1000)*28)</f>
        <v>4286.0563199999997</v>
      </c>
      <c r="I81" s="56">
        <v>607</v>
      </c>
      <c r="J81" s="56">
        <f t="shared" si="9"/>
        <v>32793.056320000003</v>
      </c>
      <c r="K81" s="56"/>
      <c r="O81" s="56"/>
      <c r="P81" s="56"/>
      <c r="Q81" s="55">
        <f>1297-3</f>
        <v>1294</v>
      </c>
      <c r="R81" s="55">
        <f>1044-15</f>
        <v>1029</v>
      </c>
      <c r="S81" s="55">
        <f>988-42</f>
        <v>946</v>
      </c>
    </row>
    <row r="82" spans="1:19" x14ac:dyDescent="0.2">
      <c r="A82" s="589">
        <v>45717</v>
      </c>
      <c r="B82" s="9">
        <f>13159-(SUM(C82:E82))</f>
        <v>10829</v>
      </c>
      <c r="C82" s="56">
        <v>1441</v>
      </c>
      <c r="D82" s="56">
        <v>794</v>
      </c>
      <c r="E82" s="56">
        <v>95</v>
      </c>
      <c r="F82" s="56">
        <v>11673</v>
      </c>
      <c r="G82" s="56">
        <v>9839</v>
      </c>
      <c r="H82" s="9">
        <f>(442*2.6)*((133.2/1000)*31)</f>
        <v>4745.2766399999991</v>
      </c>
      <c r="I82" s="56">
        <v>533</v>
      </c>
      <c r="J82" s="56">
        <f t="shared" si="9"/>
        <v>39949.276639999996</v>
      </c>
      <c r="K82" s="56"/>
      <c r="O82" s="56"/>
      <c r="P82" s="56"/>
    </row>
    <row r="83" spans="1:19" x14ac:dyDescent="0.2">
      <c r="A83" s="589">
        <v>45748</v>
      </c>
      <c r="B83" s="9">
        <f>15757-(SUM(C83:E83))</f>
        <v>13151</v>
      </c>
      <c r="C83" s="56">
        <v>1332</v>
      </c>
      <c r="D83" s="56">
        <v>1115</v>
      </c>
      <c r="E83" s="56">
        <v>159</v>
      </c>
      <c r="F83" s="56">
        <v>11908</v>
      </c>
      <c r="G83" s="56">
        <v>10168</v>
      </c>
      <c r="H83" s="9">
        <f>(461*2.6)*((133.2/1000)*30)</f>
        <v>4789.6055999999999</v>
      </c>
      <c r="I83" s="56">
        <v>643</v>
      </c>
      <c r="J83" s="56">
        <f t="shared" si="9"/>
        <v>43265.605600000003</v>
      </c>
      <c r="K83" s="56"/>
      <c r="O83" s="56"/>
      <c r="P83" s="56"/>
      <c r="Q83" s="351">
        <v>45953</v>
      </c>
      <c r="R83" s="351">
        <v>45984</v>
      </c>
      <c r="S83" s="351">
        <v>46014</v>
      </c>
    </row>
    <row r="84" spans="1:19" x14ac:dyDescent="0.2">
      <c r="A84" s="589">
        <v>45778</v>
      </c>
      <c r="B84" s="9">
        <f>19615-(SUM(C84:E84))</f>
        <v>16938</v>
      </c>
      <c r="C84" s="56">
        <v>1083</v>
      </c>
      <c r="D84" s="56">
        <v>1442</v>
      </c>
      <c r="E84" s="56">
        <v>152</v>
      </c>
      <c r="F84" s="56">
        <v>9981</v>
      </c>
      <c r="G84" s="56">
        <v>10218</v>
      </c>
      <c r="H84" s="9">
        <f>(461*2.6)*((133.2/1000)*31)</f>
        <v>4949.2591199999997</v>
      </c>
      <c r="I84" s="56">
        <v>534</v>
      </c>
      <c r="J84" s="56">
        <f t="shared" si="9"/>
        <v>45297.259120000002</v>
      </c>
      <c r="K84" s="56"/>
      <c r="O84" s="56"/>
      <c r="P84" s="56"/>
    </row>
    <row r="85" spans="1:19" x14ac:dyDescent="0.2">
      <c r="A85" s="589">
        <v>45809</v>
      </c>
      <c r="B85" s="9">
        <f>20609-(SUM(C85:E85))</f>
        <v>17328</v>
      </c>
      <c r="C85" s="56">
        <v>1282</v>
      </c>
      <c r="D85" s="56">
        <v>1861</v>
      </c>
      <c r="E85" s="56">
        <v>138</v>
      </c>
      <c r="F85" s="56">
        <v>6408</v>
      </c>
      <c r="G85" s="56">
        <v>9159</v>
      </c>
      <c r="H85" s="9">
        <f>(461*2.6)*((133.2/1000)*30)</f>
        <v>4789.6055999999999</v>
      </c>
      <c r="I85" s="56">
        <v>567</v>
      </c>
      <c r="J85" s="56">
        <f t="shared" si="9"/>
        <v>41532.605600000003</v>
      </c>
      <c r="K85" s="56"/>
      <c r="O85" s="56"/>
      <c r="P85" s="56"/>
    </row>
    <row r="86" spans="1:19" x14ac:dyDescent="0.2">
      <c r="A86" s="589">
        <v>45839</v>
      </c>
      <c r="B86" s="9">
        <f>21149-SUM(C86:E86)</f>
        <v>17624</v>
      </c>
      <c r="C86" s="9">
        <v>873</v>
      </c>
      <c r="D86" s="9">
        <v>2494</v>
      </c>
      <c r="E86" s="9">
        <v>158</v>
      </c>
      <c r="F86" s="9">
        <v>4035</v>
      </c>
      <c r="G86" s="9">
        <v>8991</v>
      </c>
      <c r="H86" s="9"/>
      <c r="I86" s="9">
        <v>820</v>
      </c>
      <c r="J86" s="56">
        <f t="shared" si="9"/>
        <v>34995</v>
      </c>
      <c r="O86" s="56"/>
      <c r="P86" s="56"/>
    </row>
    <row r="87" spans="1:19" x14ac:dyDescent="0.2">
      <c r="A87" s="589">
        <v>45870</v>
      </c>
      <c r="B87" s="9">
        <f>21892-SUM(C87:E87)</f>
        <v>17541</v>
      </c>
      <c r="C87" s="9">
        <v>845</v>
      </c>
      <c r="D87" s="9">
        <v>3260</v>
      </c>
      <c r="E87" s="9">
        <v>246</v>
      </c>
      <c r="F87" s="9">
        <v>3206</v>
      </c>
      <c r="G87" s="9">
        <v>8913</v>
      </c>
      <c r="H87" s="9"/>
      <c r="I87" s="9">
        <v>491</v>
      </c>
      <c r="J87" s="56">
        <f t="shared" si="9"/>
        <v>34502</v>
      </c>
      <c r="O87" s="56"/>
      <c r="P87" s="56"/>
    </row>
    <row r="88" spans="1:19" x14ac:dyDescent="0.2">
      <c r="A88" s="589">
        <v>45901</v>
      </c>
      <c r="B88" s="9">
        <f>24742-SUM(C88:E88)</f>
        <v>19366</v>
      </c>
      <c r="C88" s="9">
        <v>1016</v>
      </c>
      <c r="D88" s="9">
        <v>4071</v>
      </c>
      <c r="E88" s="9">
        <v>289</v>
      </c>
      <c r="F88" s="9">
        <v>10499</v>
      </c>
      <c r="G88" s="9">
        <v>12185</v>
      </c>
      <c r="H88" s="9"/>
      <c r="I88" s="9">
        <v>536</v>
      </c>
      <c r="J88" s="56">
        <f t="shared" si="9"/>
        <v>47962</v>
      </c>
    </row>
    <row r="89" spans="1:19" x14ac:dyDescent="0.2">
      <c r="A89" s="94">
        <v>45931</v>
      </c>
      <c r="B89" s="56">
        <f>22440-SUM(C89:E89)</f>
        <v>17065</v>
      </c>
      <c r="C89" s="56">
        <v>1121</v>
      </c>
      <c r="D89" s="56">
        <v>4003</v>
      </c>
      <c r="E89" s="56">
        <v>251</v>
      </c>
      <c r="F89" s="56">
        <v>10833</v>
      </c>
      <c r="G89" s="56">
        <v>11810</v>
      </c>
      <c r="H89" s="56"/>
      <c r="I89" s="56">
        <v>734</v>
      </c>
      <c r="J89" s="56">
        <f t="shared" si="9"/>
        <v>45817</v>
      </c>
      <c r="K89" s="56"/>
    </row>
    <row r="90" spans="1:19" x14ac:dyDescent="0.2">
      <c r="A90" s="94">
        <v>45962</v>
      </c>
      <c r="B90" s="56">
        <f>15592-SUM(C90:E90)</f>
        <v>13429</v>
      </c>
      <c r="C90" s="56">
        <v>916</v>
      </c>
      <c r="D90" s="56">
        <v>1045</v>
      </c>
      <c r="E90" s="56">
        <v>202</v>
      </c>
      <c r="F90" s="56">
        <v>9080</v>
      </c>
      <c r="G90" s="56">
        <v>10674</v>
      </c>
      <c r="H90" s="56"/>
      <c r="I90" s="56">
        <v>665</v>
      </c>
      <c r="J90" s="56">
        <f t="shared" si="9"/>
        <v>36011</v>
      </c>
      <c r="K90" s="56"/>
    </row>
    <row r="91" spans="1:19" x14ac:dyDescent="0.2">
      <c r="A91" s="94">
        <v>45992</v>
      </c>
      <c r="B91" s="56">
        <f>13444-SUM(C91:E91)</f>
        <v>11167</v>
      </c>
      <c r="C91" s="56">
        <v>1098</v>
      </c>
      <c r="D91" s="56">
        <v>903</v>
      </c>
      <c r="E91" s="56">
        <v>276</v>
      </c>
      <c r="F91" s="56">
        <v>8717</v>
      </c>
      <c r="G91" s="56">
        <v>9379</v>
      </c>
      <c r="H91" s="56"/>
      <c r="I91" s="56">
        <v>769</v>
      </c>
      <c r="J91" s="56">
        <f t="shared" si="9"/>
        <v>32309</v>
      </c>
      <c r="K91" s="56"/>
    </row>
    <row r="92" spans="1:19" x14ac:dyDescent="0.2">
      <c r="A92" s="94">
        <v>46023</v>
      </c>
      <c r="B92" s="56">
        <f>12438-SUM(C92:E92)</f>
        <v>10732</v>
      </c>
      <c r="C92" s="56">
        <v>916</v>
      </c>
      <c r="D92" s="56">
        <v>613</v>
      </c>
      <c r="E92" s="56">
        <v>177</v>
      </c>
      <c r="F92" s="56">
        <v>4208</v>
      </c>
      <c r="G92" s="56">
        <v>8065</v>
      </c>
      <c r="H92" s="56"/>
      <c r="I92" s="56">
        <v>778</v>
      </c>
      <c r="J92" s="56">
        <f t="shared" si="9"/>
        <v>25489</v>
      </c>
      <c r="K92" s="56"/>
    </row>
    <row r="93" spans="1:19" x14ac:dyDescent="0.2">
      <c r="A93" s="94">
        <v>46054</v>
      </c>
      <c r="B93" s="56">
        <f>10481-SUM(C93:E93)</f>
        <v>9054</v>
      </c>
      <c r="C93" s="56">
        <v>654</v>
      </c>
      <c r="D93" s="56">
        <v>635</v>
      </c>
      <c r="E93" s="56">
        <v>138</v>
      </c>
      <c r="F93" s="56">
        <v>9852</v>
      </c>
      <c r="G93" s="56">
        <v>8028</v>
      </c>
      <c r="H93" s="56"/>
      <c r="I93" s="56">
        <v>579</v>
      </c>
      <c r="J93" s="56">
        <f t="shared" si="9"/>
        <v>28940</v>
      </c>
      <c r="K93" s="56"/>
    </row>
    <row r="94" spans="1:19" x14ac:dyDescent="0.2">
      <c r="A94" s="94">
        <v>46082</v>
      </c>
      <c r="B94" s="56"/>
      <c r="C94" s="56"/>
      <c r="D94" s="56"/>
      <c r="E94" s="56"/>
      <c r="F94" s="56"/>
      <c r="G94" s="56"/>
      <c r="H94" s="56"/>
      <c r="I94" s="56"/>
      <c r="J94" s="56">
        <f t="shared" si="9"/>
        <v>0</v>
      </c>
      <c r="K94" s="56"/>
    </row>
    <row r="95" spans="1:19" x14ac:dyDescent="0.2">
      <c r="A95" s="94">
        <v>46113</v>
      </c>
      <c r="B95" s="56"/>
      <c r="C95" s="56"/>
      <c r="D95" s="56"/>
      <c r="E95" s="56"/>
      <c r="F95" s="56"/>
      <c r="G95" s="56"/>
      <c r="H95" s="56"/>
      <c r="I95" s="56"/>
      <c r="J95" s="56">
        <f t="shared" si="9"/>
        <v>0</v>
      </c>
      <c r="K95" s="56"/>
    </row>
    <row r="96" spans="1:19" x14ac:dyDescent="0.2">
      <c r="A96" s="94">
        <v>46143</v>
      </c>
      <c r="B96" s="56"/>
      <c r="C96" s="56"/>
      <c r="D96" s="56"/>
      <c r="E96" s="56"/>
      <c r="F96" s="56"/>
      <c r="G96" s="56"/>
      <c r="H96" s="56"/>
      <c r="I96" s="56"/>
      <c r="J96" s="56">
        <f t="shared" si="9"/>
        <v>0</v>
      </c>
      <c r="K96" s="56"/>
    </row>
    <row r="97" spans="1:11" x14ac:dyDescent="0.2">
      <c r="A97" s="94">
        <v>46174</v>
      </c>
      <c r="B97" s="56"/>
      <c r="C97" s="56"/>
      <c r="D97" s="56"/>
      <c r="E97" s="56"/>
      <c r="F97" s="56"/>
      <c r="G97" s="56"/>
      <c r="H97" s="56"/>
      <c r="I97" s="56"/>
      <c r="J97" s="56">
        <f t="shared" si="9"/>
        <v>0</v>
      </c>
      <c r="K97" s="56"/>
    </row>
  </sheetData>
  <phoneticPr fontId="9" type="noConversion"/>
  <pageMargins left="0.7" right="0.7" top="0.75" bottom="0.75" header="0.3" footer="0.3"/>
  <pageSetup paperSize="9" orientation="portrait" r:id="rId1"/>
  <ignoredErrors>
    <ignoredError sqref="B38:B40" formulaRange="1"/>
  </ignoredError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8464-AA77-46AC-A40B-6E461F5B751F}">
  <dimension ref="A1:K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baseColWidth="10" defaultColWidth="10.1640625" defaultRowHeight="16" x14ac:dyDescent="0.2"/>
  <cols>
    <col min="1" max="1" width="10.1640625" style="87"/>
    <col min="2" max="10" width="18.33203125" style="8" customWidth="1"/>
    <col min="11" max="16384" width="10.1640625" style="8"/>
  </cols>
  <sheetData>
    <row r="1" spans="1:11" s="59" customFormat="1" ht="34" x14ac:dyDescent="0.2">
      <c r="A1" s="152" t="s">
        <v>272</v>
      </c>
      <c r="B1" s="65" t="s">
        <v>127</v>
      </c>
      <c r="C1" s="65" t="s">
        <v>40</v>
      </c>
      <c r="D1" s="65" t="s">
        <v>273</v>
      </c>
      <c r="E1" s="65" t="s">
        <v>45</v>
      </c>
      <c r="F1" s="65" t="s">
        <v>47</v>
      </c>
      <c r="G1" s="65" t="s">
        <v>274</v>
      </c>
      <c r="H1" s="65" t="s">
        <v>275</v>
      </c>
      <c r="I1" s="65" t="s">
        <v>128</v>
      </c>
      <c r="J1" s="65" t="s">
        <v>282</v>
      </c>
    </row>
    <row r="2" spans="1:11" x14ac:dyDescent="0.2">
      <c r="A2" s="87" t="s">
        <v>118</v>
      </c>
      <c r="B2" s="62">
        <v>91576</v>
      </c>
      <c r="C2" s="62"/>
      <c r="D2" s="62">
        <v>130068</v>
      </c>
      <c r="E2" s="62"/>
      <c r="F2" s="62">
        <v>6679</v>
      </c>
      <c r="G2" s="62">
        <v>83657</v>
      </c>
      <c r="H2" s="62">
        <v>83657</v>
      </c>
      <c r="I2" s="62">
        <v>61096.619999999995</v>
      </c>
      <c r="J2" s="62">
        <f t="shared" ref="J2:J13" si="0">SUM(B2:I2)</f>
        <v>456733.62</v>
      </c>
    </row>
    <row r="3" spans="1:11" x14ac:dyDescent="0.2">
      <c r="A3" s="87" t="s">
        <v>58</v>
      </c>
      <c r="B3" s="62">
        <v>90262</v>
      </c>
      <c r="C3" s="62"/>
      <c r="D3" s="62">
        <v>124383</v>
      </c>
      <c r="E3" s="62"/>
      <c r="F3" s="62">
        <v>7484</v>
      </c>
      <c r="G3" s="62">
        <v>116140</v>
      </c>
      <c r="H3" s="62">
        <v>116140</v>
      </c>
      <c r="I3" s="62">
        <v>61598.784000000014</v>
      </c>
      <c r="J3" s="62">
        <f t="shared" si="0"/>
        <v>516007.78399999999</v>
      </c>
    </row>
    <row r="4" spans="1:11" x14ac:dyDescent="0.2">
      <c r="A4" s="87" t="s">
        <v>61</v>
      </c>
      <c r="B4" s="62">
        <v>97307</v>
      </c>
      <c r="C4" s="62">
        <v>7383</v>
      </c>
      <c r="D4" s="62">
        <v>2424</v>
      </c>
      <c r="E4" s="62">
        <v>1727</v>
      </c>
      <c r="F4" s="62">
        <v>117734</v>
      </c>
      <c r="G4" s="62">
        <v>6611</v>
      </c>
      <c r="H4" s="62">
        <v>117818</v>
      </c>
      <c r="I4" s="62">
        <v>68814.956000000006</v>
      </c>
      <c r="J4" s="62">
        <f t="shared" si="0"/>
        <v>419818.95600000001</v>
      </c>
    </row>
    <row r="5" spans="1:11" x14ac:dyDescent="0.2">
      <c r="A5" s="87" t="s">
        <v>63</v>
      </c>
      <c r="B5" s="62">
        <v>87033</v>
      </c>
      <c r="C5" s="62">
        <v>13328</v>
      </c>
      <c r="D5" s="62">
        <v>6762</v>
      </c>
      <c r="E5" s="62">
        <v>1608</v>
      </c>
      <c r="F5" s="62">
        <v>114980</v>
      </c>
      <c r="G5" s="62">
        <v>7503</v>
      </c>
      <c r="H5" s="62">
        <v>125215</v>
      </c>
      <c r="I5" s="62">
        <v>69931.055599999992</v>
      </c>
      <c r="J5" s="62">
        <f t="shared" si="0"/>
        <v>426360.05559999996</v>
      </c>
    </row>
    <row r="6" spans="1:11" x14ac:dyDescent="0.2">
      <c r="A6" s="87" t="s">
        <v>64</v>
      </c>
      <c r="B6" s="62">
        <v>83776</v>
      </c>
      <c r="C6" s="62">
        <v>22095</v>
      </c>
      <c r="D6" s="62">
        <v>25843</v>
      </c>
      <c r="E6" s="62">
        <v>1862</v>
      </c>
      <c r="F6" s="62">
        <v>108941</v>
      </c>
      <c r="G6" s="62">
        <v>7341</v>
      </c>
      <c r="H6" s="62">
        <v>94785</v>
      </c>
      <c r="I6" s="62">
        <v>53724.452880000012</v>
      </c>
      <c r="J6" s="62">
        <f t="shared" si="0"/>
        <v>398367.45288</v>
      </c>
    </row>
    <row r="7" spans="1:11" x14ac:dyDescent="0.2">
      <c r="A7" s="87" t="s">
        <v>65</v>
      </c>
      <c r="B7" s="62">
        <v>83643</v>
      </c>
      <c r="C7" s="62">
        <v>18381</v>
      </c>
      <c r="D7" s="62">
        <v>25305</v>
      </c>
      <c r="E7" s="62">
        <v>2127</v>
      </c>
      <c r="F7" s="62">
        <v>103073</v>
      </c>
      <c r="G7" s="62">
        <v>6187</v>
      </c>
      <c r="H7" s="62">
        <v>102223</v>
      </c>
      <c r="I7" s="62">
        <v>54959.656639999994</v>
      </c>
      <c r="J7" s="62">
        <f t="shared" si="0"/>
        <v>395898.65664</v>
      </c>
    </row>
    <row r="8" spans="1:11" x14ac:dyDescent="0.2">
      <c r="A8" s="87" t="s">
        <v>66</v>
      </c>
      <c r="B8" s="62">
        <v>74165</v>
      </c>
      <c r="C8" s="62">
        <v>13180</v>
      </c>
      <c r="D8" s="62">
        <v>21793</v>
      </c>
      <c r="E8" s="62">
        <v>2569</v>
      </c>
      <c r="F8" s="62">
        <v>66051</v>
      </c>
      <c r="G8" s="62">
        <v>20850</v>
      </c>
      <c r="H8" s="62">
        <v>90627</v>
      </c>
      <c r="I8" s="62">
        <v>53434.107999999993</v>
      </c>
      <c r="J8" s="62">
        <f t="shared" si="0"/>
        <v>342669.10800000001</v>
      </c>
    </row>
    <row r="9" spans="1:11" x14ac:dyDescent="0.2">
      <c r="A9" s="87" t="s">
        <v>68</v>
      </c>
      <c r="B9" s="62">
        <v>81810</v>
      </c>
      <c r="C9" s="62">
        <v>15361</v>
      </c>
      <c r="D9" s="62">
        <v>21744</v>
      </c>
      <c r="E9" s="62">
        <v>1645</v>
      </c>
      <c r="F9" s="62">
        <v>59072</v>
      </c>
      <c r="G9" s="62">
        <v>15359</v>
      </c>
      <c r="H9" s="62">
        <v>86742</v>
      </c>
      <c r="I9" s="62">
        <v>54429</v>
      </c>
      <c r="J9" s="62">
        <f t="shared" si="0"/>
        <v>336162</v>
      </c>
    </row>
    <row r="10" spans="1:11" x14ac:dyDescent="0.2">
      <c r="A10" s="245" t="s">
        <v>70</v>
      </c>
      <c r="B10" s="246">
        <f>SUM('Monthly Potable (Overview)'!B38:B49)</f>
        <v>85216</v>
      </c>
      <c r="C10" s="246">
        <f>SUM('Monthly Potable (Overview)'!C38:C49)</f>
        <v>15114</v>
      </c>
      <c r="D10" s="246">
        <f>SUM('Monthly Potable (Overview)'!D38:D49)</f>
        <v>16319</v>
      </c>
      <c r="E10" s="246">
        <f>SUM('Monthly Potable (Overview)'!E38:E49)</f>
        <v>914</v>
      </c>
      <c r="F10" s="246">
        <f>SUM('Monthly Potable (Overview)'!F38:F49)</f>
        <v>87311</v>
      </c>
      <c r="G10" s="246">
        <f>SUM('Monthly Potable (Overview)'!I38:I49)</f>
        <v>10548</v>
      </c>
      <c r="H10" s="246">
        <f>SUM('Monthly Potable (Overview)'!G38:G49)</f>
        <v>85163</v>
      </c>
      <c r="I10" s="246">
        <v>55371.65400000001</v>
      </c>
      <c r="J10" s="246">
        <f t="shared" si="0"/>
        <v>355956.65399999998</v>
      </c>
    </row>
    <row r="11" spans="1:11" x14ac:dyDescent="0.2">
      <c r="A11" s="245" t="s">
        <v>72</v>
      </c>
      <c r="B11" s="246">
        <f>SUM('Monthly Potable (Overview)'!B50:B61)</f>
        <v>145694</v>
      </c>
      <c r="C11" s="246">
        <f>SUM('Monthly Potable (Overview)'!C50:C61)</f>
        <v>16633</v>
      </c>
      <c r="D11" s="246">
        <f>SUM('Monthly Potable (Overview)'!D50:D61)</f>
        <v>21086</v>
      </c>
      <c r="E11" s="246">
        <f>SUM('Monthly Potable (Overview)'!E50:E61)</f>
        <v>843</v>
      </c>
      <c r="F11" s="246">
        <f>SUM('Monthly Potable (Overview)'!F50:F61)</f>
        <v>115671</v>
      </c>
      <c r="G11" s="246">
        <f>SUM('Monthly Potable (Overview)'!I50:I61)</f>
        <v>9005</v>
      </c>
      <c r="H11" s="246">
        <f>SUM('Monthly Potable (Overview)'!G50:G61)</f>
        <v>107598</v>
      </c>
      <c r="I11" s="246">
        <v>53901.665999999997</v>
      </c>
      <c r="J11" s="246">
        <f t="shared" si="0"/>
        <v>470431.66599999997</v>
      </c>
    </row>
    <row r="12" spans="1:11" x14ac:dyDescent="0.2">
      <c r="A12" s="245" t="s">
        <v>74</v>
      </c>
      <c r="B12" s="246">
        <f>SUM('Monthly Potable (Overview)'!B62:B73)</f>
        <v>133507</v>
      </c>
      <c r="C12" s="246">
        <f>SUM('Monthly Potable (Overview)'!C62:C73)</f>
        <v>11706</v>
      </c>
      <c r="D12" s="246">
        <f>SUM('Monthly Potable (Overview)'!D62:D73)</f>
        <v>29197</v>
      </c>
      <c r="E12" s="246">
        <f>SUM('Monthly Potable (Overview)'!E62:E73)</f>
        <v>4976</v>
      </c>
      <c r="F12" s="246">
        <f>SUM('Monthly Potable (Overview)'!F62:F73)</f>
        <v>107801</v>
      </c>
      <c r="G12" s="246">
        <f>SUM('Monthly Potable (Overview)'!I62:I73)</f>
        <v>8563</v>
      </c>
      <c r="H12" s="246">
        <f>SUM('Monthly Potable (Overview)'!G62:G73)</f>
        <v>108541</v>
      </c>
      <c r="I12" s="246">
        <f>SUM('Monthly Potable (Overview)'!H62:H73)</f>
        <v>59195</v>
      </c>
      <c r="J12" s="246">
        <f t="shared" si="0"/>
        <v>463486</v>
      </c>
    </row>
    <row r="13" spans="1:11" x14ac:dyDescent="0.2">
      <c r="A13" s="87" t="s">
        <v>76</v>
      </c>
      <c r="B13" s="62">
        <f>SUM('Monthly Potable (Overview)'!B74:B85)</f>
        <v>166053</v>
      </c>
      <c r="C13" s="62">
        <f>SUM('Monthly Potable (Overview)'!C74:C85)</f>
        <v>15227</v>
      </c>
      <c r="D13" s="62">
        <f>SUM('Monthly Potable (Overview)'!D74:D85)</f>
        <v>14415</v>
      </c>
      <c r="E13" s="62">
        <f>SUM('Monthly Potable (Overview)'!E74:E85)</f>
        <v>1842</v>
      </c>
      <c r="F13" s="62">
        <f>SUM('Monthly Potable (Overview)'!F74:F85)</f>
        <v>101607</v>
      </c>
      <c r="G13" s="62">
        <f>SUM('Monthly Potable (Overview)'!I74:I85)</f>
        <v>8963</v>
      </c>
      <c r="H13" s="62">
        <f>SUM('Monthly Potable (Overview)'!G74:G85)</f>
        <v>119568</v>
      </c>
      <c r="I13" s="62">
        <f>SUM('Monthly Potable (Overview)'!H74:H85)</f>
        <v>56316.826799999995</v>
      </c>
      <c r="J13" s="62">
        <f t="shared" si="0"/>
        <v>483991.82679999998</v>
      </c>
      <c r="K13" s="151"/>
    </row>
    <row r="14" spans="1:11" x14ac:dyDescent="0.2">
      <c r="B14" s="139">
        <f>B13/$J$13</f>
        <v>0.34309050443659272</v>
      </c>
      <c r="C14" s="139">
        <f t="shared" ref="C14:I14" si="1">C13/$J$13</f>
        <v>3.1461275081184903E-2</v>
      </c>
      <c r="D14" s="139">
        <f t="shared" si="1"/>
        <v>2.9783560799584975E-2</v>
      </c>
      <c r="E14" s="139">
        <f t="shared" si="1"/>
        <v>3.8058493924963944E-3</v>
      </c>
      <c r="F14" s="139">
        <f t="shared" si="1"/>
        <v>0.20993536331345339</v>
      </c>
      <c r="G14" s="139">
        <f t="shared" si="1"/>
        <v>1.8518907765985439E-2</v>
      </c>
      <c r="H14" s="139">
        <f t="shared" si="1"/>
        <v>0.24704549411618287</v>
      </c>
      <c r="I14" s="139">
        <f t="shared" si="1"/>
        <v>0.11635904509451934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C0EF-9FB8-4B9D-8F5F-9307D68FB307}">
  <dimension ref="A1:Z108"/>
  <sheetViews>
    <sheetView topLeftCell="A82" workbookViewId="0">
      <selection activeCell="Z106" sqref="Z106"/>
    </sheetView>
  </sheetViews>
  <sheetFormatPr baseColWidth="10" defaultColWidth="13.33203125" defaultRowHeight="16" x14ac:dyDescent="0.2"/>
  <cols>
    <col min="1" max="1" width="15.83203125" style="18" customWidth="1"/>
    <col min="2" max="3" width="11.6640625" style="55" customWidth="1"/>
    <col min="4" max="5" width="13.33203125" style="55" customWidth="1"/>
    <col min="6" max="24" width="10.6640625" style="55" hidden="1" customWidth="1"/>
    <col min="25" max="25" width="77.33203125" style="55" hidden="1" customWidth="1"/>
    <col min="26" max="16384" width="13.33203125" style="55"/>
  </cols>
  <sheetData>
    <row r="1" spans="1:26" ht="17" x14ac:dyDescent="0.2">
      <c r="A1" s="181" t="s">
        <v>427</v>
      </c>
    </row>
    <row r="2" spans="1:26" ht="17" x14ac:dyDescent="0.2">
      <c r="A2" s="18" t="s">
        <v>428</v>
      </c>
      <c r="B2" s="55">
        <v>1</v>
      </c>
      <c r="C2" s="55">
        <v>2</v>
      </c>
      <c r="D2" s="55">
        <v>3</v>
      </c>
      <c r="E2" s="55">
        <v>4</v>
      </c>
      <c r="F2" s="55">
        <v>5</v>
      </c>
      <c r="G2" s="55">
        <v>6</v>
      </c>
      <c r="H2" s="55">
        <v>7</v>
      </c>
      <c r="I2" s="55">
        <v>8</v>
      </c>
      <c r="J2" s="55">
        <v>9</v>
      </c>
      <c r="K2" s="55">
        <v>10</v>
      </c>
      <c r="L2" s="55">
        <v>11</v>
      </c>
      <c r="M2" s="55">
        <v>12</v>
      </c>
      <c r="N2" s="55">
        <v>13</v>
      </c>
      <c r="O2" s="55">
        <v>14</v>
      </c>
      <c r="P2" s="55">
        <v>15</v>
      </c>
      <c r="Q2" s="55">
        <v>16</v>
      </c>
      <c r="R2" s="55">
        <v>17</v>
      </c>
      <c r="S2" s="55">
        <v>18</v>
      </c>
      <c r="T2" s="55">
        <v>19</v>
      </c>
      <c r="U2" s="55">
        <v>20</v>
      </c>
      <c r="V2" s="55">
        <v>21</v>
      </c>
      <c r="W2" s="55">
        <v>22</v>
      </c>
      <c r="X2" s="55">
        <v>23</v>
      </c>
      <c r="Y2" s="55">
        <v>24</v>
      </c>
    </row>
    <row r="3" spans="1:26" s="18" customFormat="1" ht="34" x14ac:dyDescent="0.2">
      <c r="A3" s="18" t="s">
        <v>429</v>
      </c>
      <c r="B3" s="12" t="s">
        <v>430</v>
      </c>
      <c r="C3" s="12" t="s">
        <v>431</v>
      </c>
      <c r="D3" s="12" t="s">
        <v>432</v>
      </c>
      <c r="E3" s="12" t="s">
        <v>433</v>
      </c>
      <c r="F3" s="12" t="s">
        <v>434</v>
      </c>
      <c r="G3" s="12" t="s">
        <v>435</v>
      </c>
      <c r="H3" s="12" t="s">
        <v>436</v>
      </c>
      <c r="I3" s="12" t="s">
        <v>437</v>
      </c>
      <c r="J3" s="12" t="s">
        <v>438</v>
      </c>
      <c r="K3" s="12" t="s">
        <v>439</v>
      </c>
      <c r="L3" s="12" t="s">
        <v>440</v>
      </c>
      <c r="M3" s="12" t="s">
        <v>441</v>
      </c>
      <c r="N3" s="12" t="s">
        <v>442</v>
      </c>
      <c r="O3" s="12" t="s">
        <v>443</v>
      </c>
      <c r="P3" s="12" t="s">
        <v>444</v>
      </c>
      <c r="Q3" s="12" t="s">
        <v>445</v>
      </c>
      <c r="R3" s="12" t="s">
        <v>446</v>
      </c>
      <c r="S3" s="12" t="s">
        <v>447</v>
      </c>
      <c r="T3" s="12" t="s">
        <v>448</v>
      </c>
      <c r="U3" s="12" t="s">
        <v>449</v>
      </c>
      <c r="V3" s="12" t="s">
        <v>450</v>
      </c>
      <c r="W3" s="12" t="s">
        <v>451</v>
      </c>
      <c r="X3" s="12" t="s">
        <v>452</v>
      </c>
      <c r="Y3" s="12" t="s">
        <v>453</v>
      </c>
    </row>
    <row r="4" spans="1:26" s="18" customFormat="1" ht="34" x14ac:dyDescent="0.2">
      <c r="A4" s="18" t="s">
        <v>454</v>
      </c>
      <c r="B4" s="674" t="s">
        <v>455</v>
      </c>
      <c r="C4" s="674"/>
      <c r="D4" s="674" t="s">
        <v>456</v>
      </c>
      <c r="E4" s="674"/>
      <c r="F4" s="674" t="s">
        <v>457</v>
      </c>
      <c r="G4" s="674"/>
      <c r="H4" s="674" t="s">
        <v>458</v>
      </c>
      <c r="I4" s="674"/>
      <c r="J4" s="674" t="s">
        <v>459</v>
      </c>
      <c r="K4" s="674"/>
      <c r="L4" s="674" t="s">
        <v>460</v>
      </c>
      <c r="M4" s="674"/>
      <c r="N4" s="674" t="s">
        <v>461</v>
      </c>
      <c r="O4" s="674"/>
      <c r="P4" s="674" t="s">
        <v>462</v>
      </c>
      <c r="Q4" s="674"/>
      <c r="R4" s="674" t="s">
        <v>463</v>
      </c>
      <c r="S4" s="674"/>
      <c r="T4" s="674" t="s">
        <v>464</v>
      </c>
      <c r="U4" s="674"/>
      <c r="V4" s="674"/>
      <c r="W4" s="674" t="s">
        <v>465</v>
      </c>
      <c r="X4" s="674"/>
      <c r="Y4" s="12" t="s">
        <v>453</v>
      </c>
      <c r="Z4" s="18" t="s">
        <v>466</v>
      </c>
    </row>
    <row r="5" spans="1:26" x14ac:dyDescent="0.2">
      <c r="A5" s="179">
        <v>44378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9"/>
      <c r="U5" s="9"/>
      <c r="V5" s="9"/>
      <c r="W5" s="9"/>
      <c r="X5" s="9"/>
      <c r="Y5" s="9"/>
      <c r="Z5" s="56">
        <f>SUM(B5:X5)</f>
        <v>0</v>
      </c>
    </row>
    <row r="6" spans="1:26" x14ac:dyDescent="0.2">
      <c r="A6" s="179">
        <v>44409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9"/>
      <c r="U6" s="9"/>
      <c r="V6" s="9"/>
      <c r="W6" s="9"/>
      <c r="X6" s="9"/>
      <c r="Y6" s="9"/>
      <c r="Z6" s="56">
        <f t="shared" ref="Z6:Z16" si="0">SUM(B6:X6)</f>
        <v>0</v>
      </c>
    </row>
    <row r="7" spans="1:26" x14ac:dyDescent="0.2">
      <c r="A7" s="179">
        <v>44440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9"/>
      <c r="U7" s="9"/>
      <c r="V7" s="9"/>
      <c r="W7" s="9"/>
      <c r="X7" s="9"/>
      <c r="Y7" s="9"/>
      <c r="Z7" s="56">
        <f t="shared" si="0"/>
        <v>0</v>
      </c>
    </row>
    <row r="8" spans="1:26" x14ac:dyDescent="0.2">
      <c r="A8" s="179">
        <v>44470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9"/>
      <c r="U8" s="9"/>
      <c r="V8" s="9"/>
      <c r="W8" s="9"/>
      <c r="X8" s="9"/>
      <c r="Y8" s="9"/>
      <c r="Z8" s="56">
        <f t="shared" si="0"/>
        <v>0</v>
      </c>
    </row>
    <row r="9" spans="1:26" x14ac:dyDescent="0.2">
      <c r="A9" s="179">
        <v>44501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9"/>
      <c r="U9" s="9"/>
      <c r="V9" s="9"/>
      <c r="W9" s="9"/>
      <c r="X9" s="9"/>
      <c r="Y9" s="9"/>
      <c r="Z9" s="56">
        <f t="shared" si="0"/>
        <v>0</v>
      </c>
    </row>
    <row r="10" spans="1:26" x14ac:dyDescent="0.2">
      <c r="A10" s="179">
        <v>44531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9"/>
      <c r="U10" s="9"/>
      <c r="V10" s="9"/>
      <c r="W10" s="9"/>
      <c r="X10" s="9"/>
      <c r="Y10" s="9"/>
      <c r="Z10" s="56">
        <f t="shared" si="0"/>
        <v>0</v>
      </c>
    </row>
    <row r="11" spans="1:26" x14ac:dyDescent="0.2">
      <c r="A11" s="179">
        <v>44562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9"/>
      <c r="U11" s="9"/>
      <c r="V11" s="9"/>
      <c r="W11" s="9"/>
      <c r="X11" s="9"/>
      <c r="Y11" s="9"/>
      <c r="Z11" s="56">
        <f t="shared" si="0"/>
        <v>0</v>
      </c>
    </row>
    <row r="12" spans="1:26" x14ac:dyDescent="0.2">
      <c r="A12" s="179">
        <v>44593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9"/>
      <c r="U12" s="9"/>
      <c r="V12" s="9"/>
      <c r="W12" s="9"/>
      <c r="X12" s="9"/>
      <c r="Y12" s="9"/>
      <c r="Z12" s="56">
        <f t="shared" si="0"/>
        <v>0</v>
      </c>
    </row>
    <row r="13" spans="1:26" x14ac:dyDescent="0.2">
      <c r="A13" s="179">
        <v>44621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9"/>
      <c r="U13" s="9"/>
      <c r="V13" s="9"/>
      <c r="W13" s="9"/>
      <c r="X13" s="9"/>
      <c r="Y13" s="9"/>
      <c r="Z13" s="56">
        <f t="shared" si="0"/>
        <v>0</v>
      </c>
    </row>
    <row r="14" spans="1:26" x14ac:dyDescent="0.2">
      <c r="A14" s="179">
        <v>44652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9"/>
      <c r="U14" s="9"/>
      <c r="V14" s="9"/>
      <c r="W14" s="9"/>
      <c r="X14" s="9"/>
      <c r="Y14" s="9"/>
      <c r="Z14" s="56">
        <f t="shared" si="0"/>
        <v>0</v>
      </c>
    </row>
    <row r="15" spans="1:26" x14ac:dyDescent="0.2">
      <c r="A15" s="179">
        <v>44682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9"/>
      <c r="U15" s="9"/>
      <c r="V15" s="9"/>
      <c r="W15" s="9"/>
      <c r="X15" s="9"/>
      <c r="Y15" s="9"/>
      <c r="Z15" s="56">
        <f t="shared" si="0"/>
        <v>0</v>
      </c>
    </row>
    <row r="16" spans="1:26" x14ac:dyDescent="0.2">
      <c r="A16" s="179">
        <v>44713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9"/>
      <c r="U16" s="9"/>
      <c r="V16" s="9"/>
      <c r="W16" s="9"/>
      <c r="X16" s="9"/>
      <c r="Y16" s="9"/>
      <c r="Z16" s="56">
        <f t="shared" si="0"/>
        <v>0</v>
      </c>
    </row>
    <row r="17" spans="1:26" ht="34" x14ac:dyDescent="0.2">
      <c r="A17" s="18" t="s">
        <v>467</v>
      </c>
      <c r="B17" s="56">
        <f>SUM(B5:B16)</f>
        <v>0</v>
      </c>
      <c r="C17" s="56">
        <f>SUM(C5:C16)</f>
        <v>0</v>
      </c>
      <c r="D17" s="56">
        <f t="shared" ref="D17:K17" si="1">SUM(D5:D16)</f>
        <v>0</v>
      </c>
      <c r="E17" s="56">
        <f t="shared" si="1"/>
        <v>0</v>
      </c>
      <c r="F17" s="56">
        <f t="shared" si="1"/>
        <v>0</v>
      </c>
      <c r="G17" s="56">
        <f t="shared" si="1"/>
        <v>0</v>
      </c>
      <c r="H17" s="56">
        <f t="shared" si="1"/>
        <v>0</v>
      </c>
      <c r="I17" s="56">
        <f t="shared" si="1"/>
        <v>0</v>
      </c>
      <c r="J17" s="56">
        <f t="shared" si="1"/>
        <v>0</v>
      </c>
      <c r="K17" s="56">
        <f t="shared" si="1"/>
        <v>0</v>
      </c>
      <c r="L17" s="56">
        <f t="shared" ref="L17" si="2">SUM(L5:L16)</f>
        <v>0</v>
      </c>
      <c r="M17" s="56">
        <f t="shared" ref="M17" si="3">SUM(M5:M16)</f>
        <v>0</v>
      </c>
      <c r="N17" s="56">
        <f t="shared" ref="N17" si="4">SUM(N5:N16)</f>
        <v>0</v>
      </c>
      <c r="O17" s="56">
        <f t="shared" ref="O17" si="5">SUM(O5:O16)</f>
        <v>0</v>
      </c>
      <c r="P17" s="56">
        <f t="shared" ref="P17" si="6">SUM(P5:P16)</f>
        <v>0</v>
      </c>
      <c r="Q17" s="56">
        <f t="shared" ref="Q17" si="7">SUM(Q5:Q16)</f>
        <v>0</v>
      </c>
      <c r="R17" s="56">
        <f t="shared" ref="R17:S17" si="8">SUM(R5:R16)</f>
        <v>0</v>
      </c>
      <c r="S17" s="56">
        <f t="shared" si="8"/>
        <v>0</v>
      </c>
      <c r="T17" s="56">
        <f>SUM(T5:T16)</f>
        <v>0</v>
      </c>
      <c r="U17" s="56">
        <f t="shared" ref="U17" si="9">SUM(U5:U16)</f>
        <v>0</v>
      </c>
      <c r="V17" s="56">
        <f t="shared" ref="V17" si="10">SUM(V5:V16)</f>
        <v>0</v>
      </c>
      <c r="W17" s="56">
        <f t="shared" ref="W17" si="11">SUM(W5:W16)</f>
        <v>0</v>
      </c>
      <c r="X17" s="56">
        <f t="shared" ref="X17" si="12">SUM(X5:X16)</f>
        <v>0</v>
      </c>
      <c r="Y17" s="56">
        <f t="shared" ref="Y17" si="13">SUM(Y5:Y16)</f>
        <v>0</v>
      </c>
      <c r="Z17" s="56"/>
    </row>
    <row r="18" spans="1:26" ht="34" x14ac:dyDescent="0.2">
      <c r="A18" s="18" t="s">
        <v>468</v>
      </c>
      <c r="B18" s="675">
        <f>SUM(B5:C16)</f>
        <v>0</v>
      </c>
      <c r="C18" s="675"/>
      <c r="D18" s="675">
        <f>SUM(D5:E16)</f>
        <v>0</v>
      </c>
      <c r="E18" s="675"/>
      <c r="F18" s="675">
        <f>SUM(F5:G16)</f>
        <v>0</v>
      </c>
      <c r="G18" s="675"/>
      <c r="H18" s="675">
        <f>SUM(H5:I16)</f>
        <v>0</v>
      </c>
      <c r="I18" s="675"/>
      <c r="J18" s="675">
        <f>SUM(J5:K16)</f>
        <v>0</v>
      </c>
      <c r="K18" s="675"/>
      <c r="L18" s="675">
        <f>SUM(L5:M16)</f>
        <v>0</v>
      </c>
      <c r="M18" s="675"/>
      <c r="N18" s="675">
        <f>SUM(N5:O16)</f>
        <v>0</v>
      </c>
      <c r="O18" s="675"/>
      <c r="P18" s="675">
        <f>SUM(P5:Q16)</f>
        <v>0</v>
      </c>
      <c r="Q18" s="675"/>
      <c r="R18" s="675">
        <f>SUM(R5:S16)</f>
        <v>0</v>
      </c>
      <c r="S18" s="675"/>
      <c r="T18" s="675">
        <f>SUM(T5:V16)</f>
        <v>0</v>
      </c>
      <c r="U18" s="675"/>
      <c r="V18" s="675"/>
      <c r="W18" s="675">
        <f>SUM(W5:X16)</f>
        <v>0</v>
      </c>
      <c r="X18" s="675"/>
      <c r="Y18" s="56">
        <f>SUM(Y5:Y16)</f>
        <v>0</v>
      </c>
      <c r="Z18" s="56"/>
    </row>
    <row r="19" spans="1:26" x14ac:dyDescent="0.2"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7" x14ac:dyDescent="0.2">
      <c r="A20" s="18" t="s">
        <v>469</v>
      </c>
      <c r="B20" s="178">
        <f>SUM(B17:Y17)</f>
        <v>0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x14ac:dyDescent="0.2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3" spans="1:26" ht="17" x14ac:dyDescent="0.2">
      <c r="A23" s="181" t="s">
        <v>169</v>
      </c>
    </row>
    <row r="24" spans="1:26" ht="17" x14ac:dyDescent="0.2">
      <c r="A24" s="18" t="s">
        <v>428</v>
      </c>
      <c r="B24" s="55">
        <v>1</v>
      </c>
      <c r="C24" s="55">
        <v>2</v>
      </c>
      <c r="D24" s="55">
        <v>3</v>
      </c>
      <c r="E24" s="55">
        <v>4</v>
      </c>
      <c r="F24" s="55">
        <v>5</v>
      </c>
      <c r="G24" s="55">
        <v>6</v>
      </c>
      <c r="H24" s="55">
        <v>7</v>
      </c>
      <c r="I24" s="55">
        <v>8</v>
      </c>
      <c r="J24" s="55">
        <v>9</v>
      </c>
      <c r="K24" s="55">
        <v>10</v>
      </c>
      <c r="L24" s="55">
        <v>11</v>
      </c>
      <c r="M24" s="55">
        <v>12</v>
      </c>
      <c r="N24" s="55">
        <v>13</v>
      </c>
      <c r="O24" s="55">
        <v>14</v>
      </c>
      <c r="P24" s="55">
        <v>15</v>
      </c>
      <c r="Q24" s="55">
        <v>16</v>
      </c>
      <c r="R24" s="55">
        <v>17</v>
      </c>
      <c r="S24" s="55">
        <v>18</v>
      </c>
      <c r="T24" s="55">
        <v>19</v>
      </c>
      <c r="U24" s="55">
        <v>20</v>
      </c>
      <c r="V24" s="55">
        <v>21</v>
      </c>
      <c r="W24" s="55">
        <v>22</v>
      </c>
      <c r="X24" s="55">
        <v>23</v>
      </c>
      <c r="Y24" s="55">
        <v>24</v>
      </c>
    </row>
    <row r="25" spans="1:26" ht="34" x14ac:dyDescent="0.2">
      <c r="A25" s="18" t="s">
        <v>429</v>
      </c>
      <c r="B25" s="12" t="s">
        <v>430</v>
      </c>
      <c r="C25" s="12" t="s">
        <v>431</v>
      </c>
      <c r="D25" s="12" t="s">
        <v>432</v>
      </c>
      <c r="E25" s="12" t="s">
        <v>433</v>
      </c>
      <c r="F25" s="12" t="s">
        <v>434</v>
      </c>
      <c r="G25" s="12" t="s">
        <v>435</v>
      </c>
      <c r="H25" s="12" t="s">
        <v>436</v>
      </c>
      <c r="I25" s="12" t="s">
        <v>437</v>
      </c>
      <c r="J25" s="12" t="s">
        <v>438</v>
      </c>
      <c r="K25" s="12" t="s">
        <v>439</v>
      </c>
      <c r="L25" s="12" t="s">
        <v>440</v>
      </c>
      <c r="M25" s="12" t="s">
        <v>441</v>
      </c>
      <c r="N25" s="12" t="s">
        <v>442</v>
      </c>
      <c r="O25" s="12" t="s">
        <v>443</v>
      </c>
      <c r="P25" s="12" t="s">
        <v>444</v>
      </c>
      <c r="Q25" s="12" t="s">
        <v>445</v>
      </c>
      <c r="R25" s="12" t="s">
        <v>446</v>
      </c>
      <c r="S25" s="12" t="s">
        <v>447</v>
      </c>
      <c r="T25" s="12" t="s">
        <v>448</v>
      </c>
      <c r="U25" s="12" t="s">
        <v>449</v>
      </c>
      <c r="V25" s="12" t="s">
        <v>450</v>
      </c>
      <c r="W25" s="12" t="s">
        <v>451</v>
      </c>
      <c r="X25" s="12" t="s">
        <v>452</v>
      </c>
      <c r="Y25" s="12" t="s">
        <v>453</v>
      </c>
      <c r="Z25" s="18"/>
    </row>
    <row r="26" spans="1:26" ht="34.25" customHeight="1" x14ac:dyDescent="0.2">
      <c r="A26" s="18" t="s">
        <v>454</v>
      </c>
      <c r="B26" s="674" t="s">
        <v>455</v>
      </c>
      <c r="C26" s="674"/>
      <c r="D26" s="674" t="s">
        <v>456</v>
      </c>
      <c r="E26" s="674"/>
      <c r="F26" s="674" t="s">
        <v>457</v>
      </c>
      <c r="G26" s="674"/>
      <c r="H26" s="674" t="s">
        <v>458</v>
      </c>
      <c r="I26" s="674"/>
      <c r="J26" s="674" t="s">
        <v>459</v>
      </c>
      <c r="K26" s="674"/>
      <c r="L26" s="674" t="s">
        <v>460</v>
      </c>
      <c r="M26" s="674"/>
      <c r="N26" s="674" t="s">
        <v>461</v>
      </c>
      <c r="O26" s="674"/>
      <c r="P26" s="674" t="s">
        <v>462</v>
      </c>
      <c r="Q26" s="674"/>
      <c r="R26" s="674" t="s">
        <v>463</v>
      </c>
      <c r="S26" s="674"/>
      <c r="T26" s="674" t="s">
        <v>464</v>
      </c>
      <c r="U26" s="674"/>
      <c r="V26" s="674"/>
      <c r="W26" s="674" t="s">
        <v>465</v>
      </c>
      <c r="X26" s="674"/>
      <c r="Y26" s="12" t="s">
        <v>453</v>
      </c>
      <c r="Z26" s="18" t="s">
        <v>466</v>
      </c>
    </row>
    <row r="27" spans="1:26" x14ac:dyDescent="0.2">
      <c r="A27" s="179">
        <v>44743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Z27" s="56"/>
    </row>
    <row r="28" spans="1:26" x14ac:dyDescent="0.2">
      <c r="A28" s="179">
        <v>44774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9"/>
      <c r="U28" s="9"/>
      <c r="V28" s="9"/>
      <c r="W28" s="9"/>
      <c r="X28" s="9"/>
      <c r="Z28" s="56"/>
    </row>
    <row r="29" spans="1:26" x14ac:dyDescent="0.2">
      <c r="A29" s="179">
        <v>44805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9"/>
      <c r="U29" s="9"/>
      <c r="V29" s="9"/>
      <c r="W29" s="9"/>
      <c r="X29" s="9"/>
      <c r="Y29" s="9"/>
      <c r="Z29" s="56"/>
    </row>
    <row r="30" spans="1:26" x14ac:dyDescent="0.2">
      <c r="A30" s="179">
        <v>44835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56"/>
      <c r="R30" s="56"/>
      <c r="S30" s="56"/>
      <c r="T30" s="9"/>
      <c r="U30" s="9"/>
      <c r="V30" s="9"/>
      <c r="W30" s="9"/>
      <c r="X30" s="9"/>
      <c r="Y30" s="9"/>
      <c r="Z30" s="56"/>
    </row>
    <row r="31" spans="1:26" x14ac:dyDescent="0.2">
      <c r="A31" s="179">
        <v>44866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Q31" s="56"/>
      <c r="R31" s="56"/>
      <c r="S31" s="56"/>
      <c r="T31" s="9"/>
      <c r="U31" s="9"/>
      <c r="V31" s="9"/>
      <c r="W31" s="9"/>
      <c r="X31" s="9"/>
      <c r="Y31" s="9"/>
      <c r="Z31" s="56"/>
    </row>
    <row r="32" spans="1:26" x14ac:dyDescent="0.2">
      <c r="A32" s="179">
        <v>44896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Q32" s="56"/>
      <c r="R32" s="56"/>
      <c r="S32" s="56"/>
      <c r="T32" s="9"/>
      <c r="U32" s="9"/>
      <c r="V32" s="9"/>
      <c r="W32" s="9"/>
      <c r="X32" s="9"/>
      <c r="Y32" s="9"/>
      <c r="Z32" s="56"/>
    </row>
    <row r="33" spans="1:26" x14ac:dyDescent="0.2">
      <c r="A33" s="179">
        <v>44927</v>
      </c>
      <c r="B33" s="56">
        <v>6048</v>
      </c>
      <c r="C33" s="56">
        <v>6156</v>
      </c>
      <c r="D33" s="56">
        <v>5719</v>
      </c>
      <c r="E33" s="56">
        <v>5848</v>
      </c>
      <c r="F33" s="56">
        <v>2722</v>
      </c>
      <c r="G33" s="56">
        <v>1728</v>
      </c>
      <c r="H33" s="56">
        <v>1210</v>
      </c>
      <c r="I33" s="56">
        <v>1312</v>
      </c>
      <c r="J33" s="56">
        <v>972</v>
      </c>
      <c r="K33" s="56">
        <v>243</v>
      </c>
      <c r="L33" s="56">
        <v>396</v>
      </c>
      <c r="M33" s="56">
        <v>288</v>
      </c>
      <c r="N33" s="56">
        <v>1888</v>
      </c>
      <c r="O33" s="56">
        <v>1869</v>
      </c>
      <c r="P33" s="56">
        <v>0</v>
      </c>
      <c r="Q33" s="56">
        <v>0</v>
      </c>
      <c r="R33" s="56">
        <v>0</v>
      </c>
      <c r="S33" s="56">
        <v>0</v>
      </c>
      <c r="T33" s="9">
        <v>504</v>
      </c>
      <c r="U33" s="9">
        <v>360</v>
      </c>
      <c r="V33" s="9">
        <v>0</v>
      </c>
      <c r="W33" s="9">
        <v>432</v>
      </c>
      <c r="X33" s="9">
        <v>738</v>
      </c>
      <c r="Y33" s="9">
        <v>610884</v>
      </c>
      <c r="Z33" s="56">
        <f>SUM(B33:E33)</f>
        <v>23771</v>
      </c>
    </row>
    <row r="34" spans="1:26" x14ac:dyDescent="0.2">
      <c r="A34" s="179">
        <v>44958</v>
      </c>
      <c r="B34" s="56">
        <v>7452</v>
      </c>
      <c r="C34" s="56">
        <v>7668</v>
      </c>
      <c r="D34" s="56">
        <v>5200</v>
      </c>
      <c r="E34" s="56">
        <v>5233</v>
      </c>
      <c r="F34" s="56">
        <v>2549</v>
      </c>
      <c r="G34" s="56">
        <v>2419</v>
      </c>
      <c r="H34" s="56">
        <v>1066</v>
      </c>
      <c r="I34" s="56">
        <v>1128</v>
      </c>
      <c r="J34" s="56">
        <v>486</v>
      </c>
      <c r="K34" s="56">
        <v>470</v>
      </c>
      <c r="L34" s="56">
        <v>666</v>
      </c>
      <c r="M34" s="56">
        <v>468</v>
      </c>
      <c r="N34" s="56">
        <v>1790</v>
      </c>
      <c r="O34" s="56">
        <v>1465</v>
      </c>
      <c r="P34" s="56">
        <v>0</v>
      </c>
      <c r="Q34" s="56">
        <v>0</v>
      </c>
      <c r="R34" s="56">
        <v>0</v>
      </c>
      <c r="S34" s="56">
        <v>0</v>
      </c>
      <c r="T34" s="9">
        <v>684</v>
      </c>
      <c r="U34" s="9">
        <v>468</v>
      </c>
      <c r="V34" s="9">
        <v>0</v>
      </c>
      <c r="W34" s="9">
        <v>450</v>
      </c>
      <c r="X34" s="9">
        <v>801</v>
      </c>
      <c r="Y34" s="9">
        <v>572942</v>
      </c>
      <c r="Z34" s="56">
        <f t="shared" ref="Z34:Z38" si="14">SUM(B34:E34)</f>
        <v>25553</v>
      </c>
    </row>
    <row r="35" spans="1:26" x14ac:dyDescent="0.2">
      <c r="A35" s="179">
        <v>44986</v>
      </c>
      <c r="B35" s="56">
        <v>13500</v>
      </c>
      <c r="C35" s="56">
        <v>5400</v>
      </c>
      <c r="D35" s="56">
        <v>5686</v>
      </c>
      <c r="E35" s="56">
        <v>5816</v>
      </c>
      <c r="F35" s="56">
        <v>2894</v>
      </c>
      <c r="G35" s="56">
        <v>2678</v>
      </c>
      <c r="H35" s="56">
        <v>1005</v>
      </c>
      <c r="I35" s="56">
        <v>1107</v>
      </c>
      <c r="J35" s="56">
        <v>502</v>
      </c>
      <c r="K35" s="56">
        <v>502</v>
      </c>
      <c r="L35" s="56">
        <v>918</v>
      </c>
      <c r="M35" s="56">
        <v>702</v>
      </c>
      <c r="N35" s="56">
        <v>2130</v>
      </c>
      <c r="O35" s="56">
        <v>1204</v>
      </c>
      <c r="P35" s="56">
        <v>0</v>
      </c>
      <c r="Q35" s="56">
        <v>0</v>
      </c>
      <c r="R35" s="56">
        <v>0</v>
      </c>
      <c r="S35" s="56">
        <v>0</v>
      </c>
      <c r="T35" s="9">
        <v>648</v>
      </c>
      <c r="U35" s="9">
        <v>396</v>
      </c>
      <c r="V35" s="9">
        <v>0</v>
      </c>
      <c r="W35" s="9">
        <v>459</v>
      </c>
      <c r="X35" s="9">
        <v>792</v>
      </c>
      <c r="Y35" s="9">
        <v>637727</v>
      </c>
      <c r="Z35" s="56">
        <f t="shared" si="14"/>
        <v>30402</v>
      </c>
    </row>
    <row r="36" spans="1:26" x14ac:dyDescent="0.2">
      <c r="A36" s="179">
        <v>45017</v>
      </c>
      <c r="B36" s="56">
        <v>11340</v>
      </c>
      <c r="C36" s="56">
        <v>11988</v>
      </c>
      <c r="D36" s="56">
        <v>5589</v>
      </c>
      <c r="E36" s="56">
        <v>5589</v>
      </c>
      <c r="F36" s="56">
        <v>4968</v>
      </c>
      <c r="G36" s="56">
        <v>2635</v>
      </c>
      <c r="H36" s="56">
        <v>1046</v>
      </c>
      <c r="I36" s="56">
        <v>1271</v>
      </c>
      <c r="J36" s="56">
        <v>648</v>
      </c>
      <c r="K36" s="56">
        <v>632</v>
      </c>
      <c r="L36" s="56">
        <v>738</v>
      </c>
      <c r="M36" s="56">
        <v>558</v>
      </c>
      <c r="N36" s="56">
        <v>2678</v>
      </c>
      <c r="O36" s="56">
        <v>2943</v>
      </c>
      <c r="P36" s="56">
        <v>0</v>
      </c>
      <c r="Q36" s="56">
        <v>0</v>
      </c>
      <c r="R36" s="56">
        <v>0</v>
      </c>
      <c r="S36" s="56">
        <v>0</v>
      </c>
      <c r="T36" s="9">
        <v>756</v>
      </c>
      <c r="U36" s="9">
        <v>468</v>
      </c>
      <c r="V36" s="9">
        <v>0</v>
      </c>
      <c r="W36" s="9">
        <v>477</v>
      </c>
      <c r="X36" s="9">
        <v>783</v>
      </c>
      <c r="Y36" s="9">
        <v>659082</v>
      </c>
      <c r="Z36" s="56">
        <f t="shared" si="14"/>
        <v>34506</v>
      </c>
    </row>
    <row r="37" spans="1:26" x14ac:dyDescent="0.2">
      <c r="A37" s="179">
        <v>45047</v>
      </c>
      <c r="B37" s="56">
        <v>17604</v>
      </c>
      <c r="C37" s="56">
        <v>16632</v>
      </c>
      <c r="D37" s="56">
        <v>5719</v>
      </c>
      <c r="E37" s="56">
        <v>5783</v>
      </c>
      <c r="F37" s="56">
        <v>346</v>
      </c>
      <c r="G37" s="56">
        <v>2333</v>
      </c>
      <c r="H37" s="56">
        <v>1189</v>
      </c>
      <c r="I37" s="56">
        <v>1066</v>
      </c>
      <c r="J37" s="56">
        <v>648</v>
      </c>
      <c r="K37" s="56">
        <v>632</v>
      </c>
      <c r="L37" s="56">
        <v>630</v>
      </c>
      <c r="M37" s="56">
        <v>486</v>
      </c>
      <c r="N37" s="56">
        <v>3181</v>
      </c>
      <c r="O37" s="56">
        <v>3176</v>
      </c>
      <c r="P37" s="56">
        <v>0</v>
      </c>
      <c r="Q37" s="56">
        <v>0</v>
      </c>
      <c r="R37" s="56">
        <v>0</v>
      </c>
      <c r="S37" s="56">
        <v>0</v>
      </c>
      <c r="T37" s="9">
        <v>792</v>
      </c>
      <c r="U37" s="9">
        <v>468</v>
      </c>
      <c r="V37" s="9">
        <v>0</v>
      </c>
      <c r="W37" s="9">
        <v>513</v>
      </c>
      <c r="X37" s="9">
        <v>918</v>
      </c>
      <c r="Y37" s="9">
        <v>833919</v>
      </c>
      <c r="Z37" s="56">
        <f t="shared" si="14"/>
        <v>45738</v>
      </c>
    </row>
    <row r="38" spans="1:26" x14ac:dyDescent="0.2">
      <c r="A38" s="179">
        <v>45078</v>
      </c>
      <c r="B38" s="56">
        <v>14580</v>
      </c>
      <c r="C38" s="56">
        <v>15768</v>
      </c>
      <c r="D38" s="56">
        <v>5573</v>
      </c>
      <c r="E38" s="56">
        <v>5589</v>
      </c>
      <c r="F38" s="56">
        <v>1944</v>
      </c>
      <c r="G38" s="56">
        <v>1858</v>
      </c>
      <c r="H38" s="56">
        <v>984</v>
      </c>
      <c r="I38" s="56">
        <v>1046</v>
      </c>
      <c r="J38" s="56">
        <v>583</v>
      </c>
      <c r="K38" s="56">
        <v>583</v>
      </c>
      <c r="L38" s="56">
        <v>342</v>
      </c>
      <c r="M38" s="56">
        <v>270</v>
      </c>
      <c r="N38" s="56">
        <v>3264</v>
      </c>
      <c r="O38" s="56">
        <v>3246</v>
      </c>
      <c r="P38" s="56">
        <v>0</v>
      </c>
      <c r="Q38" s="56">
        <v>0</v>
      </c>
      <c r="R38" s="56">
        <v>0</v>
      </c>
      <c r="S38" s="56">
        <v>0</v>
      </c>
      <c r="T38" s="9">
        <v>720</v>
      </c>
      <c r="U38" s="9">
        <v>360</v>
      </c>
      <c r="V38" s="9">
        <v>0</v>
      </c>
      <c r="W38" s="9">
        <v>396</v>
      </c>
      <c r="X38" s="9">
        <v>648</v>
      </c>
      <c r="Y38" s="9">
        <v>1055397</v>
      </c>
      <c r="Z38" s="56">
        <f t="shared" si="14"/>
        <v>41510</v>
      </c>
    </row>
    <row r="39" spans="1:26" ht="34" x14ac:dyDescent="0.2">
      <c r="A39" s="18" t="s">
        <v>467</v>
      </c>
      <c r="B39" s="56">
        <f>SUM(B27:B38)</f>
        <v>70524</v>
      </c>
      <c r="C39" s="56">
        <f>SUM(C27:C38)</f>
        <v>63612</v>
      </c>
      <c r="D39" s="56">
        <f t="shared" ref="D39" si="15">SUM(D27:D38)</f>
        <v>33486</v>
      </c>
      <c r="E39" s="56">
        <f t="shared" ref="E39" si="16">SUM(E27:E38)</f>
        <v>33858</v>
      </c>
      <c r="F39" s="56">
        <f>SUM(F27:F38)</f>
        <v>15423</v>
      </c>
      <c r="G39" s="56">
        <f t="shared" ref="G39" si="17">SUM(G27:G38)</f>
        <v>13651</v>
      </c>
      <c r="H39" s="56">
        <f t="shared" ref="H39" si="18">SUM(H27:H38)</f>
        <v>6500</v>
      </c>
      <c r="I39" s="56">
        <f t="shared" ref="I39" si="19">SUM(I27:I38)</f>
        <v>6930</v>
      </c>
      <c r="J39" s="56">
        <f t="shared" ref="J39" si="20">SUM(J27:J38)</f>
        <v>3839</v>
      </c>
      <c r="K39" s="56">
        <f t="shared" ref="K39" si="21">SUM(K27:K38)</f>
        <v>3062</v>
      </c>
      <c r="L39" s="56">
        <f t="shared" ref="L39" si="22">SUM(L27:L38)</f>
        <v>3690</v>
      </c>
      <c r="M39" s="56">
        <f t="shared" ref="M39" si="23">SUM(M27:M38)</f>
        <v>2772</v>
      </c>
      <c r="N39" s="56">
        <f t="shared" ref="N39" si="24">SUM(N27:N38)</f>
        <v>14931</v>
      </c>
      <c r="O39" s="56">
        <f t="shared" ref="O39" si="25">SUM(O27:O38)</f>
        <v>13903</v>
      </c>
      <c r="P39" s="56">
        <f t="shared" ref="P39" si="26">SUM(P27:P38)</f>
        <v>0</v>
      </c>
      <c r="Q39" s="56">
        <f t="shared" ref="Q39" si="27">SUM(Q27:Q38)</f>
        <v>0</v>
      </c>
      <c r="R39" s="56">
        <f t="shared" ref="R39" si="28">SUM(R27:R38)</f>
        <v>0</v>
      </c>
      <c r="S39" s="56">
        <f t="shared" ref="S39" si="29">SUM(S27:S38)</f>
        <v>0</v>
      </c>
      <c r="T39" s="56">
        <f>SUM(T27:T38)</f>
        <v>4104</v>
      </c>
      <c r="U39" s="56">
        <f t="shared" ref="U39" si="30">SUM(U27:U38)</f>
        <v>2520</v>
      </c>
      <c r="V39" s="56">
        <f t="shared" ref="V39" si="31">SUM(V27:V38)</f>
        <v>0</v>
      </c>
      <c r="W39" s="56">
        <f t="shared" ref="W39" si="32">SUM(W27:W38)</f>
        <v>2727</v>
      </c>
      <c r="X39" s="56">
        <f t="shared" ref="X39" si="33">SUM(X27:X38)</f>
        <v>4680</v>
      </c>
      <c r="Y39" s="56">
        <f>SUM(Y27:Y38)</f>
        <v>4369951</v>
      </c>
      <c r="Z39" s="56"/>
    </row>
    <row r="40" spans="1:26" ht="34" x14ac:dyDescent="0.2">
      <c r="A40" s="18" t="s">
        <v>468</v>
      </c>
      <c r="B40" s="675">
        <f>SUM(B27:C38)</f>
        <v>134136</v>
      </c>
      <c r="C40" s="675"/>
      <c r="D40" s="675">
        <f>SUM(D27:E38)</f>
        <v>67344</v>
      </c>
      <c r="E40" s="675"/>
      <c r="F40" s="675">
        <f>SUM(F27:G38)</f>
        <v>29074</v>
      </c>
      <c r="G40" s="675"/>
      <c r="H40" s="675">
        <f>SUM(H27:I38)</f>
        <v>13430</v>
      </c>
      <c r="I40" s="675"/>
      <c r="J40" s="675">
        <f>SUM(J27:K38)</f>
        <v>6901</v>
      </c>
      <c r="K40" s="675"/>
      <c r="L40" s="675">
        <f>SUM(L27:M38)</f>
        <v>6462</v>
      </c>
      <c r="M40" s="675"/>
      <c r="N40" s="675">
        <f>SUM(N27:O38)</f>
        <v>28834</v>
      </c>
      <c r="O40" s="675"/>
      <c r="P40" s="675">
        <f>SUM(P27:Q38)</f>
        <v>0</v>
      </c>
      <c r="Q40" s="675"/>
      <c r="R40" s="675">
        <f>SUM(R27:S38)</f>
        <v>0</v>
      </c>
      <c r="S40" s="675"/>
      <c r="T40" s="675">
        <f>SUM(T27:V38)</f>
        <v>6624</v>
      </c>
      <c r="U40" s="675"/>
      <c r="V40" s="675"/>
      <c r="W40" s="675">
        <f>SUM(W27:X38)</f>
        <v>7407</v>
      </c>
      <c r="X40" s="675"/>
      <c r="Y40" s="56">
        <f>SUM(Y27:Y38)</f>
        <v>4369951</v>
      </c>
      <c r="Z40" s="56"/>
    </row>
    <row r="41" spans="1:26" x14ac:dyDescent="0.2">
      <c r="B41" s="56"/>
      <c r="C41" s="56"/>
      <c r="D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7" x14ac:dyDescent="0.2">
      <c r="A42" s="18" t="s">
        <v>469</v>
      </c>
      <c r="B42" s="178">
        <f>SUM(B39:E39)</f>
        <v>201480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5" spans="1:26" ht="17" x14ac:dyDescent="0.2">
      <c r="A45" s="181" t="s">
        <v>170</v>
      </c>
    </row>
    <row r="46" spans="1:26" ht="17" x14ac:dyDescent="0.2">
      <c r="A46" s="18" t="s">
        <v>428</v>
      </c>
      <c r="B46" s="55">
        <v>1</v>
      </c>
      <c r="C46" s="55">
        <v>2</v>
      </c>
      <c r="D46" s="55">
        <v>3</v>
      </c>
      <c r="E46" s="55">
        <v>4</v>
      </c>
      <c r="F46" s="55">
        <v>5</v>
      </c>
      <c r="G46" s="55">
        <v>6</v>
      </c>
      <c r="H46" s="55">
        <v>7</v>
      </c>
      <c r="I46" s="55">
        <v>8</v>
      </c>
      <c r="J46" s="55">
        <v>9</v>
      </c>
      <c r="K46" s="55">
        <v>10</v>
      </c>
      <c r="L46" s="55">
        <v>11</v>
      </c>
      <c r="M46" s="55">
        <v>12</v>
      </c>
      <c r="N46" s="55">
        <v>13</v>
      </c>
      <c r="O46" s="55">
        <v>14</v>
      </c>
      <c r="P46" s="55">
        <v>15</v>
      </c>
      <c r="Q46" s="55">
        <v>16</v>
      </c>
      <c r="R46" s="55">
        <v>17</v>
      </c>
      <c r="S46" s="55">
        <v>18</v>
      </c>
      <c r="T46" s="55">
        <v>19</v>
      </c>
      <c r="U46" s="55">
        <v>20</v>
      </c>
      <c r="V46" s="55">
        <v>21</v>
      </c>
      <c r="W46" s="55">
        <v>22</v>
      </c>
      <c r="X46" s="55">
        <v>23</v>
      </c>
      <c r="Y46" s="55">
        <v>24</v>
      </c>
    </row>
    <row r="47" spans="1:26" ht="34" x14ac:dyDescent="0.2">
      <c r="A47" s="18" t="s">
        <v>429</v>
      </c>
      <c r="B47" s="12" t="s">
        <v>430</v>
      </c>
      <c r="C47" s="12" t="s">
        <v>431</v>
      </c>
      <c r="D47" s="12" t="s">
        <v>432</v>
      </c>
      <c r="E47" s="12" t="s">
        <v>433</v>
      </c>
      <c r="F47" s="12" t="s">
        <v>434</v>
      </c>
      <c r="G47" s="12" t="s">
        <v>435</v>
      </c>
      <c r="H47" s="12" t="s">
        <v>436</v>
      </c>
      <c r="I47" s="12" t="s">
        <v>437</v>
      </c>
      <c r="J47" s="12" t="s">
        <v>438</v>
      </c>
      <c r="K47" s="12" t="s">
        <v>439</v>
      </c>
      <c r="L47" s="12" t="s">
        <v>440</v>
      </c>
      <c r="M47" s="12" t="s">
        <v>441</v>
      </c>
      <c r="N47" s="12" t="s">
        <v>442</v>
      </c>
      <c r="O47" s="12" t="s">
        <v>443</v>
      </c>
      <c r="P47" s="12" t="s">
        <v>444</v>
      </c>
      <c r="Q47" s="12" t="s">
        <v>445</v>
      </c>
      <c r="R47" s="12" t="s">
        <v>446</v>
      </c>
      <c r="S47" s="12" t="s">
        <v>447</v>
      </c>
      <c r="T47" s="12" t="s">
        <v>448</v>
      </c>
      <c r="U47" s="12" t="s">
        <v>449</v>
      </c>
      <c r="V47" s="12" t="s">
        <v>450</v>
      </c>
      <c r="W47" s="12" t="s">
        <v>451</v>
      </c>
      <c r="X47" s="12" t="s">
        <v>452</v>
      </c>
      <c r="Y47" s="12" t="s">
        <v>470</v>
      </c>
      <c r="Z47" s="18"/>
    </row>
    <row r="48" spans="1:26" ht="34" x14ac:dyDescent="0.2">
      <c r="A48" s="18" t="s">
        <v>454</v>
      </c>
      <c r="B48" s="674" t="s">
        <v>455</v>
      </c>
      <c r="C48" s="674"/>
      <c r="D48" s="674" t="s">
        <v>456</v>
      </c>
      <c r="E48" s="674"/>
      <c r="F48" s="674" t="s">
        <v>457</v>
      </c>
      <c r="G48" s="674"/>
      <c r="H48" s="674" t="s">
        <v>458</v>
      </c>
      <c r="I48" s="674"/>
      <c r="J48" s="674" t="s">
        <v>459</v>
      </c>
      <c r="K48" s="674"/>
      <c r="L48" s="674" t="s">
        <v>460</v>
      </c>
      <c r="M48" s="674"/>
      <c r="N48" s="674" t="s">
        <v>461</v>
      </c>
      <c r="O48" s="674"/>
      <c r="P48" s="674" t="s">
        <v>462</v>
      </c>
      <c r="Q48" s="674"/>
      <c r="R48" s="674" t="s">
        <v>463</v>
      </c>
      <c r="S48" s="674"/>
      <c r="T48" s="674" t="s">
        <v>464</v>
      </c>
      <c r="U48" s="674"/>
      <c r="V48" s="674"/>
      <c r="W48" s="674" t="s">
        <v>465</v>
      </c>
      <c r="X48" s="674"/>
      <c r="Y48" s="12" t="s">
        <v>470</v>
      </c>
      <c r="Z48" s="18" t="s">
        <v>466</v>
      </c>
    </row>
    <row r="49" spans="1:26" x14ac:dyDescent="0.2">
      <c r="A49" s="179">
        <v>45108</v>
      </c>
      <c r="B49" s="56">
        <v>15120</v>
      </c>
      <c r="C49" s="56">
        <v>16200</v>
      </c>
      <c r="D49" s="56">
        <v>5800</v>
      </c>
      <c r="E49" s="56">
        <v>5783</v>
      </c>
      <c r="F49" s="56">
        <v>2074</v>
      </c>
      <c r="G49" s="56">
        <v>1944</v>
      </c>
      <c r="H49" s="56">
        <v>779</v>
      </c>
      <c r="I49" s="56">
        <v>841</v>
      </c>
      <c r="J49" s="56">
        <v>551</v>
      </c>
      <c r="K49" s="56">
        <v>567</v>
      </c>
      <c r="L49" s="56">
        <v>342</v>
      </c>
      <c r="M49" s="56">
        <v>252</v>
      </c>
      <c r="N49" s="56">
        <v>3664</v>
      </c>
      <c r="O49" s="56">
        <v>3683</v>
      </c>
      <c r="P49" s="56">
        <v>0</v>
      </c>
      <c r="Q49" s="56">
        <v>0</v>
      </c>
      <c r="R49" s="56">
        <v>0</v>
      </c>
      <c r="S49" s="56">
        <v>0</v>
      </c>
      <c r="T49" s="9">
        <v>792</v>
      </c>
      <c r="U49" s="9">
        <v>432</v>
      </c>
      <c r="V49" s="9">
        <v>0</v>
      </c>
      <c r="W49" s="9">
        <v>486</v>
      </c>
      <c r="X49" s="9">
        <v>900</v>
      </c>
      <c r="Y49" s="9">
        <v>1161414</v>
      </c>
      <c r="Z49" s="56">
        <f>SUM(B49:E49)</f>
        <v>42903</v>
      </c>
    </row>
    <row r="50" spans="1:26" x14ac:dyDescent="0.2">
      <c r="A50" s="179">
        <v>45139</v>
      </c>
      <c r="B50" s="56">
        <v>15444</v>
      </c>
      <c r="C50" s="56">
        <v>16524</v>
      </c>
      <c r="D50" s="56">
        <v>5783</v>
      </c>
      <c r="E50" s="56">
        <v>5783</v>
      </c>
      <c r="F50" s="56">
        <v>1771</v>
      </c>
      <c r="G50" s="56">
        <v>1339</v>
      </c>
      <c r="H50" s="56">
        <v>513</v>
      </c>
      <c r="I50" s="56">
        <v>554</v>
      </c>
      <c r="J50" s="56">
        <v>551</v>
      </c>
      <c r="K50" s="56">
        <v>551</v>
      </c>
      <c r="L50" s="56">
        <v>324</v>
      </c>
      <c r="M50" s="56">
        <v>252</v>
      </c>
      <c r="N50" s="56">
        <v>3027</v>
      </c>
      <c r="O50" s="56">
        <v>3027</v>
      </c>
      <c r="P50" s="56">
        <v>0</v>
      </c>
      <c r="Q50" s="56">
        <v>0</v>
      </c>
      <c r="R50" s="56">
        <v>0</v>
      </c>
      <c r="S50" s="56">
        <v>0</v>
      </c>
      <c r="T50" s="9">
        <v>576</v>
      </c>
      <c r="U50" s="9">
        <v>540</v>
      </c>
      <c r="V50" s="9">
        <v>0</v>
      </c>
      <c r="W50" s="9">
        <v>315</v>
      </c>
      <c r="X50" s="9">
        <v>594</v>
      </c>
      <c r="Y50" s="9">
        <v>1191598</v>
      </c>
      <c r="Z50" s="56">
        <f t="shared" ref="Z50:Z60" si="34">SUM(B50:E50)</f>
        <v>43534</v>
      </c>
    </row>
    <row r="51" spans="1:26" x14ac:dyDescent="0.2">
      <c r="A51" s="179">
        <v>45170</v>
      </c>
      <c r="B51" s="56">
        <v>16848</v>
      </c>
      <c r="C51" s="56">
        <v>17928</v>
      </c>
      <c r="D51" s="56">
        <v>5670</v>
      </c>
      <c r="E51" s="56">
        <v>5573</v>
      </c>
      <c r="F51" s="56">
        <v>3240</v>
      </c>
      <c r="G51" s="56">
        <v>3326</v>
      </c>
      <c r="H51" s="56">
        <v>820</v>
      </c>
      <c r="I51" s="56">
        <v>861</v>
      </c>
      <c r="J51" s="56">
        <v>648</v>
      </c>
      <c r="K51" s="56">
        <v>664</v>
      </c>
      <c r="L51" s="56">
        <v>630</v>
      </c>
      <c r="M51" s="56">
        <v>486</v>
      </c>
      <c r="N51" s="56">
        <v>3436</v>
      </c>
      <c r="O51" s="56">
        <v>3436</v>
      </c>
      <c r="P51" s="56">
        <v>0</v>
      </c>
      <c r="Q51" s="56">
        <v>0</v>
      </c>
      <c r="R51" s="56">
        <v>0</v>
      </c>
      <c r="S51" s="56">
        <v>0</v>
      </c>
      <c r="T51" s="9">
        <v>4716</v>
      </c>
      <c r="U51" s="9">
        <v>36</v>
      </c>
      <c r="V51" s="9">
        <v>0</v>
      </c>
      <c r="W51" s="9">
        <v>369</v>
      </c>
      <c r="X51" s="9">
        <v>828</v>
      </c>
      <c r="Y51" s="9">
        <v>1003356</v>
      </c>
      <c r="Z51" s="56">
        <f t="shared" si="34"/>
        <v>46019</v>
      </c>
    </row>
    <row r="52" spans="1:26" x14ac:dyDescent="0.2">
      <c r="A52" s="179">
        <v>45200</v>
      </c>
      <c r="B52" s="56">
        <v>17928</v>
      </c>
      <c r="C52" s="56">
        <v>17820</v>
      </c>
      <c r="D52" s="56">
        <v>5783</v>
      </c>
      <c r="E52" s="56">
        <v>5832</v>
      </c>
      <c r="F52" s="56">
        <v>3931</v>
      </c>
      <c r="G52" s="56">
        <v>3758</v>
      </c>
      <c r="H52" s="56">
        <v>882</v>
      </c>
      <c r="I52" s="56">
        <v>964</v>
      </c>
      <c r="J52" s="56">
        <v>680</v>
      </c>
      <c r="K52" s="56">
        <v>697</v>
      </c>
      <c r="L52" s="56">
        <v>810</v>
      </c>
      <c r="M52" s="56">
        <v>630</v>
      </c>
      <c r="N52" s="56">
        <v>3585</v>
      </c>
      <c r="O52" s="56">
        <v>2032</v>
      </c>
      <c r="P52" s="56">
        <v>0</v>
      </c>
      <c r="Q52" s="56">
        <v>0</v>
      </c>
      <c r="R52" s="56">
        <v>0</v>
      </c>
      <c r="S52" s="56">
        <v>0</v>
      </c>
      <c r="T52" s="9">
        <v>612</v>
      </c>
      <c r="U52" s="9">
        <v>432</v>
      </c>
      <c r="V52" s="9">
        <v>0</v>
      </c>
      <c r="W52" s="9">
        <v>477</v>
      </c>
      <c r="X52" s="9">
        <v>1026</v>
      </c>
      <c r="Y52" s="9">
        <v>817068</v>
      </c>
      <c r="Z52" s="56">
        <f t="shared" si="34"/>
        <v>47363</v>
      </c>
    </row>
    <row r="53" spans="1:26" x14ac:dyDescent="0.2">
      <c r="A53" s="179">
        <v>45231</v>
      </c>
      <c r="B53" s="56">
        <v>13284</v>
      </c>
      <c r="C53" s="56">
        <v>14040</v>
      </c>
      <c r="D53" s="56">
        <v>5605</v>
      </c>
      <c r="E53" s="56">
        <v>5103</v>
      </c>
      <c r="F53" s="56">
        <v>3715</v>
      </c>
      <c r="G53" s="56">
        <v>3456</v>
      </c>
      <c r="H53" s="56">
        <v>779</v>
      </c>
      <c r="I53" s="56">
        <v>820</v>
      </c>
      <c r="J53" s="56">
        <v>583</v>
      </c>
      <c r="K53" s="56">
        <v>567</v>
      </c>
      <c r="L53" s="56">
        <v>702</v>
      </c>
      <c r="M53" s="56">
        <v>522</v>
      </c>
      <c r="N53" s="56">
        <v>2757</v>
      </c>
      <c r="O53" s="56">
        <v>372</v>
      </c>
      <c r="P53" s="56">
        <v>0</v>
      </c>
      <c r="Q53" s="56">
        <v>0</v>
      </c>
      <c r="R53" s="56">
        <v>0</v>
      </c>
      <c r="S53" s="56">
        <v>0</v>
      </c>
      <c r="T53" s="9">
        <v>72</v>
      </c>
      <c r="U53" s="9">
        <v>144</v>
      </c>
      <c r="V53" s="9">
        <v>0</v>
      </c>
      <c r="W53" s="9">
        <v>378</v>
      </c>
      <c r="X53" s="9">
        <v>882</v>
      </c>
      <c r="Y53" s="9">
        <v>556197</v>
      </c>
      <c r="Z53" s="56">
        <f t="shared" si="34"/>
        <v>38032</v>
      </c>
    </row>
    <row r="54" spans="1:26" x14ac:dyDescent="0.2">
      <c r="A54" s="179">
        <v>45261</v>
      </c>
      <c r="B54" s="56">
        <v>7776</v>
      </c>
      <c r="C54" s="56">
        <v>7992</v>
      </c>
      <c r="D54" s="56">
        <v>5816</v>
      </c>
      <c r="E54" s="56">
        <v>5800</v>
      </c>
      <c r="F54" s="56">
        <v>3067</v>
      </c>
      <c r="G54" s="56">
        <v>3715</v>
      </c>
      <c r="H54" s="56">
        <v>451</v>
      </c>
      <c r="I54" s="56">
        <v>1476</v>
      </c>
      <c r="J54" s="56">
        <v>697</v>
      </c>
      <c r="K54" s="56">
        <v>680</v>
      </c>
      <c r="L54" s="56">
        <v>594</v>
      </c>
      <c r="M54" s="56">
        <v>450</v>
      </c>
      <c r="N54" s="56">
        <v>0</v>
      </c>
      <c r="O54" s="56">
        <v>3883</v>
      </c>
      <c r="P54" s="56">
        <v>0</v>
      </c>
      <c r="Q54" s="56">
        <v>0</v>
      </c>
      <c r="R54" s="56">
        <v>0</v>
      </c>
      <c r="S54" s="56">
        <v>0</v>
      </c>
      <c r="T54" s="9">
        <v>576</v>
      </c>
      <c r="U54" s="9">
        <v>684</v>
      </c>
      <c r="V54" s="9">
        <v>0</v>
      </c>
      <c r="W54" s="9">
        <v>378</v>
      </c>
      <c r="X54" s="9">
        <v>873</v>
      </c>
      <c r="Y54" s="9">
        <v>552970</v>
      </c>
      <c r="Z54" s="56">
        <f t="shared" si="34"/>
        <v>27384</v>
      </c>
    </row>
    <row r="55" spans="1:26" x14ac:dyDescent="0.2">
      <c r="A55" s="179">
        <v>45292</v>
      </c>
      <c r="B55" s="180">
        <v>4212</v>
      </c>
      <c r="C55" s="180">
        <v>10044</v>
      </c>
      <c r="D55" s="180">
        <v>4471</v>
      </c>
      <c r="E55" s="180">
        <v>7015</v>
      </c>
      <c r="F55" s="180">
        <v>2462</v>
      </c>
      <c r="G55" s="180">
        <v>2290</v>
      </c>
      <c r="H55" s="180">
        <v>779</v>
      </c>
      <c r="I55" s="180">
        <v>820</v>
      </c>
      <c r="J55" s="180">
        <v>567</v>
      </c>
      <c r="K55" s="180">
        <v>535</v>
      </c>
      <c r="L55" s="180">
        <v>396</v>
      </c>
      <c r="M55" s="180">
        <v>288</v>
      </c>
      <c r="N55" s="180">
        <v>460</v>
      </c>
      <c r="O55" s="180">
        <v>2609</v>
      </c>
      <c r="P55" s="180">
        <v>0</v>
      </c>
      <c r="Q55" s="180">
        <v>0</v>
      </c>
      <c r="R55" s="180">
        <v>0</v>
      </c>
      <c r="S55" s="180">
        <v>0</v>
      </c>
      <c r="T55" s="180">
        <v>468</v>
      </c>
      <c r="U55" s="180">
        <v>504</v>
      </c>
      <c r="V55" s="180">
        <v>0</v>
      </c>
      <c r="W55" s="180">
        <v>387</v>
      </c>
      <c r="X55" s="180">
        <v>567</v>
      </c>
      <c r="Y55" s="55">
        <v>469230</v>
      </c>
      <c r="Z55" s="56">
        <f t="shared" si="34"/>
        <v>25742</v>
      </c>
    </row>
    <row r="56" spans="1:26" x14ac:dyDescent="0.2">
      <c r="A56" s="179">
        <v>45323</v>
      </c>
      <c r="B56" s="56">
        <v>2376</v>
      </c>
      <c r="C56" s="56">
        <v>13068</v>
      </c>
      <c r="D56" s="56">
        <v>5216</v>
      </c>
      <c r="E56" s="56">
        <v>10514</v>
      </c>
      <c r="F56" s="56">
        <v>2808</v>
      </c>
      <c r="G56" s="56">
        <v>2678</v>
      </c>
      <c r="H56" s="56">
        <v>1271</v>
      </c>
      <c r="I56" s="56">
        <v>1333</v>
      </c>
      <c r="J56" s="56">
        <v>761</v>
      </c>
      <c r="K56" s="56">
        <v>713</v>
      </c>
      <c r="L56" s="56">
        <v>684</v>
      </c>
      <c r="M56" s="56">
        <v>522</v>
      </c>
      <c r="N56" s="56">
        <v>0</v>
      </c>
      <c r="O56" s="56">
        <v>3227</v>
      </c>
      <c r="P56" s="56"/>
      <c r="Q56" s="56"/>
      <c r="R56" s="56"/>
      <c r="S56" s="56"/>
      <c r="T56" s="9">
        <v>540</v>
      </c>
      <c r="U56" s="9">
        <v>612</v>
      </c>
      <c r="V56" s="9">
        <v>0</v>
      </c>
      <c r="W56" s="9">
        <v>387</v>
      </c>
      <c r="X56" s="9">
        <v>414</v>
      </c>
      <c r="Y56" s="55">
        <v>674956</v>
      </c>
      <c r="Z56" s="56">
        <f t="shared" si="34"/>
        <v>31174</v>
      </c>
    </row>
    <row r="57" spans="1:26" x14ac:dyDescent="0.2">
      <c r="A57" s="179">
        <v>45352</v>
      </c>
      <c r="B57" s="56">
        <v>8748</v>
      </c>
      <c r="C57" s="56">
        <v>8964</v>
      </c>
      <c r="D57" s="56">
        <v>5751</v>
      </c>
      <c r="E57" s="56">
        <v>875</v>
      </c>
      <c r="F57" s="56">
        <v>3758</v>
      </c>
      <c r="G57" s="56">
        <v>3067</v>
      </c>
      <c r="H57" s="56">
        <v>1046</v>
      </c>
      <c r="I57" s="56">
        <v>1107</v>
      </c>
      <c r="J57" s="56">
        <v>1069</v>
      </c>
      <c r="K57" s="56">
        <v>972</v>
      </c>
      <c r="L57" s="56">
        <v>702</v>
      </c>
      <c r="M57" s="56">
        <v>522</v>
      </c>
      <c r="N57" s="56">
        <v>944</v>
      </c>
      <c r="O57" s="56">
        <v>0</v>
      </c>
      <c r="P57" s="56"/>
      <c r="Q57" s="56"/>
      <c r="R57" s="56"/>
      <c r="S57" s="56"/>
      <c r="T57" s="9">
        <v>504</v>
      </c>
      <c r="U57" s="9">
        <v>576</v>
      </c>
      <c r="V57" s="9">
        <v>0</v>
      </c>
      <c r="W57" s="9">
        <v>396</v>
      </c>
      <c r="X57" s="9">
        <v>423</v>
      </c>
      <c r="Y57" s="9">
        <v>727210</v>
      </c>
      <c r="Z57" s="56">
        <f t="shared" si="34"/>
        <v>24338</v>
      </c>
    </row>
    <row r="58" spans="1:26" x14ac:dyDescent="0.2">
      <c r="A58" s="179">
        <v>45383</v>
      </c>
      <c r="B58" s="56">
        <v>8316</v>
      </c>
      <c r="C58" s="56">
        <v>8640</v>
      </c>
      <c r="D58" s="56">
        <v>5735</v>
      </c>
      <c r="E58" s="56">
        <v>5994</v>
      </c>
      <c r="F58" s="56">
        <v>3413</v>
      </c>
      <c r="G58" s="56">
        <v>3197</v>
      </c>
      <c r="H58" s="56">
        <v>1128</v>
      </c>
      <c r="I58" s="56">
        <v>1230</v>
      </c>
      <c r="J58" s="56">
        <v>1150</v>
      </c>
      <c r="K58" s="56">
        <v>1053</v>
      </c>
      <c r="L58" s="56">
        <v>540</v>
      </c>
      <c r="M58" s="56">
        <v>774</v>
      </c>
      <c r="N58" s="56">
        <v>1841</v>
      </c>
      <c r="O58" s="56">
        <v>1730</v>
      </c>
      <c r="Q58" s="56"/>
      <c r="R58" s="56"/>
      <c r="S58" s="56"/>
      <c r="T58" s="9">
        <v>540</v>
      </c>
      <c r="U58" s="9">
        <v>576</v>
      </c>
      <c r="V58" s="9">
        <v>0</v>
      </c>
      <c r="W58" s="9">
        <v>468</v>
      </c>
      <c r="X58" s="9">
        <v>495</v>
      </c>
      <c r="Y58" s="9">
        <v>782602</v>
      </c>
      <c r="Z58" s="56">
        <f t="shared" si="34"/>
        <v>28685</v>
      </c>
    </row>
    <row r="59" spans="1:26" x14ac:dyDescent="0.2">
      <c r="A59" s="179">
        <v>45413</v>
      </c>
      <c r="B59" s="56">
        <v>7992</v>
      </c>
      <c r="C59" s="56">
        <v>7992</v>
      </c>
      <c r="D59" s="56">
        <v>5346</v>
      </c>
      <c r="E59" s="56">
        <v>5330</v>
      </c>
      <c r="F59" s="56">
        <v>3326</v>
      </c>
      <c r="G59" s="56">
        <v>3110</v>
      </c>
      <c r="H59" s="56">
        <v>1230</v>
      </c>
      <c r="I59" s="56">
        <v>1312</v>
      </c>
      <c r="J59" s="56">
        <v>1053</v>
      </c>
      <c r="K59" s="56">
        <v>972</v>
      </c>
      <c r="L59" s="56">
        <v>486</v>
      </c>
      <c r="M59" s="56">
        <v>378</v>
      </c>
      <c r="N59" s="56">
        <v>1748</v>
      </c>
      <c r="O59" s="56">
        <v>0</v>
      </c>
      <c r="Q59" s="56"/>
      <c r="R59" s="56"/>
      <c r="S59" s="56"/>
      <c r="T59" s="9">
        <v>468</v>
      </c>
      <c r="U59" s="9">
        <v>612</v>
      </c>
      <c r="V59" s="9">
        <v>0</v>
      </c>
      <c r="W59" s="9">
        <v>594</v>
      </c>
      <c r="X59" s="9">
        <v>666</v>
      </c>
      <c r="Y59" s="9">
        <v>889955</v>
      </c>
      <c r="Z59" s="56">
        <f t="shared" si="34"/>
        <v>26660</v>
      </c>
    </row>
    <row r="60" spans="1:26" x14ac:dyDescent="0.2">
      <c r="A60" s="179">
        <v>45444</v>
      </c>
      <c r="B60" s="56">
        <v>6912</v>
      </c>
      <c r="C60" s="56">
        <v>6912</v>
      </c>
      <c r="D60" s="56">
        <v>5508</v>
      </c>
      <c r="E60" s="56">
        <v>5508</v>
      </c>
      <c r="F60" s="56">
        <v>2246</v>
      </c>
      <c r="G60" s="56">
        <v>2074</v>
      </c>
      <c r="H60" s="56">
        <v>1230</v>
      </c>
      <c r="I60" s="56">
        <v>1333</v>
      </c>
      <c r="J60" s="56">
        <v>486</v>
      </c>
      <c r="K60" s="56">
        <v>470</v>
      </c>
      <c r="L60" s="56">
        <v>108</v>
      </c>
      <c r="M60" s="56">
        <v>108</v>
      </c>
      <c r="N60" s="56">
        <v>1432</v>
      </c>
      <c r="O60" s="56">
        <v>307</v>
      </c>
      <c r="Q60" s="56"/>
      <c r="R60" s="56"/>
      <c r="S60" s="56"/>
      <c r="T60" s="9">
        <v>360</v>
      </c>
      <c r="U60" s="9">
        <v>396</v>
      </c>
      <c r="V60" s="9">
        <v>0</v>
      </c>
      <c r="W60" s="9">
        <v>549</v>
      </c>
      <c r="X60" s="9">
        <v>612</v>
      </c>
      <c r="Y60" s="9">
        <v>1094278</v>
      </c>
      <c r="Z60" s="56">
        <f t="shared" si="34"/>
        <v>24840</v>
      </c>
    </row>
    <row r="61" spans="1:26" ht="34" x14ac:dyDescent="0.2">
      <c r="A61" s="18" t="s">
        <v>467</v>
      </c>
      <c r="B61" s="56">
        <f>SUM(B49:B60)</f>
        <v>124956</v>
      </c>
      <c r="C61" s="56">
        <f t="shared" ref="C61:Y61" si="35">SUM(C49:C60)</f>
        <v>146124</v>
      </c>
      <c r="D61" s="56">
        <f t="shared" si="35"/>
        <v>66484</v>
      </c>
      <c r="E61" s="56">
        <f t="shared" si="35"/>
        <v>69110</v>
      </c>
      <c r="F61" s="56">
        <f t="shared" si="35"/>
        <v>35811</v>
      </c>
      <c r="G61" s="56">
        <f t="shared" si="35"/>
        <v>33954</v>
      </c>
      <c r="H61" s="56">
        <f t="shared" si="35"/>
        <v>10908</v>
      </c>
      <c r="I61" s="56">
        <f t="shared" si="35"/>
        <v>12651</v>
      </c>
      <c r="J61" s="56">
        <f t="shared" si="35"/>
        <v>8796</v>
      </c>
      <c r="K61" s="56">
        <f t="shared" si="35"/>
        <v>8441</v>
      </c>
      <c r="L61" s="56">
        <f t="shared" si="35"/>
        <v>6318</v>
      </c>
      <c r="M61" s="56">
        <f t="shared" si="35"/>
        <v>5184</v>
      </c>
      <c r="N61" s="56">
        <f t="shared" si="35"/>
        <v>22894</v>
      </c>
      <c r="O61" s="56">
        <f t="shared" si="35"/>
        <v>24306</v>
      </c>
      <c r="P61" s="56">
        <f t="shared" si="35"/>
        <v>0</v>
      </c>
      <c r="Q61" s="56">
        <f t="shared" si="35"/>
        <v>0</v>
      </c>
      <c r="R61" s="56">
        <f t="shared" si="35"/>
        <v>0</v>
      </c>
      <c r="S61" s="56">
        <f t="shared" si="35"/>
        <v>0</v>
      </c>
      <c r="T61" s="56">
        <f t="shared" si="35"/>
        <v>10224</v>
      </c>
      <c r="U61" s="56">
        <f t="shared" si="35"/>
        <v>5544</v>
      </c>
      <c r="V61" s="56">
        <f t="shared" si="35"/>
        <v>0</v>
      </c>
      <c r="W61" s="56">
        <f t="shared" si="35"/>
        <v>5184</v>
      </c>
      <c r="X61" s="56">
        <f t="shared" si="35"/>
        <v>8280</v>
      </c>
      <c r="Y61" s="56">
        <f t="shared" si="35"/>
        <v>9920834</v>
      </c>
      <c r="Z61" s="56">
        <f>SUM(Z49:Z60)</f>
        <v>406674</v>
      </c>
    </row>
    <row r="62" spans="1:26" ht="34" x14ac:dyDescent="0.2">
      <c r="A62" s="18" t="s">
        <v>468</v>
      </c>
      <c r="B62" s="675">
        <f>SUM(B49:C60)</f>
        <v>271080</v>
      </c>
      <c r="C62" s="675"/>
      <c r="D62" s="675">
        <f>SUM(D49:E60)</f>
        <v>135594</v>
      </c>
      <c r="E62" s="675"/>
      <c r="F62" s="675">
        <f>SUM(F55:G60)</f>
        <v>34429</v>
      </c>
      <c r="G62" s="675"/>
      <c r="H62" s="675">
        <f>SUM(H55:I60)</f>
        <v>13819</v>
      </c>
      <c r="I62" s="675"/>
      <c r="J62" s="675">
        <f>SUM(J55:K60)</f>
        <v>9801</v>
      </c>
      <c r="K62" s="675"/>
      <c r="L62" s="675">
        <f>SUM(L55:M60)</f>
        <v>5508</v>
      </c>
      <c r="M62" s="675"/>
      <c r="N62" s="675">
        <f>SUM(N55:O60)</f>
        <v>14298</v>
      </c>
      <c r="O62" s="675"/>
      <c r="P62" s="675">
        <f>SUM(P55:Q60)</f>
        <v>0</v>
      </c>
      <c r="Q62" s="675"/>
      <c r="R62" s="675">
        <f>SUM(R55:S60)</f>
        <v>0</v>
      </c>
      <c r="S62" s="675"/>
      <c r="T62" s="675">
        <f>SUM(T55:V60)</f>
        <v>6156</v>
      </c>
      <c r="U62" s="675"/>
      <c r="V62" s="675"/>
      <c r="W62" s="675">
        <f>SUM(W55:X60)</f>
        <v>5958</v>
      </c>
      <c r="X62" s="675"/>
      <c r="Y62" s="56">
        <f>SUM(Y55:Y60)</f>
        <v>4638231</v>
      </c>
      <c r="Z62" s="56"/>
    </row>
    <row r="63" spans="1:26" x14ac:dyDescent="0.2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7" x14ac:dyDescent="0.2">
      <c r="A64" s="18" t="s">
        <v>469</v>
      </c>
      <c r="B64" s="178">
        <f>SUM(B61:E61)</f>
        <v>406674</v>
      </c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Z64" s="56"/>
    </row>
    <row r="65" spans="1:26" x14ac:dyDescent="0.2">
      <c r="F65" s="56"/>
      <c r="Y65" s="81" t="s">
        <v>471</v>
      </c>
    </row>
    <row r="67" spans="1:26" ht="17" x14ac:dyDescent="0.2">
      <c r="A67" s="181" t="s">
        <v>171</v>
      </c>
    </row>
    <row r="68" spans="1:26" ht="17" x14ac:dyDescent="0.2">
      <c r="A68" s="18" t="s">
        <v>428</v>
      </c>
      <c r="B68" s="55">
        <v>1</v>
      </c>
      <c r="C68" s="55">
        <v>2</v>
      </c>
      <c r="D68" s="55">
        <v>3</v>
      </c>
      <c r="E68" s="55">
        <v>4</v>
      </c>
      <c r="F68" s="55">
        <v>5</v>
      </c>
      <c r="G68" s="55">
        <v>6</v>
      </c>
      <c r="H68" s="55">
        <v>7</v>
      </c>
      <c r="I68" s="55">
        <v>8</v>
      </c>
      <c r="J68" s="55">
        <v>9</v>
      </c>
      <c r="K68" s="55">
        <v>10</v>
      </c>
      <c r="L68" s="55">
        <v>11</v>
      </c>
      <c r="M68" s="55">
        <v>12</v>
      </c>
      <c r="N68" s="55">
        <v>13</v>
      </c>
      <c r="O68" s="55">
        <v>14</v>
      </c>
      <c r="P68" s="55">
        <v>15</v>
      </c>
      <c r="Q68" s="55">
        <v>16</v>
      </c>
      <c r="R68" s="55">
        <v>17</v>
      </c>
      <c r="S68" s="55">
        <v>18</v>
      </c>
      <c r="T68" s="55">
        <v>19</v>
      </c>
      <c r="U68" s="55">
        <v>20</v>
      </c>
      <c r="V68" s="55">
        <v>21</v>
      </c>
      <c r="W68" s="55">
        <v>22</v>
      </c>
      <c r="X68" s="55">
        <v>23</v>
      </c>
      <c r="Y68" s="55">
        <v>24</v>
      </c>
    </row>
    <row r="69" spans="1:26" ht="34" x14ac:dyDescent="0.2">
      <c r="A69" s="18" t="s">
        <v>429</v>
      </c>
      <c r="B69" s="12" t="s">
        <v>430</v>
      </c>
      <c r="C69" s="12" t="s">
        <v>431</v>
      </c>
      <c r="D69" s="12" t="s">
        <v>432</v>
      </c>
      <c r="E69" s="12" t="s">
        <v>433</v>
      </c>
      <c r="F69" s="12" t="s">
        <v>434</v>
      </c>
      <c r="G69" s="12" t="s">
        <v>435</v>
      </c>
      <c r="H69" s="12" t="s">
        <v>436</v>
      </c>
      <c r="I69" s="12" t="s">
        <v>437</v>
      </c>
      <c r="J69" s="12" t="s">
        <v>438</v>
      </c>
      <c r="K69" s="12" t="s">
        <v>439</v>
      </c>
      <c r="L69" s="12" t="s">
        <v>440</v>
      </c>
      <c r="M69" s="12" t="s">
        <v>441</v>
      </c>
      <c r="N69" s="12" t="s">
        <v>442</v>
      </c>
      <c r="O69" s="12" t="s">
        <v>443</v>
      </c>
      <c r="P69" s="12" t="s">
        <v>444</v>
      </c>
      <c r="Q69" s="12" t="s">
        <v>445</v>
      </c>
      <c r="R69" s="12" t="s">
        <v>446</v>
      </c>
      <c r="S69" s="12" t="s">
        <v>447</v>
      </c>
      <c r="T69" s="12" t="s">
        <v>448</v>
      </c>
      <c r="U69" s="12" t="s">
        <v>449</v>
      </c>
      <c r="V69" s="12" t="s">
        <v>450</v>
      </c>
      <c r="W69" s="12" t="s">
        <v>451</v>
      </c>
      <c r="X69" s="12" t="s">
        <v>452</v>
      </c>
      <c r="Y69" s="12" t="s">
        <v>470</v>
      </c>
      <c r="Z69" s="18"/>
    </row>
    <row r="70" spans="1:26" ht="34" x14ac:dyDescent="0.2">
      <c r="A70" s="18" t="s">
        <v>454</v>
      </c>
      <c r="B70" s="674" t="s">
        <v>455</v>
      </c>
      <c r="C70" s="674"/>
      <c r="D70" s="674" t="s">
        <v>456</v>
      </c>
      <c r="E70" s="674"/>
      <c r="F70" s="674" t="s">
        <v>457</v>
      </c>
      <c r="G70" s="674"/>
      <c r="H70" s="674" t="s">
        <v>458</v>
      </c>
      <c r="I70" s="674"/>
      <c r="J70" s="674" t="s">
        <v>459</v>
      </c>
      <c r="K70" s="674"/>
      <c r="L70" s="674" t="s">
        <v>460</v>
      </c>
      <c r="M70" s="674"/>
      <c r="N70" s="674" t="s">
        <v>461</v>
      </c>
      <c r="O70" s="674"/>
      <c r="P70" s="674" t="s">
        <v>462</v>
      </c>
      <c r="Q70" s="674"/>
      <c r="R70" s="674" t="s">
        <v>463</v>
      </c>
      <c r="S70" s="674"/>
      <c r="T70" s="674" t="s">
        <v>464</v>
      </c>
      <c r="U70" s="674"/>
      <c r="V70" s="674"/>
      <c r="W70" s="674" t="s">
        <v>465</v>
      </c>
      <c r="X70" s="674"/>
      <c r="Y70" s="12" t="s">
        <v>470</v>
      </c>
      <c r="Z70" s="18" t="s">
        <v>466</v>
      </c>
    </row>
    <row r="71" spans="1:26" x14ac:dyDescent="0.2">
      <c r="A71" s="179">
        <v>45474</v>
      </c>
      <c r="B71" s="56">
        <v>5508</v>
      </c>
      <c r="C71" s="56">
        <v>7992</v>
      </c>
      <c r="D71" s="56">
        <v>4747</v>
      </c>
      <c r="E71" s="56">
        <v>6561</v>
      </c>
      <c r="F71" s="56">
        <v>2678</v>
      </c>
      <c r="G71" s="56">
        <v>2419</v>
      </c>
      <c r="H71" s="56">
        <v>1353</v>
      </c>
      <c r="I71" s="56">
        <v>1476</v>
      </c>
      <c r="J71" s="56">
        <v>535</v>
      </c>
      <c r="K71" s="56">
        <v>518</v>
      </c>
      <c r="L71" s="56">
        <v>198</v>
      </c>
      <c r="M71" s="56">
        <v>144</v>
      </c>
      <c r="N71" s="56">
        <v>1256</v>
      </c>
      <c r="O71" s="56">
        <v>1232</v>
      </c>
      <c r="P71" s="56"/>
      <c r="Q71" s="56"/>
      <c r="R71" s="56"/>
      <c r="S71" s="56"/>
      <c r="T71" s="9">
        <v>360</v>
      </c>
      <c r="U71" s="9">
        <v>468</v>
      </c>
      <c r="V71" s="9"/>
      <c r="W71" s="9">
        <v>612</v>
      </c>
      <c r="X71" s="9">
        <v>693</v>
      </c>
      <c r="Y71" s="9"/>
      <c r="Z71" s="56">
        <f>SUM(B71:E71)</f>
        <v>24808</v>
      </c>
    </row>
    <row r="72" spans="1:26" x14ac:dyDescent="0.2">
      <c r="A72" s="179">
        <v>45505</v>
      </c>
      <c r="B72" s="360">
        <v>6912</v>
      </c>
      <c r="C72" s="360">
        <v>7236</v>
      </c>
      <c r="D72" s="360">
        <v>5702</v>
      </c>
      <c r="E72" s="360">
        <v>5783</v>
      </c>
      <c r="F72" s="360">
        <v>2333</v>
      </c>
      <c r="G72" s="360">
        <v>2203</v>
      </c>
      <c r="H72" s="360">
        <v>1210</v>
      </c>
      <c r="I72" s="360">
        <v>1312</v>
      </c>
      <c r="J72" s="360">
        <v>567</v>
      </c>
      <c r="K72" s="360">
        <v>551</v>
      </c>
      <c r="L72" s="360">
        <v>234</v>
      </c>
      <c r="M72" s="360">
        <v>162</v>
      </c>
      <c r="N72" s="360">
        <v>1144</v>
      </c>
      <c r="O72" s="360">
        <v>1121</v>
      </c>
      <c r="P72" s="361"/>
      <c r="Q72" s="361"/>
      <c r="R72" s="361"/>
      <c r="S72" s="361"/>
      <c r="T72" s="360">
        <v>396</v>
      </c>
      <c r="U72" s="360">
        <v>1044</v>
      </c>
      <c r="V72" s="360">
        <v>0</v>
      </c>
      <c r="W72" s="360">
        <v>585</v>
      </c>
      <c r="X72" s="360">
        <v>666</v>
      </c>
      <c r="Y72" s="9"/>
      <c r="Z72" s="56">
        <f t="shared" ref="Z72:Z81" si="36">SUM(B72:E72)</f>
        <v>25633</v>
      </c>
    </row>
    <row r="73" spans="1:26" x14ac:dyDescent="0.2">
      <c r="A73" s="179">
        <v>45536</v>
      </c>
      <c r="B73" s="360">
        <v>8100</v>
      </c>
      <c r="C73" s="360">
        <v>8208</v>
      </c>
      <c r="D73" s="360">
        <v>5524</v>
      </c>
      <c r="E73" s="360">
        <v>5524</v>
      </c>
      <c r="F73" s="360">
        <v>3283</v>
      </c>
      <c r="G73" s="360">
        <v>3067</v>
      </c>
      <c r="H73" s="360">
        <v>1230</v>
      </c>
      <c r="I73" s="360">
        <v>1394</v>
      </c>
      <c r="J73" s="360">
        <v>632</v>
      </c>
      <c r="K73" s="360">
        <v>632</v>
      </c>
      <c r="L73" s="360">
        <v>378</v>
      </c>
      <c r="M73" s="360">
        <v>288</v>
      </c>
      <c r="N73" s="360">
        <v>958</v>
      </c>
      <c r="O73" s="360">
        <v>842</v>
      </c>
      <c r="P73" s="361"/>
      <c r="Q73" s="361"/>
      <c r="R73" s="361"/>
      <c r="S73" s="361"/>
      <c r="T73" s="360">
        <v>540</v>
      </c>
      <c r="U73" s="360">
        <v>684</v>
      </c>
      <c r="V73" s="360">
        <v>0</v>
      </c>
      <c r="W73" s="360">
        <v>666</v>
      </c>
      <c r="X73" s="360">
        <v>756</v>
      </c>
      <c r="Y73" s="9"/>
      <c r="Z73" s="56">
        <f t="shared" si="36"/>
        <v>27356</v>
      </c>
    </row>
    <row r="74" spans="1:26" x14ac:dyDescent="0.2">
      <c r="A74" s="179">
        <v>45566</v>
      </c>
      <c r="B74" s="360">
        <v>9504</v>
      </c>
      <c r="C74" s="360">
        <v>9612</v>
      </c>
      <c r="D74" s="360">
        <v>5670</v>
      </c>
      <c r="E74" s="360">
        <v>5670</v>
      </c>
      <c r="F74" s="360">
        <v>3802</v>
      </c>
      <c r="G74" s="360">
        <v>3542</v>
      </c>
      <c r="H74" s="360">
        <v>1107</v>
      </c>
      <c r="I74" s="360">
        <v>1251</v>
      </c>
      <c r="J74" s="360">
        <v>599</v>
      </c>
      <c r="K74" s="360">
        <v>599</v>
      </c>
      <c r="L74" s="360">
        <v>342</v>
      </c>
      <c r="M74" s="360">
        <v>270</v>
      </c>
      <c r="N74" s="360">
        <v>1232</v>
      </c>
      <c r="O74" s="360">
        <v>1149</v>
      </c>
      <c r="P74" s="361"/>
      <c r="Q74" s="361"/>
      <c r="R74" s="361"/>
      <c r="S74" s="361"/>
      <c r="T74" s="360">
        <v>612</v>
      </c>
      <c r="U74" s="360">
        <v>432</v>
      </c>
      <c r="V74" s="360">
        <v>0</v>
      </c>
      <c r="W74" s="360">
        <v>720</v>
      </c>
      <c r="X74" s="360">
        <v>828</v>
      </c>
      <c r="Y74" s="9"/>
      <c r="Z74" s="56">
        <f t="shared" si="36"/>
        <v>30456</v>
      </c>
    </row>
    <row r="75" spans="1:26" x14ac:dyDescent="0.2">
      <c r="A75" s="179">
        <v>45597</v>
      </c>
      <c r="B75" s="360">
        <v>9504</v>
      </c>
      <c r="C75" s="360">
        <v>9936</v>
      </c>
      <c r="D75" s="360">
        <v>5443</v>
      </c>
      <c r="E75" s="360">
        <v>5557</v>
      </c>
      <c r="F75" s="360">
        <v>3802</v>
      </c>
      <c r="G75" s="360">
        <v>3542</v>
      </c>
      <c r="H75" s="360">
        <v>1107</v>
      </c>
      <c r="I75" s="360">
        <v>1271</v>
      </c>
      <c r="J75" s="360">
        <v>583</v>
      </c>
      <c r="K75" s="360">
        <v>599</v>
      </c>
      <c r="L75" s="360">
        <v>414</v>
      </c>
      <c r="M75" s="360">
        <v>270</v>
      </c>
      <c r="N75" s="360">
        <v>1149</v>
      </c>
      <c r="O75" s="360">
        <v>1125</v>
      </c>
      <c r="P75" s="361"/>
      <c r="Q75" s="361"/>
      <c r="R75" s="361"/>
      <c r="S75" s="361"/>
      <c r="T75" s="360">
        <v>612</v>
      </c>
      <c r="U75" s="360">
        <v>936</v>
      </c>
      <c r="V75" s="360">
        <v>0</v>
      </c>
      <c r="W75" s="360">
        <v>513</v>
      </c>
      <c r="X75" s="360">
        <v>576</v>
      </c>
      <c r="Y75" s="9"/>
      <c r="Z75" s="56">
        <f t="shared" si="36"/>
        <v>30440</v>
      </c>
    </row>
    <row r="76" spans="1:26" x14ac:dyDescent="0.2">
      <c r="A76" s="179">
        <v>45627</v>
      </c>
      <c r="B76" s="360">
        <v>7668</v>
      </c>
      <c r="C76" s="360">
        <v>7776</v>
      </c>
      <c r="D76" s="360">
        <v>5751</v>
      </c>
      <c r="E76" s="360">
        <v>5767</v>
      </c>
      <c r="F76" s="360">
        <v>3370</v>
      </c>
      <c r="G76" s="360">
        <v>3110</v>
      </c>
      <c r="H76" s="360">
        <v>1128</v>
      </c>
      <c r="I76" s="360">
        <v>1251</v>
      </c>
      <c r="J76" s="360">
        <v>518</v>
      </c>
      <c r="K76" s="360">
        <v>2219</v>
      </c>
      <c r="L76" s="360">
        <v>306</v>
      </c>
      <c r="M76" s="360">
        <v>234</v>
      </c>
      <c r="N76" s="360">
        <v>1455</v>
      </c>
      <c r="O76" s="360">
        <v>1428</v>
      </c>
      <c r="P76" s="361"/>
      <c r="Q76" s="361"/>
      <c r="R76" s="361"/>
      <c r="S76" s="361"/>
      <c r="T76" s="360">
        <v>0</v>
      </c>
      <c r="U76" s="360">
        <v>0</v>
      </c>
      <c r="V76" s="360">
        <v>0</v>
      </c>
      <c r="W76" s="360">
        <v>549</v>
      </c>
      <c r="X76" s="360">
        <v>621</v>
      </c>
      <c r="Y76" s="9"/>
      <c r="Z76" s="56">
        <f t="shared" si="36"/>
        <v>26962</v>
      </c>
    </row>
    <row r="77" spans="1:26" x14ac:dyDescent="0.2">
      <c r="A77" s="179">
        <v>45658</v>
      </c>
      <c r="B77" s="360">
        <v>7236</v>
      </c>
      <c r="C77" s="360">
        <v>9180</v>
      </c>
      <c r="D77" s="360">
        <v>5735</v>
      </c>
      <c r="E77" s="360">
        <v>5702</v>
      </c>
      <c r="F77" s="360">
        <v>2808</v>
      </c>
      <c r="G77" s="360">
        <v>2678</v>
      </c>
      <c r="H77" s="360">
        <v>1025</v>
      </c>
      <c r="I77" s="360">
        <v>1107</v>
      </c>
      <c r="J77" s="360">
        <v>7954</v>
      </c>
      <c r="K77" s="360">
        <v>1944</v>
      </c>
      <c r="L77" s="360">
        <v>162</v>
      </c>
      <c r="M77" s="360">
        <v>108</v>
      </c>
      <c r="N77" s="360">
        <v>1056</v>
      </c>
      <c r="O77" s="360">
        <v>1018</v>
      </c>
      <c r="P77" s="361"/>
      <c r="Q77" s="361"/>
      <c r="R77" s="361"/>
      <c r="S77" s="361"/>
      <c r="T77" s="360">
        <v>900</v>
      </c>
      <c r="U77" s="360">
        <v>1080</v>
      </c>
      <c r="V77" s="360">
        <v>0</v>
      </c>
      <c r="W77" s="360">
        <v>495</v>
      </c>
      <c r="X77" s="360">
        <v>576</v>
      </c>
      <c r="Z77" s="56">
        <f t="shared" si="36"/>
        <v>27853</v>
      </c>
    </row>
    <row r="78" spans="1:26" x14ac:dyDescent="0.2">
      <c r="A78" s="179">
        <v>45689</v>
      </c>
      <c r="B78" s="56">
        <v>8964</v>
      </c>
      <c r="C78" s="56">
        <v>8964</v>
      </c>
      <c r="D78" s="56">
        <v>5119</v>
      </c>
      <c r="E78" s="56">
        <v>5135</v>
      </c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9"/>
      <c r="U78" s="9"/>
      <c r="V78" s="9"/>
      <c r="W78" s="9"/>
      <c r="X78" s="9"/>
      <c r="Z78" s="56">
        <f t="shared" si="36"/>
        <v>28182</v>
      </c>
    </row>
    <row r="79" spans="1:26" x14ac:dyDescent="0.2">
      <c r="A79" s="179">
        <v>45717</v>
      </c>
      <c r="B79" s="56">
        <v>10368</v>
      </c>
      <c r="C79" s="56">
        <v>10152</v>
      </c>
      <c r="D79" s="56">
        <v>5686</v>
      </c>
      <c r="E79" s="56">
        <v>5686</v>
      </c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9"/>
      <c r="U79" s="9"/>
      <c r="V79" s="9"/>
      <c r="W79" s="9"/>
      <c r="X79" s="9"/>
      <c r="Y79" s="9"/>
      <c r="Z79" s="56">
        <f t="shared" si="36"/>
        <v>31892</v>
      </c>
    </row>
    <row r="80" spans="1:26" x14ac:dyDescent="0.2">
      <c r="A80" s="179">
        <v>45748</v>
      </c>
      <c r="B80" s="56">
        <v>9720</v>
      </c>
      <c r="C80" s="56">
        <v>8612</v>
      </c>
      <c r="D80" s="56">
        <v>5492</v>
      </c>
      <c r="E80" s="56">
        <v>5476</v>
      </c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9"/>
      <c r="U80" s="9"/>
      <c r="V80" s="9"/>
      <c r="W80" s="9"/>
      <c r="X80" s="9"/>
      <c r="Y80" s="9"/>
      <c r="Z80" s="56">
        <f t="shared" si="36"/>
        <v>29300</v>
      </c>
    </row>
    <row r="81" spans="1:26" x14ac:dyDescent="0.2">
      <c r="A81" s="179">
        <v>45778</v>
      </c>
      <c r="B81" s="56">
        <v>8640</v>
      </c>
      <c r="C81" s="56">
        <v>8640</v>
      </c>
      <c r="D81" s="56">
        <v>5573</v>
      </c>
      <c r="E81" s="56">
        <v>5621</v>
      </c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9"/>
      <c r="U81" s="9"/>
      <c r="V81" s="9"/>
      <c r="W81" s="9"/>
      <c r="X81" s="9"/>
      <c r="Y81" s="9"/>
      <c r="Z81" s="56">
        <f t="shared" si="36"/>
        <v>28474</v>
      </c>
    </row>
    <row r="82" spans="1:26" x14ac:dyDescent="0.2">
      <c r="A82" s="179">
        <v>45809</v>
      </c>
      <c r="B82" s="56">
        <v>7344</v>
      </c>
      <c r="C82" s="56">
        <v>15984</v>
      </c>
      <c r="D82" s="56">
        <v>5119</v>
      </c>
      <c r="E82" s="56">
        <v>5152</v>
      </c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9"/>
      <c r="U82" s="9"/>
      <c r="V82" s="9"/>
      <c r="W82" s="9"/>
      <c r="X82" s="9"/>
      <c r="Y82" s="9"/>
      <c r="Z82" s="56">
        <f>SUM(B82:E82)</f>
        <v>33599</v>
      </c>
    </row>
    <row r="83" spans="1:26" ht="34" x14ac:dyDescent="0.2">
      <c r="A83" s="18" t="s">
        <v>467</v>
      </c>
      <c r="B83" s="56">
        <f>SUM(B71:B82)</f>
        <v>99468</v>
      </c>
      <c r="C83" s="56">
        <f t="shared" ref="C83:Y83" si="37">SUM(C71:C82)</f>
        <v>112292</v>
      </c>
      <c r="D83" s="56">
        <f t="shared" si="37"/>
        <v>65561</v>
      </c>
      <c r="E83" s="56">
        <f t="shared" si="37"/>
        <v>67634</v>
      </c>
      <c r="F83" s="56">
        <f t="shared" si="37"/>
        <v>22076</v>
      </c>
      <c r="G83" s="56">
        <f t="shared" si="37"/>
        <v>20561</v>
      </c>
      <c r="H83" s="56">
        <f t="shared" si="37"/>
        <v>8160</v>
      </c>
      <c r="I83" s="56">
        <f t="shared" si="37"/>
        <v>9062</v>
      </c>
      <c r="J83" s="56">
        <f t="shared" si="37"/>
        <v>11388</v>
      </c>
      <c r="K83" s="56">
        <f t="shared" si="37"/>
        <v>7062</v>
      </c>
      <c r="L83" s="56">
        <f t="shared" si="37"/>
        <v>2034</v>
      </c>
      <c r="M83" s="56">
        <f t="shared" si="37"/>
        <v>1476</v>
      </c>
      <c r="N83" s="56">
        <f t="shared" si="37"/>
        <v>8250</v>
      </c>
      <c r="O83" s="56">
        <f t="shared" si="37"/>
        <v>7915</v>
      </c>
      <c r="P83" s="56">
        <f t="shared" si="37"/>
        <v>0</v>
      </c>
      <c r="Q83" s="56">
        <f t="shared" si="37"/>
        <v>0</v>
      </c>
      <c r="R83" s="56">
        <f t="shared" si="37"/>
        <v>0</v>
      </c>
      <c r="S83" s="56">
        <f t="shared" si="37"/>
        <v>0</v>
      </c>
      <c r="T83" s="56">
        <f t="shared" si="37"/>
        <v>3420</v>
      </c>
      <c r="U83" s="56">
        <f t="shared" si="37"/>
        <v>4644</v>
      </c>
      <c r="V83" s="56">
        <f t="shared" si="37"/>
        <v>0</v>
      </c>
      <c r="W83" s="56">
        <f t="shared" si="37"/>
        <v>4140</v>
      </c>
      <c r="X83" s="56">
        <f t="shared" si="37"/>
        <v>4716</v>
      </c>
      <c r="Y83" s="56">
        <f t="shared" si="37"/>
        <v>0</v>
      </c>
      <c r="Z83" s="56">
        <f>SUM(Z71:Z82)</f>
        <v>344955</v>
      </c>
    </row>
    <row r="84" spans="1:26" ht="34" x14ac:dyDescent="0.2">
      <c r="A84" s="18" t="s">
        <v>468</v>
      </c>
      <c r="B84" s="675">
        <f>SUM(B71:C82)</f>
        <v>211760</v>
      </c>
      <c r="C84" s="675"/>
      <c r="D84" s="675">
        <f>SUM(D71:E82)</f>
        <v>133195</v>
      </c>
      <c r="E84" s="675"/>
      <c r="F84" s="675">
        <f>SUM(F77:G82)</f>
        <v>5486</v>
      </c>
      <c r="G84" s="675"/>
      <c r="H84" s="675">
        <f>SUM(H77:I82)</f>
        <v>2132</v>
      </c>
      <c r="I84" s="675"/>
      <c r="J84" s="675">
        <f>SUM(J77:K82)</f>
        <v>9898</v>
      </c>
      <c r="K84" s="675"/>
      <c r="L84" s="675">
        <f>SUM(L77:M82)</f>
        <v>270</v>
      </c>
      <c r="M84" s="675"/>
      <c r="N84" s="675">
        <f>SUM(N77:O82)</f>
        <v>2074</v>
      </c>
      <c r="O84" s="675"/>
      <c r="P84" s="675">
        <f>SUM(P77:Q82)</f>
        <v>0</v>
      </c>
      <c r="Q84" s="675"/>
      <c r="R84" s="675">
        <f>SUM(R77:S82)</f>
        <v>0</v>
      </c>
      <c r="S84" s="675"/>
      <c r="T84" s="675">
        <f>SUM(T77:V82)</f>
        <v>1980</v>
      </c>
      <c r="U84" s="675"/>
      <c r="V84" s="675"/>
      <c r="W84" s="675">
        <f>SUM(W77:X82)</f>
        <v>1071</v>
      </c>
      <c r="X84" s="675"/>
      <c r="Y84" s="56">
        <f>SUM(Y77:Y82)</f>
        <v>0</v>
      </c>
      <c r="Z84" s="56"/>
    </row>
    <row r="85" spans="1:26" x14ac:dyDescent="0.2"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7" x14ac:dyDescent="0.2">
      <c r="A86" s="18" t="s">
        <v>469</v>
      </c>
      <c r="B86" s="178">
        <f>SUM(B83:E83)</f>
        <v>344955</v>
      </c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Z86" s="56"/>
    </row>
    <row r="89" spans="1:26" ht="17" x14ac:dyDescent="0.2">
      <c r="A89" s="181" t="s">
        <v>735</v>
      </c>
    </row>
    <row r="90" spans="1:26" ht="17" x14ac:dyDescent="0.2">
      <c r="A90" s="18" t="s">
        <v>428</v>
      </c>
      <c r="B90" s="55">
        <v>1</v>
      </c>
      <c r="C90" s="55">
        <v>2</v>
      </c>
      <c r="D90" s="55">
        <v>3</v>
      </c>
      <c r="E90" s="55">
        <v>4</v>
      </c>
      <c r="F90" s="55">
        <v>5</v>
      </c>
      <c r="G90" s="55">
        <v>6</v>
      </c>
      <c r="H90" s="55">
        <v>7</v>
      </c>
      <c r="I90" s="55">
        <v>8</v>
      </c>
      <c r="J90" s="55">
        <v>9</v>
      </c>
      <c r="K90" s="55">
        <v>10</v>
      </c>
      <c r="L90" s="55">
        <v>11</v>
      </c>
      <c r="M90" s="55">
        <v>12</v>
      </c>
      <c r="N90" s="55">
        <v>13</v>
      </c>
      <c r="O90" s="55">
        <v>14</v>
      </c>
      <c r="P90" s="55">
        <v>15</v>
      </c>
      <c r="Q90" s="55">
        <v>16</v>
      </c>
      <c r="R90" s="55">
        <v>17</v>
      </c>
      <c r="S90" s="55">
        <v>18</v>
      </c>
      <c r="T90" s="55">
        <v>19</v>
      </c>
      <c r="U90" s="55">
        <v>20</v>
      </c>
      <c r="V90" s="55">
        <v>21</v>
      </c>
      <c r="W90" s="55">
        <v>22</v>
      </c>
      <c r="X90" s="55">
        <v>23</v>
      </c>
      <c r="Y90" s="55">
        <v>24</v>
      </c>
    </row>
    <row r="91" spans="1:26" ht="34" x14ac:dyDescent="0.2">
      <c r="A91" s="18" t="s">
        <v>429</v>
      </c>
      <c r="B91" s="12" t="s">
        <v>430</v>
      </c>
      <c r="C91" s="12" t="s">
        <v>431</v>
      </c>
      <c r="D91" s="12" t="s">
        <v>432</v>
      </c>
      <c r="E91" s="12" t="s">
        <v>433</v>
      </c>
      <c r="F91" s="12" t="s">
        <v>434</v>
      </c>
      <c r="G91" s="12" t="s">
        <v>435</v>
      </c>
      <c r="H91" s="12" t="s">
        <v>436</v>
      </c>
      <c r="I91" s="12" t="s">
        <v>437</v>
      </c>
      <c r="J91" s="12" t="s">
        <v>438</v>
      </c>
      <c r="K91" s="12" t="s">
        <v>439</v>
      </c>
      <c r="L91" s="12" t="s">
        <v>440</v>
      </c>
      <c r="M91" s="12" t="s">
        <v>441</v>
      </c>
      <c r="N91" s="12" t="s">
        <v>442</v>
      </c>
      <c r="O91" s="12" t="s">
        <v>443</v>
      </c>
      <c r="P91" s="12" t="s">
        <v>444</v>
      </c>
      <c r="Q91" s="12" t="s">
        <v>445</v>
      </c>
      <c r="R91" s="12" t="s">
        <v>446</v>
      </c>
      <c r="S91" s="12" t="s">
        <v>447</v>
      </c>
      <c r="T91" s="12" t="s">
        <v>448</v>
      </c>
      <c r="U91" s="12" t="s">
        <v>449</v>
      </c>
      <c r="V91" s="12" t="s">
        <v>450</v>
      </c>
      <c r="W91" s="12" t="s">
        <v>451</v>
      </c>
      <c r="X91" s="12" t="s">
        <v>452</v>
      </c>
      <c r="Y91" s="12" t="s">
        <v>470</v>
      </c>
      <c r="Z91" s="18"/>
    </row>
    <row r="92" spans="1:26" ht="34" x14ac:dyDescent="0.2">
      <c r="A92" s="18" t="s">
        <v>454</v>
      </c>
      <c r="B92" s="674" t="s">
        <v>455</v>
      </c>
      <c r="C92" s="674"/>
      <c r="D92" s="674" t="s">
        <v>456</v>
      </c>
      <c r="E92" s="674"/>
      <c r="F92" s="674" t="s">
        <v>457</v>
      </c>
      <c r="G92" s="674"/>
      <c r="H92" s="674" t="s">
        <v>458</v>
      </c>
      <c r="I92" s="674"/>
      <c r="J92" s="674" t="s">
        <v>459</v>
      </c>
      <c r="K92" s="674"/>
      <c r="L92" s="674" t="s">
        <v>460</v>
      </c>
      <c r="M92" s="674"/>
      <c r="N92" s="674" t="s">
        <v>461</v>
      </c>
      <c r="O92" s="674"/>
      <c r="P92" s="674" t="s">
        <v>462</v>
      </c>
      <c r="Q92" s="674"/>
      <c r="R92" s="674" t="s">
        <v>463</v>
      </c>
      <c r="S92" s="674"/>
      <c r="T92" s="674" t="s">
        <v>464</v>
      </c>
      <c r="U92" s="674"/>
      <c r="V92" s="674"/>
      <c r="W92" s="674" t="s">
        <v>465</v>
      </c>
      <c r="X92" s="674"/>
      <c r="Y92" s="12" t="s">
        <v>470</v>
      </c>
      <c r="Z92" s="18" t="s">
        <v>466</v>
      </c>
    </row>
    <row r="93" spans="1:26" x14ac:dyDescent="0.2">
      <c r="A93" s="179">
        <v>45839</v>
      </c>
      <c r="B93" s="56">
        <v>7668</v>
      </c>
      <c r="C93" s="56">
        <v>15984</v>
      </c>
      <c r="D93" s="56">
        <v>4811</v>
      </c>
      <c r="E93" s="56">
        <v>6010</v>
      </c>
      <c r="F93" s="56">
        <v>2678</v>
      </c>
      <c r="G93" s="56">
        <v>2419</v>
      </c>
      <c r="H93" s="56">
        <v>1353</v>
      </c>
      <c r="I93" s="56">
        <v>1476</v>
      </c>
      <c r="J93" s="56">
        <v>535</v>
      </c>
      <c r="K93" s="56">
        <v>518</v>
      </c>
      <c r="L93" s="56">
        <v>198</v>
      </c>
      <c r="M93" s="56">
        <v>144</v>
      </c>
      <c r="N93" s="56">
        <v>1256</v>
      </c>
      <c r="O93" s="56">
        <v>1232</v>
      </c>
      <c r="P93" s="56"/>
      <c r="Q93" s="56"/>
      <c r="R93" s="56"/>
      <c r="S93" s="56"/>
      <c r="T93" s="9">
        <v>360</v>
      </c>
      <c r="U93" s="9">
        <v>468</v>
      </c>
      <c r="V93" s="9"/>
      <c r="W93" s="9">
        <v>612</v>
      </c>
      <c r="X93" s="9">
        <v>693</v>
      </c>
      <c r="Y93" s="9"/>
      <c r="Z93" s="56">
        <f>SUM(B93:E93)</f>
        <v>34473</v>
      </c>
    </row>
    <row r="94" spans="1:26" x14ac:dyDescent="0.2">
      <c r="A94" s="179">
        <v>45870</v>
      </c>
      <c r="B94" s="360">
        <v>7992</v>
      </c>
      <c r="C94" s="360">
        <v>17604</v>
      </c>
      <c r="D94" s="360">
        <v>5735</v>
      </c>
      <c r="E94" s="360">
        <v>5719</v>
      </c>
      <c r="F94" s="360">
        <v>2333</v>
      </c>
      <c r="G94" s="360">
        <v>2203</v>
      </c>
      <c r="H94" s="360">
        <v>1210</v>
      </c>
      <c r="I94" s="360">
        <v>1312</v>
      </c>
      <c r="J94" s="360">
        <v>567</v>
      </c>
      <c r="K94" s="360">
        <v>551</v>
      </c>
      <c r="L94" s="360">
        <v>234</v>
      </c>
      <c r="M94" s="360">
        <v>162</v>
      </c>
      <c r="N94" s="360">
        <v>1144</v>
      </c>
      <c r="O94" s="360">
        <v>1121</v>
      </c>
      <c r="P94" s="361"/>
      <c r="Q94" s="361"/>
      <c r="R94" s="361"/>
      <c r="S94" s="361"/>
      <c r="T94" s="360">
        <v>396</v>
      </c>
      <c r="U94" s="360">
        <v>1044</v>
      </c>
      <c r="V94" s="360">
        <v>0</v>
      </c>
      <c r="W94" s="360">
        <v>585</v>
      </c>
      <c r="X94" s="360">
        <v>666</v>
      </c>
      <c r="Y94" s="9"/>
      <c r="Z94" s="56">
        <f t="shared" ref="Z94:Z104" si="38">SUM(B94:E94)</f>
        <v>37050</v>
      </c>
    </row>
    <row r="95" spans="1:26" x14ac:dyDescent="0.2">
      <c r="A95" s="179">
        <v>45901</v>
      </c>
      <c r="B95" s="360">
        <v>8532</v>
      </c>
      <c r="C95" s="360">
        <v>21924</v>
      </c>
      <c r="D95" s="360">
        <v>5540</v>
      </c>
      <c r="E95" s="360">
        <v>5540</v>
      </c>
      <c r="F95" s="360">
        <v>3283</v>
      </c>
      <c r="G95" s="360">
        <v>3067</v>
      </c>
      <c r="H95" s="360">
        <v>1230</v>
      </c>
      <c r="I95" s="360">
        <v>1394</v>
      </c>
      <c r="J95" s="360">
        <v>632</v>
      </c>
      <c r="K95" s="360">
        <v>632</v>
      </c>
      <c r="L95" s="360">
        <v>378</v>
      </c>
      <c r="M95" s="360">
        <v>288</v>
      </c>
      <c r="N95" s="360">
        <v>958</v>
      </c>
      <c r="O95" s="360">
        <v>842</v>
      </c>
      <c r="P95" s="361"/>
      <c r="Q95" s="361"/>
      <c r="R95" s="361"/>
      <c r="S95" s="361"/>
      <c r="T95" s="360">
        <v>540</v>
      </c>
      <c r="U95" s="360">
        <v>684</v>
      </c>
      <c r="V95" s="360">
        <v>0</v>
      </c>
      <c r="W95" s="360">
        <v>666</v>
      </c>
      <c r="X95" s="360">
        <v>756</v>
      </c>
      <c r="Y95" s="9"/>
      <c r="Z95" s="56">
        <f t="shared" si="38"/>
        <v>41536</v>
      </c>
    </row>
    <row r="96" spans="1:26" x14ac:dyDescent="0.2">
      <c r="A96" s="179">
        <v>45931</v>
      </c>
      <c r="B96" s="360">
        <v>15660</v>
      </c>
      <c r="C96" s="360">
        <v>12204</v>
      </c>
      <c r="D96" s="360">
        <v>5735</v>
      </c>
      <c r="E96" s="360">
        <v>5719</v>
      </c>
      <c r="F96" s="360">
        <v>3802</v>
      </c>
      <c r="G96" s="360">
        <v>3542</v>
      </c>
      <c r="H96" s="360">
        <v>1107</v>
      </c>
      <c r="I96" s="360">
        <v>1251</v>
      </c>
      <c r="J96" s="360">
        <v>599</v>
      </c>
      <c r="K96" s="360">
        <v>599</v>
      </c>
      <c r="L96" s="360">
        <v>342</v>
      </c>
      <c r="M96" s="360">
        <v>270</v>
      </c>
      <c r="N96" s="360">
        <v>1232</v>
      </c>
      <c r="O96" s="360">
        <v>1149</v>
      </c>
      <c r="P96" s="361"/>
      <c r="Q96" s="361"/>
      <c r="R96" s="361"/>
      <c r="S96" s="361"/>
      <c r="T96" s="360">
        <v>612</v>
      </c>
      <c r="U96" s="360">
        <v>432</v>
      </c>
      <c r="V96" s="360">
        <v>0</v>
      </c>
      <c r="W96" s="360">
        <v>720</v>
      </c>
      <c r="X96" s="360">
        <v>828</v>
      </c>
      <c r="Y96" s="9"/>
      <c r="Z96" s="56">
        <f t="shared" si="38"/>
        <v>39318</v>
      </c>
    </row>
    <row r="97" spans="1:26" x14ac:dyDescent="0.2">
      <c r="A97" s="179">
        <v>45962</v>
      </c>
      <c r="B97" s="360">
        <v>11880</v>
      </c>
      <c r="C97" s="360">
        <v>22356</v>
      </c>
      <c r="D97" s="360">
        <v>2543</v>
      </c>
      <c r="E97" s="360">
        <v>5508</v>
      </c>
      <c r="F97" s="360">
        <v>3802</v>
      </c>
      <c r="G97" s="360">
        <v>3542</v>
      </c>
      <c r="H97" s="360">
        <v>1107</v>
      </c>
      <c r="I97" s="360">
        <v>1271</v>
      </c>
      <c r="J97" s="360">
        <v>583</v>
      </c>
      <c r="K97" s="360">
        <v>599</v>
      </c>
      <c r="L97" s="360">
        <v>414</v>
      </c>
      <c r="M97" s="360">
        <v>270</v>
      </c>
      <c r="N97" s="360">
        <v>1149</v>
      </c>
      <c r="O97" s="360">
        <v>1125</v>
      </c>
      <c r="P97" s="361"/>
      <c r="Q97" s="361"/>
      <c r="R97" s="361"/>
      <c r="S97" s="361"/>
      <c r="T97" s="360">
        <v>612</v>
      </c>
      <c r="U97" s="360">
        <v>936</v>
      </c>
      <c r="V97" s="360">
        <v>0</v>
      </c>
      <c r="W97" s="360">
        <v>513</v>
      </c>
      <c r="X97" s="360">
        <v>576</v>
      </c>
      <c r="Y97" s="9"/>
      <c r="Z97" s="56">
        <f t="shared" si="38"/>
        <v>42287</v>
      </c>
    </row>
    <row r="98" spans="1:26" x14ac:dyDescent="0.2">
      <c r="A98" s="179">
        <v>45992</v>
      </c>
      <c r="B98" s="360">
        <v>7668</v>
      </c>
      <c r="C98" s="360">
        <v>8028</v>
      </c>
      <c r="D98" s="360">
        <v>3839</v>
      </c>
      <c r="E98" s="360">
        <v>7209</v>
      </c>
      <c r="F98" s="360">
        <v>3370</v>
      </c>
      <c r="G98" s="360">
        <v>3110</v>
      </c>
      <c r="H98" s="360">
        <v>1128</v>
      </c>
      <c r="I98" s="360">
        <v>1251</v>
      </c>
      <c r="J98" s="360">
        <v>518</v>
      </c>
      <c r="K98" s="360">
        <v>2219</v>
      </c>
      <c r="L98" s="360">
        <v>306</v>
      </c>
      <c r="M98" s="360">
        <v>234</v>
      </c>
      <c r="N98" s="360">
        <v>1455</v>
      </c>
      <c r="O98" s="360">
        <v>1428</v>
      </c>
      <c r="P98" s="361"/>
      <c r="Q98" s="361"/>
      <c r="R98" s="361"/>
      <c r="S98" s="361"/>
      <c r="T98" s="360">
        <v>0</v>
      </c>
      <c r="U98" s="360">
        <v>0</v>
      </c>
      <c r="V98" s="360">
        <v>0</v>
      </c>
      <c r="W98" s="360">
        <v>549</v>
      </c>
      <c r="X98" s="360">
        <v>621</v>
      </c>
      <c r="Y98" s="9"/>
      <c r="Z98" s="56">
        <f t="shared" si="38"/>
        <v>26744</v>
      </c>
    </row>
    <row r="99" spans="1:26" x14ac:dyDescent="0.2">
      <c r="A99" s="179">
        <v>46023</v>
      </c>
      <c r="B99" s="360">
        <v>8208</v>
      </c>
      <c r="C99" s="360">
        <v>7295</v>
      </c>
      <c r="D99" s="360">
        <v>5913</v>
      </c>
      <c r="E99" s="360">
        <v>5524</v>
      </c>
      <c r="F99" s="360">
        <v>2808</v>
      </c>
      <c r="G99" s="360">
        <v>2678</v>
      </c>
      <c r="H99" s="360">
        <v>1025</v>
      </c>
      <c r="I99" s="360">
        <v>1107</v>
      </c>
      <c r="J99" s="360">
        <v>7954</v>
      </c>
      <c r="K99" s="360">
        <v>1944</v>
      </c>
      <c r="L99" s="360">
        <v>162</v>
      </c>
      <c r="M99" s="360">
        <v>108</v>
      </c>
      <c r="N99" s="360">
        <v>1056</v>
      </c>
      <c r="O99" s="360">
        <v>1018</v>
      </c>
      <c r="P99" s="361"/>
      <c r="Q99" s="361"/>
      <c r="R99" s="361"/>
      <c r="S99" s="361"/>
      <c r="T99" s="360">
        <v>900</v>
      </c>
      <c r="U99" s="360">
        <v>1080</v>
      </c>
      <c r="V99" s="360">
        <v>0</v>
      </c>
      <c r="W99" s="360">
        <v>495</v>
      </c>
      <c r="X99" s="360">
        <v>576</v>
      </c>
      <c r="Z99" s="56">
        <f t="shared" si="38"/>
        <v>26940</v>
      </c>
    </row>
    <row r="100" spans="1:26" x14ac:dyDescent="0.2">
      <c r="A100" s="179">
        <v>46054</v>
      </c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9"/>
      <c r="U100" s="9"/>
      <c r="V100" s="9"/>
      <c r="W100" s="9"/>
      <c r="X100" s="9"/>
      <c r="Z100" s="56">
        <f t="shared" si="38"/>
        <v>0</v>
      </c>
    </row>
    <row r="101" spans="1:26" x14ac:dyDescent="0.2">
      <c r="A101" s="179">
        <v>46082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9"/>
      <c r="U101" s="9"/>
      <c r="V101" s="9"/>
      <c r="W101" s="9"/>
      <c r="X101" s="9"/>
      <c r="Y101" s="9"/>
      <c r="Z101" s="56">
        <f t="shared" si="38"/>
        <v>0</v>
      </c>
    </row>
    <row r="102" spans="1:26" x14ac:dyDescent="0.2">
      <c r="A102" s="179">
        <v>46113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9"/>
      <c r="U102" s="9"/>
      <c r="V102" s="9"/>
      <c r="W102" s="9"/>
      <c r="X102" s="9"/>
      <c r="Y102" s="9"/>
      <c r="Z102" s="56">
        <f t="shared" si="38"/>
        <v>0</v>
      </c>
    </row>
    <row r="103" spans="1:26" x14ac:dyDescent="0.2">
      <c r="A103" s="179">
        <v>46143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9"/>
      <c r="U103" s="9"/>
      <c r="V103" s="9"/>
      <c r="W103" s="9"/>
      <c r="X103" s="9"/>
      <c r="Y103" s="9"/>
      <c r="Z103" s="56">
        <f t="shared" si="38"/>
        <v>0</v>
      </c>
    </row>
    <row r="104" spans="1:26" x14ac:dyDescent="0.2">
      <c r="A104" s="179">
        <v>46174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9"/>
      <c r="U104" s="9"/>
      <c r="V104" s="9"/>
      <c r="W104" s="9"/>
      <c r="X104" s="9"/>
      <c r="Y104" s="9"/>
      <c r="Z104" s="56">
        <f t="shared" si="38"/>
        <v>0</v>
      </c>
    </row>
    <row r="105" spans="1:26" ht="34" x14ac:dyDescent="0.2">
      <c r="A105" s="18" t="s">
        <v>467</v>
      </c>
      <c r="B105" s="56">
        <f>SUM(B93:B104)</f>
        <v>67608</v>
      </c>
      <c r="C105" s="56">
        <f>SUM(C93:C104)</f>
        <v>105395</v>
      </c>
      <c r="D105" s="56">
        <f t="shared" ref="D105:Y105" si="39">SUM(D93:D104)</f>
        <v>34116</v>
      </c>
      <c r="E105" s="56">
        <f t="shared" si="39"/>
        <v>41229</v>
      </c>
      <c r="F105" s="56">
        <f t="shared" si="39"/>
        <v>22076</v>
      </c>
      <c r="G105" s="56">
        <f t="shared" si="39"/>
        <v>20561</v>
      </c>
      <c r="H105" s="56">
        <f t="shared" si="39"/>
        <v>8160</v>
      </c>
      <c r="I105" s="56">
        <f t="shared" si="39"/>
        <v>9062</v>
      </c>
      <c r="J105" s="56">
        <f t="shared" si="39"/>
        <v>11388</v>
      </c>
      <c r="K105" s="56">
        <f t="shared" si="39"/>
        <v>7062</v>
      </c>
      <c r="L105" s="56">
        <f t="shared" si="39"/>
        <v>2034</v>
      </c>
      <c r="M105" s="56">
        <f t="shared" si="39"/>
        <v>1476</v>
      </c>
      <c r="N105" s="56">
        <f t="shared" si="39"/>
        <v>8250</v>
      </c>
      <c r="O105" s="56">
        <f t="shared" si="39"/>
        <v>7915</v>
      </c>
      <c r="P105" s="56">
        <f t="shared" si="39"/>
        <v>0</v>
      </c>
      <c r="Q105" s="56">
        <f t="shared" si="39"/>
        <v>0</v>
      </c>
      <c r="R105" s="56">
        <f t="shared" si="39"/>
        <v>0</v>
      </c>
      <c r="S105" s="56">
        <f t="shared" si="39"/>
        <v>0</v>
      </c>
      <c r="T105" s="56">
        <f t="shared" si="39"/>
        <v>3420</v>
      </c>
      <c r="U105" s="56">
        <f t="shared" si="39"/>
        <v>4644</v>
      </c>
      <c r="V105" s="56">
        <f t="shared" si="39"/>
        <v>0</v>
      </c>
      <c r="W105" s="56">
        <f t="shared" si="39"/>
        <v>4140</v>
      </c>
      <c r="X105" s="56">
        <f t="shared" si="39"/>
        <v>4716</v>
      </c>
      <c r="Y105" s="56">
        <f t="shared" si="39"/>
        <v>0</v>
      </c>
      <c r="Z105" s="56">
        <f>SUM(Z93:Z104)</f>
        <v>248348</v>
      </c>
    </row>
    <row r="106" spans="1:26" ht="34" x14ac:dyDescent="0.2">
      <c r="A106" s="18" t="s">
        <v>468</v>
      </c>
      <c r="B106" s="675">
        <f>SUM(B93:C104)</f>
        <v>173003</v>
      </c>
      <c r="C106" s="675"/>
      <c r="D106" s="675">
        <f>SUM(D93:E104)</f>
        <v>75345</v>
      </c>
      <c r="E106" s="675"/>
      <c r="F106" s="675">
        <f>SUM(F99:G104)</f>
        <v>5486</v>
      </c>
      <c r="G106" s="675"/>
      <c r="H106" s="675">
        <f>SUM(H99:I104)</f>
        <v>2132</v>
      </c>
      <c r="I106" s="675"/>
      <c r="J106" s="675">
        <f>SUM(J99:K104)</f>
        <v>9898</v>
      </c>
      <c r="K106" s="675"/>
      <c r="L106" s="675">
        <f>SUM(L99:M104)</f>
        <v>270</v>
      </c>
      <c r="M106" s="675"/>
      <c r="N106" s="675">
        <f>SUM(N99:O104)</f>
        <v>2074</v>
      </c>
      <c r="O106" s="675"/>
      <c r="P106" s="675">
        <f>SUM(P99:Q104)</f>
        <v>0</v>
      </c>
      <c r="Q106" s="675"/>
      <c r="R106" s="675">
        <f>SUM(R99:S104)</f>
        <v>0</v>
      </c>
      <c r="S106" s="675"/>
      <c r="T106" s="675">
        <f>SUM(T99:V104)</f>
        <v>1980</v>
      </c>
      <c r="U106" s="675"/>
      <c r="V106" s="675"/>
      <c r="W106" s="675">
        <f>SUM(W99:X104)</f>
        <v>1071</v>
      </c>
      <c r="X106" s="675"/>
      <c r="Y106" s="56">
        <f>SUM(Y99:Y104)</f>
        <v>0</v>
      </c>
      <c r="Z106" s="56"/>
    </row>
    <row r="107" spans="1:26" x14ac:dyDescent="0.2"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7" x14ac:dyDescent="0.2">
      <c r="A108" s="18" t="s">
        <v>469</v>
      </c>
      <c r="B108" s="178">
        <f>SUM(B105:E105)</f>
        <v>248348</v>
      </c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Z108" s="56"/>
    </row>
  </sheetData>
  <mergeCells count="110">
    <mergeCell ref="T70:V70"/>
    <mergeCell ref="B70:C70"/>
    <mergeCell ref="D70:E70"/>
    <mergeCell ref="F70:G70"/>
    <mergeCell ref="H70:I70"/>
    <mergeCell ref="J70:K70"/>
    <mergeCell ref="W70:X70"/>
    <mergeCell ref="B84:C84"/>
    <mergeCell ref="D84:E84"/>
    <mergeCell ref="F84:G84"/>
    <mergeCell ref="H84:I84"/>
    <mergeCell ref="J84:K84"/>
    <mergeCell ref="L84:M84"/>
    <mergeCell ref="N84:O84"/>
    <mergeCell ref="P84:Q84"/>
    <mergeCell ref="R84:S84"/>
    <mergeCell ref="T84:V84"/>
    <mergeCell ref="W84:X84"/>
    <mergeCell ref="L70:M70"/>
    <mergeCell ref="N70:O70"/>
    <mergeCell ref="P70:Q70"/>
    <mergeCell ref="R70:S70"/>
    <mergeCell ref="T48:V48"/>
    <mergeCell ref="B48:C48"/>
    <mergeCell ref="D48:E48"/>
    <mergeCell ref="F48:G48"/>
    <mergeCell ref="H48:I48"/>
    <mergeCell ref="J48:K48"/>
    <mergeCell ref="W48:X48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V62"/>
    <mergeCell ref="W62:X62"/>
    <mergeCell ref="L48:M48"/>
    <mergeCell ref="N48:O48"/>
    <mergeCell ref="P48:Q48"/>
    <mergeCell ref="R48:S48"/>
    <mergeCell ref="W40:X40"/>
    <mergeCell ref="N26:O26"/>
    <mergeCell ref="P26:Q26"/>
    <mergeCell ref="R26:S26"/>
    <mergeCell ref="T26:V26"/>
    <mergeCell ref="W26:X26"/>
    <mergeCell ref="L40:M40"/>
    <mergeCell ref="N40:O40"/>
    <mergeCell ref="P40:Q40"/>
    <mergeCell ref="R40:S40"/>
    <mergeCell ref="T40:V40"/>
    <mergeCell ref="B26:C26"/>
    <mergeCell ref="D26:E26"/>
    <mergeCell ref="F26:G26"/>
    <mergeCell ref="H26:I26"/>
    <mergeCell ref="J26:K26"/>
    <mergeCell ref="B40:C40"/>
    <mergeCell ref="D40:E40"/>
    <mergeCell ref="F40:G40"/>
    <mergeCell ref="H40:I40"/>
    <mergeCell ref="J40:K40"/>
    <mergeCell ref="T18:V18"/>
    <mergeCell ref="W18:X18"/>
    <mergeCell ref="N4:O4"/>
    <mergeCell ref="P4:Q4"/>
    <mergeCell ref="R4:S4"/>
    <mergeCell ref="T4:V4"/>
    <mergeCell ref="W4:X4"/>
    <mergeCell ref="L26:M26"/>
    <mergeCell ref="L18:M18"/>
    <mergeCell ref="N18:O18"/>
    <mergeCell ref="P18:Q18"/>
    <mergeCell ref="R18:S18"/>
    <mergeCell ref="L4:M4"/>
    <mergeCell ref="B4:C4"/>
    <mergeCell ref="D4:E4"/>
    <mergeCell ref="F4:G4"/>
    <mergeCell ref="H4:I4"/>
    <mergeCell ref="J4:K4"/>
    <mergeCell ref="B18:C18"/>
    <mergeCell ref="D18:E18"/>
    <mergeCell ref="F18:G18"/>
    <mergeCell ref="H18:I18"/>
    <mergeCell ref="J18:K18"/>
    <mergeCell ref="W92:X92"/>
    <mergeCell ref="B106:C106"/>
    <mergeCell ref="D106:E106"/>
    <mergeCell ref="F106:G106"/>
    <mergeCell ref="H106:I106"/>
    <mergeCell ref="J106:K106"/>
    <mergeCell ref="L106:M106"/>
    <mergeCell ref="N106:O106"/>
    <mergeCell ref="P106:Q106"/>
    <mergeCell ref="R106:S106"/>
    <mergeCell ref="T106:V106"/>
    <mergeCell ref="W106:X106"/>
    <mergeCell ref="L92:M92"/>
    <mergeCell ref="N92:O92"/>
    <mergeCell ref="P92:Q92"/>
    <mergeCell ref="R92:S92"/>
    <mergeCell ref="T92:V92"/>
    <mergeCell ref="B92:C92"/>
    <mergeCell ref="D92:E92"/>
    <mergeCell ref="F92:G92"/>
    <mergeCell ref="H92:I92"/>
    <mergeCell ref="J92:K92"/>
  </mergeCells>
  <pageMargins left="0.7" right="0.7" top="0.75" bottom="0.75" header="0.3" footer="0.3"/>
  <pageSetup paperSize="9" orientation="portrait" horizontalDpi="0" verticalDpi="0"/>
  <ignoredErrors>
    <ignoredError sqref="Z5:Z16" formulaRange="1"/>
  </ignoredErrors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CDA3-22B5-4349-92AF-0CF91AD4B762}">
  <dimension ref="A1:G16"/>
  <sheetViews>
    <sheetView workbookViewId="0">
      <selection activeCell="C28" sqref="C28"/>
    </sheetView>
  </sheetViews>
  <sheetFormatPr baseColWidth="10" defaultColWidth="10.1640625" defaultRowHeight="16" x14ac:dyDescent="0.2"/>
  <cols>
    <col min="1" max="1" width="10.1640625" style="87"/>
    <col min="2" max="2" width="13.33203125" style="8" customWidth="1"/>
    <col min="3" max="3" width="15.6640625" style="8" customWidth="1"/>
    <col min="4" max="4" width="13.33203125" style="8" customWidth="1"/>
    <col min="5" max="5" width="10.1640625" style="8"/>
    <col min="6" max="6" width="24.1640625" style="8" customWidth="1"/>
    <col min="7" max="7" width="14.33203125" style="8" bestFit="1" customWidth="1"/>
    <col min="8" max="16384" width="10.1640625" style="8"/>
  </cols>
  <sheetData>
    <row r="1" spans="1:7" s="54" customFormat="1" x14ac:dyDescent="0.2">
      <c r="A1" s="104" t="s">
        <v>272</v>
      </c>
      <c r="B1" s="104" t="s">
        <v>472</v>
      </c>
      <c r="C1" s="104" t="s">
        <v>473</v>
      </c>
      <c r="D1" s="104" t="s">
        <v>474</v>
      </c>
    </row>
    <row r="2" spans="1:7" x14ac:dyDescent="0.2">
      <c r="A2" s="105" t="s">
        <v>58</v>
      </c>
      <c r="B2" s="9">
        <v>229716</v>
      </c>
      <c r="C2" s="9">
        <v>76626</v>
      </c>
      <c r="D2" s="9">
        <f t="shared" ref="D2:D7" si="0">SUM(B2:C2)</f>
        <v>306342</v>
      </c>
    </row>
    <row r="3" spans="1:7" x14ac:dyDescent="0.2">
      <c r="A3" s="105" t="s">
        <v>61</v>
      </c>
      <c r="B3" s="9">
        <v>254880</v>
      </c>
      <c r="C3" s="9">
        <v>90720</v>
      </c>
      <c r="D3" s="9">
        <f t="shared" si="0"/>
        <v>345600</v>
      </c>
    </row>
    <row r="4" spans="1:7" x14ac:dyDescent="0.2">
      <c r="A4" s="105" t="s">
        <v>63</v>
      </c>
      <c r="B4" s="9">
        <v>201492</v>
      </c>
      <c r="C4" s="9">
        <v>144713</v>
      </c>
      <c r="D4" s="9">
        <f t="shared" si="0"/>
        <v>346205</v>
      </c>
    </row>
    <row r="5" spans="1:7" x14ac:dyDescent="0.2">
      <c r="A5" s="105" t="s">
        <v>64</v>
      </c>
      <c r="B5" s="9">
        <v>209628</v>
      </c>
      <c r="C5" s="9">
        <v>148489</v>
      </c>
      <c r="D5" s="9">
        <f t="shared" si="0"/>
        <v>358117</v>
      </c>
    </row>
    <row r="6" spans="1:7" x14ac:dyDescent="0.2">
      <c r="A6" s="105" t="s">
        <v>65</v>
      </c>
      <c r="B6" s="9">
        <v>229068</v>
      </c>
      <c r="C6" s="9">
        <v>143435</v>
      </c>
      <c r="D6" s="9">
        <f t="shared" si="0"/>
        <v>372503</v>
      </c>
    </row>
    <row r="7" spans="1:7" x14ac:dyDescent="0.2">
      <c r="A7" s="105" t="s">
        <v>66</v>
      </c>
      <c r="B7" s="9">
        <v>159408</v>
      </c>
      <c r="C7" s="9">
        <v>138883</v>
      </c>
      <c r="D7" s="9">
        <f t="shared" si="0"/>
        <v>298291</v>
      </c>
    </row>
    <row r="8" spans="1:7" x14ac:dyDescent="0.2">
      <c r="A8" s="105" t="s">
        <v>68</v>
      </c>
      <c r="B8" s="9">
        <v>145720</v>
      </c>
      <c r="C8" s="9">
        <v>123598</v>
      </c>
      <c r="D8" s="357">
        <v>271118</v>
      </c>
      <c r="E8" s="357">
        <f>SUM(B8:C8)</f>
        <v>269318</v>
      </c>
    </row>
    <row r="9" spans="1:7" x14ac:dyDescent="0.2">
      <c r="A9" s="105" t="s">
        <v>70</v>
      </c>
      <c r="B9" s="9">
        <v>143640</v>
      </c>
      <c r="C9" s="9">
        <v>125080</v>
      </c>
      <c r="D9" s="9">
        <f>SUM(B9:C9)</f>
        <v>268720</v>
      </c>
    </row>
    <row r="10" spans="1:7" x14ac:dyDescent="0.2">
      <c r="A10" s="105" t="s">
        <v>72</v>
      </c>
      <c r="B10" s="9">
        <v>226800</v>
      </c>
      <c r="C10" s="9">
        <v>135821</v>
      </c>
      <c r="D10" s="9">
        <f>SUM(B10:C10)</f>
        <v>362621</v>
      </c>
    </row>
    <row r="11" spans="1:7" x14ac:dyDescent="0.2">
      <c r="A11" s="87" t="s">
        <v>74</v>
      </c>
      <c r="B11" s="9">
        <f>SUM('Monthly Seawater (m3)'!B62:C62)</f>
        <v>271080</v>
      </c>
      <c r="C11" s="9">
        <f>SUM('Monthly Seawater (m3)'!D62:E62)</f>
        <v>135594</v>
      </c>
      <c r="D11" s="9">
        <f>SUM(B11:C11)</f>
        <v>406674</v>
      </c>
    </row>
    <row r="12" spans="1:7" x14ac:dyDescent="0.2">
      <c r="A12" s="87" t="s">
        <v>76</v>
      </c>
      <c r="B12" s="9">
        <f>SUM('Monthly Seawater (m3)'!B84:C84)</f>
        <v>211760</v>
      </c>
      <c r="C12" s="9">
        <f>SUM('Monthly Seawater (m3)'!D84:E84)</f>
        <v>133195</v>
      </c>
      <c r="D12" s="9">
        <f>SUM(B12:C12)</f>
        <v>344955</v>
      </c>
    </row>
    <row r="13" spans="1:7" x14ac:dyDescent="0.2">
      <c r="A13" s="87" t="s">
        <v>111</v>
      </c>
      <c r="B13" s="362">
        <f>SUM('Monthly Seawater (m3)'!B106:C106)</f>
        <v>173003</v>
      </c>
      <c r="C13" s="362">
        <f>SUM('Monthly Seawater (m3)'!D106:E106)</f>
        <v>75345</v>
      </c>
      <c r="D13" s="362">
        <f>SUM(B13:C13)</f>
        <v>248348</v>
      </c>
    </row>
    <row r="16" spans="1:7" x14ac:dyDescent="0.2">
      <c r="G16" s="62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73FF-EACE-AA41-8F6A-664319E235C2}">
  <dimension ref="A1:DS77"/>
  <sheetViews>
    <sheetView workbookViewId="0"/>
  </sheetViews>
  <sheetFormatPr baseColWidth="10" defaultColWidth="8.6640625" defaultRowHeight="16" x14ac:dyDescent="0.2"/>
  <cols>
    <col min="1" max="1" width="10.6640625" style="98" customWidth="1"/>
    <col min="2" max="2" width="13.33203125" style="1" customWidth="1"/>
    <col min="3" max="4" width="10.6640625" style="1" customWidth="1"/>
    <col min="5" max="5" width="13.33203125" style="1" customWidth="1"/>
    <col min="6" max="14" width="10.6640625" style="1" customWidth="1"/>
    <col min="16" max="16" width="10.6640625" style="1" customWidth="1"/>
    <col min="17" max="17" width="10.6640625" customWidth="1"/>
    <col min="19" max="19" width="13.33203125" style="1" customWidth="1"/>
    <col min="20" max="20" width="10.6640625" style="1" customWidth="1"/>
    <col min="21" max="21" width="10.6640625" customWidth="1"/>
    <col min="22" max="22" width="10.6640625" style="1" customWidth="1"/>
    <col min="23" max="24" width="13.33203125" style="1" customWidth="1"/>
    <col min="28" max="28" width="10.6640625" customWidth="1"/>
    <col min="29" max="29" width="10.6640625" style="1" customWidth="1"/>
    <col min="31" max="31" width="10.6640625" style="1" customWidth="1"/>
    <col min="32" max="34" width="13.33203125" style="1" customWidth="1"/>
    <col min="35" max="35" width="11.6640625" style="1" customWidth="1"/>
    <col min="37" max="41" width="13.33203125" style="1" customWidth="1"/>
    <col min="42" max="42" width="10.6640625" style="1" customWidth="1"/>
    <col min="43" max="43" width="15.6640625" style="1" customWidth="1"/>
    <col min="44" max="44" width="10.6640625" customWidth="1"/>
    <col min="48" max="48" width="10.6640625" customWidth="1"/>
    <col min="51" max="82" width="10.6640625" style="1" customWidth="1"/>
    <col min="83" max="83" width="10.6640625" customWidth="1"/>
    <col min="84" max="84" width="15.6640625" customWidth="1"/>
    <col min="85" max="106" width="10.6640625" style="1" customWidth="1"/>
    <col min="108" max="119" width="10.6640625" style="1" customWidth="1"/>
    <col min="120" max="120" width="13.33203125" style="1" customWidth="1"/>
    <col min="121" max="16384" width="8.6640625" style="1"/>
  </cols>
  <sheetData>
    <row r="1" spans="1:123" s="55" customFormat="1" ht="85" x14ac:dyDescent="0.2">
      <c r="A1" s="65" t="s">
        <v>291</v>
      </c>
      <c r="B1" s="91" t="s">
        <v>292</v>
      </c>
      <c r="C1" s="91" t="s">
        <v>293</v>
      </c>
      <c r="D1" s="91" t="s">
        <v>294</v>
      </c>
      <c r="E1" s="91" t="s">
        <v>295</v>
      </c>
      <c r="F1" s="235" t="s">
        <v>296</v>
      </c>
      <c r="G1" s="91" t="s">
        <v>297</v>
      </c>
      <c r="H1" s="91" t="s">
        <v>298</v>
      </c>
      <c r="I1" s="91" t="s">
        <v>299</v>
      </c>
      <c r="J1" s="91" t="s">
        <v>300</v>
      </c>
      <c r="K1" s="91" t="s">
        <v>301</v>
      </c>
      <c r="L1" s="91" t="s">
        <v>302</v>
      </c>
      <c r="M1" s="91" t="s">
        <v>303</v>
      </c>
      <c r="N1" s="91" t="s">
        <v>304</v>
      </c>
      <c r="O1" s="91" t="s">
        <v>305</v>
      </c>
      <c r="P1" s="91" t="s">
        <v>306</v>
      </c>
      <c r="Q1" s="91" t="s">
        <v>307</v>
      </c>
      <c r="R1" s="91" t="s">
        <v>308</v>
      </c>
      <c r="S1" s="91" t="s">
        <v>309</v>
      </c>
      <c r="T1" s="91" t="s">
        <v>310</v>
      </c>
      <c r="U1" s="91" t="s">
        <v>311</v>
      </c>
      <c r="V1" s="91" t="s">
        <v>312</v>
      </c>
      <c r="W1" s="91" t="s">
        <v>313</v>
      </c>
      <c r="X1" s="91" t="s">
        <v>314</v>
      </c>
      <c r="Y1" s="91" t="s">
        <v>315</v>
      </c>
      <c r="Z1" s="91" t="s">
        <v>316</v>
      </c>
      <c r="AA1" s="235" t="s">
        <v>317</v>
      </c>
      <c r="AB1" s="236" t="s">
        <v>318</v>
      </c>
      <c r="AC1" s="91" t="s">
        <v>319</v>
      </c>
      <c r="AD1" s="91" t="s">
        <v>320</v>
      </c>
      <c r="AE1" s="91" t="s">
        <v>321</v>
      </c>
      <c r="AF1" s="91" t="s">
        <v>322</v>
      </c>
      <c r="AG1" s="91" t="s">
        <v>323</v>
      </c>
      <c r="AH1" s="91" t="s">
        <v>324</v>
      </c>
      <c r="AI1" s="91" t="s">
        <v>325</v>
      </c>
      <c r="AJ1" s="91" t="s">
        <v>326</v>
      </c>
      <c r="AK1" s="91" t="s">
        <v>327</v>
      </c>
      <c r="AL1" s="91" t="s">
        <v>328</v>
      </c>
      <c r="AM1" s="91" t="s">
        <v>329</v>
      </c>
      <c r="AN1" s="91" t="s">
        <v>330</v>
      </c>
      <c r="AO1" s="91" t="s">
        <v>331</v>
      </c>
      <c r="AP1" s="91" t="s">
        <v>332</v>
      </c>
      <c r="AQ1" s="91" t="s">
        <v>333</v>
      </c>
      <c r="AR1" s="91" t="s">
        <v>334</v>
      </c>
      <c r="AS1" s="91" t="s">
        <v>335</v>
      </c>
      <c r="AT1" s="226" t="s">
        <v>336</v>
      </c>
      <c r="AU1" s="91" t="s">
        <v>337</v>
      </c>
      <c r="AV1" s="91" t="s">
        <v>338</v>
      </c>
      <c r="AW1" s="226" t="s">
        <v>339</v>
      </c>
      <c r="AX1" s="91" t="s">
        <v>340</v>
      </c>
      <c r="AY1" s="91" t="s">
        <v>341</v>
      </c>
      <c r="AZ1" s="91" t="s">
        <v>342</v>
      </c>
      <c r="BA1" s="91" t="s">
        <v>343</v>
      </c>
      <c r="BB1" s="91" t="s">
        <v>344</v>
      </c>
      <c r="BC1" s="91" t="s">
        <v>345</v>
      </c>
      <c r="BD1" s="91" t="s">
        <v>346</v>
      </c>
      <c r="BE1" s="91" t="s">
        <v>347</v>
      </c>
      <c r="BF1" s="91" t="s">
        <v>348</v>
      </c>
      <c r="BG1" s="91" t="s">
        <v>349</v>
      </c>
      <c r="BH1" s="91" t="s">
        <v>350</v>
      </c>
      <c r="BI1" s="91" t="s">
        <v>351</v>
      </c>
      <c r="BJ1" s="91" t="s">
        <v>352</v>
      </c>
      <c r="BK1" s="91" t="s">
        <v>353</v>
      </c>
      <c r="BL1" s="91" t="s">
        <v>354</v>
      </c>
      <c r="BM1" s="91" t="s">
        <v>355</v>
      </c>
      <c r="BN1" s="91" t="s">
        <v>356</v>
      </c>
      <c r="BO1" s="91" t="s">
        <v>357</v>
      </c>
      <c r="BP1" s="91" t="s">
        <v>358</v>
      </c>
      <c r="BQ1" s="91" t="s">
        <v>359</v>
      </c>
      <c r="BR1" s="91" t="s">
        <v>360</v>
      </c>
      <c r="BS1" s="91" t="s">
        <v>361</v>
      </c>
      <c r="BT1" s="91" t="s">
        <v>362</v>
      </c>
      <c r="BU1" s="91" t="s">
        <v>363</v>
      </c>
      <c r="BV1" s="91" t="s">
        <v>364</v>
      </c>
      <c r="BW1" s="91" t="s">
        <v>365</v>
      </c>
      <c r="BX1" s="91" t="s">
        <v>366</v>
      </c>
      <c r="BY1" s="91" t="s">
        <v>367</v>
      </c>
      <c r="BZ1" s="91" t="s">
        <v>368</v>
      </c>
      <c r="CA1" s="91" t="s">
        <v>369</v>
      </c>
      <c r="CB1" s="91" t="s">
        <v>370</v>
      </c>
      <c r="CC1" s="91" t="s">
        <v>371</v>
      </c>
      <c r="CD1" s="91" t="s">
        <v>372</v>
      </c>
      <c r="CE1" s="91" t="s">
        <v>373</v>
      </c>
      <c r="CF1" s="91" t="s">
        <v>374</v>
      </c>
      <c r="CG1" s="91" t="s">
        <v>375</v>
      </c>
      <c r="CH1" s="91" t="s">
        <v>376</v>
      </c>
      <c r="CI1" s="91" t="s">
        <v>377</v>
      </c>
      <c r="CJ1" s="91" t="s">
        <v>378</v>
      </c>
      <c r="CK1" s="91" t="s">
        <v>379</v>
      </c>
      <c r="CL1" s="91" t="s">
        <v>380</v>
      </c>
      <c r="CM1" s="91" t="s">
        <v>381</v>
      </c>
      <c r="CN1" s="91" t="s">
        <v>382</v>
      </c>
      <c r="CO1" s="91" t="s">
        <v>383</v>
      </c>
      <c r="CP1" s="91" t="s">
        <v>384</v>
      </c>
      <c r="CQ1" s="91" t="s">
        <v>385</v>
      </c>
      <c r="CR1" s="91" t="s">
        <v>386</v>
      </c>
      <c r="CS1" s="91" t="s">
        <v>387</v>
      </c>
      <c r="CT1" s="91" t="s">
        <v>388</v>
      </c>
      <c r="CU1" s="91" t="s">
        <v>389</v>
      </c>
      <c r="CV1" s="91" t="s">
        <v>390</v>
      </c>
      <c r="CW1" s="91" t="s">
        <v>391</v>
      </c>
      <c r="CX1" s="91" t="s">
        <v>392</v>
      </c>
      <c r="CY1" s="91" t="s">
        <v>393</v>
      </c>
      <c r="CZ1" s="91" t="s">
        <v>394</v>
      </c>
      <c r="DA1" s="91" t="s">
        <v>395</v>
      </c>
      <c r="DB1" s="91" t="s">
        <v>396</v>
      </c>
      <c r="DC1" s="91" t="s">
        <v>397</v>
      </c>
      <c r="DD1" s="91" t="s">
        <v>398</v>
      </c>
      <c r="DE1" s="91" t="s">
        <v>399</v>
      </c>
      <c r="DF1" s="91" t="s">
        <v>400</v>
      </c>
      <c r="DG1" s="91" t="s">
        <v>401</v>
      </c>
      <c r="DH1" s="91" t="s">
        <v>402</v>
      </c>
      <c r="DI1" s="91" t="s">
        <v>403</v>
      </c>
      <c r="DJ1" s="230" t="s">
        <v>404</v>
      </c>
      <c r="DK1" s="230" t="s">
        <v>405</v>
      </c>
      <c r="DL1" s="230" t="s">
        <v>406</v>
      </c>
      <c r="DM1" s="230" t="s">
        <v>407</v>
      </c>
      <c r="DN1" s="230" t="s">
        <v>408</v>
      </c>
      <c r="DO1" s="230" t="s">
        <v>409</v>
      </c>
      <c r="DP1" s="230" t="s">
        <v>410</v>
      </c>
      <c r="DQ1" s="91"/>
      <c r="DR1" s="91"/>
      <c r="DS1" s="91"/>
    </row>
    <row r="2" spans="1:123" s="55" customFormat="1" ht="34" x14ac:dyDescent="0.2">
      <c r="A2" s="65" t="s">
        <v>411</v>
      </c>
      <c r="B2" s="54">
        <v>1</v>
      </c>
      <c r="C2" s="54">
        <v>2</v>
      </c>
      <c r="D2" s="54">
        <v>3</v>
      </c>
      <c r="E2" s="54">
        <v>4</v>
      </c>
      <c r="F2" s="54">
        <v>5</v>
      </c>
      <c r="G2" s="54">
        <v>6</v>
      </c>
      <c r="H2" s="54">
        <v>7</v>
      </c>
      <c r="I2" s="54">
        <v>8</v>
      </c>
      <c r="J2" s="54">
        <v>9</v>
      </c>
      <c r="K2" s="54">
        <v>10</v>
      </c>
      <c r="L2" s="54">
        <v>11</v>
      </c>
      <c r="M2" s="54">
        <v>12</v>
      </c>
      <c r="N2" s="54">
        <v>13</v>
      </c>
      <c r="O2" s="54">
        <v>14</v>
      </c>
      <c r="P2" s="54">
        <v>15</v>
      </c>
      <c r="Q2" s="54">
        <v>16</v>
      </c>
      <c r="R2" s="54">
        <v>17</v>
      </c>
      <c r="S2" s="54">
        <v>18</v>
      </c>
      <c r="T2" s="54">
        <v>19</v>
      </c>
      <c r="U2" s="54">
        <v>20</v>
      </c>
      <c r="V2" s="54">
        <v>21</v>
      </c>
      <c r="W2" s="54">
        <v>22</v>
      </c>
      <c r="X2" s="54">
        <v>23</v>
      </c>
      <c r="Y2" s="54">
        <v>24</v>
      </c>
      <c r="Z2" s="54">
        <v>25</v>
      </c>
      <c r="AA2" s="54">
        <v>26</v>
      </c>
      <c r="AB2" s="54">
        <v>27</v>
      </c>
      <c r="AC2" s="54">
        <v>28</v>
      </c>
      <c r="AD2" s="54">
        <v>29</v>
      </c>
      <c r="AE2" s="54">
        <v>101</v>
      </c>
      <c r="AF2" s="54">
        <v>102</v>
      </c>
      <c r="AG2" s="54" t="s">
        <v>412</v>
      </c>
      <c r="AH2" s="54" t="s">
        <v>413</v>
      </c>
      <c r="AI2" s="54">
        <v>105</v>
      </c>
      <c r="AJ2" s="54" t="s">
        <v>414</v>
      </c>
      <c r="AK2" s="54">
        <v>107</v>
      </c>
      <c r="AL2" s="54">
        <v>108</v>
      </c>
      <c r="AM2" s="54">
        <v>109</v>
      </c>
      <c r="AN2" s="54">
        <v>110</v>
      </c>
      <c r="AO2" s="54">
        <v>111</v>
      </c>
      <c r="AP2" s="54">
        <v>112</v>
      </c>
      <c r="AQ2" s="54" t="s">
        <v>415</v>
      </c>
      <c r="AR2" s="54">
        <v>114</v>
      </c>
      <c r="AS2" s="54">
        <v>115</v>
      </c>
      <c r="AT2" s="225">
        <v>116</v>
      </c>
      <c r="AU2" s="54" t="s">
        <v>416</v>
      </c>
      <c r="AV2" s="54" t="s">
        <v>417</v>
      </c>
      <c r="AW2" s="225">
        <v>119</v>
      </c>
      <c r="AX2" s="54">
        <v>120</v>
      </c>
      <c r="AY2" s="54">
        <v>121</v>
      </c>
      <c r="AZ2" s="54">
        <v>122</v>
      </c>
      <c r="BA2" s="54" t="s">
        <v>418</v>
      </c>
      <c r="BB2" s="54" t="s">
        <v>419</v>
      </c>
      <c r="BC2" s="54" t="s">
        <v>420</v>
      </c>
      <c r="BD2" s="54">
        <v>301</v>
      </c>
      <c r="BE2" s="54">
        <v>302</v>
      </c>
      <c r="BF2" s="54">
        <v>303</v>
      </c>
      <c r="BG2" s="54">
        <v>304</v>
      </c>
      <c r="BH2" s="54">
        <v>305</v>
      </c>
      <c r="BI2" s="54">
        <v>306</v>
      </c>
      <c r="BJ2" s="54">
        <v>307</v>
      </c>
      <c r="BK2" s="54">
        <v>308</v>
      </c>
      <c r="BL2" s="54">
        <v>309</v>
      </c>
      <c r="BM2" s="54">
        <v>310</v>
      </c>
      <c r="BN2" s="54">
        <v>311</v>
      </c>
      <c r="BO2" s="54">
        <v>312</v>
      </c>
      <c r="BP2" s="54">
        <v>313</v>
      </c>
      <c r="BQ2" s="54">
        <v>314</v>
      </c>
      <c r="BR2" s="54">
        <v>315</v>
      </c>
      <c r="BS2" s="54">
        <v>316</v>
      </c>
      <c r="BT2" s="54">
        <v>317</v>
      </c>
      <c r="BU2" s="54">
        <v>318</v>
      </c>
      <c r="BV2" s="54">
        <v>319</v>
      </c>
      <c r="BW2" s="54">
        <v>320</v>
      </c>
      <c r="BX2" s="54">
        <v>321</v>
      </c>
      <c r="BY2" s="54">
        <v>322</v>
      </c>
      <c r="BZ2" s="54">
        <v>323</v>
      </c>
      <c r="CA2" s="54">
        <v>324</v>
      </c>
      <c r="CB2" s="54">
        <v>325</v>
      </c>
      <c r="CC2" s="54">
        <v>326</v>
      </c>
      <c r="CD2" s="54">
        <v>327</v>
      </c>
      <c r="CE2" s="54">
        <v>328</v>
      </c>
      <c r="CF2" s="54">
        <v>329</v>
      </c>
      <c r="CG2" s="54">
        <v>401</v>
      </c>
      <c r="CH2" s="54">
        <v>402</v>
      </c>
      <c r="CI2" s="54">
        <v>403</v>
      </c>
      <c r="CJ2" s="54">
        <v>404</v>
      </c>
      <c r="CK2" s="54">
        <v>405</v>
      </c>
      <c r="CL2" s="54">
        <v>406</v>
      </c>
      <c r="CM2" s="54">
        <v>407</v>
      </c>
      <c r="CN2" s="54">
        <v>408</v>
      </c>
      <c r="CO2" s="54">
        <v>409</v>
      </c>
      <c r="CP2" s="54">
        <v>410</v>
      </c>
      <c r="CQ2" s="54">
        <v>411</v>
      </c>
      <c r="CR2" s="54">
        <v>412</v>
      </c>
      <c r="CS2" s="54">
        <v>413</v>
      </c>
      <c r="CT2" s="54">
        <v>414</v>
      </c>
      <c r="CU2" s="54">
        <v>415</v>
      </c>
      <c r="CV2" s="54">
        <v>416</v>
      </c>
      <c r="CW2" s="54">
        <v>417</v>
      </c>
      <c r="CX2" s="54">
        <v>418</v>
      </c>
      <c r="CY2" s="54">
        <v>419</v>
      </c>
      <c r="CZ2" s="54">
        <v>420</v>
      </c>
      <c r="DA2" s="54">
        <v>421</v>
      </c>
      <c r="DB2" s="54">
        <v>422</v>
      </c>
      <c r="DC2" s="54">
        <v>423</v>
      </c>
      <c r="DD2" s="54">
        <v>424</v>
      </c>
      <c r="DE2" s="54">
        <v>425</v>
      </c>
      <c r="DF2" s="54">
        <v>426</v>
      </c>
      <c r="DG2" s="54">
        <v>427</v>
      </c>
      <c r="DH2" s="54">
        <v>428</v>
      </c>
      <c r="DI2" s="54">
        <v>429</v>
      </c>
      <c r="DJ2" s="224"/>
      <c r="DK2" s="224"/>
      <c r="DL2" s="224"/>
      <c r="DM2" s="224"/>
      <c r="DN2" s="224"/>
      <c r="DO2" s="224"/>
      <c r="DP2" s="224"/>
      <c r="DQ2" s="54"/>
      <c r="DR2" s="54"/>
      <c r="DS2" s="54"/>
    </row>
    <row r="3" spans="1:123" x14ac:dyDescent="0.2">
      <c r="A3" s="156">
        <v>43374</v>
      </c>
    </row>
    <row r="4" spans="1:123" x14ac:dyDescent="0.2">
      <c r="A4" s="156">
        <v>43405</v>
      </c>
    </row>
    <row r="5" spans="1:123" x14ac:dyDescent="0.2">
      <c r="A5" s="156">
        <v>43435</v>
      </c>
    </row>
    <row r="6" spans="1:123" x14ac:dyDescent="0.2">
      <c r="A6" s="156">
        <v>43466</v>
      </c>
    </row>
    <row r="7" spans="1:123" x14ac:dyDescent="0.2">
      <c r="A7" s="156">
        <v>43497</v>
      </c>
    </row>
    <row r="8" spans="1:123" x14ac:dyDescent="0.2">
      <c r="A8" s="156">
        <v>43525</v>
      </c>
    </row>
    <row r="9" spans="1:123" x14ac:dyDescent="0.2">
      <c r="A9" s="156">
        <v>43556</v>
      </c>
    </row>
    <row r="10" spans="1:123" x14ac:dyDescent="0.2">
      <c r="A10" s="156">
        <v>43586</v>
      </c>
    </row>
    <row r="11" spans="1:123" x14ac:dyDescent="0.2">
      <c r="A11" s="156">
        <v>43617</v>
      </c>
    </row>
    <row r="12" spans="1:123" x14ac:dyDescent="0.2">
      <c r="A12" s="156">
        <v>43647</v>
      </c>
    </row>
    <row r="13" spans="1:123" x14ac:dyDescent="0.2">
      <c r="A13" s="156">
        <v>43678</v>
      </c>
    </row>
    <row r="14" spans="1:123" x14ac:dyDescent="0.2">
      <c r="A14" s="156">
        <v>43709</v>
      </c>
    </row>
    <row r="15" spans="1:123" x14ac:dyDescent="0.2">
      <c r="A15" s="156">
        <v>43739</v>
      </c>
    </row>
    <row r="16" spans="1:123" x14ac:dyDescent="0.2">
      <c r="A16" s="156">
        <v>43770</v>
      </c>
    </row>
    <row r="17" spans="1:1" x14ac:dyDescent="0.2">
      <c r="A17" s="156">
        <v>43800</v>
      </c>
    </row>
    <row r="18" spans="1:1" x14ac:dyDescent="0.2">
      <c r="A18" s="156">
        <v>43831</v>
      </c>
    </row>
    <row r="19" spans="1:1" x14ac:dyDescent="0.2">
      <c r="A19" s="156">
        <v>43862</v>
      </c>
    </row>
    <row r="20" spans="1:1" x14ac:dyDescent="0.2">
      <c r="A20" s="156">
        <v>43891</v>
      </c>
    </row>
    <row r="21" spans="1:1" x14ac:dyDescent="0.2">
      <c r="A21" s="156">
        <v>43922</v>
      </c>
    </row>
    <row r="22" spans="1:1" x14ac:dyDescent="0.2">
      <c r="A22" s="156">
        <v>43952</v>
      </c>
    </row>
    <row r="23" spans="1:1" x14ac:dyDescent="0.2">
      <c r="A23" s="156">
        <v>43983</v>
      </c>
    </row>
    <row r="24" spans="1:1" x14ac:dyDescent="0.2">
      <c r="A24" s="156">
        <v>44013</v>
      </c>
    </row>
    <row r="25" spans="1:1" x14ac:dyDescent="0.2">
      <c r="A25" s="156">
        <v>44044</v>
      </c>
    </row>
    <row r="26" spans="1:1" x14ac:dyDescent="0.2">
      <c r="A26" s="156">
        <v>44075</v>
      </c>
    </row>
    <row r="27" spans="1:1" x14ac:dyDescent="0.2">
      <c r="A27" s="156">
        <v>44105</v>
      </c>
    </row>
    <row r="28" spans="1:1" x14ac:dyDescent="0.2">
      <c r="A28" s="156">
        <v>44136</v>
      </c>
    </row>
    <row r="29" spans="1:1" x14ac:dyDescent="0.2">
      <c r="A29" s="156">
        <v>44166</v>
      </c>
    </row>
    <row r="30" spans="1:1" x14ac:dyDescent="0.2">
      <c r="A30" s="156">
        <v>44197</v>
      </c>
    </row>
    <row r="31" spans="1:1" x14ac:dyDescent="0.2">
      <c r="A31" s="156">
        <v>44228</v>
      </c>
    </row>
    <row r="32" spans="1:1" x14ac:dyDescent="0.2">
      <c r="A32" s="156">
        <v>44256</v>
      </c>
    </row>
    <row r="33" spans="1:120" x14ac:dyDescent="0.2">
      <c r="A33" s="156">
        <v>44287</v>
      </c>
    </row>
    <row r="34" spans="1:120" x14ac:dyDescent="0.2">
      <c r="A34" s="156">
        <v>44317</v>
      </c>
    </row>
    <row r="35" spans="1:120" x14ac:dyDescent="0.2">
      <c r="A35" s="156">
        <v>44348</v>
      </c>
    </row>
    <row r="36" spans="1:120" x14ac:dyDescent="0.2">
      <c r="A36" s="156">
        <v>44378</v>
      </c>
    </row>
    <row r="37" spans="1:120" x14ac:dyDescent="0.2">
      <c r="A37" s="156">
        <v>44409</v>
      </c>
    </row>
    <row r="38" spans="1:120" x14ac:dyDescent="0.2">
      <c r="A38" s="156">
        <v>44440</v>
      </c>
    </row>
    <row r="39" spans="1:120" x14ac:dyDescent="0.2">
      <c r="A39" s="156">
        <v>44470</v>
      </c>
    </row>
    <row r="40" spans="1:120" x14ac:dyDescent="0.2">
      <c r="A40" s="156">
        <v>44501</v>
      </c>
    </row>
    <row r="41" spans="1:120" x14ac:dyDescent="0.2">
      <c r="A41" s="156">
        <v>44531</v>
      </c>
    </row>
    <row r="42" spans="1:120" x14ac:dyDescent="0.2">
      <c r="A42" s="156">
        <v>44562</v>
      </c>
    </row>
    <row r="43" spans="1:120" x14ac:dyDescent="0.2">
      <c r="A43" s="156">
        <v>44593</v>
      </c>
    </row>
    <row r="44" spans="1:120" x14ac:dyDescent="0.2">
      <c r="A44" s="156">
        <v>44621</v>
      </c>
    </row>
    <row r="45" spans="1:120" x14ac:dyDescent="0.2">
      <c r="A45" s="156">
        <v>44652</v>
      </c>
    </row>
    <row r="46" spans="1:120" x14ac:dyDescent="0.2">
      <c r="A46" s="156">
        <v>44682</v>
      </c>
    </row>
    <row r="47" spans="1:120" x14ac:dyDescent="0.2">
      <c r="A47" s="156">
        <v>44713</v>
      </c>
    </row>
    <row r="48" spans="1:120" x14ac:dyDescent="0.2">
      <c r="A48" s="156">
        <v>44743</v>
      </c>
      <c r="B48" s="162">
        <v>8809</v>
      </c>
      <c r="C48" s="162">
        <v>518</v>
      </c>
      <c r="D48" s="162">
        <v>3947</v>
      </c>
      <c r="E48" s="162">
        <v>1825</v>
      </c>
      <c r="F48" s="162">
        <v>12</v>
      </c>
      <c r="G48" s="162">
        <v>76</v>
      </c>
      <c r="H48" s="162">
        <v>93</v>
      </c>
      <c r="I48" s="162">
        <v>8</v>
      </c>
      <c r="J48" s="162">
        <v>0</v>
      </c>
      <c r="K48" s="162">
        <v>36</v>
      </c>
      <c r="L48" s="162">
        <v>0</v>
      </c>
      <c r="M48" s="227"/>
      <c r="N48" s="227"/>
      <c r="P48" s="162">
        <v>110</v>
      </c>
      <c r="S48" s="162">
        <v>1608</v>
      </c>
      <c r="T48" s="162">
        <v>13</v>
      </c>
      <c r="V48" s="162">
        <v>0</v>
      </c>
      <c r="W48" s="162">
        <v>18</v>
      </c>
      <c r="X48" s="162">
        <v>7</v>
      </c>
      <c r="AC48" s="162">
        <v>75</v>
      </c>
      <c r="AE48" s="162">
        <v>2915</v>
      </c>
      <c r="AF48" s="162">
        <v>185</v>
      </c>
      <c r="AG48" s="162">
        <v>83</v>
      </c>
      <c r="AH48" s="162">
        <v>35</v>
      </c>
      <c r="AI48" s="162">
        <v>175</v>
      </c>
      <c r="AK48" s="162">
        <v>704</v>
      </c>
      <c r="AL48" s="162">
        <v>66</v>
      </c>
      <c r="AM48" s="162">
        <v>1341</v>
      </c>
      <c r="AN48" s="162">
        <v>25</v>
      </c>
      <c r="AO48" s="162">
        <v>0</v>
      </c>
      <c r="AP48" s="162">
        <v>10</v>
      </c>
      <c r="AQ48" s="162">
        <v>1289</v>
      </c>
      <c r="AY48" s="162">
        <v>29</v>
      </c>
      <c r="AZ48" s="162">
        <v>0</v>
      </c>
      <c r="BA48" s="162">
        <v>45</v>
      </c>
      <c r="BB48" s="162">
        <v>184</v>
      </c>
      <c r="BC48" s="162">
        <v>106</v>
      </c>
      <c r="BD48" s="162">
        <v>516</v>
      </c>
      <c r="BE48" s="162">
        <v>42</v>
      </c>
      <c r="BF48" s="162">
        <v>7</v>
      </c>
      <c r="BG48" s="162">
        <v>199</v>
      </c>
      <c r="BH48" s="162">
        <v>47</v>
      </c>
      <c r="BI48" s="162">
        <v>38</v>
      </c>
      <c r="BJ48" s="162">
        <v>285</v>
      </c>
      <c r="BK48" s="162">
        <v>21</v>
      </c>
      <c r="BL48" s="162">
        <v>0</v>
      </c>
      <c r="BM48" s="162">
        <v>207</v>
      </c>
      <c r="BN48" s="162">
        <v>22</v>
      </c>
      <c r="BO48" s="162">
        <v>0</v>
      </c>
      <c r="BP48" s="162">
        <v>222</v>
      </c>
      <c r="BQ48" s="162">
        <v>26</v>
      </c>
      <c r="BR48" s="162">
        <v>12</v>
      </c>
      <c r="BS48" s="162">
        <v>158</v>
      </c>
      <c r="BT48" s="162">
        <v>221</v>
      </c>
      <c r="BU48" s="162">
        <v>2</v>
      </c>
      <c r="BV48" s="162">
        <v>0</v>
      </c>
      <c r="BW48" s="162">
        <v>248</v>
      </c>
      <c r="BX48" s="162">
        <v>34</v>
      </c>
      <c r="BY48" s="162">
        <v>14</v>
      </c>
      <c r="BZ48" s="162">
        <v>153</v>
      </c>
      <c r="CA48" s="162">
        <v>19</v>
      </c>
      <c r="CB48" s="162">
        <v>12</v>
      </c>
      <c r="CC48" s="162">
        <v>20</v>
      </c>
      <c r="CD48" s="162">
        <v>579</v>
      </c>
      <c r="CG48" s="162">
        <v>14</v>
      </c>
      <c r="CH48" s="162">
        <v>5</v>
      </c>
      <c r="CI48" s="162">
        <v>0</v>
      </c>
      <c r="CJ48" s="162">
        <v>15</v>
      </c>
      <c r="CK48" s="162">
        <v>15</v>
      </c>
      <c r="CL48" s="162">
        <v>134</v>
      </c>
      <c r="CM48" s="162">
        <v>20</v>
      </c>
      <c r="CN48" s="162">
        <v>4</v>
      </c>
      <c r="CO48" s="162">
        <v>108</v>
      </c>
      <c r="CP48" s="162">
        <v>26</v>
      </c>
      <c r="CQ48" s="162">
        <v>27</v>
      </c>
      <c r="CR48" s="162">
        <v>12</v>
      </c>
      <c r="CS48" s="162">
        <v>53</v>
      </c>
      <c r="CT48" s="162">
        <v>26</v>
      </c>
      <c r="CU48" s="162">
        <v>68</v>
      </c>
      <c r="CV48" s="162">
        <v>24</v>
      </c>
      <c r="CW48" s="162">
        <v>31</v>
      </c>
      <c r="CX48" s="162">
        <v>25</v>
      </c>
      <c r="CY48" s="162">
        <v>63</v>
      </c>
      <c r="CZ48" s="162">
        <v>8</v>
      </c>
      <c r="DA48" s="162">
        <v>58</v>
      </c>
      <c r="DB48" s="162">
        <v>3</v>
      </c>
      <c r="DD48" s="162">
        <v>9</v>
      </c>
      <c r="DE48" s="162">
        <v>4</v>
      </c>
      <c r="DF48" s="162">
        <v>5</v>
      </c>
      <c r="DG48" s="162">
        <v>2</v>
      </c>
      <c r="DH48" s="162">
        <v>22</v>
      </c>
      <c r="DI48" s="162">
        <v>37</v>
      </c>
      <c r="DJ48" s="162">
        <v>288</v>
      </c>
      <c r="DK48" s="162">
        <v>0</v>
      </c>
      <c r="DL48" s="162">
        <v>0</v>
      </c>
      <c r="DM48" s="162">
        <v>0</v>
      </c>
      <c r="DN48" s="162">
        <v>1</v>
      </c>
      <c r="DO48" s="162">
        <v>77</v>
      </c>
      <c r="DP48" s="162">
        <v>130</v>
      </c>
    </row>
    <row r="49" spans="1:120" x14ac:dyDescent="0.2">
      <c r="A49" s="156">
        <v>44774</v>
      </c>
      <c r="B49" s="162">
        <v>9185</v>
      </c>
      <c r="C49" s="162">
        <v>1383</v>
      </c>
      <c r="D49" s="162">
        <v>3078</v>
      </c>
      <c r="E49" s="162">
        <v>2999</v>
      </c>
      <c r="F49" s="162">
        <v>13</v>
      </c>
      <c r="G49" s="162">
        <v>28</v>
      </c>
      <c r="H49" s="162">
        <v>162</v>
      </c>
      <c r="I49" s="162">
        <v>10</v>
      </c>
      <c r="J49" s="162">
        <v>0</v>
      </c>
      <c r="K49" s="162">
        <v>38</v>
      </c>
      <c r="L49" s="162">
        <v>0</v>
      </c>
      <c r="M49" s="227"/>
      <c r="N49" s="227"/>
      <c r="P49" s="162">
        <v>152</v>
      </c>
      <c r="S49" s="162">
        <v>1584</v>
      </c>
      <c r="T49" s="162">
        <v>14</v>
      </c>
      <c r="V49" s="162">
        <v>4</v>
      </c>
      <c r="W49" s="162">
        <v>16</v>
      </c>
      <c r="X49" s="162">
        <v>1</v>
      </c>
      <c r="AC49" s="162">
        <v>187</v>
      </c>
      <c r="AE49" s="162">
        <v>3013</v>
      </c>
      <c r="AF49" s="162">
        <v>209</v>
      </c>
      <c r="AG49" s="162">
        <v>105</v>
      </c>
      <c r="AH49" s="162">
        <v>38</v>
      </c>
      <c r="AI49" s="162">
        <v>175</v>
      </c>
      <c r="AK49" s="162">
        <v>823</v>
      </c>
      <c r="AL49" s="162">
        <v>62</v>
      </c>
      <c r="AM49" s="162">
        <v>1475</v>
      </c>
      <c r="AN49" s="162">
        <v>31</v>
      </c>
      <c r="AO49" s="162">
        <v>6</v>
      </c>
      <c r="AP49" s="162">
        <v>80</v>
      </c>
      <c r="AQ49" s="162">
        <v>190</v>
      </c>
      <c r="AY49" s="162">
        <v>8</v>
      </c>
      <c r="AZ49" s="162">
        <v>0</v>
      </c>
      <c r="BA49" s="162">
        <v>44</v>
      </c>
      <c r="BB49" s="162">
        <v>63</v>
      </c>
      <c r="BC49" s="162">
        <v>82</v>
      </c>
      <c r="BD49" s="162">
        <v>418</v>
      </c>
      <c r="BE49" s="162">
        <v>41</v>
      </c>
      <c r="BF49" s="162">
        <v>24</v>
      </c>
      <c r="BG49" s="162">
        <v>193</v>
      </c>
      <c r="BH49" s="162">
        <v>34</v>
      </c>
      <c r="BI49" s="162">
        <v>29</v>
      </c>
      <c r="BJ49" s="162">
        <v>255</v>
      </c>
      <c r="BK49" s="162">
        <v>23</v>
      </c>
      <c r="BL49" s="162">
        <v>0</v>
      </c>
      <c r="BM49" s="162">
        <v>179</v>
      </c>
      <c r="BN49" s="162">
        <v>24</v>
      </c>
      <c r="BO49" s="162">
        <v>1</v>
      </c>
      <c r="BP49" s="162">
        <v>176</v>
      </c>
      <c r="BQ49" s="162">
        <v>22</v>
      </c>
      <c r="BR49" s="162">
        <v>5</v>
      </c>
      <c r="BS49" s="162">
        <v>145</v>
      </c>
      <c r="BT49" s="162">
        <v>184</v>
      </c>
      <c r="BU49" s="162">
        <v>4</v>
      </c>
      <c r="BV49" s="162">
        <v>0</v>
      </c>
      <c r="BW49" s="162">
        <v>201</v>
      </c>
      <c r="BX49" s="162">
        <v>31</v>
      </c>
      <c r="BY49" s="162">
        <v>4</v>
      </c>
      <c r="BZ49" s="162">
        <v>141</v>
      </c>
      <c r="CA49" s="162">
        <v>104</v>
      </c>
      <c r="CB49" s="162">
        <v>17</v>
      </c>
      <c r="CC49" s="162">
        <v>8</v>
      </c>
      <c r="CD49" s="162">
        <v>604</v>
      </c>
      <c r="CG49" s="162">
        <v>13</v>
      </c>
      <c r="CH49" s="162">
        <v>12</v>
      </c>
      <c r="CI49" s="162">
        <v>0</v>
      </c>
      <c r="CJ49" s="162">
        <v>13</v>
      </c>
      <c r="CK49" s="162">
        <v>11</v>
      </c>
      <c r="CL49" s="162">
        <v>116</v>
      </c>
      <c r="CM49" s="162">
        <v>18</v>
      </c>
      <c r="CN49" s="162">
        <v>5</v>
      </c>
      <c r="CO49" s="162">
        <v>68</v>
      </c>
      <c r="CP49" s="162">
        <v>30</v>
      </c>
      <c r="CQ49" s="162">
        <v>30</v>
      </c>
      <c r="CR49" s="162">
        <v>11</v>
      </c>
      <c r="CS49" s="162">
        <v>18</v>
      </c>
      <c r="CT49" s="162">
        <v>20</v>
      </c>
      <c r="CU49" s="162">
        <v>43</v>
      </c>
      <c r="CV49" s="162">
        <v>24</v>
      </c>
      <c r="CW49" s="162">
        <v>23</v>
      </c>
      <c r="CX49" s="162">
        <v>22</v>
      </c>
      <c r="CY49" s="162">
        <v>36</v>
      </c>
      <c r="CZ49" s="162">
        <v>4</v>
      </c>
      <c r="DA49" s="162">
        <v>47</v>
      </c>
      <c r="DB49" s="162">
        <v>0</v>
      </c>
      <c r="DD49" s="162">
        <v>5</v>
      </c>
      <c r="DE49" s="162">
        <v>4</v>
      </c>
      <c r="DF49" s="162">
        <v>7</v>
      </c>
      <c r="DG49" s="162">
        <v>4</v>
      </c>
      <c r="DH49" s="162">
        <v>25</v>
      </c>
      <c r="DI49" s="162">
        <v>28</v>
      </c>
      <c r="DJ49" s="162">
        <v>301</v>
      </c>
      <c r="DK49" s="162">
        <v>0</v>
      </c>
      <c r="DL49" s="162">
        <v>0</v>
      </c>
      <c r="DM49" s="162">
        <v>0</v>
      </c>
      <c r="DN49" s="162">
        <v>2</v>
      </c>
      <c r="DO49" s="162">
        <v>189</v>
      </c>
      <c r="DP49" s="162">
        <v>166</v>
      </c>
    </row>
    <row r="50" spans="1:120" x14ac:dyDescent="0.2">
      <c r="A50" s="156">
        <v>44805</v>
      </c>
      <c r="B50" s="162">
        <v>9077</v>
      </c>
      <c r="C50" s="162">
        <v>597</v>
      </c>
      <c r="D50" s="162">
        <v>3696</v>
      </c>
      <c r="E50" s="162">
        <v>3170</v>
      </c>
      <c r="F50" s="162">
        <v>13</v>
      </c>
      <c r="G50" s="162">
        <v>66</v>
      </c>
      <c r="H50" s="162">
        <v>197</v>
      </c>
      <c r="I50" s="162">
        <v>9</v>
      </c>
      <c r="J50" s="162">
        <v>0</v>
      </c>
      <c r="K50" s="162">
        <v>36</v>
      </c>
      <c r="L50" s="162">
        <v>0</v>
      </c>
      <c r="M50" s="227"/>
      <c r="N50" s="227"/>
      <c r="P50" s="162">
        <v>241</v>
      </c>
      <c r="S50" s="162">
        <v>1794</v>
      </c>
      <c r="T50" s="162">
        <v>17</v>
      </c>
      <c r="V50" s="162">
        <v>0</v>
      </c>
      <c r="W50" s="162">
        <v>24</v>
      </c>
      <c r="X50" s="162">
        <v>8</v>
      </c>
      <c r="AC50" s="162">
        <v>229</v>
      </c>
      <c r="AE50" s="162">
        <v>4680</v>
      </c>
      <c r="AF50" s="162">
        <v>241</v>
      </c>
      <c r="AG50" s="162">
        <v>187</v>
      </c>
      <c r="AH50" s="162">
        <v>40</v>
      </c>
      <c r="AI50" s="162">
        <v>152</v>
      </c>
      <c r="AK50" s="162">
        <v>1193</v>
      </c>
      <c r="AL50" s="162">
        <v>5</v>
      </c>
      <c r="AM50" s="162">
        <v>2054</v>
      </c>
      <c r="AN50" s="162">
        <v>32</v>
      </c>
      <c r="AO50" s="162">
        <v>106</v>
      </c>
      <c r="AP50" s="162">
        <v>134</v>
      </c>
      <c r="AQ50" s="162">
        <v>218</v>
      </c>
      <c r="AY50" s="162">
        <v>25</v>
      </c>
      <c r="AZ50" s="162">
        <v>0</v>
      </c>
      <c r="BA50" s="162">
        <v>216</v>
      </c>
      <c r="BB50" s="162">
        <v>0</v>
      </c>
      <c r="BC50" s="162">
        <v>324</v>
      </c>
      <c r="BD50" s="162">
        <v>1341</v>
      </c>
      <c r="BE50" s="162">
        <v>151</v>
      </c>
      <c r="BF50" s="162">
        <v>24</v>
      </c>
      <c r="BG50" s="162">
        <v>835</v>
      </c>
      <c r="BH50" s="162">
        <v>138</v>
      </c>
      <c r="BI50" s="162">
        <v>25</v>
      </c>
      <c r="BJ50" s="162">
        <v>1065</v>
      </c>
      <c r="BK50" s="162">
        <v>138</v>
      </c>
      <c r="BL50" s="162">
        <v>0</v>
      </c>
      <c r="BM50" s="162">
        <v>842</v>
      </c>
      <c r="BN50" s="162">
        <v>130</v>
      </c>
      <c r="BO50" s="162">
        <v>4</v>
      </c>
      <c r="BP50" s="162">
        <v>794</v>
      </c>
      <c r="BQ50" s="162">
        <v>118</v>
      </c>
      <c r="BR50" s="162">
        <v>7</v>
      </c>
      <c r="BS50" s="162">
        <v>600</v>
      </c>
      <c r="BT50" s="162">
        <v>540</v>
      </c>
      <c r="BU50" s="162">
        <v>116</v>
      </c>
      <c r="BV50" s="162">
        <v>0</v>
      </c>
      <c r="BW50" s="162">
        <v>779</v>
      </c>
      <c r="BX50" s="162">
        <v>118</v>
      </c>
      <c r="BY50" s="162">
        <v>11</v>
      </c>
      <c r="BZ50" s="162">
        <v>921</v>
      </c>
      <c r="CA50" s="162">
        <v>78</v>
      </c>
      <c r="CB50" s="162">
        <v>94</v>
      </c>
      <c r="CC50" s="162">
        <v>17</v>
      </c>
      <c r="CD50" s="162">
        <v>1021</v>
      </c>
      <c r="CG50" s="162">
        <v>14</v>
      </c>
      <c r="CH50" s="162">
        <v>1</v>
      </c>
      <c r="CI50" s="162">
        <v>1</v>
      </c>
      <c r="CJ50" s="162">
        <v>52</v>
      </c>
      <c r="CK50" s="162">
        <v>52</v>
      </c>
      <c r="CL50" s="162">
        <v>135</v>
      </c>
      <c r="CM50" s="162">
        <v>20</v>
      </c>
      <c r="CN50" s="162">
        <v>5</v>
      </c>
      <c r="CO50" s="162">
        <v>96</v>
      </c>
      <c r="CP50" s="162">
        <v>25</v>
      </c>
      <c r="CQ50" s="162">
        <v>40</v>
      </c>
      <c r="CR50" s="162">
        <v>9</v>
      </c>
      <c r="CS50" s="162">
        <v>24</v>
      </c>
      <c r="CT50" s="162">
        <v>29</v>
      </c>
      <c r="CU50" s="162">
        <v>41</v>
      </c>
      <c r="CV50" s="162">
        <v>38</v>
      </c>
      <c r="CW50" s="162">
        <v>41</v>
      </c>
      <c r="CX50" s="162">
        <v>36</v>
      </c>
      <c r="CY50" s="162">
        <v>62</v>
      </c>
      <c r="CZ50" s="162">
        <v>6</v>
      </c>
      <c r="DA50" s="162">
        <v>36</v>
      </c>
      <c r="DB50" s="162">
        <v>5</v>
      </c>
      <c r="DD50" s="162">
        <v>6</v>
      </c>
      <c r="DE50" s="162">
        <v>4</v>
      </c>
      <c r="DF50" s="162">
        <v>8</v>
      </c>
      <c r="DG50" s="162">
        <v>3</v>
      </c>
      <c r="DH50" s="162">
        <v>32</v>
      </c>
      <c r="DI50" s="162">
        <v>56</v>
      </c>
      <c r="DJ50" s="162">
        <v>488</v>
      </c>
      <c r="DK50" s="162">
        <v>0</v>
      </c>
      <c r="DL50" s="162">
        <v>0</v>
      </c>
      <c r="DM50" s="162">
        <v>0</v>
      </c>
      <c r="DN50" s="162">
        <v>3</v>
      </c>
      <c r="DO50" s="162">
        <v>378</v>
      </c>
      <c r="DP50" s="162">
        <v>185</v>
      </c>
    </row>
    <row r="51" spans="1:120" x14ac:dyDescent="0.2">
      <c r="A51" s="156">
        <v>44835</v>
      </c>
      <c r="B51" s="162">
        <v>8282</v>
      </c>
      <c r="C51" s="162">
        <v>0</v>
      </c>
      <c r="D51" s="162">
        <v>3343</v>
      </c>
      <c r="E51" s="162">
        <v>3167</v>
      </c>
      <c r="F51" s="162">
        <v>12</v>
      </c>
      <c r="G51" s="162">
        <v>20</v>
      </c>
      <c r="H51" s="162">
        <v>4166</v>
      </c>
      <c r="I51" s="162">
        <v>6</v>
      </c>
      <c r="J51" s="162">
        <v>23</v>
      </c>
      <c r="K51" s="162">
        <v>54</v>
      </c>
      <c r="L51" s="162">
        <v>0</v>
      </c>
      <c r="M51" s="227"/>
      <c r="N51" s="227"/>
      <c r="P51" s="162">
        <v>419</v>
      </c>
      <c r="S51" s="162">
        <v>594</v>
      </c>
      <c r="T51" s="162">
        <v>17</v>
      </c>
      <c r="V51" s="162">
        <v>1</v>
      </c>
      <c r="W51" s="162">
        <v>67</v>
      </c>
      <c r="X51" s="162">
        <v>11</v>
      </c>
      <c r="AC51" s="162">
        <v>470</v>
      </c>
      <c r="AE51" s="162">
        <v>5482</v>
      </c>
      <c r="AF51" s="162">
        <v>202</v>
      </c>
      <c r="AG51" s="162">
        <v>182</v>
      </c>
      <c r="AH51" s="162">
        <v>40</v>
      </c>
      <c r="AI51" s="162">
        <v>171</v>
      </c>
      <c r="AK51" s="162">
        <v>1317</v>
      </c>
      <c r="AL51" s="162">
        <v>4</v>
      </c>
      <c r="AM51" s="162">
        <v>2044</v>
      </c>
      <c r="AN51" s="162">
        <v>26</v>
      </c>
      <c r="AO51" s="162">
        <v>110</v>
      </c>
      <c r="AP51" s="162">
        <v>23</v>
      </c>
      <c r="AQ51" s="162">
        <v>143</v>
      </c>
      <c r="AY51" s="162">
        <v>23</v>
      </c>
      <c r="AZ51" s="162">
        <v>0</v>
      </c>
      <c r="BA51" s="162">
        <v>365</v>
      </c>
      <c r="BB51" s="162">
        <v>0</v>
      </c>
      <c r="BC51" s="162">
        <v>458</v>
      </c>
      <c r="BD51" s="162">
        <v>1657</v>
      </c>
      <c r="BE51" s="162">
        <v>160</v>
      </c>
      <c r="BF51" s="162">
        <v>29</v>
      </c>
      <c r="BG51" s="162">
        <v>1056</v>
      </c>
      <c r="BH51" s="162">
        <v>136</v>
      </c>
      <c r="BI51" s="162">
        <v>21</v>
      </c>
      <c r="BJ51" s="162">
        <v>1228</v>
      </c>
      <c r="BK51" s="162">
        <v>134</v>
      </c>
      <c r="BL51" s="162">
        <v>0</v>
      </c>
      <c r="BM51" s="162">
        <v>1031</v>
      </c>
      <c r="BN51" s="162">
        <v>145</v>
      </c>
      <c r="BO51" s="162">
        <v>4</v>
      </c>
      <c r="BP51" s="162">
        <v>991</v>
      </c>
      <c r="BQ51" s="162">
        <v>124</v>
      </c>
      <c r="BR51" s="162">
        <v>8</v>
      </c>
      <c r="BS51" s="162">
        <v>700</v>
      </c>
      <c r="BT51" s="162">
        <v>721</v>
      </c>
      <c r="BU51" s="162">
        <v>172</v>
      </c>
      <c r="BV51" s="162">
        <v>0</v>
      </c>
      <c r="BW51" s="162">
        <v>867</v>
      </c>
      <c r="BX51" s="162">
        <v>116</v>
      </c>
      <c r="BY51" s="162">
        <v>32</v>
      </c>
      <c r="BZ51" s="162">
        <v>1116</v>
      </c>
      <c r="CA51" s="162">
        <v>31</v>
      </c>
      <c r="CB51" s="162">
        <v>98</v>
      </c>
      <c r="CC51" s="162">
        <v>15</v>
      </c>
      <c r="CD51" s="162">
        <v>939</v>
      </c>
      <c r="CG51" s="162">
        <v>10</v>
      </c>
      <c r="CH51" s="162">
        <v>1</v>
      </c>
      <c r="CI51" s="162">
        <v>4</v>
      </c>
      <c r="CJ51" s="162">
        <v>15</v>
      </c>
      <c r="CK51" s="162">
        <v>19</v>
      </c>
      <c r="CL51" s="162">
        <v>138</v>
      </c>
      <c r="CM51" s="162">
        <v>18</v>
      </c>
      <c r="CN51" s="162">
        <v>5</v>
      </c>
      <c r="CO51" s="162">
        <v>92</v>
      </c>
      <c r="CP51" s="162">
        <v>28</v>
      </c>
      <c r="CQ51" s="162">
        <v>34</v>
      </c>
      <c r="CR51" s="162">
        <v>8</v>
      </c>
      <c r="CS51" s="162">
        <v>20</v>
      </c>
      <c r="CT51" s="162">
        <v>21</v>
      </c>
      <c r="CU51" s="162">
        <v>36</v>
      </c>
      <c r="CV51" s="162">
        <v>26</v>
      </c>
      <c r="CW51" s="162">
        <v>36</v>
      </c>
      <c r="CX51" s="162">
        <v>35</v>
      </c>
      <c r="CY51" s="162">
        <v>54</v>
      </c>
      <c r="CZ51" s="162">
        <v>5</v>
      </c>
      <c r="DA51" s="162">
        <v>24</v>
      </c>
      <c r="DB51" s="162">
        <v>2</v>
      </c>
      <c r="DD51" s="162">
        <v>5</v>
      </c>
      <c r="DE51" s="162">
        <v>3</v>
      </c>
      <c r="DF51" s="162">
        <v>7</v>
      </c>
      <c r="DG51" s="162">
        <v>2</v>
      </c>
      <c r="DH51" s="162">
        <v>27</v>
      </c>
      <c r="DI51" s="162">
        <v>61</v>
      </c>
      <c r="DJ51" s="162">
        <v>450</v>
      </c>
      <c r="DK51" s="162">
        <v>0</v>
      </c>
      <c r="DL51" s="162">
        <v>0</v>
      </c>
      <c r="DM51" s="162">
        <v>0</v>
      </c>
      <c r="DN51" s="162">
        <v>3</v>
      </c>
      <c r="DO51" s="162">
        <v>391</v>
      </c>
      <c r="DP51" s="162">
        <v>183</v>
      </c>
    </row>
    <row r="52" spans="1:120" x14ac:dyDescent="0.2">
      <c r="A52" s="156">
        <v>44866</v>
      </c>
      <c r="B52" s="162">
        <v>6183</v>
      </c>
      <c r="C52" s="162">
        <v>2478</v>
      </c>
      <c r="D52" s="162">
        <v>2963</v>
      </c>
      <c r="E52" s="162">
        <v>3119</v>
      </c>
      <c r="F52" s="162">
        <v>22</v>
      </c>
      <c r="G52" s="162">
        <v>230</v>
      </c>
      <c r="H52" s="162">
        <v>120</v>
      </c>
      <c r="I52" s="162">
        <v>1</v>
      </c>
      <c r="J52" s="162">
        <v>0</v>
      </c>
      <c r="K52" s="162">
        <v>204</v>
      </c>
      <c r="L52" s="162">
        <v>0</v>
      </c>
      <c r="M52" s="227"/>
      <c r="N52" s="227"/>
      <c r="P52" s="162">
        <v>171</v>
      </c>
      <c r="S52" s="162">
        <v>1490</v>
      </c>
      <c r="T52" s="162">
        <v>16</v>
      </c>
      <c r="V52" s="162">
        <v>3</v>
      </c>
      <c r="W52" s="162">
        <v>35</v>
      </c>
      <c r="X52" s="162">
        <v>9</v>
      </c>
      <c r="AC52" s="162">
        <v>271</v>
      </c>
      <c r="AE52" s="162">
        <v>4891</v>
      </c>
      <c r="AF52" s="162">
        <v>258</v>
      </c>
      <c r="AG52" s="162">
        <v>171</v>
      </c>
      <c r="AH52" s="162">
        <v>49</v>
      </c>
      <c r="AI52" s="162">
        <v>153</v>
      </c>
      <c r="AK52" s="162">
        <v>1041</v>
      </c>
      <c r="AL52" s="162">
        <v>4</v>
      </c>
      <c r="AM52" s="162">
        <v>1822</v>
      </c>
      <c r="AN52" s="162">
        <v>38</v>
      </c>
      <c r="AO52" s="162">
        <v>112</v>
      </c>
      <c r="AP52" s="162">
        <v>202</v>
      </c>
      <c r="AQ52" s="162">
        <v>122</v>
      </c>
      <c r="AY52" s="162">
        <v>17</v>
      </c>
      <c r="AZ52" s="162">
        <v>0</v>
      </c>
      <c r="BA52" s="162">
        <v>416</v>
      </c>
      <c r="BB52" s="162">
        <v>0</v>
      </c>
      <c r="BC52" s="162">
        <v>533</v>
      </c>
      <c r="BD52" s="223">
        <f>SUM(BD55:BD59)/5</f>
        <v>1618.4</v>
      </c>
      <c r="BE52" s="162">
        <v>162</v>
      </c>
      <c r="BF52" s="162">
        <v>31</v>
      </c>
      <c r="BG52" s="162">
        <v>1055</v>
      </c>
      <c r="BH52" s="162">
        <v>137</v>
      </c>
      <c r="BI52" s="162">
        <v>3</v>
      </c>
      <c r="BJ52" s="162">
        <v>1269</v>
      </c>
      <c r="BK52" s="162">
        <v>132</v>
      </c>
      <c r="BL52" s="162">
        <v>0</v>
      </c>
      <c r="BM52" s="162">
        <v>1071</v>
      </c>
      <c r="BN52" s="162">
        <v>142</v>
      </c>
      <c r="BO52" s="162">
        <v>0</v>
      </c>
      <c r="BP52" s="162">
        <v>1015</v>
      </c>
      <c r="BQ52" s="162">
        <v>125</v>
      </c>
      <c r="BR52" s="162">
        <v>6</v>
      </c>
      <c r="BS52" s="162">
        <v>754</v>
      </c>
      <c r="BT52" s="162">
        <v>734</v>
      </c>
      <c r="BU52" s="162">
        <v>178</v>
      </c>
      <c r="BV52" s="162">
        <v>0</v>
      </c>
      <c r="BW52" s="162">
        <v>886</v>
      </c>
      <c r="BX52" s="162">
        <v>115</v>
      </c>
      <c r="BY52" s="162">
        <v>16</v>
      </c>
      <c r="BZ52" s="162">
        <v>1125</v>
      </c>
      <c r="CA52" s="162">
        <v>33</v>
      </c>
      <c r="CB52" s="162">
        <v>102</v>
      </c>
      <c r="CC52" s="162">
        <v>11</v>
      </c>
      <c r="CD52" s="162">
        <v>996</v>
      </c>
      <c r="CG52" s="162">
        <v>7</v>
      </c>
      <c r="CH52" s="162">
        <v>1</v>
      </c>
      <c r="CI52" s="162">
        <v>1</v>
      </c>
      <c r="CJ52" s="162">
        <v>15</v>
      </c>
      <c r="CK52" s="162">
        <v>5</v>
      </c>
      <c r="CL52" s="162">
        <v>98</v>
      </c>
      <c r="CM52" s="162">
        <v>11</v>
      </c>
      <c r="CN52" s="162">
        <v>4</v>
      </c>
      <c r="CO52" s="162">
        <v>50</v>
      </c>
      <c r="CP52" s="162">
        <v>25</v>
      </c>
      <c r="CQ52" s="162">
        <v>27</v>
      </c>
      <c r="CR52" s="162">
        <v>6</v>
      </c>
      <c r="CS52" s="162">
        <v>10</v>
      </c>
      <c r="CT52" s="162">
        <v>17</v>
      </c>
      <c r="CU52" s="162">
        <v>32</v>
      </c>
      <c r="CV52" s="162">
        <v>98</v>
      </c>
      <c r="CW52" s="162">
        <v>25</v>
      </c>
      <c r="CX52" s="162">
        <v>113</v>
      </c>
      <c r="CY52" s="162">
        <v>136</v>
      </c>
      <c r="CZ52" s="162">
        <v>7</v>
      </c>
      <c r="DA52" s="162">
        <v>24</v>
      </c>
      <c r="DB52" s="162">
        <v>2</v>
      </c>
      <c r="DD52" s="162">
        <v>6</v>
      </c>
      <c r="DE52" s="162">
        <v>3</v>
      </c>
      <c r="DF52" s="162">
        <v>11</v>
      </c>
      <c r="DG52" s="162">
        <v>2</v>
      </c>
      <c r="DH52" s="162">
        <v>19</v>
      </c>
      <c r="DI52" s="162">
        <v>42</v>
      </c>
      <c r="DJ52" s="162">
        <v>526</v>
      </c>
      <c r="DK52" s="162">
        <v>0</v>
      </c>
      <c r="DL52" s="162">
        <v>0</v>
      </c>
      <c r="DM52" s="162">
        <v>0</v>
      </c>
      <c r="DN52" s="162">
        <v>2</v>
      </c>
      <c r="DO52" s="162">
        <v>366</v>
      </c>
      <c r="DP52" s="162">
        <v>170</v>
      </c>
    </row>
    <row r="53" spans="1:120" x14ac:dyDescent="0.2">
      <c r="A53" s="156">
        <v>44896</v>
      </c>
      <c r="B53" s="162">
        <v>819</v>
      </c>
      <c r="C53" s="162">
        <v>1392</v>
      </c>
      <c r="D53" s="162">
        <v>2804</v>
      </c>
      <c r="E53" s="162">
        <v>2856</v>
      </c>
      <c r="F53" s="162">
        <v>31</v>
      </c>
      <c r="G53" s="162">
        <v>20</v>
      </c>
      <c r="H53" s="162">
        <v>20</v>
      </c>
      <c r="I53" s="162">
        <v>2</v>
      </c>
      <c r="J53" s="162">
        <v>0</v>
      </c>
      <c r="K53" s="162">
        <v>146</v>
      </c>
      <c r="L53" s="162">
        <v>0</v>
      </c>
      <c r="M53" s="227"/>
      <c r="N53" s="227"/>
      <c r="P53" s="162">
        <v>206</v>
      </c>
      <c r="S53" s="162">
        <v>302</v>
      </c>
      <c r="T53" s="162">
        <v>14</v>
      </c>
      <c r="V53" s="162">
        <v>0</v>
      </c>
      <c r="W53" s="162">
        <v>38</v>
      </c>
      <c r="X53" s="162">
        <v>8</v>
      </c>
      <c r="AC53" s="162">
        <v>256</v>
      </c>
      <c r="AE53" s="162">
        <v>3903</v>
      </c>
      <c r="AF53" s="162">
        <v>363</v>
      </c>
      <c r="AG53" s="162">
        <v>94</v>
      </c>
      <c r="AH53" s="162">
        <v>39</v>
      </c>
      <c r="AI53" s="162">
        <v>142</v>
      </c>
      <c r="AK53" s="162">
        <v>955</v>
      </c>
      <c r="AL53" s="162">
        <v>2</v>
      </c>
      <c r="AM53" s="162">
        <v>1497</v>
      </c>
      <c r="AN53" s="162">
        <v>31</v>
      </c>
      <c r="AO53" s="162">
        <v>92</v>
      </c>
      <c r="AP53" s="162">
        <v>63</v>
      </c>
      <c r="AQ53" s="162">
        <v>126</v>
      </c>
      <c r="AY53" s="162">
        <v>205</v>
      </c>
      <c r="AZ53" s="162">
        <v>0</v>
      </c>
      <c r="BA53" s="162">
        <v>471</v>
      </c>
      <c r="BB53" s="162">
        <v>0</v>
      </c>
      <c r="BC53" s="162">
        <v>480</v>
      </c>
      <c r="BD53" s="223">
        <f>SUM(BD56:BD60)/5</f>
        <v>1615.8</v>
      </c>
      <c r="BE53" s="162">
        <v>146</v>
      </c>
      <c r="BF53" s="162">
        <v>98</v>
      </c>
      <c r="BG53" s="162">
        <v>1011</v>
      </c>
      <c r="BH53" s="162">
        <v>127</v>
      </c>
      <c r="BI53" s="162">
        <v>3</v>
      </c>
      <c r="BJ53" s="162">
        <v>1240</v>
      </c>
      <c r="BK53" s="162">
        <v>128</v>
      </c>
      <c r="BL53" s="162">
        <v>0</v>
      </c>
      <c r="BM53" s="162">
        <v>1041</v>
      </c>
      <c r="BN53" s="162">
        <v>126</v>
      </c>
      <c r="BO53" s="162">
        <v>4</v>
      </c>
      <c r="BP53" s="162">
        <v>928</v>
      </c>
      <c r="BQ53" s="162">
        <v>106</v>
      </c>
      <c r="BR53" s="162">
        <v>5</v>
      </c>
      <c r="BS53" s="162">
        <v>723</v>
      </c>
      <c r="BT53" s="162">
        <v>633</v>
      </c>
      <c r="BU53" s="162">
        <v>162</v>
      </c>
      <c r="BV53" s="162">
        <v>0</v>
      </c>
      <c r="BW53" s="162">
        <v>843</v>
      </c>
      <c r="BX53" s="162">
        <v>114</v>
      </c>
      <c r="BY53" s="162">
        <v>27</v>
      </c>
      <c r="BZ53" s="162">
        <v>937</v>
      </c>
      <c r="CA53" s="162">
        <v>40</v>
      </c>
      <c r="CB53" s="162">
        <v>90</v>
      </c>
      <c r="CC53" s="162">
        <v>13</v>
      </c>
      <c r="CD53" s="162">
        <v>884</v>
      </c>
      <c r="CG53" s="162">
        <v>10</v>
      </c>
      <c r="CH53" s="162">
        <v>0</v>
      </c>
      <c r="CI53" s="162">
        <v>0</v>
      </c>
      <c r="CJ53" s="162">
        <v>20</v>
      </c>
      <c r="CK53" s="162">
        <v>15</v>
      </c>
      <c r="CL53" s="162">
        <v>129</v>
      </c>
      <c r="CM53" s="162">
        <v>12</v>
      </c>
      <c r="CN53" s="162">
        <v>4</v>
      </c>
      <c r="CO53" s="162">
        <v>78</v>
      </c>
      <c r="CP53" s="162">
        <v>22</v>
      </c>
      <c r="CQ53" s="162">
        <v>38</v>
      </c>
      <c r="CR53" s="162">
        <v>9</v>
      </c>
      <c r="CS53" s="162">
        <v>67</v>
      </c>
      <c r="CT53" s="162">
        <v>22</v>
      </c>
      <c r="CU53" s="162">
        <v>32</v>
      </c>
      <c r="CV53" s="162">
        <v>25</v>
      </c>
      <c r="CW53" s="162">
        <v>36</v>
      </c>
      <c r="CX53" s="162">
        <v>58</v>
      </c>
      <c r="CY53" s="162">
        <v>35</v>
      </c>
      <c r="CZ53" s="162">
        <v>5</v>
      </c>
      <c r="DA53" s="162">
        <v>18</v>
      </c>
      <c r="DB53" s="162">
        <v>2</v>
      </c>
      <c r="DD53" s="162">
        <v>4</v>
      </c>
      <c r="DE53" s="162">
        <v>3</v>
      </c>
      <c r="DF53" s="162">
        <v>10</v>
      </c>
      <c r="DG53" s="162">
        <v>3</v>
      </c>
      <c r="DH53" s="162">
        <v>17</v>
      </c>
      <c r="DI53" s="162">
        <v>38</v>
      </c>
      <c r="DJ53" s="162">
        <v>366</v>
      </c>
      <c r="DK53" s="162">
        <v>0</v>
      </c>
      <c r="DL53" s="162">
        <v>0</v>
      </c>
      <c r="DM53" s="162">
        <v>0</v>
      </c>
      <c r="DN53" s="162">
        <v>2</v>
      </c>
      <c r="DO53" s="162">
        <v>266</v>
      </c>
      <c r="DP53" s="162">
        <v>209</v>
      </c>
    </row>
    <row r="54" spans="1:120" x14ac:dyDescent="0.2">
      <c r="A54" s="156">
        <v>44927</v>
      </c>
      <c r="B54" s="162">
        <v>781</v>
      </c>
      <c r="C54" s="162">
        <v>1569</v>
      </c>
      <c r="D54" s="162">
        <v>2897</v>
      </c>
      <c r="E54" s="162">
        <v>2984</v>
      </c>
      <c r="F54" s="162">
        <v>27</v>
      </c>
      <c r="G54" s="162">
        <v>0</v>
      </c>
      <c r="H54" s="162">
        <v>11</v>
      </c>
      <c r="I54" s="162">
        <v>0</v>
      </c>
      <c r="J54" s="162">
        <v>0</v>
      </c>
      <c r="K54" s="162">
        <v>131</v>
      </c>
      <c r="L54" s="162">
        <v>0</v>
      </c>
      <c r="M54" s="227"/>
      <c r="N54" s="227"/>
      <c r="P54" s="162">
        <v>123</v>
      </c>
      <c r="S54" s="162">
        <v>312</v>
      </c>
      <c r="T54" s="162">
        <v>12</v>
      </c>
      <c r="V54" s="162">
        <v>3</v>
      </c>
      <c r="W54" s="162">
        <v>69</v>
      </c>
      <c r="X54" s="162">
        <v>16</v>
      </c>
      <c r="AC54" s="162">
        <v>380</v>
      </c>
      <c r="AE54" s="162">
        <v>3613</v>
      </c>
      <c r="AF54" s="162">
        <v>427</v>
      </c>
      <c r="AG54" s="162">
        <v>60</v>
      </c>
      <c r="AH54" s="162">
        <v>40</v>
      </c>
      <c r="AI54" s="162">
        <v>156</v>
      </c>
      <c r="AK54" s="162">
        <v>805</v>
      </c>
      <c r="AL54" s="162">
        <v>2</v>
      </c>
      <c r="AM54" s="162">
        <v>1148</v>
      </c>
      <c r="AN54" s="162">
        <v>28</v>
      </c>
      <c r="AO54" s="162">
        <v>143</v>
      </c>
      <c r="AP54" s="162">
        <v>40</v>
      </c>
      <c r="AQ54" s="162">
        <v>164</v>
      </c>
      <c r="AY54" s="162">
        <v>186</v>
      </c>
      <c r="AZ54" s="162">
        <v>1</v>
      </c>
      <c r="BA54" s="162">
        <v>164</v>
      </c>
      <c r="BB54" s="162">
        <v>0</v>
      </c>
      <c r="BC54" s="162">
        <v>161</v>
      </c>
      <c r="BD54" s="162">
        <v>2587</v>
      </c>
      <c r="BE54" s="162">
        <v>57</v>
      </c>
      <c r="BF54" s="162">
        <v>65</v>
      </c>
      <c r="BG54" s="162">
        <v>342</v>
      </c>
      <c r="BH54" s="162">
        <v>58</v>
      </c>
      <c r="BI54" s="162">
        <v>3</v>
      </c>
      <c r="BJ54" s="162">
        <v>418</v>
      </c>
      <c r="BK54" s="162">
        <v>42</v>
      </c>
      <c r="BL54" s="162">
        <v>1</v>
      </c>
      <c r="BM54" s="162">
        <v>354</v>
      </c>
      <c r="BN54" s="162">
        <v>30</v>
      </c>
      <c r="BO54" s="162">
        <v>0</v>
      </c>
      <c r="BP54" s="162">
        <v>339</v>
      </c>
      <c r="BQ54" s="162">
        <v>39</v>
      </c>
      <c r="BR54" s="162">
        <v>7</v>
      </c>
      <c r="BS54" s="162">
        <v>247</v>
      </c>
      <c r="BT54" s="162">
        <v>190</v>
      </c>
      <c r="BU54" s="162">
        <v>58</v>
      </c>
      <c r="BV54" s="162">
        <v>0</v>
      </c>
      <c r="BW54" s="162">
        <v>299</v>
      </c>
      <c r="BX54" s="162">
        <v>40</v>
      </c>
      <c r="BY54" s="162">
        <v>16</v>
      </c>
      <c r="BZ54" s="162">
        <v>253</v>
      </c>
      <c r="CA54" s="162">
        <v>18</v>
      </c>
      <c r="CB54" s="162">
        <v>36</v>
      </c>
      <c r="CC54" s="162">
        <v>9</v>
      </c>
      <c r="CD54" s="162">
        <v>885</v>
      </c>
      <c r="CG54" s="162">
        <v>7</v>
      </c>
      <c r="CH54" s="162">
        <v>5</v>
      </c>
      <c r="CI54" s="162">
        <v>0</v>
      </c>
      <c r="CJ54" s="162">
        <v>12</v>
      </c>
      <c r="CK54" s="162">
        <v>9</v>
      </c>
      <c r="CL54" s="162">
        <v>106</v>
      </c>
      <c r="CM54" s="162">
        <v>11</v>
      </c>
      <c r="CN54" s="162">
        <v>4</v>
      </c>
      <c r="CO54" s="162">
        <v>88</v>
      </c>
      <c r="CP54" s="162">
        <v>25</v>
      </c>
      <c r="CQ54" s="162">
        <v>33</v>
      </c>
      <c r="CR54" s="162">
        <v>8</v>
      </c>
      <c r="CS54" s="162">
        <v>22</v>
      </c>
      <c r="CT54" s="162">
        <v>17</v>
      </c>
      <c r="CU54" s="162">
        <v>47</v>
      </c>
      <c r="CV54" s="162">
        <v>25</v>
      </c>
      <c r="CW54" s="162">
        <v>92</v>
      </c>
      <c r="CX54" s="162">
        <v>25</v>
      </c>
      <c r="CY54" s="162">
        <v>49</v>
      </c>
      <c r="CZ54" s="162">
        <v>11</v>
      </c>
      <c r="DA54" s="162">
        <v>18</v>
      </c>
      <c r="DB54" s="162">
        <v>3</v>
      </c>
      <c r="DD54" s="162">
        <v>7</v>
      </c>
      <c r="DE54" s="162">
        <v>2</v>
      </c>
      <c r="DF54" s="162">
        <v>9</v>
      </c>
      <c r="DG54" s="162">
        <v>2</v>
      </c>
      <c r="DH54" s="162">
        <v>22</v>
      </c>
      <c r="DI54" s="162">
        <v>252</v>
      </c>
      <c r="DJ54" s="162">
        <v>257</v>
      </c>
      <c r="DK54" s="162">
        <v>0</v>
      </c>
      <c r="DL54" s="162">
        <v>0</v>
      </c>
      <c r="DM54" s="162">
        <v>0</v>
      </c>
      <c r="DN54" s="162">
        <v>1</v>
      </c>
      <c r="DO54" s="162">
        <v>187</v>
      </c>
      <c r="DP54" s="162">
        <v>199</v>
      </c>
    </row>
    <row r="55" spans="1:120" x14ac:dyDescent="0.2">
      <c r="A55" s="156">
        <v>44958</v>
      </c>
      <c r="B55" s="162">
        <v>1369</v>
      </c>
      <c r="C55" s="162">
        <v>1375</v>
      </c>
      <c r="D55" s="162">
        <v>3124</v>
      </c>
      <c r="E55" s="162">
        <v>2680</v>
      </c>
      <c r="F55" s="162">
        <v>24</v>
      </c>
      <c r="G55" s="162">
        <v>0</v>
      </c>
      <c r="H55" s="162">
        <v>26</v>
      </c>
      <c r="I55" s="162">
        <v>1</v>
      </c>
      <c r="J55" s="162">
        <v>0</v>
      </c>
      <c r="K55" s="162">
        <v>187</v>
      </c>
      <c r="L55" s="162">
        <v>0</v>
      </c>
      <c r="M55" s="227"/>
      <c r="N55" s="227"/>
      <c r="P55" s="162">
        <v>174</v>
      </c>
      <c r="S55" s="162">
        <v>358</v>
      </c>
      <c r="T55" s="162">
        <v>12</v>
      </c>
      <c r="V55" s="162">
        <v>2</v>
      </c>
      <c r="W55" s="162">
        <v>111</v>
      </c>
      <c r="X55" s="162">
        <v>13</v>
      </c>
      <c r="AC55" s="162">
        <v>285</v>
      </c>
      <c r="AE55" s="162">
        <v>4125</v>
      </c>
      <c r="AF55" s="162">
        <v>473</v>
      </c>
      <c r="AG55" s="162">
        <v>107</v>
      </c>
      <c r="AH55" s="162">
        <v>38</v>
      </c>
      <c r="AI55" s="162">
        <v>150</v>
      </c>
      <c r="AK55" s="162">
        <v>924</v>
      </c>
      <c r="AL55" s="162">
        <v>3</v>
      </c>
      <c r="AM55" s="162">
        <v>1490</v>
      </c>
      <c r="AN55" s="162">
        <v>28</v>
      </c>
      <c r="AO55" s="162">
        <v>202</v>
      </c>
      <c r="AP55" s="162">
        <v>66</v>
      </c>
      <c r="AQ55" s="162">
        <v>203</v>
      </c>
      <c r="AY55" s="162">
        <v>15</v>
      </c>
      <c r="AZ55" s="162">
        <v>-1</v>
      </c>
      <c r="BA55" s="162">
        <v>381</v>
      </c>
      <c r="BB55" s="162">
        <v>0</v>
      </c>
      <c r="BC55" s="162">
        <v>292</v>
      </c>
      <c r="BD55" s="162">
        <v>1590</v>
      </c>
      <c r="BE55" s="162">
        <v>121</v>
      </c>
      <c r="BF55" s="162">
        <v>10</v>
      </c>
      <c r="BG55" s="162">
        <v>782</v>
      </c>
      <c r="BH55" s="162">
        <v>106</v>
      </c>
      <c r="BI55" s="162">
        <v>3</v>
      </c>
      <c r="BJ55" s="162">
        <v>1073</v>
      </c>
      <c r="BK55" s="162">
        <v>103</v>
      </c>
      <c r="BL55" s="162">
        <v>1</v>
      </c>
      <c r="BM55" s="162">
        <v>908</v>
      </c>
      <c r="BN55" s="162">
        <v>114</v>
      </c>
      <c r="BO55" s="162">
        <v>0</v>
      </c>
      <c r="BP55" s="162">
        <v>687</v>
      </c>
      <c r="BQ55" s="162">
        <v>98</v>
      </c>
      <c r="BR55" s="162">
        <v>4</v>
      </c>
      <c r="BS55" s="162">
        <v>480</v>
      </c>
      <c r="BT55" s="162">
        <v>522</v>
      </c>
      <c r="BU55" s="162">
        <v>140</v>
      </c>
      <c r="BV55" s="162">
        <v>0</v>
      </c>
      <c r="BW55" s="162">
        <v>715</v>
      </c>
      <c r="BX55" s="162">
        <v>82</v>
      </c>
      <c r="BY55" s="162">
        <v>31</v>
      </c>
      <c r="BZ55" s="162">
        <v>1565</v>
      </c>
      <c r="CA55" s="162">
        <v>319</v>
      </c>
      <c r="CB55" s="162">
        <v>120</v>
      </c>
      <c r="CC55" s="162">
        <v>10</v>
      </c>
      <c r="CD55" s="162">
        <v>799</v>
      </c>
      <c r="CG55" s="162">
        <v>20</v>
      </c>
      <c r="CH55" s="162">
        <v>0</v>
      </c>
      <c r="CI55" s="162">
        <v>1</v>
      </c>
      <c r="CJ55" s="162">
        <v>17</v>
      </c>
      <c r="CK55" s="162">
        <v>13</v>
      </c>
      <c r="CL55" s="162">
        <v>69</v>
      </c>
      <c r="CM55" s="162">
        <v>8</v>
      </c>
      <c r="CN55" s="162">
        <v>4</v>
      </c>
      <c r="CO55" s="162">
        <v>67</v>
      </c>
      <c r="CP55" s="162">
        <v>22</v>
      </c>
      <c r="CQ55" s="162">
        <v>34</v>
      </c>
      <c r="CR55" s="162">
        <v>7</v>
      </c>
      <c r="CS55" s="162">
        <v>15</v>
      </c>
      <c r="CT55" s="162">
        <v>17</v>
      </c>
      <c r="CU55" s="162">
        <v>29</v>
      </c>
      <c r="CV55" s="162">
        <v>39</v>
      </c>
      <c r="CW55" s="162">
        <v>23</v>
      </c>
      <c r="CX55" s="162">
        <v>22</v>
      </c>
      <c r="CY55" s="162">
        <v>39</v>
      </c>
      <c r="CZ55" s="162">
        <v>6</v>
      </c>
      <c r="DA55" s="162">
        <v>18</v>
      </c>
      <c r="DB55" s="162">
        <v>2</v>
      </c>
      <c r="DD55" s="162">
        <v>5</v>
      </c>
      <c r="DE55" s="162">
        <v>1</v>
      </c>
      <c r="DF55" s="162">
        <v>10</v>
      </c>
      <c r="DG55" s="162">
        <v>2</v>
      </c>
      <c r="DH55" s="162">
        <v>13</v>
      </c>
      <c r="DI55" s="162">
        <v>207</v>
      </c>
      <c r="DJ55" s="162">
        <v>382</v>
      </c>
      <c r="DK55" s="162">
        <v>0</v>
      </c>
      <c r="DL55" s="162">
        <v>0</v>
      </c>
      <c r="DM55" s="162">
        <v>0</v>
      </c>
      <c r="DN55" s="162">
        <v>2</v>
      </c>
      <c r="DO55" s="162">
        <v>298</v>
      </c>
      <c r="DP55" s="162">
        <v>248</v>
      </c>
    </row>
    <row r="56" spans="1:120" x14ac:dyDescent="0.2">
      <c r="A56" s="156">
        <v>44986</v>
      </c>
      <c r="B56" s="162">
        <v>3029</v>
      </c>
      <c r="C56" s="162">
        <v>1425</v>
      </c>
      <c r="D56" s="162">
        <v>3028</v>
      </c>
      <c r="E56" s="162">
        <v>3095</v>
      </c>
      <c r="F56" s="162">
        <v>40</v>
      </c>
      <c r="G56" s="162">
        <v>1</v>
      </c>
      <c r="H56" s="162">
        <v>17</v>
      </c>
      <c r="I56" s="162">
        <v>9</v>
      </c>
      <c r="J56" s="162">
        <v>0</v>
      </c>
      <c r="K56" s="162">
        <v>209</v>
      </c>
      <c r="L56" s="162">
        <v>0</v>
      </c>
      <c r="M56" s="227"/>
      <c r="N56" s="227"/>
      <c r="P56" s="162">
        <v>189</v>
      </c>
      <c r="S56" s="162">
        <v>521</v>
      </c>
      <c r="T56" s="162">
        <v>5</v>
      </c>
      <c r="V56" s="162">
        <v>1</v>
      </c>
      <c r="W56" s="162">
        <v>65</v>
      </c>
      <c r="X56" s="162">
        <v>12</v>
      </c>
      <c r="AC56" s="162">
        <v>350</v>
      </c>
      <c r="AE56" s="162">
        <v>4720</v>
      </c>
      <c r="AF56" s="162">
        <v>464</v>
      </c>
      <c r="AG56" s="162">
        <v>108</v>
      </c>
      <c r="AH56" s="162">
        <v>34</v>
      </c>
      <c r="AI56" s="162">
        <v>197</v>
      </c>
      <c r="AK56" s="162">
        <v>921</v>
      </c>
      <c r="AL56" s="162">
        <v>30</v>
      </c>
      <c r="AM56" s="162">
        <v>1674</v>
      </c>
      <c r="AN56" s="162">
        <v>25</v>
      </c>
      <c r="AO56" s="162">
        <v>215</v>
      </c>
      <c r="AP56" s="162">
        <v>83</v>
      </c>
      <c r="AQ56" s="162">
        <v>290</v>
      </c>
      <c r="AY56" s="162">
        <v>18</v>
      </c>
      <c r="AZ56" s="162">
        <v>0</v>
      </c>
      <c r="BA56" s="162">
        <v>564</v>
      </c>
      <c r="BB56" s="162">
        <v>0</v>
      </c>
      <c r="BC56" s="162">
        <v>348</v>
      </c>
      <c r="BD56" s="162">
        <v>1675</v>
      </c>
      <c r="BE56" s="162">
        <v>170</v>
      </c>
      <c r="BF56" s="162">
        <v>9</v>
      </c>
      <c r="BG56" s="162">
        <v>1165</v>
      </c>
      <c r="BH56" s="162">
        <v>153</v>
      </c>
      <c r="BI56" s="162">
        <v>4</v>
      </c>
      <c r="BJ56" s="162">
        <v>1368</v>
      </c>
      <c r="BK56" s="162">
        <v>142</v>
      </c>
      <c r="BL56" s="162">
        <v>1</v>
      </c>
      <c r="BM56" s="162">
        <v>1199</v>
      </c>
      <c r="BN56" s="162">
        <v>147</v>
      </c>
      <c r="BO56" s="162">
        <v>1</v>
      </c>
      <c r="BP56" s="162">
        <v>870</v>
      </c>
      <c r="BQ56" s="162">
        <v>119</v>
      </c>
      <c r="BR56" s="162">
        <v>9</v>
      </c>
      <c r="BS56" s="162">
        <v>575</v>
      </c>
      <c r="BT56" s="162">
        <v>706</v>
      </c>
      <c r="BU56" s="162">
        <v>187</v>
      </c>
      <c r="BV56" s="162">
        <v>0</v>
      </c>
      <c r="BW56" s="162">
        <v>970</v>
      </c>
      <c r="BX56" s="162">
        <v>111</v>
      </c>
      <c r="BY56" s="162">
        <v>25</v>
      </c>
      <c r="BZ56" s="162">
        <v>245</v>
      </c>
      <c r="CA56" s="162">
        <v>579</v>
      </c>
      <c r="CB56" s="162">
        <v>175</v>
      </c>
      <c r="CC56" s="162">
        <v>17</v>
      </c>
      <c r="CD56" s="162">
        <v>1037</v>
      </c>
      <c r="CG56" s="162">
        <v>36</v>
      </c>
      <c r="CH56" s="162">
        <v>1</v>
      </c>
      <c r="CI56" s="162">
        <v>0</v>
      </c>
      <c r="CJ56" s="162">
        <v>27</v>
      </c>
      <c r="CK56" s="162">
        <v>21</v>
      </c>
      <c r="CL56" s="162">
        <v>70</v>
      </c>
      <c r="CM56" s="162">
        <v>10</v>
      </c>
      <c r="CN56" s="162">
        <v>4</v>
      </c>
      <c r="CO56" s="162">
        <v>100</v>
      </c>
      <c r="CP56" s="162">
        <v>27</v>
      </c>
      <c r="CQ56" s="162">
        <v>36</v>
      </c>
      <c r="CR56" s="162">
        <v>9</v>
      </c>
      <c r="CS56" s="162">
        <v>19</v>
      </c>
      <c r="CT56" s="162">
        <v>19</v>
      </c>
      <c r="CU56" s="162">
        <v>33</v>
      </c>
      <c r="CV56" s="162">
        <v>89</v>
      </c>
      <c r="CW56" s="162">
        <v>115</v>
      </c>
      <c r="CX56" s="162">
        <v>21</v>
      </c>
      <c r="CY56" s="162">
        <v>45</v>
      </c>
      <c r="CZ56" s="162">
        <v>6</v>
      </c>
      <c r="DA56" s="162">
        <v>20</v>
      </c>
      <c r="DB56" s="162">
        <v>3</v>
      </c>
      <c r="DD56" s="162">
        <v>6</v>
      </c>
      <c r="DE56" s="162">
        <v>3</v>
      </c>
      <c r="DF56" s="162">
        <v>11</v>
      </c>
      <c r="DG56" s="162">
        <v>5</v>
      </c>
      <c r="DH56" s="162">
        <v>16</v>
      </c>
      <c r="DI56" s="162">
        <v>111</v>
      </c>
      <c r="DJ56" s="162">
        <v>495</v>
      </c>
      <c r="DK56" s="162">
        <v>0</v>
      </c>
      <c r="DL56" s="162">
        <v>0</v>
      </c>
      <c r="DM56" s="162">
        <v>0</v>
      </c>
      <c r="DN56" s="162">
        <v>2</v>
      </c>
      <c r="DO56" s="162">
        <v>302</v>
      </c>
      <c r="DP56" s="162">
        <v>204</v>
      </c>
    </row>
    <row r="57" spans="1:120" x14ac:dyDescent="0.2">
      <c r="A57" s="156">
        <v>45017</v>
      </c>
      <c r="B57" s="162">
        <v>5168</v>
      </c>
      <c r="C57" s="162">
        <v>1548</v>
      </c>
      <c r="D57" s="162">
        <v>3089</v>
      </c>
      <c r="E57" s="162">
        <v>3287</v>
      </c>
      <c r="F57" s="162">
        <v>18</v>
      </c>
      <c r="G57" s="162">
        <v>417</v>
      </c>
      <c r="H57" s="162">
        <v>17</v>
      </c>
      <c r="I57" s="162">
        <v>16</v>
      </c>
      <c r="J57" s="162">
        <v>0</v>
      </c>
      <c r="K57" s="162">
        <v>197</v>
      </c>
      <c r="L57" s="162">
        <v>0</v>
      </c>
      <c r="M57" s="227"/>
      <c r="N57" s="227"/>
      <c r="P57" s="162">
        <v>154</v>
      </c>
      <c r="S57" s="162">
        <v>693</v>
      </c>
      <c r="T57" s="162">
        <v>19</v>
      </c>
      <c r="V57" s="162">
        <v>1</v>
      </c>
      <c r="W57" s="162">
        <v>93</v>
      </c>
      <c r="X57" s="162">
        <v>3</v>
      </c>
      <c r="AC57" s="162">
        <v>205</v>
      </c>
      <c r="AE57" s="162">
        <v>5255</v>
      </c>
      <c r="AF57" s="162">
        <v>525</v>
      </c>
      <c r="AG57" s="162">
        <v>127</v>
      </c>
      <c r="AH57" s="162">
        <v>38</v>
      </c>
      <c r="AI57" s="162">
        <v>198</v>
      </c>
      <c r="AK57" s="162">
        <v>1029</v>
      </c>
      <c r="AL57" s="162">
        <v>434</v>
      </c>
      <c r="AM57" s="162">
        <v>1815</v>
      </c>
      <c r="AN57" s="162">
        <v>0</v>
      </c>
      <c r="AO57" s="162">
        <v>211</v>
      </c>
      <c r="AP57" s="162">
        <v>87</v>
      </c>
      <c r="AQ57" s="162">
        <v>247</v>
      </c>
      <c r="AY57" s="162">
        <v>6</v>
      </c>
      <c r="AZ57" s="162">
        <v>0</v>
      </c>
      <c r="BA57" s="162">
        <v>468</v>
      </c>
      <c r="BB57" s="162">
        <v>0</v>
      </c>
      <c r="BC57" s="162">
        <v>299</v>
      </c>
      <c r="BD57" s="162">
        <v>1543</v>
      </c>
      <c r="BE57" s="162">
        <v>136</v>
      </c>
      <c r="BF57" s="162">
        <v>3</v>
      </c>
      <c r="BG57" s="162">
        <v>934</v>
      </c>
      <c r="BH57" s="162">
        <v>123</v>
      </c>
      <c r="BI57" s="162">
        <v>4</v>
      </c>
      <c r="BJ57" s="162">
        <v>1061</v>
      </c>
      <c r="BK57" s="162">
        <v>118</v>
      </c>
      <c r="BL57" s="162">
        <v>1</v>
      </c>
      <c r="BM57" s="162">
        <v>961</v>
      </c>
      <c r="BN57" s="162">
        <v>130</v>
      </c>
      <c r="BO57" s="162">
        <v>0</v>
      </c>
      <c r="BP57" s="162">
        <v>749</v>
      </c>
      <c r="BQ57" s="162">
        <v>104</v>
      </c>
      <c r="BR57" s="162">
        <v>2</v>
      </c>
      <c r="BS57" s="162">
        <v>476</v>
      </c>
      <c r="BT57" s="162">
        <v>570</v>
      </c>
      <c r="BU57" s="162">
        <v>160</v>
      </c>
      <c r="BV57" s="162">
        <v>0</v>
      </c>
      <c r="BW57" s="162">
        <v>818</v>
      </c>
      <c r="BX57" s="162">
        <v>98</v>
      </c>
      <c r="BY57" s="162">
        <v>9</v>
      </c>
      <c r="BZ57" s="162">
        <v>930</v>
      </c>
      <c r="CA57" s="162">
        <v>503</v>
      </c>
      <c r="CB57" s="162">
        <v>151</v>
      </c>
      <c r="CC57" s="162">
        <v>10</v>
      </c>
      <c r="CD57" s="162">
        <v>927</v>
      </c>
      <c r="CG57" s="162">
        <v>50</v>
      </c>
      <c r="CH57" s="162">
        <v>0</v>
      </c>
      <c r="CI57" s="162">
        <v>1</v>
      </c>
      <c r="CJ57" s="162">
        <v>17</v>
      </c>
      <c r="CK57" s="162">
        <v>4</v>
      </c>
      <c r="CL57" s="162">
        <v>31</v>
      </c>
      <c r="CM57" s="162">
        <v>8</v>
      </c>
      <c r="CN57" s="162">
        <v>4</v>
      </c>
      <c r="CO57" s="162">
        <v>61</v>
      </c>
      <c r="CP57" s="162">
        <v>25</v>
      </c>
      <c r="CQ57" s="162">
        <v>35</v>
      </c>
      <c r="CR57" s="162">
        <v>8</v>
      </c>
      <c r="CS57" s="162">
        <v>11</v>
      </c>
      <c r="CT57" s="162">
        <v>17</v>
      </c>
      <c r="CU57" s="162">
        <v>46</v>
      </c>
      <c r="CV57" s="162">
        <v>25</v>
      </c>
      <c r="CW57" s="162">
        <v>32</v>
      </c>
      <c r="CX57" s="162">
        <v>21</v>
      </c>
      <c r="CY57" s="162">
        <v>31</v>
      </c>
      <c r="CZ57" s="162">
        <v>6</v>
      </c>
      <c r="DA57" s="162">
        <v>19</v>
      </c>
      <c r="DB57" s="162">
        <v>2</v>
      </c>
      <c r="DD57" s="162">
        <v>4</v>
      </c>
      <c r="DE57" s="162">
        <v>2</v>
      </c>
      <c r="DF57" s="162">
        <v>9</v>
      </c>
      <c r="DG57" s="162">
        <v>3</v>
      </c>
      <c r="DH57" s="162">
        <v>13</v>
      </c>
      <c r="DI57" s="162">
        <v>94</v>
      </c>
      <c r="DJ57" s="162">
        <v>369</v>
      </c>
      <c r="DK57" s="162">
        <v>0</v>
      </c>
      <c r="DL57" s="162">
        <v>0</v>
      </c>
      <c r="DM57" s="162">
        <v>0</v>
      </c>
      <c r="DN57" s="162">
        <v>3</v>
      </c>
      <c r="DO57" s="162">
        <v>293</v>
      </c>
      <c r="DP57" s="162">
        <v>229</v>
      </c>
    </row>
    <row r="58" spans="1:120" x14ac:dyDescent="0.2">
      <c r="A58" s="156">
        <v>45047</v>
      </c>
      <c r="B58" s="162">
        <v>8103</v>
      </c>
      <c r="C58" s="162">
        <v>1348</v>
      </c>
      <c r="D58" s="162">
        <v>2720</v>
      </c>
      <c r="E58" s="162">
        <v>3086</v>
      </c>
      <c r="F58" s="162">
        <v>24</v>
      </c>
      <c r="G58" s="162">
        <v>58</v>
      </c>
      <c r="H58" s="162">
        <v>141</v>
      </c>
      <c r="I58" s="162">
        <v>7</v>
      </c>
      <c r="J58" s="162">
        <v>0</v>
      </c>
      <c r="K58" s="162">
        <v>154</v>
      </c>
      <c r="L58" s="162">
        <v>0</v>
      </c>
      <c r="M58" s="227"/>
      <c r="N58" s="227"/>
      <c r="P58" s="162">
        <v>166</v>
      </c>
      <c r="S58" s="162">
        <v>1126</v>
      </c>
      <c r="T58" s="162">
        <v>16</v>
      </c>
      <c r="V58" s="162">
        <v>1</v>
      </c>
      <c r="W58" s="162">
        <v>133</v>
      </c>
      <c r="X58" s="162">
        <v>6</v>
      </c>
      <c r="AC58" s="162">
        <v>265</v>
      </c>
      <c r="AE58" s="162">
        <v>4352</v>
      </c>
      <c r="AF58" s="162">
        <v>311</v>
      </c>
      <c r="AG58" s="162">
        <v>123</v>
      </c>
      <c r="AH58" s="162">
        <v>32</v>
      </c>
      <c r="AI58" s="162">
        <v>155</v>
      </c>
      <c r="AK58" s="162">
        <v>897</v>
      </c>
      <c r="AL58" s="162">
        <v>121</v>
      </c>
      <c r="AM58" s="162">
        <v>1605</v>
      </c>
      <c r="AN58" s="162">
        <v>0</v>
      </c>
      <c r="AO58" s="162">
        <v>189</v>
      </c>
      <c r="AP58" s="162">
        <v>93</v>
      </c>
      <c r="AQ58" s="162">
        <v>206</v>
      </c>
      <c r="AY58" s="162">
        <v>4</v>
      </c>
      <c r="AZ58" s="162">
        <v>0</v>
      </c>
      <c r="BA58" s="162">
        <v>351</v>
      </c>
      <c r="BB58" s="162">
        <v>0</v>
      </c>
      <c r="BC58" s="162">
        <v>252</v>
      </c>
      <c r="BD58" s="162">
        <v>1435</v>
      </c>
      <c r="BE58" s="162">
        <v>124</v>
      </c>
      <c r="BF58" s="162">
        <v>4</v>
      </c>
      <c r="BG58" s="162">
        <v>829</v>
      </c>
      <c r="BH58" s="162">
        <v>108</v>
      </c>
      <c r="BI58" s="162">
        <v>5</v>
      </c>
      <c r="BJ58" s="162">
        <v>999</v>
      </c>
      <c r="BK58" s="162">
        <v>76</v>
      </c>
      <c r="BL58" s="162">
        <v>0</v>
      </c>
      <c r="BM58" s="162">
        <v>917</v>
      </c>
      <c r="BN58" s="162">
        <v>109</v>
      </c>
      <c r="BO58" s="162">
        <v>1</v>
      </c>
      <c r="BP58" s="162">
        <v>711</v>
      </c>
      <c r="BQ58" s="162">
        <v>95</v>
      </c>
      <c r="BR58" s="162">
        <v>2</v>
      </c>
      <c r="BS58" s="162">
        <v>454</v>
      </c>
      <c r="BT58" s="162">
        <v>563</v>
      </c>
      <c r="BU58" s="162">
        <v>134</v>
      </c>
      <c r="BV58" s="162">
        <v>0</v>
      </c>
      <c r="BW58" s="162">
        <v>815</v>
      </c>
      <c r="BX58" s="162">
        <v>100</v>
      </c>
      <c r="BY58" s="162">
        <v>7</v>
      </c>
      <c r="BZ58" s="162">
        <v>801</v>
      </c>
      <c r="CA58" s="162">
        <v>452</v>
      </c>
      <c r="CB58" s="162">
        <v>124</v>
      </c>
      <c r="CC58" s="162">
        <v>10</v>
      </c>
      <c r="CD58" s="162">
        <v>928</v>
      </c>
      <c r="CG58" s="162">
        <v>107</v>
      </c>
      <c r="CH58" s="162">
        <v>2</v>
      </c>
      <c r="CI58" s="162">
        <v>1</v>
      </c>
      <c r="CJ58" s="162">
        <v>15</v>
      </c>
      <c r="CK58" s="162">
        <v>4</v>
      </c>
      <c r="CL58" s="162">
        <v>38</v>
      </c>
      <c r="CM58" s="162">
        <v>9</v>
      </c>
      <c r="CN58" s="162">
        <v>6</v>
      </c>
      <c r="CO58" s="162">
        <v>67</v>
      </c>
      <c r="CP58" s="162">
        <v>28</v>
      </c>
      <c r="CQ58" s="162">
        <v>57</v>
      </c>
      <c r="CR58" s="162">
        <v>9</v>
      </c>
      <c r="CS58" s="162">
        <v>13</v>
      </c>
      <c r="CT58" s="162">
        <v>17</v>
      </c>
      <c r="CU58" s="162">
        <v>43</v>
      </c>
      <c r="CV58" s="162">
        <v>23</v>
      </c>
      <c r="CW58" s="162">
        <v>20</v>
      </c>
      <c r="CX58" s="162">
        <v>20</v>
      </c>
      <c r="CY58" s="162">
        <v>29</v>
      </c>
      <c r="CZ58" s="162">
        <v>6</v>
      </c>
      <c r="DA58" s="162">
        <v>23</v>
      </c>
      <c r="DB58" s="162">
        <v>3</v>
      </c>
      <c r="DD58" s="162">
        <v>4</v>
      </c>
      <c r="DE58" s="162">
        <v>2</v>
      </c>
      <c r="DF58" s="162">
        <v>8</v>
      </c>
      <c r="DG58" s="162">
        <v>2</v>
      </c>
      <c r="DH58" s="162">
        <v>20</v>
      </c>
      <c r="DI58" s="162">
        <v>45</v>
      </c>
      <c r="DJ58" s="162">
        <v>381</v>
      </c>
      <c r="DK58" s="162">
        <v>0</v>
      </c>
      <c r="DL58" s="162">
        <v>0</v>
      </c>
      <c r="DM58" s="162">
        <v>0</v>
      </c>
      <c r="DN58" s="162">
        <v>1</v>
      </c>
      <c r="DO58" s="162">
        <v>366</v>
      </c>
      <c r="DP58" s="162">
        <v>290</v>
      </c>
    </row>
    <row r="59" spans="1:120" x14ac:dyDescent="0.2">
      <c r="A59" s="156">
        <v>45078</v>
      </c>
      <c r="B59" s="162">
        <v>10003</v>
      </c>
      <c r="C59" s="162">
        <v>1352</v>
      </c>
      <c r="D59" s="162">
        <v>2681</v>
      </c>
      <c r="E59" s="162">
        <v>3015</v>
      </c>
      <c r="F59" s="162">
        <v>18</v>
      </c>
      <c r="G59" s="162">
        <v>112</v>
      </c>
      <c r="H59" s="162">
        <v>177</v>
      </c>
      <c r="I59" s="162">
        <v>14</v>
      </c>
      <c r="J59" s="162">
        <v>0</v>
      </c>
      <c r="K59" s="162">
        <v>9</v>
      </c>
      <c r="L59" s="162">
        <v>0</v>
      </c>
      <c r="M59" s="227"/>
      <c r="N59" s="227"/>
      <c r="P59" s="162">
        <v>164</v>
      </c>
      <c r="S59" s="162">
        <v>1400</v>
      </c>
      <c r="T59" s="162">
        <v>13</v>
      </c>
      <c r="V59" s="162">
        <v>0</v>
      </c>
      <c r="W59" s="162">
        <v>174</v>
      </c>
      <c r="X59" s="162">
        <v>11</v>
      </c>
      <c r="AC59" s="162">
        <v>226</v>
      </c>
      <c r="AE59" s="162">
        <v>3989</v>
      </c>
      <c r="AF59" s="162">
        <v>428</v>
      </c>
      <c r="AG59" s="162">
        <v>106</v>
      </c>
      <c r="AH59" s="162">
        <v>28</v>
      </c>
      <c r="AI59" s="162">
        <v>110</v>
      </c>
      <c r="AK59" s="162">
        <v>787</v>
      </c>
      <c r="AL59" s="162">
        <v>18</v>
      </c>
      <c r="AM59" s="162">
        <v>1377</v>
      </c>
      <c r="AN59" s="162">
        <v>0</v>
      </c>
      <c r="AO59" s="162">
        <v>164</v>
      </c>
      <c r="AP59" s="162">
        <v>81</v>
      </c>
      <c r="AQ59" s="162">
        <v>197</v>
      </c>
      <c r="AY59" s="162">
        <v>19</v>
      </c>
      <c r="AZ59" s="162">
        <v>0</v>
      </c>
      <c r="BA59" s="162">
        <v>115</v>
      </c>
      <c r="BB59" s="162">
        <v>0</v>
      </c>
      <c r="BC59" s="162">
        <v>72</v>
      </c>
      <c r="BD59" s="162">
        <v>1849</v>
      </c>
      <c r="BE59" s="162">
        <v>80</v>
      </c>
      <c r="BF59" s="162">
        <v>3</v>
      </c>
      <c r="BG59" s="162">
        <v>347</v>
      </c>
      <c r="BH59" s="162">
        <v>75</v>
      </c>
      <c r="BI59" s="162">
        <v>4</v>
      </c>
      <c r="BJ59" s="162">
        <v>524</v>
      </c>
      <c r="BK59" s="162">
        <v>0</v>
      </c>
      <c r="BL59" s="162">
        <v>0</v>
      </c>
      <c r="BM59" s="162">
        <v>397</v>
      </c>
      <c r="BN59" s="162">
        <v>65</v>
      </c>
      <c r="BO59" s="162">
        <v>1</v>
      </c>
      <c r="BP59" s="162">
        <v>252</v>
      </c>
      <c r="BQ59" s="162">
        <v>46</v>
      </c>
      <c r="BR59" s="162">
        <v>1</v>
      </c>
      <c r="BS59" s="162">
        <v>164</v>
      </c>
      <c r="BT59" s="162">
        <v>322</v>
      </c>
      <c r="BU59" s="162">
        <v>88</v>
      </c>
      <c r="BV59" s="162">
        <v>0</v>
      </c>
      <c r="BW59" s="162">
        <v>371</v>
      </c>
      <c r="BX59" s="162">
        <v>75</v>
      </c>
      <c r="BY59" s="162">
        <v>13</v>
      </c>
      <c r="BZ59" s="162">
        <v>439</v>
      </c>
      <c r="CA59" s="162">
        <v>195</v>
      </c>
      <c r="CB59" s="162">
        <v>84</v>
      </c>
      <c r="CC59" s="162">
        <v>10</v>
      </c>
      <c r="CD59" s="162">
        <v>917</v>
      </c>
      <c r="CG59" s="162">
        <v>157</v>
      </c>
      <c r="CH59" s="162">
        <v>10</v>
      </c>
      <c r="CI59" s="162">
        <v>1</v>
      </c>
      <c r="CJ59" s="162">
        <v>14</v>
      </c>
      <c r="CK59" s="162">
        <v>6</v>
      </c>
      <c r="CL59" s="162">
        <v>24</v>
      </c>
      <c r="CM59" s="162">
        <v>13</v>
      </c>
      <c r="CN59" s="162">
        <v>7</v>
      </c>
      <c r="CO59" s="162">
        <v>60</v>
      </c>
      <c r="CP59" s="162">
        <v>35</v>
      </c>
      <c r="CQ59" s="162">
        <v>31</v>
      </c>
      <c r="CR59" s="162">
        <v>9</v>
      </c>
      <c r="CS59" s="162">
        <v>21</v>
      </c>
      <c r="CT59" s="162">
        <v>24</v>
      </c>
      <c r="CU59" s="162">
        <v>39</v>
      </c>
      <c r="CV59" s="162">
        <v>26</v>
      </c>
      <c r="CW59" s="162">
        <v>18</v>
      </c>
      <c r="CX59" s="162">
        <v>102</v>
      </c>
      <c r="CY59" s="162">
        <v>30</v>
      </c>
      <c r="CZ59" s="162">
        <v>5</v>
      </c>
      <c r="DA59" s="162">
        <v>16</v>
      </c>
      <c r="DB59" s="162">
        <v>6</v>
      </c>
      <c r="DD59" s="162">
        <v>4</v>
      </c>
      <c r="DE59" s="162">
        <v>3</v>
      </c>
      <c r="DF59" s="162">
        <v>12</v>
      </c>
      <c r="DG59" s="162">
        <v>2</v>
      </c>
      <c r="DH59" s="162">
        <v>20</v>
      </c>
      <c r="DI59" s="162">
        <v>25</v>
      </c>
      <c r="DJ59" s="162">
        <v>315</v>
      </c>
      <c r="DK59" s="162">
        <v>0</v>
      </c>
      <c r="DL59" s="162">
        <v>0</v>
      </c>
      <c r="DM59" s="162">
        <v>0</v>
      </c>
      <c r="DN59" s="162">
        <v>2</v>
      </c>
      <c r="DO59" s="162">
        <v>318</v>
      </c>
      <c r="DP59" s="162">
        <v>259</v>
      </c>
    </row>
    <row r="60" spans="1:120" x14ac:dyDescent="0.2">
      <c r="A60" s="156">
        <v>45108</v>
      </c>
      <c r="B60" s="162">
        <v>10797</v>
      </c>
      <c r="C60" s="162">
        <v>951</v>
      </c>
      <c r="D60" s="162">
        <v>3153</v>
      </c>
      <c r="E60" s="162">
        <v>3033</v>
      </c>
      <c r="F60" s="162">
        <v>39</v>
      </c>
      <c r="G60" s="162">
        <v>176</v>
      </c>
      <c r="H60" s="162">
        <v>219</v>
      </c>
      <c r="I60" s="162">
        <v>16</v>
      </c>
      <c r="J60" s="162">
        <v>0</v>
      </c>
      <c r="K60" s="162">
        <v>60</v>
      </c>
      <c r="L60" s="162">
        <v>0</v>
      </c>
      <c r="M60" s="227"/>
      <c r="N60" s="227"/>
      <c r="P60" s="162">
        <v>260</v>
      </c>
      <c r="S60" s="162">
        <v>1608</v>
      </c>
      <c r="T60" s="162">
        <v>11</v>
      </c>
      <c r="V60" s="162">
        <v>22</v>
      </c>
      <c r="W60" s="162">
        <v>123</v>
      </c>
      <c r="X60" s="162">
        <v>25</v>
      </c>
      <c r="AC60" s="162">
        <v>344</v>
      </c>
      <c r="AE60" s="162">
        <v>4124</v>
      </c>
      <c r="AF60" s="162">
        <v>370</v>
      </c>
      <c r="AG60" s="162">
        <v>131</v>
      </c>
      <c r="AH60" s="162">
        <v>28</v>
      </c>
      <c r="AI60" s="162">
        <v>63</v>
      </c>
      <c r="AK60" s="162">
        <v>924</v>
      </c>
      <c r="AL60" s="162">
        <v>6</v>
      </c>
      <c r="AM60" s="162">
        <v>1775</v>
      </c>
      <c r="AN60" s="162">
        <v>0</v>
      </c>
      <c r="AO60" s="162">
        <v>215</v>
      </c>
      <c r="AP60" s="162">
        <v>90</v>
      </c>
      <c r="AQ60" s="162">
        <v>222</v>
      </c>
      <c r="AY60" s="162">
        <v>16</v>
      </c>
      <c r="AZ60" s="162">
        <v>0</v>
      </c>
      <c r="BA60" s="162">
        <v>48</v>
      </c>
      <c r="BB60" s="162">
        <v>0</v>
      </c>
      <c r="BC60" s="162">
        <v>42</v>
      </c>
      <c r="BD60" s="162">
        <v>1577</v>
      </c>
      <c r="BE60" s="162">
        <v>47</v>
      </c>
      <c r="BF60" s="162">
        <v>9</v>
      </c>
      <c r="BG60" s="162">
        <v>203</v>
      </c>
      <c r="BH60" s="162">
        <v>44</v>
      </c>
      <c r="BI60" s="162">
        <v>3</v>
      </c>
      <c r="BJ60" s="162">
        <v>420</v>
      </c>
      <c r="BK60" s="162">
        <v>1</v>
      </c>
      <c r="BL60" s="162">
        <v>3</v>
      </c>
      <c r="BM60" s="162">
        <v>296</v>
      </c>
      <c r="BN60" s="162">
        <v>29</v>
      </c>
      <c r="BO60" s="162">
        <v>0</v>
      </c>
      <c r="BP60" s="162">
        <v>174</v>
      </c>
      <c r="BQ60" s="162">
        <v>39</v>
      </c>
      <c r="BR60" s="162">
        <v>3</v>
      </c>
      <c r="BS60" s="162">
        <v>179</v>
      </c>
      <c r="BT60" s="162">
        <v>345</v>
      </c>
      <c r="BU60" s="162">
        <v>63</v>
      </c>
      <c r="BV60" s="162">
        <v>0</v>
      </c>
      <c r="BW60" s="162">
        <v>233</v>
      </c>
      <c r="BX60" s="162">
        <v>42</v>
      </c>
      <c r="BY60" s="162">
        <v>10</v>
      </c>
      <c r="BZ60" s="162">
        <v>411</v>
      </c>
      <c r="CA60" s="162">
        <v>112</v>
      </c>
      <c r="CB60" s="162">
        <v>60</v>
      </c>
      <c r="CC60" s="162">
        <v>16</v>
      </c>
      <c r="CD60" s="162">
        <v>735</v>
      </c>
      <c r="CG60" s="162">
        <v>253</v>
      </c>
      <c r="CH60" s="162">
        <v>0</v>
      </c>
      <c r="CI60" s="162">
        <v>0</v>
      </c>
      <c r="CJ60" s="162">
        <v>18</v>
      </c>
      <c r="CK60" s="162">
        <v>16</v>
      </c>
      <c r="CL60" s="162">
        <v>32</v>
      </c>
      <c r="CM60" s="162">
        <v>15</v>
      </c>
      <c r="CN60" s="162">
        <v>7</v>
      </c>
      <c r="CO60" s="162">
        <v>85</v>
      </c>
      <c r="CP60" s="162">
        <v>37</v>
      </c>
      <c r="CQ60" s="162">
        <v>31</v>
      </c>
      <c r="CR60" s="162">
        <v>8</v>
      </c>
      <c r="CS60" s="162">
        <v>33</v>
      </c>
      <c r="CT60" s="162">
        <v>23</v>
      </c>
      <c r="CU60" s="162">
        <v>29</v>
      </c>
      <c r="CV60" s="162">
        <v>28</v>
      </c>
      <c r="CW60" s="162">
        <v>21</v>
      </c>
      <c r="CX60" s="162">
        <v>23</v>
      </c>
      <c r="CY60" s="162">
        <v>42</v>
      </c>
      <c r="CZ60" s="162">
        <v>8</v>
      </c>
      <c r="DA60" s="162">
        <v>17</v>
      </c>
      <c r="DB60" s="162">
        <v>2</v>
      </c>
      <c r="DD60" s="162">
        <v>3</v>
      </c>
      <c r="DE60" s="162">
        <v>2</v>
      </c>
      <c r="DF60" s="162">
        <v>6</v>
      </c>
      <c r="DG60" s="162">
        <v>4</v>
      </c>
      <c r="DH60" s="162">
        <v>19</v>
      </c>
      <c r="DI60" s="162">
        <v>47</v>
      </c>
      <c r="DJ60" s="162">
        <v>328</v>
      </c>
      <c r="DK60" s="162">
        <v>0</v>
      </c>
      <c r="DL60" s="162">
        <v>0</v>
      </c>
      <c r="DM60" s="162">
        <v>0</v>
      </c>
      <c r="DN60" s="162">
        <v>2</v>
      </c>
      <c r="DO60" s="162">
        <v>345</v>
      </c>
      <c r="DP60" s="162">
        <v>281</v>
      </c>
    </row>
    <row r="61" spans="1:120" x14ac:dyDescent="0.2">
      <c r="A61" s="156">
        <v>45139</v>
      </c>
      <c r="B61" s="162">
        <v>10495</v>
      </c>
      <c r="C61" s="162">
        <v>233</v>
      </c>
      <c r="D61" s="162">
        <v>2927</v>
      </c>
      <c r="E61" s="162">
        <v>2162</v>
      </c>
      <c r="F61" s="162">
        <v>2</v>
      </c>
      <c r="G61" s="162">
        <v>156</v>
      </c>
      <c r="H61" s="162">
        <v>197</v>
      </c>
      <c r="I61" s="162">
        <v>6</v>
      </c>
      <c r="J61" s="162">
        <v>0</v>
      </c>
      <c r="K61" s="162">
        <v>1</v>
      </c>
      <c r="L61" s="162">
        <v>0</v>
      </c>
      <c r="M61" s="227"/>
      <c r="N61" s="227"/>
      <c r="P61" s="162">
        <v>246</v>
      </c>
      <c r="S61" s="162">
        <v>1472</v>
      </c>
      <c r="T61" s="162">
        <v>12</v>
      </c>
      <c r="V61" s="162">
        <v>0</v>
      </c>
      <c r="W61" s="162">
        <v>201</v>
      </c>
      <c r="X61" s="162">
        <v>6</v>
      </c>
      <c r="AC61" s="162">
        <v>139</v>
      </c>
      <c r="AE61" s="162">
        <v>3715</v>
      </c>
      <c r="AF61" s="162">
        <v>337</v>
      </c>
      <c r="AG61" s="162">
        <v>126</v>
      </c>
      <c r="AH61" s="162">
        <v>26</v>
      </c>
      <c r="AI61" s="162">
        <v>57</v>
      </c>
      <c r="AK61" s="162">
        <v>867</v>
      </c>
      <c r="AL61" s="162">
        <v>4</v>
      </c>
      <c r="AM61" s="162">
        <v>1392</v>
      </c>
      <c r="AN61" s="162">
        <v>1</v>
      </c>
      <c r="AO61" s="162">
        <v>218</v>
      </c>
      <c r="AP61" s="162">
        <v>88</v>
      </c>
      <c r="AQ61" s="162">
        <v>250</v>
      </c>
      <c r="AY61" s="162">
        <v>5</v>
      </c>
      <c r="AZ61" s="162">
        <v>4</v>
      </c>
      <c r="BA61" s="162">
        <v>47</v>
      </c>
      <c r="BB61" s="162">
        <v>0</v>
      </c>
      <c r="BC61" s="162">
        <v>36</v>
      </c>
      <c r="BD61" s="162">
        <v>683</v>
      </c>
      <c r="BE61" s="162">
        <v>41</v>
      </c>
      <c r="BF61" s="162">
        <v>4</v>
      </c>
      <c r="BG61" s="162">
        <v>215</v>
      </c>
      <c r="BH61" s="162">
        <v>53</v>
      </c>
      <c r="BI61" s="162">
        <v>3</v>
      </c>
      <c r="BJ61" s="162">
        <v>396</v>
      </c>
      <c r="BK61" s="162">
        <v>34</v>
      </c>
      <c r="BL61" s="162">
        <v>0</v>
      </c>
      <c r="BM61" s="162">
        <v>312</v>
      </c>
      <c r="BN61" s="162">
        <v>34</v>
      </c>
      <c r="BO61" s="162">
        <v>0</v>
      </c>
      <c r="BP61" s="162">
        <v>148</v>
      </c>
      <c r="BQ61" s="162">
        <v>39</v>
      </c>
      <c r="BR61" s="162">
        <v>1</v>
      </c>
      <c r="BS61" s="162">
        <v>149</v>
      </c>
      <c r="BT61" s="162">
        <v>221</v>
      </c>
      <c r="BU61" s="162">
        <v>54</v>
      </c>
      <c r="BV61" s="162">
        <v>0</v>
      </c>
      <c r="BW61" s="162">
        <v>195</v>
      </c>
      <c r="BX61" s="162">
        <v>34</v>
      </c>
      <c r="BY61" s="162">
        <v>7</v>
      </c>
      <c r="BZ61" s="162">
        <v>394</v>
      </c>
      <c r="CA61" s="162">
        <v>170</v>
      </c>
      <c r="CB61" s="162">
        <v>53</v>
      </c>
      <c r="CC61" s="162">
        <v>15</v>
      </c>
      <c r="CD61" s="162">
        <v>651</v>
      </c>
      <c r="CG61" s="162">
        <v>365</v>
      </c>
      <c r="CH61" s="162">
        <v>2</v>
      </c>
      <c r="CI61" s="162">
        <v>0</v>
      </c>
      <c r="CJ61" s="162">
        <v>14</v>
      </c>
      <c r="CK61" s="162">
        <v>7</v>
      </c>
      <c r="CL61" s="162">
        <v>33</v>
      </c>
      <c r="CM61" s="162">
        <v>14</v>
      </c>
      <c r="CN61" s="162">
        <v>7</v>
      </c>
      <c r="CO61" s="162">
        <v>65</v>
      </c>
      <c r="CP61" s="162">
        <v>39</v>
      </c>
      <c r="CQ61" s="162">
        <v>35</v>
      </c>
      <c r="CR61" s="162">
        <v>6</v>
      </c>
      <c r="CS61" s="162">
        <v>14</v>
      </c>
      <c r="CT61" s="162">
        <v>21</v>
      </c>
      <c r="CU61" s="162">
        <v>18</v>
      </c>
      <c r="CV61" s="162">
        <v>16</v>
      </c>
      <c r="CW61" s="162">
        <v>21</v>
      </c>
      <c r="CX61" s="162">
        <v>20</v>
      </c>
      <c r="CY61" s="162">
        <v>37</v>
      </c>
      <c r="CZ61" s="162">
        <v>9</v>
      </c>
      <c r="DA61" s="162">
        <v>18</v>
      </c>
      <c r="DB61" s="162">
        <v>4</v>
      </c>
      <c r="DD61" s="162">
        <v>5</v>
      </c>
      <c r="DE61" s="162">
        <v>3</v>
      </c>
      <c r="DF61" s="162">
        <v>6</v>
      </c>
      <c r="DG61" s="162">
        <v>3</v>
      </c>
      <c r="DH61" s="162">
        <v>20</v>
      </c>
      <c r="DI61" s="162">
        <v>90</v>
      </c>
      <c r="DJ61" s="162">
        <v>263</v>
      </c>
      <c r="DK61" s="162">
        <v>0</v>
      </c>
      <c r="DL61" s="162">
        <v>0</v>
      </c>
      <c r="DM61" s="162">
        <v>0</v>
      </c>
      <c r="DN61" s="162">
        <v>1</v>
      </c>
      <c r="DO61" s="162">
        <v>355</v>
      </c>
      <c r="DP61" s="162">
        <v>295</v>
      </c>
    </row>
    <row r="62" spans="1:120" x14ac:dyDescent="0.2">
      <c r="A62" s="156">
        <v>45170</v>
      </c>
      <c r="B62" s="162">
        <v>9211</v>
      </c>
      <c r="C62" s="162">
        <v>219</v>
      </c>
      <c r="D62" s="162">
        <v>2965</v>
      </c>
      <c r="E62" s="162">
        <v>3324</v>
      </c>
      <c r="F62" s="162">
        <v>34</v>
      </c>
      <c r="G62" s="162">
        <v>165</v>
      </c>
      <c r="H62" s="162">
        <v>213</v>
      </c>
      <c r="I62" s="162">
        <v>20</v>
      </c>
      <c r="J62" s="162">
        <v>0</v>
      </c>
      <c r="K62" s="162">
        <v>81</v>
      </c>
      <c r="L62" s="162">
        <v>0</v>
      </c>
      <c r="M62" s="227"/>
      <c r="N62" s="227"/>
      <c r="P62" s="162">
        <v>2053</v>
      </c>
      <c r="S62" s="162">
        <v>2222</v>
      </c>
      <c r="T62" s="162">
        <v>11</v>
      </c>
      <c r="V62" s="162">
        <v>0</v>
      </c>
      <c r="W62" s="162">
        <v>1297</v>
      </c>
      <c r="X62" s="162">
        <v>7</v>
      </c>
      <c r="AC62" s="162">
        <v>108</v>
      </c>
      <c r="AE62" s="162">
        <v>4813</v>
      </c>
      <c r="AF62" s="162">
        <v>516</v>
      </c>
      <c r="AG62" s="162">
        <v>172</v>
      </c>
      <c r="AH62" s="162">
        <v>30</v>
      </c>
      <c r="AI62" s="162">
        <v>122</v>
      </c>
      <c r="AK62" s="162">
        <v>1031</v>
      </c>
      <c r="AL62" s="162">
        <v>20</v>
      </c>
      <c r="AM62" s="162">
        <v>1896</v>
      </c>
      <c r="AN62" s="162">
        <v>19</v>
      </c>
      <c r="AO62" s="162">
        <v>273</v>
      </c>
      <c r="AP62" s="162">
        <v>111</v>
      </c>
      <c r="AQ62" s="162">
        <v>208</v>
      </c>
      <c r="AY62" s="162">
        <v>7</v>
      </c>
      <c r="AZ62" s="162">
        <v>11</v>
      </c>
      <c r="BA62" s="162">
        <v>285</v>
      </c>
      <c r="BB62" s="162">
        <v>0</v>
      </c>
      <c r="BC62" s="162">
        <v>31</v>
      </c>
      <c r="BD62" s="162">
        <v>2779</v>
      </c>
      <c r="BE62" s="162">
        <v>145</v>
      </c>
      <c r="BF62" s="162">
        <v>3</v>
      </c>
      <c r="BG62" s="162">
        <v>822</v>
      </c>
      <c r="BH62" s="162">
        <v>146</v>
      </c>
      <c r="BI62" s="162">
        <v>3</v>
      </c>
      <c r="BJ62" s="162">
        <v>928</v>
      </c>
      <c r="BK62" s="162">
        <v>103</v>
      </c>
      <c r="BL62" s="162">
        <v>0</v>
      </c>
      <c r="BM62" s="162">
        <v>785</v>
      </c>
      <c r="BN62" s="162">
        <v>106</v>
      </c>
      <c r="BO62" s="162">
        <v>1</v>
      </c>
      <c r="BP62" s="162">
        <v>521</v>
      </c>
      <c r="BQ62" s="162">
        <v>85</v>
      </c>
      <c r="BR62" s="162">
        <v>2</v>
      </c>
      <c r="BS62" s="162">
        <v>732</v>
      </c>
      <c r="BT62" s="162">
        <v>567</v>
      </c>
      <c r="BU62" s="162">
        <v>144</v>
      </c>
      <c r="BV62" s="162">
        <v>0</v>
      </c>
      <c r="BW62" s="162">
        <v>696</v>
      </c>
      <c r="BX62" s="162">
        <v>100</v>
      </c>
      <c r="BY62" s="162">
        <v>8</v>
      </c>
      <c r="BZ62" s="162">
        <v>590</v>
      </c>
      <c r="CA62" s="162">
        <v>567</v>
      </c>
      <c r="CB62" s="162">
        <v>167</v>
      </c>
      <c r="CC62" s="162">
        <v>16</v>
      </c>
      <c r="CD62" s="162">
        <v>1127</v>
      </c>
      <c r="CG62" s="162">
        <v>322</v>
      </c>
      <c r="CH62" s="162">
        <v>4</v>
      </c>
      <c r="CI62" s="162">
        <v>1</v>
      </c>
      <c r="CJ62" s="162">
        <v>14</v>
      </c>
      <c r="CK62" s="162">
        <v>4</v>
      </c>
      <c r="CL62" s="162">
        <v>24</v>
      </c>
      <c r="CM62" s="162">
        <v>11</v>
      </c>
      <c r="CN62" s="162">
        <v>5</v>
      </c>
      <c r="CO62" s="162">
        <v>56</v>
      </c>
      <c r="CP62" s="162">
        <v>30</v>
      </c>
      <c r="CQ62" s="162">
        <v>29</v>
      </c>
      <c r="CR62" s="162">
        <v>0</v>
      </c>
      <c r="CS62" s="162">
        <v>9</v>
      </c>
      <c r="CT62" s="162">
        <v>17</v>
      </c>
      <c r="CU62" s="162">
        <v>28</v>
      </c>
      <c r="CV62" s="162">
        <v>19</v>
      </c>
      <c r="CW62" s="162">
        <v>25</v>
      </c>
      <c r="CX62" s="162">
        <v>20</v>
      </c>
      <c r="CY62" s="162">
        <v>24</v>
      </c>
      <c r="CZ62" s="162">
        <v>6</v>
      </c>
      <c r="DA62" s="162">
        <v>17</v>
      </c>
      <c r="DB62" s="162">
        <v>3</v>
      </c>
      <c r="DD62" s="162">
        <v>3</v>
      </c>
      <c r="DE62" s="162">
        <v>2</v>
      </c>
      <c r="DF62" s="162">
        <v>3</v>
      </c>
      <c r="DG62" s="162">
        <v>2</v>
      </c>
      <c r="DH62" s="162">
        <v>17</v>
      </c>
      <c r="DI62" s="162">
        <v>33</v>
      </c>
      <c r="DJ62" s="162">
        <v>392</v>
      </c>
      <c r="DK62" s="162">
        <v>0</v>
      </c>
      <c r="DL62" s="162">
        <v>0</v>
      </c>
      <c r="DM62" s="162">
        <v>2</v>
      </c>
      <c r="DN62" s="162">
        <v>3</v>
      </c>
      <c r="DO62" s="162">
        <v>401</v>
      </c>
      <c r="DP62" s="162">
        <v>288</v>
      </c>
    </row>
    <row r="63" spans="1:120" x14ac:dyDescent="0.2">
      <c r="A63" s="156">
        <v>45200</v>
      </c>
      <c r="B63" s="162">
        <v>7798</v>
      </c>
      <c r="C63" s="162">
        <v>427</v>
      </c>
      <c r="D63" s="162">
        <v>3839</v>
      </c>
      <c r="E63" s="162">
        <v>3561</v>
      </c>
      <c r="F63" s="162">
        <v>23</v>
      </c>
      <c r="G63" s="162">
        <v>201</v>
      </c>
      <c r="H63" s="162">
        <v>204</v>
      </c>
      <c r="I63" s="162">
        <v>6</v>
      </c>
      <c r="J63" s="162">
        <v>0</v>
      </c>
      <c r="K63" s="162">
        <v>55</v>
      </c>
      <c r="L63" s="162">
        <v>0</v>
      </c>
      <c r="M63" s="227"/>
      <c r="N63" s="227"/>
      <c r="P63" s="162">
        <v>1599</v>
      </c>
      <c r="S63" s="162">
        <v>1232</v>
      </c>
      <c r="T63" s="162">
        <v>12</v>
      </c>
      <c r="V63" s="162">
        <v>0</v>
      </c>
      <c r="W63" s="162">
        <v>740</v>
      </c>
      <c r="X63" s="162">
        <v>35</v>
      </c>
      <c r="AC63" s="162">
        <v>182</v>
      </c>
      <c r="AE63" s="162">
        <v>5257</v>
      </c>
      <c r="AF63" s="162">
        <v>536</v>
      </c>
      <c r="AG63" s="162">
        <v>130</v>
      </c>
      <c r="AH63" s="162">
        <v>33</v>
      </c>
      <c r="AI63" s="162">
        <v>144</v>
      </c>
      <c r="AK63" s="162">
        <v>1221</v>
      </c>
      <c r="AL63" s="162">
        <v>2</v>
      </c>
      <c r="AM63" s="162">
        <v>2294</v>
      </c>
      <c r="AN63" s="162">
        <v>24</v>
      </c>
      <c r="AO63" s="162">
        <v>260</v>
      </c>
      <c r="AP63" s="162">
        <v>124</v>
      </c>
      <c r="AQ63" s="162">
        <v>280</v>
      </c>
      <c r="AY63" s="162">
        <v>12</v>
      </c>
      <c r="AZ63" s="162">
        <v>9</v>
      </c>
      <c r="BA63" s="162">
        <v>403</v>
      </c>
      <c r="BB63" s="162">
        <v>0</v>
      </c>
      <c r="BC63" s="162">
        <v>187</v>
      </c>
      <c r="BD63" s="162">
        <v>2146</v>
      </c>
      <c r="BE63" s="162">
        <v>182</v>
      </c>
      <c r="BF63" s="162">
        <v>6</v>
      </c>
      <c r="BG63" s="162">
        <v>1144</v>
      </c>
      <c r="BH63" s="162">
        <v>162</v>
      </c>
      <c r="BI63" s="162">
        <v>4</v>
      </c>
      <c r="BJ63" s="162">
        <v>1013</v>
      </c>
      <c r="BK63" s="162">
        <v>103</v>
      </c>
      <c r="BL63" s="162">
        <v>0</v>
      </c>
      <c r="BM63" s="162">
        <v>911</v>
      </c>
      <c r="BN63" s="162">
        <v>114</v>
      </c>
      <c r="BO63" s="162">
        <v>1</v>
      </c>
      <c r="BP63" s="162">
        <v>730</v>
      </c>
      <c r="BQ63" s="162">
        <v>103</v>
      </c>
      <c r="BR63" s="162">
        <v>1</v>
      </c>
      <c r="BS63" s="162">
        <v>607</v>
      </c>
      <c r="BT63" s="162">
        <v>606</v>
      </c>
      <c r="BU63" s="162">
        <v>152</v>
      </c>
      <c r="BV63" s="162">
        <v>0</v>
      </c>
      <c r="BW63" s="162">
        <v>713</v>
      </c>
      <c r="BX63" s="162">
        <v>96</v>
      </c>
      <c r="BY63" s="162">
        <v>20</v>
      </c>
      <c r="BZ63" s="162">
        <v>1066</v>
      </c>
      <c r="CA63" s="162">
        <v>857</v>
      </c>
      <c r="CB63" s="162">
        <v>177</v>
      </c>
      <c r="CC63" s="162">
        <v>15</v>
      </c>
      <c r="CD63" s="162">
        <v>1172</v>
      </c>
      <c r="CG63" s="162">
        <v>0</v>
      </c>
      <c r="CH63" s="162">
        <v>1</v>
      </c>
      <c r="CI63" s="162">
        <v>0</v>
      </c>
      <c r="CJ63" s="162">
        <v>40</v>
      </c>
      <c r="CK63" s="162">
        <v>6</v>
      </c>
      <c r="CL63" s="162">
        <v>41</v>
      </c>
      <c r="CM63" s="162">
        <v>14</v>
      </c>
      <c r="CN63" s="162">
        <v>6</v>
      </c>
      <c r="CO63" s="162">
        <v>79</v>
      </c>
      <c r="CP63" s="162">
        <v>29</v>
      </c>
      <c r="CQ63" s="162">
        <v>43</v>
      </c>
      <c r="CR63" s="162">
        <v>0</v>
      </c>
      <c r="CS63" s="162">
        <v>15</v>
      </c>
      <c r="CT63" s="162">
        <v>42</v>
      </c>
      <c r="CU63" s="162">
        <v>20</v>
      </c>
      <c r="CV63" s="162">
        <v>47</v>
      </c>
      <c r="CW63" s="162">
        <v>23</v>
      </c>
      <c r="CX63" s="162">
        <v>44</v>
      </c>
      <c r="CY63" s="162">
        <v>62</v>
      </c>
      <c r="CZ63" s="162">
        <v>6</v>
      </c>
      <c r="DA63" s="162">
        <v>38</v>
      </c>
      <c r="DB63" s="162">
        <v>4</v>
      </c>
      <c r="DD63" s="162">
        <v>3</v>
      </c>
      <c r="DE63" s="162">
        <v>2</v>
      </c>
      <c r="DF63" s="162">
        <v>11</v>
      </c>
      <c r="DG63" s="162">
        <v>3</v>
      </c>
      <c r="DH63" s="162">
        <v>20</v>
      </c>
      <c r="DI63" s="162">
        <v>33</v>
      </c>
      <c r="DJ63" s="162">
        <v>462</v>
      </c>
      <c r="DK63" s="162">
        <v>0</v>
      </c>
      <c r="DL63" s="162">
        <v>0</v>
      </c>
      <c r="DM63" s="162">
        <v>0</v>
      </c>
      <c r="DN63" s="162">
        <v>1</v>
      </c>
      <c r="DO63" s="162">
        <v>426</v>
      </c>
      <c r="DP63" s="162">
        <v>341</v>
      </c>
    </row>
    <row r="64" spans="1:120" x14ac:dyDescent="0.2">
      <c r="A64" s="156">
        <v>45231</v>
      </c>
      <c r="B64" s="162">
        <v>4975</v>
      </c>
      <c r="C64" s="162">
        <v>437</v>
      </c>
      <c r="D64" s="162">
        <v>3619</v>
      </c>
      <c r="E64" s="162">
        <v>3102</v>
      </c>
      <c r="F64" s="162">
        <v>25</v>
      </c>
      <c r="G64" s="162">
        <v>162</v>
      </c>
      <c r="H64" s="162">
        <v>102</v>
      </c>
      <c r="I64" s="162">
        <v>3</v>
      </c>
      <c r="J64" s="162">
        <v>0</v>
      </c>
      <c r="K64" s="162">
        <v>153</v>
      </c>
      <c r="L64" s="162">
        <v>0</v>
      </c>
      <c r="M64" s="227"/>
      <c r="N64" s="227"/>
      <c r="P64" s="162">
        <v>2589</v>
      </c>
      <c r="S64" s="162">
        <v>652</v>
      </c>
      <c r="T64" s="162">
        <v>11</v>
      </c>
      <c r="V64" s="162">
        <v>0</v>
      </c>
      <c r="W64" s="162">
        <v>1127</v>
      </c>
      <c r="X64" s="162">
        <v>65</v>
      </c>
      <c r="AC64" s="162">
        <v>305</v>
      </c>
      <c r="AE64" s="162">
        <v>4374</v>
      </c>
      <c r="AF64" s="162">
        <v>413</v>
      </c>
      <c r="AG64" s="162">
        <v>109</v>
      </c>
      <c r="AH64" s="162">
        <v>33</v>
      </c>
      <c r="AI64" s="162">
        <v>110</v>
      </c>
      <c r="AK64" s="162">
        <v>957</v>
      </c>
      <c r="AL64" s="162">
        <v>2</v>
      </c>
      <c r="AM64" s="162">
        <v>1865</v>
      </c>
      <c r="AN64" s="162">
        <v>22</v>
      </c>
      <c r="AO64" s="162">
        <v>205</v>
      </c>
      <c r="AP64" s="162">
        <v>115</v>
      </c>
      <c r="AQ64" s="162">
        <v>261</v>
      </c>
      <c r="AY64" s="162">
        <v>26</v>
      </c>
      <c r="AZ64" s="162">
        <v>0</v>
      </c>
      <c r="BA64" s="162">
        <v>426</v>
      </c>
      <c r="BB64" s="162">
        <v>0</v>
      </c>
      <c r="BC64" s="162">
        <v>271</v>
      </c>
      <c r="BD64" s="162">
        <v>2340</v>
      </c>
      <c r="BE64" s="162">
        <v>142</v>
      </c>
      <c r="BF64" s="162">
        <v>9</v>
      </c>
      <c r="BG64" s="162">
        <v>917</v>
      </c>
      <c r="BH64" s="162">
        <v>126</v>
      </c>
      <c r="BI64" s="162">
        <v>6</v>
      </c>
      <c r="BJ64" s="162">
        <v>1334</v>
      </c>
      <c r="BK64" s="162">
        <v>126</v>
      </c>
      <c r="BL64" s="162">
        <v>0</v>
      </c>
      <c r="BM64" s="162">
        <v>1142</v>
      </c>
      <c r="BN64" s="162">
        <v>141</v>
      </c>
      <c r="BO64" s="162">
        <v>0</v>
      </c>
      <c r="BP64" s="162">
        <v>742</v>
      </c>
      <c r="BQ64" s="162">
        <v>102</v>
      </c>
      <c r="BR64" s="162">
        <v>7</v>
      </c>
      <c r="BS64" s="162">
        <v>600</v>
      </c>
      <c r="BT64" s="162">
        <v>778</v>
      </c>
      <c r="BU64" s="162">
        <v>185</v>
      </c>
      <c r="BV64" s="162">
        <v>0</v>
      </c>
      <c r="BW64" s="162">
        <v>987</v>
      </c>
      <c r="BX64" s="162">
        <v>114</v>
      </c>
      <c r="BY64" s="162">
        <v>15</v>
      </c>
      <c r="BZ64" s="162">
        <v>733</v>
      </c>
      <c r="CA64" s="162">
        <v>584</v>
      </c>
      <c r="CB64" s="162">
        <v>209</v>
      </c>
      <c r="CC64" s="162">
        <v>19</v>
      </c>
      <c r="CD64" s="162">
        <v>987</v>
      </c>
      <c r="CG64" s="162">
        <v>0</v>
      </c>
      <c r="CH64" s="162">
        <v>1</v>
      </c>
      <c r="CI64" s="162">
        <v>0</v>
      </c>
      <c r="CJ64" s="162">
        <v>30</v>
      </c>
      <c r="CK64" s="162">
        <v>9</v>
      </c>
      <c r="CL64" s="162">
        <v>31</v>
      </c>
      <c r="CM64" s="162">
        <v>12</v>
      </c>
      <c r="CN64" s="162">
        <v>6</v>
      </c>
      <c r="CO64" s="162">
        <v>95</v>
      </c>
      <c r="CP64" s="162">
        <v>22</v>
      </c>
      <c r="CQ64" s="162">
        <v>47</v>
      </c>
      <c r="CR64" s="162">
        <v>0</v>
      </c>
      <c r="CS64" s="162">
        <v>14</v>
      </c>
      <c r="CT64" s="162">
        <v>19</v>
      </c>
      <c r="CU64" s="162">
        <v>19</v>
      </c>
      <c r="CV64" s="162">
        <v>212</v>
      </c>
      <c r="CW64" s="162">
        <v>32</v>
      </c>
      <c r="CX64" s="162">
        <v>63</v>
      </c>
      <c r="CY64" s="162">
        <v>88</v>
      </c>
      <c r="CZ64" s="162">
        <v>10</v>
      </c>
      <c r="DA64" s="162">
        <v>21</v>
      </c>
      <c r="DB64" s="162">
        <v>3</v>
      </c>
      <c r="DD64" s="162">
        <v>11</v>
      </c>
      <c r="DE64" s="162">
        <v>2</v>
      </c>
      <c r="DF64" s="162">
        <v>6</v>
      </c>
      <c r="DG64" s="162">
        <v>3</v>
      </c>
      <c r="DH64" s="162">
        <v>19</v>
      </c>
      <c r="DI64" s="162">
        <v>108</v>
      </c>
      <c r="DJ64" s="162">
        <v>462</v>
      </c>
      <c r="DK64" s="162">
        <v>0</v>
      </c>
      <c r="DL64" s="162">
        <v>0</v>
      </c>
      <c r="DM64" s="162">
        <v>0</v>
      </c>
      <c r="DN64" s="162">
        <v>18</v>
      </c>
      <c r="DO64" s="162">
        <v>384</v>
      </c>
      <c r="DP64" s="162">
        <v>271</v>
      </c>
    </row>
    <row r="65" spans="1:120" x14ac:dyDescent="0.2">
      <c r="A65" s="156">
        <v>45261</v>
      </c>
      <c r="B65" s="162">
        <v>2414</v>
      </c>
      <c r="C65" s="162">
        <v>594</v>
      </c>
      <c r="D65" s="162">
        <v>3183</v>
      </c>
      <c r="E65" s="162">
        <v>3864</v>
      </c>
      <c r="F65" s="162">
        <v>32</v>
      </c>
      <c r="G65" s="162">
        <v>64</v>
      </c>
      <c r="H65" s="162">
        <v>32</v>
      </c>
      <c r="I65" s="162">
        <v>3</v>
      </c>
      <c r="J65" s="162">
        <v>0</v>
      </c>
      <c r="K65" s="162">
        <v>201</v>
      </c>
      <c r="L65" s="162">
        <v>0</v>
      </c>
      <c r="M65" s="227"/>
      <c r="N65" s="227"/>
      <c r="P65" s="162">
        <v>311</v>
      </c>
      <c r="S65" s="162">
        <v>465</v>
      </c>
      <c r="T65" s="162">
        <v>14</v>
      </c>
      <c r="V65" s="162">
        <v>0</v>
      </c>
      <c r="W65" s="162">
        <v>146</v>
      </c>
      <c r="X65" s="162">
        <v>231</v>
      </c>
      <c r="AC65" s="162">
        <v>253</v>
      </c>
      <c r="AE65" s="162">
        <v>4513</v>
      </c>
      <c r="AF65" s="162">
        <v>450</v>
      </c>
      <c r="AG65" s="162">
        <v>87</v>
      </c>
      <c r="AH65" s="162">
        <v>33</v>
      </c>
      <c r="AI65" s="162">
        <v>115</v>
      </c>
      <c r="AK65" s="162">
        <v>805</v>
      </c>
      <c r="AL65" s="162">
        <v>3</v>
      </c>
      <c r="AM65" s="162">
        <v>1900</v>
      </c>
      <c r="AN65" s="162">
        <v>24</v>
      </c>
      <c r="AO65" s="162">
        <v>146</v>
      </c>
      <c r="AP65" s="162">
        <v>76</v>
      </c>
      <c r="AQ65" s="162">
        <v>311</v>
      </c>
      <c r="AY65" s="162">
        <v>29</v>
      </c>
      <c r="AZ65" s="162">
        <v>3</v>
      </c>
      <c r="BA65" s="162">
        <v>375</v>
      </c>
      <c r="BB65" s="162">
        <v>0</v>
      </c>
      <c r="BC65" s="162">
        <v>240</v>
      </c>
      <c r="BD65" s="162">
        <v>4948</v>
      </c>
      <c r="BE65" s="162">
        <v>138</v>
      </c>
      <c r="BF65" s="162">
        <v>6</v>
      </c>
      <c r="BG65" s="162">
        <v>801</v>
      </c>
      <c r="BH65" s="162">
        <v>103</v>
      </c>
      <c r="BI65" s="162">
        <v>5</v>
      </c>
      <c r="BJ65" s="162">
        <v>898</v>
      </c>
      <c r="BK65" s="162">
        <v>85</v>
      </c>
      <c r="BL65" s="162">
        <v>0</v>
      </c>
      <c r="BM65" s="162">
        <v>748</v>
      </c>
      <c r="BN65" s="162">
        <v>94</v>
      </c>
      <c r="BO65" s="162">
        <v>0</v>
      </c>
      <c r="BP65" s="162">
        <v>593</v>
      </c>
      <c r="BQ65" s="162">
        <v>86</v>
      </c>
      <c r="BR65" s="162">
        <v>43</v>
      </c>
      <c r="BS65" s="162">
        <v>600</v>
      </c>
      <c r="BT65" s="162">
        <v>543</v>
      </c>
      <c r="BU65" s="162">
        <v>124</v>
      </c>
      <c r="BV65" s="162">
        <v>0</v>
      </c>
      <c r="BW65" s="162">
        <v>632</v>
      </c>
      <c r="BX65" s="162">
        <v>75</v>
      </c>
      <c r="BY65" s="162">
        <v>16</v>
      </c>
      <c r="BZ65" s="162">
        <v>631</v>
      </c>
      <c r="CA65" s="162">
        <v>508</v>
      </c>
      <c r="CB65" s="162">
        <v>140</v>
      </c>
      <c r="CC65" s="162">
        <v>17</v>
      </c>
      <c r="CD65" s="162">
        <v>977</v>
      </c>
      <c r="CG65" s="162">
        <v>0</v>
      </c>
      <c r="CH65" s="162">
        <v>11</v>
      </c>
      <c r="CI65" s="162">
        <v>9</v>
      </c>
      <c r="CJ65" s="162">
        <v>31</v>
      </c>
      <c r="CK65" s="162">
        <v>14</v>
      </c>
      <c r="CL65" s="162">
        <v>38</v>
      </c>
      <c r="CM65" s="162">
        <v>14</v>
      </c>
      <c r="CN65" s="162">
        <v>5</v>
      </c>
      <c r="CO65" s="162">
        <v>97</v>
      </c>
      <c r="CP65" s="162">
        <v>21</v>
      </c>
      <c r="CQ65" s="162">
        <v>37</v>
      </c>
      <c r="CR65" s="162">
        <v>6</v>
      </c>
      <c r="CS65" s="162">
        <v>18</v>
      </c>
      <c r="CT65" s="162">
        <v>20</v>
      </c>
      <c r="CU65" s="162">
        <v>24</v>
      </c>
      <c r="CV65" s="162">
        <v>35</v>
      </c>
      <c r="CW65" s="162">
        <v>36</v>
      </c>
      <c r="CX65" s="162">
        <v>34</v>
      </c>
      <c r="CY65" s="162">
        <v>90</v>
      </c>
      <c r="CZ65" s="162">
        <v>7</v>
      </c>
      <c r="DA65" s="162">
        <v>23</v>
      </c>
      <c r="DB65" s="162">
        <v>3</v>
      </c>
      <c r="DD65" s="162">
        <v>13</v>
      </c>
      <c r="DE65" s="162">
        <v>3</v>
      </c>
      <c r="DF65" s="162">
        <v>2</v>
      </c>
      <c r="DG65" s="162">
        <v>5</v>
      </c>
      <c r="DH65" s="162">
        <v>23</v>
      </c>
      <c r="DI65" s="162">
        <v>195</v>
      </c>
      <c r="DJ65" s="162">
        <v>388</v>
      </c>
      <c r="DK65" s="162">
        <v>0</v>
      </c>
      <c r="DL65" s="162">
        <v>0</v>
      </c>
      <c r="DM65" s="162">
        <v>0</v>
      </c>
      <c r="DN65" s="162">
        <v>0</v>
      </c>
      <c r="DO65" s="162">
        <v>384</v>
      </c>
      <c r="DP65" s="162">
        <v>340</v>
      </c>
    </row>
    <row r="66" spans="1:120" x14ac:dyDescent="0.2">
      <c r="A66" s="156">
        <v>45292</v>
      </c>
      <c r="B66" s="162">
        <v>1333</v>
      </c>
      <c r="C66" s="162">
        <v>475</v>
      </c>
      <c r="D66" s="162">
        <v>2905</v>
      </c>
      <c r="E66" s="162">
        <v>3068</v>
      </c>
      <c r="F66" s="162">
        <v>23</v>
      </c>
      <c r="G66" s="162">
        <v>3</v>
      </c>
      <c r="H66" s="162">
        <v>17</v>
      </c>
      <c r="I66" s="162">
        <v>5</v>
      </c>
      <c r="J66" s="162">
        <v>0</v>
      </c>
      <c r="K66" s="162">
        <v>167</v>
      </c>
      <c r="L66" s="162">
        <v>0</v>
      </c>
      <c r="M66" s="227"/>
      <c r="N66" s="227"/>
      <c r="P66" s="162">
        <v>258</v>
      </c>
      <c r="S66" s="162">
        <v>305</v>
      </c>
      <c r="T66" s="162">
        <v>14</v>
      </c>
      <c r="V66" s="162">
        <v>0</v>
      </c>
      <c r="W66" s="162">
        <v>205</v>
      </c>
      <c r="X66" s="162">
        <v>177</v>
      </c>
      <c r="AC66" s="162">
        <v>192</v>
      </c>
      <c r="AE66" s="162">
        <v>3185</v>
      </c>
      <c r="AF66" s="162">
        <v>488</v>
      </c>
      <c r="AG66" s="162">
        <v>54</v>
      </c>
      <c r="AH66" s="162">
        <v>28</v>
      </c>
      <c r="AI66" s="162">
        <v>79</v>
      </c>
      <c r="AK66" s="162">
        <v>696</v>
      </c>
      <c r="AL66" s="162">
        <v>0</v>
      </c>
      <c r="AM66" s="162">
        <v>1415</v>
      </c>
      <c r="AN66" s="162">
        <v>21</v>
      </c>
      <c r="AO66" s="162">
        <v>131</v>
      </c>
      <c r="AP66" s="162">
        <v>54</v>
      </c>
      <c r="AQ66" s="162">
        <v>186</v>
      </c>
      <c r="AY66" s="162">
        <v>27</v>
      </c>
      <c r="AZ66" s="162">
        <v>1</v>
      </c>
      <c r="BA66" s="162">
        <v>155</v>
      </c>
      <c r="BB66" s="162">
        <v>0</v>
      </c>
      <c r="BC66" s="162">
        <v>97</v>
      </c>
      <c r="BD66" s="162">
        <v>1646</v>
      </c>
      <c r="BE66" s="162">
        <v>60</v>
      </c>
      <c r="BF66" s="162">
        <v>11</v>
      </c>
      <c r="BG66" s="162">
        <v>312</v>
      </c>
      <c r="BH66" s="162">
        <v>40</v>
      </c>
      <c r="BI66" s="162">
        <v>4</v>
      </c>
      <c r="BJ66" s="162">
        <v>360</v>
      </c>
      <c r="BK66" s="162">
        <v>23</v>
      </c>
      <c r="BL66" s="162">
        <v>0</v>
      </c>
      <c r="BM66" s="162">
        <v>328</v>
      </c>
      <c r="BN66" s="162">
        <v>29</v>
      </c>
      <c r="BO66" s="162">
        <v>1</v>
      </c>
      <c r="BP66" s="162">
        <v>219</v>
      </c>
      <c r="BQ66" s="162">
        <v>31</v>
      </c>
      <c r="BR66" s="162">
        <v>17</v>
      </c>
      <c r="BS66" s="162">
        <v>89</v>
      </c>
      <c r="BT66" s="162">
        <v>210</v>
      </c>
      <c r="BU66" s="162">
        <v>37</v>
      </c>
      <c r="BV66" s="162">
        <v>0</v>
      </c>
      <c r="BW66" s="162">
        <v>191</v>
      </c>
      <c r="BX66" s="162">
        <v>25</v>
      </c>
      <c r="BY66" s="162">
        <v>24</v>
      </c>
      <c r="BZ66" s="162">
        <v>161</v>
      </c>
      <c r="CA66" s="162">
        <v>189</v>
      </c>
      <c r="CB66" s="162">
        <v>43</v>
      </c>
      <c r="CC66" s="162">
        <v>13</v>
      </c>
      <c r="CD66" s="162">
        <v>949</v>
      </c>
      <c r="CG66" s="162">
        <v>0</v>
      </c>
      <c r="CH66" s="162">
        <v>0</v>
      </c>
      <c r="CI66" s="162">
        <v>5</v>
      </c>
      <c r="CJ66" s="162">
        <v>38</v>
      </c>
      <c r="CK66" s="162">
        <v>42</v>
      </c>
      <c r="CL66" s="162">
        <v>36</v>
      </c>
      <c r="CM66" s="162">
        <v>15</v>
      </c>
      <c r="CN66" s="162">
        <v>6</v>
      </c>
      <c r="CO66" s="162">
        <v>100</v>
      </c>
      <c r="CP66" s="162">
        <v>27</v>
      </c>
      <c r="CQ66" s="162">
        <v>54</v>
      </c>
      <c r="CR66" s="162">
        <v>22</v>
      </c>
      <c r="CS66" s="162">
        <v>19</v>
      </c>
      <c r="CT66" s="162">
        <v>16</v>
      </c>
      <c r="CU66" s="162">
        <v>25</v>
      </c>
      <c r="CV66" s="162">
        <v>37</v>
      </c>
      <c r="CW66" s="162">
        <v>36</v>
      </c>
      <c r="CX66" s="162">
        <v>54</v>
      </c>
      <c r="CY66" s="162">
        <v>37</v>
      </c>
      <c r="CZ66" s="162">
        <v>8</v>
      </c>
      <c r="DA66" s="162">
        <v>28</v>
      </c>
      <c r="DB66" s="162">
        <v>3</v>
      </c>
      <c r="DD66" s="162">
        <v>11</v>
      </c>
      <c r="DE66" s="162">
        <v>2</v>
      </c>
      <c r="DF66" s="162">
        <v>23</v>
      </c>
      <c r="DG66" s="162">
        <v>3</v>
      </c>
      <c r="DH66" s="162">
        <v>20</v>
      </c>
      <c r="DI66" s="162">
        <v>52</v>
      </c>
      <c r="DJ66" s="162">
        <v>259</v>
      </c>
      <c r="DK66" s="162">
        <v>0</v>
      </c>
      <c r="DL66" s="162">
        <v>0</v>
      </c>
      <c r="DM66" s="162">
        <v>0</v>
      </c>
      <c r="DN66" s="162">
        <v>0</v>
      </c>
      <c r="DO66" s="162">
        <v>345</v>
      </c>
      <c r="DP66" s="162">
        <v>313</v>
      </c>
    </row>
    <row r="67" spans="1:120" x14ac:dyDescent="0.2">
      <c r="A67" s="156">
        <v>45323</v>
      </c>
      <c r="B67" s="228">
        <v>1541</v>
      </c>
      <c r="C67" s="229">
        <v>399</v>
      </c>
      <c r="D67" s="228">
        <v>3318</v>
      </c>
      <c r="E67" s="228">
        <v>2668</v>
      </c>
      <c r="F67" s="229">
        <v>32</v>
      </c>
      <c r="G67" s="229">
        <v>4</v>
      </c>
      <c r="H67" s="229">
        <v>25</v>
      </c>
      <c r="I67" s="229">
        <v>2</v>
      </c>
      <c r="J67" s="229">
        <v>0</v>
      </c>
      <c r="K67" s="229">
        <v>197</v>
      </c>
      <c r="L67" s="229">
        <v>0</v>
      </c>
      <c r="M67" s="229">
        <v>679</v>
      </c>
      <c r="N67" s="229">
        <v>73</v>
      </c>
      <c r="O67" s="229">
        <v>2</v>
      </c>
      <c r="P67" s="229">
        <v>224</v>
      </c>
      <c r="Q67" s="229">
        <v>51</v>
      </c>
      <c r="R67" s="229">
        <v>2</v>
      </c>
      <c r="S67" s="229">
        <v>300</v>
      </c>
      <c r="T67" s="229">
        <v>9</v>
      </c>
      <c r="U67" s="229">
        <v>16</v>
      </c>
      <c r="V67" s="229">
        <v>0</v>
      </c>
      <c r="W67" s="229">
        <v>107</v>
      </c>
      <c r="X67" s="229">
        <v>378</v>
      </c>
      <c r="Y67" s="229">
        <v>4</v>
      </c>
      <c r="Z67" s="229">
        <v>49</v>
      </c>
      <c r="AA67" s="229">
        <v>14</v>
      </c>
      <c r="AB67" s="229">
        <v>213</v>
      </c>
      <c r="AC67" s="229">
        <v>95</v>
      </c>
      <c r="AD67" s="229">
        <v>5</v>
      </c>
      <c r="AE67" s="228">
        <v>3899</v>
      </c>
      <c r="AF67" s="229">
        <v>573</v>
      </c>
      <c r="AG67" s="229">
        <v>74</v>
      </c>
      <c r="AH67" s="229">
        <v>26</v>
      </c>
      <c r="AI67" s="229">
        <v>96</v>
      </c>
      <c r="AJ67" s="229">
        <v>10</v>
      </c>
      <c r="AK67" s="229">
        <v>691</v>
      </c>
      <c r="AL67" s="229">
        <v>1</v>
      </c>
      <c r="AM67" s="228">
        <v>1367</v>
      </c>
      <c r="AN67" s="229">
        <v>16</v>
      </c>
      <c r="AO67" s="229">
        <v>171</v>
      </c>
      <c r="AP67" s="229">
        <v>82</v>
      </c>
      <c r="AQ67" s="229">
        <v>229</v>
      </c>
      <c r="AR67" s="229">
        <v>11</v>
      </c>
      <c r="AS67" s="229">
        <v>13</v>
      </c>
      <c r="AT67" s="229">
        <v>318</v>
      </c>
      <c r="AU67" s="229">
        <v>9</v>
      </c>
      <c r="AV67" s="229">
        <v>36</v>
      </c>
      <c r="AW67" s="229">
        <v>305</v>
      </c>
      <c r="AX67" s="229">
        <v>17</v>
      </c>
      <c r="AY67" s="229">
        <v>12</v>
      </c>
      <c r="AZ67" s="229">
        <v>3</v>
      </c>
      <c r="BA67" s="229">
        <v>434</v>
      </c>
      <c r="BB67" s="229">
        <v>472</v>
      </c>
      <c r="BC67" s="229">
        <v>225</v>
      </c>
      <c r="BD67" s="228">
        <v>1270</v>
      </c>
      <c r="BE67" s="229">
        <v>138</v>
      </c>
      <c r="BF67" s="229">
        <v>4</v>
      </c>
      <c r="BG67" s="229">
        <v>851</v>
      </c>
      <c r="BH67" s="229">
        <v>93</v>
      </c>
      <c r="BI67" s="229">
        <v>5</v>
      </c>
      <c r="BJ67" s="229">
        <v>859</v>
      </c>
      <c r="BK67" s="229">
        <v>77</v>
      </c>
      <c r="BL67" s="229">
        <v>0</v>
      </c>
      <c r="BM67" s="229">
        <v>773</v>
      </c>
      <c r="BN67" s="229">
        <v>95</v>
      </c>
      <c r="BO67" s="229">
        <v>1</v>
      </c>
      <c r="BP67" s="229">
        <v>545</v>
      </c>
      <c r="BQ67" s="229">
        <v>82</v>
      </c>
      <c r="BR67" s="229">
        <v>11</v>
      </c>
      <c r="BS67" s="229">
        <v>378</v>
      </c>
      <c r="BT67" s="229">
        <v>529</v>
      </c>
      <c r="BU67" s="229">
        <v>127</v>
      </c>
      <c r="BV67" s="229">
        <v>47</v>
      </c>
      <c r="BW67" s="229">
        <v>624</v>
      </c>
      <c r="BX67" s="229">
        <v>76</v>
      </c>
      <c r="BY67" s="229">
        <v>14</v>
      </c>
      <c r="BZ67" s="229">
        <v>567</v>
      </c>
      <c r="CA67" s="229">
        <v>489</v>
      </c>
      <c r="CB67" s="229">
        <v>150</v>
      </c>
      <c r="CC67" s="229">
        <v>10</v>
      </c>
      <c r="CD67" s="229">
        <v>768</v>
      </c>
      <c r="CE67" s="229">
        <v>69</v>
      </c>
      <c r="CF67" s="229">
        <v>0</v>
      </c>
      <c r="CG67" s="229">
        <v>0</v>
      </c>
      <c r="CH67" s="229">
        <v>1</v>
      </c>
      <c r="CI67" s="229">
        <v>0</v>
      </c>
      <c r="CJ67" s="229">
        <v>21</v>
      </c>
      <c r="CK67" s="229">
        <v>3</v>
      </c>
      <c r="CL67" s="229">
        <v>28</v>
      </c>
      <c r="CM67" s="229">
        <v>9</v>
      </c>
      <c r="CN67" s="229">
        <v>5</v>
      </c>
      <c r="CO67" s="229">
        <v>54</v>
      </c>
      <c r="CP67" s="229">
        <v>20</v>
      </c>
      <c r="CQ67" s="229">
        <v>31</v>
      </c>
      <c r="CR67" s="229">
        <v>24</v>
      </c>
      <c r="CS67" s="229">
        <v>3</v>
      </c>
      <c r="CT67" s="229">
        <v>4</v>
      </c>
      <c r="CU67" s="229">
        <v>7</v>
      </c>
      <c r="CV67" s="229">
        <v>27</v>
      </c>
      <c r="CW67" s="229">
        <v>23</v>
      </c>
      <c r="CX67" s="229">
        <v>24</v>
      </c>
      <c r="CY67" s="229">
        <v>37</v>
      </c>
      <c r="CZ67" s="229">
        <v>7</v>
      </c>
      <c r="DA67" s="229">
        <v>25</v>
      </c>
      <c r="DB67" s="229">
        <v>3</v>
      </c>
      <c r="DC67" s="229">
        <v>248</v>
      </c>
      <c r="DD67" s="229">
        <v>9</v>
      </c>
      <c r="DE67" s="229">
        <v>2</v>
      </c>
      <c r="DF67" s="229">
        <v>32</v>
      </c>
      <c r="DG67" s="233">
        <v>3</v>
      </c>
      <c r="DH67" s="233">
        <v>21</v>
      </c>
      <c r="DI67" s="233">
        <v>145</v>
      </c>
    </row>
    <row r="68" spans="1:120" x14ac:dyDescent="0.2">
      <c r="A68" s="156">
        <v>45352</v>
      </c>
      <c r="B68" s="228">
        <v>3312</v>
      </c>
      <c r="C68" s="229">
        <v>458</v>
      </c>
      <c r="D68" s="228">
        <v>3034</v>
      </c>
      <c r="E68" s="228">
        <v>2970</v>
      </c>
      <c r="F68" s="229">
        <v>29</v>
      </c>
      <c r="G68" s="229">
        <v>1</v>
      </c>
      <c r="H68" s="229">
        <v>27</v>
      </c>
      <c r="I68" s="229">
        <v>2</v>
      </c>
      <c r="J68" s="229">
        <v>0</v>
      </c>
      <c r="K68" s="229">
        <v>206</v>
      </c>
      <c r="L68" s="229">
        <v>0</v>
      </c>
      <c r="M68" s="229">
        <v>904</v>
      </c>
      <c r="N68" s="229">
        <v>50</v>
      </c>
      <c r="O68" s="229">
        <v>7</v>
      </c>
      <c r="P68" s="229">
        <v>251</v>
      </c>
      <c r="Q68" s="231">
        <v>44</v>
      </c>
      <c r="R68" s="231">
        <v>2</v>
      </c>
      <c r="S68" s="231">
        <v>339</v>
      </c>
      <c r="T68" s="231">
        <v>9</v>
      </c>
      <c r="U68" s="231">
        <v>9</v>
      </c>
      <c r="V68" s="231">
        <v>0</v>
      </c>
      <c r="W68" s="231">
        <v>160</v>
      </c>
      <c r="X68" s="231">
        <v>953</v>
      </c>
      <c r="Y68" s="229">
        <v>5</v>
      </c>
      <c r="Z68" s="229">
        <v>54</v>
      </c>
      <c r="AA68" s="229">
        <v>24</v>
      </c>
      <c r="AB68" s="229">
        <v>17</v>
      </c>
      <c r="AC68" s="229">
        <v>119</v>
      </c>
      <c r="AD68" s="229">
        <v>4</v>
      </c>
      <c r="AE68" s="228">
        <v>4244</v>
      </c>
      <c r="AF68" s="229">
        <v>630</v>
      </c>
      <c r="AG68" s="229">
        <v>78</v>
      </c>
      <c r="AH68" s="229">
        <v>32</v>
      </c>
      <c r="AI68" s="229">
        <v>115</v>
      </c>
      <c r="AJ68" s="229">
        <v>11</v>
      </c>
      <c r="AK68" s="229">
        <v>887</v>
      </c>
      <c r="AL68" s="229">
        <v>1</v>
      </c>
      <c r="AM68" s="228">
        <v>1713</v>
      </c>
      <c r="AN68" s="229">
        <v>21</v>
      </c>
      <c r="AO68" s="229">
        <v>171</v>
      </c>
      <c r="AP68" s="229">
        <v>91</v>
      </c>
      <c r="AQ68" s="229">
        <v>201</v>
      </c>
      <c r="AR68" s="229">
        <v>3</v>
      </c>
      <c r="AS68" s="229">
        <v>16</v>
      </c>
      <c r="AT68" s="229">
        <v>388</v>
      </c>
      <c r="AU68" s="229">
        <v>11</v>
      </c>
      <c r="AV68" s="229">
        <v>37</v>
      </c>
      <c r="AW68" s="229">
        <v>286</v>
      </c>
      <c r="AX68" s="229">
        <v>17</v>
      </c>
      <c r="AY68" s="229">
        <v>18</v>
      </c>
      <c r="AZ68" s="229">
        <v>6</v>
      </c>
      <c r="BA68" s="229">
        <v>593</v>
      </c>
      <c r="BB68" s="229">
        <v>682</v>
      </c>
      <c r="BC68" s="229">
        <v>320</v>
      </c>
      <c r="BD68" s="228">
        <v>1574</v>
      </c>
      <c r="BE68" s="229">
        <v>134</v>
      </c>
      <c r="BF68" s="229">
        <v>6</v>
      </c>
      <c r="BG68" s="229">
        <v>958</v>
      </c>
      <c r="BH68" s="229">
        <v>108</v>
      </c>
      <c r="BI68" s="229">
        <v>9</v>
      </c>
      <c r="BJ68" s="228">
        <v>1101</v>
      </c>
      <c r="BK68" s="229">
        <v>94</v>
      </c>
      <c r="BL68" s="229">
        <v>0</v>
      </c>
      <c r="BM68" s="229">
        <v>984</v>
      </c>
      <c r="BN68" s="229">
        <v>117</v>
      </c>
      <c r="BO68" s="229">
        <v>1</v>
      </c>
      <c r="BP68" s="229">
        <v>758</v>
      </c>
      <c r="BQ68" s="229">
        <v>102</v>
      </c>
      <c r="BR68" s="229">
        <v>8</v>
      </c>
      <c r="BS68" s="229">
        <v>465</v>
      </c>
      <c r="BT68" s="229">
        <v>684</v>
      </c>
      <c r="BU68" s="229">
        <v>157</v>
      </c>
      <c r="BV68" s="229">
        <v>65</v>
      </c>
      <c r="BW68" s="229">
        <v>812</v>
      </c>
      <c r="BX68" s="229">
        <v>89</v>
      </c>
      <c r="BY68" s="229">
        <v>11</v>
      </c>
      <c r="BZ68" s="229">
        <v>797</v>
      </c>
      <c r="CA68" s="229">
        <v>666</v>
      </c>
      <c r="CB68" s="229">
        <v>189</v>
      </c>
      <c r="CC68" s="229">
        <v>12</v>
      </c>
      <c r="CD68" s="229">
        <v>970</v>
      </c>
      <c r="CE68" s="229">
        <v>-34</v>
      </c>
      <c r="CF68" s="229">
        <v>0</v>
      </c>
      <c r="CG68" s="229">
        <v>0</v>
      </c>
      <c r="CH68" s="229">
        <v>0</v>
      </c>
      <c r="CI68" s="229">
        <v>1</v>
      </c>
      <c r="CJ68" s="229">
        <v>20</v>
      </c>
      <c r="CK68" s="229">
        <v>1</v>
      </c>
      <c r="CL68" s="229">
        <v>27</v>
      </c>
      <c r="CM68" s="229">
        <v>11</v>
      </c>
      <c r="CN68" s="229">
        <v>5</v>
      </c>
      <c r="CO68" s="229">
        <v>58</v>
      </c>
      <c r="CP68" s="229">
        <v>27</v>
      </c>
      <c r="CQ68" s="229">
        <v>40</v>
      </c>
      <c r="CR68" s="229">
        <v>23</v>
      </c>
      <c r="CS68" s="229">
        <v>5</v>
      </c>
      <c r="CT68" s="229">
        <v>8</v>
      </c>
      <c r="CU68" s="229">
        <v>39</v>
      </c>
      <c r="CV68" s="229">
        <v>28</v>
      </c>
      <c r="CW68" s="229">
        <v>24</v>
      </c>
      <c r="CX68" s="229">
        <v>41</v>
      </c>
      <c r="CY68" s="229">
        <v>43</v>
      </c>
      <c r="CZ68" s="229">
        <v>8</v>
      </c>
      <c r="DA68" s="229">
        <v>24</v>
      </c>
      <c r="DB68" s="229">
        <v>3</v>
      </c>
      <c r="DC68" s="229">
        <v>224</v>
      </c>
      <c r="DD68" s="229">
        <v>10</v>
      </c>
      <c r="DE68" s="229">
        <v>3</v>
      </c>
      <c r="DF68" s="232">
        <v>46</v>
      </c>
      <c r="DG68" s="234">
        <v>2</v>
      </c>
      <c r="DH68" s="234">
        <v>21</v>
      </c>
      <c r="DI68" s="234">
        <v>27</v>
      </c>
    </row>
    <row r="69" spans="1:120" x14ac:dyDescent="0.2">
      <c r="A69" s="156">
        <v>45383</v>
      </c>
      <c r="B69" s="228">
        <v>8060</v>
      </c>
      <c r="C69" s="229">
        <v>406</v>
      </c>
      <c r="D69" s="228">
        <v>3224</v>
      </c>
      <c r="E69" s="228">
        <v>3007</v>
      </c>
      <c r="F69" s="229">
        <v>18</v>
      </c>
      <c r="G69" s="229">
        <v>69</v>
      </c>
      <c r="H69" s="229">
        <v>37</v>
      </c>
      <c r="I69" s="229">
        <v>14</v>
      </c>
      <c r="J69" s="229">
        <v>0</v>
      </c>
      <c r="K69" s="229">
        <v>214</v>
      </c>
      <c r="L69" s="229">
        <v>1</v>
      </c>
      <c r="M69" s="229">
        <v>918</v>
      </c>
      <c r="N69" s="229">
        <v>43</v>
      </c>
      <c r="O69" s="229">
        <v>4</v>
      </c>
      <c r="P69" s="229">
        <v>223</v>
      </c>
      <c r="Q69" s="229">
        <v>39</v>
      </c>
      <c r="R69" s="229">
        <v>1</v>
      </c>
      <c r="S69" s="229">
        <v>881</v>
      </c>
      <c r="T69" s="229">
        <v>12</v>
      </c>
      <c r="U69" s="229">
        <v>10</v>
      </c>
      <c r="V69" s="229">
        <v>0</v>
      </c>
      <c r="W69" s="229">
        <v>116</v>
      </c>
      <c r="X69" s="229">
        <v>953</v>
      </c>
      <c r="Y69" s="229">
        <v>10</v>
      </c>
      <c r="Z69" s="229">
        <v>60</v>
      </c>
      <c r="AA69" s="229">
        <v>25</v>
      </c>
      <c r="AB69" s="229">
        <v>20</v>
      </c>
      <c r="AC69" s="229">
        <v>125</v>
      </c>
      <c r="AD69" s="229">
        <v>0</v>
      </c>
      <c r="AE69" s="228">
        <v>4474</v>
      </c>
      <c r="AF69" s="229">
        <v>739</v>
      </c>
      <c r="AG69" s="229">
        <v>97</v>
      </c>
      <c r="AH69" s="229">
        <v>33</v>
      </c>
      <c r="AI69" s="229">
        <v>113</v>
      </c>
      <c r="AJ69" s="229">
        <v>12</v>
      </c>
      <c r="AK69" s="229">
        <v>899</v>
      </c>
      <c r="AL69" s="229">
        <v>1</v>
      </c>
      <c r="AM69" s="228">
        <v>1822</v>
      </c>
      <c r="AN69" s="229">
        <v>24</v>
      </c>
      <c r="AO69" s="229">
        <v>143</v>
      </c>
      <c r="AP69" s="229">
        <v>100</v>
      </c>
      <c r="AQ69" s="229">
        <v>214</v>
      </c>
      <c r="AR69" s="229">
        <v>9</v>
      </c>
      <c r="AS69" s="229">
        <v>15</v>
      </c>
      <c r="AT69" s="229">
        <v>387</v>
      </c>
      <c r="AU69" s="229">
        <v>9</v>
      </c>
      <c r="AV69" s="229">
        <v>26</v>
      </c>
      <c r="AW69" s="229">
        <v>293</v>
      </c>
      <c r="AX69" s="229">
        <v>16</v>
      </c>
      <c r="AY69" s="229">
        <v>17</v>
      </c>
      <c r="AZ69" s="229">
        <v>2</v>
      </c>
      <c r="BA69" s="229">
        <v>503</v>
      </c>
      <c r="BB69" s="229">
        <v>344</v>
      </c>
      <c r="BC69" s="229">
        <v>251</v>
      </c>
      <c r="BD69" s="228">
        <v>1562</v>
      </c>
      <c r="BE69" s="229">
        <v>149</v>
      </c>
      <c r="BF69" s="229">
        <v>8</v>
      </c>
      <c r="BG69" s="229">
        <v>977</v>
      </c>
      <c r="BH69" s="229">
        <v>114</v>
      </c>
      <c r="BI69" s="229">
        <v>4</v>
      </c>
      <c r="BJ69" s="228">
        <v>1060</v>
      </c>
      <c r="BK69" s="229">
        <v>108</v>
      </c>
      <c r="BL69" s="229">
        <v>2</v>
      </c>
      <c r="BM69" s="229">
        <v>930</v>
      </c>
      <c r="BN69" s="229">
        <v>110</v>
      </c>
      <c r="BO69" s="229">
        <v>0</v>
      </c>
      <c r="BP69" s="229">
        <v>717</v>
      </c>
      <c r="BQ69" s="229">
        <v>104</v>
      </c>
      <c r="BR69" s="229">
        <v>6</v>
      </c>
      <c r="BS69" s="229">
        <v>459</v>
      </c>
      <c r="BT69" s="229">
        <v>675</v>
      </c>
      <c r="BU69" s="229">
        <v>159</v>
      </c>
      <c r="BV69" s="229">
        <v>43</v>
      </c>
      <c r="BW69" s="229">
        <v>753</v>
      </c>
      <c r="BX69" s="229">
        <v>86</v>
      </c>
      <c r="BY69" s="229">
        <v>21</v>
      </c>
      <c r="BZ69" s="229">
        <v>760</v>
      </c>
      <c r="CA69" s="229">
        <v>650</v>
      </c>
      <c r="CB69" s="229">
        <v>190</v>
      </c>
      <c r="CC69" s="229">
        <v>15</v>
      </c>
      <c r="CD69" s="228">
        <v>1001</v>
      </c>
      <c r="CE69" s="229">
        <v>12</v>
      </c>
      <c r="CF69" s="229">
        <v>0</v>
      </c>
      <c r="CG69" s="229">
        <v>0</v>
      </c>
      <c r="CH69" s="229">
        <v>0</v>
      </c>
      <c r="CI69" s="229">
        <v>0</v>
      </c>
      <c r="CJ69" s="229">
        <v>28</v>
      </c>
      <c r="CK69" s="229">
        <v>7</v>
      </c>
      <c r="CL69" s="229">
        <v>38</v>
      </c>
      <c r="CM69" s="229">
        <v>15</v>
      </c>
      <c r="CN69" s="229">
        <v>5</v>
      </c>
      <c r="CO69" s="229">
        <v>109</v>
      </c>
      <c r="CP69" s="229">
        <v>28</v>
      </c>
      <c r="CQ69" s="229">
        <v>49</v>
      </c>
      <c r="CR69" s="229">
        <v>32</v>
      </c>
      <c r="CS69" s="229">
        <v>22</v>
      </c>
      <c r="CT69" s="229">
        <v>18</v>
      </c>
      <c r="CU69" s="229">
        <v>25</v>
      </c>
      <c r="CV69" s="229">
        <v>28</v>
      </c>
      <c r="CW69" s="229">
        <v>26</v>
      </c>
      <c r="CX69" s="229">
        <v>33</v>
      </c>
      <c r="CY69" s="229">
        <v>43</v>
      </c>
      <c r="CZ69" s="229">
        <v>9</v>
      </c>
      <c r="DA69" s="229">
        <v>30</v>
      </c>
      <c r="DB69" s="229">
        <v>3</v>
      </c>
      <c r="DC69" s="229">
        <v>215</v>
      </c>
      <c r="DD69" s="229">
        <v>10</v>
      </c>
      <c r="DE69" s="229">
        <v>2</v>
      </c>
      <c r="DF69" s="229">
        <v>62</v>
      </c>
      <c r="DG69" s="229">
        <v>2</v>
      </c>
      <c r="DH69" s="229">
        <v>15</v>
      </c>
      <c r="DI69" s="229">
        <v>32</v>
      </c>
    </row>
    <row r="70" spans="1:120" x14ac:dyDescent="0.2">
      <c r="A70" s="156">
        <v>45413</v>
      </c>
      <c r="B70" s="228">
        <v>7514</v>
      </c>
      <c r="C70" s="228">
        <v>509</v>
      </c>
      <c r="D70" s="228">
        <v>3111</v>
      </c>
      <c r="E70" s="228">
        <v>2882</v>
      </c>
      <c r="F70" s="228">
        <v>12</v>
      </c>
      <c r="G70" s="228">
        <v>149</v>
      </c>
      <c r="H70" s="228">
        <v>129</v>
      </c>
      <c r="I70" s="228">
        <v>3</v>
      </c>
      <c r="J70" s="228">
        <v>-120</v>
      </c>
      <c r="K70" s="228">
        <v>74</v>
      </c>
      <c r="L70" s="228">
        <v>0</v>
      </c>
      <c r="M70" s="228">
        <v>820</v>
      </c>
      <c r="N70" s="228">
        <v>32</v>
      </c>
      <c r="O70" s="228">
        <v>3</v>
      </c>
      <c r="P70" s="228">
        <v>190</v>
      </c>
      <c r="Q70" s="228">
        <v>41</v>
      </c>
      <c r="R70" s="228">
        <v>0</v>
      </c>
      <c r="S70" s="228">
        <v>812</v>
      </c>
      <c r="T70" s="228">
        <v>11</v>
      </c>
      <c r="U70" s="228">
        <v>8</v>
      </c>
      <c r="V70" s="228">
        <v>0</v>
      </c>
      <c r="W70" s="228">
        <v>122</v>
      </c>
      <c r="X70" s="228">
        <v>51</v>
      </c>
      <c r="Y70" s="228">
        <v>6</v>
      </c>
      <c r="Z70" s="228">
        <v>43</v>
      </c>
      <c r="AA70" s="228">
        <v>20</v>
      </c>
      <c r="AB70" s="228">
        <v>20</v>
      </c>
      <c r="AC70" s="228">
        <v>49</v>
      </c>
      <c r="AD70" s="228">
        <v>0</v>
      </c>
      <c r="AE70" s="228">
        <v>4250</v>
      </c>
      <c r="AF70" s="228">
        <v>714</v>
      </c>
      <c r="AG70" s="228">
        <v>100</v>
      </c>
      <c r="AH70" s="228">
        <v>32</v>
      </c>
      <c r="AI70" s="228">
        <v>112</v>
      </c>
      <c r="AJ70" s="228">
        <v>11</v>
      </c>
      <c r="AK70" s="228">
        <v>918</v>
      </c>
      <c r="AL70" s="228">
        <v>0</v>
      </c>
      <c r="AM70" s="228">
        <v>1981</v>
      </c>
      <c r="AN70" s="228">
        <v>23</v>
      </c>
      <c r="AO70" s="228">
        <v>118</v>
      </c>
      <c r="AP70" s="228">
        <v>107</v>
      </c>
      <c r="AQ70" s="228">
        <v>224</v>
      </c>
      <c r="AR70" s="228">
        <v>8</v>
      </c>
      <c r="AS70" s="228">
        <v>18</v>
      </c>
      <c r="AT70" s="228">
        <v>432</v>
      </c>
      <c r="AU70" s="228">
        <v>9</v>
      </c>
      <c r="AV70" s="228">
        <v>25</v>
      </c>
      <c r="AW70" s="228">
        <v>273</v>
      </c>
      <c r="AX70" s="228">
        <v>16</v>
      </c>
      <c r="AY70" s="228">
        <v>6</v>
      </c>
      <c r="AZ70" s="228">
        <v>3</v>
      </c>
      <c r="BA70" s="228">
        <v>472</v>
      </c>
      <c r="BB70" s="228">
        <v>304</v>
      </c>
      <c r="BC70" s="228">
        <v>249</v>
      </c>
      <c r="BD70" s="228">
        <v>1532</v>
      </c>
      <c r="BE70" s="228">
        <v>125</v>
      </c>
      <c r="BF70" s="228">
        <v>4</v>
      </c>
      <c r="BG70" s="228">
        <v>942</v>
      </c>
      <c r="BH70" s="228">
        <v>134</v>
      </c>
      <c r="BI70" s="228">
        <v>6</v>
      </c>
      <c r="BJ70" s="228">
        <v>1085</v>
      </c>
      <c r="BK70" s="228">
        <v>91</v>
      </c>
      <c r="BL70" s="228">
        <v>0</v>
      </c>
      <c r="BM70" s="228">
        <v>896</v>
      </c>
      <c r="BN70" s="228">
        <v>96</v>
      </c>
      <c r="BO70" s="228">
        <v>0</v>
      </c>
      <c r="BP70" s="228">
        <v>690</v>
      </c>
      <c r="BQ70" s="228">
        <v>90</v>
      </c>
      <c r="BR70" s="228">
        <v>3</v>
      </c>
      <c r="BS70" s="228">
        <v>471</v>
      </c>
      <c r="BT70" s="228">
        <v>677</v>
      </c>
      <c r="BU70" s="228">
        <v>139</v>
      </c>
      <c r="BV70" s="228">
        <v>15</v>
      </c>
      <c r="BW70" s="228">
        <v>733</v>
      </c>
      <c r="BX70" s="228">
        <v>80</v>
      </c>
      <c r="BY70" s="228">
        <v>20</v>
      </c>
      <c r="BZ70" s="228">
        <v>797</v>
      </c>
      <c r="CA70" s="228">
        <v>672</v>
      </c>
      <c r="CB70" s="228">
        <v>169</v>
      </c>
      <c r="CC70" s="228">
        <v>16</v>
      </c>
      <c r="CD70" s="228">
        <v>1048</v>
      </c>
      <c r="CE70" s="228">
        <v>17</v>
      </c>
      <c r="CF70" s="228">
        <v>6</v>
      </c>
      <c r="CG70" s="228">
        <v>0</v>
      </c>
      <c r="CH70" s="228">
        <v>2</v>
      </c>
      <c r="CI70" s="228">
        <v>1</v>
      </c>
      <c r="CJ70" s="228">
        <v>72</v>
      </c>
      <c r="CK70" s="228">
        <v>13</v>
      </c>
      <c r="CL70" s="228">
        <v>36</v>
      </c>
      <c r="CM70" s="228">
        <v>16</v>
      </c>
      <c r="CN70" s="228">
        <v>4</v>
      </c>
      <c r="CO70" s="228">
        <v>46</v>
      </c>
      <c r="CP70" s="228">
        <v>23</v>
      </c>
      <c r="CQ70" s="228">
        <v>41</v>
      </c>
      <c r="CR70" s="228">
        <v>19</v>
      </c>
      <c r="CS70" s="228">
        <v>13</v>
      </c>
      <c r="CT70" s="228">
        <v>12</v>
      </c>
      <c r="CU70" s="228">
        <v>30</v>
      </c>
      <c r="CV70" s="228">
        <v>29</v>
      </c>
      <c r="CW70" s="228">
        <v>31</v>
      </c>
      <c r="CX70" s="228">
        <v>23</v>
      </c>
      <c r="CY70" s="228">
        <v>44</v>
      </c>
      <c r="CZ70" s="228">
        <v>6</v>
      </c>
      <c r="DA70" s="228">
        <v>19</v>
      </c>
      <c r="DB70" s="228">
        <v>4</v>
      </c>
      <c r="DC70" s="228">
        <v>232</v>
      </c>
      <c r="DD70" s="228">
        <v>7</v>
      </c>
      <c r="DE70" s="228">
        <v>3</v>
      </c>
      <c r="DF70" s="228">
        <v>55</v>
      </c>
      <c r="DG70" s="228">
        <v>5</v>
      </c>
      <c r="DH70" s="228">
        <v>14</v>
      </c>
      <c r="DI70" s="228">
        <v>19</v>
      </c>
    </row>
    <row r="71" spans="1:120" x14ac:dyDescent="0.2">
      <c r="A71" s="156">
        <v>45444</v>
      </c>
      <c r="B71" s="228">
        <v>8996</v>
      </c>
      <c r="C71" s="228">
        <v>461</v>
      </c>
      <c r="D71" s="228">
        <v>2478</v>
      </c>
      <c r="E71" s="228">
        <v>2709</v>
      </c>
      <c r="F71" s="228">
        <v>17</v>
      </c>
      <c r="G71" s="228">
        <v>152</v>
      </c>
      <c r="H71" s="228">
        <v>164</v>
      </c>
      <c r="I71" s="228">
        <v>13</v>
      </c>
      <c r="J71" s="228">
        <v>10</v>
      </c>
      <c r="K71" s="228">
        <v>20</v>
      </c>
      <c r="L71" s="228">
        <v>0</v>
      </c>
      <c r="M71" s="228">
        <v>719</v>
      </c>
      <c r="N71" s="228">
        <v>19</v>
      </c>
      <c r="O71" s="228">
        <v>4</v>
      </c>
      <c r="P71" s="228">
        <v>155</v>
      </c>
      <c r="Q71" s="228">
        <v>23</v>
      </c>
      <c r="R71" s="228">
        <v>0</v>
      </c>
      <c r="S71" s="228">
        <v>1015</v>
      </c>
      <c r="T71" s="228">
        <v>12</v>
      </c>
      <c r="U71" s="228">
        <v>5</v>
      </c>
      <c r="V71" s="228">
        <v>0</v>
      </c>
      <c r="W71" s="228">
        <v>309</v>
      </c>
      <c r="X71" s="228">
        <v>6</v>
      </c>
      <c r="Y71" s="228">
        <v>11</v>
      </c>
      <c r="Z71" s="228">
        <v>44</v>
      </c>
      <c r="AA71" s="228">
        <v>11</v>
      </c>
      <c r="AB71" s="228">
        <v>16</v>
      </c>
      <c r="AC71" s="228">
        <v>37</v>
      </c>
      <c r="AD71" s="228">
        <v>0</v>
      </c>
      <c r="AE71" s="228">
        <v>3475</v>
      </c>
      <c r="AF71" s="228">
        <v>824</v>
      </c>
      <c r="AG71" s="228">
        <v>69</v>
      </c>
      <c r="AH71" s="228">
        <v>24</v>
      </c>
      <c r="AI71" s="228">
        <v>87</v>
      </c>
      <c r="AJ71" s="228">
        <v>8</v>
      </c>
      <c r="AK71" s="228">
        <v>751</v>
      </c>
      <c r="AL71" s="228">
        <v>3</v>
      </c>
      <c r="AM71" s="228">
        <v>1245</v>
      </c>
      <c r="AN71" s="228">
        <v>17</v>
      </c>
      <c r="AO71" s="228">
        <v>2</v>
      </c>
      <c r="AP71" s="228">
        <v>76</v>
      </c>
      <c r="AQ71" s="228">
        <v>229</v>
      </c>
      <c r="AR71" s="228">
        <v>51</v>
      </c>
      <c r="AS71" s="228">
        <v>10</v>
      </c>
      <c r="AT71" s="228">
        <v>303</v>
      </c>
      <c r="AU71" s="228">
        <v>7</v>
      </c>
      <c r="AV71" s="228">
        <v>20</v>
      </c>
      <c r="AW71" s="228">
        <v>280</v>
      </c>
      <c r="AX71" s="228">
        <v>10</v>
      </c>
      <c r="AY71" s="228">
        <v>4</v>
      </c>
      <c r="AZ71" s="228">
        <v>1</v>
      </c>
      <c r="BA71" s="228">
        <v>163</v>
      </c>
      <c r="BB71" s="228">
        <v>97</v>
      </c>
      <c r="BC71" s="228">
        <v>83</v>
      </c>
      <c r="BD71" s="228">
        <v>673</v>
      </c>
      <c r="BE71" s="228">
        <v>81</v>
      </c>
      <c r="BF71" s="228">
        <v>3</v>
      </c>
      <c r="BG71" s="228">
        <v>374</v>
      </c>
      <c r="BH71" s="228">
        <v>34</v>
      </c>
      <c r="BI71" s="228">
        <v>5</v>
      </c>
      <c r="BJ71" s="228">
        <v>455</v>
      </c>
      <c r="BK71" s="228">
        <v>58</v>
      </c>
      <c r="BL71" s="228">
        <v>0</v>
      </c>
      <c r="BM71" s="228">
        <v>311</v>
      </c>
      <c r="BN71" s="228">
        <v>61</v>
      </c>
      <c r="BO71" s="228">
        <v>1</v>
      </c>
      <c r="BP71" s="228">
        <v>280</v>
      </c>
      <c r="BQ71" s="228">
        <v>51</v>
      </c>
      <c r="BR71" s="228">
        <v>1</v>
      </c>
      <c r="BS71" s="228">
        <v>193</v>
      </c>
      <c r="BT71" s="228">
        <v>190</v>
      </c>
      <c r="BU71" s="228">
        <v>81</v>
      </c>
      <c r="BV71" s="228">
        <v>12</v>
      </c>
      <c r="BW71" s="228">
        <v>266</v>
      </c>
      <c r="BX71" s="228">
        <v>44</v>
      </c>
      <c r="BY71" s="228">
        <v>7</v>
      </c>
      <c r="BZ71" s="228">
        <v>320</v>
      </c>
      <c r="CA71" s="228">
        <v>356</v>
      </c>
      <c r="CB71" s="228">
        <v>110</v>
      </c>
      <c r="CC71" s="228">
        <v>12</v>
      </c>
      <c r="CD71" s="228">
        <v>720</v>
      </c>
      <c r="CE71" s="228">
        <v>12</v>
      </c>
      <c r="CF71" s="228">
        <v>0</v>
      </c>
      <c r="CG71" s="228">
        <v>0</v>
      </c>
      <c r="CH71" s="228">
        <v>0</v>
      </c>
      <c r="CI71" s="228">
        <v>1</v>
      </c>
      <c r="CJ71" s="228">
        <v>28</v>
      </c>
      <c r="CK71" s="228">
        <v>12</v>
      </c>
      <c r="CL71" s="228">
        <v>38</v>
      </c>
      <c r="CM71" s="228">
        <v>18</v>
      </c>
      <c r="CN71" s="228">
        <v>6</v>
      </c>
      <c r="CO71" s="228">
        <v>41</v>
      </c>
      <c r="CP71" s="228">
        <v>25</v>
      </c>
      <c r="CQ71" s="228">
        <v>48</v>
      </c>
      <c r="CR71" s="228">
        <v>27</v>
      </c>
      <c r="CS71" s="228">
        <v>23</v>
      </c>
      <c r="CT71" s="228">
        <v>17</v>
      </c>
      <c r="CU71" s="228">
        <v>39</v>
      </c>
      <c r="CV71" s="228">
        <v>29</v>
      </c>
      <c r="CW71" s="228">
        <v>50</v>
      </c>
      <c r="CX71" s="228">
        <v>24</v>
      </c>
      <c r="CY71" s="228">
        <v>30</v>
      </c>
      <c r="CZ71" s="228">
        <v>6</v>
      </c>
      <c r="DA71" s="228">
        <v>17</v>
      </c>
      <c r="DB71" s="228">
        <v>4</v>
      </c>
      <c r="DC71" s="228">
        <v>234</v>
      </c>
      <c r="DD71" s="228">
        <v>8</v>
      </c>
      <c r="DE71" s="228">
        <v>3</v>
      </c>
      <c r="DF71" s="228">
        <v>98</v>
      </c>
      <c r="DG71" s="228">
        <v>5</v>
      </c>
      <c r="DH71" s="228">
        <v>13</v>
      </c>
      <c r="DI71" s="228">
        <v>23</v>
      </c>
    </row>
    <row r="72" spans="1:120" x14ac:dyDescent="0.2">
      <c r="A72" s="156">
        <v>45474</v>
      </c>
      <c r="B72" s="228">
        <v>10945</v>
      </c>
      <c r="C72" s="228">
        <v>647</v>
      </c>
      <c r="D72" s="228">
        <v>3919</v>
      </c>
      <c r="E72" s="228">
        <v>3419</v>
      </c>
      <c r="F72" s="228">
        <v>42</v>
      </c>
      <c r="G72" s="228">
        <v>196</v>
      </c>
      <c r="H72" s="228">
        <v>228</v>
      </c>
      <c r="I72" s="228">
        <v>7</v>
      </c>
      <c r="J72" s="228">
        <v>10</v>
      </c>
      <c r="K72" s="228">
        <v>0</v>
      </c>
      <c r="L72" s="228">
        <v>0</v>
      </c>
      <c r="M72" s="228">
        <v>1007</v>
      </c>
      <c r="N72" s="228">
        <v>33</v>
      </c>
      <c r="O72" s="228">
        <v>3</v>
      </c>
      <c r="P72" s="228">
        <v>143</v>
      </c>
      <c r="Q72" s="228">
        <v>48</v>
      </c>
      <c r="R72" s="228">
        <v>2</v>
      </c>
      <c r="S72" s="228">
        <v>1480</v>
      </c>
      <c r="T72" s="228">
        <v>10</v>
      </c>
      <c r="U72" s="228">
        <v>5</v>
      </c>
      <c r="V72" s="228">
        <v>0</v>
      </c>
      <c r="W72" s="228">
        <v>112</v>
      </c>
      <c r="X72" s="228">
        <v>5</v>
      </c>
      <c r="Y72" s="228">
        <v>15</v>
      </c>
      <c r="Z72" s="228">
        <v>58</v>
      </c>
      <c r="AA72" s="228">
        <v>12</v>
      </c>
      <c r="AB72" s="228">
        <v>14</v>
      </c>
      <c r="AC72" s="228">
        <v>67</v>
      </c>
      <c r="AD72" s="228">
        <v>0</v>
      </c>
      <c r="AE72" s="228">
        <v>4102</v>
      </c>
      <c r="AF72" s="228">
        <v>957</v>
      </c>
      <c r="AG72" s="228">
        <v>0</v>
      </c>
      <c r="AH72" s="228">
        <v>23</v>
      </c>
      <c r="AI72" s="228">
        <v>111</v>
      </c>
      <c r="AJ72" s="228">
        <v>8</v>
      </c>
      <c r="AK72" s="228">
        <v>980</v>
      </c>
      <c r="AL72" s="228">
        <v>0</v>
      </c>
      <c r="AM72" s="228">
        <v>1616</v>
      </c>
      <c r="AN72" s="228">
        <v>22</v>
      </c>
      <c r="AO72" s="228">
        <v>6</v>
      </c>
      <c r="AP72" s="228">
        <v>132</v>
      </c>
      <c r="AQ72" s="228">
        <v>166</v>
      </c>
      <c r="AR72" s="228">
        <v>12</v>
      </c>
      <c r="AS72" s="228">
        <v>10</v>
      </c>
      <c r="AT72" s="228">
        <v>391</v>
      </c>
      <c r="AU72" s="228">
        <v>6</v>
      </c>
      <c r="AV72" s="228">
        <v>27</v>
      </c>
      <c r="AW72" s="228">
        <v>301</v>
      </c>
      <c r="AX72" s="228">
        <v>13</v>
      </c>
      <c r="AY72" s="228">
        <v>55</v>
      </c>
      <c r="AZ72" s="228">
        <v>2</v>
      </c>
      <c r="BA72" s="228">
        <v>109</v>
      </c>
      <c r="BB72" s="228">
        <v>37</v>
      </c>
      <c r="BC72" s="228">
        <v>30</v>
      </c>
      <c r="BD72" s="228">
        <v>594</v>
      </c>
      <c r="BE72" s="228">
        <v>59</v>
      </c>
      <c r="BF72" s="228">
        <v>4</v>
      </c>
      <c r="BG72" s="228">
        <v>352</v>
      </c>
      <c r="BH72" s="228">
        <v>63</v>
      </c>
      <c r="BI72" s="228">
        <v>8</v>
      </c>
      <c r="BJ72" s="228">
        <v>363</v>
      </c>
      <c r="BK72" s="228">
        <v>26</v>
      </c>
      <c r="BL72" s="228">
        <v>0</v>
      </c>
      <c r="BM72" s="228">
        <v>219</v>
      </c>
      <c r="BN72" s="228">
        <v>24</v>
      </c>
      <c r="BO72" s="228">
        <v>0</v>
      </c>
      <c r="BP72" s="228">
        <v>138</v>
      </c>
      <c r="BQ72" s="228">
        <v>50</v>
      </c>
      <c r="BR72" s="228">
        <v>2</v>
      </c>
      <c r="BS72" s="228">
        <v>208</v>
      </c>
      <c r="BT72" s="228">
        <v>69</v>
      </c>
      <c r="BU72" s="228">
        <v>39</v>
      </c>
      <c r="BV72" s="228">
        <v>10</v>
      </c>
      <c r="BW72" s="228">
        <v>169</v>
      </c>
      <c r="BX72" s="228">
        <v>20</v>
      </c>
      <c r="BY72" s="228">
        <v>7</v>
      </c>
      <c r="BZ72" s="228">
        <v>285</v>
      </c>
      <c r="CA72" s="228">
        <v>387</v>
      </c>
      <c r="CB72" s="228">
        <v>104</v>
      </c>
      <c r="CC72" s="228">
        <v>15</v>
      </c>
      <c r="CD72" s="228">
        <v>635</v>
      </c>
      <c r="CE72" s="228">
        <v>12</v>
      </c>
      <c r="CF72" s="228">
        <v>0</v>
      </c>
      <c r="CG72" s="228">
        <v>0</v>
      </c>
      <c r="CH72" s="228">
        <v>1</v>
      </c>
      <c r="CI72" s="228">
        <v>0</v>
      </c>
      <c r="CJ72" s="228">
        <v>41</v>
      </c>
      <c r="CK72" s="228">
        <v>11</v>
      </c>
      <c r="CL72" s="228">
        <v>25</v>
      </c>
      <c r="CM72" s="228">
        <v>15</v>
      </c>
      <c r="CN72" s="228">
        <v>5</v>
      </c>
      <c r="CO72" s="228">
        <v>47</v>
      </c>
      <c r="CP72" s="228">
        <v>25</v>
      </c>
      <c r="CQ72" s="228">
        <v>39</v>
      </c>
      <c r="CR72" s="228">
        <v>17</v>
      </c>
      <c r="CS72" s="228">
        <v>20</v>
      </c>
      <c r="CT72" s="228">
        <v>19</v>
      </c>
      <c r="CU72" s="228">
        <v>28</v>
      </c>
      <c r="CV72" s="228">
        <v>26</v>
      </c>
      <c r="CW72" s="228">
        <v>21</v>
      </c>
      <c r="CX72" s="228">
        <v>16</v>
      </c>
      <c r="CY72" s="228">
        <v>31</v>
      </c>
      <c r="CZ72" s="228">
        <v>6</v>
      </c>
      <c r="DA72" s="228">
        <v>15</v>
      </c>
      <c r="DB72" s="228">
        <v>3</v>
      </c>
      <c r="DC72" s="228">
        <v>185</v>
      </c>
      <c r="DD72" s="228">
        <v>7</v>
      </c>
      <c r="DE72" s="228">
        <v>3</v>
      </c>
      <c r="DF72" s="228">
        <v>78</v>
      </c>
      <c r="DG72" s="228">
        <v>1</v>
      </c>
      <c r="DH72" s="228">
        <v>4</v>
      </c>
      <c r="DI72" s="228">
        <v>15</v>
      </c>
    </row>
    <row r="73" spans="1:120" x14ac:dyDescent="0.2">
      <c r="A73" s="156">
        <v>45505</v>
      </c>
      <c r="B73" s="228">
        <v>9791</v>
      </c>
      <c r="C73" s="228">
        <v>280</v>
      </c>
      <c r="D73" s="228">
        <v>3569</v>
      </c>
      <c r="E73" s="228">
        <v>3098</v>
      </c>
      <c r="F73" s="228">
        <v>22</v>
      </c>
      <c r="G73" s="228">
        <v>184</v>
      </c>
      <c r="H73" s="228">
        <v>234</v>
      </c>
      <c r="I73" s="228">
        <v>19</v>
      </c>
      <c r="J73" s="228">
        <v>0</v>
      </c>
      <c r="K73" s="228">
        <v>0</v>
      </c>
      <c r="L73" s="228">
        <v>0</v>
      </c>
      <c r="M73" s="228">
        <v>893</v>
      </c>
      <c r="N73" s="228">
        <v>39</v>
      </c>
      <c r="O73" s="228">
        <v>3</v>
      </c>
      <c r="P73" s="228">
        <v>164</v>
      </c>
      <c r="Q73" s="228">
        <v>83</v>
      </c>
      <c r="R73" s="228">
        <v>1</v>
      </c>
      <c r="S73" s="228">
        <v>1378</v>
      </c>
      <c r="T73" s="228">
        <v>11</v>
      </c>
      <c r="U73" s="228">
        <v>13</v>
      </c>
      <c r="V73" s="228">
        <v>0</v>
      </c>
      <c r="W73" s="228">
        <v>145</v>
      </c>
      <c r="X73" s="228">
        <v>7</v>
      </c>
      <c r="Y73" s="228">
        <v>16</v>
      </c>
      <c r="Z73" s="228">
        <v>55</v>
      </c>
      <c r="AA73" s="228">
        <v>14</v>
      </c>
      <c r="AB73" s="228">
        <v>18</v>
      </c>
      <c r="AC73" s="228">
        <v>76</v>
      </c>
      <c r="AD73" s="228">
        <v>0</v>
      </c>
      <c r="AE73" s="228">
        <v>3738</v>
      </c>
      <c r="AF73" s="228">
        <v>946</v>
      </c>
      <c r="AG73" s="228">
        <v>91</v>
      </c>
      <c r="AH73" s="228">
        <v>24</v>
      </c>
      <c r="AI73" s="228">
        <v>103</v>
      </c>
      <c r="AJ73" s="228">
        <v>7</v>
      </c>
      <c r="AK73" s="228">
        <v>1010</v>
      </c>
      <c r="AL73" s="228">
        <v>1</v>
      </c>
      <c r="AM73" s="228">
        <v>1626</v>
      </c>
      <c r="AN73" s="228">
        <v>20</v>
      </c>
      <c r="AO73" s="228">
        <v>99</v>
      </c>
      <c r="AP73" s="228">
        <v>129</v>
      </c>
      <c r="AQ73" s="228">
        <v>197</v>
      </c>
      <c r="AR73" s="228">
        <v>7</v>
      </c>
      <c r="AS73" s="228">
        <v>8</v>
      </c>
      <c r="AT73" s="228">
        <v>403</v>
      </c>
      <c r="AU73" s="228">
        <v>7</v>
      </c>
      <c r="AV73" s="228">
        <v>29</v>
      </c>
      <c r="AW73" s="228">
        <v>275</v>
      </c>
      <c r="AX73" s="228">
        <v>11</v>
      </c>
      <c r="AY73" s="228">
        <v>309</v>
      </c>
      <c r="AZ73" s="228">
        <v>3</v>
      </c>
      <c r="BA73" s="228">
        <v>95</v>
      </c>
      <c r="BB73" s="228">
        <v>22</v>
      </c>
      <c r="BC73" s="228">
        <v>40</v>
      </c>
      <c r="BD73" s="228">
        <v>513</v>
      </c>
      <c r="BE73" s="228">
        <v>59</v>
      </c>
      <c r="BF73" s="228">
        <v>7</v>
      </c>
      <c r="BG73" s="228">
        <v>337</v>
      </c>
      <c r="BH73" s="228">
        <v>80</v>
      </c>
      <c r="BI73" s="228">
        <v>9</v>
      </c>
      <c r="BJ73" s="228">
        <v>208</v>
      </c>
      <c r="BK73" s="228">
        <v>40</v>
      </c>
      <c r="BL73" s="228">
        <v>0</v>
      </c>
      <c r="BM73" s="228">
        <v>192</v>
      </c>
      <c r="BN73" s="228">
        <v>27</v>
      </c>
      <c r="BO73" s="228">
        <v>0</v>
      </c>
      <c r="BP73" s="228">
        <v>127</v>
      </c>
      <c r="BQ73" s="228">
        <v>22</v>
      </c>
      <c r="BR73" s="228">
        <v>3</v>
      </c>
      <c r="BS73" s="228">
        <v>193</v>
      </c>
      <c r="BT73" s="228">
        <v>73</v>
      </c>
      <c r="BU73" s="228">
        <v>21</v>
      </c>
      <c r="BV73" s="228">
        <v>9</v>
      </c>
      <c r="BW73" s="228">
        <v>144</v>
      </c>
      <c r="BX73" s="228">
        <v>22</v>
      </c>
      <c r="BY73" s="228">
        <v>8</v>
      </c>
      <c r="BZ73" s="228">
        <v>190</v>
      </c>
      <c r="CA73" s="228">
        <v>224</v>
      </c>
      <c r="CB73" s="228">
        <v>65</v>
      </c>
      <c r="CC73" s="228">
        <v>26</v>
      </c>
      <c r="CD73" s="228">
        <v>596</v>
      </c>
      <c r="CE73" s="228">
        <v>8</v>
      </c>
      <c r="CF73" s="228">
        <v>0</v>
      </c>
      <c r="CG73" s="228">
        <v>0</v>
      </c>
      <c r="CH73" s="228">
        <v>1</v>
      </c>
      <c r="CI73" s="228">
        <v>0</v>
      </c>
      <c r="CJ73" s="228">
        <v>22</v>
      </c>
      <c r="CK73" s="228">
        <v>14</v>
      </c>
      <c r="CL73" s="228">
        <v>31</v>
      </c>
      <c r="CM73" s="228">
        <v>18</v>
      </c>
      <c r="CN73" s="228">
        <v>6</v>
      </c>
      <c r="CO73" s="228">
        <v>67</v>
      </c>
      <c r="CP73" s="228">
        <v>24</v>
      </c>
      <c r="CQ73" s="228">
        <v>31</v>
      </c>
      <c r="CR73" s="228">
        <v>14</v>
      </c>
      <c r="CS73" s="228">
        <v>22</v>
      </c>
      <c r="CT73" s="228">
        <v>20</v>
      </c>
      <c r="CU73" s="228">
        <v>83</v>
      </c>
      <c r="CV73" s="228">
        <v>34</v>
      </c>
      <c r="CW73" s="228">
        <v>15</v>
      </c>
      <c r="CX73" s="228">
        <v>28</v>
      </c>
      <c r="CY73" s="228">
        <v>47</v>
      </c>
      <c r="CZ73" s="228">
        <v>8</v>
      </c>
      <c r="DA73" s="228">
        <v>20</v>
      </c>
      <c r="DB73" s="228">
        <v>0</v>
      </c>
      <c r="DC73" s="228">
        <v>206</v>
      </c>
      <c r="DD73" s="228">
        <v>18</v>
      </c>
      <c r="DE73" s="228">
        <v>4</v>
      </c>
      <c r="DF73" s="228">
        <v>95</v>
      </c>
      <c r="DG73" s="228">
        <v>2</v>
      </c>
      <c r="DH73" s="228">
        <v>5</v>
      </c>
      <c r="DI73" s="228">
        <v>24</v>
      </c>
    </row>
    <row r="74" spans="1:120" x14ac:dyDescent="0.2">
      <c r="A74" s="156">
        <v>45536</v>
      </c>
      <c r="B74" s="228">
        <v>10145</v>
      </c>
      <c r="C74" s="228">
        <v>239</v>
      </c>
      <c r="D74" s="228">
        <v>2810</v>
      </c>
      <c r="E74" s="228">
        <v>2960</v>
      </c>
      <c r="F74" s="228">
        <v>28</v>
      </c>
      <c r="G74" s="228">
        <v>221</v>
      </c>
      <c r="H74" s="228">
        <v>276</v>
      </c>
      <c r="I74" s="228">
        <v>10</v>
      </c>
      <c r="J74" s="228">
        <v>0</v>
      </c>
      <c r="K74" s="228">
        <v>0</v>
      </c>
      <c r="L74" s="228">
        <v>1</v>
      </c>
      <c r="M74" s="228">
        <v>1170</v>
      </c>
      <c r="N74" s="228">
        <v>34</v>
      </c>
      <c r="O74" s="228">
        <v>3</v>
      </c>
      <c r="P74" s="228">
        <v>203</v>
      </c>
      <c r="Q74" s="228">
        <v>48</v>
      </c>
      <c r="R74" s="228">
        <v>0</v>
      </c>
      <c r="S74" s="228">
        <v>1347</v>
      </c>
      <c r="T74" s="228">
        <v>9</v>
      </c>
      <c r="U74" s="228">
        <v>12</v>
      </c>
      <c r="V74" s="228">
        <v>0</v>
      </c>
      <c r="W74" s="228">
        <v>157</v>
      </c>
      <c r="X74" s="228">
        <v>5</v>
      </c>
      <c r="Y74" s="228">
        <v>17</v>
      </c>
      <c r="Z74" s="228">
        <v>69</v>
      </c>
      <c r="AA74" s="228">
        <v>21</v>
      </c>
      <c r="AB74" s="228">
        <v>20</v>
      </c>
      <c r="AC74" s="228">
        <v>96</v>
      </c>
      <c r="AD74" s="228">
        <v>0</v>
      </c>
      <c r="AE74" s="228">
        <v>5372</v>
      </c>
      <c r="AF74" s="228">
        <v>1020</v>
      </c>
      <c r="AG74" s="228">
        <v>143</v>
      </c>
      <c r="AH74" s="228">
        <v>27</v>
      </c>
      <c r="AI74" s="228">
        <v>122</v>
      </c>
      <c r="AJ74" s="228">
        <v>8</v>
      </c>
      <c r="AK74" s="228">
        <v>1277</v>
      </c>
      <c r="AL74" s="228">
        <v>5</v>
      </c>
      <c r="AM74" s="228">
        <v>1932</v>
      </c>
      <c r="AN74" s="228">
        <v>21</v>
      </c>
      <c r="AO74" s="228">
        <v>461</v>
      </c>
      <c r="AP74" s="228">
        <v>147</v>
      </c>
      <c r="AQ74" s="228">
        <v>237</v>
      </c>
      <c r="AR74" s="228">
        <v>3</v>
      </c>
      <c r="AS74" s="228">
        <v>17</v>
      </c>
      <c r="AT74" s="228">
        <v>545</v>
      </c>
      <c r="AU74" s="228">
        <v>12</v>
      </c>
      <c r="AV74" s="228">
        <v>40</v>
      </c>
      <c r="AW74" s="228">
        <v>315</v>
      </c>
      <c r="AX74" s="228">
        <v>15</v>
      </c>
      <c r="AY74" s="228">
        <v>131</v>
      </c>
      <c r="AZ74" s="228">
        <v>2</v>
      </c>
      <c r="BA74" s="228">
        <v>169</v>
      </c>
      <c r="BB74" s="228">
        <v>166</v>
      </c>
      <c r="BC74" s="228">
        <v>172</v>
      </c>
      <c r="BD74" s="228">
        <v>1084</v>
      </c>
      <c r="BE74" s="228">
        <v>131</v>
      </c>
      <c r="BF74" s="228">
        <v>6</v>
      </c>
      <c r="BG74" s="228">
        <v>585</v>
      </c>
      <c r="BH74" s="228">
        <v>127</v>
      </c>
      <c r="BI74" s="228">
        <v>6</v>
      </c>
      <c r="BJ74" s="228">
        <v>579</v>
      </c>
      <c r="BK74" s="228">
        <v>115</v>
      </c>
      <c r="BL74" s="228">
        <v>0</v>
      </c>
      <c r="BM74" s="228">
        <v>639</v>
      </c>
      <c r="BN74" s="228">
        <v>109</v>
      </c>
      <c r="BO74" s="228">
        <v>1</v>
      </c>
      <c r="BP74" s="228">
        <v>498</v>
      </c>
      <c r="BQ74" s="228">
        <v>80</v>
      </c>
      <c r="BR74" s="228">
        <v>1</v>
      </c>
      <c r="BS74" s="228">
        <v>454</v>
      </c>
      <c r="BT74" s="228">
        <v>509</v>
      </c>
      <c r="BU74" s="228">
        <v>144</v>
      </c>
      <c r="BV74" s="228">
        <v>7</v>
      </c>
      <c r="BW74" s="228">
        <v>593</v>
      </c>
      <c r="BX74" s="228">
        <v>88</v>
      </c>
      <c r="BY74" s="228">
        <v>9</v>
      </c>
      <c r="BZ74" s="228">
        <v>748</v>
      </c>
      <c r="CA74" s="228">
        <v>476</v>
      </c>
      <c r="CB74" s="228">
        <v>190</v>
      </c>
      <c r="CC74" s="228">
        <v>20</v>
      </c>
      <c r="CD74" s="228">
        <v>1053</v>
      </c>
      <c r="CE74" s="228">
        <v>137</v>
      </c>
      <c r="CF74" s="228">
        <v>0</v>
      </c>
      <c r="CG74" s="228">
        <v>0</v>
      </c>
      <c r="CH74" s="228">
        <v>0</v>
      </c>
      <c r="CI74" s="228">
        <v>0</v>
      </c>
      <c r="CJ74" s="228">
        <v>279</v>
      </c>
      <c r="CK74" s="228">
        <v>15</v>
      </c>
      <c r="CL74" s="228">
        <v>28</v>
      </c>
      <c r="CM74" s="228">
        <v>14</v>
      </c>
      <c r="CN74" s="228">
        <v>5</v>
      </c>
      <c r="CO74" s="228">
        <v>53</v>
      </c>
      <c r="CP74" s="228">
        <v>23</v>
      </c>
      <c r="CQ74" s="228">
        <v>33</v>
      </c>
      <c r="CR74" s="228">
        <v>29</v>
      </c>
      <c r="CS74" s="228">
        <v>20</v>
      </c>
      <c r="CT74" s="228">
        <v>24</v>
      </c>
      <c r="CU74" s="228">
        <v>41</v>
      </c>
      <c r="CV74" s="228">
        <v>213</v>
      </c>
      <c r="CW74" s="228">
        <v>153</v>
      </c>
      <c r="CX74" s="228">
        <v>215</v>
      </c>
      <c r="CY74" s="228">
        <v>173</v>
      </c>
      <c r="CZ74" s="228">
        <v>7</v>
      </c>
      <c r="DA74" s="228">
        <v>173</v>
      </c>
      <c r="DB74" s="228">
        <v>4</v>
      </c>
      <c r="DC74" s="228">
        <v>222</v>
      </c>
      <c r="DD74" s="228">
        <v>5</v>
      </c>
      <c r="DE74" s="228">
        <v>2</v>
      </c>
      <c r="DF74" s="228">
        <v>77</v>
      </c>
      <c r="DG74" s="228">
        <v>1</v>
      </c>
      <c r="DH74" s="228">
        <v>4</v>
      </c>
      <c r="DI74" s="228">
        <v>18</v>
      </c>
    </row>
    <row r="75" spans="1:120" x14ac:dyDescent="0.2">
      <c r="AE75" s="14">
        <f>SUM(AE60:AE62)</f>
        <v>12652</v>
      </c>
      <c r="AF75" s="14">
        <f t="shared" ref="AF75:AZ75" si="0">SUM(AF60:AF62)</f>
        <v>1223</v>
      </c>
      <c r="AG75" s="14">
        <f t="shared" si="0"/>
        <v>429</v>
      </c>
      <c r="AH75" s="14">
        <f t="shared" si="0"/>
        <v>84</v>
      </c>
      <c r="AI75" s="14">
        <f t="shared" si="0"/>
        <v>242</v>
      </c>
      <c r="AJ75" s="14">
        <f t="shared" si="0"/>
        <v>0</v>
      </c>
      <c r="AK75" s="14">
        <f t="shared" si="0"/>
        <v>2822</v>
      </c>
      <c r="AL75" s="14">
        <f t="shared" si="0"/>
        <v>30</v>
      </c>
      <c r="AM75" s="14">
        <f t="shared" si="0"/>
        <v>5063</v>
      </c>
      <c r="AN75" s="14">
        <f t="shared" si="0"/>
        <v>20</v>
      </c>
      <c r="AO75" s="14">
        <f t="shared" si="0"/>
        <v>706</v>
      </c>
      <c r="AP75" s="14">
        <f t="shared" si="0"/>
        <v>289</v>
      </c>
      <c r="AQ75" s="14">
        <f t="shared" si="0"/>
        <v>680</v>
      </c>
      <c r="AR75" s="14">
        <f t="shared" si="0"/>
        <v>0</v>
      </c>
      <c r="AS75" s="14">
        <f t="shared" si="0"/>
        <v>0</v>
      </c>
      <c r="AT75" s="14">
        <f t="shared" si="0"/>
        <v>0</v>
      </c>
      <c r="AU75" s="14">
        <f t="shared" si="0"/>
        <v>0</v>
      </c>
      <c r="AV75" s="14">
        <f t="shared" si="0"/>
        <v>0</v>
      </c>
      <c r="AW75" s="14">
        <f t="shared" si="0"/>
        <v>0</v>
      </c>
      <c r="AX75" s="14">
        <f t="shared" si="0"/>
        <v>0</v>
      </c>
      <c r="AY75" s="14">
        <f t="shared" si="0"/>
        <v>28</v>
      </c>
      <c r="AZ75" s="14">
        <f t="shared" si="0"/>
        <v>15</v>
      </c>
    </row>
    <row r="76" spans="1:120" x14ac:dyDescent="0.2">
      <c r="AE76" s="14">
        <f>SUM(AE72:AE74)</f>
        <v>13212</v>
      </c>
      <c r="AF76" s="14">
        <f>SUM(AF72:AF74)</f>
        <v>2923</v>
      </c>
      <c r="AG76" s="14">
        <f t="shared" ref="AG76:AZ76" si="1">SUM(AG72:AG74)</f>
        <v>234</v>
      </c>
      <c r="AH76" s="14">
        <f t="shared" si="1"/>
        <v>74</v>
      </c>
      <c r="AI76" s="14">
        <f t="shared" si="1"/>
        <v>336</v>
      </c>
      <c r="AJ76" s="14">
        <f t="shared" si="1"/>
        <v>23</v>
      </c>
      <c r="AK76" s="14">
        <f t="shared" si="1"/>
        <v>3267</v>
      </c>
      <c r="AL76" s="14">
        <f t="shared" si="1"/>
        <v>6</v>
      </c>
      <c r="AM76" s="14">
        <f t="shared" si="1"/>
        <v>5174</v>
      </c>
      <c r="AN76" s="14">
        <f t="shared" si="1"/>
        <v>63</v>
      </c>
      <c r="AO76" s="14">
        <f t="shared" si="1"/>
        <v>566</v>
      </c>
      <c r="AP76" s="14">
        <f t="shared" si="1"/>
        <v>408</v>
      </c>
      <c r="AQ76" s="14">
        <f t="shared" si="1"/>
        <v>600</v>
      </c>
      <c r="AR76" s="14">
        <f t="shared" si="1"/>
        <v>22</v>
      </c>
      <c r="AS76" s="14">
        <f t="shared" si="1"/>
        <v>35</v>
      </c>
      <c r="AT76" s="14">
        <f t="shared" si="1"/>
        <v>1339</v>
      </c>
      <c r="AU76" s="14">
        <f t="shared" si="1"/>
        <v>25</v>
      </c>
      <c r="AV76" s="14">
        <f t="shared" si="1"/>
        <v>96</v>
      </c>
      <c r="AW76" s="14">
        <f t="shared" si="1"/>
        <v>891</v>
      </c>
      <c r="AX76" s="14">
        <f t="shared" si="1"/>
        <v>39</v>
      </c>
      <c r="AY76" s="14">
        <f t="shared" si="1"/>
        <v>495</v>
      </c>
      <c r="AZ76" s="14">
        <f t="shared" si="1"/>
        <v>7</v>
      </c>
    </row>
    <row r="77" spans="1:120" x14ac:dyDescent="0.2">
      <c r="AE77" s="1">
        <f>(AE76-AE75)/AE75*100</f>
        <v>4.4261776794182737</v>
      </c>
      <c r="AF77" s="1">
        <f t="shared" ref="AF77:AZ77" si="2">(AF76-AF75)/AF75*100</f>
        <v>139.00245298446444</v>
      </c>
      <c r="AG77" s="1">
        <f t="shared" si="2"/>
        <v>-45.454545454545453</v>
      </c>
      <c r="AH77" s="1">
        <f t="shared" si="2"/>
        <v>-11.904761904761903</v>
      </c>
      <c r="AI77" s="1">
        <f t="shared" si="2"/>
        <v>38.84297520661157</v>
      </c>
      <c r="AJ77" s="1" t="e">
        <f t="shared" si="2"/>
        <v>#DIV/0!</v>
      </c>
      <c r="AK77" s="1">
        <f t="shared" si="2"/>
        <v>15.768958185683912</v>
      </c>
      <c r="AL77" s="1">
        <f t="shared" si="2"/>
        <v>-80</v>
      </c>
      <c r="AM77" s="1">
        <f t="shared" si="2"/>
        <v>2.1923760616235435</v>
      </c>
      <c r="AN77" s="1">
        <f t="shared" si="2"/>
        <v>215</v>
      </c>
      <c r="AO77" s="1">
        <f t="shared" si="2"/>
        <v>-19.830028328611899</v>
      </c>
      <c r="AP77" s="1">
        <f t="shared" si="2"/>
        <v>41.17647058823529</v>
      </c>
      <c r="AQ77" s="1">
        <f t="shared" si="2"/>
        <v>-11.76470588235294</v>
      </c>
      <c r="AR77" s="1" t="e">
        <f t="shared" si="2"/>
        <v>#DIV/0!</v>
      </c>
      <c r="AS77" s="1" t="e">
        <f t="shared" si="2"/>
        <v>#DIV/0!</v>
      </c>
      <c r="AT77" s="1" t="e">
        <f t="shared" si="2"/>
        <v>#DIV/0!</v>
      </c>
      <c r="AU77" s="1" t="e">
        <f t="shared" si="2"/>
        <v>#DIV/0!</v>
      </c>
      <c r="AV77" s="1" t="e">
        <f t="shared" si="2"/>
        <v>#DIV/0!</v>
      </c>
      <c r="AW77" s="1" t="e">
        <f t="shared" si="2"/>
        <v>#DIV/0!</v>
      </c>
      <c r="AX77" s="1" t="e">
        <f t="shared" si="2"/>
        <v>#DIV/0!</v>
      </c>
      <c r="AY77" s="1">
        <f t="shared" si="2"/>
        <v>1667.8571428571427</v>
      </c>
      <c r="AZ77" s="1">
        <f t="shared" si="2"/>
        <v>-53.333333333333336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D173-48CC-4B49-A1F1-2F8B6EB8847F}">
  <dimension ref="A1:M76"/>
  <sheetViews>
    <sheetView workbookViewId="0"/>
  </sheetViews>
  <sheetFormatPr baseColWidth="10" defaultColWidth="11.5" defaultRowHeight="15" x14ac:dyDescent="0.2"/>
  <cols>
    <col min="2" max="2" width="24.33203125" bestFit="1" customWidth="1"/>
    <col min="3" max="3" width="13.6640625" bestFit="1" customWidth="1"/>
    <col min="5" max="5" width="19.5" bestFit="1" customWidth="1"/>
    <col min="6" max="6" width="14" bestFit="1" customWidth="1"/>
    <col min="7" max="7" width="16.33203125" bestFit="1" customWidth="1"/>
    <col min="8" max="8" width="17.6640625" bestFit="1" customWidth="1"/>
    <col min="10" max="10" width="12.6640625" bestFit="1" customWidth="1"/>
    <col min="11" max="11" width="29.5" bestFit="1" customWidth="1"/>
    <col min="12" max="12" width="13.1640625" bestFit="1" customWidth="1"/>
  </cols>
  <sheetData>
    <row r="1" spans="1:13" ht="16" x14ac:dyDescent="0.2">
      <c r="A1" s="221" t="s">
        <v>28</v>
      </c>
      <c r="B1" s="221" t="s">
        <v>421</v>
      </c>
      <c r="C1" s="221" t="s">
        <v>273</v>
      </c>
      <c r="D1" s="221" t="s">
        <v>6</v>
      </c>
      <c r="E1" s="221" t="s">
        <v>422</v>
      </c>
      <c r="F1" s="221" t="s">
        <v>14</v>
      </c>
      <c r="G1" s="221" t="s">
        <v>22</v>
      </c>
      <c r="H1" s="221" t="s">
        <v>423</v>
      </c>
      <c r="I1" s="221" t="s">
        <v>424</v>
      </c>
      <c r="J1" s="221" t="s">
        <v>18</v>
      </c>
      <c r="K1" s="221" t="s">
        <v>425</v>
      </c>
      <c r="L1" s="221" t="s">
        <v>12</v>
      </c>
      <c r="M1" s="221" t="s">
        <v>426</v>
      </c>
    </row>
    <row r="2" spans="1:13" ht="16" x14ac:dyDescent="0.2">
      <c r="A2" s="156">
        <v>43374</v>
      </c>
      <c r="B2">
        <f>SUM('Monthly Potable (Meters)'!D3)</f>
        <v>0</v>
      </c>
      <c r="C2">
        <f>SUM('Monthly Potable (Meters)'!P3)+SUM('Monthly Potable (Meters)'!R3)+SUM('Monthly Potable (Meters)'!T3)+SUM('Monthly Potable (Meters)'!V3)+SUM('Monthly Potable (Meters)'!W3)</f>
        <v>0</v>
      </c>
      <c r="D2">
        <f>SUM('Monthly Potable (Meters)'!M3)</f>
        <v>0</v>
      </c>
      <c r="E2" t="e">
        <f>SUM(#REF!)</f>
        <v>#REF!</v>
      </c>
      <c r="F2">
        <f>SUM('Monthly Potable (Meters)'!BA3:BE3)+SUM('Monthly Potable (Meters)'!BG3:BH3)+SUM('Monthly Potable (Meters)'!BJ3:BK3)+SUM('Monthly Potable (Meters)'!BM3:BN3)+SUM('Monthly Potable (Meters)'!BP3:BQ3)+SUM('Monthly Potable (Meters)'!BS3:BU3)+SUM('Monthly Potable (Meters)'!BW3:BX3)+SUM('Monthly Potable (Meters)'!BZ3:CB3)+SUM('Monthly Potable (Meters)'!CD3:CF3)</f>
        <v>0</v>
      </c>
      <c r="G2">
        <f>SUM('Monthly Potable (Meters)'!B3)+SUM('Monthly Potable (Meters)'!S3)</f>
        <v>0</v>
      </c>
      <c r="H2">
        <f>SUM('Monthly Potable (Meters)'!G3:H3)+SUM('Monthly Potable (Meters)'!J3:K3)+SUM('Monthly Potable (Meters)'!Y3:Z3)</f>
        <v>0</v>
      </c>
      <c r="I2">
        <f>SUM('Monthly Potable (Meters)'!AE3:AG3)+SUM('Monthly Potable (Meters)'!AI3)+SUM('Monthly Potable (Meters)'!AK3:AZ3)</f>
        <v>0</v>
      </c>
      <c r="J2">
        <f>SUM('Monthly Potable (Meters)'!AH3)+SUM('Monthly Potable (Meters)'!AJ3)</f>
        <v>0</v>
      </c>
      <c r="K2">
        <f>SUM('Monthly Potable (Meters)'!C3)+SUM('Monthly Potable (Meters)'!I3)+SUM('Monthly Potable (Meters)'!L3)+SUM('Monthly Potable (Meters)'!N3)+SUM('Monthly Potable (Meters)'!Q3)+SUM('Monthly Potable (Meters)'!U3)+SUM('Monthly Potable (Meters)'!X3)+SUM('Monthly Potable (Meters)'!AB3:AD3)+SUM('Monthly Potable (Meters)'!BF3)+SUM('Monthly Potable (Meters)'!BI3)+SUM('Monthly Potable (Meters)'!BL3)+SUM('Monthly Potable (Meters)'!BO3)+SUM('Monthly Potable (Meters)'!BR3)+SUM('Monthly Potable (Meters)'!BV3)+SUM('Monthly Potable (Meters)'!BY3)+SUM('Monthly Potable (Meters)'!CC3)+SUM('Monthly Potable (Meters)'!CE3)+SUM('Monthly Potable (Meters)'!CH3:CM3)+SUM('Monthly Potable (Meters)'!CO3:DI3)</f>
        <v>0</v>
      </c>
      <c r="L2">
        <f>SUM('Monthly Potable (Meters)'!E3)</f>
        <v>0</v>
      </c>
      <c r="M2">
        <f>SUM('Monthly Potable (Meters)'!AA3)</f>
        <v>0</v>
      </c>
    </row>
    <row r="3" spans="1:13" ht="16" x14ac:dyDescent="0.2">
      <c r="A3" s="156">
        <v>43405</v>
      </c>
      <c r="B3">
        <f>SUM('Monthly Potable (Meters)'!D4)</f>
        <v>0</v>
      </c>
      <c r="C3">
        <f>SUM('Monthly Potable (Meters)'!P4)+SUM('Monthly Potable (Meters)'!R4)+SUM('Monthly Potable (Meters)'!T4)+SUM('Monthly Potable (Meters)'!V4)+SUM('Monthly Potable (Meters)'!W4)</f>
        <v>0</v>
      </c>
      <c r="D3">
        <f>SUM('Monthly Potable (Meters)'!M4)</f>
        <v>0</v>
      </c>
      <c r="E3" t="e">
        <f>SUM(#REF!)</f>
        <v>#REF!</v>
      </c>
      <c r="F3">
        <f>SUM('Monthly Potable (Meters)'!BA4:BE4)+SUM('Monthly Potable (Meters)'!BG4:BH4)+SUM('Monthly Potable (Meters)'!BJ4:BK4)+SUM('Monthly Potable (Meters)'!BM4:BN4)+SUM('Monthly Potable (Meters)'!BP4:BQ4)+SUM('Monthly Potable (Meters)'!BS4:BU4)+SUM('Monthly Potable (Meters)'!BW4:BX4)+SUM('Monthly Potable (Meters)'!BZ4:CB4)+SUM('Monthly Potable (Meters)'!CD4:CF4)</f>
        <v>0</v>
      </c>
      <c r="G3">
        <f>SUM('Monthly Potable (Meters)'!B4)+SUM('Monthly Potable (Meters)'!S4)</f>
        <v>0</v>
      </c>
      <c r="H3">
        <f>SUM('Monthly Potable (Meters)'!G4:H4)+SUM('Monthly Potable (Meters)'!J4:K4)+SUM('Monthly Potable (Meters)'!Y4:Z4)</f>
        <v>0</v>
      </c>
      <c r="I3">
        <f>SUM('Monthly Potable (Meters)'!AE4:AG4)+SUM('Monthly Potable (Meters)'!AI4)+SUM('Monthly Potable (Meters)'!AK4:AZ4)</f>
        <v>0</v>
      </c>
      <c r="J3">
        <f>SUM('Monthly Potable (Meters)'!AH4)+SUM('Monthly Potable (Meters)'!AJ4)</f>
        <v>0</v>
      </c>
      <c r="K3">
        <f>SUM('Monthly Potable (Meters)'!C4)+SUM('Monthly Potable (Meters)'!I4)+SUM('Monthly Potable (Meters)'!L4)+SUM('Monthly Potable (Meters)'!N4)+SUM('Monthly Potable (Meters)'!Q4)+SUM('Monthly Potable (Meters)'!U4)+SUM('Monthly Potable (Meters)'!X4)+SUM('Monthly Potable (Meters)'!AB4:AD4)+SUM('Monthly Potable (Meters)'!BF4)+SUM('Monthly Potable (Meters)'!BI4)+SUM('Monthly Potable (Meters)'!BL4)+SUM('Monthly Potable (Meters)'!BO4)+SUM('Monthly Potable (Meters)'!BR4)+SUM('Monthly Potable (Meters)'!BV4)+SUM('Monthly Potable (Meters)'!BY4)+SUM('Monthly Potable (Meters)'!CC4)+SUM('Monthly Potable (Meters)'!CE4)+SUM('Monthly Potable (Meters)'!CH4:CM4)+SUM('Monthly Potable (Meters)'!CO4:DI4)</f>
        <v>0</v>
      </c>
      <c r="L3">
        <f>SUM('Monthly Potable (Meters)'!E4)</f>
        <v>0</v>
      </c>
      <c r="M3">
        <f>SUM('Monthly Potable (Meters)'!AA4)</f>
        <v>0</v>
      </c>
    </row>
    <row r="4" spans="1:13" ht="16" x14ac:dyDescent="0.2">
      <c r="A4" s="156">
        <v>43435</v>
      </c>
      <c r="B4">
        <f>SUM('Monthly Potable (Meters)'!D5)</f>
        <v>0</v>
      </c>
      <c r="C4">
        <f>SUM('Monthly Potable (Meters)'!P5)+SUM('Monthly Potable (Meters)'!R5)+SUM('Monthly Potable (Meters)'!T5)+SUM('Monthly Potable (Meters)'!V5)+SUM('Monthly Potable (Meters)'!W5)</f>
        <v>0</v>
      </c>
      <c r="D4">
        <f>SUM('Monthly Potable (Meters)'!M5)</f>
        <v>0</v>
      </c>
      <c r="E4" t="e">
        <f>SUM(#REF!)</f>
        <v>#REF!</v>
      </c>
      <c r="F4">
        <f>SUM('Monthly Potable (Meters)'!BA5:BE5)+SUM('Monthly Potable (Meters)'!BG5:BH5)+SUM('Monthly Potable (Meters)'!BJ5:BK5)+SUM('Monthly Potable (Meters)'!BM5:BN5)+SUM('Monthly Potable (Meters)'!BP5:BQ5)+SUM('Monthly Potable (Meters)'!BS5:BU5)+SUM('Monthly Potable (Meters)'!BW5:BX5)+SUM('Monthly Potable (Meters)'!BZ5:CB5)+SUM('Monthly Potable (Meters)'!CD5:CF5)</f>
        <v>0</v>
      </c>
      <c r="G4">
        <f>SUM('Monthly Potable (Meters)'!B5)+SUM('Monthly Potable (Meters)'!S5)</f>
        <v>0</v>
      </c>
      <c r="H4">
        <f>SUM('Monthly Potable (Meters)'!G5:H5)+SUM('Monthly Potable (Meters)'!J5:K5)+SUM('Monthly Potable (Meters)'!Y5:Z5)</f>
        <v>0</v>
      </c>
      <c r="I4">
        <f>SUM('Monthly Potable (Meters)'!AE5:AG5)+SUM('Monthly Potable (Meters)'!AI5)+SUM('Monthly Potable (Meters)'!AK5:AZ5)</f>
        <v>0</v>
      </c>
      <c r="J4">
        <f>SUM('Monthly Potable (Meters)'!AH5)+SUM('Monthly Potable (Meters)'!AJ5)</f>
        <v>0</v>
      </c>
      <c r="K4">
        <f>SUM('Monthly Potable (Meters)'!C5)+SUM('Monthly Potable (Meters)'!I5)+SUM('Monthly Potable (Meters)'!L5)+SUM('Monthly Potable (Meters)'!N5)+SUM('Monthly Potable (Meters)'!Q5)+SUM('Monthly Potable (Meters)'!U5)+SUM('Monthly Potable (Meters)'!X5)+SUM('Monthly Potable (Meters)'!AB5:AD5)+SUM('Monthly Potable (Meters)'!BF5)+SUM('Monthly Potable (Meters)'!BI5)+SUM('Monthly Potable (Meters)'!BL5)+SUM('Monthly Potable (Meters)'!BO5)+SUM('Monthly Potable (Meters)'!BR5)+SUM('Monthly Potable (Meters)'!BV5)+SUM('Monthly Potable (Meters)'!BY5)+SUM('Monthly Potable (Meters)'!CC5)+SUM('Monthly Potable (Meters)'!CE5)+SUM('Monthly Potable (Meters)'!CH5:CM5)+SUM('Monthly Potable (Meters)'!CO5:DI5)</f>
        <v>0</v>
      </c>
      <c r="L4">
        <f>SUM('Monthly Potable (Meters)'!E5)</f>
        <v>0</v>
      </c>
      <c r="M4">
        <f>SUM('Monthly Potable (Meters)'!AA5)</f>
        <v>0</v>
      </c>
    </row>
    <row r="5" spans="1:13" ht="16" x14ac:dyDescent="0.2">
      <c r="A5" s="156">
        <v>43466</v>
      </c>
      <c r="B5">
        <f>SUM('Monthly Potable (Meters)'!D6)</f>
        <v>0</v>
      </c>
      <c r="C5">
        <f>SUM('Monthly Potable (Meters)'!P6)+SUM('Monthly Potable (Meters)'!R6)+SUM('Monthly Potable (Meters)'!T6)+SUM('Monthly Potable (Meters)'!V6)+SUM('Monthly Potable (Meters)'!W6)</f>
        <v>0</v>
      </c>
      <c r="D5">
        <f>SUM('Monthly Potable (Meters)'!M6)</f>
        <v>0</v>
      </c>
      <c r="E5" t="e">
        <f>SUM(#REF!)</f>
        <v>#REF!</v>
      </c>
      <c r="F5">
        <f>SUM('Monthly Potable (Meters)'!BA6:BE6)+SUM('Monthly Potable (Meters)'!BG6:BH6)+SUM('Monthly Potable (Meters)'!BJ6:BK6)+SUM('Monthly Potable (Meters)'!BM6:BN6)+SUM('Monthly Potable (Meters)'!BP6:BQ6)+SUM('Monthly Potable (Meters)'!BS6:BU6)+SUM('Monthly Potable (Meters)'!BW6:BX6)+SUM('Monthly Potable (Meters)'!BZ6:CB6)+SUM('Monthly Potable (Meters)'!CD6:CF6)</f>
        <v>0</v>
      </c>
      <c r="G5">
        <f>SUM('Monthly Potable (Meters)'!B6)+SUM('Monthly Potable (Meters)'!S6)</f>
        <v>0</v>
      </c>
      <c r="H5">
        <f>SUM('Monthly Potable (Meters)'!G6:H6)+SUM('Monthly Potable (Meters)'!J6:K6)+SUM('Monthly Potable (Meters)'!Y6:Z6)</f>
        <v>0</v>
      </c>
      <c r="I5">
        <f>SUM('Monthly Potable (Meters)'!AE6:AG6)+SUM('Monthly Potable (Meters)'!AI6)+SUM('Monthly Potable (Meters)'!AK6:AZ6)</f>
        <v>0</v>
      </c>
      <c r="J5">
        <f>SUM('Monthly Potable (Meters)'!AH6)+SUM('Monthly Potable (Meters)'!AJ6)</f>
        <v>0</v>
      </c>
      <c r="K5">
        <f>SUM('Monthly Potable (Meters)'!C6)+SUM('Monthly Potable (Meters)'!I6)+SUM('Monthly Potable (Meters)'!L6)+SUM('Monthly Potable (Meters)'!N6)+SUM('Monthly Potable (Meters)'!Q6)+SUM('Monthly Potable (Meters)'!U6)+SUM('Monthly Potable (Meters)'!X6)+SUM('Monthly Potable (Meters)'!AB6:AD6)+SUM('Monthly Potable (Meters)'!BF6)+SUM('Monthly Potable (Meters)'!BI6)+SUM('Monthly Potable (Meters)'!BL6)+SUM('Monthly Potable (Meters)'!BO6)+SUM('Monthly Potable (Meters)'!BR6)+SUM('Monthly Potable (Meters)'!BV6)+SUM('Monthly Potable (Meters)'!BY6)+SUM('Monthly Potable (Meters)'!CC6)+SUM('Monthly Potable (Meters)'!CE6)+SUM('Monthly Potable (Meters)'!CH6:CM6)+SUM('Monthly Potable (Meters)'!CO6:DI6)</f>
        <v>0</v>
      </c>
      <c r="L5">
        <f>SUM('Monthly Potable (Meters)'!E6)</f>
        <v>0</v>
      </c>
      <c r="M5">
        <f>SUM('Monthly Potable (Meters)'!AA6)</f>
        <v>0</v>
      </c>
    </row>
    <row r="6" spans="1:13" ht="16" x14ac:dyDescent="0.2">
      <c r="A6" s="156">
        <v>43497</v>
      </c>
      <c r="B6">
        <f>SUM('Monthly Potable (Meters)'!D7)</f>
        <v>0</v>
      </c>
      <c r="C6">
        <f>SUM('Monthly Potable (Meters)'!P7)+SUM('Monthly Potable (Meters)'!R7)+SUM('Monthly Potable (Meters)'!T7)+SUM('Monthly Potable (Meters)'!V7)+SUM('Monthly Potable (Meters)'!W7)</f>
        <v>0</v>
      </c>
      <c r="D6">
        <f>SUM('Monthly Potable (Meters)'!M7)</f>
        <v>0</v>
      </c>
      <c r="E6" t="e">
        <f>SUM(#REF!)</f>
        <v>#REF!</v>
      </c>
      <c r="F6">
        <f>SUM('Monthly Potable (Meters)'!BA7:BE7)+SUM('Monthly Potable (Meters)'!BG7:BH7)+SUM('Monthly Potable (Meters)'!BJ7:BK7)+SUM('Monthly Potable (Meters)'!BM7:BN7)+SUM('Monthly Potable (Meters)'!BP7:BQ7)+SUM('Monthly Potable (Meters)'!BS7:BU7)+SUM('Monthly Potable (Meters)'!BW7:BX7)+SUM('Monthly Potable (Meters)'!BZ7:CB7)+SUM('Monthly Potable (Meters)'!CD7:CF7)</f>
        <v>0</v>
      </c>
      <c r="G6">
        <f>SUM('Monthly Potable (Meters)'!B7)+SUM('Monthly Potable (Meters)'!S7)</f>
        <v>0</v>
      </c>
      <c r="H6">
        <f>SUM('Monthly Potable (Meters)'!G7:H7)+SUM('Monthly Potable (Meters)'!J7:K7)+SUM('Monthly Potable (Meters)'!Y7:Z7)</f>
        <v>0</v>
      </c>
      <c r="I6">
        <f>SUM('Monthly Potable (Meters)'!AE7:AG7)+SUM('Monthly Potable (Meters)'!AI7)+SUM('Monthly Potable (Meters)'!AK7:AZ7)</f>
        <v>0</v>
      </c>
      <c r="J6">
        <f>SUM('Monthly Potable (Meters)'!AH7)+SUM('Monthly Potable (Meters)'!AJ7)</f>
        <v>0</v>
      </c>
      <c r="K6">
        <f>SUM('Monthly Potable (Meters)'!C7)+SUM('Monthly Potable (Meters)'!I7)+SUM('Monthly Potable (Meters)'!L7)+SUM('Monthly Potable (Meters)'!N7)+SUM('Monthly Potable (Meters)'!Q7)+SUM('Monthly Potable (Meters)'!U7)+SUM('Monthly Potable (Meters)'!X7)+SUM('Monthly Potable (Meters)'!AB7:AD7)+SUM('Monthly Potable (Meters)'!BF7)+SUM('Monthly Potable (Meters)'!BI7)+SUM('Monthly Potable (Meters)'!BL7)+SUM('Monthly Potable (Meters)'!BO7)+SUM('Monthly Potable (Meters)'!BR7)+SUM('Monthly Potable (Meters)'!BV7)+SUM('Monthly Potable (Meters)'!BY7)+SUM('Monthly Potable (Meters)'!CC7)+SUM('Monthly Potable (Meters)'!CE7)+SUM('Monthly Potable (Meters)'!CH7:CM7)+SUM('Monthly Potable (Meters)'!CO7:DI7)</f>
        <v>0</v>
      </c>
      <c r="L6">
        <f>SUM('Monthly Potable (Meters)'!E7)</f>
        <v>0</v>
      </c>
      <c r="M6">
        <f>SUM('Monthly Potable (Meters)'!AA7)</f>
        <v>0</v>
      </c>
    </row>
    <row r="7" spans="1:13" ht="16" x14ac:dyDescent="0.2">
      <c r="A7" s="156">
        <v>43525</v>
      </c>
      <c r="B7">
        <f>SUM('Monthly Potable (Meters)'!D8)</f>
        <v>0</v>
      </c>
      <c r="C7">
        <f>SUM('Monthly Potable (Meters)'!P8)+SUM('Monthly Potable (Meters)'!R8)+SUM('Monthly Potable (Meters)'!T8)+SUM('Monthly Potable (Meters)'!V8)+SUM('Monthly Potable (Meters)'!W8)</f>
        <v>0</v>
      </c>
      <c r="D7">
        <f>SUM('Monthly Potable (Meters)'!M8)</f>
        <v>0</v>
      </c>
      <c r="E7" t="e">
        <f>SUM(#REF!)</f>
        <v>#REF!</v>
      </c>
      <c r="F7">
        <f>SUM('Monthly Potable (Meters)'!BA8:BE8)+SUM('Monthly Potable (Meters)'!BG8:BH8)+SUM('Monthly Potable (Meters)'!BJ8:BK8)+SUM('Monthly Potable (Meters)'!BM8:BN8)+SUM('Monthly Potable (Meters)'!BP8:BQ8)+SUM('Monthly Potable (Meters)'!BS8:BU8)+SUM('Monthly Potable (Meters)'!BW8:BX8)+SUM('Monthly Potable (Meters)'!BZ8:CB8)+SUM('Monthly Potable (Meters)'!CD8:CF8)</f>
        <v>0</v>
      </c>
      <c r="G7">
        <f>SUM('Monthly Potable (Meters)'!B8)+SUM('Monthly Potable (Meters)'!S8)</f>
        <v>0</v>
      </c>
      <c r="H7">
        <f>SUM('Monthly Potable (Meters)'!G8:H8)+SUM('Monthly Potable (Meters)'!J8:K8)+SUM('Monthly Potable (Meters)'!Y8:Z8)</f>
        <v>0</v>
      </c>
      <c r="I7">
        <f>SUM('Monthly Potable (Meters)'!AE8:AG8)+SUM('Monthly Potable (Meters)'!AI8)+SUM('Monthly Potable (Meters)'!AK8:AZ8)</f>
        <v>0</v>
      </c>
      <c r="J7">
        <f>SUM('Monthly Potable (Meters)'!AH8)+SUM('Monthly Potable (Meters)'!AJ8)</f>
        <v>0</v>
      </c>
      <c r="K7">
        <f>SUM('Monthly Potable (Meters)'!C8)+SUM('Monthly Potable (Meters)'!I8)+SUM('Monthly Potable (Meters)'!L8)+SUM('Monthly Potable (Meters)'!N8)+SUM('Monthly Potable (Meters)'!Q8)+SUM('Monthly Potable (Meters)'!U8)+SUM('Monthly Potable (Meters)'!X8)+SUM('Monthly Potable (Meters)'!AB8:AD8)+SUM('Monthly Potable (Meters)'!BF8)+SUM('Monthly Potable (Meters)'!BI8)+SUM('Monthly Potable (Meters)'!BL8)+SUM('Monthly Potable (Meters)'!BO8)+SUM('Monthly Potable (Meters)'!BR8)+SUM('Monthly Potable (Meters)'!BV8)+SUM('Monthly Potable (Meters)'!BY8)+SUM('Monthly Potable (Meters)'!CC8)+SUM('Monthly Potable (Meters)'!CE8)+SUM('Monthly Potable (Meters)'!CH8:CM8)+SUM('Monthly Potable (Meters)'!CO8:DI8)</f>
        <v>0</v>
      </c>
      <c r="L7">
        <f>SUM('Monthly Potable (Meters)'!E8)</f>
        <v>0</v>
      </c>
      <c r="M7">
        <f>SUM('Monthly Potable (Meters)'!AA8)</f>
        <v>0</v>
      </c>
    </row>
    <row r="8" spans="1:13" ht="16" x14ac:dyDescent="0.2">
      <c r="A8" s="156">
        <v>43556</v>
      </c>
      <c r="B8">
        <f>SUM('Monthly Potable (Meters)'!D9)</f>
        <v>0</v>
      </c>
      <c r="C8">
        <f>SUM('Monthly Potable (Meters)'!P9)+SUM('Monthly Potable (Meters)'!R9)+SUM('Monthly Potable (Meters)'!T9)+SUM('Monthly Potable (Meters)'!V9)+SUM('Monthly Potable (Meters)'!W9)</f>
        <v>0</v>
      </c>
      <c r="D8">
        <f>SUM('Monthly Potable (Meters)'!M9)</f>
        <v>0</v>
      </c>
      <c r="E8" t="e">
        <f>SUM(#REF!)</f>
        <v>#REF!</v>
      </c>
      <c r="F8">
        <f>SUM('Monthly Potable (Meters)'!BA9:BE9)+SUM('Monthly Potable (Meters)'!BG9:BH9)+SUM('Monthly Potable (Meters)'!BJ9:BK9)+SUM('Monthly Potable (Meters)'!BM9:BN9)+SUM('Monthly Potable (Meters)'!BP9:BQ9)+SUM('Monthly Potable (Meters)'!BS9:BU9)+SUM('Monthly Potable (Meters)'!BW9:BX9)+SUM('Monthly Potable (Meters)'!BZ9:CB9)+SUM('Monthly Potable (Meters)'!CD9:CF9)</f>
        <v>0</v>
      </c>
      <c r="G8">
        <f>SUM('Monthly Potable (Meters)'!B9)+SUM('Monthly Potable (Meters)'!S9)</f>
        <v>0</v>
      </c>
      <c r="H8">
        <f>SUM('Monthly Potable (Meters)'!G9:H9)+SUM('Monthly Potable (Meters)'!J9:K9)+SUM('Monthly Potable (Meters)'!Y9:Z9)</f>
        <v>0</v>
      </c>
      <c r="I8">
        <f>SUM('Monthly Potable (Meters)'!AE9:AG9)+SUM('Monthly Potable (Meters)'!AI9)+SUM('Monthly Potable (Meters)'!AK9:AZ9)</f>
        <v>0</v>
      </c>
      <c r="J8">
        <f>SUM('Monthly Potable (Meters)'!AH9)+SUM('Monthly Potable (Meters)'!AJ9)</f>
        <v>0</v>
      </c>
      <c r="K8">
        <f>SUM('Monthly Potable (Meters)'!C9)+SUM('Monthly Potable (Meters)'!I9)+SUM('Monthly Potable (Meters)'!L9)+SUM('Monthly Potable (Meters)'!N9)+SUM('Monthly Potable (Meters)'!Q9)+SUM('Monthly Potable (Meters)'!U9)+SUM('Monthly Potable (Meters)'!X9)+SUM('Monthly Potable (Meters)'!AB9:AD9)+SUM('Monthly Potable (Meters)'!BF9)+SUM('Monthly Potable (Meters)'!BI9)+SUM('Monthly Potable (Meters)'!BL9)+SUM('Monthly Potable (Meters)'!BO9)+SUM('Monthly Potable (Meters)'!BR9)+SUM('Monthly Potable (Meters)'!BV9)+SUM('Monthly Potable (Meters)'!BY9)+SUM('Monthly Potable (Meters)'!CC9)+SUM('Monthly Potable (Meters)'!CE9)+SUM('Monthly Potable (Meters)'!CH9:CM9)+SUM('Monthly Potable (Meters)'!CO9:DI9)</f>
        <v>0</v>
      </c>
      <c r="L8">
        <f>SUM('Monthly Potable (Meters)'!E9)</f>
        <v>0</v>
      </c>
      <c r="M8">
        <f>SUM('Monthly Potable (Meters)'!AA9)</f>
        <v>0</v>
      </c>
    </row>
    <row r="9" spans="1:13" ht="16" x14ac:dyDescent="0.2">
      <c r="A9" s="156">
        <v>43586</v>
      </c>
      <c r="B9">
        <f>SUM('Monthly Potable (Meters)'!D10)</f>
        <v>0</v>
      </c>
      <c r="C9">
        <f>SUM('Monthly Potable (Meters)'!P10)+SUM('Monthly Potable (Meters)'!R10)+SUM('Monthly Potable (Meters)'!T10)+SUM('Monthly Potable (Meters)'!V10)+SUM('Monthly Potable (Meters)'!W10)</f>
        <v>0</v>
      </c>
      <c r="D9">
        <f>SUM('Monthly Potable (Meters)'!M10)</f>
        <v>0</v>
      </c>
      <c r="E9" t="e">
        <f>SUM(#REF!)</f>
        <v>#REF!</v>
      </c>
      <c r="F9">
        <f>SUM('Monthly Potable (Meters)'!BA10:BE10)+SUM('Monthly Potable (Meters)'!BG10:BH10)+SUM('Monthly Potable (Meters)'!BJ10:BK10)+SUM('Monthly Potable (Meters)'!BM10:BN10)+SUM('Monthly Potable (Meters)'!BP10:BQ10)+SUM('Monthly Potable (Meters)'!BS10:BU10)+SUM('Monthly Potable (Meters)'!BW10:BX10)+SUM('Monthly Potable (Meters)'!BZ10:CB10)+SUM('Monthly Potable (Meters)'!CD10:CF10)</f>
        <v>0</v>
      </c>
      <c r="G9">
        <f>SUM('Monthly Potable (Meters)'!B10)+SUM('Monthly Potable (Meters)'!S10)</f>
        <v>0</v>
      </c>
      <c r="H9">
        <f>SUM('Monthly Potable (Meters)'!G10:H10)+SUM('Monthly Potable (Meters)'!J10:K10)+SUM('Monthly Potable (Meters)'!Y10:Z10)</f>
        <v>0</v>
      </c>
      <c r="I9">
        <f>SUM('Monthly Potable (Meters)'!AE10:AG10)+SUM('Monthly Potable (Meters)'!AI10)+SUM('Monthly Potable (Meters)'!AK10:AZ10)</f>
        <v>0</v>
      </c>
      <c r="J9">
        <f>SUM('Monthly Potable (Meters)'!AH10)+SUM('Monthly Potable (Meters)'!AJ10)</f>
        <v>0</v>
      </c>
      <c r="K9">
        <f>SUM('Monthly Potable (Meters)'!C10)+SUM('Monthly Potable (Meters)'!I10)+SUM('Monthly Potable (Meters)'!L10)+SUM('Monthly Potable (Meters)'!N10)+SUM('Monthly Potable (Meters)'!Q10)+SUM('Monthly Potable (Meters)'!U10)+SUM('Monthly Potable (Meters)'!X10)+SUM('Monthly Potable (Meters)'!AB10:AD10)+SUM('Monthly Potable (Meters)'!BF10)+SUM('Monthly Potable (Meters)'!BI10)+SUM('Monthly Potable (Meters)'!BL10)+SUM('Monthly Potable (Meters)'!BO10)+SUM('Monthly Potable (Meters)'!BR10)+SUM('Monthly Potable (Meters)'!BV10)+SUM('Monthly Potable (Meters)'!BY10)+SUM('Monthly Potable (Meters)'!CC10)+SUM('Monthly Potable (Meters)'!CE10)+SUM('Monthly Potable (Meters)'!CH10:CM10)+SUM('Monthly Potable (Meters)'!CO10:DI10)</f>
        <v>0</v>
      </c>
      <c r="L9">
        <f>SUM('Monthly Potable (Meters)'!E10)</f>
        <v>0</v>
      </c>
      <c r="M9">
        <f>SUM('Monthly Potable (Meters)'!AA10)</f>
        <v>0</v>
      </c>
    </row>
    <row r="10" spans="1:13" ht="16" x14ac:dyDescent="0.2">
      <c r="A10" s="156">
        <v>43617</v>
      </c>
      <c r="B10">
        <f>SUM('Monthly Potable (Meters)'!D11)</f>
        <v>0</v>
      </c>
      <c r="C10">
        <f>SUM('Monthly Potable (Meters)'!P11)+SUM('Monthly Potable (Meters)'!R11)+SUM('Monthly Potable (Meters)'!T11)+SUM('Monthly Potable (Meters)'!V11)+SUM('Monthly Potable (Meters)'!W11)</f>
        <v>0</v>
      </c>
      <c r="D10">
        <f>SUM('Monthly Potable (Meters)'!M11)</f>
        <v>0</v>
      </c>
      <c r="E10" t="e">
        <f>SUM(#REF!)</f>
        <v>#REF!</v>
      </c>
      <c r="F10">
        <f>SUM('Monthly Potable (Meters)'!BA11:BE11)+SUM('Monthly Potable (Meters)'!BG11:BH11)+SUM('Monthly Potable (Meters)'!BJ11:BK11)+SUM('Monthly Potable (Meters)'!BM11:BN11)+SUM('Monthly Potable (Meters)'!BP11:BQ11)+SUM('Monthly Potable (Meters)'!BS11:BU11)+SUM('Monthly Potable (Meters)'!BW11:BX11)+SUM('Monthly Potable (Meters)'!BZ11:CB11)+SUM('Monthly Potable (Meters)'!CD11:CF11)</f>
        <v>0</v>
      </c>
      <c r="G10">
        <f>SUM('Monthly Potable (Meters)'!B11)+SUM('Monthly Potable (Meters)'!S11)</f>
        <v>0</v>
      </c>
      <c r="H10">
        <f>SUM('Monthly Potable (Meters)'!G11:H11)+SUM('Monthly Potable (Meters)'!J11:K11)+SUM('Monthly Potable (Meters)'!Y11:Z11)</f>
        <v>0</v>
      </c>
      <c r="I10">
        <f>SUM('Monthly Potable (Meters)'!AE11:AG11)+SUM('Monthly Potable (Meters)'!AI11)+SUM('Monthly Potable (Meters)'!AK11:AZ11)</f>
        <v>0</v>
      </c>
      <c r="J10">
        <f>SUM('Monthly Potable (Meters)'!AH11)+SUM('Monthly Potable (Meters)'!AJ11)</f>
        <v>0</v>
      </c>
      <c r="K10">
        <f>SUM('Monthly Potable (Meters)'!C11)+SUM('Monthly Potable (Meters)'!I11)+SUM('Monthly Potable (Meters)'!L11)+SUM('Monthly Potable (Meters)'!N11)+SUM('Monthly Potable (Meters)'!Q11)+SUM('Monthly Potable (Meters)'!U11)+SUM('Monthly Potable (Meters)'!X11)+SUM('Monthly Potable (Meters)'!AB11:AD11)+SUM('Monthly Potable (Meters)'!BF11)+SUM('Monthly Potable (Meters)'!BI11)+SUM('Monthly Potable (Meters)'!BL11)+SUM('Monthly Potable (Meters)'!BO11)+SUM('Monthly Potable (Meters)'!BR11)+SUM('Monthly Potable (Meters)'!BV11)+SUM('Monthly Potable (Meters)'!BY11)+SUM('Monthly Potable (Meters)'!CC11)+SUM('Monthly Potable (Meters)'!CE11)+SUM('Monthly Potable (Meters)'!CH11:CM11)+SUM('Monthly Potable (Meters)'!CO11:DI11)</f>
        <v>0</v>
      </c>
      <c r="L10">
        <f>SUM('Monthly Potable (Meters)'!E11)</f>
        <v>0</v>
      </c>
      <c r="M10">
        <f>SUM('Monthly Potable (Meters)'!AA11)</f>
        <v>0</v>
      </c>
    </row>
    <row r="11" spans="1:13" ht="16" x14ac:dyDescent="0.2">
      <c r="A11" s="156">
        <v>43647</v>
      </c>
      <c r="B11">
        <f>SUM('Monthly Potable (Meters)'!D12)</f>
        <v>0</v>
      </c>
      <c r="C11">
        <f>SUM('Monthly Potable (Meters)'!P12)+SUM('Monthly Potable (Meters)'!R12)+SUM('Monthly Potable (Meters)'!T12)+SUM('Monthly Potable (Meters)'!V12)+SUM('Monthly Potable (Meters)'!W12)</f>
        <v>0</v>
      </c>
      <c r="D11">
        <f>SUM('Monthly Potable (Meters)'!M12)</f>
        <v>0</v>
      </c>
      <c r="E11" t="e">
        <f>SUM(#REF!)</f>
        <v>#REF!</v>
      </c>
      <c r="F11">
        <f>SUM('Monthly Potable (Meters)'!BA12:BE12)+SUM('Monthly Potable (Meters)'!BG12:BH12)+SUM('Monthly Potable (Meters)'!BJ12:BK12)+SUM('Monthly Potable (Meters)'!BM12:BN12)+SUM('Monthly Potable (Meters)'!BP12:BQ12)+SUM('Monthly Potable (Meters)'!BS12:BU12)+SUM('Monthly Potable (Meters)'!BW12:BX12)+SUM('Monthly Potable (Meters)'!BZ12:CB12)+SUM('Monthly Potable (Meters)'!CD12:CF12)</f>
        <v>0</v>
      </c>
      <c r="G11">
        <f>SUM('Monthly Potable (Meters)'!B12)+SUM('Monthly Potable (Meters)'!S12)</f>
        <v>0</v>
      </c>
      <c r="H11">
        <f>SUM('Monthly Potable (Meters)'!G12:H12)+SUM('Monthly Potable (Meters)'!J12:K12)+SUM('Monthly Potable (Meters)'!Y12:Z12)</f>
        <v>0</v>
      </c>
      <c r="I11">
        <f>SUM('Monthly Potable (Meters)'!AE12:AG12)+SUM('Monthly Potable (Meters)'!AI12)+SUM('Monthly Potable (Meters)'!AK12:AZ12)</f>
        <v>0</v>
      </c>
      <c r="J11">
        <f>SUM('Monthly Potable (Meters)'!AH12)+SUM('Monthly Potable (Meters)'!AJ12)</f>
        <v>0</v>
      </c>
      <c r="K11">
        <f>SUM('Monthly Potable (Meters)'!C12)+SUM('Monthly Potable (Meters)'!I12)+SUM('Monthly Potable (Meters)'!L12)+SUM('Monthly Potable (Meters)'!N12)+SUM('Monthly Potable (Meters)'!Q12)+SUM('Monthly Potable (Meters)'!U12)+SUM('Monthly Potable (Meters)'!X12)+SUM('Monthly Potable (Meters)'!AB12:AD12)+SUM('Monthly Potable (Meters)'!BF12)+SUM('Monthly Potable (Meters)'!BI12)+SUM('Monthly Potable (Meters)'!BL12)+SUM('Monthly Potable (Meters)'!BO12)+SUM('Monthly Potable (Meters)'!BR12)+SUM('Monthly Potable (Meters)'!BV12)+SUM('Monthly Potable (Meters)'!BY12)+SUM('Monthly Potable (Meters)'!CC12)+SUM('Monthly Potable (Meters)'!CE12)+SUM('Monthly Potable (Meters)'!CH12:CM12)+SUM('Monthly Potable (Meters)'!CO12:DI12)</f>
        <v>0</v>
      </c>
      <c r="L11">
        <f>SUM('Monthly Potable (Meters)'!E12)</f>
        <v>0</v>
      </c>
      <c r="M11">
        <f>SUM('Monthly Potable (Meters)'!AA12)</f>
        <v>0</v>
      </c>
    </row>
    <row r="12" spans="1:13" ht="16" x14ac:dyDescent="0.2">
      <c r="A12" s="156">
        <v>43678</v>
      </c>
      <c r="B12">
        <f>SUM('Monthly Potable (Meters)'!D13)</f>
        <v>0</v>
      </c>
      <c r="C12">
        <f>SUM('Monthly Potable (Meters)'!P13)+SUM('Monthly Potable (Meters)'!R13)+SUM('Monthly Potable (Meters)'!T13)+SUM('Monthly Potable (Meters)'!V13)+SUM('Monthly Potable (Meters)'!W13)</f>
        <v>0</v>
      </c>
      <c r="D12">
        <f>SUM('Monthly Potable (Meters)'!M13)</f>
        <v>0</v>
      </c>
      <c r="E12" t="e">
        <f>SUM(#REF!)</f>
        <v>#REF!</v>
      </c>
      <c r="F12">
        <f>SUM('Monthly Potable (Meters)'!BA13:BE13)+SUM('Monthly Potable (Meters)'!BG13:BH13)+SUM('Monthly Potable (Meters)'!BJ13:BK13)+SUM('Monthly Potable (Meters)'!BM13:BN13)+SUM('Monthly Potable (Meters)'!BP13:BQ13)+SUM('Monthly Potable (Meters)'!BS13:BU13)+SUM('Monthly Potable (Meters)'!BW13:BX13)+SUM('Monthly Potable (Meters)'!BZ13:CB13)+SUM('Monthly Potable (Meters)'!CD13:CF13)</f>
        <v>0</v>
      </c>
      <c r="G12">
        <f>SUM('Monthly Potable (Meters)'!B13)+SUM('Monthly Potable (Meters)'!S13)</f>
        <v>0</v>
      </c>
      <c r="H12">
        <f>SUM('Monthly Potable (Meters)'!G13:H13)+SUM('Monthly Potable (Meters)'!J13:K13)+SUM('Monthly Potable (Meters)'!Y13:Z13)</f>
        <v>0</v>
      </c>
      <c r="I12">
        <f>SUM('Monthly Potable (Meters)'!AE13:AG13)+SUM('Monthly Potable (Meters)'!AI13)+SUM('Monthly Potable (Meters)'!AK13:AZ13)</f>
        <v>0</v>
      </c>
      <c r="J12">
        <f>SUM('Monthly Potable (Meters)'!AH13)+SUM('Monthly Potable (Meters)'!AJ13)</f>
        <v>0</v>
      </c>
      <c r="K12">
        <f>SUM('Monthly Potable (Meters)'!C13)+SUM('Monthly Potable (Meters)'!I13)+SUM('Monthly Potable (Meters)'!L13)+SUM('Monthly Potable (Meters)'!N13)+SUM('Monthly Potable (Meters)'!Q13)+SUM('Monthly Potable (Meters)'!U13)+SUM('Monthly Potable (Meters)'!X13)+SUM('Monthly Potable (Meters)'!AB13:AD13)+SUM('Monthly Potable (Meters)'!BF13)+SUM('Monthly Potable (Meters)'!BI13)+SUM('Monthly Potable (Meters)'!BL13)+SUM('Monthly Potable (Meters)'!BO13)+SUM('Monthly Potable (Meters)'!BR13)+SUM('Monthly Potable (Meters)'!BV13)+SUM('Monthly Potable (Meters)'!BY13)+SUM('Monthly Potable (Meters)'!CC13)+SUM('Monthly Potable (Meters)'!CE13)+SUM('Monthly Potable (Meters)'!CH13:CM13)+SUM('Monthly Potable (Meters)'!CO13:DI13)</f>
        <v>0</v>
      </c>
      <c r="L12">
        <f>SUM('Monthly Potable (Meters)'!E13)</f>
        <v>0</v>
      </c>
      <c r="M12">
        <f>SUM('Monthly Potable (Meters)'!AA13)</f>
        <v>0</v>
      </c>
    </row>
    <row r="13" spans="1:13" ht="16" x14ac:dyDescent="0.2">
      <c r="A13" s="156">
        <v>43709</v>
      </c>
      <c r="B13">
        <f>SUM('Monthly Potable (Meters)'!D14)</f>
        <v>0</v>
      </c>
      <c r="C13">
        <f>SUM('Monthly Potable (Meters)'!P14)+SUM('Monthly Potable (Meters)'!R14)+SUM('Monthly Potable (Meters)'!T14)+SUM('Monthly Potable (Meters)'!V14)+SUM('Monthly Potable (Meters)'!W14)</f>
        <v>0</v>
      </c>
      <c r="D13">
        <f>SUM('Monthly Potable (Meters)'!M14)</f>
        <v>0</v>
      </c>
      <c r="E13" t="e">
        <f>SUM(#REF!)</f>
        <v>#REF!</v>
      </c>
      <c r="F13">
        <f>SUM('Monthly Potable (Meters)'!BA14:BE14)+SUM('Monthly Potable (Meters)'!BG14:BH14)+SUM('Monthly Potable (Meters)'!BJ14:BK14)+SUM('Monthly Potable (Meters)'!BM14:BN14)+SUM('Monthly Potable (Meters)'!BP14:BQ14)+SUM('Monthly Potable (Meters)'!BS14:BU14)+SUM('Monthly Potable (Meters)'!BW14:BX14)+SUM('Monthly Potable (Meters)'!BZ14:CB14)+SUM('Monthly Potable (Meters)'!CD14:CF14)</f>
        <v>0</v>
      </c>
      <c r="G13">
        <f>SUM('Monthly Potable (Meters)'!B14)+SUM('Monthly Potable (Meters)'!S14)</f>
        <v>0</v>
      </c>
      <c r="H13">
        <f>SUM('Monthly Potable (Meters)'!G14:H14)+SUM('Monthly Potable (Meters)'!J14:K14)+SUM('Monthly Potable (Meters)'!Y14:Z14)</f>
        <v>0</v>
      </c>
      <c r="I13">
        <f>SUM('Monthly Potable (Meters)'!AE14:AG14)+SUM('Monthly Potable (Meters)'!AI14)+SUM('Monthly Potable (Meters)'!AK14:AZ14)</f>
        <v>0</v>
      </c>
      <c r="J13">
        <f>SUM('Monthly Potable (Meters)'!AH14)+SUM('Monthly Potable (Meters)'!AJ14)</f>
        <v>0</v>
      </c>
      <c r="K13">
        <f>SUM('Monthly Potable (Meters)'!C14)+SUM('Monthly Potable (Meters)'!I14)+SUM('Monthly Potable (Meters)'!L14)+SUM('Monthly Potable (Meters)'!N14)+SUM('Monthly Potable (Meters)'!Q14)+SUM('Monthly Potable (Meters)'!U14)+SUM('Monthly Potable (Meters)'!X14)+SUM('Monthly Potable (Meters)'!AB14:AD14)+SUM('Monthly Potable (Meters)'!BF14)+SUM('Monthly Potable (Meters)'!BI14)+SUM('Monthly Potable (Meters)'!BL14)+SUM('Monthly Potable (Meters)'!BO14)+SUM('Monthly Potable (Meters)'!BR14)+SUM('Monthly Potable (Meters)'!BV14)+SUM('Monthly Potable (Meters)'!BY14)+SUM('Monthly Potable (Meters)'!CC14)+SUM('Monthly Potable (Meters)'!CE14)+SUM('Monthly Potable (Meters)'!CH14:CM14)+SUM('Monthly Potable (Meters)'!CO14:DI14)</f>
        <v>0</v>
      </c>
      <c r="L13">
        <f>SUM('Monthly Potable (Meters)'!E14)</f>
        <v>0</v>
      </c>
      <c r="M13">
        <f>SUM('Monthly Potable (Meters)'!AA14)</f>
        <v>0</v>
      </c>
    </row>
    <row r="14" spans="1:13" ht="16" x14ac:dyDescent="0.2">
      <c r="A14" s="156">
        <v>43739</v>
      </c>
      <c r="B14">
        <f>SUM('Monthly Potable (Meters)'!D15)</f>
        <v>0</v>
      </c>
      <c r="C14">
        <f>SUM('Monthly Potable (Meters)'!P15)+SUM('Monthly Potable (Meters)'!R15)+SUM('Monthly Potable (Meters)'!T15)+SUM('Monthly Potable (Meters)'!V15)+SUM('Monthly Potable (Meters)'!W15)</f>
        <v>0</v>
      </c>
      <c r="D14">
        <f>SUM('Monthly Potable (Meters)'!M15)</f>
        <v>0</v>
      </c>
      <c r="E14" t="e">
        <f>SUM(#REF!)</f>
        <v>#REF!</v>
      </c>
      <c r="F14">
        <f>SUM('Monthly Potable (Meters)'!BA15:BE15)+SUM('Monthly Potable (Meters)'!BG15:BH15)+SUM('Monthly Potable (Meters)'!BJ15:BK15)+SUM('Monthly Potable (Meters)'!BM15:BN15)+SUM('Monthly Potable (Meters)'!BP15:BQ15)+SUM('Monthly Potable (Meters)'!BS15:BU15)+SUM('Monthly Potable (Meters)'!BW15:BX15)+SUM('Monthly Potable (Meters)'!BZ15:CB15)+SUM('Monthly Potable (Meters)'!CD15:CF15)</f>
        <v>0</v>
      </c>
      <c r="G14">
        <f>SUM('Monthly Potable (Meters)'!B15)+SUM('Monthly Potable (Meters)'!S15)</f>
        <v>0</v>
      </c>
      <c r="H14">
        <f>SUM('Monthly Potable (Meters)'!G15:H15)+SUM('Monthly Potable (Meters)'!J15:K15)+SUM('Monthly Potable (Meters)'!Y15:Z15)</f>
        <v>0</v>
      </c>
      <c r="I14">
        <f>SUM('Monthly Potable (Meters)'!AE15:AG15)+SUM('Monthly Potable (Meters)'!AI15)+SUM('Monthly Potable (Meters)'!AK15:AZ15)</f>
        <v>0</v>
      </c>
      <c r="J14">
        <f>SUM('Monthly Potable (Meters)'!AH15)+SUM('Monthly Potable (Meters)'!AJ15)</f>
        <v>0</v>
      </c>
      <c r="K14">
        <f>SUM('Monthly Potable (Meters)'!C15)+SUM('Monthly Potable (Meters)'!I15)+SUM('Monthly Potable (Meters)'!L15)+SUM('Monthly Potable (Meters)'!N15)+SUM('Monthly Potable (Meters)'!Q15)+SUM('Monthly Potable (Meters)'!U15)+SUM('Monthly Potable (Meters)'!X15)+SUM('Monthly Potable (Meters)'!AB15:AD15)+SUM('Monthly Potable (Meters)'!BF15)+SUM('Monthly Potable (Meters)'!BI15)+SUM('Monthly Potable (Meters)'!BL15)+SUM('Monthly Potable (Meters)'!BO15)+SUM('Monthly Potable (Meters)'!BR15)+SUM('Monthly Potable (Meters)'!BV15)+SUM('Monthly Potable (Meters)'!BY15)+SUM('Monthly Potable (Meters)'!CC15)+SUM('Monthly Potable (Meters)'!CE15)+SUM('Monthly Potable (Meters)'!CH15:CM15)+SUM('Monthly Potable (Meters)'!CO15:DI15)</f>
        <v>0</v>
      </c>
      <c r="L14">
        <f>SUM('Monthly Potable (Meters)'!E15)</f>
        <v>0</v>
      </c>
      <c r="M14">
        <f>SUM('Monthly Potable (Meters)'!AA15)</f>
        <v>0</v>
      </c>
    </row>
    <row r="15" spans="1:13" ht="16" x14ac:dyDescent="0.2">
      <c r="A15" s="156">
        <v>43770</v>
      </c>
      <c r="B15">
        <f>SUM('Monthly Potable (Meters)'!D16)</f>
        <v>0</v>
      </c>
      <c r="C15">
        <f>SUM('Monthly Potable (Meters)'!P16)+SUM('Monthly Potable (Meters)'!R16)+SUM('Monthly Potable (Meters)'!T16)+SUM('Monthly Potable (Meters)'!V16)+SUM('Monthly Potable (Meters)'!W16)</f>
        <v>0</v>
      </c>
      <c r="D15">
        <f>SUM('Monthly Potable (Meters)'!M16)</f>
        <v>0</v>
      </c>
      <c r="E15" t="e">
        <f>SUM(#REF!)</f>
        <v>#REF!</v>
      </c>
      <c r="F15">
        <f>SUM('Monthly Potable (Meters)'!BA16:BE16)+SUM('Monthly Potable (Meters)'!BG16:BH16)+SUM('Monthly Potable (Meters)'!BJ16:BK16)+SUM('Monthly Potable (Meters)'!BM16:BN16)+SUM('Monthly Potable (Meters)'!BP16:BQ16)+SUM('Monthly Potable (Meters)'!BS16:BU16)+SUM('Monthly Potable (Meters)'!BW16:BX16)+SUM('Monthly Potable (Meters)'!BZ16:CB16)+SUM('Monthly Potable (Meters)'!CD16:CF16)</f>
        <v>0</v>
      </c>
      <c r="G15">
        <f>SUM('Monthly Potable (Meters)'!B16)+SUM('Monthly Potable (Meters)'!S16)</f>
        <v>0</v>
      </c>
      <c r="H15">
        <f>SUM('Monthly Potable (Meters)'!G16:H16)+SUM('Monthly Potable (Meters)'!J16:K16)+SUM('Monthly Potable (Meters)'!Y16:Z16)</f>
        <v>0</v>
      </c>
      <c r="I15">
        <f>SUM('Monthly Potable (Meters)'!AE16:AG16)+SUM('Monthly Potable (Meters)'!AI16)+SUM('Monthly Potable (Meters)'!AK16:AZ16)</f>
        <v>0</v>
      </c>
      <c r="J15">
        <f>SUM('Monthly Potable (Meters)'!AH16)+SUM('Monthly Potable (Meters)'!AJ16)</f>
        <v>0</v>
      </c>
      <c r="K15">
        <f>SUM('Monthly Potable (Meters)'!C16)+SUM('Monthly Potable (Meters)'!I16)+SUM('Monthly Potable (Meters)'!L16)+SUM('Monthly Potable (Meters)'!N16)+SUM('Monthly Potable (Meters)'!Q16)+SUM('Monthly Potable (Meters)'!U16)+SUM('Monthly Potable (Meters)'!X16)+SUM('Monthly Potable (Meters)'!AB16:AD16)+SUM('Monthly Potable (Meters)'!BF16)+SUM('Monthly Potable (Meters)'!BI16)+SUM('Monthly Potable (Meters)'!BL16)+SUM('Monthly Potable (Meters)'!BO16)+SUM('Monthly Potable (Meters)'!BR16)+SUM('Monthly Potable (Meters)'!BV16)+SUM('Monthly Potable (Meters)'!BY16)+SUM('Monthly Potable (Meters)'!CC16)+SUM('Monthly Potable (Meters)'!CE16)+SUM('Monthly Potable (Meters)'!CH16:CM16)+SUM('Monthly Potable (Meters)'!CO16:DI16)</f>
        <v>0</v>
      </c>
      <c r="L15">
        <f>SUM('Monthly Potable (Meters)'!E16)</f>
        <v>0</v>
      </c>
      <c r="M15">
        <f>SUM('Monthly Potable (Meters)'!AA16)</f>
        <v>0</v>
      </c>
    </row>
    <row r="16" spans="1:13" ht="16" x14ac:dyDescent="0.2">
      <c r="A16" s="156">
        <v>43800</v>
      </c>
      <c r="B16">
        <f>SUM('Monthly Potable (Meters)'!D17)</f>
        <v>0</v>
      </c>
      <c r="C16">
        <f>SUM('Monthly Potable (Meters)'!P17)+SUM('Monthly Potable (Meters)'!R17)+SUM('Monthly Potable (Meters)'!T17)+SUM('Monthly Potable (Meters)'!V17)+SUM('Monthly Potable (Meters)'!W17)</f>
        <v>0</v>
      </c>
      <c r="D16">
        <f>SUM('Monthly Potable (Meters)'!M17)</f>
        <v>0</v>
      </c>
      <c r="E16" t="e">
        <f>SUM(#REF!)</f>
        <v>#REF!</v>
      </c>
      <c r="F16">
        <f>SUM('Monthly Potable (Meters)'!BA17:BE17)+SUM('Monthly Potable (Meters)'!BG17:BH17)+SUM('Monthly Potable (Meters)'!BJ17:BK17)+SUM('Monthly Potable (Meters)'!BM17:BN17)+SUM('Monthly Potable (Meters)'!BP17:BQ17)+SUM('Monthly Potable (Meters)'!BS17:BU17)+SUM('Monthly Potable (Meters)'!BW17:BX17)+SUM('Monthly Potable (Meters)'!BZ17:CB17)+SUM('Monthly Potable (Meters)'!CD17:CF17)</f>
        <v>0</v>
      </c>
      <c r="G16">
        <f>SUM('Monthly Potable (Meters)'!B17)+SUM('Monthly Potable (Meters)'!S17)</f>
        <v>0</v>
      </c>
      <c r="H16">
        <f>SUM('Monthly Potable (Meters)'!G17:H17)+SUM('Monthly Potable (Meters)'!J17:K17)+SUM('Monthly Potable (Meters)'!Y17:Z17)</f>
        <v>0</v>
      </c>
      <c r="I16">
        <f>SUM('Monthly Potable (Meters)'!AE17:AG17)+SUM('Monthly Potable (Meters)'!AI17)+SUM('Monthly Potable (Meters)'!AK17:AZ17)</f>
        <v>0</v>
      </c>
      <c r="J16">
        <f>SUM('Monthly Potable (Meters)'!AH17)+SUM('Monthly Potable (Meters)'!AJ17)</f>
        <v>0</v>
      </c>
      <c r="K16">
        <f>SUM('Monthly Potable (Meters)'!C17)+SUM('Monthly Potable (Meters)'!I17)+SUM('Monthly Potable (Meters)'!L17)+SUM('Monthly Potable (Meters)'!N17)+SUM('Monthly Potable (Meters)'!Q17)+SUM('Monthly Potable (Meters)'!U17)+SUM('Monthly Potable (Meters)'!X17)+SUM('Monthly Potable (Meters)'!AB17:AD17)+SUM('Monthly Potable (Meters)'!BF17)+SUM('Monthly Potable (Meters)'!BI17)+SUM('Monthly Potable (Meters)'!BL17)+SUM('Monthly Potable (Meters)'!BO17)+SUM('Monthly Potable (Meters)'!BR17)+SUM('Monthly Potable (Meters)'!BV17)+SUM('Monthly Potable (Meters)'!BY17)+SUM('Monthly Potable (Meters)'!CC17)+SUM('Monthly Potable (Meters)'!CE17)+SUM('Monthly Potable (Meters)'!CH17:CM17)+SUM('Monthly Potable (Meters)'!CO17:DI17)</f>
        <v>0</v>
      </c>
      <c r="L16">
        <f>SUM('Monthly Potable (Meters)'!E17)</f>
        <v>0</v>
      </c>
      <c r="M16">
        <f>SUM('Monthly Potable (Meters)'!AA17)</f>
        <v>0</v>
      </c>
    </row>
    <row r="17" spans="1:13" ht="16" x14ac:dyDescent="0.2">
      <c r="A17" s="156">
        <v>43831</v>
      </c>
      <c r="B17">
        <f>SUM('Monthly Potable (Meters)'!D18)</f>
        <v>0</v>
      </c>
      <c r="C17">
        <f>SUM('Monthly Potable (Meters)'!P18)+SUM('Monthly Potable (Meters)'!R18)+SUM('Monthly Potable (Meters)'!T18)+SUM('Monthly Potable (Meters)'!V18)+SUM('Monthly Potable (Meters)'!W18)</f>
        <v>0</v>
      </c>
      <c r="D17">
        <f>SUM('Monthly Potable (Meters)'!M18)</f>
        <v>0</v>
      </c>
      <c r="E17" t="e">
        <f>SUM(#REF!)</f>
        <v>#REF!</v>
      </c>
      <c r="F17">
        <f>SUM('Monthly Potable (Meters)'!BA18:BE18)+SUM('Monthly Potable (Meters)'!BG18:BH18)+SUM('Monthly Potable (Meters)'!BJ18:BK18)+SUM('Monthly Potable (Meters)'!BM18:BN18)+SUM('Monthly Potable (Meters)'!BP18:BQ18)+SUM('Monthly Potable (Meters)'!BS18:BU18)+SUM('Monthly Potable (Meters)'!BW18:BX18)+SUM('Monthly Potable (Meters)'!BZ18:CB18)+SUM('Monthly Potable (Meters)'!CD18:CF18)</f>
        <v>0</v>
      </c>
      <c r="G17">
        <f>SUM('Monthly Potable (Meters)'!B18)+SUM('Monthly Potable (Meters)'!S18)</f>
        <v>0</v>
      </c>
      <c r="H17">
        <f>SUM('Monthly Potable (Meters)'!G18:H18)+SUM('Monthly Potable (Meters)'!J18:K18)+SUM('Monthly Potable (Meters)'!Y18:Z18)</f>
        <v>0</v>
      </c>
      <c r="I17">
        <f>SUM('Monthly Potable (Meters)'!AE18:AG18)+SUM('Monthly Potable (Meters)'!AI18)+SUM('Monthly Potable (Meters)'!AK18:AZ18)</f>
        <v>0</v>
      </c>
      <c r="J17">
        <f>SUM('Monthly Potable (Meters)'!AH18)+SUM('Monthly Potable (Meters)'!AJ18)</f>
        <v>0</v>
      </c>
      <c r="K17">
        <f>SUM('Monthly Potable (Meters)'!C18)+SUM('Monthly Potable (Meters)'!I18)+SUM('Monthly Potable (Meters)'!L18)+SUM('Monthly Potable (Meters)'!N18)+SUM('Monthly Potable (Meters)'!Q18)+SUM('Monthly Potable (Meters)'!U18)+SUM('Monthly Potable (Meters)'!X18)+SUM('Monthly Potable (Meters)'!AB18:AD18)+SUM('Monthly Potable (Meters)'!BF18)+SUM('Monthly Potable (Meters)'!BI18)+SUM('Monthly Potable (Meters)'!BL18)+SUM('Monthly Potable (Meters)'!BO18)+SUM('Monthly Potable (Meters)'!BR18)+SUM('Monthly Potable (Meters)'!BV18)+SUM('Monthly Potable (Meters)'!BY18)+SUM('Monthly Potable (Meters)'!CC18)+SUM('Monthly Potable (Meters)'!CE18)+SUM('Monthly Potable (Meters)'!CH18:CM18)+SUM('Monthly Potable (Meters)'!CO18:DI18)</f>
        <v>0</v>
      </c>
      <c r="L17">
        <f>SUM('Monthly Potable (Meters)'!E18)</f>
        <v>0</v>
      </c>
      <c r="M17">
        <f>SUM('Monthly Potable (Meters)'!AA18)</f>
        <v>0</v>
      </c>
    </row>
    <row r="18" spans="1:13" ht="16" x14ac:dyDescent="0.2">
      <c r="A18" s="156">
        <v>43862</v>
      </c>
      <c r="B18">
        <f>SUM('Monthly Potable (Meters)'!D19)</f>
        <v>0</v>
      </c>
      <c r="C18">
        <f>SUM('Monthly Potable (Meters)'!P19)+SUM('Monthly Potable (Meters)'!R19)+SUM('Monthly Potable (Meters)'!T19)+SUM('Monthly Potable (Meters)'!V19)+SUM('Monthly Potable (Meters)'!W19)</f>
        <v>0</v>
      </c>
      <c r="D18">
        <f>SUM('Monthly Potable (Meters)'!M19)</f>
        <v>0</v>
      </c>
      <c r="E18" t="e">
        <f>SUM(#REF!)</f>
        <v>#REF!</v>
      </c>
      <c r="F18">
        <f>SUM('Monthly Potable (Meters)'!BA19:BE19)+SUM('Monthly Potable (Meters)'!BG19:BH19)+SUM('Monthly Potable (Meters)'!BJ19:BK19)+SUM('Monthly Potable (Meters)'!BM19:BN19)+SUM('Monthly Potable (Meters)'!BP19:BQ19)+SUM('Monthly Potable (Meters)'!BS19:BU19)+SUM('Monthly Potable (Meters)'!BW19:BX19)+SUM('Monthly Potable (Meters)'!BZ19:CB19)+SUM('Monthly Potable (Meters)'!CD19:CF19)</f>
        <v>0</v>
      </c>
      <c r="G18">
        <f>SUM('Monthly Potable (Meters)'!B19)+SUM('Monthly Potable (Meters)'!S19)</f>
        <v>0</v>
      </c>
      <c r="H18">
        <f>SUM('Monthly Potable (Meters)'!G19:H19)+SUM('Monthly Potable (Meters)'!J19:K19)+SUM('Monthly Potable (Meters)'!Y19:Z19)</f>
        <v>0</v>
      </c>
      <c r="I18">
        <f>SUM('Monthly Potable (Meters)'!AE19:AG19)+SUM('Monthly Potable (Meters)'!AI19)+SUM('Monthly Potable (Meters)'!AK19:AZ19)</f>
        <v>0</v>
      </c>
      <c r="J18">
        <f>SUM('Monthly Potable (Meters)'!AH19)+SUM('Monthly Potable (Meters)'!AJ19)</f>
        <v>0</v>
      </c>
      <c r="K18">
        <f>SUM('Monthly Potable (Meters)'!C19)+SUM('Monthly Potable (Meters)'!I19)+SUM('Monthly Potable (Meters)'!L19)+SUM('Monthly Potable (Meters)'!N19)+SUM('Monthly Potable (Meters)'!Q19)+SUM('Monthly Potable (Meters)'!U19)+SUM('Monthly Potable (Meters)'!X19)+SUM('Monthly Potable (Meters)'!AB19:AD19)+SUM('Monthly Potable (Meters)'!BF19)+SUM('Monthly Potable (Meters)'!BI19)+SUM('Monthly Potable (Meters)'!BL19)+SUM('Monthly Potable (Meters)'!BO19)+SUM('Monthly Potable (Meters)'!BR19)+SUM('Monthly Potable (Meters)'!BV19)+SUM('Monthly Potable (Meters)'!BY19)+SUM('Monthly Potable (Meters)'!CC19)+SUM('Monthly Potable (Meters)'!CE19)+SUM('Monthly Potable (Meters)'!CH19:CM19)+SUM('Monthly Potable (Meters)'!CO19:DI19)</f>
        <v>0</v>
      </c>
      <c r="L18">
        <f>SUM('Monthly Potable (Meters)'!E19)</f>
        <v>0</v>
      </c>
      <c r="M18">
        <f>SUM('Monthly Potable (Meters)'!AA19)</f>
        <v>0</v>
      </c>
    </row>
    <row r="19" spans="1:13" ht="16" x14ac:dyDescent="0.2">
      <c r="A19" s="156">
        <v>43891</v>
      </c>
      <c r="B19">
        <f>SUM('Monthly Potable (Meters)'!D20)</f>
        <v>0</v>
      </c>
      <c r="C19">
        <f>SUM('Monthly Potable (Meters)'!P20)+SUM('Monthly Potable (Meters)'!R20)+SUM('Monthly Potable (Meters)'!T20)+SUM('Monthly Potable (Meters)'!V20)+SUM('Monthly Potable (Meters)'!W20)</f>
        <v>0</v>
      </c>
      <c r="D19">
        <f>SUM('Monthly Potable (Meters)'!M20)</f>
        <v>0</v>
      </c>
      <c r="E19" t="e">
        <f>SUM(#REF!)</f>
        <v>#REF!</v>
      </c>
      <c r="F19">
        <f>SUM('Monthly Potable (Meters)'!BA20:BE20)+SUM('Monthly Potable (Meters)'!BG20:BH20)+SUM('Monthly Potable (Meters)'!BJ20:BK20)+SUM('Monthly Potable (Meters)'!BM20:BN20)+SUM('Monthly Potable (Meters)'!BP20:BQ20)+SUM('Monthly Potable (Meters)'!BS20:BU20)+SUM('Monthly Potable (Meters)'!BW20:BX20)+SUM('Monthly Potable (Meters)'!BZ20:CB20)+SUM('Monthly Potable (Meters)'!CD20:CF20)</f>
        <v>0</v>
      </c>
      <c r="G19">
        <f>SUM('Monthly Potable (Meters)'!B20)+SUM('Monthly Potable (Meters)'!S20)</f>
        <v>0</v>
      </c>
      <c r="H19">
        <f>SUM('Monthly Potable (Meters)'!G20:H20)+SUM('Monthly Potable (Meters)'!J20:K20)+SUM('Monthly Potable (Meters)'!Y20:Z20)</f>
        <v>0</v>
      </c>
      <c r="I19">
        <f>SUM('Monthly Potable (Meters)'!AE20:AG20)+SUM('Monthly Potable (Meters)'!AI20)+SUM('Monthly Potable (Meters)'!AK20:AZ20)</f>
        <v>0</v>
      </c>
      <c r="J19">
        <f>SUM('Monthly Potable (Meters)'!AH20)+SUM('Monthly Potable (Meters)'!AJ20)</f>
        <v>0</v>
      </c>
      <c r="K19">
        <f>SUM('Monthly Potable (Meters)'!C20)+SUM('Monthly Potable (Meters)'!I20)+SUM('Monthly Potable (Meters)'!L20)+SUM('Monthly Potable (Meters)'!N20)+SUM('Monthly Potable (Meters)'!Q20)+SUM('Monthly Potable (Meters)'!U20)+SUM('Monthly Potable (Meters)'!X20)+SUM('Monthly Potable (Meters)'!AB20:AD20)+SUM('Monthly Potable (Meters)'!BF20)+SUM('Monthly Potable (Meters)'!BI20)+SUM('Monthly Potable (Meters)'!BL20)+SUM('Monthly Potable (Meters)'!BO20)+SUM('Monthly Potable (Meters)'!BR20)+SUM('Monthly Potable (Meters)'!BV20)+SUM('Monthly Potable (Meters)'!BY20)+SUM('Monthly Potable (Meters)'!CC20)+SUM('Monthly Potable (Meters)'!CE20)+SUM('Monthly Potable (Meters)'!CH20:CM20)+SUM('Monthly Potable (Meters)'!CO20:DI20)</f>
        <v>0</v>
      </c>
      <c r="L19">
        <f>SUM('Monthly Potable (Meters)'!E20)</f>
        <v>0</v>
      </c>
      <c r="M19">
        <f>SUM('Monthly Potable (Meters)'!AA20)</f>
        <v>0</v>
      </c>
    </row>
    <row r="20" spans="1:13" ht="16" x14ac:dyDescent="0.2">
      <c r="A20" s="156">
        <v>43922</v>
      </c>
      <c r="B20">
        <f>SUM('Monthly Potable (Meters)'!D21)</f>
        <v>0</v>
      </c>
      <c r="C20">
        <f>SUM('Monthly Potable (Meters)'!P21)+SUM('Monthly Potable (Meters)'!R21)+SUM('Monthly Potable (Meters)'!T21)+SUM('Monthly Potable (Meters)'!V21)+SUM('Monthly Potable (Meters)'!W21)</f>
        <v>0</v>
      </c>
      <c r="D20">
        <f>SUM('Monthly Potable (Meters)'!M21)</f>
        <v>0</v>
      </c>
      <c r="E20" t="e">
        <f>SUM(#REF!)</f>
        <v>#REF!</v>
      </c>
      <c r="F20">
        <f>SUM('Monthly Potable (Meters)'!BA21:BE21)+SUM('Monthly Potable (Meters)'!BG21:BH21)+SUM('Monthly Potable (Meters)'!BJ21:BK21)+SUM('Monthly Potable (Meters)'!BM21:BN21)+SUM('Monthly Potable (Meters)'!BP21:BQ21)+SUM('Monthly Potable (Meters)'!BS21:BU21)+SUM('Monthly Potable (Meters)'!BW21:BX21)+SUM('Monthly Potable (Meters)'!BZ21:CB21)+SUM('Monthly Potable (Meters)'!CD21:CF21)</f>
        <v>0</v>
      </c>
      <c r="G20">
        <f>SUM('Monthly Potable (Meters)'!B21)+SUM('Monthly Potable (Meters)'!S21)</f>
        <v>0</v>
      </c>
      <c r="H20">
        <f>SUM('Monthly Potable (Meters)'!G21:H21)+SUM('Monthly Potable (Meters)'!J21:K21)+SUM('Monthly Potable (Meters)'!Y21:Z21)</f>
        <v>0</v>
      </c>
      <c r="I20">
        <f>SUM('Monthly Potable (Meters)'!AE21:AG21)+SUM('Monthly Potable (Meters)'!AI21)+SUM('Monthly Potable (Meters)'!AK21:AZ21)</f>
        <v>0</v>
      </c>
      <c r="J20">
        <f>SUM('Monthly Potable (Meters)'!AH21)+SUM('Monthly Potable (Meters)'!AJ21)</f>
        <v>0</v>
      </c>
      <c r="K20">
        <f>SUM('Monthly Potable (Meters)'!C21)+SUM('Monthly Potable (Meters)'!I21)+SUM('Monthly Potable (Meters)'!L21)+SUM('Monthly Potable (Meters)'!N21)+SUM('Monthly Potable (Meters)'!Q21)+SUM('Monthly Potable (Meters)'!U21)+SUM('Monthly Potable (Meters)'!X21)+SUM('Monthly Potable (Meters)'!AB21:AD21)+SUM('Monthly Potable (Meters)'!BF21)+SUM('Monthly Potable (Meters)'!BI21)+SUM('Monthly Potable (Meters)'!BL21)+SUM('Monthly Potable (Meters)'!BO21)+SUM('Monthly Potable (Meters)'!BR21)+SUM('Monthly Potable (Meters)'!BV21)+SUM('Monthly Potable (Meters)'!BY21)+SUM('Monthly Potable (Meters)'!CC21)+SUM('Monthly Potable (Meters)'!CE21)+SUM('Monthly Potable (Meters)'!CH21:CM21)+SUM('Monthly Potable (Meters)'!CO21:DI21)</f>
        <v>0</v>
      </c>
      <c r="L20">
        <f>SUM('Monthly Potable (Meters)'!E21)</f>
        <v>0</v>
      </c>
      <c r="M20">
        <f>SUM('Monthly Potable (Meters)'!AA21)</f>
        <v>0</v>
      </c>
    </row>
    <row r="21" spans="1:13" ht="16" x14ac:dyDescent="0.2">
      <c r="A21" s="156">
        <v>43952</v>
      </c>
      <c r="B21">
        <f>SUM('Monthly Potable (Meters)'!D22)</f>
        <v>0</v>
      </c>
      <c r="C21">
        <f>SUM('Monthly Potable (Meters)'!P22)+SUM('Monthly Potable (Meters)'!R22)+SUM('Monthly Potable (Meters)'!T22)+SUM('Monthly Potable (Meters)'!V22)+SUM('Monthly Potable (Meters)'!W22)</f>
        <v>0</v>
      </c>
      <c r="D21">
        <f>SUM('Monthly Potable (Meters)'!M22)</f>
        <v>0</v>
      </c>
      <c r="E21" t="e">
        <f>SUM(#REF!)</f>
        <v>#REF!</v>
      </c>
      <c r="F21">
        <f>SUM('Monthly Potable (Meters)'!BA22:BE22)+SUM('Monthly Potable (Meters)'!BG22:BH22)+SUM('Monthly Potable (Meters)'!BJ22:BK22)+SUM('Monthly Potable (Meters)'!BM22:BN22)+SUM('Monthly Potable (Meters)'!BP22:BQ22)+SUM('Monthly Potable (Meters)'!BS22:BU22)+SUM('Monthly Potable (Meters)'!BW22:BX22)+SUM('Monthly Potable (Meters)'!BZ22:CB22)+SUM('Monthly Potable (Meters)'!CD22:CF22)</f>
        <v>0</v>
      </c>
      <c r="G21">
        <f>SUM('Monthly Potable (Meters)'!B22)+SUM('Monthly Potable (Meters)'!S22)</f>
        <v>0</v>
      </c>
      <c r="H21">
        <f>SUM('Monthly Potable (Meters)'!G22:H22)+SUM('Monthly Potable (Meters)'!J22:K22)+SUM('Monthly Potable (Meters)'!Y22:Z22)</f>
        <v>0</v>
      </c>
      <c r="I21">
        <f>SUM('Monthly Potable (Meters)'!AE22:AG22)+SUM('Monthly Potable (Meters)'!AI22)+SUM('Monthly Potable (Meters)'!AK22:AZ22)</f>
        <v>0</v>
      </c>
      <c r="J21">
        <f>SUM('Monthly Potable (Meters)'!AH22)+SUM('Monthly Potable (Meters)'!AJ22)</f>
        <v>0</v>
      </c>
      <c r="K21">
        <f>SUM('Monthly Potable (Meters)'!C22)+SUM('Monthly Potable (Meters)'!I22)+SUM('Monthly Potable (Meters)'!L22)+SUM('Monthly Potable (Meters)'!N22)+SUM('Monthly Potable (Meters)'!Q22)+SUM('Monthly Potable (Meters)'!U22)+SUM('Monthly Potable (Meters)'!X22)+SUM('Monthly Potable (Meters)'!AB22:AD22)+SUM('Monthly Potable (Meters)'!BF22)+SUM('Monthly Potable (Meters)'!BI22)+SUM('Monthly Potable (Meters)'!BL22)+SUM('Monthly Potable (Meters)'!BO22)+SUM('Monthly Potable (Meters)'!BR22)+SUM('Monthly Potable (Meters)'!BV22)+SUM('Monthly Potable (Meters)'!BY22)+SUM('Monthly Potable (Meters)'!CC22)+SUM('Monthly Potable (Meters)'!CE22)+SUM('Monthly Potable (Meters)'!CH22:CM22)+SUM('Monthly Potable (Meters)'!CO22:DI22)</f>
        <v>0</v>
      </c>
      <c r="L21">
        <f>SUM('Monthly Potable (Meters)'!E22)</f>
        <v>0</v>
      </c>
      <c r="M21">
        <f>SUM('Monthly Potable (Meters)'!AA22)</f>
        <v>0</v>
      </c>
    </row>
    <row r="22" spans="1:13" ht="16" x14ac:dyDescent="0.2">
      <c r="A22" s="156">
        <v>43983</v>
      </c>
      <c r="B22">
        <f>SUM('Monthly Potable (Meters)'!D23)</f>
        <v>0</v>
      </c>
      <c r="C22">
        <f>SUM('Monthly Potable (Meters)'!P23)+SUM('Monthly Potable (Meters)'!R23)+SUM('Monthly Potable (Meters)'!T23)+SUM('Monthly Potable (Meters)'!V23)+SUM('Monthly Potable (Meters)'!W23)</f>
        <v>0</v>
      </c>
      <c r="D22">
        <f>SUM('Monthly Potable (Meters)'!M23)</f>
        <v>0</v>
      </c>
      <c r="E22" t="e">
        <f>SUM(#REF!)</f>
        <v>#REF!</v>
      </c>
      <c r="F22">
        <f>SUM('Monthly Potable (Meters)'!BA23:BE23)+SUM('Monthly Potable (Meters)'!BG23:BH23)+SUM('Monthly Potable (Meters)'!BJ23:BK23)+SUM('Monthly Potable (Meters)'!BM23:BN23)+SUM('Monthly Potable (Meters)'!BP23:BQ23)+SUM('Monthly Potable (Meters)'!BS23:BU23)+SUM('Monthly Potable (Meters)'!BW23:BX23)+SUM('Monthly Potable (Meters)'!BZ23:CB23)+SUM('Monthly Potable (Meters)'!CD23:CF23)</f>
        <v>0</v>
      </c>
      <c r="G22">
        <f>SUM('Monthly Potable (Meters)'!B23)+SUM('Monthly Potable (Meters)'!S23)</f>
        <v>0</v>
      </c>
      <c r="H22">
        <f>SUM('Monthly Potable (Meters)'!G23:H23)+SUM('Monthly Potable (Meters)'!J23:K23)+SUM('Monthly Potable (Meters)'!Y23:Z23)</f>
        <v>0</v>
      </c>
      <c r="I22">
        <f>SUM('Monthly Potable (Meters)'!AE23:AG23)+SUM('Monthly Potable (Meters)'!AI23)+SUM('Monthly Potable (Meters)'!AK23:AZ23)</f>
        <v>0</v>
      </c>
      <c r="J22">
        <f>SUM('Monthly Potable (Meters)'!AH23)+SUM('Monthly Potable (Meters)'!AJ23)</f>
        <v>0</v>
      </c>
      <c r="K22">
        <f>SUM('Monthly Potable (Meters)'!C23)+SUM('Monthly Potable (Meters)'!I23)+SUM('Monthly Potable (Meters)'!L23)+SUM('Monthly Potable (Meters)'!N23)+SUM('Monthly Potable (Meters)'!Q23)+SUM('Monthly Potable (Meters)'!U23)+SUM('Monthly Potable (Meters)'!X23)+SUM('Monthly Potable (Meters)'!AB23:AD23)+SUM('Monthly Potable (Meters)'!BF23)+SUM('Monthly Potable (Meters)'!BI23)+SUM('Monthly Potable (Meters)'!BL23)+SUM('Monthly Potable (Meters)'!BO23)+SUM('Monthly Potable (Meters)'!BR23)+SUM('Monthly Potable (Meters)'!BV23)+SUM('Monthly Potable (Meters)'!BY23)+SUM('Monthly Potable (Meters)'!CC23)+SUM('Monthly Potable (Meters)'!CE23)+SUM('Monthly Potable (Meters)'!CH23:CM23)+SUM('Monthly Potable (Meters)'!CO23:DI23)</f>
        <v>0</v>
      </c>
      <c r="L22">
        <f>SUM('Monthly Potable (Meters)'!E23)</f>
        <v>0</v>
      </c>
      <c r="M22">
        <f>SUM('Monthly Potable (Meters)'!AA23)</f>
        <v>0</v>
      </c>
    </row>
    <row r="23" spans="1:13" ht="16" x14ac:dyDescent="0.2">
      <c r="A23" s="156">
        <v>44013</v>
      </c>
      <c r="B23">
        <f>SUM('Monthly Potable (Meters)'!D24)</f>
        <v>0</v>
      </c>
      <c r="C23">
        <f>SUM('Monthly Potable (Meters)'!P24)+SUM('Monthly Potable (Meters)'!R24)+SUM('Monthly Potable (Meters)'!T24)+SUM('Monthly Potable (Meters)'!V24)+SUM('Monthly Potable (Meters)'!W24)</f>
        <v>0</v>
      </c>
      <c r="D23">
        <f>SUM('Monthly Potable (Meters)'!M24)</f>
        <v>0</v>
      </c>
      <c r="E23" t="e">
        <f>SUM(#REF!)</f>
        <v>#REF!</v>
      </c>
      <c r="F23">
        <f>SUM('Monthly Potable (Meters)'!BA24:BE24)+SUM('Monthly Potable (Meters)'!BG24:BH24)+SUM('Monthly Potable (Meters)'!BJ24:BK24)+SUM('Monthly Potable (Meters)'!BM24:BN24)+SUM('Monthly Potable (Meters)'!BP24:BQ24)+SUM('Monthly Potable (Meters)'!BS24:BU24)+SUM('Monthly Potable (Meters)'!BW24:BX24)+SUM('Monthly Potable (Meters)'!BZ24:CB24)+SUM('Monthly Potable (Meters)'!CD24:CF24)</f>
        <v>0</v>
      </c>
      <c r="G23">
        <f>SUM('Monthly Potable (Meters)'!B24)+SUM('Monthly Potable (Meters)'!S24)</f>
        <v>0</v>
      </c>
      <c r="H23">
        <f>SUM('Monthly Potable (Meters)'!G24:H24)+SUM('Monthly Potable (Meters)'!J24:K24)+SUM('Monthly Potable (Meters)'!Y24:Z24)</f>
        <v>0</v>
      </c>
      <c r="I23">
        <f>SUM('Monthly Potable (Meters)'!AE24:AG24)+SUM('Monthly Potable (Meters)'!AI24)+SUM('Monthly Potable (Meters)'!AK24:AZ24)</f>
        <v>0</v>
      </c>
      <c r="J23">
        <f>SUM('Monthly Potable (Meters)'!AH24)+SUM('Monthly Potable (Meters)'!AJ24)</f>
        <v>0</v>
      </c>
      <c r="K23">
        <f>SUM('Monthly Potable (Meters)'!C24)+SUM('Monthly Potable (Meters)'!I24)+SUM('Monthly Potable (Meters)'!L24)+SUM('Monthly Potable (Meters)'!N24)+SUM('Monthly Potable (Meters)'!Q24)+SUM('Monthly Potable (Meters)'!U24)+SUM('Monthly Potable (Meters)'!X24)+SUM('Monthly Potable (Meters)'!AB24:AD24)+SUM('Monthly Potable (Meters)'!BF24)+SUM('Monthly Potable (Meters)'!BI24)+SUM('Monthly Potable (Meters)'!BL24)+SUM('Monthly Potable (Meters)'!BO24)+SUM('Monthly Potable (Meters)'!BR24)+SUM('Monthly Potable (Meters)'!BV24)+SUM('Monthly Potable (Meters)'!BY24)+SUM('Monthly Potable (Meters)'!CC24)+SUM('Monthly Potable (Meters)'!CE24)+SUM('Monthly Potable (Meters)'!CH24:CM24)+SUM('Monthly Potable (Meters)'!CO24:DI24)</f>
        <v>0</v>
      </c>
      <c r="L23">
        <f>SUM('Monthly Potable (Meters)'!E24)</f>
        <v>0</v>
      </c>
      <c r="M23">
        <f>SUM('Monthly Potable (Meters)'!AA24)</f>
        <v>0</v>
      </c>
    </row>
    <row r="24" spans="1:13" ht="16" x14ac:dyDescent="0.2">
      <c r="A24" s="156">
        <v>44044</v>
      </c>
      <c r="B24">
        <f>SUM('Monthly Potable (Meters)'!D25)</f>
        <v>0</v>
      </c>
      <c r="C24">
        <f>SUM('Monthly Potable (Meters)'!P25)+SUM('Monthly Potable (Meters)'!R25)+SUM('Monthly Potable (Meters)'!T25)+SUM('Monthly Potable (Meters)'!V25)+SUM('Monthly Potable (Meters)'!W25)</f>
        <v>0</v>
      </c>
      <c r="D24">
        <f>SUM('Monthly Potable (Meters)'!M25)</f>
        <v>0</v>
      </c>
      <c r="E24" t="e">
        <f>SUM(#REF!)</f>
        <v>#REF!</v>
      </c>
      <c r="F24">
        <f>SUM('Monthly Potable (Meters)'!BA25:BE25)+SUM('Monthly Potable (Meters)'!BG25:BH25)+SUM('Monthly Potable (Meters)'!BJ25:BK25)+SUM('Monthly Potable (Meters)'!BM25:BN25)+SUM('Monthly Potable (Meters)'!BP25:BQ25)+SUM('Monthly Potable (Meters)'!BS25:BU25)+SUM('Monthly Potable (Meters)'!BW25:BX25)+SUM('Monthly Potable (Meters)'!BZ25:CB25)+SUM('Monthly Potable (Meters)'!CD25:CF25)</f>
        <v>0</v>
      </c>
      <c r="G24">
        <f>SUM('Monthly Potable (Meters)'!B25)+SUM('Monthly Potable (Meters)'!S25)</f>
        <v>0</v>
      </c>
      <c r="H24">
        <f>SUM('Monthly Potable (Meters)'!G25:H25)+SUM('Monthly Potable (Meters)'!J25:K25)+SUM('Monthly Potable (Meters)'!Y25:Z25)</f>
        <v>0</v>
      </c>
      <c r="I24">
        <f>SUM('Monthly Potable (Meters)'!AE25:AG25)+SUM('Monthly Potable (Meters)'!AI25)+SUM('Monthly Potable (Meters)'!AK25:AZ25)</f>
        <v>0</v>
      </c>
      <c r="J24">
        <f>SUM('Monthly Potable (Meters)'!AH25)+SUM('Monthly Potable (Meters)'!AJ25)</f>
        <v>0</v>
      </c>
      <c r="K24">
        <f>SUM('Monthly Potable (Meters)'!C25)+SUM('Monthly Potable (Meters)'!I25)+SUM('Monthly Potable (Meters)'!L25)+SUM('Monthly Potable (Meters)'!N25)+SUM('Monthly Potable (Meters)'!Q25)+SUM('Monthly Potable (Meters)'!U25)+SUM('Monthly Potable (Meters)'!X25)+SUM('Monthly Potable (Meters)'!AB25:AD25)+SUM('Monthly Potable (Meters)'!BF25)+SUM('Monthly Potable (Meters)'!BI25)+SUM('Monthly Potable (Meters)'!BL25)+SUM('Monthly Potable (Meters)'!BO25)+SUM('Monthly Potable (Meters)'!BR25)+SUM('Monthly Potable (Meters)'!BV25)+SUM('Monthly Potable (Meters)'!BY25)+SUM('Monthly Potable (Meters)'!CC25)+SUM('Monthly Potable (Meters)'!CE25)+SUM('Monthly Potable (Meters)'!CH25:CM25)+SUM('Monthly Potable (Meters)'!CO25:DI25)</f>
        <v>0</v>
      </c>
      <c r="L24">
        <f>SUM('Monthly Potable (Meters)'!E25)</f>
        <v>0</v>
      </c>
      <c r="M24">
        <f>SUM('Monthly Potable (Meters)'!AA25)</f>
        <v>0</v>
      </c>
    </row>
    <row r="25" spans="1:13" ht="16" x14ac:dyDescent="0.2">
      <c r="A25" s="156">
        <v>44075</v>
      </c>
      <c r="B25">
        <f>SUM('Monthly Potable (Meters)'!D26)</f>
        <v>0</v>
      </c>
      <c r="C25">
        <f>SUM('Monthly Potable (Meters)'!P26)+SUM('Monthly Potable (Meters)'!R26)+SUM('Monthly Potable (Meters)'!T26)+SUM('Monthly Potable (Meters)'!V26)+SUM('Monthly Potable (Meters)'!W26)</f>
        <v>0</v>
      </c>
      <c r="D25">
        <f>SUM('Monthly Potable (Meters)'!M26)</f>
        <v>0</v>
      </c>
      <c r="E25" t="e">
        <f>SUM(#REF!)</f>
        <v>#REF!</v>
      </c>
      <c r="F25">
        <f>SUM('Monthly Potable (Meters)'!BA26:BE26)+SUM('Monthly Potable (Meters)'!BG26:BH26)+SUM('Monthly Potable (Meters)'!BJ26:BK26)+SUM('Monthly Potable (Meters)'!BM26:BN26)+SUM('Monthly Potable (Meters)'!BP26:BQ26)+SUM('Monthly Potable (Meters)'!BS26:BU26)+SUM('Monthly Potable (Meters)'!BW26:BX26)+SUM('Monthly Potable (Meters)'!BZ26:CB26)+SUM('Monthly Potable (Meters)'!CD26:CF26)</f>
        <v>0</v>
      </c>
      <c r="G25">
        <f>SUM('Monthly Potable (Meters)'!B26)+SUM('Monthly Potable (Meters)'!S26)</f>
        <v>0</v>
      </c>
      <c r="H25">
        <f>SUM('Monthly Potable (Meters)'!G26:H26)+SUM('Monthly Potable (Meters)'!J26:K26)+SUM('Monthly Potable (Meters)'!Y26:Z26)</f>
        <v>0</v>
      </c>
      <c r="I25">
        <f>SUM('Monthly Potable (Meters)'!AE26:AG26)+SUM('Monthly Potable (Meters)'!AI26)+SUM('Monthly Potable (Meters)'!AK26:AZ26)</f>
        <v>0</v>
      </c>
      <c r="J25">
        <f>SUM('Monthly Potable (Meters)'!AH26)+SUM('Monthly Potable (Meters)'!AJ26)</f>
        <v>0</v>
      </c>
      <c r="K25">
        <f>SUM('Monthly Potable (Meters)'!C26)+SUM('Monthly Potable (Meters)'!I26)+SUM('Monthly Potable (Meters)'!L26)+SUM('Monthly Potable (Meters)'!N26)+SUM('Monthly Potable (Meters)'!Q26)+SUM('Monthly Potable (Meters)'!U26)+SUM('Monthly Potable (Meters)'!X26)+SUM('Monthly Potable (Meters)'!AB26:AD26)+SUM('Monthly Potable (Meters)'!BF26)+SUM('Monthly Potable (Meters)'!BI26)+SUM('Monthly Potable (Meters)'!BL26)+SUM('Monthly Potable (Meters)'!BO26)+SUM('Monthly Potable (Meters)'!BR26)+SUM('Monthly Potable (Meters)'!BV26)+SUM('Monthly Potable (Meters)'!BY26)+SUM('Monthly Potable (Meters)'!CC26)+SUM('Monthly Potable (Meters)'!CE26)+SUM('Monthly Potable (Meters)'!CH26:CM26)+SUM('Monthly Potable (Meters)'!CO26:DI26)</f>
        <v>0</v>
      </c>
      <c r="L25">
        <f>SUM('Monthly Potable (Meters)'!E26)</f>
        <v>0</v>
      </c>
      <c r="M25">
        <f>SUM('Monthly Potable (Meters)'!AA26)</f>
        <v>0</v>
      </c>
    </row>
    <row r="26" spans="1:13" ht="16" x14ac:dyDescent="0.2">
      <c r="A26" s="156">
        <v>44105</v>
      </c>
      <c r="B26">
        <f>SUM('Monthly Potable (Meters)'!D27)</f>
        <v>0</v>
      </c>
      <c r="C26">
        <f>SUM('Monthly Potable (Meters)'!P27)+SUM('Monthly Potable (Meters)'!R27)+SUM('Monthly Potable (Meters)'!T27)+SUM('Monthly Potable (Meters)'!V27)+SUM('Monthly Potable (Meters)'!W27)</f>
        <v>0</v>
      </c>
      <c r="D26">
        <f>SUM('Monthly Potable (Meters)'!M27)</f>
        <v>0</v>
      </c>
      <c r="E26" t="e">
        <f>SUM(#REF!)</f>
        <v>#REF!</v>
      </c>
      <c r="F26">
        <f>SUM('Monthly Potable (Meters)'!BA27:BE27)+SUM('Monthly Potable (Meters)'!BG27:BH27)+SUM('Monthly Potable (Meters)'!BJ27:BK27)+SUM('Monthly Potable (Meters)'!BM27:BN27)+SUM('Monthly Potable (Meters)'!BP27:BQ27)+SUM('Monthly Potable (Meters)'!BS27:BU27)+SUM('Monthly Potable (Meters)'!BW27:BX27)+SUM('Monthly Potable (Meters)'!BZ27:CB27)+SUM('Monthly Potable (Meters)'!CD27:CF27)</f>
        <v>0</v>
      </c>
      <c r="G26">
        <f>SUM('Monthly Potable (Meters)'!B27)+SUM('Monthly Potable (Meters)'!S27)</f>
        <v>0</v>
      </c>
      <c r="H26">
        <f>SUM('Monthly Potable (Meters)'!G27:H27)+SUM('Monthly Potable (Meters)'!J27:K27)+SUM('Monthly Potable (Meters)'!Y27:Z27)</f>
        <v>0</v>
      </c>
      <c r="I26">
        <f>SUM('Monthly Potable (Meters)'!AE27:AG27)+SUM('Monthly Potable (Meters)'!AI27)+SUM('Monthly Potable (Meters)'!AK27:AZ27)</f>
        <v>0</v>
      </c>
      <c r="J26">
        <f>SUM('Monthly Potable (Meters)'!AH27)+SUM('Monthly Potable (Meters)'!AJ27)</f>
        <v>0</v>
      </c>
      <c r="K26">
        <f>SUM('Monthly Potable (Meters)'!C27)+SUM('Monthly Potable (Meters)'!I27)+SUM('Monthly Potable (Meters)'!L27)+SUM('Monthly Potable (Meters)'!N27)+SUM('Monthly Potable (Meters)'!Q27)+SUM('Monthly Potable (Meters)'!U27)+SUM('Monthly Potable (Meters)'!X27)+SUM('Monthly Potable (Meters)'!AB27:AD27)+SUM('Monthly Potable (Meters)'!BF27)+SUM('Monthly Potable (Meters)'!BI27)+SUM('Monthly Potable (Meters)'!BL27)+SUM('Monthly Potable (Meters)'!BO27)+SUM('Monthly Potable (Meters)'!BR27)+SUM('Monthly Potable (Meters)'!BV27)+SUM('Monthly Potable (Meters)'!BY27)+SUM('Monthly Potable (Meters)'!CC27)+SUM('Monthly Potable (Meters)'!CE27)+SUM('Monthly Potable (Meters)'!CH27:CM27)+SUM('Monthly Potable (Meters)'!CO27:DI27)</f>
        <v>0</v>
      </c>
      <c r="L26">
        <f>SUM('Monthly Potable (Meters)'!E27)</f>
        <v>0</v>
      </c>
      <c r="M26">
        <f>SUM('Monthly Potable (Meters)'!AA27)</f>
        <v>0</v>
      </c>
    </row>
    <row r="27" spans="1:13" ht="16" x14ac:dyDescent="0.2">
      <c r="A27" s="156">
        <v>44136</v>
      </c>
      <c r="B27">
        <f>SUM('Monthly Potable (Meters)'!D28)</f>
        <v>0</v>
      </c>
      <c r="C27">
        <f>SUM('Monthly Potable (Meters)'!P28)+SUM('Monthly Potable (Meters)'!R28)+SUM('Monthly Potable (Meters)'!T28)+SUM('Monthly Potable (Meters)'!V28)+SUM('Monthly Potable (Meters)'!W28)</f>
        <v>0</v>
      </c>
      <c r="D27">
        <f>SUM('Monthly Potable (Meters)'!M28)</f>
        <v>0</v>
      </c>
      <c r="E27" t="e">
        <f>SUM(#REF!)</f>
        <v>#REF!</v>
      </c>
      <c r="F27">
        <f>SUM('Monthly Potable (Meters)'!BA28:BE28)+SUM('Monthly Potable (Meters)'!BG28:BH28)+SUM('Monthly Potable (Meters)'!BJ28:BK28)+SUM('Monthly Potable (Meters)'!BM28:BN28)+SUM('Monthly Potable (Meters)'!BP28:BQ28)+SUM('Monthly Potable (Meters)'!BS28:BU28)+SUM('Monthly Potable (Meters)'!BW28:BX28)+SUM('Monthly Potable (Meters)'!BZ28:CB28)+SUM('Monthly Potable (Meters)'!CD28:CF28)</f>
        <v>0</v>
      </c>
      <c r="G27">
        <f>SUM('Monthly Potable (Meters)'!B28)+SUM('Monthly Potable (Meters)'!S28)</f>
        <v>0</v>
      </c>
      <c r="H27">
        <f>SUM('Monthly Potable (Meters)'!G28:H28)+SUM('Monthly Potable (Meters)'!J28:K28)+SUM('Monthly Potable (Meters)'!Y28:Z28)</f>
        <v>0</v>
      </c>
      <c r="I27">
        <f>SUM('Monthly Potable (Meters)'!AE28:AG28)+SUM('Monthly Potable (Meters)'!AI28)+SUM('Monthly Potable (Meters)'!AK28:AZ28)</f>
        <v>0</v>
      </c>
      <c r="J27">
        <f>SUM('Monthly Potable (Meters)'!AH28)+SUM('Monthly Potable (Meters)'!AJ28)</f>
        <v>0</v>
      </c>
      <c r="K27">
        <f>SUM('Monthly Potable (Meters)'!C28)+SUM('Monthly Potable (Meters)'!I28)+SUM('Monthly Potable (Meters)'!L28)+SUM('Monthly Potable (Meters)'!N28)+SUM('Monthly Potable (Meters)'!Q28)+SUM('Monthly Potable (Meters)'!U28)+SUM('Monthly Potable (Meters)'!X28)+SUM('Monthly Potable (Meters)'!AB28:AD28)+SUM('Monthly Potable (Meters)'!BF28)+SUM('Monthly Potable (Meters)'!BI28)+SUM('Monthly Potable (Meters)'!BL28)+SUM('Monthly Potable (Meters)'!BO28)+SUM('Monthly Potable (Meters)'!BR28)+SUM('Monthly Potable (Meters)'!BV28)+SUM('Monthly Potable (Meters)'!BY28)+SUM('Monthly Potable (Meters)'!CC28)+SUM('Monthly Potable (Meters)'!CE28)+SUM('Monthly Potable (Meters)'!CH28:CM28)+SUM('Monthly Potable (Meters)'!CO28:DI28)</f>
        <v>0</v>
      </c>
      <c r="L27">
        <f>SUM('Monthly Potable (Meters)'!E28)</f>
        <v>0</v>
      </c>
      <c r="M27">
        <f>SUM('Monthly Potable (Meters)'!AA28)</f>
        <v>0</v>
      </c>
    </row>
    <row r="28" spans="1:13" ht="16" x14ac:dyDescent="0.2">
      <c r="A28" s="156">
        <v>44166</v>
      </c>
      <c r="B28">
        <f>SUM('Monthly Potable (Meters)'!D29)</f>
        <v>0</v>
      </c>
      <c r="C28">
        <f>SUM('Monthly Potable (Meters)'!P29)+SUM('Monthly Potable (Meters)'!R29)+SUM('Monthly Potable (Meters)'!T29)+SUM('Monthly Potable (Meters)'!V29)+SUM('Monthly Potable (Meters)'!W29)</f>
        <v>0</v>
      </c>
      <c r="D28">
        <f>SUM('Monthly Potable (Meters)'!M29)</f>
        <v>0</v>
      </c>
      <c r="E28" t="e">
        <f>SUM(#REF!)</f>
        <v>#REF!</v>
      </c>
      <c r="F28">
        <f>SUM('Monthly Potable (Meters)'!BA29:BE29)+SUM('Monthly Potable (Meters)'!BG29:BH29)+SUM('Monthly Potable (Meters)'!BJ29:BK29)+SUM('Monthly Potable (Meters)'!BM29:BN29)+SUM('Monthly Potable (Meters)'!BP29:BQ29)+SUM('Monthly Potable (Meters)'!BS29:BU29)+SUM('Monthly Potable (Meters)'!BW29:BX29)+SUM('Monthly Potable (Meters)'!BZ29:CB29)+SUM('Monthly Potable (Meters)'!CD29:CF29)</f>
        <v>0</v>
      </c>
      <c r="G28">
        <f>SUM('Monthly Potable (Meters)'!B29)+SUM('Monthly Potable (Meters)'!S29)</f>
        <v>0</v>
      </c>
      <c r="H28">
        <f>SUM('Monthly Potable (Meters)'!G29:H29)+SUM('Monthly Potable (Meters)'!J29:K29)+SUM('Monthly Potable (Meters)'!Y29:Z29)</f>
        <v>0</v>
      </c>
      <c r="I28">
        <f>SUM('Monthly Potable (Meters)'!AE29:AG29)+SUM('Monthly Potable (Meters)'!AI29)+SUM('Monthly Potable (Meters)'!AK29:AZ29)</f>
        <v>0</v>
      </c>
      <c r="J28">
        <f>SUM('Monthly Potable (Meters)'!AH29)+SUM('Monthly Potable (Meters)'!AJ29)</f>
        <v>0</v>
      </c>
      <c r="K28">
        <f>SUM('Monthly Potable (Meters)'!C29)+SUM('Monthly Potable (Meters)'!I29)+SUM('Monthly Potable (Meters)'!L29)+SUM('Monthly Potable (Meters)'!N29)+SUM('Monthly Potable (Meters)'!Q29)+SUM('Monthly Potable (Meters)'!U29)+SUM('Monthly Potable (Meters)'!X29)+SUM('Monthly Potable (Meters)'!AB29:AD29)+SUM('Monthly Potable (Meters)'!BF29)+SUM('Monthly Potable (Meters)'!BI29)+SUM('Monthly Potable (Meters)'!BL29)+SUM('Monthly Potable (Meters)'!BO29)+SUM('Monthly Potable (Meters)'!BR29)+SUM('Monthly Potable (Meters)'!BV29)+SUM('Monthly Potable (Meters)'!BY29)+SUM('Monthly Potable (Meters)'!CC29)+SUM('Monthly Potable (Meters)'!CE29)+SUM('Monthly Potable (Meters)'!CH29:CM29)+SUM('Monthly Potable (Meters)'!CO29:DI29)</f>
        <v>0</v>
      </c>
      <c r="L28">
        <f>SUM('Monthly Potable (Meters)'!E29)</f>
        <v>0</v>
      </c>
      <c r="M28">
        <f>SUM('Monthly Potable (Meters)'!AA29)</f>
        <v>0</v>
      </c>
    </row>
    <row r="29" spans="1:13" ht="16" x14ac:dyDescent="0.2">
      <c r="A29" s="156">
        <v>44197</v>
      </c>
      <c r="B29">
        <f>SUM('Monthly Potable (Meters)'!D30)</f>
        <v>0</v>
      </c>
      <c r="C29">
        <f>SUM('Monthly Potable (Meters)'!P30)+SUM('Monthly Potable (Meters)'!R30)+SUM('Monthly Potable (Meters)'!T30)+SUM('Monthly Potable (Meters)'!V30)+SUM('Monthly Potable (Meters)'!W30)</f>
        <v>0</v>
      </c>
      <c r="D29">
        <f>SUM('Monthly Potable (Meters)'!M30)</f>
        <v>0</v>
      </c>
      <c r="E29" t="e">
        <f>SUM(#REF!)</f>
        <v>#REF!</v>
      </c>
      <c r="F29">
        <f>SUM('Monthly Potable (Meters)'!BA30:BE30)+SUM('Monthly Potable (Meters)'!BG30:BH30)+SUM('Monthly Potable (Meters)'!BJ30:BK30)+SUM('Monthly Potable (Meters)'!BM30:BN30)+SUM('Monthly Potable (Meters)'!BP30:BQ30)+SUM('Monthly Potable (Meters)'!BS30:BU30)+SUM('Monthly Potable (Meters)'!BW30:BX30)+SUM('Monthly Potable (Meters)'!BZ30:CB30)+SUM('Monthly Potable (Meters)'!CD30:CF30)</f>
        <v>0</v>
      </c>
      <c r="G29">
        <f>SUM('Monthly Potable (Meters)'!B30)+SUM('Monthly Potable (Meters)'!S30)</f>
        <v>0</v>
      </c>
      <c r="H29">
        <f>SUM('Monthly Potable (Meters)'!G30:H30)+SUM('Monthly Potable (Meters)'!J30:K30)+SUM('Monthly Potable (Meters)'!Y30:Z30)</f>
        <v>0</v>
      </c>
      <c r="I29">
        <f>SUM('Monthly Potable (Meters)'!AE30:AG30)+SUM('Monthly Potable (Meters)'!AI30)+SUM('Monthly Potable (Meters)'!AK30:AZ30)</f>
        <v>0</v>
      </c>
      <c r="J29">
        <f>SUM('Monthly Potable (Meters)'!AH30)+SUM('Monthly Potable (Meters)'!AJ30)</f>
        <v>0</v>
      </c>
      <c r="K29">
        <f>SUM('Monthly Potable (Meters)'!C30)+SUM('Monthly Potable (Meters)'!I30)+SUM('Monthly Potable (Meters)'!L30)+SUM('Monthly Potable (Meters)'!N30)+SUM('Monthly Potable (Meters)'!Q30)+SUM('Monthly Potable (Meters)'!U30)+SUM('Monthly Potable (Meters)'!X30)+SUM('Monthly Potable (Meters)'!AB30:AD30)+SUM('Monthly Potable (Meters)'!BF30)+SUM('Monthly Potable (Meters)'!BI30)+SUM('Monthly Potable (Meters)'!BL30)+SUM('Monthly Potable (Meters)'!BO30)+SUM('Monthly Potable (Meters)'!BR30)+SUM('Monthly Potable (Meters)'!BV30)+SUM('Monthly Potable (Meters)'!BY30)+SUM('Monthly Potable (Meters)'!CC30)+SUM('Monthly Potable (Meters)'!CE30)+SUM('Monthly Potable (Meters)'!CH30:CM30)+SUM('Monthly Potable (Meters)'!CO30:DI30)</f>
        <v>0</v>
      </c>
      <c r="L29">
        <f>SUM('Monthly Potable (Meters)'!E30)</f>
        <v>0</v>
      </c>
      <c r="M29">
        <f>SUM('Monthly Potable (Meters)'!AA30)</f>
        <v>0</v>
      </c>
    </row>
    <row r="30" spans="1:13" ht="16" x14ac:dyDescent="0.2">
      <c r="A30" s="156">
        <v>44228</v>
      </c>
      <c r="B30">
        <f>SUM('Monthly Potable (Meters)'!D31)</f>
        <v>0</v>
      </c>
      <c r="C30">
        <f>SUM('Monthly Potable (Meters)'!P31)+SUM('Monthly Potable (Meters)'!R31)+SUM('Monthly Potable (Meters)'!T31)+SUM('Monthly Potable (Meters)'!V31)+SUM('Monthly Potable (Meters)'!W31)</f>
        <v>0</v>
      </c>
      <c r="D30">
        <f>SUM('Monthly Potable (Meters)'!M31)</f>
        <v>0</v>
      </c>
      <c r="E30" t="e">
        <f>SUM(#REF!)</f>
        <v>#REF!</v>
      </c>
      <c r="F30">
        <f>SUM('Monthly Potable (Meters)'!BA31:BE31)+SUM('Monthly Potable (Meters)'!BG31:BH31)+SUM('Monthly Potable (Meters)'!BJ31:BK31)+SUM('Monthly Potable (Meters)'!BM31:BN31)+SUM('Monthly Potable (Meters)'!BP31:BQ31)+SUM('Monthly Potable (Meters)'!BS31:BU31)+SUM('Monthly Potable (Meters)'!BW31:BX31)+SUM('Monthly Potable (Meters)'!BZ31:CB31)+SUM('Monthly Potable (Meters)'!CD31:CF31)</f>
        <v>0</v>
      </c>
      <c r="G30">
        <f>SUM('Monthly Potable (Meters)'!B31)+SUM('Monthly Potable (Meters)'!S31)</f>
        <v>0</v>
      </c>
      <c r="H30">
        <f>SUM('Monthly Potable (Meters)'!G31:H31)+SUM('Monthly Potable (Meters)'!J31:K31)+SUM('Monthly Potable (Meters)'!Y31:Z31)</f>
        <v>0</v>
      </c>
      <c r="I30">
        <f>SUM('Monthly Potable (Meters)'!AE31:AG31)+SUM('Monthly Potable (Meters)'!AI31)+SUM('Monthly Potable (Meters)'!AK31:AZ31)</f>
        <v>0</v>
      </c>
      <c r="J30">
        <f>SUM('Monthly Potable (Meters)'!AH31)+SUM('Monthly Potable (Meters)'!AJ31)</f>
        <v>0</v>
      </c>
      <c r="K30">
        <f>SUM('Monthly Potable (Meters)'!C31)+SUM('Monthly Potable (Meters)'!I31)+SUM('Monthly Potable (Meters)'!L31)+SUM('Monthly Potable (Meters)'!N31)+SUM('Monthly Potable (Meters)'!Q31)+SUM('Monthly Potable (Meters)'!U31)+SUM('Monthly Potable (Meters)'!X31)+SUM('Monthly Potable (Meters)'!AB31:AD31)+SUM('Monthly Potable (Meters)'!BF31)+SUM('Monthly Potable (Meters)'!BI31)+SUM('Monthly Potable (Meters)'!BL31)+SUM('Monthly Potable (Meters)'!BO31)+SUM('Monthly Potable (Meters)'!BR31)+SUM('Monthly Potable (Meters)'!BV31)+SUM('Monthly Potable (Meters)'!BY31)+SUM('Monthly Potable (Meters)'!CC31)+SUM('Monthly Potable (Meters)'!CE31)+SUM('Monthly Potable (Meters)'!CH31:CM31)+SUM('Monthly Potable (Meters)'!CO31:DI31)</f>
        <v>0</v>
      </c>
      <c r="L30">
        <f>SUM('Monthly Potable (Meters)'!E31)</f>
        <v>0</v>
      </c>
      <c r="M30">
        <f>SUM('Monthly Potable (Meters)'!AA31)</f>
        <v>0</v>
      </c>
    </row>
    <row r="31" spans="1:13" ht="16" x14ac:dyDescent="0.2">
      <c r="A31" s="156">
        <v>44256</v>
      </c>
      <c r="B31">
        <f>SUM('Monthly Potable (Meters)'!D32)</f>
        <v>0</v>
      </c>
      <c r="C31">
        <f>SUM('Monthly Potable (Meters)'!P32)+SUM('Monthly Potable (Meters)'!R32)+SUM('Monthly Potable (Meters)'!T32)+SUM('Monthly Potable (Meters)'!V32)+SUM('Monthly Potable (Meters)'!W32)</f>
        <v>0</v>
      </c>
      <c r="D31">
        <f>SUM('Monthly Potable (Meters)'!M32)</f>
        <v>0</v>
      </c>
      <c r="E31" t="e">
        <f>SUM(#REF!)</f>
        <v>#REF!</v>
      </c>
      <c r="F31">
        <f>SUM('Monthly Potable (Meters)'!BA32:BE32)+SUM('Monthly Potable (Meters)'!BG32:BH32)+SUM('Monthly Potable (Meters)'!BJ32:BK32)+SUM('Monthly Potable (Meters)'!BM32:BN32)+SUM('Monthly Potable (Meters)'!BP32:BQ32)+SUM('Monthly Potable (Meters)'!BS32:BU32)+SUM('Monthly Potable (Meters)'!BW32:BX32)+SUM('Monthly Potable (Meters)'!BZ32:CB32)+SUM('Monthly Potable (Meters)'!CD32:CF32)</f>
        <v>0</v>
      </c>
      <c r="G31">
        <f>SUM('Monthly Potable (Meters)'!B32)+SUM('Monthly Potable (Meters)'!S32)</f>
        <v>0</v>
      </c>
      <c r="H31">
        <f>SUM('Monthly Potable (Meters)'!G32:H32)+SUM('Monthly Potable (Meters)'!J32:K32)+SUM('Monthly Potable (Meters)'!Y32:Z32)</f>
        <v>0</v>
      </c>
      <c r="I31">
        <f>SUM('Monthly Potable (Meters)'!AE32:AG32)+SUM('Monthly Potable (Meters)'!AI32)+SUM('Monthly Potable (Meters)'!AK32:AZ32)</f>
        <v>0</v>
      </c>
      <c r="J31">
        <f>SUM('Monthly Potable (Meters)'!AH32)+SUM('Monthly Potable (Meters)'!AJ32)</f>
        <v>0</v>
      </c>
      <c r="K31">
        <f>SUM('Monthly Potable (Meters)'!C32)+SUM('Monthly Potable (Meters)'!I32)+SUM('Monthly Potable (Meters)'!L32)+SUM('Monthly Potable (Meters)'!N32)+SUM('Monthly Potable (Meters)'!Q32)+SUM('Monthly Potable (Meters)'!U32)+SUM('Monthly Potable (Meters)'!X32)+SUM('Monthly Potable (Meters)'!AB32:AD32)+SUM('Monthly Potable (Meters)'!BF32)+SUM('Monthly Potable (Meters)'!BI32)+SUM('Monthly Potable (Meters)'!BL32)+SUM('Monthly Potable (Meters)'!BO32)+SUM('Monthly Potable (Meters)'!BR32)+SUM('Monthly Potable (Meters)'!BV32)+SUM('Monthly Potable (Meters)'!BY32)+SUM('Monthly Potable (Meters)'!CC32)+SUM('Monthly Potable (Meters)'!CE32)+SUM('Monthly Potable (Meters)'!CH32:CM32)+SUM('Monthly Potable (Meters)'!CO32:DI32)</f>
        <v>0</v>
      </c>
      <c r="L31">
        <f>SUM('Monthly Potable (Meters)'!E32)</f>
        <v>0</v>
      </c>
      <c r="M31">
        <f>SUM('Monthly Potable (Meters)'!AA32)</f>
        <v>0</v>
      </c>
    </row>
    <row r="32" spans="1:13" ht="16" x14ac:dyDescent="0.2">
      <c r="A32" s="156">
        <v>44287</v>
      </c>
      <c r="B32">
        <f>SUM('Monthly Potable (Meters)'!D33)</f>
        <v>0</v>
      </c>
      <c r="C32">
        <f>SUM('Monthly Potable (Meters)'!P33)+SUM('Monthly Potable (Meters)'!R33)+SUM('Monthly Potable (Meters)'!T33)+SUM('Monthly Potable (Meters)'!V33)+SUM('Monthly Potable (Meters)'!W33)</f>
        <v>0</v>
      </c>
      <c r="D32">
        <f>SUM('Monthly Potable (Meters)'!M33)</f>
        <v>0</v>
      </c>
      <c r="E32" t="e">
        <f>SUM(#REF!)</f>
        <v>#REF!</v>
      </c>
      <c r="F32">
        <f>SUM('Monthly Potable (Meters)'!BA33:BE33)+SUM('Monthly Potable (Meters)'!BG33:BH33)+SUM('Monthly Potable (Meters)'!BJ33:BK33)+SUM('Monthly Potable (Meters)'!BM33:BN33)+SUM('Monthly Potable (Meters)'!BP33:BQ33)+SUM('Monthly Potable (Meters)'!BS33:BU33)+SUM('Monthly Potable (Meters)'!BW33:BX33)+SUM('Monthly Potable (Meters)'!BZ33:CB33)+SUM('Monthly Potable (Meters)'!CD33:CF33)</f>
        <v>0</v>
      </c>
      <c r="G32">
        <f>SUM('Monthly Potable (Meters)'!B33)+SUM('Monthly Potable (Meters)'!S33)</f>
        <v>0</v>
      </c>
      <c r="H32">
        <f>SUM('Monthly Potable (Meters)'!G33:H33)+SUM('Monthly Potable (Meters)'!J33:K33)+SUM('Monthly Potable (Meters)'!Y33:Z33)</f>
        <v>0</v>
      </c>
      <c r="I32">
        <f>SUM('Monthly Potable (Meters)'!AE33:AG33)+SUM('Monthly Potable (Meters)'!AI33)+SUM('Monthly Potable (Meters)'!AK33:AZ33)</f>
        <v>0</v>
      </c>
      <c r="J32">
        <f>SUM('Monthly Potable (Meters)'!AH33)+SUM('Monthly Potable (Meters)'!AJ33)</f>
        <v>0</v>
      </c>
      <c r="K32">
        <f>SUM('Monthly Potable (Meters)'!C33)+SUM('Monthly Potable (Meters)'!I33)+SUM('Monthly Potable (Meters)'!L33)+SUM('Monthly Potable (Meters)'!N33)+SUM('Monthly Potable (Meters)'!Q33)+SUM('Monthly Potable (Meters)'!U33)+SUM('Monthly Potable (Meters)'!X33)+SUM('Monthly Potable (Meters)'!AB33:AD33)+SUM('Monthly Potable (Meters)'!BF33)+SUM('Monthly Potable (Meters)'!BI33)+SUM('Monthly Potable (Meters)'!BL33)+SUM('Monthly Potable (Meters)'!BO33)+SUM('Monthly Potable (Meters)'!BR33)+SUM('Monthly Potable (Meters)'!BV33)+SUM('Monthly Potable (Meters)'!BY33)+SUM('Monthly Potable (Meters)'!CC33)+SUM('Monthly Potable (Meters)'!CE33)+SUM('Monthly Potable (Meters)'!CH33:CM33)+SUM('Monthly Potable (Meters)'!CO33:DI33)</f>
        <v>0</v>
      </c>
      <c r="L32">
        <f>SUM('Monthly Potable (Meters)'!E33)</f>
        <v>0</v>
      </c>
      <c r="M32">
        <f>SUM('Monthly Potable (Meters)'!AA33)</f>
        <v>0</v>
      </c>
    </row>
    <row r="33" spans="1:13" ht="16" x14ac:dyDescent="0.2">
      <c r="A33" s="156">
        <v>44317</v>
      </c>
      <c r="B33">
        <f>SUM('Monthly Potable (Meters)'!D34)</f>
        <v>0</v>
      </c>
      <c r="C33">
        <f>SUM('Monthly Potable (Meters)'!P34)+SUM('Monthly Potable (Meters)'!R34)+SUM('Monthly Potable (Meters)'!T34)+SUM('Monthly Potable (Meters)'!V34)+SUM('Monthly Potable (Meters)'!W34)</f>
        <v>0</v>
      </c>
      <c r="D33">
        <f>SUM('Monthly Potable (Meters)'!M34)</f>
        <v>0</v>
      </c>
      <c r="E33" t="e">
        <f>SUM(#REF!)</f>
        <v>#REF!</v>
      </c>
      <c r="F33">
        <f>SUM('Monthly Potable (Meters)'!BA34:BE34)+SUM('Monthly Potable (Meters)'!BG34:BH34)+SUM('Monthly Potable (Meters)'!BJ34:BK34)+SUM('Monthly Potable (Meters)'!BM34:BN34)+SUM('Monthly Potable (Meters)'!BP34:BQ34)+SUM('Monthly Potable (Meters)'!BS34:BU34)+SUM('Monthly Potable (Meters)'!BW34:BX34)+SUM('Monthly Potable (Meters)'!BZ34:CB34)+SUM('Monthly Potable (Meters)'!CD34:CF34)</f>
        <v>0</v>
      </c>
      <c r="G33">
        <f>SUM('Monthly Potable (Meters)'!B34)+SUM('Monthly Potable (Meters)'!S34)</f>
        <v>0</v>
      </c>
      <c r="H33">
        <f>SUM('Monthly Potable (Meters)'!G34:H34)+SUM('Monthly Potable (Meters)'!J34:K34)+SUM('Monthly Potable (Meters)'!Y34:Z34)</f>
        <v>0</v>
      </c>
      <c r="I33">
        <f>SUM('Monthly Potable (Meters)'!AE34:AG34)+SUM('Monthly Potable (Meters)'!AI34)+SUM('Monthly Potable (Meters)'!AK34:AZ34)</f>
        <v>0</v>
      </c>
      <c r="J33">
        <f>SUM('Monthly Potable (Meters)'!AH34)+SUM('Monthly Potable (Meters)'!AJ34)</f>
        <v>0</v>
      </c>
      <c r="K33">
        <f>SUM('Monthly Potable (Meters)'!C34)+SUM('Monthly Potable (Meters)'!I34)+SUM('Monthly Potable (Meters)'!L34)+SUM('Monthly Potable (Meters)'!N34)+SUM('Monthly Potable (Meters)'!Q34)+SUM('Monthly Potable (Meters)'!U34)+SUM('Monthly Potable (Meters)'!X34)+SUM('Monthly Potable (Meters)'!AB34:AD34)+SUM('Monthly Potable (Meters)'!BF34)+SUM('Monthly Potable (Meters)'!BI34)+SUM('Monthly Potable (Meters)'!BL34)+SUM('Monthly Potable (Meters)'!BO34)+SUM('Monthly Potable (Meters)'!BR34)+SUM('Monthly Potable (Meters)'!BV34)+SUM('Monthly Potable (Meters)'!BY34)+SUM('Monthly Potable (Meters)'!CC34)+SUM('Monthly Potable (Meters)'!CE34)+SUM('Monthly Potable (Meters)'!CH34:CM34)+SUM('Monthly Potable (Meters)'!CO34:DI34)</f>
        <v>0</v>
      </c>
      <c r="L33">
        <f>SUM('Monthly Potable (Meters)'!E34)</f>
        <v>0</v>
      </c>
      <c r="M33">
        <f>SUM('Monthly Potable (Meters)'!AA34)</f>
        <v>0</v>
      </c>
    </row>
    <row r="34" spans="1:13" ht="16" x14ac:dyDescent="0.2">
      <c r="A34" s="156">
        <v>44348</v>
      </c>
      <c r="B34">
        <f>SUM('Monthly Potable (Meters)'!D35)</f>
        <v>0</v>
      </c>
      <c r="C34">
        <f>SUM('Monthly Potable (Meters)'!P35)+SUM('Monthly Potable (Meters)'!R35)+SUM('Monthly Potable (Meters)'!T35)+SUM('Monthly Potable (Meters)'!V35)+SUM('Monthly Potable (Meters)'!W35)</f>
        <v>0</v>
      </c>
      <c r="D34">
        <f>SUM('Monthly Potable (Meters)'!M35)</f>
        <v>0</v>
      </c>
      <c r="E34" t="e">
        <f>SUM(#REF!)</f>
        <v>#REF!</v>
      </c>
      <c r="F34">
        <f>SUM('Monthly Potable (Meters)'!BA35:BE35)+SUM('Monthly Potable (Meters)'!BG35:BH35)+SUM('Monthly Potable (Meters)'!BJ35:BK35)+SUM('Monthly Potable (Meters)'!BM35:BN35)+SUM('Monthly Potable (Meters)'!BP35:BQ35)+SUM('Monthly Potable (Meters)'!BS35:BU35)+SUM('Monthly Potable (Meters)'!BW35:BX35)+SUM('Monthly Potable (Meters)'!BZ35:CB35)+SUM('Monthly Potable (Meters)'!CD35:CF35)</f>
        <v>0</v>
      </c>
      <c r="G34">
        <f>SUM('Monthly Potable (Meters)'!B35)+SUM('Monthly Potable (Meters)'!S35)</f>
        <v>0</v>
      </c>
      <c r="H34">
        <f>SUM('Monthly Potable (Meters)'!G35:H35)+SUM('Monthly Potable (Meters)'!J35:K35)+SUM('Monthly Potable (Meters)'!Y35:Z35)</f>
        <v>0</v>
      </c>
      <c r="I34">
        <f>SUM('Monthly Potable (Meters)'!AE35:AG35)+SUM('Monthly Potable (Meters)'!AI35)+SUM('Monthly Potable (Meters)'!AK35:AZ35)</f>
        <v>0</v>
      </c>
      <c r="J34">
        <f>SUM('Monthly Potable (Meters)'!AH35)+SUM('Monthly Potable (Meters)'!AJ35)</f>
        <v>0</v>
      </c>
      <c r="K34">
        <f>SUM('Monthly Potable (Meters)'!C35)+SUM('Monthly Potable (Meters)'!I35)+SUM('Monthly Potable (Meters)'!L35)+SUM('Monthly Potable (Meters)'!N35)+SUM('Monthly Potable (Meters)'!Q35)+SUM('Monthly Potable (Meters)'!U35)+SUM('Monthly Potable (Meters)'!X35)+SUM('Monthly Potable (Meters)'!AB35:AD35)+SUM('Monthly Potable (Meters)'!BF35)+SUM('Monthly Potable (Meters)'!BI35)+SUM('Monthly Potable (Meters)'!BL35)+SUM('Monthly Potable (Meters)'!BO35)+SUM('Monthly Potable (Meters)'!BR35)+SUM('Monthly Potable (Meters)'!BV35)+SUM('Monthly Potable (Meters)'!BY35)+SUM('Monthly Potable (Meters)'!CC35)+SUM('Monthly Potable (Meters)'!CE35)+SUM('Monthly Potable (Meters)'!CH35:CM35)+SUM('Monthly Potable (Meters)'!CO35:DI35)</f>
        <v>0</v>
      </c>
      <c r="L34">
        <f>SUM('Monthly Potable (Meters)'!E35)</f>
        <v>0</v>
      </c>
      <c r="M34">
        <f>SUM('Monthly Potable (Meters)'!AA35)</f>
        <v>0</v>
      </c>
    </row>
    <row r="35" spans="1:13" ht="16" x14ac:dyDescent="0.2">
      <c r="A35" s="156">
        <v>44378</v>
      </c>
      <c r="B35">
        <f>SUM('Monthly Potable (Meters)'!D36)</f>
        <v>0</v>
      </c>
      <c r="C35">
        <f>SUM('Monthly Potable (Meters)'!P36)+SUM('Monthly Potable (Meters)'!R36)+SUM('Monthly Potable (Meters)'!T36)+SUM('Monthly Potable (Meters)'!V36)+SUM('Monthly Potable (Meters)'!W36)</f>
        <v>0</v>
      </c>
      <c r="D35">
        <f>SUM('Monthly Potable (Meters)'!M36)</f>
        <v>0</v>
      </c>
      <c r="E35" t="e">
        <f>SUM(#REF!)</f>
        <v>#REF!</v>
      </c>
      <c r="F35">
        <f>SUM('Monthly Potable (Meters)'!BA36:BE36)+SUM('Monthly Potable (Meters)'!BG36:BH36)+SUM('Monthly Potable (Meters)'!BJ36:BK36)+SUM('Monthly Potable (Meters)'!BM36:BN36)+SUM('Monthly Potable (Meters)'!BP36:BQ36)+SUM('Monthly Potable (Meters)'!BS36:BU36)+SUM('Monthly Potable (Meters)'!BW36:BX36)+SUM('Monthly Potable (Meters)'!BZ36:CB36)+SUM('Monthly Potable (Meters)'!CD36:CF36)</f>
        <v>0</v>
      </c>
      <c r="G35">
        <f>SUM('Monthly Potable (Meters)'!B36)+SUM('Monthly Potable (Meters)'!S36)</f>
        <v>0</v>
      </c>
      <c r="H35">
        <f>SUM('Monthly Potable (Meters)'!G36:H36)+SUM('Monthly Potable (Meters)'!J36:K36)+SUM('Monthly Potable (Meters)'!Y36:Z36)</f>
        <v>0</v>
      </c>
      <c r="I35">
        <f>SUM('Monthly Potable (Meters)'!AE36:AG36)+SUM('Monthly Potable (Meters)'!AI36)+SUM('Monthly Potable (Meters)'!AK36:AZ36)</f>
        <v>0</v>
      </c>
      <c r="J35">
        <f>SUM('Monthly Potable (Meters)'!AH36)+SUM('Monthly Potable (Meters)'!AJ36)</f>
        <v>0</v>
      </c>
      <c r="K35">
        <f>SUM('Monthly Potable (Meters)'!C36)+SUM('Monthly Potable (Meters)'!I36)+SUM('Monthly Potable (Meters)'!L36)+SUM('Monthly Potable (Meters)'!N36)+SUM('Monthly Potable (Meters)'!Q36)+SUM('Monthly Potable (Meters)'!U36)+SUM('Monthly Potable (Meters)'!X36)+SUM('Monthly Potable (Meters)'!AB36:AD36)+SUM('Monthly Potable (Meters)'!BF36)+SUM('Monthly Potable (Meters)'!BI36)+SUM('Monthly Potable (Meters)'!BL36)+SUM('Monthly Potable (Meters)'!BO36)+SUM('Monthly Potable (Meters)'!BR36)+SUM('Monthly Potable (Meters)'!BV36)+SUM('Monthly Potable (Meters)'!BY36)+SUM('Monthly Potable (Meters)'!CC36)+SUM('Monthly Potable (Meters)'!CE36)+SUM('Monthly Potable (Meters)'!CH36:CM36)+SUM('Monthly Potable (Meters)'!CO36:DI36)</f>
        <v>0</v>
      </c>
      <c r="L35">
        <f>SUM('Monthly Potable (Meters)'!E36)</f>
        <v>0</v>
      </c>
      <c r="M35">
        <f>SUM('Monthly Potable (Meters)'!AA36)</f>
        <v>0</v>
      </c>
    </row>
    <row r="36" spans="1:13" ht="16" x14ac:dyDescent="0.2">
      <c r="A36" s="156">
        <v>44409</v>
      </c>
      <c r="B36">
        <f>SUM('Monthly Potable (Meters)'!D37)</f>
        <v>0</v>
      </c>
      <c r="C36">
        <f>SUM('Monthly Potable (Meters)'!P37)+SUM('Monthly Potable (Meters)'!R37)+SUM('Monthly Potable (Meters)'!T37)+SUM('Monthly Potable (Meters)'!V37)+SUM('Monthly Potable (Meters)'!W37)</f>
        <v>0</v>
      </c>
      <c r="D36">
        <f>SUM('Monthly Potable (Meters)'!M37)</f>
        <v>0</v>
      </c>
      <c r="E36" t="e">
        <f>SUM(#REF!)</f>
        <v>#REF!</v>
      </c>
      <c r="F36">
        <f>SUM('Monthly Potable (Meters)'!BA37:BE37)+SUM('Monthly Potable (Meters)'!BG37:BH37)+SUM('Monthly Potable (Meters)'!BJ37:BK37)+SUM('Monthly Potable (Meters)'!BM37:BN37)+SUM('Monthly Potable (Meters)'!BP37:BQ37)+SUM('Monthly Potable (Meters)'!BS37:BU37)+SUM('Monthly Potable (Meters)'!BW37:BX37)+SUM('Monthly Potable (Meters)'!BZ37:CB37)+SUM('Monthly Potable (Meters)'!CD37:CF37)</f>
        <v>0</v>
      </c>
      <c r="G36">
        <f>SUM('Monthly Potable (Meters)'!B37)+SUM('Monthly Potable (Meters)'!S37)</f>
        <v>0</v>
      </c>
      <c r="H36">
        <f>SUM('Monthly Potable (Meters)'!G37:H37)+SUM('Monthly Potable (Meters)'!J37:K37)+SUM('Monthly Potable (Meters)'!Y37:Z37)</f>
        <v>0</v>
      </c>
      <c r="I36">
        <f>SUM('Monthly Potable (Meters)'!AE37:AG37)+SUM('Monthly Potable (Meters)'!AI37)+SUM('Monthly Potable (Meters)'!AK37:AZ37)</f>
        <v>0</v>
      </c>
      <c r="J36">
        <f>SUM('Monthly Potable (Meters)'!AH37)+SUM('Monthly Potable (Meters)'!AJ37)</f>
        <v>0</v>
      </c>
      <c r="K36">
        <f>SUM('Monthly Potable (Meters)'!C37)+SUM('Monthly Potable (Meters)'!I37)+SUM('Monthly Potable (Meters)'!L37)+SUM('Monthly Potable (Meters)'!N37)+SUM('Monthly Potable (Meters)'!Q37)+SUM('Monthly Potable (Meters)'!U37)+SUM('Monthly Potable (Meters)'!X37)+SUM('Monthly Potable (Meters)'!AB37:AD37)+SUM('Monthly Potable (Meters)'!BF37)+SUM('Monthly Potable (Meters)'!BI37)+SUM('Monthly Potable (Meters)'!BL37)+SUM('Monthly Potable (Meters)'!BO37)+SUM('Monthly Potable (Meters)'!BR37)+SUM('Monthly Potable (Meters)'!BV37)+SUM('Monthly Potable (Meters)'!BY37)+SUM('Monthly Potable (Meters)'!CC37)+SUM('Monthly Potable (Meters)'!CE37)+SUM('Monthly Potable (Meters)'!CH37:CM37)+SUM('Monthly Potable (Meters)'!CO37:DI37)</f>
        <v>0</v>
      </c>
      <c r="L36">
        <f>SUM('Monthly Potable (Meters)'!E37)</f>
        <v>0</v>
      </c>
      <c r="M36">
        <f>SUM('Monthly Potable (Meters)'!AA37)</f>
        <v>0</v>
      </c>
    </row>
    <row r="37" spans="1:13" ht="16" x14ac:dyDescent="0.2">
      <c r="A37" s="156">
        <v>44440</v>
      </c>
      <c r="B37">
        <f>SUM('Monthly Potable (Meters)'!D38)</f>
        <v>0</v>
      </c>
      <c r="C37">
        <f>SUM('Monthly Potable (Meters)'!P38)+SUM('Monthly Potable (Meters)'!R38)+SUM('Monthly Potable (Meters)'!T38)+SUM('Monthly Potable (Meters)'!V38)+SUM('Monthly Potable (Meters)'!W38)</f>
        <v>0</v>
      </c>
      <c r="D37">
        <f>SUM('Monthly Potable (Meters)'!M38)</f>
        <v>0</v>
      </c>
      <c r="E37" t="e">
        <f>SUM(#REF!)</f>
        <v>#REF!</v>
      </c>
      <c r="F37">
        <f>SUM('Monthly Potable (Meters)'!BA38:BE38)+SUM('Monthly Potable (Meters)'!BG38:BH38)+SUM('Monthly Potable (Meters)'!BJ38:BK38)+SUM('Monthly Potable (Meters)'!BM38:BN38)+SUM('Monthly Potable (Meters)'!BP38:BQ38)+SUM('Monthly Potable (Meters)'!BS38:BU38)+SUM('Monthly Potable (Meters)'!BW38:BX38)+SUM('Monthly Potable (Meters)'!BZ38:CB38)+SUM('Monthly Potable (Meters)'!CD38:CF38)</f>
        <v>0</v>
      </c>
      <c r="G37">
        <f>SUM('Monthly Potable (Meters)'!B38)+SUM('Monthly Potable (Meters)'!S38)</f>
        <v>0</v>
      </c>
      <c r="H37">
        <f>SUM('Monthly Potable (Meters)'!G38:H38)+SUM('Monthly Potable (Meters)'!J38:K38)+SUM('Monthly Potable (Meters)'!Y38:Z38)</f>
        <v>0</v>
      </c>
      <c r="I37">
        <f>SUM('Monthly Potable (Meters)'!AE38:AG38)+SUM('Monthly Potable (Meters)'!AI38)+SUM('Monthly Potable (Meters)'!AK38:AZ38)</f>
        <v>0</v>
      </c>
      <c r="J37">
        <f>SUM('Monthly Potable (Meters)'!AH38)+SUM('Monthly Potable (Meters)'!AJ38)</f>
        <v>0</v>
      </c>
      <c r="K37">
        <f>SUM('Monthly Potable (Meters)'!C38)+SUM('Monthly Potable (Meters)'!I38)+SUM('Monthly Potable (Meters)'!L38)+SUM('Monthly Potable (Meters)'!N38)+SUM('Monthly Potable (Meters)'!Q38)+SUM('Monthly Potable (Meters)'!U38)+SUM('Monthly Potable (Meters)'!X38)+SUM('Monthly Potable (Meters)'!AB38:AD38)+SUM('Monthly Potable (Meters)'!BF38)+SUM('Monthly Potable (Meters)'!BI38)+SUM('Monthly Potable (Meters)'!BL38)+SUM('Monthly Potable (Meters)'!BO38)+SUM('Monthly Potable (Meters)'!BR38)+SUM('Monthly Potable (Meters)'!BV38)+SUM('Monthly Potable (Meters)'!BY38)+SUM('Monthly Potable (Meters)'!CC38)+SUM('Monthly Potable (Meters)'!CE38)+SUM('Monthly Potable (Meters)'!CH38:CM38)+SUM('Monthly Potable (Meters)'!CO38:DI38)</f>
        <v>0</v>
      </c>
      <c r="L37">
        <f>SUM('Monthly Potable (Meters)'!E38)</f>
        <v>0</v>
      </c>
      <c r="M37">
        <f>SUM('Monthly Potable (Meters)'!AA38)</f>
        <v>0</v>
      </c>
    </row>
    <row r="38" spans="1:13" ht="16" x14ac:dyDescent="0.2">
      <c r="A38" s="156">
        <v>44470</v>
      </c>
      <c r="B38">
        <f>SUM('Monthly Potable (Meters)'!D39)</f>
        <v>0</v>
      </c>
      <c r="C38">
        <f>SUM('Monthly Potable (Meters)'!P39)+SUM('Monthly Potable (Meters)'!R39)+SUM('Monthly Potable (Meters)'!T39)+SUM('Monthly Potable (Meters)'!V39)+SUM('Monthly Potable (Meters)'!W39)</f>
        <v>0</v>
      </c>
      <c r="D38">
        <f>SUM('Monthly Potable (Meters)'!M39)</f>
        <v>0</v>
      </c>
      <c r="E38" t="e">
        <f>SUM(#REF!)</f>
        <v>#REF!</v>
      </c>
      <c r="F38">
        <f>SUM('Monthly Potable (Meters)'!BA39:BE39)+SUM('Monthly Potable (Meters)'!BG39:BH39)+SUM('Monthly Potable (Meters)'!BJ39:BK39)+SUM('Monthly Potable (Meters)'!BM39:BN39)+SUM('Monthly Potable (Meters)'!BP39:BQ39)+SUM('Monthly Potable (Meters)'!BS39:BU39)+SUM('Monthly Potable (Meters)'!BW39:BX39)+SUM('Monthly Potable (Meters)'!BZ39:CB39)+SUM('Monthly Potable (Meters)'!CD39:CF39)</f>
        <v>0</v>
      </c>
      <c r="G38">
        <f>SUM('Monthly Potable (Meters)'!B39)+SUM('Monthly Potable (Meters)'!S39)</f>
        <v>0</v>
      </c>
      <c r="H38">
        <f>SUM('Monthly Potable (Meters)'!G39:H39)+SUM('Monthly Potable (Meters)'!J39:K39)+SUM('Monthly Potable (Meters)'!Y39:Z39)</f>
        <v>0</v>
      </c>
      <c r="I38">
        <f>SUM('Monthly Potable (Meters)'!AE39:AG39)+SUM('Monthly Potable (Meters)'!AI39)+SUM('Monthly Potable (Meters)'!AK39:AZ39)</f>
        <v>0</v>
      </c>
      <c r="J38">
        <f>SUM('Monthly Potable (Meters)'!AH39)+SUM('Monthly Potable (Meters)'!AJ39)</f>
        <v>0</v>
      </c>
      <c r="K38">
        <f>SUM('Monthly Potable (Meters)'!C39)+SUM('Monthly Potable (Meters)'!I39)+SUM('Monthly Potable (Meters)'!L39)+SUM('Monthly Potable (Meters)'!N39)+SUM('Monthly Potable (Meters)'!Q39)+SUM('Monthly Potable (Meters)'!U39)+SUM('Monthly Potable (Meters)'!X39)+SUM('Monthly Potable (Meters)'!AB39:AD39)+SUM('Monthly Potable (Meters)'!BF39)+SUM('Monthly Potable (Meters)'!BI39)+SUM('Monthly Potable (Meters)'!BL39)+SUM('Monthly Potable (Meters)'!BO39)+SUM('Monthly Potable (Meters)'!BR39)+SUM('Monthly Potable (Meters)'!BV39)+SUM('Monthly Potable (Meters)'!BY39)+SUM('Monthly Potable (Meters)'!CC39)+SUM('Monthly Potable (Meters)'!CE39)+SUM('Monthly Potable (Meters)'!CH39:CM39)+SUM('Monthly Potable (Meters)'!CO39:DI39)</f>
        <v>0</v>
      </c>
      <c r="L38">
        <f>SUM('Monthly Potable (Meters)'!E39)</f>
        <v>0</v>
      </c>
      <c r="M38">
        <f>SUM('Monthly Potable (Meters)'!AA39)</f>
        <v>0</v>
      </c>
    </row>
    <row r="39" spans="1:13" ht="16" x14ac:dyDescent="0.2">
      <c r="A39" s="156">
        <v>44501</v>
      </c>
      <c r="B39">
        <f>SUM('Monthly Potable (Meters)'!D40)</f>
        <v>0</v>
      </c>
      <c r="C39">
        <f>SUM('Monthly Potable (Meters)'!P40)+SUM('Monthly Potable (Meters)'!R40)+SUM('Monthly Potable (Meters)'!T40)+SUM('Monthly Potable (Meters)'!V40)+SUM('Monthly Potable (Meters)'!W40)</f>
        <v>0</v>
      </c>
      <c r="D39">
        <f>SUM('Monthly Potable (Meters)'!M40)</f>
        <v>0</v>
      </c>
      <c r="E39" t="e">
        <f>SUM(#REF!)</f>
        <v>#REF!</v>
      </c>
      <c r="F39">
        <f>SUM('Monthly Potable (Meters)'!BA40:BE40)+SUM('Monthly Potable (Meters)'!BG40:BH40)+SUM('Monthly Potable (Meters)'!BJ40:BK40)+SUM('Monthly Potable (Meters)'!BM40:BN40)+SUM('Monthly Potable (Meters)'!BP40:BQ40)+SUM('Monthly Potable (Meters)'!BS40:BU40)+SUM('Monthly Potable (Meters)'!BW40:BX40)+SUM('Monthly Potable (Meters)'!BZ40:CB40)+SUM('Monthly Potable (Meters)'!CD40:CF40)</f>
        <v>0</v>
      </c>
      <c r="G39">
        <f>SUM('Monthly Potable (Meters)'!B40)+SUM('Monthly Potable (Meters)'!S40)</f>
        <v>0</v>
      </c>
      <c r="H39">
        <f>SUM('Monthly Potable (Meters)'!G40:H40)+SUM('Monthly Potable (Meters)'!J40:K40)+SUM('Monthly Potable (Meters)'!Y40:Z40)</f>
        <v>0</v>
      </c>
      <c r="I39">
        <f>SUM('Monthly Potable (Meters)'!AE40:AG40)+SUM('Monthly Potable (Meters)'!AI40)+SUM('Monthly Potable (Meters)'!AK40:AZ40)</f>
        <v>0</v>
      </c>
      <c r="J39">
        <f>SUM('Monthly Potable (Meters)'!AH40)+SUM('Monthly Potable (Meters)'!AJ40)</f>
        <v>0</v>
      </c>
      <c r="K39">
        <f>SUM('Monthly Potable (Meters)'!C40)+SUM('Monthly Potable (Meters)'!I40)+SUM('Monthly Potable (Meters)'!L40)+SUM('Monthly Potable (Meters)'!N40)+SUM('Monthly Potable (Meters)'!Q40)+SUM('Monthly Potable (Meters)'!U40)+SUM('Monthly Potable (Meters)'!X40)+SUM('Monthly Potable (Meters)'!AB40:AD40)+SUM('Monthly Potable (Meters)'!BF40)+SUM('Monthly Potable (Meters)'!BI40)+SUM('Monthly Potable (Meters)'!BL40)+SUM('Monthly Potable (Meters)'!BO40)+SUM('Monthly Potable (Meters)'!BR40)+SUM('Monthly Potable (Meters)'!BV40)+SUM('Monthly Potable (Meters)'!BY40)+SUM('Monthly Potable (Meters)'!CC40)+SUM('Monthly Potable (Meters)'!CE40)+SUM('Monthly Potable (Meters)'!CH40:CM40)+SUM('Monthly Potable (Meters)'!CO40:DI40)</f>
        <v>0</v>
      </c>
      <c r="L39">
        <f>SUM('Monthly Potable (Meters)'!E40)</f>
        <v>0</v>
      </c>
      <c r="M39">
        <f>SUM('Monthly Potable (Meters)'!AA40)</f>
        <v>0</v>
      </c>
    </row>
    <row r="40" spans="1:13" ht="16" x14ac:dyDescent="0.2">
      <c r="A40" s="156">
        <v>44531</v>
      </c>
      <c r="B40">
        <f>SUM('Monthly Potable (Meters)'!D41)</f>
        <v>0</v>
      </c>
      <c r="C40">
        <f>SUM('Monthly Potable (Meters)'!P41)+SUM('Monthly Potable (Meters)'!R41)+SUM('Monthly Potable (Meters)'!T41)+SUM('Monthly Potable (Meters)'!V41)+SUM('Monthly Potable (Meters)'!W41)</f>
        <v>0</v>
      </c>
      <c r="D40">
        <f>SUM('Monthly Potable (Meters)'!M41)</f>
        <v>0</v>
      </c>
      <c r="E40" t="e">
        <f>SUM(#REF!)</f>
        <v>#REF!</v>
      </c>
      <c r="F40">
        <f>SUM('Monthly Potable (Meters)'!BA41:BE41)+SUM('Monthly Potable (Meters)'!BG41:BH41)+SUM('Monthly Potable (Meters)'!BJ41:BK41)+SUM('Monthly Potable (Meters)'!BM41:BN41)+SUM('Monthly Potable (Meters)'!BP41:BQ41)+SUM('Monthly Potable (Meters)'!BS41:BU41)+SUM('Monthly Potable (Meters)'!BW41:BX41)+SUM('Monthly Potable (Meters)'!BZ41:CB41)+SUM('Monthly Potable (Meters)'!CD41:CF41)</f>
        <v>0</v>
      </c>
      <c r="G40">
        <f>SUM('Monthly Potable (Meters)'!B41)+SUM('Monthly Potable (Meters)'!S41)</f>
        <v>0</v>
      </c>
      <c r="H40">
        <f>SUM('Monthly Potable (Meters)'!G41:H41)+SUM('Monthly Potable (Meters)'!J41:K41)+SUM('Monthly Potable (Meters)'!Y41:Z41)</f>
        <v>0</v>
      </c>
      <c r="I40">
        <f>SUM('Monthly Potable (Meters)'!AE41:AG41)+SUM('Monthly Potable (Meters)'!AI41)+SUM('Monthly Potable (Meters)'!AK41:AZ41)</f>
        <v>0</v>
      </c>
      <c r="J40">
        <f>SUM('Monthly Potable (Meters)'!AH41)+SUM('Monthly Potable (Meters)'!AJ41)</f>
        <v>0</v>
      </c>
      <c r="K40">
        <f>SUM('Monthly Potable (Meters)'!C41)+SUM('Monthly Potable (Meters)'!I41)+SUM('Monthly Potable (Meters)'!L41)+SUM('Monthly Potable (Meters)'!N41)+SUM('Monthly Potable (Meters)'!Q41)+SUM('Monthly Potable (Meters)'!U41)+SUM('Monthly Potable (Meters)'!X41)+SUM('Monthly Potable (Meters)'!AB41:AD41)+SUM('Monthly Potable (Meters)'!BF41)+SUM('Monthly Potable (Meters)'!BI41)+SUM('Monthly Potable (Meters)'!BL41)+SUM('Monthly Potable (Meters)'!BO41)+SUM('Monthly Potable (Meters)'!BR41)+SUM('Monthly Potable (Meters)'!BV41)+SUM('Monthly Potable (Meters)'!BY41)+SUM('Monthly Potable (Meters)'!CC41)+SUM('Monthly Potable (Meters)'!CE41)+SUM('Monthly Potable (Meters)'!CH41:CM41)+SUM('Monthly Potable (Meters)'!CO41:DI41)</f>
        <v>0</v>
      </c>
      <c r="L40">
        <f>SUM('Monthly Potable (Meters)'!E41)</f>
        <v>0</v>
      </c>
      <c r="M40">
        <f>SUM('Monthly Potable (Meters)'!AA41)</f>
        <v>0</v>
      </c>
    </row>
    <row r="41" spans="1:13" ht="16" x14ac:dyDescent="0.2">
      <c r="A41" s="156">
        <v>44562</v>
      </c>
      <c r="B41">
        <f>SUM('Monthly Potable (Meters)'!D42)</f>
        <v>0</v>
      </c>
      <c r="C41">
        <f>SUM('Monthly Potable (Meters)'!P42)+SUM('Monthly Potable (Meters)'!R42)+SUM('Monthly Potable (Meters)'!T42)+SUM('Monthly Potable (Meters)'!V42)+SUM('Monthly Potable (Meters)'!W42)</f>
        <v>0</v>
      </c>
      <c r="D41">
        <f>SUM('Monthly Potable (Meters)'!M42)</f>
        <v>0</v>
      </c>
      <c r="E41" t="e">
        <f>SUM(#REF!)</f>
        <v>#REF!</v>
      </c>
      <c r="F41">
        <f>SUM('Monthly Potable (Meters)'!BA42:BE42)+SUM('Monthly Potable (Meters)'!BG42:BH42)+SUM('Monthly Potable (Meters)'!BJ42:BK42)+SUM('Monthly Potable (Meters)'!BM42:BN42)+SUM('Monthly Potable (Meters)'!BP42:BQ42)+SUM('Monthly Potable (Meters)'!BS42:BU42)+SUM('Monthly Potable (Meters)'!BW42:BX42)+SUM('Monthly Potable (Meters)'!BZ42:CB42)+SUM('Monthly Potable (Meters)'!CD42:CF42)</f>
        <v>0</v>
      </c>
      <c r="G41">
        <f>SUM('Monthly Potable (Meters)'!B42)+SUM('Monthly Potable (Meters)'!S42)</f>
        <v>0</v>
      </c>
      <c r="H41">
        <f>SUM('Monthly Potable (Meters)'!G42:H42)+SUM('Monthly Potable (Meters)'!J42:K42)+SUM('Monthly Potable (Meters)'!Y42:Z42)</f>
        <v>0</v>
      </c>
      <c r="I41">
        <f>SUM('Monthly Potable (Meters)'!AE42:AG42)+SUM('Monthly Potable (Meters)'!AI42)+SUM('Monthly Potable (Meters)'!AK42:AZ42)</f>
        <v>0</v>
      </c>
      <c r="J41">
        <f>SUM('Monthly Potable (Meters)'!AH42)+SUM('Monthly Potable (Meters)'!AJ42)</f>
        <v>0</v>
      </c>
      <c r="K41">
        <f>SUM('Monthly Potable (Meters)'!C42)+SUM('Monthly Potable (Meters)'!I42)+SUM('Monthly Potable (Meters)'!L42)+SUM('Monthly Potable (Meters)'!N42)+SUM('Monthly Potable (Meters)'!Q42)+SUM('Monthly Potable (Meters)'!U42)+SUM('Monthly Potable (Meters)'!X42)+SUM('Monthly Potable (Meters)'!AB42:AD42)+SUM('Monthly Potable (Meters)'!BF42)+SUM('Monthly Potable (Meters)'!BI42)+SUM('Monthly Potable (Meters)'!BL42)+SUM('Monthly Potable (Meters)'!BO42)+SUM('Monthly Potable (Meters)'!BR42)+SUM('Monthly Potable (Meters)'!BV42)+SUM('Monthly Potable (Meters)'!BY42)+SUM('Monthly Potable (Meters)'!CC42)+SUM('Monthly Potable (Meters)'!CE42)+SUM('Monthly Potable (Meters)'!CH42:CM42)+SUM('Monthly Potable (Meters)'!CO42:DI42)</f>
        <v>0</v>
      </c>
      <c r="L41">
        <f>SUM('Monthly Potable (Meters)'!E42)</f>
        <v>0</v>
      </c>
      <c r="M41">
        <f>SUM('Monthly Potable (Meters)'!AA42)</f>
        <v>0</v>
      </c>
    </row>
    <row r="42" spans="1:13" ht="16" x14ac:dyDescent="0.2">
      <c r="A42" s="156">
        <v>44593</v>
      </c>
      <c r="B42">
        <f>SUM('Monthly Potable (Meters)'!D43)</f>
        <v>0</v>
      </c>
      <c r="C42">
        <f>SUM('Monthly Potable (Meters)'!P43)+SUM('Monthly Potable (Meters)'!R43)+SUM('Monthly Potable (Meters)'!T43)+SUM('Monthly Potable (Meters)'!V43)+SUM('Monthly Potable (Meters)'!W43)</f>
        <v>0</v>
      </c>
      <c r="D42">
        <f>SUM('Monthly Potable (Meters)'!M43)</f>
        <v>0</v>
      </c>
      <c r="E42" t="e">
        <f>SUM(#REF!)</f>
        <v>#REF!</v>
      </c>
      <c r="F42">
        <f>SUM('Monthly Potable (Meters)'!BA43:BE43)+SUM('Monthly Potable (Meters)'!BG43:BH43)+SUM('Monthly Potable (Meters)'!BJ43:BK43)+SUM('Monthly Potable (Meters)'!BM43:BN43)+SUM('Monthly Potable (Meters)'!BP43:BQ43)+SUM('Monthly Potable (Meters)'!BS43:BU43)+SUM('Monthly Potable (Meters)'!BW43:BX43)+SUM('Monthly Potable (Meters)'!BZ43:CB43)+SUM('Monthly Potable (Meters)'!CD43:CF43)</f>
        <v>0</v>
      </c>
      <c r="G42">
        <f>SUM('Monthly Potable (Meters)'!B43)+SUM('Monthly Potable (Meters)'!S43)</f>
        <v>0</v>
      </c>
      <c r="H42">
        <f>SUM('Monthly Potable (Meters)'!G43:H43)+SUM('Monthly Potable (Meters)'!J43:K43)+SUM('Monthly Potable (Meters)'!Y43:Z43)</f>
        <v>0</v>
      </c>
      <c r="I42">
        <f>SUM('Monthly Potable (Meters)'!AE43:AG43)+SUM('Monthly Potable (Meters)'!AI43)+SUM('Monthly Potable (Meters)'!AK43:AZ43)</f>
        <v>0</v>
      </c>
      <c r="J42">
        <f>SUM('Monthly Potable (Meters)'!AH43)+SUM('Monthly Potable (Meters)'!AJ43)</f>
        <v>0</v>
      </c>
      <c r="K42">
        <f>SUM('Monthly Potable (Meters)'!C43)+SUM('Monthly Potable (Meters)'!I43)+SUM('Monthly Potable (Meters)'!L43)+SUM('Monthly Potable (Meters)'!N43)+SUM('Monthly Potable (Meters)'!Q43)+SUM('Monthly Potable (Meters)'!U43)+SUM('Monthly Potable (Meters)'!X43)+SUM('Monthly Potable (Meters)'!AB43:AD43)+SUM('Monthly Potable (Meters)'!BF43)+SUM('Monthly Potable (Meters)'!BI43)+SUM('Monthly Potable (Meters)'!BL43)+SUM('Monthly Potable (Meters)'!BO43)+SUM('Monthly Potable (Meters)'!BR43)+SUM('Monthly Potable (Meters)'!BV43)+SUM('Monthly Potable (Meters)'!BY43)+SUM('Monthly Potable (Meters)'!CC43)+SUM('Monthly Potable (Meters)'!CE43)+SUM('Monthly Potable (Meters)'!CH43:CM43)+SUM('Monthly Potable (Meters)'!CO43:DI43)</f>
        <v>0</v>
      </c>
      <c r="L42">
        <f>SUM('Monthly Potable (Meters)'!E43)</f>
        <v>0</v>
      </c>
      <c r="M42">
        <f>SUM('Monthly Potable (Meters)'!AA43)</f>
        <v>0</v>
      </c>
    </row>
    <row r="43" spans="1:13" ht="16" x14ac:dyDescent="0.2">
      <c r="A43" s="156">
        <v>44621</v>
      </c>
      <c r="B43">
        <f>SUM('Monthly Potable (Meters)'!D44)</f>
        <v>0</v>
      </c>
      <c r="C43">
        <f>SUM('Monthly Potable (Meters)'!P44)+SUM('Monthly Potable (Meters)'!R44)+SUM('Monthly Potable (Meters)'!T44)+SUM('Monthly Potable (Meters)'!V44)+SUM('Monthly Potable (Meters)'!W44)</f>
        <v>0</v>
      </c>
      <c r="D43">
        <f>SUM('Monthly Potable (Meters)'!M44)</f>
        <v>0</v>
      </c>
      <c r="E43" t="e">
        <f>SUM(#REF!)</f>
        <v>#REF!</v>
      </c>
      <c r="F43">
        <f>SUM('Monthly Potable (Meters)'!BA44:BE44)+SUM('Monthly Potable (Meters)'!BG44:BH44)+SUM('Monthly Potable (Meters)'!BJ44:BK44)+SUM('Monthly Potable (Meters)'!BM44:BN44)+SUM('Monthly Potable (Meters)'!BP44:BQ44)+SUM('Monthly Potable (Meters)'!BS44:BU44)+SUM('Monthly Potable (Meters)'!BW44:BX44)+SUM('Monthly Potable (Meters)'!BZ44:CB44)+SUM('Monthly Potable (Meters)'!CD44:CF44)</f>
        <v>0</v>
      </c>
      <c r="G43">
        <f>SUM('Monthly Potable (Meters)'!B44)+SUM('Monthly Potable (Meters)'!S44)</f>
        <v>0</v>
      </c>
      <c r="H43">
        <f>SUM('Monthly Potable (Meters)'!G44:H44)+SUM('Monthly Potable (Meters)'!J44:K44)+SUM('Monthly Potable (Meters)'!Y44:Z44)</f>
        <v>0</v>
      </c>
      <c r="I43">
        <f>SUM('Monthly Potable (Meters)'!AE44:AG44)+SUM('Monthly Potable (Meters)'!AI44)+SUM('Monthly Potable (Meters)'!AK44:AZ44)</f>
        <v>0</v>
      </c>
      <c r="J43">
        <f>SUM('Monthly Potable (Meters)'!AH44)+SUM('Monthly Potable (Meters)'!AJ44)</f>
        <v>0</v>
      </c>
      <c r="K43">
        <f>SUM('Monthly Potable (Meters)'!C44)+SUM('Monthly Potable (Meters)'!I44)+SUM('Monthly Potable (Meters)'!L44)+SUM('Monthly Potable (Meters)'!N44)+SUM('Monthly Potable (Meters)'!Q44)+SUM('Monthly Potable (Meters)'!U44)+SUM('Monthly Potable (Meters)'!X44)+SUM('Monthly Potable (Meters)'!AB44:AD44)+SUM('Monthly Potable (Meters)'!BF44)+SUM('Monthly Potable (Meters)'!BI44)+SUM('Monthly Potable (Meters)'!BL44)+SUM('Monthly Potable (Meters)'!BO44)+SUM('Monthly Potable (Meters)'!BR44)+SUM('Monthly Potable (Meters)'!BV44)+SUM('Monthly Potable (Meters)'!BY44)+SUM('Monthly Potable (Meters)'!CC44)+SUM('Monthly Potable (Meters)'!CE44)+SUM('Monthly Potable (Meters)'!CH44:CM44)+SUM('Monthly Potable (Meters)'!CO44:DI44)</f>
        <v>0</v>
      </c>
      <c r="L43">
        <f>SUM('Monthly Potable (Meters)'!E44)</f>
        <v>0</v>
      </c>
      <c r="M43">
        <f>SUM('Monthly Potable (Meters)'!AA44)</f>
        <v>0</v>
      </c>
    </row>
    <row r="44" spans="1:13" ht="16" x14ac:dyDescent="0.2">
      <c r="A44" s="156">
        <v>44652</v>
      </c>
      <c r="B44">
        <f>SUM('Monthly Potable (Meters)'!D45)</f>
        <v>0</v>
      </c>
      <c r="C44">
        <f>SUM('Monthly Potable (Meters)'!P45)+SUM('Monthly Potable (Meters)'!R45)+SUM('Monthly Potable (Meters)'!T45)+SUM('Monthly Potable (Meters)'!V45)+SUM('Monthly Potable (Meters)'!W45)</f>
        <v>0</v>
      </c>
      <c r="D44">
        <f>SUM('Monthly Potable (Meters)'!M45)</f>
        <v>0</v>
      </c>
      <c r="E44" t="e">
        <f>SUM(#REF!)</f>
        <v>#REF!</v>
      </c>
      <c r="F44">
        <f>SUM('Monthly Potable (Meters)'!BA45:BE45)+SUM('Monthly Potable (Meters)'!BG45:BH45)+SUM('Monthly Potable (Meters)'!BJ45:BK45)+SUM('Monthly Potable (Meters)'!BM45:BN45)+SUM('Monthly Potable (Meters)'!BP45:BQ45)+SUM('Monthly Potable (Meters)'!BS45:BU45)+SUM('Monthly Potable (Meters)'!BW45:BX45)+SUM('Monthly Potable (Meters)'!BZ45:CB45)+SUM('Monthly Potable (Meters)'!CD45:CF45)</f>
        <v>0</v>
      </c>
      <c r="G44">
        <f>SUM('Monthly Potable (Meters)'!B45)+SUM('Monthly Potable (Meters)'!S45)</f>
        <v>0</v>
      </c>
      <c r="H44">
        <f>SUM('Monthly Potable (Meters)'!G45:H45)+SUM('Monthly Potable (Meters)'!J45:K45)+SUM('Monthly Potable (Meters)'!Y45:Z45)</f>
        <v>0</v>
      </c>
      <c r="I44">
        <f>SUM('Monthly Potable (Meters)'!AE45:AG45)+SUM('Monthly Potable (Meters)'!AI45)+SUM('Monthly Potable (Meters)'!AK45:AZ45)</f>
        <v>0</v>
      </c>
      <c r="J44">
        <f>SUM('Monthly Potable (Meters)'!AH45)+SUM('Monthly Potable (Meters)'!AJ45)</f>
        <v>0</v>
      </c>
      <c r="K44">
        <f>SUM('Monthly Potable (Meters)'!C45)+SUM('Monthly Potable (Meters)'!I45)+SUM('Monthly Potable (Meters)'!L45)+SUM('Monthly Potable (Meters)'!N45)+SUM('Monthly Potable (Meters)'!Q45)+SUM('Monthly Potable (Meters)'!U45)+SUM('Monthly Potable (Meters)'!X45)+SUM('Monthly Potable (Meters)'!AB45:AD45)+SUM('Monthly Potable (Meters)'!BF45)+SUM('Monthly Potable (Meters)'!BI45)+SUM('Monthly Potable (Meters)'!BL45)+SUM('Monthly Potable (Meters)'!BO45)+SUM('Monthly Potable (Meters)'!BR45)+SUM('Monthly Potable (Meters)'!BV45)+SUM('Monthly Potable (Meters)'!BY45)+SUM('Monthly Potable (Meters)'!CC45)+SUM('Monthly Potable (Meters)'!CE45)+SUM('Monthly Potable (Meters)'!CH45:CM45)+SUM('Monthly Potable (Meters)'!CO45:DI45)</f>
        <v>0</v>
      </c>
      <c r="L44">
        <f>SUM('Monthly Potable (Meters)'!E45)</f>
        <v>0</v>
      </c>
      <c r="M44">
        <f>SUM('Monthly Potable (Meters)'!AA45)</f>
        <v>0</v>
      </c>
    </row>
    <row r="45" spans="1:13" ht="16" x14ac:dyDescent="0.2">
      <c r="A45" s="156">
        <v>44682</v>
      </c>
      <c r="B45">
        <f>SUM('Monthly Potable (Meters)'!D46)</f>
        <v>0</v>
      </c>
      <c r="C45">
        <f>SUM('Monthly Potable (Meters)'!P46)+SUM('Monthly Potable (Meters)'!R46)+SUM('Monthly Potable (Meters)'!T46)+SUM('Monthly Potable (Meters)'!V46)+SUM('Monthly Potable (Meters)'!W46)</f>
        <v>0</v>
      </c>
      <c r="D45">
        <f>SUM('Monthly Potable (Meters)'!M46)</f>
        <v>0</v>
      </c>
      <c r="E45" t="e">
        <f>SUM(#REF!)</f>
        <v>#REF!</v>
      </c>
      <c r="F45">
        <f>SUM('Monthly Potable (Meters)'!BA46:BE46)+SUM('Monthly Potable (Meters)'!BG46:BH46)+SUM('Monthly Potable (Meters)'!BJ46:BK46)+SUM('Monthly Potable (Meters)'!BM46:BN46)+SUM('Monthly Potable (Meters)'!BP46:BQ46)+SUM('Monthly Potable (Meters)'!BS46:BU46)+SUM('Monthly Potable (Meters)'!BW46:BX46)+SUM('Monthly Potable (Meters)'!BZ46:CB46)+SUM('Monthly Potable (Meters)'!CD46:CF46)</f>
        <v>0</v>
      </c>
      <c r="G45">
        <f>SUM('Monthly Potable (Meters)'!B46)+SUM('Monthly Potable (Meters)'!S46)</f>
        <v>0</v>
      </c>
      <c r="H45">
        <f>SUM('Monthly Potable (Meters)'!G46:H46)+SUM('Monthly Potable (Meters)'!J46:K46)+SUM('Monthly Potable (Meters)'!Y46:Z46)</f>
        <v>0</v>
      </c>
      <c r="I45">
        <f>SUM('Monthly Potable (Meters)'!AE46:AG46)+SUM('Monthly Potable (Meters)'!AI46)+SUM('Monthly Potable (Meters)'!AK46:AZ46)</f>
        <v>0</v>
      </c>
      <c r="J45">
        <f>SUM('Monthly Potable (Meters)'!AH46)+SUM('Monthly Potable (Meters)'!AJ46)</f>
        <v>0</v>
      </c>
      <c r="K45">
        <f>SUM('Monthly Potable (Meters)'!C46)+SUM('Monthly Potable (Meters)'!I46)+SUM('Monthly Potable (Meters)'!L46)+SUM('Monthly Potable (Meters)'!N46)+SUM('Monthly Potable (Meters)'!Q46)+SUM('Monthly Potable (Meters)'!U46)+SUM('Monthly Potable (Meters)'!X46)+SUM('Monthly Potable (Meters)'!AB46:AD46)+SUM('Monthly Potable (Meters)'!BF46)+SUM('Monthly Potable (Meters)'!BI46)+SUM('Monthly Potable (Meters)'!BL46)+SUM('Monthly Potable (Meters)'!BO46)+SUM('Monthly Potable (Meters)'!BR46)+SUM('Monthly Potable (Meters)'!BV46)+SUM('Monthly Potable (Meters)'!BY46)+SUM('Monthly Potable (Meters)'!CC46)+SUM('Monthly Potable (Meters)'!CE46)+SUM('Monthly Potable (Meters)'!CH46:CM46)+SUM('Monthly Potable (Meters)'!CO46:DI46)</f>
        <v>0</v>
      </c>
      <c r="L45">
        <f>SUM('Monthly Potable (Meters)'!E46)</f>
        <v>0</v>
      </c>
      <c r="M45">
        <f>SUM('Monthly Potable (Meters)'!AA46)</f>
        <v>0</v>
      </c>
    </row>
    <row r="46" spans="1:13" ht="16" x14ac:dyDescent="0.2">
      <c r="A46" s="156">
        <v>44713</v>
      </c>
      <c r="B46">
        <f>SUM('Monthly Potable (Meters)'!D47)</f>
        <v>0</v>
      </c>
      <c r="C46">
        <f>SUM('Monthly Potable (Meters)'!P47)+SUM('Monthly Potable (Meters)'!R47)+SUM('Monthly Potable (Meters)'!T47)+SUM('Monthly Potable (Meters)'!V47)+SUM('Monthly Potable (Meters)'!W47)</f>
        <v>0</v>
      </c>
      <c r="D46">
        <f>SUM('Monthly Potable (Meters)'!M47)</f>
        <v>0</v>
      </c>
      <c r="E46" t="e">
        <f>SUM(#REF!)</f>
        <v>#REF!</v>
      </c>
      <c r="F46">
        <f>SUM('Monthly Potable (Meters)'!BA47:BE47)+SUM('Monthly Potable (Meters)'!BG47:BH47)+SUM('Monthly Potable (Meters)'!BJ47:BK47)+SUM('Monthly Potable (Meters)'!BM47:BN47)+SUM('Monthly Potable (Meters)'!BP47:BQ47)+SUM('Monthly Potable (Meters)'!BS47:BU47)+SUM('Monthly Potable (Meters)'!BW47:BX47)+SUM('Monthly Potable (Meters)'!BZ47:CB47)+SUM('Monthly Potable (Meters)'!CD47:CF47)</f>
        <v>0</v>
      </c>
      <c r="G46">
        <f>SUM('Monthly Potable (Meters)'!B47)+SUM('Monthly Potable (Meters)'!S47)</f>
        <v>0</v>
      </c>
      <c r="H46">
        <f>SUM('Monthly Potable (Meters)'!G47:H47)+SUM('Monthly Potable (Meters)'!J47:K47)+SUM('Monthly Potable (Meters)'!Y47:Z47)</f>
        <v>0</v>
      </c>
      <c r="I46">
        <f>SUM('Monthly Potable (Meters)'!AE47:AG47)+SUM('Monthly Potable (Meters)'!AI47)+SUM('Monthly Potable (Meters)'!AK47:AZ47)</f>
        <v>0</v>
      </c>
      <c r="J46">
        <f>SUM('Monthly Potable (Meters)'!AH47)+SUM('Monthly Potable (Meters)'!AJ47)</f>
        <v>0</v>
      </c>
      <c r="K46">
        <f>SUM('Monthly Potable (Meters)'!C47)+SUM('Monthly Potable (Meters)'!I47)+SUM('Monthly Potable (Meters)'!L47)+SUM('Monthly Potable (Meters)'!N47)+SUM('Monthly Potable (Meters)'!Q47)+SUM('Monthly Potable (Meters)'!U47)+SUM('Monthly Potable (Meters)'!X47)+SUM('Monthly Potable (Meters)'!AB47:AD47)+SUM('Monthly Potable (Meters)'!BF47)+SUM('Monthly Potable (Meters)'!BI47)+SUM('Monthly Potable (Meters)'!BL47)+SUM('Monthly Potable (Meters)'!BO47)+SUM('Monthly Potable (Meters)'!BR47)+SUM('Monthly Potable (Meters)'!BV47)+SUM('Monthly Potable (Meters)'!BY47)+SUM('Monthly Potable (Meters)'!CC47)+SUM('Monthly Potable (Meters)'!CE47)+SUM('Monthly Potable (Meters)'!CH47:CM47)+SUM('Monthly Potable (Meters)'!CO47:DI47)</f>
        <v>0</v>
      </c>
      <c r="L46">
        <f>SUM('Monthly Potable (Meters)'!E47)</f>
        <v>0</v>
      </c>
      <c r="M46">
        <f>SUM('Monthly Potable (Meters)'!AA47)</f>
        <v>0</v>
      </c>
    </row>
    <row r="47" spans="1:13" ht="16" x14ac:dyDescent="0.2">
      <c r="A47" s="156">
        <v>44743</v>
      </c>
      <c r="B47">
        <f>SUM('Monthly Potable (Meters)'!D48)</f>
        <v>3947</v>
      </c>
      <c r="C47">
        <f>SUM('Monthly Potable (Meters)'!P48)+SUM('Monthly Potable (Meters)'!R48)+SUM('Monthly Potable (Meters)'!T48)+SUM('Monthly Potable (Meters)'!V48)+SUM('Monthly Potable (Meters)'!W48)</f>
        <v>141</v>
      </c>
      <c r="D47">
        <f>SUM('Monthly Potable (Meters)'!M48)</f>
        <v>0</v>
      </c>
      <c r="E47" t="e">
        <f>SUM(#REF!)</f>
        <v>#REF!</v>
      </c>
      <c r="F47">
        <f>SUM('Monthly Potable (Meters)'!BA48:BE48)+SUM('Monthly Potable (Meters)'!BG48:BH48)+SUM('Monthly Potable (Meters)'!BJ48:BK48)+SUM('Monthly Potable (Meters)'!BM48:BN48)+SUM('Monthly Potable (Meters)'!BP48:BQ48)+SUM('Monthly Potable (Meters)'!BS48:BU48)+SUM('Monthly Potable (Meters)'!BW48:BX48)+SUM('Monthly Potable (Meters)'!BZ48:CB48)+SUM('Monthly Potable (Meters)'!CD48:CF48)</f>
        <v>3348</v>
      </c>
      <c r="G47">
        <f>SUM('Monthly Potable (Meters)'!B48)+SUM('Monthly Potable (Meters)'!S48)</f>
        <v>10417</v>
      </c>
      <c r="H47">
        <f>SUM('Monthly Potable (Meters)'!G48:H48)+SUM('Monthly Potable (Meters)'!J48:K48)+SUM('Monthly Potable (Meters)'!Y48:Z48)</f>
        <v>205</v>
      </c>
      <c r="I47">
        <f>SUM('Monthly Potable (Meters)'!AE48:AG48)+SUM('Monthly Potable (Meters)'!AI48)+SUM('Monthly Potable (Meters)'!AK48:AZ48)</f>
        <v>6822</v>
      </c>
      <c r="J47">
        <f>SUM('Monthly Potable (Meters)'!AH48)+SUM('Monthly Potable (Meters)'!AJ48)</f>
        <v>35</v>
      </c>
      <c r="K47">
        <f>SUM('Monthly Potable (Meters)'!C48)+SUM('Monthly Potable (Meters)'!I48)+SUM('Monthly Potable (Meters)'!L48)+SUM('Monthly Potable (Meters)'!N48)+SUM('Monthly Potable (Meters)'!Q48)+SUM('Monthly Potable (Meters)'!U48)+SUM('Monthly Potable (Meters)'!X48)+SUM('Monthly Potable (Meters)'!AB48:AD48)+SUM('Monthly Potable (Meters)'!BF48)+SUM('Monthly Potable (Meters)'!BI48)+SUM('Monthly Potable (Meters)'!BL48)+SUM('Monthly Potable (Meters)'!BO48)+SUM('Monthly Potable (Meters)'!BR48)+SUM('Monthly Potable (Meters)'!BV48)+SUM('Monthly Potable (Meters)'!BY48)+SUM('Monthly Potable (Meters)'!CC48)+SUM('Monthly Potable (Meters)'!CE48)+SUM('Monthly Potable (Meters)'!CH48:CM48)+SUM('Monthly Potable (Meters)'!CO48:DI48)</f>
        <v>1499</v>
      </c>
      <c r="L47">
        <f>SUM('Monthly Potable (Meters)'!E48)</f>
        <v>1825</v>
      </c>
      <c r="M47">
        <f>SUM('Monthly Potable (Meters)'!AA48)</f>
        <v>0</v>
      </c>
    </row>
    <row r="48" spans="1:13" ht="16" x14ac:dyDescent="0.2">
      <c r="A48" s="156">
        <v>44774</v>
      </c>
      <c r="B48">
        <f>SUM('Monthly Potable (Meters)'!D49)</f>
        <v>3078</v>
      </c>
      <c r="C48">
        <f>SUM('Monthly Potable (Meters)'!P49)+SUM('Monthly Potable (Meters)'!R49)+SUM('Monthly Potable (Meters)'!T49)+SUM('Monthly Potable (Meters)'!V49)+SUM('Monthly Potable (Meters)'!W49)</f>
        <v>186</v>
      </c>
      <c r="D48">
        <f>SUM('Monthly Potable (Meters)'!M49)</f>
        <v>0</v>
      </c>
      <c r="E48" t="e">
        <f>SUM(#REF!)</f>
        <v>#REF!</v>
      </c>
      <c r="F48">
        <f>SUM('Monthly Potable (Meters)'!BA49:BE49)+SUM('Monthly Potable (Meters)'!BG49:BH49)+SUM('Monthly Potable (Meters)'!BJ49:BK49)+SUM('Monthly Potable (Meters)'!BM49:BN49)+SUM('Monthly Potable (Meters)'!BP49:BQ49)+SUM('Monthly Potable (Meters)'!BS49:BU49)+SUM('Monthly Potable (Meters)'!BW49:BX49)+SUM('Monthly Potable (Meters)'!BZ49:CB49)+SUM('Monthly Potable (Meters)'!CD49:CF49)</f>
        <v>2985</v>
      </c>
      <c r="G48">
        <f>SUM('Monthly Potable (Meters)'!B49)+SUM('Monthly Potable (Meters)'!S49)</f>
        <v>10769</v>
      </c>
      <c r="H48">
        <f>SUM('Monthly Potable (Meters)'!G49:H49)+SUM('Monthly Potable (Meters)'!J49:K49)+SUM('Monthly Potable (Meters)'!Y49:Z49)</f>
        <v>228</v>
      </c>
      <c r="I48">
        <f>SUM('Monthly Potable (Meters)'!AE49:AG49)+SUM('Monthly Potable (Meters)'!AI49)+SUM('Monthly Potable (Meters)'!AK49:AZ49)</f>
        <v>6177</v>
      </c>
      <c r="J48">
        <f>SUM('Monthly Potable (Meters)'!AH49)+SUM('Monthly Potable (Meters)'!AJ49)</f>
        <v>38</v>
      </c>
      <c r="K48">
        <f>SUM('Monthly Potable (Meters)'!C49)+SUM('Monthly Potable (Meters)'!I49)+SUM('Monthly Potable (Meters)'!L49)+SUM('Monthly Potable (Meters)'!N49)+SUM('Monthly Potable (Meters)'!Q49)+SUM('Monthly Potable (Meters)'!U49)+SUM('Monthly Potable (Meters)'!X49)+SUM('Monthly Potable (Meters)'!AB49:AD49)+SUM('Monthly Potable (Meters)'!BF49)+SUM('Monthly Potable (Meters)'!BI49)+SUM('Monthly Potable (Meters)'!BL49)+SUM('Monthly Potable (Meters)'!BO49)+SUM('Monthly Potable (Meters)'!BR49)+SUM('Monthly Potable (Meters)'!BV49)+SUM('Monthly Potable (Meters)'!BY49)+SUM('Monthly Potable (Meters)'!CC49)+SUM('Monthly Potable (Meters)'!CE49)+SUM('Monthly Potable (Meters)'!CH49:CM49)+SUM('Monthly Potable (Meters)'!CO49:DI49)</f>
        <v>2271</v>
      </c>
      <c r="L48">
        <f>SUM('Monthly Potable (Meters)'!E49)</f>
        <v>2999</v>
      </c>
      <c r="M48">
        <f>SUM('Monthly Potable (Meters)'!AA49)</f>
        <v>0</v>
      </c>
    </row>
    <row r="49" spans="1:13" ht="16" x14ac:dyDescent="0.2">
      <c r="A49" s="156">
        <v>44805</v>
      </c>
      <c r="B49">
        <f>SUM('Monthly Potable (Meters)'!D50)</f>
        <v>3696</v>
      </c>
      <c r="C49">
        <f>SUM('Monthly Potable (Meters)'!P50)+SUM('Monthly Potable (Meters)'!R50)+SUM('Monthly Potable (Meters)'!T50)+SUM('Monthly Potable (Meters)'!V50)+SUM('Monthly Potable (Meters)'!W50)</f>
        <v>282</v>
      </c>
      <c r="D49">
        <f>SUM('Monthly Potable (Meters)'!M50)</f>
        <v>0</v>
      </c>
      <c r="E49" t="e">
        <f>SUM(#REF!)</f>
        <v>#REF!</v>
      </c>
      <c r="F49">
        <f>SUM('Monthly Potable (Meters)'!BA50:BE50)+SUM('Monthly Potable (Meters)'!BG50:BH50)+SUM('Monthly Potable (Meters)'!BJ50:BK50)+SUM('Monthly Potable (Meters)'!BM50:BN50)+SUM('Monthly Potable (Meters)'!BP50:BQ50)+SUM('Monthly Potable (Meters)'!BS50:BU50)+SUM('Monthly Potable (Meters)'!BW50:BX50)+SUM('Monthly Potable (Meters)'!BZ50:CB50)+SUM('Monthly Potable (Meters)'!CD50:CF50)</f>
        <v>10359</v>
      </c>
      <c r="G49">
        <f>SUM('Monthly Potable (Meters)'!B50)+SUM('Monthly Potable (Meters)'!S50)</f>
        <v>10871</v>
      </c>
      <c r="H49">
        <f>SUM('Monthly Potable (Meters)'!G50:H50)+SUM('Monthly Potable (Meters)'!J50:K50)+SUM('Monthly Potable (Meters)'!Y50:Z50)</f>
        <v>299</v>
      </c>
      <c r="I49">
        <f>SUM('Monthly Potable (Meters)'!AE50:AG50)+SUM('Monthly Potable (Meters)'!AI50)+SUM('Monthly Potable (Meters)'!AK50:AZ50)</f>
        <v>9027</v>
      </c>
      <c r="J49">
        <f>SUM('Monthly Potable (Meters)'!AH50)+SUM('Monthly Potable (Meters)'!AJ50)</f>
        <v>40</v>
      </c>
      <c r="K49">
        <f>SUM('Monthly Potable (Meters)'!C50)+SUM('Monthly Potable (Meters)'!I50)+SUM('Monthly Potable (Meters)'!L50)+SUM('Monthly Potable (Meters)'!N50)+SUM('Monthly Potable (Meters)'!Q50)+SUM('Monthly Potable (Meters)'!U50)+SUM('Monthly Potable (Meters)'!X50)+SUM('Monthly Potable (Meters)'!AB50:AD50)+SUM('Monthly Potable (Meters)'!BF50)+SUM('Monthly Potable (Meters)'!BI50)+SUM('Monthly Potable (Meters)'!BL50)+SUM('Monthly Potable (Meters)'!BO50)+SUM('Monthly Potable (Meters)'!BR50)+SUM('Monthly Potable (Meters)'!BV50)+SUM('Monthly Potable (Meters)'!BY50)+SUM('Monthly Potable (Meters)'!CC50)+SUM('Monthly Potable (Meters)'!CE50)+SUM('Monthly Potable (Meters)'!CH50:CM50)+SUM('Monthly Potable (Meters)'!CO50:DI50)</f>
        <v>1789</v>
      </c>
      <c r="L49">
        <f>SUM('Monthly Potable (Meters)'!E50)</f>
        <v>3170</v>
      </c>
      <c r="M49">
        <f>SUM('Monthly Potable (Meters)'!AA50)</f>
        <v>0</v>
      </c>
    </row>
    <row r="50" spans="1:13" ht="16" x14ac:dyDescent="0.2">
      <c r="A50" s="156">
        <v>44835</v>
      </c>
      <c r="B50">
        <f>SUM('Monthly Potable (Meters)'!D51)</f>
        <v>3343</v>
      </c>
      <c r="C50">
        <f>SUM('Monthly Potable (Meters)'!P51)+SUM('Monthly Potable (Meters)'!R51)+SUM('Monthly Potable (Meters)'!T51)+SUM('Monthly Potable (Meters)'!V51)+SUM('Monthly Potable (Meters)'!W51)</f>
        <v>504</v>
      </c>
      <c r="D50">
        <f>SUM('Monthly Potable (Meters)'!M51)</f>
        <v>0</v>
      </c>
      <c r="E50" t="e">
        <f>SUM(#REF!)</f>
        <v>#REF!</v>
      </c>
      <c r="F50">
        <f>SUM('Monthly Potable (Meters)'!BA51:BE51)+SUM('Monthly Potable (Meters)'!BG51:BH51)+SUM('Monthly Potable (Meters)'!BJ51:BK51)+SUM('Monthly Potable (Meters)'!BM51:BN51)+SUM('Monthly Potable (Meters)'!BP51:BQ51)+SUM('Monthly Potable (Meters)'!BS51:BU51)+SUM('Monthly Potable (Meters)'!BW51:BX51)+SUM('Monthly Potable (Meters)'!BZ51:CB51)+SUM('Monthly Potable (Meters)'!CD51:CF51)</f>
        <v>12245</v>
      </c>
      <c r="G50">
        <f>SUM('Monthly Potable (Meters)'!B51)+SUM('Monthly Potable (Meters)'!S51)</f>
        <v>8876</v>
      </c>
      <c r="H50">
        <f>SUM('Monthly Potable (Meters)'!G51:H51)+SUM('Monthly Potable (Meters)'!J51:K51)+SUM('Monthly Potable (Meters)'!Y51:Z51)</f>
        <v>4263</v>
      </c>
      <c r="I50">
        <f>SUM('Monthly Potable (Meters)'!AE51:AG51)+SUM('Monthly Potable (Meters)'!AI51)+SUM('Monthly Potable (Meters)'!AK51:AZ51)</f>
        <v>9727</v>
      </c>
      <c r="J50">
        <f>SUM('Monthly Potable (Meters)'!AH51)+SUM('Monthly Potable (Meters)'!AJ51)</f>
        <v>40</v>
      </c>
      <c r="K50">
        <f>SUM('Monthly Potable (Meters)'!C51)+SUM('Monthly Potable (Meters)'!I51)+SUM('Monthly Potable (Meters)'!L51)+SUM('Monthly Potable (Meters)'!N51)+SUM('Monthly Potable (Meters)'!Q51)+SUM('Monthly Potable (Meters)'!U51)+SUM('Monthly Potable (Meters)'!X51)+SUM('Monthly Potable (Meters)'!AB51:AD51)+SUM('Monthly Potable (Meters)'!BF51)+SUM('Monthly Potable (Meters)'!BI51)+SUM('Monthly Potable (Meters)'!BL51)+SUM('Monthly Potable (Meters)'!BO51)+SUM('Monthly Potable (Meters)'!BR51)+SUM('Monthly Potable (Meters)'!BV51)+SUM('Monthly Potable (Meters)'!BY51)+SUM('Monthly Potable (Meters)'!CC51)+SUM('Monthly Potable (Meters)'!CE51)+SUM('Monthly Potable (Meters)'!CH51:CM51)+SUM('Monthly Potable (Meters)'!CO51:DI51)</f>
        <v>1317</v>
      </c>
      <c r="L50">
        <f>SUM('Monthly Potable (Meters)'!E51)</f>
        <v>3167</v>
      </c>
      <c r="M50">
        <f>SUM('Monthly Potable (Meters)'!AA51)</f>
        <v>0</v>
      </c>
    </row>
    <row r="51" spans="1:13" ht="16" x14ac:dyDescent="0.2">
      <c r="A51" s="156">
        <v>44866</v>
      </c>
      <c r="B51">
        <f>SUM('Monthly Potable (Meters)'!D52)</f>
        <v>2963</v>
      </c>
      <c r="C51">
        <f>SUM('Monthly Potable (Meters)'!P52)+SUM('Monthly Potable (Meters)'!R52)+SUM('Monthly Potable (Meters)'!T52)+SUM('Monthly Potable (Meters)'!V52)+SUM('Monthly Potable (Meters)'!W52)</f>
        <v>225</v>
      </c>
      <c r="D51">
        <f>SUM('Monthly Potable (Meters)'!M52)</f>
        <v>0</v>
      </c>
      <c r="E51" t="e">
        <f>SUM(#REF!)</f>
        <v>#REF!</v>
      </c>
      <c r="F51">
        <f>SUM('Monthly Potable (Meters)'!BA52:BE52)+SUM('Monthly Potable (Meters)'!BG52:BH52)+SUM('Monthly Potable (Meters)'!BJ52:BK52)+SUM('Monthly Potable (Meters)'!BM52:BN52)+SUM('Monthly Potable (Meters)'!BP52:BQ52)+SUM('Monthly Potable (Meters)'!BS52:BU52)+SUM('Monthly Potable (Meters)'!BW52:BX52)+SUM('Monthly Potable (Meters)'!BZ52:CB52)+SUM('Monthly Potable (Meters)'!CD52:CF52)</f>
        <v>12598.4</v>
      </c>
      <c r="G51">
        <f>SUM('Monthly Potable (Meters)'!B52)+SUM('Monthly Potable (Meters)'!S52)</f>
        <v>7673</v>
      </c>
      <c r="H51">
        <f>SUM('Monthly Potable (Meters)'!G52:H52)+SUM('Monthly Potable (Meters)'!J52:K52)+SUM('Monthly Potable (Meters)'!Y52:Z52)</f>
        <v>554</v>
      </c>
      <c r="I51">
        <f>SUM('Monthly Potable (Meters)'!AE52:AG52)+SUM('Monthly Potable (Meters)'!AI52)+SUM('Monthly Potable (Meters)'!AK52:AZ52)</f>
        <v>8831</v>
      </c>
      <c r="J51">
        <f>SUM('Monthly Potable (Meters)'!AH52)+SUM('Monthly Potable (Meters)'!AJ52)</f>
        <v>49</v>
      </c>
      <c r="K51">
        <f>SUM('Monthly Potable (Meters)'!C52)+SUM('Monthly Potable (Meters)'!I52)+SUM('Monthly Potable (Meters)'!L52)+SUM('Monthly Potable (Meters)'!N52)+SUM('Monthly Potable (Meters)'!Q52)+SUM('Monthly Potable (Meters)'!U52)+SUM('Monthly Potable (Meters)'!X52)+SUM('Monthly Potable (Meters)'!AB52:AD52)+SUM('Monthly Potable (Meters)'!BF52)+SUM('Monthly Potable (Meters)'!BI52)+SUM('Monthly Potable (Meters)'!BL52)+SUM('Monthly Potable (Meters)'!BO52)+SUM('Monthly Potable (Meters)'!BR52)+SUM('Monthly Potable (Meters)'!BV52)+SUM('Monthly Potable (Meters)'!BY52)+SUM('Monthly Potable (Meters)'!CC52)+SUM('Monthly Potable (Meters)'!CE52)+SUM('Monthly Potable (Meters)'!CH52:CM52)+SUM('Monthly Potable (Meters)'!CO52:DI52)</f>
        <v>3612</v>
      </c>
      <c r="L51">
        <f>SUM('Monthly Potable (Meters)'!E52)</f>
        <v>3119</v>
      </c>
      <c r="M51">
        <f>SUM('Monthly Potable (Meters)'!AA52)</f>
        <v>0</v>
      </c>
    </row>
    <row r="52" spans="1:13" ht="16" x14ac:dyDescent="0.2">
      <c r="A52" s="156">
        <v>44896</v>
      </c>
      <c r="B52">
        <f>SUM('Monthly Potable (Meters)'!D53)</f>
        <v>2804</v>
      </c>
      <c r="C52">
        <f>SUM('Monthly Potable (Meters)'!P53)+SUM('Monthly Potable (Meters)'!R53)+SUM('Monthly Potable (Meters)'!T53)+SUM('Monthly Potable (Meters)'!V53)+SUM('Monthly Potable (Meters)'!W53)</f>
        <v>258</v>
      </c>
      <c r="D52">
        <f>SUM('Monthly Potable (Meters)'!M53)</f>
        <v>0</v>
      </c>
      <c r="E52" t="e">
        <f>SUM(#REF!)</f>
        <v>#REF!</v>
      </c>
      <c r="F52">
        <f>SUM('Monthly Potable (Meters)'!BA53:BE53)+SUM('Monthly Potable (Meters)'!BG53:BH53)+SUM('Monthly Potable (Meters)'!BJ53:BK53)+SUM('Monthly Potable (Meters)'!BM53:BN53)+SUM('Monthly Potable (Meters)'!BP53:BQ53)+SUM('Monthly Potable (Meters)'!BS53:BU53)+SUM('Monthly Potable (Meters)'!BW53:BX53)+SUM('Monthly Potable (Meters)'!BZ53:CB53)+SUM('Monthly Potable (Meters)'!CD53:CF53)</f>
        <v>11845.8</v>
      </c>
      <c r="G52">
        <f>SUM('Monthly Potable (Meters)'!B53)+SUM('Monthly Potable (Meters)'!S53)</f>
        <v>1121</v>
      </c>
      <c r="H52">
        <f>SUM('Monthly Potable (Meters)'!G53:H53)+SUM('Monthly Potable (Meters)'!J53:K53)+SUM('Monthly Potable (Meters)'!Y53:Z53)</f>
        <v>186</v>
      </c>
      <c r="I52">
        <f>SUM('Monthly Potable (Meters)'!AE53:AG53)+SUM('Monthly Potable (Meters)'!AI53)+SUM('Monthly Potable (Meters)'!AK53:AZ53)</f>
        <v>7473</v>
      </c>
      <c r="J52">
        <f>SUM('Monthly Potable (Meters)'!AH53)+SUM('Monthly Potable (Meters)'!AJ53)</f>
        <v>39</v>
      </c>
      <c r="K52">
        <f>SUM('Monthly Potable (Meters)'!C53)+SUM('Monthly Potable (Meters)'!I53)+SUM('Monthly Potable (Meters)'!L53)+SUM('Monthly Potable (Meters)'!N53)+SUM('Monthly Potable (Meters)'!Q53)+SUM('Monthly Potable (Meters)'!U53)+SUM('Monthly Potable (Meters)'!X53)+SUM('Monthly Potable (Meters)'!AB53:AD53)+SUM('Monthly Potable (Meters)'!BF53)+SUM('Monthly Potable (Meters)'!BI53)+SUM('Monthly Potable (Meters)'!BL53)+SUM('Monthly Potable (Meters)'!BO53)+SUM('Monthly Potable (Meters)'!BR53)+SUM('Monthly Potable (Meters)'!BV53)+SUM('Monthly Potable (Meters)'!BY53)+SUM('Monthly Potable (Meters)'!CC53)+SUM('Monthly Potable (Meters)'!CE53)+SUM('Monthly Potable (Meters)'!CH53:CM53)+SUM('Monthly Potable (Meters)'!CO53:DI53)</f>
        <v>2506</v>
      </c>
      <c r="L52">
        <f>SUM('Monthly Potable (Meters)'!E53)</f>
        <v>2856</v>
      </c>
      <c r="M52">
        <f>SUM('Monthly Potable (Meters)'!AA53)</f>
        <v>0</v>
      </c>
    </row>
    <row r="53" spans="1:13" ht="16" x14ac:dyDescent="0.2">
      <c r="A53" s="156">
        <v>44927</v>
      </c>
      <c r="B53">
        <f>SUM('Monthly Potable (Meters)'!D54)</f>
        <v>2897</v>
      </c>
      <c r="C53">
        <f>SUM('Monthly Potable (Meters)'!P54)+SUM('Monthly Potable (Meters)'!R54)+SUM('Monthly Potable (Meters)'!T54)+SUM('Monthly Potable (Meters)'!V54)+SUM('Monthly Potable (Meters)'!W54)</f>
        <v>207</v>
      </c>
      <c r="D53">
        <f>SUM('Monthly Potable (Meters)'!M54)</f>
        <v>0</v>
      </c>
      <c r="E53" t="e">
        <f>SUM(#REF!)</f>
        <v>#REF!</v>
      </c>
      <c r="F53">
        <f>SUM('Monthly Potable (Meters)'!BA54:BE54)+SUM('Monthly Potable (Meters)'!BG54:BH54)+SUM('Monthly Potable (Meters)'!BJ54:BK54)+SUM('Monthly Potable (Meters)'!BM54:BN54)+SUM('Monthly Potable (Meters)'!BP54:BQ54)+SUM('Monthly Potable (Meters)'!BS54:BU54)+SUM('Monthly Potable (Meters)'!BW54:BX54)+SUM('Monthly Potable (Meters)'!BZ54:CB54)+SUM('Monthly Potable (Meters)'!CD54:CF54)</f>
        <v>6617</v>
      </c>
      <c r="G53">
        <f>SUM('Monthly Potable (Meters)'!B54)+SUM('Monthly Potable (Meters)'!S54)</f>
        <v>1093</v>
      </c>
      <c r="H53">
        <f>SUM('Monthly Potable (Meters)'!G54:H54)+SUM('Monthly Potable (Meters)'!J54:K54)+SUM('Monthly Potable (Meters)'!Y54:Z54)</f>
        <v>142</v>
      </c>
      <c r="I53">
        <f>SUM('Monthly Potable (Meters)'!AE54:AG54)+SUM('Monthly Potable (Meters)'!AI54)+SUM('Monthly Potable (Meters)'!AK54:AZ54)</f>
        <v>6773</v>
      </c>
      <c r="J53">
        <f>SUM('Monthly Potable (Meters)'!AH54)+SUM('Monthly Potable (Meters)'!AJ54)</f>
        <v>40</v>
      </c>
      <c r="K53">
        <f>SUM('Monthly Potable (Meters)'!C54)+SUM('Monthly Potable (Meters)'!I54)+SUM('Monthly Potable (Meters)'!L54)+SUM('Monthly Potable (Meters)'!N54)+SUM('Monthly Potable (Meters)'!Q54)+SUM('Monthly Potable (Meters)'!U54)+SUM('Monthly Potable (Meters)'!X54)+SUM('Monthly Potable (Meters)'!AB54:AD54)+SUM('Monthly Potable (Meters)'!BF54)+SUM('Monthly Potable (Meters)'!BI54)+SUM('Monthly Potable (Meters)'!BL54)+SUM('Monthly Potable (Meters)'!BO54)+SUM('Monthly Potable (Meters)'!BR54)+SUM('Monthly Potable (Meters)'!BV54)+SUM('Monthly Potable (Meters)'!BY54)+SUM('Monthly Potable (Meters)'!CC54)+SUM('Monthly Potable (Meters)'!CE54)+SUM('Monthly Potable (Meters)'!CH54:CM54)+SUM('Monthly Potable (Meters)'!CO54:DI54)</f>
        <v>2966</v>
      </c>
      <c r="L53">
        <f>SUM('Monthly Potable (Meters)'!E54)</f>
        <v>2984</v>
      </c>
      <c r="M53">
        <f>SUM('Monthly Potable (Meters)'!AA54)</f>
        <v>0</v>
      </c>
    </row>
    <row r="54" spans="1:13" ht="16" x14ac:dyDescent="0.2">
      <c r="A54" s="156">
        <v>44958</v>
      </c>
      <c r="B54">
        <f>SUM('Monthly Potable (Meters)'!D55)</f>
        <v>3124</v>
      </c>
      <c r="C54">
        <f>SUM('Monthly Potable (Meters)'!P55)+SUM('Monthly Potable (Meters)'!R55)+SUM('Monthly Potable (Meters)'!T55)+SUM('Monthly Potable (Meters)'!V55)+SUM('Monthly Potable (Meters)'!W55)</f>
        <v>299</v>
      </c>
      <c r="D54">
        <f>SUM('Monthly Potable (Meters)'!M55)</f>
        <v>0</v>
      </c>
      <c r="E54" t="e">
        <f>SUM(#REF!)</f>
        <v>#REF!</v>
      </c>
      <c r="F54">
        <f>SUM('Monthly Potable (Meters)'!BA55:BE55)+SUM('Monthly Potable (Meters)'!BG55:BH55)+SUM('Monthly Potable (Meters)'!BJ55:BK55)+SUM('Monthly Potable (Meters)'!BM55:BN55)+SUM('Monthly Potable (Meters)'!BP55:BQ55)+SUM('Monthly Potable (Meters)'!BS55:BU55)+SUM('Monthly Potable (Meters)'!BW55:BX55)+SUM('Monthly Potable (Meters)'!BZ55:CB55)+SUM('Monthly Potable (Meters)'!CD55:CF55)</f>
        <v>10997</v>
      </c>
      <c r="G54">
        <f>SUM('Monthly Potable (Meters)'!B55)+SUM('Monthly Potable (Meters)'!S55)</f>
        <v>1727</v>
      </c>
      <c r="H54">
        <f>SUM('Monthly Potable (Meters)'!G55:H55)+SUM('Monthly Potable (Meters)'!J55:K55)+SUM('Monthly Potable (Meters)'!Y55:Z55)</f>
        <v>213</v>
      </c>
      <c r="I54">
        <f>SUM('Monthly Potable (Meters)'!AE55:AG55)+SUM('Monthly Potable (Meters)'!AI55)+SUM('Monthly Potable (Meters)'!AK55:AZ55)</f>
        <v>7785</v>
      </c>
      <c r="J54">
        <f>SUM('Monthly Potable (Meters)'!AH55)+SUM('Monthly Potable (Meters)'!AJ55)</f>
        <v>38</v>
      </c>
      <c r="K54">
        <f>SUM('Monthly Potable (Meters)'!C55)+SUM('Monthly Potable (Meters)'!I55)+SUM('Monthly Potable (Meters)'!L55)+SUM('Monthly Potable (Meters)'!N55)+SUM('Monthly Potable (Meters)'!Q55)+SUM('Monthly Potable (Meters)'!U55)+SUM('Monthly Potable (Meters)'!X55)+SUM('Monthly Potable (Meters)'!AB55:AD55)+SUM('Monthly Potable (Meters)'!BF55)+SUM('Monthly Potable (Meters)'!BI55)+SUM('Monthly Potable (Meters)'!BL55)+SUM('Monthly Potable (Meters)'!BO55)+SUM('Monthly Potable (Meters)'!BR55)+SUM('Monthly Potable (Meters)'!BV55)+SUM('Monthly Potable (Meters)'!BY55)+SUM('Monthly Potable (Meters)'!CC55)+SUM('Monthly Potable (Meters)'!CE55)+SUM('Monthly Potable (Meters)'!CH55:CM55)+SUM('Monthly Potable (Meters)'!CO55:DI55)</f>
        <v>2419</v>
      </c>
      <c r="L54">
        <f>SUM('Monthly Potable (Meters)'!E55)</f>
        <v>2680</v>
      </c>
      <c r="M54">
        <f>SUM('Monthly Potable (Meters)'!AA55)</f>
        <v>0</v>
      </c>
    </row>
    <row r="55" spans="1:13" ht="16" x14ac:dyDescent="0.2">
      <c r="A55" s="156">
        <v>44986</v>
      </c>
      <c r="B55">
        <f>SUM('Monthly Potable (Meters)'!D56)</f>
        <v>3028</v>
      </c>
      <c r="C55">
        <f>SUM('Monthly Potable (Meters)'!P56)+SUM('Monthly Potable (Meters)'!R56)+SUM('Monthly Potable (Meters)'!T56)+SUM('Monthly Potable (Meters)'!V56)+SUM('Monthly Potable (Meters)'!W56)</f>
        <v>260</v>
      </c>
      <c r="D55">
        <f>SUM('Monthly Potable (Meters)'!M56)</f>
        <v>0</v>
      </c>
      <c r="E55" t="e">
        <f>SUM(#REF!)</f>
        <v>#REF!</v>
      </c>
      <c r="F55">
        <f>SUM('Monthly Potable (Meters)'!BA56:BE56)+SUM('Monthly Potable (Meters)'!BG56:BH56)+SUM('Monthly Potable (Meters)'!BJ56:BK56)+SUM('Monthly Potable (Meters)'!BM56:BN56)+SUM('Monthly Potable (Meters)'!BP56:BQ56)+SUM('Monthly Potable (Meters)'!BS56:BU56)+SUM('Monthly Potable (Meters)'!BW56:BX56)+SUM('Monthly Potable (Meters)'!BZ56:CB56)+SUM('Monthly Potable (Meters)'!CD56:CF56)</f>
        <v>12505</v>
      </c>
      <c r="G55">
        <f>SUM('Monthly Potable (Meters)'!B56)+SUM('Monthly Potable (Meters)'!S56)</f>
        <v>3550</v>
      </c>
      <c r="H55">
        <f>SUM('Monthly Potable (Meters)'!G56:H56)+SUM('Monthly Potable (Meters)'!J56:K56)+SUM('Monthly Potable (Meters)'!Y56:Z56)</f>
        <v>227</v>
      </c>
      <c r="I55">
        <f>SUM('Monthly Potable (Meters)'!AE56:AG56)+SUM('Monthly Potable (Meters)'!AI56)+SUM('Monthly Potable (Meters)'!AK56:AZ56)</f>
        <v>8745</v>
      </c>
      <c r="J55">
        <f>SUM('Monthly Potable (Meters)'!AH56)+SUM('Monthly Potable (Meters)'!AJ56)</f>
        <v>34</v>
      </c>
      <c r="K55">
        <f>SUM('Monthly Potable (Meters)'!C56)+SUM('Monthly Potable (Meters)'!I56)+SUM('Monthly Potable (Meters)'!L56)+SUM('Monthly Potable (Meters)'!N56)+SUM('Monthly Potable (Meters)'!Q56)+SUM('Monthly Potable (Meters)'!U56)+SUM('Monthly Potable (Meters)'!X56)+SUM('Monthly Potable (Meters)'!AB56:AD56)+SUM('Monthly Potable (Meters)'!BF56)+SUM('Monthly Potable (Meters)'!BI56)+SUM('Monthly Potable (Meters)'!BL56)+SUM('Monthly Potable (Meters)'!BO56)+SUM('Monthly Potable (Meters)'!BR56)+SUM('Monthly Potable (Meters)'!BV56)+SUM('Monthly Potable (Meters)'!BY56)+SUM('Monthly Potable (Meters)'!CC56)+SUM('Monthly Potable (Meters)'!CE56)+SUM('Monthly Potable (Meters)'!CH56:CM56)+SUM('Monthly Potable (Meters)'!CO56:DI56)</f>
        <v>2685</v>
      </c>
      <c r="L55">
        <f>SUM('Monthly Potable (Meters)'!E56)</f>
        <v>3095</v>
      </c>
      <c r="M55">
        <f>SUM('Monthly Potable (Meters)'!AA56)</f>
        <v>0</v>
      </c>
    </row>
    <row r="56" spans="1:13" ht="16" x14ac:dyDescent="0.2">
      <c r="A56" s="156">
        <v>45017</v>
      </c>
      <c r="B56">
        <f>SUM('Monthly Potable (Meters)'!D57)</f>
        <v>3089</v>
      </c>
      <c r="C56">
        <f>SUM('Monthly Potable (Meters)'!P57)+SUM('Monthly Potable (Meters)'!R57)+SUM('Monthly Potable (Meters)'!T57)+SUM('Monthly Potable (Meters)'!V57)+SUM('Monthly Potable (Meters)'!W57)</f>
        <v>267</v>
      </c>
      <c r="D56">
        <f>SUM('Monthly Potable (Meters)'!M57)</f>
        <v>0</v>
      </c>
      <c r="E56" t="e">
        <f>SUM(#REF!)</f>
        <v>#REF!</v>
      </c>
      <c r="F56">
        <f>SUM('Monthly Potable (Meters)'!BA57:BE57)+SUM('Monthly Potable (Meters)'!BG57:BH57)+SUM('Monthly Potable (Meters)'!BJ57:BK57)+SUM('Monthly Potable (Meters)'!BM57:BN57)+SUM('Monthly Potable (Meters)'!BP57:BQ57)+SUM('Monthly Potable (Meters)'!BS57:BU57)+SUM('Monthly Potable (Meters)'!BW57:BX57)+SUM('Monthly Potable (Meters)'!BZ57:CB57)+SUM('Monthly Potable (Meters)'!CD57:CF57)</f>
        <v>11259</v>
      </c>
      <c r="G56">
        <f>SUM('Monthly Potable (Meters)'!B57)+SUM('Monthly Potable (Meters)'!S57)</f>
        <v>5861</v>
      </c>
      <c r="H56">
        <f>SUM('Monthly Potable (Meters)'!G57:H57)+SUM('Monthly Potable (Meters)'!J57:K57)+SUM('Monthly Potable (Meters)'!Y57:Z57)</f>
        <v>631</v>
      </c>
      <c r="I56">
        <f>SUM('Monthly Potable (Meters)'!AE57:AG57)+SUM('Monthly Potable (Meters)'!AI57)+SUM('Monthly Potable (Meters)'!AK57:AZ57)</f>
        <v>9934</v>
      </c>
      <c r="J56">
        <f>SUM('Monthly Potable (Meters)'!AH57)+SUM('Monthly Potable (Meters)'!AJ57)</f>
        <v>38</v>
      </c>
      <c r="K56">
        <f>SUM('Monthly Potable (Meters)'!C57)+SUM('Monthly Potable (Meters)'!I57)+SUM('Monthly Potable (Meters)'!L57)+SUM('Monthly Potable (Meters)'!N57)+SUM('Monthly Potable (Meters)'!Q57)+SUM('Monthly Potable (Meters)'!U57)+SUM('Monthly Potable (Meters)'!X57)+SUM('Monthly Potable (Meters)'!AB57:AD57)+SUM('Monthly Potable (Meters)'!BF57)+SUM('Monthly Potable (Meters)'!BI57)+SUM('Monthly Potable (Meters)'!BL57)+SUM('Monthly Potable (Meters)'!BO57)+SUM('Monthly Potable (Meters)'!BR57)+SUM('Monthly Potable (Meters)'!BV57)+SUM('Monthly Potable (Meters)'!BY57)+SUM('Monthly Potable (Meters)'!CC57)+SUM('Monthly Potable (Meters)'!CE57)+SUM('Monthly Potable (Meters)'!CH57:CM57)+SUM('Monthly Potable (Meters)'!CO57:DI57)</f>
        <v>2326</v>
      </c>
      <c r="L56">
        <f>SUM('Monthly Potable (Meters)'!E57)</f>
        <v>3287</v>
      </c>
      <c r="M56">
        <f>SUM('Monthly Potable (Meters)'!AA57)</f>
        <v>0</v>
      </c>
    </row>
    <row r="57" spans="1:13" ht="16" x14ac:dyDescent="0.2">
      <c r="A57" s="156">
        <v>45047</v>
      </c>
      <c r="B57">
        <f>SUM('Monthly Potable (Meters)'!D58)</f>
        <v>2720</v>
      </c>
      <c r="C57">
        <f>SUM('Monthly Potable (Meters)'!P58)+SUM('Monthly Potable (Meters)'!R58)+SUM('Monthly Potable (Meters)'!T58)+SUM('Monthly Potable (Meters)'!V58)+SUM('Monthly Potable (Meters)'!W58)</f>
        <v>316</v>
      </c>
      <c r="D57">
        <f>SUM('Monthly Potable (Meters)'!M58)</f>
        <v>0</v>
      </c>
      <c r="E57" t="e">
        <f>SUM(#REF!)</f>
        <v>#REF!</v>
      </c>
      <c r="F57">
        <f>SUM('Monthly Potable (Meters)'!BA58:BE58)+SUM('Monthly Potable (Meters)'!BG58:BH58)+SUM('Monthly Potable (Meters)'!BJ58:BK58)+SUM('Monthly Potable (Meters)'!BM58:BN58)+SUM('Monthly Potable (Meters)'!BP58:BQ58)+SUM('Monthly Potable (Meters)'!BS58:BU58)+SUM('Monthly Potable (Meters)'!BW58:BX58)+SUM('Monthly Potable (Meters)'!BZ58:CB58)+SUM('Monthly Potable (Meters)'!CD58:CF58)</f>
        <v>10377</v>
      </c>
      <c r="G57">
        <f>SUM('Monthly Potable (Meters)'!B58)+SUM('Monthly Potable (Meters)'!S58)</f>
        <v>9229</v>
      </c>
      <c r="H57">
        <f>SUM('Monthly Potable (Meters)'!G58:H58)+SUM('Monthly Potable (Meters)'!J58:K58)+SUM('Monthly Potable (Meters)'!Y58:Z58)</f>
        <v>353</v>
      </c>
      <c r="I57">
        <f>SUM('Monthly Potable (Meters)'!AE58:AG58)+SUM('Monthly Potable (Meters)'!AI58)+SUM('Monthly Potable (Meters)'!AK58:AZ58)</f>
        <v>8056</v>
      </c>
      <c r="J57">
        <f>SUM('Monthly Potable (Meters)'!AH58)+SUM('Monthly Potable (Meters)'!AJ58)</f>
        <v>32</v>
      </c>
      <c r="K57">
        <f>SUM('Monthly Potable (Meters)'!C58)+SUM('Monthly Potable (Meters)'!I58)+SUM('Monthly Potable (Meters)'!L58)+SUM('Monthly Potable (Meters)'!N58)+SUM('Monthly Potable (Meters)'!Q58)+SUM('Monthly Potable (Meters)'!U58)+SUM('Monthly Potable (Meters)'!X58)+SUM('Monthly Potable (Meters)'!AB58:AD58)+SUM('Monthly Potable (Meters)'!BF58)+SUM('Monthly Potable (Meters)'!BI58)+SUM('Monthly Potable (Meters)'!BL58)+SUM('Monthly Potable (Meters)'!BO58)+SUM('Monthly Potable (Meters)'!BR58)+SUM('Monthly Potable (Meters)'!BV58)+SUM('Monthly Potable (Meters)'!BY58)+SUM('Monthly Potable (Meters)'!CC58)+SUM('Monthly Potable (Meters)'!CE58)+SUM('Monthly Potable (Meters)'!CH58:CM58)+SUM('Monthly Potable (Meters)'!CO58:DI58)</f>
        <v>2163</v>
      </c>
      <c r="L57">
        <f>SUM('Monthly Potable (Meters)'!E58)</f>
        <v>3086</v>
      </c>
      <c r="M57">
        <f>SUM('Monthly Potable (Meters)'!AA58)</f>
        <v>0</v>
      </c>
    </row>
    <row r="58" spans="1:13" ht="16" x14ac:dyDescent="0.2">
      <c r="A58" s="156">
        <v>45078</v>
      </c>
      <c r="B58">
        <f>SUM('Monthly Potable (Meters)'!D59)</f>
        <v>2681</v>
      </c>
      <c r="C58">
        <f>SUM('Monthly Potable (Meters)'!P59)+SUM('Monthly Potable (Meters)'!R59)+SUM('Monthly Potable (Meters)'!T59)+SUM('Monthly Potable (Meters)'!V59)+SUM('Monthly Potable (Meters)'!W59)</f>
        <v>351</v>
      </c>
      <c r="D58">
        <f>SUM('Monthly Potable (Meters)'!M59)</f>
        <v>0</v>
      </c>
      <c r="E58" t="e">
        <f>SUM(#REF!)</f>
        <v>#REF!</v>
      </c>
      <c r="F58">
        <f>SUM('Monthly Potable (Meters)'!BA59:BE59)+SUM('Monthly Potable (Meters)'!BG59:BH59)+SUM('Monthly Potable (Meters)'!BJ59:BK59)+SUM('Monthly Potable (Meters)'!BM59:BN59)+SUM('Monthly Potable (Meters)'!BP59:BQ59)+SUM('Monthly Potable (Meters)'!BS59:BU59)+SUM('Monthly Potable (Meters)'!BW59:BX59)+SUM('Monthly Potable (Meters)'!BZ59:CB59)+SUM('Monthly Potable (Meters)'!CD59:CF59)</f>
        <v>6477</v>
      </c>
      <c r="G58">
        <f>SUM('Monthly Potable (Meters)'!B59)+SUM('Monthly Potable (Meters)'!S59)</f>
        <v>11403</v>
      </c>
      <c r="H58">
        <f>SUM('Monthly Potable (Meters)'!G59:H59)+SUM('Monthly Potable (Meters)'!J59:K59)+SUM('Monthly Potable (Meters)'!Y59:Z59)</f>
        <v>298</v>
      </c>
      <c r="I58">
        <f>SUM('Monthly Potable (Meters)'!AE59:AG59)+SUM('Monthly Potable (Meters)'!AI59)+SUM('Monthly Potable (Meters)'!AK59:AZ59)</f>
        <v>7276</v>
      </c>
      <c r="J58">
        <f>SUM('Monthly Potable (Meters)'!AH59)+SUM('Monthly Potable (Meters)'!AJ59)</f>
        <v>28</v>
      </c>
      <c r="K58">
        <f>SUM('Monthly Potable (Meters)'!C59)+SUM('Monthly Potable (Meters)'!I59)+SUM('Monthly Potable (Meters)'!L59)+SUM('Monthly Potable (Meters)'!N59)+SUM('Monthly Potable (Meters)'!Q59)+SUM('Monthly Potable (Meters)'!U59)+SUM('Monthly Potable (Meters)'!X59)+SUM('Monthly Potable (Meters)'!AB59:AD59)+SUM('Monthly Potable (Meters)'!BF59)+SUM('Monthly Potable (Meters)'!BI59)+SUM('Monthly Potable (Meters)'!BL59)+SUM('Monthly Potable (Meters)'!BO59)+SUM('Monthly Potable (Meters)'!BR59)+SUM('Monthly Potable (Meters)'!BV59)+SUM('Monthly Potable (Meters)'!BY59)+SUM('Monthly Potable (Meters)'!CC59)+SUM('Monthly Potable (Meters)'!CE59)+SUM('Monthly Potable (Meters)'!CH59:CM59)+SUM('Monthly Potable (Meters)'!CO59:DI59)</f>
        <v>2191</v>
      </c>
      <c r="L58">
        <f>SUM('Monthly Potable (Meters)'!E59)</f>
        <v>3015</v>
      </c>
      <c r="M58">
        <f>SUM('Monthly Potable (Meters)'!AA59)</f>
        <v>0</v>
      </c>
    </row>
    <row r="59" spans="1:13" ht="16" x14ac:dyDescent="0.2">
      <c r="A59" s="156">
        <v>45108</v>
      </c>
      <c r="B59">
        <f>SUM('Monthly Potable (Meters)'!D60)</f>
        <v>3153</v>
      </c>
      <c r="C59">
        <f>SUM('Monthly Potable (Meters)'!P60)+SUM('Monthly Potable (Meters)'!R60)+SUM('Monthly Potable (Meters)'!T60)+SUM('Monthly Potable (Meters)'!V60)+SUM('Monthly Potable (Meters)'!W60)</f>
        <v>416</v>
      </c>
      <c r="D59">
        <f>SUM('Monthly Potable (Meters)'!M60)</f>
        <v>0</v>
      </c>
      <c r="E59" t="e">
        <f>SUM(#REF!)</f>
        <v>#REF!</v>
      </c>
      <c r="F59">
        <f>SUM('Monthly Potable (Meters)'!BA60:BE60)+SUM('Monthly Potable (Meters)'!BG60:BH60)+SUM('Monthly Potable (Meters)'!BJ60:BK60)+SUM('Monthly Potable (Meters)'!BM60:BN60)+SUM('Monthly Potable (Meters)'!BP60:BQ60)+SUM('Monthly Potable (Meters)'!BS60:BU60)+SUM('Monthly Potable (Meters)'!BW60:BX60)+SUM('Monthly Potable (Meters)'!BZ60:CB60)+SUM('Monthly Potable (Meters)'!CD60:CF60)</f>
        <v>5100</v>
      </c>
      <c r="G59">
        <f>SUM('Monthly Potable (Meters)'!B60)+SUM('Monthly Potable (Meters)'!S60)</f>
        <v>12405</v>
      </c>
      <c r="H59">
        <f>SUM('Monthly Potable (Meters)'!G60:H60)+SUM('Monthly Potable (Meters)'!J60:K60)+SUM('Monthly Potable (Meters)'!Y60:Z60)</f>
        <v>455</v>
      </c>
      <c r="I59">
        <f>SUM('Monthly Potable (Meters)'!AE60:AG60)+SUM('Monthly Potable (Meters)'!AI60)+SUM('Monthly Potable (Meters)'!AK60:AZ60)</f>
        <v>7936</v>
      </c>
      <c r="J59">
        <f>SUM('Monthly Potable (Meters)'!AH60)+SUM('Monthly Potable (Meters)'!AJ60)</f>
        <v>28</v>
      </c>
      <c r="K59">
        <f>SUM('Monthly Potable (Meters)'!C60)+SUM('Monthly Potable (Meters)'!I60)+SUM('Monthly Potable (Meters)'!L60)+SUM('Monthly Potable (Meters)'!N60)+SUM('Monthly Potable (Meters)'!Q60)+SUM('Monthly Potable (Meters)'!U60)+SUM('Monthly Potable (Meters)'!X60)+SUM('Monthly Potable (Meters)'!AB60:AD60)+SUM('Monthly Potable (Meters)'!BF60)+SUM('Monthly Potable (Meters)'!BI60)+SUM('Monthly Potable (Meters)'!BL60)+SUM('Monthly Potable (Meters)'!BO60)+SUM('Monthly Potable (Meters)'!BR60)+SUM('Monthly Potable (Meters)'!BV60)+SUM('Monthly Potable (Meters)'!BY60)+SUM('Monthly Potable (Meters)'!CC60)+SUM('Monthly Potable (Meters)'!CE60)+SUM('Monthly Potable (Meters)'!CH60:CM60)+SUM('Monthly Potable (Meters)'!CO60:DI60)</f>
        <v>1929</v>
      </c>
      <c r="L59">
        <f>SUM('Monthly Potable (Meters)'!E60)</f>
        <v>3033</v>
      </c>
      <c r="M59">
        <f>SUM('Monthly Potable (Meters)'!AA60)</f>
        <v>0</v>
      </c>
    </row>
    <row r="60" spans="1:13" ht="16" x14ac:dyDescent="0.2">
      <c r="A60" s="156">
        <v>45139</v>
      </c>
      <c r="B60">
        <f>SUM('Monthly Potable (Meters)'!D61)</f>
        <v>2927</v>
      </c>
      <c r="C60">
        <f>SUM('Monthly Potable (Meters)'!P61)+SUM('Monthly Potable (Meters)'!R61)+SUM('Monthly Potable (Meters)'!T61)+SUM('Monthly Potable (Meters)'!V61)+SUM('Monthly Potable (Meters)'!W61)</f>
        <v>459</v>
      </c>
      <c r="D60">
        <f>SUM('Monthly Potable (Meters)'!M61)</f>
        <v>0</v>
      </c>
      <c r="E60" t="e">
        <f>SUM(#REF!)</f>
        <v>#REF!</v>
      </c>
      <c r="F60">
        <f>SUM('Monthly Potable (Meters)'!BA61:BE61)+SUM('Monthly Potable (Meters)'!BG61:BH61)+SUM('Monthly Potable (Meters)'!BJ61:BK61)+SUM('Monthly Potable (Meters)'!BM61:BN61)+SUM('Monthly Potable (Meters)'!BP61:BQ61)+SUM('Monthly Potable (Meters)'!BS61:BU61)+SUM('Monthly Potable (Meters)'!BW61:BX61)+SUM('Monthly Potable (Meters)'!BZ61:CB61)+SUM('Monthly Potable (Meters)'!CD61:CF61)</f>
        <v>3959</v>
      </c>
      <c r="G60">
        <f>SUM('Monthly Potable (Meters)'!B61)+SUM('Monthly Potable (Meters)'!S61)</f>
        <v>11967</v>
      </c>
      <c r="H60">
        <f>SUM('Monthly Potable (Meters)'!G61:H61)+SUM('Monthly Potable (Meters)'!J61:K61)+SUM('Monthly Potable (Meters)'!Y61:Z61)</f>
        <v>354</v>
      </c>
      <c r="I60">
        <f>SUM('Monthly Potable (Meters)'!AE61:AG61)+SUM('Monthly Potable (Meters)'!AI61)+SUM('Monthly Potable (Meters)'!AK61:AZ61)</f>
        <v>7064</v>
      </c>
      <c r="J60">
        <f>SUM('Monthly Potable (Meters)'!AH61)+SUM('Monthly Potable (Meters)'!AJ61)</f>
        <v>26</v>
      </c>
      <c r="K60">
        <f>SUM('Monthly Potable (Meters)'!C61)+SUM('Monthly Potable (Meters)'!I61)+SUM('Monthly Potable (Meters)'!L61)+SUM('Monthly Potable (Meters)'!N61)+SUM('Monthly Potable (Meters)'!Q61)+SUM('Monthly Potable (Meters)'!U61)+SUM('Monthly Potable (Meters)'!X61)+SUM('Monthly Potable (Meters)'!AB61:AD61)+SUM('Monthly Potable (Meters)'!BF61)+SUM('Monthly Potable (Meters)'!BI61)+SUM('Monthly Potable (Meters)'!BL61)+SUM('Monthly Potable (Meters)'!BO61)+SUM('Monthly Potable (Meters)'!BR61)+SUM('Monthly Potable (Meters)'!BV61)+SUM('Monthly Potable (Meters)'!BY61)+SUM('Monthly Potable (Meters)'!CC61)+SUM('Monthly Potable (Meters)'!CE61)+SUM('Monthly Potable (Meters)'!CH61:CM61)+SUM('Monthly Potable (Meters)'!CO61:DI61)</f>
        <v>934</v>
      </c>
      <c r="L60">
        <f>SUM('Monthly Potable (Meters)'!E61)</f>
        <v>2162</v>
      </c>
      <c r="M60">
        <f>SUM('Monthly Potable (Meters)'!AA61)</f>
        <v>0</v>
      </c>
    </row>
    <row r="61" spans="1:13" ht="16" x14ac:dyDescent="0.2">
      <c r="A61" s="156">
        <v>45170</v>
      </c>
      <c r="B61">
        <f>SUM('Monthly Potable (Meters)'!D62)</f>
        <v>2965</v>
      </c>
      <c r="C61">
        <f>SUM('Monthly Potable (Meters)'!P62)+SUM('Monthly Potable (Meters)'!R62)+SUM('Monthly Potable (Meters)'!T62)+SUM('Monthly Potable (Meters)'!V62)+SUM('Monthly Potable (Meters)'!W62)</f>
        <v>3361</v>
      </c>
      <c r="D61">
        <f>SUM('Monthly Potable (Meters)'!M62)</f>
        <v>0</v>
      </c>
      <c r="E61" t="e">
        <f>SUM(#REF!)</f>
        <v>#REF!</v>
      </c>
      <c r="F61">
        <f>SUM('Monthly Potable (Meters)'!BA62:BE62)+SUM('Monthly Potable (Meters)'!BG62:BH62)+SUM('Monthly Potable (Meters)'!BJ62:BK62)+SUM('Monthly Potable (Meters)'!BM62:BN62)+SUM('Monthly Potable (Meters)'!BP62:BQ62)+SUM('Monthly Potable (Meters)'!BS62:BU62)+SUM('Monthly Potable (Meters)'!BW62:BX62)+SUM('Monthly Potable (Meters)'!BZ62:CB62)+SUM('Monthly Potable (Meters)'!CD62:CF62)</f>
        <v>11426</v>
      </c>
      <c r="G61">
        <f>SUM('Monthly Potable (Meters)'!B62)+SUM('Monthly Potable (Meters)'!S62)</f>
        <v>11433</v>
      </c>
      <c r="H61">
        <f>SUM('Monthly Potable (Meters)'!G62:H62)+SUM('Monthly Potable (Meters)'!J62:K62)+SUM('Monthly Potable (Meters)'!Y62:Z62)</f>
        <v>459</v>
      </c>
      <c r="I61">
        <f>SUM('Monthly Potable (Meters)'!AE62:AG62)+SUM('Monthly Potable (Meters)'!AI62)+SUM('Monthly Potable (Meters)'!AK62:AZ62)</f>
        <v>9199</v>
      </c>
      <c r="J61">
        <f>SUM('Monthly Potable (Meters)'!AH62)+SUM('Monthly Potable (Meters)'!AJ62)</f>
        <v>30</v>
      </c>
      <c r="K61">
        <f>SUM('Monthly Potable (Meters)'!C62)+SUM('Monthly Potable (Meters)'!I62)+SUM('Monthly Potable (Meters)'!L62)+SUM('Monthly Potable (Meters)'!N62)+SUM('Monthly Potable (Meters)'!Q62)+SUM('Monthly Potable (Meters)'!U62)+SUM('Monthly Potable (Meters)'!X62)+SUM('Monthly Potable (Meters)'!AB62:AD62)+SUM('Monthly Potable (Meters)'!BF62)+SUM('Monthly Potable (Meters)'!BI62)+SUM('Monthly Potable (Meters)'!BL62)+SUM('Monthly Potable (Meters)'!BO62)+SUM('Monthly Potable (Meters)'!BR62)+SUM('Monthly Potable (Meters)'!BV62)+SUM('Monthly Potable (Meters)'!BY62)+SUM('Monthly Potable (Meters)'!CC62)+SUM('Monthly Potable (Meters)'!CE62)+SUM('Monthly Potable (Meters)'!CH62:CM62)+SUM('Monthly Potable (Meters)'!CO62:DI62)</f>
        <v>788</v>
      </c>
      <c r="L61">
        <f>SUM('Monthly Potable (Meters)'!E62)</f>
        <v>3324</v>
      </c>
      <c r="M61">
        <f>SUM('Monthly Potable (Meters)'!AA62)</f>
        <v>0</v>
      </c>
    </row>
    <row r="62" spans="1:13" ht="16" x14ac:dyDescent="0.2">
      <c r="A62" s="156">
        <v>45200</v>
      </c>
      <c r="B62">
        <f>SUM('Monthly Potable (Meters)'!D63)</f>
        <v>3839</v>
      </c>
      <c r="C62">
        <f>SUM('Monthly Potable (Meters)'!P63)+SUM('Monthly Potable (Meters)'!R63)+SUM('Monthly Potable (Meters)'!T63)+SUM('Monthly Potable (Meters)'!V63)+SUM('Monthly Potable (Meters)'!W63)</f>
        <v>2351</v>
      </c>
      <c r="D62">
        <f>SUM('Monthly Potable (Meters)'!M63)</f>
        <v>0</v>
      </c>
      <c r="E62" t="e">
        <f>SUM(#REF!)</f>
        <v>#REF!</v>
      </c>
      <c r="F62">
        <f>SUM('Monthly Potable (Meters)'!BA63:BE63)+SUM('Monthly Potable (Meters)'!BG63:BH63)+SUM('Monthly Potable (Meters)'!BJ63:BK63)+SUM('Monthly Potable (Meters)'!BM63:BN63)+SUM('Monthly Potable (Meters)'!BP63:BQ63)+SUM('Monthly Potable (Meters)'!BS63:BU63)+SUM('Monthly Potable (Meters)'!BW63:BX63)+SUM('Monthly Potable (Meters)'!BZ63:CB63)+SUM('Monthly Potable (Meters)'!CD63:CF63)</f>
        <v>12644</v>
      </c>
      <c r="G62">
        <f>SUM('Monthly Potable (Meters)'!B63)+SUM('Monthly Potable (Meters)'!S63)</f>
        <v>9030</v>
      </c>
      <c r="H62">
        <f>SUM('Monthly Potable (Meters)'!G63:H63)+SUM('Monthly Potable (Meters)'!J63:K63)+SUM('Monthly Potable (Meters)'!Y63:Z63)</f>
        <v>460</v>
      </c>
      <c r="I62">
        <f>SUM('Monthly Potable (Meters)'!AE63:AG63)+SUM('Monthly Potable (Meters)'!AI63)+SUM('Monthly Potable (Meters)'!AK63:AZ63)</f>
        <v>10293</v>
      </c>
      <c r="J62">
        <f>SUM('Monthly Potable (Meters)'!AH63)+SUM('Monthly Potable (Meters)'!AJ63)</f>
        <v>33</v>
      </c>
      <c r="K62">
        <f>SUM('Monthly Potable (Meters)'!C63)+SUM('Monthly Potable (Meters)'!I63)+SUM('Monthly Potable (Meters)'!L63)+SUM('Monthly Potable (Meters)'!N63)+SUM('Monthly Potable (Meters)'!Q63)+SUM('Monthly Potable (Meters)'!U63)+SUM('Monthly Potable (Meters)'!X63)+SUM('Monthly Potable (Meters)'!AB63:AD63)+SUM('Monthly Potable (Meters)'!BF63)+SUM('Monthly Potable (Meters)'!BI63)+SUM('Monthly Potable (Meters)'!BL63)+SUM('Monthly Potable (Meters)'!BO63)+SUM('Monthly Potable (Meters)'!BR63)+SUM('Monthly Potable (Meters)'!BV63)+SUM('Monthly Potable (Meters)'!BY63)+SUM('Monthly Potable (Meters)'!CC63)+SUM('Monthly Potable (Meters)'!CE63)+SUM('Monthly Potable (Meters)'!CH63:CM63)+SUM('Monthly Potable (Meters)'!CO63:DI63)</f>
        <v>1323</v>
      </c>
      <c r="L62">
        <f>SUM('Monthly Potable (Meters)'!E63)</f>
        <v>3561</v>
      </c>
      <c r="M62">
        <f>SUM('Monthly Potable (Meters)'!AA63)</f>
        <v>0</v>
      </c>
    </row>
    <row r="63" spans="1:13" ht="16" x14ac:dyDescent="0.2">
      <c r="A63" s="156">
        <v>45231</v>
      </c>
      <c r="B63">
        <f>SUM('Monthly Potable (Meters)'!D64)</f>
        <v>3619</v>
      </c>
      <c r="C63">
        <f>SUM('Monthly Potable (Meters)'!P64)+SUM('Monthly Potable (Meters)'!R64)+SUM('Monthly Potable (Meters)'!T64)+SUM('Monthly Potable (Meters)'!V64)+SUM('Monthly Potable (Meters)'!W64)</f>
        <v>3727</v>
      </c>
      <c r="D63">
        <f>SUM('Monthly Potable (Meters)'!M64)</f>
        <v>0</v>
      </c>
      <c r="E63" t="e">
        <f>SUM(#REF!)</f>
        <v>#REF!</v>
      </c>
      <c r="F63">
        <f>SUM('Monthly Potable (Meters)'!BA64:BE64)+SUM('Monthly Potable (Meters)'!BG64:BH64)+SUM('Monthly Potable (Meters)'!BJ64:BK64)+SUM('Monthly Potable (Meters)'!BM64:BN64)+SUM('Monthly Potable (Meters)'!BP64:BQ64)+SUM('Monthly Potable (Meters)'!BS64:BU64)+SUM('Monthly Potable (Meters)'!BW64:BX64)+SUM('Monthly Potable (Meters)'!BZ64:CB64)+SUM('Monthly Potable (Meters)'!CD64:CF64)</f>
        <v>12986</v>
      </c>
      <c r="G63">
        <f>SUM('Monthly Potable (Meters)'!B64)+SUM('Monthly Potable (Meters)'!S64)</f>
        <v>5627</v>
      </c>
      <c r="H63">
        <f>SUM('Monthly Potable (Meters)'!G64:H64)+SUM('Monthly Potable (Meters)'!J64:K64)+SUM('Monthly Potable (Meters)'!Y64:Z64)</f>
        <v>417</v>
      </c>
      <c r="I63">
        <f>SUM('Monthly Potable (Meters)'!AE64:AG64)+SUM('Monthly Potable (Meters)'!AI64)+SUM('Monthly Potable (Meters)'!AK64:AZ64)</f>
        <v>8459</v>
      </c>
      <c r="J63">
        <f>SUM('Monthly Potable (Meters)'!AH64)+SUM('Monthly Potable (Meters)'!AJ64)</f>
        <v>33</v>
      </c>
      <c r="K63">
        <f>SUM('Monthly Potable (Meters)'!C64)+SUM('Monthly Potable (Meters)'!I64)+SUM('Monthly Potable (Meters)'!L64)+SUM('Monthly Potable (Meters)'!N64)+SUM('Monthly Potable (Meters)'!Q64)+SUM('Monthly Potable (Meters)'!U64)+SUM('Monthly Potable (Meters)'!X64)+SUM('Monthly Potable (Meters)'!AB64:AD64)+SUM('Monthly Potable (Meters)'!BF64)+SUM('Monthly Potable (Meters)'!BI64)+SUM('Monthly Potable (Meters)'!BL64)+SUM('Monthly Potable (Meters)'!BO64)+SUM('Monthly Potable (Meters)'!BR64)+SUM('Monthly Potable (Meters)'!BV64)+SUM('Monthly Potable (Meters)'!BY64)+SUM('Monthly Potable (Meters)'!CC64)+SUM('Monthly Potable (Meters)'!CE64)+SUM('Monthly Potable (Meters)'!CH64:CM64)+SUM('Monthly Potable (Meters)'!CO64:DI64)</f>
        <v>1743</v>
      </c>
      <c r="L63">
        <f>SUM('Monthly Potable (Meters)'!E64)</f>
        <v>3102</v>
      </c>
      <c r="M63">
        <f>SUM('Monthly Potable (Meters)'!AA64)</f>
        <v>0</v>
      </c>
    </row>
    <row r="64" spans="1:13" ht="16" x14ac:dyDescent="0.2">
      <c r="A64" s="156">
        <v>45261</v>
      </c>
      <c r="B64">
        <f>SUM('Monthly Potable (Meters)'!D65)</f>
        <v>3183</v>
      </c>
      <c r="C64">
        <f>SUM('Monthly Potable (Meters)'!P65)+SUM('Monthly Potable (Meters)'!R65)+SUM('Monthly Potable (Meters)'!T65)+SUM('Monthly Potable (Meters)'!V65)+SUM('Monthly Potable (Meters)'!W65)</f>
        <v>471</v>
      </c>
      <c r="D64">
        <f>SUM('Monthly Potable (Meters)'!M65)</f>
        <v>0</v>
      </c>
      <c r="E64" t="e">
        <f>SUM(#REF!)</f>
        <v>#REF!</v>
      </c>
      <c r="F64">
        <f>SUM('Monthly Potable (Meters)'!BA65:BE65)+SUM('Monthly Potable (Meters)'!BG65:BH65)+SUM('Monthly Potable (Meters)'!BJ65:BK65)+SUM('Monthly Potable (Meters)'!BM65:BN65)+SUM('Monthly Potable (Meters)'!BP65:BQ65)+SUM('Monthly Potable (Meters)'!BS65:BU65)+SUM('Monthly Potable (Meters)'!BW65:BX65)+SUM('Monthly Potable (Meters)'!BZ65:CB65)+SUM('Monthly Potable (Meters)'!CD65:CF65)</f>
        <v>13339</v>
      </c>
      <c r="G64">
        <f>SUM('Monthly Potable (Meters)'!B65)+SUM('Monthly Potable (Meters)'!S65)</f>
        <v>2879</v>
      </c>
      <c r="H64">
        <f>SUM('Monthly Potable (Meters)'!G65:H65)+SUM('Monthly Potable (Meters)'!J65:K65)+SUM('Monthly Potable (Meters)'!Y65:Z65)</f>
        <v>297</v>
      </c>
      <c r="I64">
        <f>SUM('Monthly Potable (Meters)'!AE65:AG65)+SUM('Monthly Potable (Meters)'!AI65)+SUM('Monthly Potable (Meters)'!AK65:AZ65)</f>
        <v>8462</v>
      </c>
      <c r="J64">
        <f>SUM('Monthly Potable (Meters)'!AH65)+SUM('Monthly Potable (Meters)'!AJ65)</f>
        <v>33</v>
      </c>
      <c r="K64">
        <f>SUM('Monthly Potable (Meters)'!C65)+SUM('Monthly Potable (Meters)'!I65)+SUM('Monthly Potable (Meters)'!L65)+SUM('Monthly Potable (Meters)'!N65)+SUM('Monthly Potable (Meters)'!Q65)+SUM('Monthly Potable (Meters)'!U65)+SUM('Monthly Potable (Meters)'!X65)+SUM('Monthly Potable (Meters)'!AB65:AD65)+SUM('Monthly Potable (Meters)'!BF65)+SUM('Monthly Potable (Meters)'!BI65)+SUM('Monthly Potable (Meters)'!BL65)+SUM('Monthly Potable (Meters)'!BO65)+SUM('Monthly Potable (Meters)'!BR65)+SUM('Monthly Potable (Meters)'!BV65)+SUM('Monthly Potable (Meters)'!BY65)+SUM('Monthly Potable (Meters)'!CC65)+SUM('Monthly Potable (Meters)'!CE65)+SUM('Monthly Potable (Meters)'!CH65:CM65)+SUM('Monthly Potable (Meters)'!CO65:DI65)</f>
        <v>1977</v>
      </c>
      <c r="L64">
        <f>SUM('Monthly Potable (Meters)'!E65)</f>
        <v>3864</v>
      </c>
      <c r="M64">
        <f>SUM('Monthly Potable (Meters)'!AA65)</f>
        <v>0</v>
      </c>
    </row>
    <row r="65" spans="1:13" ht="16" x14ac:dyDescent="0.2">
      <c r="A65" s="156">
        <v>45292</v>
      </c>
      <c r="B65">
        <f>SUM('Monthly Potable (Meters)'!D66)</f>
        <v>2905</v>
      </c>
      <c r="C65">
        <f>SUM('Monthly Potable (Meters)'!P66)+SUM('Monthly Potable (Meters)'!R66)+SUM('Monthly Potable (Meters)'!T66)+SUM('Monthly Potable (Meters)'!V66)+SUM('Monthly Potable (Meters)'!W66)</f>
        <v>477</v>
      </c>
      <c r="D65">
        <f>SUM('Monthly Potable (Meters)'!M66)</f>
        <v>0</v>
      </c>
      <c r="E65" t="e">
        <f>SUM(#REF!)</f>
        <v>#REF!</v>
      </c>
      <c r="F65">
        <f>SUM('Monthly Potable (Meters)'!BA66:BE66)+SUM('Monthly Potable (Meters)'!BG66:BH66)+SUM('Monthly Potable (Meters)'!BJ66:BK66)+SUM('Monthly Potable (Meters)'!BM66:BN66)+SUM('Monthly Potable (Meters)'!BP66:BQ66)+SUM('Monthly Potable (Meters)'!BS66:BU66)+SUM('Monthly Potable (Meters)'!BW66:BX66)+SUM('Monthly Potable (Meters)'!BZ66:CB66)+SUM('Monthly Potable (Meters)'!CD66:CF66)</f>
        <v>5194</v>
      </c>
      <c r="G65">
        <f>SUM('Monthly Potable (Meters)'!B66)+SUM('Monthly Potable (Meters)'!S66)</f>
        <v>1638</v>
      </c>
      <c r="H65">
        <f>SUM('Monthly Potable (Meters)'!G66:H66)+SUM('Monthly Potable (Meters)'!J66:K66)+SUM('Monthly Potable (Meters)'!Y66:Z66)</f>
        <v>187</v>
      </c>
      <c r="I65">
        <f>SUM('Monthly Potable (Meters)'!AE66:AG66)+SUM('Monthly Potable (Meters)'!AI66)+SUM('Monthly Potable (Meters)'!AK66:AZ66)</f>
        <v>6337</v>
      </c>
      <c r="J65">
        <f>SUM('Monthly Potable (Meters)'!AH66)+SUM('Monthly Potable (Meters)'!AJ66)</f>
        <v>28</v>
      </c>
      <c r="K65">
        <f>SUM('Monthly Potable (Meters)'!C66)+SUM('Monthly Potable (Meters)'!I66)+SUM('Monthly Potable (Meters)'!L66)+SUM('Monthly Potable (Meters)'!N66)+SUM('Monthly Potable (Meters)'!Q66)+SUM('Monthly Potable (Meters)'!U66)+SUM('Monthly Potable (Meters)'!X66)+SUM('Monthly Potable (Meters)'!AB66:AD66)+SUM('Monthly Potable (Meters)'!BF66)+SUM('Monthly Potable (Meters)'!BI66)+SUM('Monthly Potable (Meters)'!BL66)+SUM('Monthly Potable (Meters)'!BO66)+SUM('Monthly Potable (Meters)'!BR66)+SUM('Monthly Potable (Meters)'!BV66)+SUM('Monthly Potable (Meters)'!BY66)+SUM('Monthly Potable (Meters)'!CC66)+SUM('Monthly Potable (Meters)'!CE66)+SUM('Monthly Potable (Meters)'!CH66:CM66)+SUM('Monthly Potable (Meters)'!CO66:DI66)</f>
        <v>1632</v>
      </c>
      <c r="L65">
        <f>SUM('Monthly Potable (Meters)'!E66)</f>
        <v>3068</v>
      </c>
      <c r="M65">
        <f>SUM('Monthly Potable (Meters)'!AA66)</f>
        <v>0</v>
      </c>
    </row>
    <row r="66" spans="1:13" ht="16" x14ac:dyDescent="0.2">
      <c r="A66" s="156">
        <v>45323</v>
      </c>
      <c r="B66">
        <f>SUM('Monthly Potable (Meters)'!D67)</f>
        <v>3318</v>
      </c>
      <c r="C66">
        <f>SUM('Monthly Potable (Meters)'!P67)+SUM('Monthly Potable (Meters)'!R67)+SUM('Monthly Potable (Meters)'!T67)+SUM('Monthly Potable (Meters)'!V67)+SUM('Monthly Potable (Meters)'!W67)</f>
        <v>342</v>
      </c>
      <c r="D66">
        <f>SUM('Monthly Potable (Meters)'!M67)</f>
        <v>679</v>
      </c>
      <c r="E66">
        <f>SUM('Monthly Potable (Meters)'!O67)</f>
        <v>2</v>
      </c>
      <c r="F66">
        <f>SUM('Monthly Potable (Meters)'!BA67:BE67)+SUM('Monthly Potable (Meters)'!BG67:BH67)+SUM('Monthly Potable (Meters)'!BJ67:BK67)+SUM('Monthly Potable (Meters)'!BM67:BN67)+SUM('Monthly Potable (Meters)'!BP67:BQ67)+SUM('Monthly Potable (Meters)'!BS67:BU67)+SUM('Monthly Potable (Meters)'!BW67:BX67)+SUM('Monthly Potable (Meters)'!BZ67:CB67)+SUM('Monthly Potable (Meters)'!CD67:CF67)</f>
        <v>9691</v>
      </c>
      <c r="G66">
        <f>SUM('Monthly Potable (Meters)'!B67)+SUM('Monthly Potable (Meters)'!S67)</f>
        <v>1841</v>
      </c>
      <c r="H66">
        <f>SUM('Monthly Potable (Meters)'!G67:H67)+SUM('Monthly Potable (Meters)'!J67:K67)+SUM('Monthly Potable (Meters)'!Y67:Z67)</f>
        <v>279</v>
      </c>
      <c r="I66">
        <f>SUM('Monthly Potable (Meters)'!AE67:AG67)+SUM('Monthly Potable (Meters)'!AI67)+SUM('Monthly Potable (Meters)'!AK67:AZ67)</f>
        <v>7923</v>
      </c>
      <c r="J66">
        <f>SUM('Monthly Potable (Meters)'!AH67)+SUM('Monthly Potable (Meters)'!AJ67)</f>
        <v>36</v>
      </c>
      <c r="K66">
        <f>SUM('Monthly Potable (Meters)'!C67)+SUM('Monthly Potable (Meters)'!I67)+SUM('Monthly Potable (Meters)'!L67)+SUM('Monthly Potable (Meters)'!N67)+SUM('Monthly Potable (Meters)'!Q67)+SUM('Monthly Potable (Meters)'!U67)+SUM('Monthly Potable (Meters)'!X67)+SUM('Monthly Potable (Meters)'!AB67:AD67)+SUM('Monthly Potable (Meters)'!BF67)+SUM('Monthly Potable (Meters)'!BI67)+SUM('Monthly Potable (Meters)'!BL67)+SUM('Monthly Potable (Meters)'!BO67)+SUM('Monthly Potable (Meters)'!BR67)+SUM('Monthly Potable (Meters)'!BV67)+SUM('Monthly Potable (Meters)'!BY67)+SUM('Monthly Potable (Meters)'!CC67)+SUM('Monthly Potable (Meters)'!CE67)+SUM('Monthly Potable (Meters)'!CH67:CM67)+SUM('Monthly Potable (Meters)'!CO67:DI67)</f>
        <v>2204</v>
      </c>
      <c r="L66">
        <f>SUM('Monthly Potable (Meters)'!E67)</f>
        <v>2668</v>
      </c>
      <c r="M66">
        <f>SUM('Monthly Potable (Meters)'!AA67)</f>
        <v>14</v>
      </c>
    </row>
    <row r="67" spans="1:13" ht="16" x14ac:dyDescent="0.2">
      <c r="A67" s="156">
        <v>45352</v>
      </c>
      <c r="B67">
        <f>SUM('Monthly Potable (Meters)'!D68)</f>
        <v>3034</v>
      </c>
      <c r="C67">
        <f>SUM('Monthly Potable (Meters)'!P68)+SUM('Monthly Potable (Meters)'!R68)+SUM('Monthly Potable (Meters)'!T68)+SUM('Monthly Potable (Meters)'!V68)+SUM('Monthly Potable (Meters)'!W68)</f>
        <v>422</v>
      </c>
      <c r="D67">
        <f>SUM('Monthly Potable (Meters)'!M68)</f>
        <v>904</v>
      </c>
      <c r="E67">
        <f>SUM('Monthly Potable (Meters)'!O68)</f>
        <v>7</v>
      </c>
      <c r="F67">
        <f>SUM('Monthly Potable (Meters)'!BA68:BE68)+SUM('Monthly Potable (Meters)'!BG68:BH68)+SUM('Monthly Potable (Meters)'!BJ68:BK68)+SUM('Monthly Potable (Meters)'!BM68:BN68)+SUM('Monthly Potable (Meters)'!BP68:BQ68)+SUM('Monthly Potable (Meters)'!BS68:BU68)+SUM('Monthly Potable (Meters)'!BW68:BX68)+SUM('Monthly Potable (Meters)'!BZ68:CB68)+SUM('Monthly Potable (Meters)'!CD68:CF68)</f>
        <v>12320</v>
      </c>
      <c r="G67">
        <f>SUM('Monthly Potable (Meters)'!B68)+SUM('Monthly Potable (Meters)'!S68)</f>
        <v>3651</v>
      </c>
      <c r="H67">
        <f>SUM('Monthly Potable (Meters)'!G68:H68)+SUM('Monthly Potable (Meters)'!J68:K68)+SUM('Monthly Potable (Meters)'!Y68:Z68)</f>
        <v>293</v>
      </c>
      <c r="I67">
        <f>SUM('Monthly Potable (Meters)'!AE68:AG68)+SUM('Monthly Potable (Meters)'!AI68)+SUM('Monthly Potable (Meters)'!AK68:AZ68)</f>
        <v>8934</v>
      </c>
      <c r="J67">
        <f>SUM('Monthly Potable (Meters)'!AH68)+SUM('Monthly Potable (Meters)'!AJ68)</f>
        <v>43</v>
      </c>
      <c r="K67">
        <f>SUM('Monthly Potable (Meters)'!C68)+SUM('Monthly Potable (Meters)'!I68)+SUM('Monthly Potable (Meters)'!L68)+SUM('Monthly Potable (Meters)'!N68)+SUM('Monthly Potable (Meters)'!Q68)+SUM('Monthly Potable (Meters)'!U68)+SUM('Monthly Potable (Meters)'!X68)+SUM('Monthly Potable (Meters)'!AB68:AD68)+SUM('Monthly Potable (Meters)'!BF68)+SUM('Monthly Potable (Meters)'!BI68)+SUM('Monthly Potable (Meters)'!BL68)+SUM('Monthly Potable (Meters)'!BO68)+SUM('Monthly Potable (Meters)'!BR68)+SUM('Monthly Potable (Meters)'!BV68)+SUM('Monthly Potable (Meters)'!BY68)+SUM('Monthly Potable (Meters)'!CC68)+SUM('Monthly Potable (Meters)'!CE68)+SUM('Monthly Potable (Meters)'!CH68:CM68)+SUM('Monthly Potable (Meters)'!CO68:DI68)</f>
        <v>2498</v>
      </c>
      <c r="L67">
        <f>SUM('Monthly Potable (Meters)'!E68)</f>
        <v>2970</v>
      </c>
      <c r="M67">
        <f>SUM('Monthly Potable (Meters)'!AA68)</f>
        <v>24</v>
      </c>
    </row>
    <row r="68" spans="1:13" ht="16" x14ac:dyDescent="0.2">
      <c r="A68" s="156">
        <v>45383</v>
      </c>
      <c r="B68">
        <f>SUM('Monthly Potable (Meters)'!D69)</f>
        <v>3224</v>
      </c>
      <c r="C68">
        <f>SUM('Monthly Potable (Meters)'!P69)+SUM('Monthly Potable (Meters)'!R69)+SUM('Monthly Potable (Meters)'!T69)+SUM('Monthly Potable (Meters)'!V69)+SUM('Monthly Potable (Meters)'!W69)</f>
        <v>352</v>
      </c>
      <c r="D68">
        <f>SUM('Monthly Potable (Meters)'!M69)</f>
        <v>918</v>
      </c>
      <c r="E68">
        <f>SUM('Monthly Potable (Meters)'!O69)</f>
        <v>4</v>
      </c>
      <c r="F68">
        <f>SUM('Monthly Potable (Meters)'!BA69:BE69)+SUM('Monthly Potable (Meters)'!BG69:BH69)+SUM('Monthly Potable (Meters)'!BJ69:BK69)+SUM('Monthly Potable (Meters)'!BM69:BN69)+SUM('Monthly Potable (Meters)'!BP69:BQ69)+SUM('Monthly Potable (Meters)'!BS69:BU69)+SUM('Monthly Potable (Meters)'!BW69:BX69)+SUM('Monthly Potable (Meters)'!BZ69:CB69)+SUM('Monthly Potable (Meters)'!CD69:CF69)</f>
        <v>11674</v>
      </c>
      <c r="G68">
        <f>SUM('Monthly Potable (Meters)'!B69)+SUM('Monthly Potable (Meters)'!S69)</f>
        <v>8941</v>
      </c>
      <c r="H68">
        <f>SUM('Monthly Potable (Meters)'!G69:H69)+SUM('Monthly Potable (Meters)'!J69:K69)+SUM('Monthly Potable (Meters)'!Y69:Z69)</f>
        <v>390</v>
      </c>
      <c r="I68">
        <f>SUM('Monthly Potable (Meters)'!AE69:AG69)+SUM('Monthly Potable (Meters)'!AI69)+SUM('Monthly Potable (Meters)'!AK69:AZ69)</f>
        <v>9400</v>
      </c>
      <c r="J68">
        <f>SUM('Monthly Potable (Meters)'!AH69)+SUM('Monthly Potable (Meters)'!AJ69)</f>
        <v>45</v>
      </c>
      <c r="K68">
        <f>SUM('Monthly Potable (Meters)'!C69)+SUM('Monthly Potable (Meters)'!I69)+SUM('Monthly Potable (Meters)'!L69)+SUM('Monthly Potable (Meters)'!N69)+SUM('Monthly Potable (Meters)'!Q69)+SUM('Monthly Potable (Meters)'!U69)+SUM('Monthly Potable (Meters)'!X69)+SUM('Monthly Potable (Meters)'!AB69:AD69)+SUM('Monthly Potable (Meters)'!BF69)+SUM('Monthly Potable (Meters)'!BI69)+SUM('Monthly Potable (Meters)'!BL69)+SUM('Monthly Potable (Meters)'!BO69)+SUM('Monthly Potable (Meters)'!BR69)+SUM('Monthly Potable (Meters)'!BV69)+SUM('Monthly Potable (Meters)'!BY69)+SUM('Monthly Potable (Meters)'!CC69)+SUM('Monthly Potable (Meters)'!CE69)+SUM('Monthly Potable (Meters)'!CH69:CM69)+SUM('Monthly Potable (Meters)'!CO69:DI69)</f>
        <v>2603</v>
      </c>
      <c r="L68">
        <f>SUM('Monthly Potable (Meters)'!E69)</f>
        <v>3007</v>
      </c>
      <c r="M68">
        <f>SUM('Monthly Potable (Meters)'!AA69)</f>
        <v>25</v>
      </c>
    </row>
    <row r="69" spans="1:13" ht="16" x14ac:dyDescent="0.2">
      <c r="A69" s="156">
        <v>45413</v>
      </c>
      <c r="B69">
        <f>SUM('Monthly Potable (Meters)'!D70)</f>
        <v>3111</v>
      </c>
      <c r="C69">
        <f>SUM('Monthly Potable (Meters)'!P70)+SUM('Monthly Potable (Meters)'!R70)+SUM('Monthly Potable (Meters)'!T70)+SUM('Monthly Potable (Meters)'!V70)+SUM('Monthly Potable (Meters)'!W70)</f>
        <v>323</v>
      </c>
      <c r="D69">
        <f>SUM('Monthly Potable (Meters)'!M70)</f>
        <v>820</v>
      </c>
      <c r="E69">
        <f>SUM('Monthly Potable (Meters)'!O70)</f>
        <v>3</v>
      </c>
      <c r="F69">
        <f>SUM('Monthly Potable (Meters)'!BA70:BE70)+SUM('Monthly Potable (Meters)'!BG70:BH70)+SUM('Monthly Potable (Meters)'!BJ70:BK70)+SUM('Monthly Potable (Meters)'!BM70:BN70)+SUM('Monthly Potable (Meters)'!BP70:BQ70)+SUM('Monthly Potable (Meters)'!BS70:BU70)+SUM('Monthly Potable (Meters)'!BW70:BX70)+SUM('Monthly Potable (Meters)'!BZ70:CB70)+SUM('Monthly Potable (Meters)'!CD70:CF70)</f>
        <v>11515</v>
      </c>
      <c r="G69">
        <f>SUM('Monthly Potable (Meters)'!B70)+SUM('Monthly Potable (Meters)'!S70)</f>
        <v>8326</v>
      </c>
      <c r="H69">
        <f>SUM('Monthly Potable (Meters)'!G70:H70)+SUM('Monthly Potable (Meters)'!J70:K70)+SUM('Monthly Potable (Meters)'!Y70:Z70)</f>
        <v>281</v>
      </c>
      <c r="I69">
        <f>SUM('Monthly Potable (Meters)'!AE70:AG70)+SUM('Monthly Potable (Meters)'!AI70)+SUM('Monthly Potable (Meters)'!AK70:AZ70)</f>
        <v>9337</v>
      </c>
      <c r="J69">
        <f>SUM('Monthly Potable (Meters)'!AH70)+SUM('Monthly Potable (Meters)'!AJ70)</f>
        <v>43</v>
      </c>
      <c r="K69">
        <f>SUM('Monthly Potable (Meters)'!C70)+SUM('Monthly Potable (Meters)'!I70)+SUM('Monthly Potable (Meters)'!L70)+SUM('Monthly Potable (Meters)'!N70)+SUM('Monthly Potable (Meters)'!Q70)+SUM('Monthly Potable (Meters)'!U70)+SUM('Monthly Potable (Meters)'!X70)+SUM('Monthly Potable (Meters)'!AB70:AD70)+SUM('Monthly Potable (Meters)'!BF70)+SUM('Monthly Potable (Meters)'!BI70)+SUM('Monthly Potable (Meters)'!BL70)+SUM('Monthly Potable (Meters)'!BO70)+SUM('Monthly Potable (Meters)'!BR70)+SUM('Monthly Potable (Meters)'!BV70)+SUM('Monthly Potable (Meters)'!BY70)+SUM('Monthly Potable (Meters)'!CC70)+SUM('Monthly Potable (Meters)'!CE70)+SUM('Monthly Potable (Meters)'!CH70:CM70)+SUM('Monthly Potable (Meters)'!CO70:DI70)</f>
        <v>1609</v>
      </c>
      <c r="L69">
        <f>SUM('Monthly Potable (Meters)'!E70)</f>
        <v>2882</v>
      </c>
      <c r="M69">
        <f>SUM('Monthly Potable (Meters)'!AA70)</f>
        <v>20</v>
      </c>
    </row>
    <row r="70" spans="1:13" ht="16" x14ac:dyDescent="0.2">
      <c r="A70" s="156">
        <v>45444</v>
      </c>
      <c r="B70">
        <f>SUM('Monthly Potable (Meters)'!D71)</f>
        <v>2478</v>
      </c>
      <c r="C70">
        <f>SUM('Monthly Potable (Meters)'!P71)+SUM('Monthly Potable (Meters)'!R71)+SUM('Monthly Potable (Meters)'!T71)+SUM('Monthly Potable (Meters)'!V71)+SUM('Monthly Potable (Meters)'!W71)</f>
        <v>476</v>
      </c>
      <c r="D70">
        <f>SUM('Monthly Potable (Meters)'!M71)</f>
        <v>719</v>
      </c>
      <c r="E70">
        <f>SUM('Monthly Potable (Meters)'!O71)</f>
        <v>4</v>
      </c>
      <c r="F70">
        <f>SUM('Monthly Potable (Meters)'!BA71:BE71)+SUM('Monthly Potable (Meters)'!BG71:BH71)+SUM('Monthly Potable (Meters)'!BJ71:BK71)+SUM('Monthly Potable (Meters)'!BM71:BN71)+SUM('Monthly Potable (Meters)'!BP71:BQ71)+SUM('Monthly Potable (Meters)'!BS71:BU71)+SUM('Monthly Potable (Meters)'!BW71:BX71)+SUM('Monthly Potable (Meters)'!BZ71:CB71)+SUM('Monthly Potable (Meters)'!CD71:CF71)</f>
        <v>5013</v>
      </c>
      <c r="G70">
        <f>SUM('Monthly Potable (Meters)'!B71)+SUM('Monthly Potable (Meters)'!S71)</f>
        <v>10011</v>
      </c>
      <c r="H70">
        <f>SUM('Monthly Potable (Meters)'!G71:H71)+SUM('Monthly Potable (Meters)'!J71:K71)+SUM('Monthly Potable (Meters)'!Y71:Z71)</f>
        <v>401</v>
      </c>
      <c r="I70">
        <f>SUM('Monthly Potable (Meters)'!AE71:AG71)+SUM('Monthly Potable (Meters)'!AI71)+SUM('Monthly Potable (Meters)'!AK71:AZ71)</f>
        <v>7464</v>
      </c>
      <c r="J70">
        <f>SUM('Monthly Potable (Meters)'!AH71)+SUM('Monthly Potable (Meters)'!AJ71)</f>
        <v>32</v>
      </c>
      <c r="K70">
        <f>SUM('Monthly Potable (Meters)'!C71)+SUM('Monthly Potable (Meters)'!I71)+SUM('Monthly Potable (Meters)'!L71)+SUM('Monthly Potable (Meters)'!N71)+SUM('Monthly Potable (Meters)'!Q71)+SUM('Monthly Potable (Meters)'!U71)+SUM('Monthly Potable (Meters)'!X71)+SUM('Monthly Potable (Meters)'!AB71:AD71)+SUM('Monthly Potable (Meters)'!BF71)+SUM('Monthly Potable (Meters)'!BI71)+SUM('Monthly Potable (Meters)'!BL71)+SUM('Monthly Potable (Meters)'!BO71)+SUM('Monthly Potable (Meters)'!BR71)+SUM('Monthly Potable (Meters)'!BV71)+SUM('Monthly Potable (Meters)'!BY71)+SUM('Monthly Potable (Meters)'!CC71)+SUM('Monthly Potable (Meters)'!CE71)+SUM('Monthly Potable (Meters)'!CH71:CM71)+SUM('Monthly Potable (Meters)'!CO71:DI71)</f>
        <v>1494</v>
      </c>
      <c r="L70">
        <f>SUM('Monthly Potable (Meters)'!E71)</f>
        <v>2709</v>
      </c>
      <c r="M70">
        <f>SUM('Monthly Potable (Meters)'!AA71)</f>
        <v>11</v>
      </c>
    </row>
    <row r="71" spans="1:13" ht="16" x14ac:dyDescent="0.2">
      <c r="A71" s="156">
        <v>45474</v>
      </c>
      <c r="B71">
        <f>SUM('Monthly Potable (Meters)'!D72)</f>
        <v>3919</v>
      </c>
      <c r="C71">
        <f>SUM('Monthly Potable (Meters)'!P72)+SUM('Monthly Potable (Meters)'!R72)+SUM('Monthly Potable (Meters)'!T72)+SUM('Monthly Potable (Meters)'!V72)+SUM('Monthly Potable (Meters)'!W72)</f>
        <v>267</v>
      </c>
      <c r="D71">
        <f>SUM('Monthly Potable (Meters)'!M72)</f>
        <v>1007</v>
      </c>
      <c r="E71">
        <f>SUM('Monthly Potable (Meters)'!O72)</f>
        <v>3</v>
      </c>
      <c r="F71">
        <f>SUM('Monthly Potable (Meters)'!BA72:BE72)+SUM('Monthly Potable (Meters)'!BG72:BH72)+SUM('Monthly Potable (Meters)'!BJ72:BK72)+SUM('Monthly Potable (Meters)'!BM72:BN72)+SUM('Monthly Potable (Meters)'!BP72:BQ72)+SUM('Monthly Potable (Meters)'!BS72:BU72)+SUM('Monthly Potable (Meters)'!BW72:BX72)+SUM('Monthly Potable (Meters)'!BZ72:CB72)+SUM('Monthly Potable (Meters)'!CD72:CF72)</f>
        <v>3992</v>
      </c>
      <c r="G71">
        <f>SUM('Monthly Potable (Meters)'!B72)+SUM('Monthly Potable (Meters)'!S72)</f>
        <v>12425</v>
      </c>
      <c r="H71">
        <f>SUM('Monthly Potable (Meters)'!G72:H72)+SUM('Monthly Potable (Meters)'!J72:K72)+SUM('Monthly Potable (Meters)'!Y72:Z72)</f>
        <v>507</v>
      </c>
      <c r="I71">
        <f>SUM('Monthly Potable (Meters)'!AE72:AG72)+SUM('Monthly Potable (Meters)'!AI72)+SUM('Monthly Potable (Meters)'!AK72:AZ72)</f>
        <v>8909</v>
      </c>
      <c r="J71">
        <f>SUM('Monthly Potable (Meters)'!AH72)+SUM('Monthly Potable (Meters)'!AJ72)</f>
        <v>31</v>
      </c>
      <c r="K71">
        <f>SUM('Monthly Potable (Meters)'!C72)+SUM('Monthly Potable (Meters)'!I72)+SUM('Monthly Potable (Meters)'!L72)+SUM('Monthly Potable (Meters)'!N72)+SUM('Monthly Potable (Meters)'!Q72)+SUM('Monthly Potable (Meters)'!U72)+SUM('Monthly Potable (Meters)'!X72)+SUM('Monthly Potable (Meters)'!AB72:AD72)+SUM('Monthly Potable (Meters)'!BF72)+SUM('Monthly Potable (Meters)'!BI72)+SUM('Monthly Potable (Meters)'!BL72)+SUM('Monthly Potable (Meters)'!BO72)+SUM('Monthly Potable (Meters)'!BR72)+SUM('Monthly Potable (Meters)'!BV72)+SUM('Monthly Potable (Meters)'!BY72)+SUM('Monthly Potable (Meters)'!CC72)+SUM('Monthly Potable (Meters)'!CE72)+SUM('Monthly Potable (Meters)'!CH72:CM72)+SUM('Monthly Potable (Meters)'!CO72:DI72)</f>
        <v>1583</v>
      </c>
      <c r="L71">
        <f>SUM('Monthly Potable (Meters)'!E72)</f>
        <v>3419</v>
      </c>
      <c r="M71">
        <f>SUM('Monthly Potable (Meters)'!AA72)</f>
        <v>12</v>
      </c>
    </row>
    <row r="72" spans="1:13" ht="16" x14ac:dyDescent="0.2">
      <c r="A72" s="156">
        <v>45505</v>
      </c>
      <c r="B72">
        <f>SUM('Monthly Potable (Meters)'!D73)</f>
        <v>3569</v>
      </c>
      <c r="C72">
        <f>SUM('Monthly Potable (Meters)'!P73)+SUM('Monthly Potable (Meters)'!R73)+SUM('Monthly Potable (Meters)'!T73)+SUM('Monthly Potable (Meters)'!V73)+SUM('Monthly Potable (Meters)'!W73)</f>
        <v>321</v>
      </c>
      <c r="D72">
        <f>SUM('Monthly Potable (Meters)'!M73)</f>
        <v>893</v>
      </c>
      <c r="E72">
        <f>SUM('Monthly Potable (Meters)'!O73)</f>
        <v>3</v>
      </c>
      <c r="F72">
        <f>SUM('Monthly Potable (Meters)'!BA73:BE73)+SUM('Monthly Potable (Meters)'!BG73:BH73)+SUM('Monthly Potable (Meters)'!BJ73:BK73)+SUM('Monthly Potable (Meters)'!BM73:BN73)+SUM('Monthly Potable (Meters)'!BP73:BQ73)+SUM('Monthly Potable (Meters)'!BS73:BU73)+SUM('Monthly Potable (Meters)'!BW73:BX73)+SUM('Monthly Potable (Meters)'!BZ73:CB73)+SUM('Monthly Potable (Meters)'!CD73:CF73)</f>
        <v>3298</v>
      </c>
      <c r="G72">
        <f>SUM('Monthly Potable (Meters)'!B73)+SUM('Monthly Potable (Meters)'!S73)</f>
        <v>11169</v>
      </c>
      <c r="H72">
        <f>SUM('Monthly Potable (Meters)'!G73:H73)+SUM('Monthly Potable (Meters)'!J73:K73)+SUM('Monthly Potable (Meters)'!Y73:Z73)</f>
        <v>489</v>
      </c>
      <c r="I72">
        <f>SUM('Monthly Potable (Meters)'!AE73:AG73)+SUM('Monthly Potable (Meters)'!AI73)+SUM('Monthly Potable (Meters)'!AK73:AZ73)</f>
        <v>9012</v>
      </c>
      <c r="J72">
        <f>SUM('Monthly Potable (Meters)'!AH73)+SUM('Monthly Potable (Meters)'!AJ73)</f>
        <v>31</v>
      </c>
      <c r="K72">
        <f>SUM('Monthly Potable (Meters)'!C73)+SUM('Monthly Potable (Meters)'!I73)+SUM('Monthly Potable (Meters)'!L73)+SUM('Monthly Potable (Meters)'!N73)+SUM('Monthly Potable (Meters)'!Q73)+SUM('Monthly Potable (Meters)'!U73)+SUM('Monthly Potable (Meters)'!X73)+SUM('Monthly Potable (Meters)'!AB73:AD73)+SUM('Monthly Potable (Meters)'!BF73)+SUM('Monthly Potable (Meters)'!BI73)+SUM('Monthly Potable (Meters)'!BL73)+SUM('Monthly Potable (Meters)'!BO73)+SUM('Monthly Potable (Meters)'!BR73)+SUM('Monthly Potable (Meters)'!BV73)+SUM('Monthly Potable (Meters)'!BY73)+SUM('Monthly Potable (Meters)'!CC73)+SUM('Monthly Potable (Meters)'!CE73)+SUM('Monthly Potable (Meters)'!CH73:CM73)+SUM('Monthly Potable (Meters)'!CO73:DI73)</f>
        <v>1458</v>
      </c>
      <c r="L72">
        <f>SUM('Monthly Potable (Meters)'!E73)</f>
        <v>3098</v>
      </c>
      <c r="M72">
        <f>SUM('Monthly Potable (Meters)'!AA73)</f>
        <v>14</v>
      </c>
    </row>
    <row r="73" spans="1:13" ht="16" x14ac:dyDescent="0.2">
      <c r="A73" s="156">
        <v>45536</v>
      </c>
      <c r="B73">
        <f>SUM('Monthly Potable (Meters)'!D74)</f>
        <v>2810</v>
      </c>
      <c r="C73">
        <f>SUM('Monthly Potable (Meters)'!P74)+SUM('Monthly Potable (Meters)'!R74)+SUM('Monthly Potable (Meters)'!T74)+SUM('Monthly Potable (Meters)'!V74)+SUM('Monthly Potable (Meters)'!W74)</f>
        <v>369</v>
      </c>
      <c r="D73">
        <f>SUM('Monthly Potable (Meters)'!M74)</f>
        <v>1170</v>
      </c>
      <c r="E73">
        <f>SUM('Monthly Potable (Meters)'!O74)</f>
        <v>3</v>
      </c>
      <c r="F73">
        <f>SUM('Monthly Potable (Meters)'!BA74:BE74)+SUM('Monthly Potable (Meters)'!BG74:BH74)+SUM('Monthly Potable (Meters)'!BJ74:BK74)+SUM('Monthly Potable (Meters)'!BM74:BN74)+SUM('Monthly Potable (Meters)'!BP74:BQ74)+SUM('Monthly Potable (Meters)'!BS74:BU74)+SUM('Monthly Potable (Meters)'!BW74:BX74)+SUM('Monthly Potable (Meters)'!BZ74:CB74)+SUM('Monthly Potable (Meters)'!CD74:CF74)</f>
        <v>8846</v>
      </c>
      <c r="G73">
        <f>SUM('Monthly Potable (Meters)'!B74)+SUM('Monthly Potable (Meters)'!S74)</f>
        <v>11492</v>
      </c>
      <c r="H73">
        <f>SUM('Monthly Potable (Meters)'!G74:H74)+SUM('Monthly Potable (Meters)'!J74:K74)+SUM('Monthly Potable (Meters)'!Y74:Z74)</f>
        <v>583</v>
      </c>
      <c r="I73">
        <f>SUM('Monthly Potable (Meters)'!AE74:AG74)+SUM('Monthly Potable (Meters)'!AI74)+SUM('Monthly Potable (Meters)'!AK74:AZ74)</f>
        <v>11817</v>
      </c>
      <c r="J73">
        <f>SUM('Monthly Potable (Meters)'!AH74)+SUM('Monthly Potable (Meters)'!AJ74)</f>
        <v>35</v>
      </c>
      <c r="K73">
        <f>SUM('Monthly Potable (Meters)'!C74)+SUM('Monthly Potable (Meters)'!I74)+SUM('Monthly Potable (Meters)'!L74)+SUM('Monthly Potable (Meters)'!N74)+SUM('Monthly Potable (Meters)'!Q74)+SUM('Monthly Potable (Meters)'!U74)+SUM('Monthly Potable (Meters)'!X74)+SUM('Monthly Potable (Meters)'!AB74:AD74)+SUM('Monthly Potable (Meters)'!BF74)+SUM('Monthly Potable (Meters)'!BI74)+SUM('Monthly Potable (Meters)'!BL74)+SUM('Monthly Potable (Meters)'!BO74)+SUM('Monthly Potable (Meters)'!BR74)+SUM('Monthly Potable (Meters)'!BV74)+SUM('Monthly Potable (Meters)'!BY74)+SUM('Monthly Potable (Meters)'!CC74)+SUM('Monthly Potable (Meters)'!CE74)+SUM('Monthly Potable (Meters)'!CH74:CM74)+SUM('Monthly Potable (Meters)'!CO74:DI74)</f>
        <v>2478</v>
      </c>
      <c r="L73">
        <f>SUM('Monthly Potable (Meters)'!E74)</f>
        <v>2960</v>
      </c>
      <c r="M73">
        <f>SUM('Monthly Potable (Meters)'!AA74)</f>
        <v>21</v>
      </c>
    </row>
    <row r="74" spans="1:13" x14ac:dyDescent="0.2">
      <c r="A74" t="s">
        <v>74</v>
      </c>
      <c r="B74">
        <f>SUM(B59:B61)</f>
        <v>9045</v>
      </c>
      <c r="C74">
        <f t="shared" ref="C74:M74" si="0">SUM(C59:C61)</f>
        <v>4236</v>
      </c>
      <c r="D74">
        <f t="shared" si="0"/>
        <v>0</v>
      </c>
      <c r="E74" t="e">
        <f t="shared" si="0"/>
        <v>#REF!</v>
      </c>
      <c r="F74">
        <f t="shared" si="0"/>
        <v>20485</v>
      </c>
      <c r="G74">
        <f t="shared" si="0"/>
        <v>35805</v>
      </c>
      <c r="H74">
        <f t="shared" si="0"/>
        <v>1268</v>
      </c>
      <c r="I74">
        <f t="shared" si="0"/>
        <v>24199</v>
      </c>
      <c r="J74">
        <f t="shared" si="0"/>
        <v>84</v>
      </c>
      <c r="K74">
        <f t="shared" si="0"/>
        <v>3651</v>
      </c>
      <c r="L74">
        <f t="shared" si="0"/>
        <v>8519</v>
      </c>
      <c r="M74">
        <f t="shared" si="0"/>
        <v>0</v>
      </c>
    </row>
    <row r="75" spans="1:13" x14ac:dyDescent="0.2">
      <c r="A75" t="s">
        <v>76</v>
      </c>
      <c r="B75">
        <f>SUM(B71:B73)</f>
        <v>10298</v>
      </c>
      <c r="C75">
        <f t="shared" ref="C75:M75" si="1">SUM(C71:C73)</f>
        <v>957</v>
      </c>
      <c r="D75">
        <f t="shared" si="1"/>
        <v>3070</v>
      </c>
      <c r="E75">
        <f t="shared" si="1"/>
        <v>9</v>
      </c>
      <c r="F75">
        <f t="shared" si="1"/>
        <v>16136</v>
      </c>
      <c r="G75">
        <f t="shared" si="1"/>
        <v>35086</v>
      </c>
      <c r="H75">
        <f t="shared" si="1"/>
        <v>1579</v>
      </c>
      <c r="I75">
        <f t="shared" si="1"/>
        <v>29738</v>
      </c>
      <c r="J75">
        <f t="shared" si="1"/>
        <v>97</v>
      </c>
      <c r="K75">
        <f t="shared" si="1"/>
        <v>5519</v>
      </c>
      <c r="L75">
        <f t="shared" si="1"/>
        <v>9477</v>
      </c>
      <c r="M75">
        <f t="shared" si="1"/>
        <v>47</v>
      </c>
    </row>
    <row r="76" spans="1:13" x14ac:dyDescent="0.2">
      <c r="B76" s="334">
        <f>(B75-B74)/B74</f>
        <v>0.13852957435046986</v>
      </c>
      <c r="C76" s="334">
        <f t="shared" ref="C76:M76" si="2">(C75-C74)/C74</f>
        <v>-0.77407932011331448</v>
      </c>
      <c r="D76" s="334" t="e">
        <f t="shared" si="2"/>
        <v>#DIV/0!</v>
      </c>
      <c r="E76" s="334" t="e">
        <f t="shared" si="2"/>
        <v>#REF!</v>
      </c>
      <c r="F76" s="334">
        <f t="shared" si="2"/>
        <v>-0.21230168415914083</v>
      </c>
      <c r="G76" s="334">
        <f t="shared" si="2"/>
        <v>-2.0080994274542661E-2</v>
      </c>
      <c r="H76" s="334">
        <f t="shared" si="2"/>
        <v>0.24526813880126183</v>
      </c>
      <c r="I76" s="334">
        <f t="shared" si="2"/>
        <v>0.22889375594032813</v>
      </c>
      <c r="J76" s="334">
        <f t="shared" si="2"/>
        <v>0.15476190476190477</v>
      </c>
      <c r="K76" s="334">
        <f t="shared" si="2"/>
        <v>0.51164064639824702</v>
      </c>
      <c r="L76" s="334">
        <f t="shared" si="2"/>
        <v>0.11245451344054466</v>
      </c>
      <c r="M76" s="334" t="e">
        <f t="shared" si="2"/>
        <v>#DIV/0!</v>
      </c>
    </row>
  </sheetData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44EC-DC4D-45B6-B69C-E1EA88B62E4E}">
  <dimension ref="A1:S26"/>
  <sheetViews>
    <sheetView topLeftCell="I1" zoomScale="86" workbookViewId="0">
      <selection activeCell="N10" sqref="N10"/>
    </sheetView>
  </sheetViews>
  <sheetFormatPr baseColWidth="10" defaultColWidth="8.6640625" defaultRowHeight="16" x14ac:dyDescent="0.2"/>
  <cols>
    <col min="1" max="1" width="10.6640625" style="120" customWidth="1"/>
    <col min="2" max="6" width="13.33203125" style="1" customWidth="1"/>
    <col min="7" max="7" width="15" style="1" bestFit="1" customWidth="1"/>
    <col min="8" max="9" width="13.33203125" style="1" customWidth="1"/>
    <col min="10" max="10" width="14.1640625" style="1" bestFit="1" customWidth="1"/>
    <col min="11" max="11" width="17.6640625" style="1" bestFit="1" customWidth="1"/>
    <col min="12" max="13" width="15.6640625" style="1" customWidth="1"/>
    <col min="14" max="14" width="11.1640625" style="1" bestFit="1" customWidth="1"/>
    <col min="15" max="15" width="11.1640625" style="1" customWidth="1"/>
    <col min="16" max="16" width="14.6640625" style="1" customWidth="1"/>
    <col min="17" max="17" width="10.1640625" style="1" customWidth="1"/>
    <col min="18" max="18" width="11.1640625" style="1" bestFit="1" customWidth="1"/>
    <col min="19" max="19" width="15.6640625" style="1" bestFit="1" customWidth="1"/>
    <col min="20" max="16384" width="8.6640625" style="1"/>
  </cols>
  <sheetData>
    <row r="1" spans="1:19" ht="34" x14ac:dyDescent="0.2">
      <c r="A1" s="118"/>
      <c r="B1" s="116" t="s">
        <v>475</v>
      </c>
      <c r="C1" s="116" t="s">
        <v>476</v>
      </c>
      <c r="D1" s="116" t="s">
        <v>477</v>
      </c>
      <c r="E1" s="116" t="s">
        <v>478</v>
      </c>
      <c r="F1" s="116" t="s">
        <v>26</v>
      </c>
      <c r="G1" s="116" t="s">
        <v>479</v>
      </c>
      <c r="H1" s="116" t="s">
        <v>480</v>
      </c>
      <c r="I1" s="116" t="s">
        <v>481</v>
      </c>
      <c r="J1" s="116" t="s">
        <v>482</v>
      </c>
      <c r="K1" s="116" t="s">
        <v>27</v>
      </c>
      <c r="L1" s="355" t="s">
        <v>483</v>
      </c>
      <c r="M1" s="533" t="s">
        <v>484</v>
      </c>
      <c r="N1" s="116" t="s">
        <v>485</v>
      </c>
      <c r="O1" s="116" t="s">
        <v>486</v>
      </c>
      <c r="P1" s="533" t="s">
        <v>487</v>
      </c>
      <c r="Q1" s="116" t="s">
        <v>488</v>
      </c>
    </row>
    <row r="2" spans="1:19" ht="17" x14ac:dyDescent="0.2">
      <c r="A2" s="119" t="s">
        <v>58</v>
      </c>
      <c r="B2" s="117">
        <v>76830</v>
      </c>
      <c r="C2" s="14">
        <f>'Yearly Recycling'!C6</f>
        <v>2370</v>
      </c>
      <c r="D2" s="15">
        <f>'Yearly Recycling'!D6</f>
        <v>4940</v>
      </c>
      <c r="E2" s="14">
        <f>'Yearly Recycling'!E6</f>
        <v>11567</v>
      </c>
      <c r="F2" s="16">
        <f>'Yearly Recycling'!F6</f>
        <v>2851.0000000000005</v>
      </c>
      <c r="G2" s="14">
        <f>'Yearly Recycling'!G6</f>
        <v>0</v>
      </c>
      <c r="H2" s="14">
        <f>'Yearly Recycling'!H6</f>
        <v>0</v>
      </c>
      <c r="I2" s="14">
        <f>'Yearly Recycling'!I6</f>
        <v>0</v>
      </c>
      <c r="J2" s="14">
        <f>'Yearly Recycling'!J6</f>
        <v>10000</v>
      </c>
      <c r="K2" s="15">
        <f>'Yearly Recycling'!K6</f>
        <v>5568.6609999999928</v>
      </c>
      <c r="L2" s="534">
        <f>'Yearly Recycling'!L6</f>
        <v>3322000</v>
      </c>
      <c r="M2" s="535">
        <f t="shared" ref="M2:M12" si="0">SUM(B2:K2)</f>
        <v>114126.66099999999</v>
      </c>
      <c r="N2" s="14">
        <f>'Yearly GHG (mCO2)'!G6</f>
        <v>16340</v>
      </c>
      <c r="O2" s="14">
        <f>M2/N2</f>
        <v>6.9844957772337821</v>
      </c>
      <c r="P2" s="535">
        <f>L2/N2</f>
        <v>203.30477356181152</v>
      </c>
      <c r="Q2" s="153">
        <f>M2/(L2+M2)</f>
        <v>3.321375265217559E-2</v>
      </c>
    </row>
    <row r="3" spans="1:19" ht="17" x14ac:dyDescent="0.2">
      <c r="A3" s="119" t="s">
        <v>61</v>
      </c>
      <c r="B3" s="62">
        <v>73386.849998000005</v>
      </c>
      <c r="C3" s="14">
        <f>'Yearly Recycling'!C7</f>
        <v>2019.9999999999995</v>
      </c>
      <c r="D3" s="15">
        <f>'Yearly Recycling'!D7</f>
        <v>5530</v>
      </c>
      <c r="E3" s="14">
        <f>'Yearly Recycling'!E7</f>
        <v>20945</v>
      </c>
      <c r="F3" s="16">
        <f>'Yearly Recycling'!F7</f>
        <v>7846.0000000000009</v>
      </c>
      <c r="G3" s="14">
        <f>'Yearly Recycling'!G7</f>
        <v>0</v>
      </c>
      <c r="H3" s="14">
        <f>'Yearly Recycling'!H7</f>
        <v>0</v>
      </c>
      <c r="I3" s="14">
        <f>'Yearly Recycling'!I7</f>
        <v>0</v>
      </c>
      <c r="J3" s="14">
        <f>'Yearly Recycling'!J7</f>
        <v>18400</v>
      </c>
      <c r="K3" s="15">
        <f>'Yearly Recycling'!K7</f>
        <v>6179.601999999999</v>
      </c>
      <c r="L3" s="534">
        <f>'Yearly Recycling'!L7</f>
        <v>3187000</v>
      </c>
      <c r="M3" s="535">
        <f t="shared" si="0"/>
        <v>134307.451998</v>
      </c>
      <c r="N3" s="14">
        <f>'Yearly GHG (mCO2)'!G7</f>
        <v>16621</v>
      </c>
      <c r="O3" s="14">
        <f t="shared" ref="O3:O13" si="1">M3/N3</f>
        <v>8.0805879308104203</v>
      </c>
      <c r="P3" s="535">
        <f t="shared" ref="P3:P11" si="2">L3/N3</f>
        <v>191.7453823476325</v>
      </c>
      <c r="Q3" s="153">
        <f t="shared" ref="Q3:Q12" si="3">M3/(L3+M3)</f>
        <v>4.0438126833817999E-2</v>
      </c>
    </row>
    <row r="4" spans="1:19" ht="17" x14ac:dyDescent="0.2">
      <c r="A4" s="119" t="s">
        <v>63</v>
      </c>
      <c r="B4" s="62">
        <v>126070.09999899998</v>
      </c>
      <c r="C4" s="14">
        <f>'Yearly Recycling'!C8</f>
        <v>2989.9999999999995</v>
      </c>
      <c r="D4" s="15">
        <f>'Yearly Recycling'!D8</f>
        <v>21116.999999999996</v>
      </c>
      <c r="E4" s="14">
        <f>'Yearly Recycling'!E8</f>
        <v>22872</v>
      </c>
      <c r="F4" s="16">
        <f>'Yearly Recycling'!F8</f>
        <v>185918</v>
      </c>
      <c r="G4" s="14">
        <f>'Yearly Recycling'!G8</f>
        <v>128.5</v>
      </c>
      <c r="H4" s="14">
        <f>'Yearly Recycling'!H8</f>
        <v>0</v>
      </c>
      <c r="I4" s="14">
        <f>'Yearly Recycling'!I8</f>
        <v>0</v>
      </c>
      <c r="J4" s="14">
        <f>'Yearly Recycling'!J8</f>
        <v>28600.000000000004</v>
      </c>
      <c r="K4" s="15">
        <f>'Yearly Recycling'!K8</f>
        <v>8734.442999999912</v>
      </c>
      <c r="L4" s="534">
        <f>'Yearly Recycling'!L8</f>
        <v>2961000</v>
      </c>
      <c r="M4" s="535">
        <f t="shared" si="0"/>
        <v>396430.04299899988</v>
      </c>
      <c r="N4" s="14">
        <f>'Yearly GHG (mCO2)'!G8</f>
        <v>17299.5</v>
      </c>
      <c r="O4" s="14">
        <f t="shared" si="1"/>
        <v>22.915693690511279</v>
      </c>
      <c r="P4" s="535">
        <f t="shared" si="2"/>
        <v>171.16101621434146</v>
      </c>
      <c r="Q4" s="153">
        <f t="shared" si="3"/>
        <v>0.1180754439919444</v>
      </c>
    </row>
    <row r="5" spans="1:19" ht="17" x14ac:dyDescent="0.2">
      <c r="A5" s="119" t="s">
        <v>64</v>
      </c>
      <c r="B5" s="62">
        <v>128138.75000000001</v>
      </c>
      <c r="C5" s="14">
        <f>'Yearly Recycling'!C9</f>
        <v>2849.9999999999995</v>
      </c>
      <c r="D5" s="15">
        <f>'Yearly Recycling'!D9</f>
        <v>11869.7</v>
      </c>
      <c r="E5" s="14">
        <f>'Yearly Recycling'!E9</f>
        <v>24517.999999999993</v>
      </c>
      <c r="F5" s="16">
        <f>'Yearly Recycling'!F9</f>
        <v>304749.99999999994</v>
      </c>
      <c r="G5" s="14">
        <f>'Yearly Recycling'!G9</f>
        <v>0</v>
      </c>
      <c r="H5" s="14">
        <f>'Yearly Recycling'!H9</f>
        <v>21000</v>
      </c>
      <c r="I5" s="14">
        <f>'Yearly Recycling'!I9</f>
        <v>47870</v>
      </c>
      <c r="J5" s="14">
        <f>'Yearly Recycling'!J9</f>
        <v>16200</v>
      </c>
      <c r="K5" s="15">
        <f>'Yearly Recycling'!K9</f>
        <v>8559.4940000000643</v>
      </c>
      <c r="L5" s="534">
        <f>'Yearly Recycling'!L9</f>
        <v>2902000</v>
      </c>
      <c r="M5" s="535">
        <f t="shared" si="0"/>
        <v>565755.94400000002</v>
      </c>
      <c r="N5" s="14">
        <f>'Yearly GHG (mCO2)'!G9</f>
        <v>17923.5</v>
      </c>
      <c r="O5" s="14">
        <f t="shared" si="1"/>
        <v>31.565037185817502</v>
      </c>
      <c r="P5" s="535">
        <f t="shared" si="2"/>
        <v>161.91034117220408</v>
      </c>
      <c r="Q5" s="153">
        <f t="shared" si="3"/>
        <v>0.16314756665009411</v>
      </c>
    </row>
    <row r="6" spans="1:19" ht="17" x14ac:dyDescent="0.2">
      <c r="A6" s="119" t="s">
        <v>65</v>
      </c>
      <c r="B6" s="62">
        <v>116432</v>
      </c>
      <c r="C6" s="14">
        <f>'Yearly Recycling'!C10</f>
        <v>2299.9999999999995</v>
      </c>
      <c r="D6" s="15">
        <f>'Yearly Recycling'!D10</f>
        <v>10285.750000000002</v>
      </c>
      <c r="E6" s="14">
        <f>'Yearly Recycling'!E10</f>
        <v>18298</v>
      </c>
      <c r="F6" s="16">
        <f>'Yearly Recycling'!F10</f>
        <v>304621.44999999995</v>
      </c>
      <c r="G6" s="14">
        <f>'Yearly Recycling'!G10</f>
        <v>46080</v>
      </c>
      <c r="H6" s="14">
        <f>'Yearly Recycling'!H10</f>
        <v>145000</v>
      </c>
      <c r="I6" s="14">
        <f>'Yearly Recycling'!I10</f>
        <v>91500</v>
      </c>
      <c r="J6" s="14">
        <f>'Yearly Recycling'!J10</f>
        <v>4456</v>
      </c>
      <c r="K6" s="15">
        <f>'Yearly Recycling'!K10</f>
        <v>6606.6600000000326</v>
      </c>
      <c r="L6" s="534">
        <f>'Yearly Recycling'!L10</f>
        <v>2323000</v>
      </c>
      <c r="M6" s="535">
        <f t="shared" si="0"/>
        <v>745579.86</v>
      </c>
      <c r="N6" s="14">
        <f>'Yearly GHG (mCO2)'!G10</f>
        <v>18508.5</v>
      </c>
      <c r="O6" s="14">
        <f t="shared" si="1"/>
        <v>40.283105600129666</v>
      </c>
      <c r="P6" s="535">
        <f t="shared" si="2"/>
        <v>125.50990085636329</v>
      </c>
      <c r="Q6" s="153">
        <f t="shared" si="3"/>
        <v>0.24297228490576095</v>
      </c>
    </row>
    <row r="7" spans="1:19" ht="17" x14ac:dyDescent="0.2">
      <c r="A7" s="119" t="s">
        <v>66</v>
      </c>
      <c r="B7" s="62">
        <v>152149.6</v>
      </c>
      <c r="C7" s="14">
        <f>'Yearly Recycling'!C11</f>
        <v>7251</v>
      </c>
      <c r="D7" s="15">
        <f>'Yearly Recycling'!D11</f>
        <v>5562.75</v>
      </c>
      <c r="E7" s="14">
        <f>'Yearly Recycling'!E11</f>
        <v>12691</v>
      </c>
      <c r="F7" s="16">
        <f>'Yearly Recycling'!F11</f>
        <v>268845.5</v>
      </c>
      <c r="G7" s="14">
        <f>'Yearly Recycling'!G11</f>
        <v>75520</v>
      </c>
      <c r="H7" s="14">
        <f>'Yearly Recycling'!H11</f>
        <v>210000</v>
      </c>
      <c r="I7" s="14">
        <f>'Yearly Recycling'!I11</f>
        <v>156900</v>
      </c>
      <c r="J7" s="14">
        <f>'Yearly Recycling'!J11</f>
        <v>4373</v>
      </c>
      <c r="K7" s="15">
        <f>'Yearly Recycling'!K11</f>
        <v>3948.4450000000652</v>
      </c>
      <c r="L7" s="534">
        <f>'Yearly Recycling'!L11</f>
        <v>1790000</v>
      </c>
      <c r="M7" s="535">
        <f t="shared" si="0"/>
        <v>897241.29500000004</v>
      </c>
      <c r="N7" s="14">
        <f>'Yearly GHG (mCO2)'!G11</f>
        <v>17679</v>
      </c>
      <c r="O7" s="14">
        <f t="shared" si="1"/>
        <v>50.751812602522769</v>
      </c>
      <c r="P7" s="535">
        <f t="shared" si="2"/>
        <v>101.25007070535663</v>
      </c>
      <c r="Q7" s="153">
        <f t="shared" si="3"/>
        <v>0.33388936701346728</v>
      </c>
    </row>
    <row r="8" spans="1:19" ht="17" x14ac:dyDescent="0.2">
      <c r="A8" s="119" t="s">
        <v>68</v>
      </c>
      <c r="B8" s="62">
        <v>158697</v>
      </c>
      <c r="C8" s="14">
        <f>'Yearly Recycling'!C12</f>
        <v>10127</v>
      </c>
      <c r="D8" s="15">
        <f>'Yearly Recycling'!D12</f>
        <v>6493</v>
      </c>
      <c r="E8" s="14">
        <f>'Yearly Recycling'!E12</f>
        <v>8395</v>
      </c>
      <c r="F8" s="16">
        <f>'Yearly Recycling'!F12</f>
        <v>392921</v>
      </c>
      <c r="G8" s="14">
        <f>'Yearly Recycling'!G12</f>
        <v>59200</v>
      </c>
      <c r="H8" s="14">
        <f>'Yearly Recycling'!H12</f>
        <v>230500</v>
      </c>
      <c r="I8" s="14">
        <f>'Yearly Recycling'!I12</f>
        <v>156100</v>
      </c>
      <c r="J8" s="14">
        <f>'Yearly Recycling'!J12</f>
        <v>4627</v>
      </c>
      <c r="K8" s="15">
        <f>'Yearly Recycling'!K12</f>
        <v>4471.9290000000001</v>
      </c>
      <c r="L8" s="534">
        <f>'Yearly Recycling'!L12</f>
        <v>1440000</v>
      </c>
      <c r="M8" s="535">
        <f t="shared" si="0"/>
        <v>1031531.929</v>
      </c>
      <c r="N8" s="14">
        <f>'Yearly GHG (mCO2)'!G12</f>
        <v>19717</v>
      </c>
      <c r="O8" s="14">
        <f t="shared" si="1"/>
        <v>52.316880306334639</v>
      </c>
      <c r="P8" s="535">
        <f t="shared" si="2"/>
        <v>73.033422934523514</v>
      </c>
      <c r="Q8" s="153">
        <f t="shared" si="3"/>
        <v>0.41736540681364592</v>
      </c>
    </row>
    <row r="9" spans="1:19" ht="17" x14ac:dyDescent="0.2">
      <c r="A9" s="119" t="s">
        <v>70</v>
      </c>
      <c r="B9" s="62">
        <v>153272</v>
      </c>
      <c r="C9" s="14">
        <f>'Yearly Recycling'!C13</f>
        <v>8474</v>
      </c>
      <c r="D9" s="15">
        <f>'Yearly Recycling'!D13</f>
        <v>4504</v>
      </c>
      <c r="E9" s="14">
        <f>'Yearly Recycling'!E13</f>
        <v>6526</v>
      </c>
      <c r="F9" s="16">
        <f>'Yearly Recycling'!F13</f>
        <v>389824</v>
      </c>
      <c r="G9" s="14">
        <f>'Yearly Recycling'!G13</f>
        <v>78400</v>
      </c>
      <c r="H9" s="14">
        <f>'Yearly Recycling'!H13</f>
        <v>343000</v>
      </c>
      <c r="I9" s="14">
        <f>'Yearly Recycling'!I13</f>
        <v>125058</v>
      </c>
      <c r="J9" s="14">
        <f>'Yearly Recycling'!J13</f>
        <v>5621</v>
      </c>
      <c r="K9" s="15">
        <f>'Yearly Recycling'!K13</f>
        <v>5233.8680000000004</v>
      </c>
      <c r="L9" s="534">
        <f>'Yearly Recycling'!L13</f>
        <v>1575000</v>
      </c>
      <c r="M9" s="535">
        <f t="shared" si="0"/>
        <v>1119912.868</v>
      </c>
      <c r="N9" s="14">
        <f>'Yearly GHG (mCO2)'!G13</f>
        <v>20543</v>
      </c>
      <c r="O9" s="14">
        <f t="shared" si="1"/>
        <v>54.515546317480407</v>
      </c>
      <c r="P9" s="535">
        <f t="shared" si="2"/>
        <v>76.668451540670787</v>
      </c>
      <c r="Q9" s="153">
        <f t="shared" si="3"/>
        <v>0.41556552024300925</v>
      </c>
    </row>
    <row r="10" spans="1:19" ht="17" x14ac:dyDescent="0.2">
      <c r="A10" s="119" t="s">
        <v>72</v>
      </c>
      <c r="B10" s="62">
        <v>134937</v>
      </c>
      <c r="C10" s="14">
        <f>'Yearly Recycling'!C14</f>
        <v>10957</v>
      </c>
      <c r="D10" s="15">
        <f>'Yearly Recycling'!D14</f>
        <v>1006227.5000000002</v>
      </c>
      <c r="E10" s="14">
        <f>'Yearly Recycling'!E14</f>
        <v>7874</v>
      </c>
      <c r="F10" s="16">
        <f>'Yearly Recycling'!F14</f>
        <v>431763.1</v>
      </c>
      <c r="G10" s="14">
        <f>'Yearly Recycling'!G14</f>
        <v>80000</v>
      </c>
      <c r="H10" s="14">
        <f>'Yearly Recycling'!H14</f>
        <v>318500</v>
      </c>
      <c r="I10" s="14">
        <f>'Yearly Recycling'!I14</f>
        <v>162000</v>
      </c>
      <c r="J10" s="14">
        <f>'Yearly Recycling'!J14</f>
        <v>3882</v>
      </c>
      <c r="K10" s="15">
        <f>'Yearly Recycling'!K14</f>
        <v>1429</v>
      </c>
      <c r="L10" s="534">
        <f>'Yearly Recycling'!L14</f>
        <v>1828310</v>
      </c>
      <c r="M10" s="535">
        <f t="shared" si="0"/>
        <v>2157569.6</v>
      </c>
      <c r="N10" s="14">
        <f>'Yearly GHG (mCO2)'!G14</f>
        <v>21497</v>
      </c>
      <c r="O10" s="14">
        <f t="shared" si="1"/>
        <v>100.36607898776573</v>
      </c>
      <c r="P10" s="535">
        <f t="shared" si="2"/>
        <v>85.049541796529752</v>
      </c>
      <c r="Q10" s="153">
        <f t="shared" si="3"/>
        <v>0.54130325461913098</v>
      </c>
    </row>
    <row r="11" spans="1:19" x14ac:dyDescent="0.2">
      <c r="A11" s="120" t="s">
        <v>74</v>
      </c>
      <c r="B11" s="62">
        <f>'Yearly Recycling'!B15</f>
        <v>148677</v>
      </c>
      <c r="C11" s="14">
        <f>'Yearly Recycling'!C15</f>
        <v>8584</v>
      </c>
      <c r="D11" s="15">
        <f>'Yearly Recycling'!D15</f>
        <v>918636.94999999984</v>
      </c>
      <c r="E11" s="14">
        <f>'Yearly Recycling'!E15</f>
        <v>8057</v>
      </c>
      <c r="F11" s="16">
        <f>'Yearly Recycling'!F15</f>
        <v>409447.3</v>
      </c>
      <c r="G11" s="14">
        <f>'Yearly Recycling'!G15</f>
        <v>135941</v>
      </c>
      <c r="H11" s="14">
        <f>'Yearly Recycling'!H15</f>
        <v>177062</v>
      </c>
      <c r="I11" s="14">
        <f>'Yearly Recycling'!I15</f>
        <v>183000</v>
      </c>
      <c r="J11" s="14">
        <f>'Yearly Recycling'!J15</f>
        <v>7093.1</v>
      </c>
      <c r="K11" s="15">
        <f>'Yearly Recycling'!K15</f>
        <v>1532.3999999999999</v>
      </c>
      <c r="L11" s="534">
        <f>'Yearly Recycling'!L15</f>
        <v>1752328.5999999999</v>
      </c>
      <c r="M11" s="535">
        <f t="shared" si="0"/>
        <v>1998030.7499999998</v>
      </c>
      <c r="N11" s="14">
        <f>'Yearly GHG (mCO2)'!G15</f>
        <v>22169</v>
      </c>
      <c r="O11" s="14">
        <f t="shared" si="1"/>
        <v>90.127238486174377</v>
      </c>
      <c r="P11" s="535">
        <f t="shared" si="2"/>
        <v>79.044097613785013</v>
      </c>
      <c r="Q11" s="153">
        <f t="shared" si="3"/>
        <v>0.53275714765839699</v>
      </c>
      <c r="R11" s="163"/>
    </row>
    <row r="12" spans="1:19" x14ac:dyDescent="0.2">
      <c r="A12" s="120" t="s">
        <v>76</v>
      </c>
      <c r="B12" s="62">
        <f>'Yearly Recycling'!B16</f>
        <v>159850</v>
      </c>
      <c r="C12" s="14">
        <f>'Yearly Recycling'!C16</f>
        <v>10331</v>
      </c>
      <c r="D12" s="62">
        <f>'Yearly Recycling'!D16</f>
        <v>945494</v>
      </c>
      <c r="E12" s="14">
        <f>'Yearly Recycling'!E16</f>
        <v>6040.8</v>
      </c>
      <c r="F12" s="16">
        <f>'Yearly Recycling'!F16</f>
        <v>502530.9</v>
      </c>
      <c r="G12" s="14">
        <f>'Yearly Recycling'!G16</f>
        <v>74338</v>
      </c>
      <c r="H12" s="14">
        <f>'Yearly Recycling'!H16</f>
        <v>163926</v>
      </c>
      <c r="I12" s="14">
        <f>'Yearly Recycling'!I16</f>
        <v>189000</v>
      </c>
      <c r="J12" s="14">
        <f>'Yearly Recycling'!J16</f>
        <v>8654.5</v>
      </c>
      <c r="K12" s="62">
        <f>'Yearly Recycling'!K16</f>
        <v>1493.6</v>
      </c>
      <c r="L12" s="534">
        <f>'Yearly Recycling'!L16</f>
        <v>1793997.6</v>
      </c>
      <c r="M12" s="536">
        <f t="shared" si="0"/>
        <v>2061658.8000000003</v>
      </c>
      <c r="N12" s="14">
        <f>4593+19284</f>
        <v>23877</v>
      </c>
      <c r="O12" s="14">
        <f t="shared" ref="O12" si="4">M12/N12</f>
        <v>86.34496796079911</v>
      </c>
      <c r="P12" s="535">
        <f t="shared" ref="P12:P13" si="5">L12/N12</f>
        <v>75.134966704359854</v>
      </c>
      <c r="Q12" s="153">
        <f t="shared" si="3"/>
        <v>0.53471019876148718</v>
      </c>
      <c r="R12" s="163">
        <f>(L2-L12)/L2</f>
        <v>0.45996459963877179</v>
      </c>
      <c r="S12" s="401">
        <f>25*L2</f>
        <v>83050000</v>
      </c>
    </row>
    <row r="13" spans="1:19" x14ac:dyDescent="0.2">
      <c r="A13" s="120" t="s">
        <v>111</v>
      </c>
      <c r="B13" s="62">
        <f>'Yearly Recycling'!B17</f>
        <v>161582</v>
      </c>
      <c r="C13" s="14">
        <f>'Yearly Recycling'!C17</f>
        <v>10499</v>
      </c>
      <c r="D13" s="15">
        <f>'Yearly Recycling'!D17</f>
        <v>936385.8</v>
      </c>
      <c r="E13" s="14">
        <f>'Yearly Recycling'!E17</f>
        <v>5336.8</v>
      </c>
      <c r="F13" s="16">
        <f>'Yearly Recycling'!F17</f>
        <v>499181.89999999997</v>
      </c>
      <c r="G13" s="14">
        <f>'Yearly Recycling'!G17</f>
        <v>74538</v>
      </c>
      <c r="H13" s="14">
        <f>'Yearly Recycling'!H17</f>
        <v>164041</v>
      </c>
      <c r="I13" s="14">
        <f>'Yearly Recycling'!I17</f>
        <v>184120</v>
      </c>
      <c r="J13" s="14">
        <f>'Yearly Recycling'!J17</f>
        <v>7195</v>
      </c>
      <c r="K13" s="15">
        <f>'Yearly Recycling'!K17</f>
        <v>1649.2</v>
      </c>
      <c r="L13" s="534">
        <f>'Yearly Recycling'!L17</f>
        <v>1763306.2000000002</v>
      </c>
      <c r="M13" s="535">
        <f t="shared" ref="M13" si="6">SUM(B13:K13)</f>
        <v>2044528.7</v>
      </c>
      <c r="N13" s="14">
        <f>'Yearly GHG (mCO2)'!G17</f>
        <v>0</v>
      </c>
      <c r="O13" s="14" t="e">
        <f t="shared" si="1"/>
        <v>#DIV/0!</v>
      </c>
      <c r="P13" s="535" t="e">
        <f t="shared" si="5"/>
        <v>#DIV/0!</v>
      </c>
      <c r="Q13" s="153">
        <f t="shared" ref="Q13" si="7">M13/(L13+M13)</f>
        <v>0.53692682421708982</v>
      </c>
      <c r="R13" s="163"/>
      <c r="S13" s="401"/>
    </row>
    <row r="14" spans="1:19" x14ac:dyDescent="0.2">
      <c r="B14" s="153">
        <f>(B12-B2)/B2</f>
        <v>1.0805674866588573</v>
      </c>
      <c r="C14" s="153">
        <f t="shared" ref="C14" si="8">(C12-C2)/C2</f>
        <v>3.3590717299578059</v>
      </c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S14" s="14">
        <f>L2*0.25</f>
        <v>830500</v>
      </c>
    </row>
    <row r="15" spans="1:19" x14ac:dyDescent="0.2">
      <c r="D15" s="15"/>
      <c r="F15" s="153"/>
      <c r="G15" s="14"/>
      <c r="J15" s="15"/>
      <c r="K15" s="15"/>
      <c r="L15" s="494"/>
      <c r="M15" s="153"/>
      <c r="N15" s="153"/>
      <c r="O15" s="153"/>
      <c r="P15" s="494"/>
      <c r="S15" s="15">
        <f>S14/12</f>
        <v>69208.333333333328</v>
      </c>
    </row>
    <row r="16" spans="1:19" x14ac:dyDescent="0.2"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</row>
    <row r="17" spans="4:16" x14ac:dyDescent="0.2">
      <c r="D17" s="15"/>
      <c r="F17" s="16"/>
      <c r="G17" s="14"/>
    </row>
    <row r="18" spans="4:16" x14ac:dyDescent="0.2">
      <c r="D18" s="15"/>
      <c r="G18" s="14"/>
    </row>
    <row r="19" spans="4:16" x14ac:dyDescent="0.2">
      <c r="D19" s="15"/>
      <c r="G19" s="14"/>
      <c r="O19" s="163">
        <f>F12/L12</f>
        <v>0.28011793326813816</v>
      </c>
      <c r="P19" s="163">
        <f>F12/M12</f>
        <v>0.2437507603100959</v>
      </c>
    </row>
    <row r="20" spans="4:16" x14ac:dyDescent="0.2">
      <c r="D20" s="15"/>
      <c r="G20" s="14"/>
    </row>
    <row r="21" spans="4:16" x14ac:dyDescent="0.2">
      <c r="D21" s="15"/>
      <c r="G21" s="14"/>
    </row>
    <row r="22" spans="4:16" x14ac:dyDescent="0.2">
      <c r="G22" s="14"/>
    </row>
    <row r="23" spans="4:16" x14ac:dyDescent="0.2">
      <c r="G23" s="14"/>
    </row>
    <row r="24" spans="4:16" x14ac:dyDescent="0.2">
      <c r="G24" s="14"/>
    </row>
    <row r="25" spans="4:16" x14ac:dyDescent="0.2">
      <c r="G25" s="14"/>
    </row>
    <row r="26" spans="4:16" x14ac:dyDescent="0.2">
      <c r="G26" s="14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F290-CD56-495A-8072-3021B4F99B57}">
  <dimension ref="A1:DM133"/>
  <sheetViews>
    <sheetView workbookViewId="0"/>
  </sheetViews>
  <sheetFormatPr baseColWidth="10" defaultColWidth="10.6640625" defaultRowHeight="16" x14ac:dyDescent="0.2"/>
  <cols>
    <col min="1" max="1" width="11.6640625" style="87" bestFit="1" customWidth="1"/>
    <col min="2" max="4" width="13.33203125" style="8" customWidth="1"/>
    <col min="5" max="5" width="15.6640625" style="8" customWidth="1"/>
    <col min="6" max="6" width="18.33203125" style="8" customWidth="1"/>
    <col min="7" max="7" width="15.5" style="8" customWidth="1"/>
    <col min="8" max="8" width="18.33203125" style="8" customWidth="1"/>
    <col min="9" max="9" width="10.6640625" style="8" customWidth="1"/>
    <col min="10" max="10" width="18.33203125" style="8" customWidth="1"/>
    <col min="11" max="12" width="15.5" style="8" customWidth="1"/>
    <col min="13" max="13" width="3.33203125" style="142" customWidth="1"/>
    <col min="14" max="14" width="10.6640625" style="8" customWidth="1"/>
    <col min="15" max="21" width="15.6640625" style="8" customWidth="1"/>
    <col min="22" max="22" width="13.33203125" style="8" customWidth="1"/>
    <col min="23" max="28" width="15.6640625" style="8" customWidth="1"/>
    <col min="29" max="29" width="10.6640625" style="8" customWidth="1"/>
    <col min="30" max="31" width="15.6640625" style="8" customWidth="1"/>
    <col min="32" max="32" width="3.33203125" style="142" customWidth="1"/>
    <col min="33" max="33" width="10.6640625" style="8" customWidth="1"/>
    <col min="34" max="38" width="13.33203125" style="8" customWidth="1"/>
    <col min="39" max="39" width="15.6640625" style="8" customWidth="1"/>
    <col min="40" max="41" width="13.33203125" style="8" customWidth="1"/>
    <col min="42" max="42" width="20.6640625" style="8" customWidth="1"/>
    <col min="43" max="43" width="13.33203125" style="8" customWidth="1"/>
    <col min="44" max="44" width="10.6640625" style="8"/>
    <col min="45" max="45" width="15.6640625" style="8" customWidth="1"/>
    <col min="46" max="46" width="11.6640625" style="8" customWidth="1"/>
    <col min="47" max="49" width="10.6640625" style="8"/>
    <col min="50" max="50" width="3.33203125" style="142" customWidth="1"/>
    <col min="51" max="51" width="10.6640625" style="8"/>
    <col min="52" max="52" width="18.33203125" style="8" customWidth="1"/>
    <col min="53" max="53" width="15.6640625" style="8" customWidth="1"/>
    <col min="54" max="57" width="13.33203125" style="8" customWidth="1"/>
    <col min="58" max="58" width="20.6640625" style="8" customWidth="1"/>
    <col min="59" max="59" width="13.33203125" style="8" customWidth="1"/>
    <col min="60" max="60" width="18.6640625" style="8" customWidth="1"/>
    <col min="61" max="61" width="15.6640625" style="8" customWidth="1"/>
    <col min="62" max="67" width="10.6640625" style="8"/>
    <col min="68" max="68" width="3.33203125" style="142" customWidth="1"/>
    <col min="69" max="69" width="15.6640625" style="8" customWidth="1"/>
    <col min="70" max="73" width="10.6640625" style="8"/>
    <col min="74" max="74" width="13.33203125" style="8" customWidth="1"/>
    <col min="75" max="75" width="15.6640625" style="8" customWidth="1"/>
    <col min="76" max="76" width="13.33203125" style="8" customWidth="1"/>
    <col min="77" max="77" width="10.6640625" style="8"/>
    <col min="78" max="78" width="13.33203125" style="8" customWidth="1"/>
    <col min="79" max="80" width="10.6640625" style="8"/>
    <col min="81" max="81" width="3.33203125" style="8" customWidth="1"/>
    <col min="82" max="82" width="18.33203125" style="8" customWidth="1"/>
    <col min="83" max="86" width="10.6640625" style="8"/>
    <col min="87" max="87" width="13.33203125" style="8" customWidth="1"/>
    <col min="88" max="88" width="15.6640625" style="8" customWidth="1"/>
    <col min="89" max="89" width="13.33203125" style="8" customWidth="1"/>
    <col min="90" max="90" width="10.6640625" style="8"/>
    <col min="91" max="91" width="13.33203125" style="8" customWidth="1"/>
    <col min="92" max="93" width="10.6640625" style="8"/>
    <col min="94" max="94" width="3.33203125" style="142" customWidth="1"/>
    <col min="95" max="95" width="15.6640625" style="8" customWidth="1"/>
    <col min="96" max="96" width="18.33203125" style="8" customWidth="1"/>
    <col min="97" max="97" width="15.6640625" style="8" customWidth="1"/>
    <col min="98" max="101" width="13.33203125" style="8" customWidth="1"/>
    <col min="102" max="102" width="18.33203125" style="8" customWidth="1"/>
    <col min="103" max="103" width="13.33203125" style="8" customWidth="1"/>
    <col min="104" max="104" width="15.6640625" style="8" customWidth="1"/>
    <col min="105" max="105" width="10.6640625" style="8"/>
    <col min="106" max="106" width="3.33203125" style="8" customWidth="1"/>
    <col min="107" max="108" width="18.33203125" style="8" customWidth="1"/>
    <col min="109" max="109" width="15.6640625" style="8" customWidth="1"/>
    <col min="110" max="113" width="13.33203125" style="8" customWidth="1"/>
    <col min="114" max="114" width="18.33203125" style="8" customWidth="1"/>
    <col min="115" max="115" width="13.33203125" style="8" customWidth="1"/>
    <col min="116" max="116" width="15.6640625" style="8" customWidth="1"/>
    <col min="117" max="16384" width="10.6640625" style="8"/>
  </cols>
  <sheetData>
    <row r="1" spans="1:117" s="91" customFormat="1" ht="51" x14ac:dyDescent="0.2">
      <c r="A1" s="65" t="s">
        <v>28</v>
      </c>
      <c r="B1" s="89" t="s">
        <v>489</v>
      </c>
      <c r="C1" s="89" t="s">
        <v>490</v>
      </c>
      <c r="D1" s="89" t="s">
        <v>82</v>
      </c>
      <c r="E1" s="89" t="s">
        <v>83</v>
      </c>
      <c r="F1" s="89" t="s">
        <v>491</v>
      </c>
      <c r="G1" s="141"/>
      <c r="H1" s="141"/>
      <c r="J1" s="141"/>
      <c r="K1" s="141"/>
      <c r="L1" s="141"/>
      <c r="M1" s="143"/>
      <c r="N1" s="89" t="s">
        <v>28</v>
      </c>
      <c r="O1" s="89" t="s">
        <v>489</v>
      </c>
      <c r="P1" s="89" t="s">
        <v>492</v>
      </c>
      <c r="Q1" s="89" t="s">
        <v>493</v>
      </c>
      <c r="R1" s="89" t="s">
        <v>494</v>
      </c>
      <c r="S1" s="89" t="s">
        <v>26</v>
      </c>
      <c r="T1" s="65" t="s">
        <v>495</v>
      </c>
      <c r="V1" s="89" t="s">
        <v>28</v>
      </c>
      <c r="W1" s="89" t="s">
        <v>489</v>
      </c>
      <c r="X1" s="89" t="s">
        <v>492</v>
      </c>
      <c r="Y1" s="89" t="s">
        <v>493</v>
      </c>
      <c r="Z1" s="89" t="s">
        <v>494</v>
      </c>
      <c r="AA1" s="89" t="s">
        <v>26</v>
      </c>
      <c r="AB1" s="65" t="s">
        <v>495</v>
      </c>
      <c r="AC1" s="141"/>
      <c r="AD1" s="141" t="s">
        <v>489</v>
      </c>
      <c r="AE1" s="141" t="s">
        <v>496</v>
      </c>
      <c r="AF1" s="143"/>
      <c r="AG1" s="65" t="s">
        <v>28</v>
      </c>
      <c r="AH1" s="65" t="s">
        <v>475</v>
      </c>
      <c r="AI1" s="65" t="s">
        <v>476</v>
      </c>
      <c r="AJ1" s="65" t="s">
        <v>497</v>
      </c>
      <c r="AK1" s="65" t="s">
        <v>478</v>
      </c>
      <c r="AL1" s="65" t="s">
        <v>26</v>
      </c>
      <c r="AM1" s="65" t="s">
        <v>479</v>
      </c>
      <c r="AN1" s="65" t="s">
        <v>480</v>
      </c>
      <c r="AO1" s="65" t="s">
        <v>481</v>
      </c>
      <c r="AP1" s="65" t="s">
        <v>498</v>
      </c>
      <c r="AQ1" s="66" t="s">
        <v>499</v>
      </c>
      <c r="AS1" s="65" t="s">
        <v>28</v>
      </c>
      <c r="AT1" s="65" t="s">
        <v>480</v>
      </c>
      <c r="AU1" s="65" t="s">
        <v>481</v>
      </c>
      <c r="AV1" s="65" t="s">
        <v>500</v>
      </c>
      <c r="AW1" s="65" t="s">
        <v>475</v>
      </c>
      <c r="AX1" s="192"/>
      <c r="AY1" s="193" t="s">
        <v>28</v>
      </c>
      <c r="AZ1" s="194" t="s">
        <v>501</v>
      </c>
      <c r="BA1" s="194" t="s">
        <v>502</v>
      </c>
      <c r="BB1" s="194" t="s">
        <v>503</v>
      </c>
      <c r="BC1" s="194" t="s">
        <v>504</v>
      </c>
      <c r="BD1" s="194" t="s">
        <v>505</v>
      </c>
      <c r="BE1" s="194" t="s">
        <v>273</v>
      </c>
      <c r="BF1" s="194" t="s">
        <v>506</v>
      </c>
      <c r="BG1" s="194" t="s">
        <v>45</v>
      </c>
      <c r="BH1" s="194" t="s">
        <v>507</v>
      </c>
      <c r="BI1" s="195"/>
      <c r="BP1" s="192"/>
      <c r="BQ1" s="198" t="s">
        <v>508</v>
      </c>
      <c r="BR1" s="196" t="s">
        <v>475</v>
      </c>
      <c r="BS1" s="196" t="s">
        <v>476</v>
      </c>
      <c r="BT1" s="196" t="s">
        <v>497</v>
      </c>
      <c r="BU1" s="196" t="s">
        <v>478</v>
      </c>
      <c r="BV1" s="196" t="s">
        <v>26</v>
      </c>
      <c r="BW1" s="196" t="s">
        <v>479</v>
      </c>
      <c r="BX1" s="196" t="s">
        <v>480</v>
      </c>
      <c r="BY1" s="196" t="s">
        <v>481</v>
      </c>
      <c r="BZ1" s="196" t="s">
        <v>498</v>
      </c>
      <c r="CA1" s="197" t="s">
        <v>499</v>
      </c>
      <c r="CB1" s="196" t="s">
        <v>82</v>
      </c>
      <c r="CD1" s="198" t="s">
        <v>509</v>
      </c>
      <c r="CE1" s="196" t="s">
        <v>475</v>
      </c>
      <c r="CF1" s="196" t="s">
        <v>476</v>
      </c>
      <c r="CG1" s="196" t="s">
        <v>497</v>
      </c>
      <c r="CH1" s="196" t="s">
        <v>478</v>
      </c>
      <c r="CI1" s="196" t="s">
        <v>26</v>
      </c>
      <c r="CJ1" s="196" t="s">
        <v>479</v>
      </c>
      <c r="CK1" s="196" t="s">
        <v>480</v>
      </c>
      <c r="CL1" s="196" t="s">
        <v>481</v>
      </c>
      <c r="CM1" s="196" t="s">
        <v>498</v>
      </c>
      <c r="CN1" s="197" t="s">
        <v>499</v>
      </c>
      <c r="CO1" s="196" t="s">
        <v>82</v>
      </c>
      <c r="CP1" s="192"/>
      <c r="CQ1" s="198" t="s">
        <v>508</v>
      </c>
      <c r="CR1" s="206" t="s">
        <v>501</v>
      </c>
      <c r="CS1" s="206" t="s">
        <v>502</v>
      </c>
      <c r="CT1" s="206" t="s">
        <v>503</v>
      </c>
      <c r="CU1" s="206" t="s">
        <v>504</v>
      </c>
      <c r="CV1" s="206" t="s">
        <v>505</v>
      </c>
      <c r="CW1" s="206" t="s">
        <v>273</v>
      </c>
      <c r="CX1" s="206" t="s">
        <v>506</v>
      </c>
      <c r="CY1" s="206" t="s">
        <v>45</v>
      </c>
      <c r="CZ1" s="206" t="s">
        <v>507</v>
      </c>
      <c r="DA1" s="206" t="s">
        <v>474</v>
      </c>
      <c r="DC1" s="198" t="s">
        <v>509</v>
      </c>
      <c r="DD1" s="206" t="s">
        <v>501</v>
      </c>
      <c r="DE1" s="206" t="s">
        <v>502</v>
      </c>
      <c r="DF1" s="206" t="s">
        <v>503</v>
      </c>
      <c r="DG1" s="206" t="s">
        <v>504</v>
      </c>
      <c r="DH1" s="206" t="s">
        <v>505</v>
      </c>
      <c r="DI1" s="206" t="s">
        <v>273</v>
      </c>
      <c r="DJ1" s="206" t="s">
        <v>506</v>
      </c>
      <c r="DK1" s="206" t="s">
        <v>45</v>
      </c>
      <c r="DL1" s="206" t="s">
        <v>507</v>
      </c>
      <c r="DM1" s="206" t="s">
        <v>474</v>
      </c>
    </row>
    <row r="2" spans="1:117" ht="17" x14ac:dyDescent="0.2">
      <c r="A2" s="105">
        <v>41456</v>
      </c>
      <c r="B2" s="9">
        <f>'Raw Data (KG)'!B2</f>
        <v>282100</v>
      </c>
      <c r="C2" s="9">
        <f>'Raw Data (KG)'!C2</f>
        <v>0</v>
      </c>
      <c r="D2" s="9">
        <f>SUM(B2:C2)</f>
        <v>282100</v>
      </c>
      <c r="K2" s="121"/>
      <c r="L2" s="121"/>
      <c r="M2" s="144"/>
      <c r="N2" s="189">
        <v>45108</v>
      </c>
      <c r="O2" s="184">
        <f>SUM('Raw Data (KG)'!B122:C122)</f>
        <v>136680</v>
      </c>
      <c r="P2" s="184">
        <f>SUM('Raw Data (KG)'!D122,'Raw Data (KG)'!G122,'Raw Data (KG)'!V122,'Raw Data (KG)'!H122,'Raw Data (KG)'!K122,'Raw Data (KG)'!L122)</f>
        <v>10929.5</v>
      </c>
      <c r="Q2" s="184">
        <f>SUM('Raw Data (KG)'!E122:F122,'Raw Data (KG)'!J122:Z122,'Raw Data (KG)'!Q122)</f>
        <v>61584.5</v>
      </c>
      <c r="R2" s="184">
        <f>SUM('Raw Data (KG)'!I122:X122,'Raw Data (KG)'!J122,'Raw Data (KG)'!P122,'Raw Data (KG)'!T122)</f>
        <v>64879</v>
      </c>
      <c r="S2" s="184">
        <f>'Raw Food Data (KG)'!Q83</f>
        <v>23296.5</v>
      </c>
      <c r="T2" s="185">
        <f>SUM('Raw Data (KG)'!R122:S122)</f>
        <v>21670</v>
      </c>
      <c r="V2" s="123" t="s">
        <v>510</v>
      </c>
      <c r="W2" s="124">
        <f>SUM(O2:O7)</f>
        <v>906320</v>
      </c>
      <c r="X2" s="124">
        <f t="shared" ref="X2:AB2" si="0">SUM(P2:P7)</f>
        <v>72747.149999999994</v>
      </c>
      <c r="Y2" s="124">
        <f t="shared" si="0"/>
        <v>382017.05</v>
      </c>
      <c r="Z2" s="124">
        <f t="shared" si="0"/>
        <v>474624.65</v>
      </c>
      <c r="AA2" s="124">
        <f t="shared" si="0"/>
        <v>190339.69999999998</v>
      </c>
      <c r="AB2" s="124">
        <f t="shared" si="0"/>
        <v>179868</v>
      </c>
      <c r="AC2" s="124"/>
      <c r="AD2" s="186">
        <f>W2/SUM(W2:AB2)</f>
        <v>0.41085869726123597</v>
      </c>
      <c r="AE2" s="186">
        <f>SUM(X2:AB2)/SUM(W2:AB2)</f>
        <v>0.58914130273876419</v>
      </c>
      <c r="AF2" s="187"/>
      <c r="AG2" s="189">
        <v>45108</v>
      </c>
      <c r="AH2" s="9">
        <f>'Monthly Recycling'!B122</f>
        <v>10670</v>
      </c>
      <c r="AI2" s="9">
        <f>'Monthly Recycling'!C122</f>
        <v>915</v>
      </c>
      <c r="AJ2" s="9">
        <f>'Monthly Recycling'!D122</f>
        <v>63739</v>
      </c>
      <c r="AK2" s="9">
        <f>'Monthly Recycling'!E122</f>
        <v>673</v>
      </c>
      <c r="AL2" s="9">
        <f>'Monthly Recycling'!F122</f>
        <v>23296.5</v>
      </c>
      <c r="AM2" s="9">
        <f>'Monthly Recycling'!G122</f>
        <v>7185</v>
      </c>
      <c r="AN2" s="9">
        <f>'Monthly Recycling'!H122</f>
        <v>14485</v>
      </c>
      <c r="AO2" s="9">
        <f>'Monthly Recycling'!I122</f>
        <v>18000</v>
      </c>
      <c r="AP2" s="9">
        <f>'Monthly Recycling'!J122</f>
        <v>513</v>
      </c>
      <c r="AQ2" s="9">
        <f>'Monthly Recycling'!K122</f>
        <v>0</v>
      </c>
      <c r="AS2" s="191" t="s">
        <v>510</v>
      </c>
      <c r="AT2" s="139">
        <f>SUM(AN2:AN7)/SUM(AH2:AQ7)</f>
        <v>0.11583276138596606</v>
      </c>
      <c r="AU2" s="139">
        <f>SUM(AO2:AO7)/SUM(AH2:AQ7)</f>
        <v>8.90511290520552E-2</v>
      </c>
      <c r="AV2" s="139">
        <f>SUM(AL2:AL7)/SUM(AH2:AQ7)</f>
        <v>0.1883329465381052</v>
      </c>
      <c r="AW2" s="139">
        <f>SUM(AH2:AH7)/SUM(AH2:AQ7)</f>
        <v>6.9997155805883782E-2</v>
      </c>
      <c r="AY2" s="189">
        <v>45108</v>
      </c>
      <c r="AZ2" s="8">
        <f>'Raw Food Data (KG)'!B83</f>
        <v>7456</v>
      </c>
      <c r="BA2" s="8">
        <f>'Raw Food Data (KG)'!E83</f>
        <v>7333.6</v>
      </c>
      <c r="BB2" s="8">
        <f>'Raw Food Data (KG)'!F83</f>
        <v>1940.5</v>
      </c>
      <c r="BC2" s="8">
        <f>'Raw Food Data (KG)'!G83</f>
        <v>1322.5</v>
      </c>
      <c r="BD2" s="8">
        <f>'Raw Food Data (KG)'!H83</f>
        <v>427.5</v>
      </c>
      <c r="BE2" s="8">
        <f>'Raw Food Data (KG)'!I83</f>
        <v>1793.5</v>
      </c>
      <c r="BF2" s="8">
        <f>'Raw Food Data (KG)'!L83</f>
        <v>0</v>
      </c>
      <c r="BG2" s="8">
        <f>'Raw Food Data (KG)'!M83</f>
        <v>738.5</v>
      </c>
      <c r="BH2" s="8">
        <f>'Raw Food Data (KG)'!P83</f>
        <v>2284.4</v>
      </c>
      <c r="BQ2" s="8" t="s">
        <v>511</v>
      </c>
      <c r="BR2" s="9">
        <f>SUM('Monthly Recycling'!B110:B115)</f>
        <v>67750</v>
      </c>
      <c r="BS2" s="9">
        <f>SUM('Monthly Recycling'!C110:C115)</f>
        <v>5839</v>
      </c>
      <c r="BT2" s="9">
        <f>SUM('Monthly Recycling'!D110:D115)</f>
        <v>519147.10000000003</v>
      </c>
      <c r="BU2" s="9">
        <f>SUM('Monthly Recycling'!E110:E115)</f>
        <v>4737</v>
      </c>
      <c r="BV2" s="9">
        <f>SUM('Monthly Recycling'!F110:F115)</f>
        <v>213872</v>
      </c>
      <c r="BW2" s="9">
        <f>SUM('Monthly Recycling'!G110:G115)</f>
        <v>40000</v>
      </c>
      <c r="BX2" s="9">
        <f>SUM('Monthly Recycling'!H110:H115)</f>
        <v>175000</v>
      </c>
      <c r="BY2" s="9">
        <f>SUM('Monthly Recycling'!I110:I115)</f>
        <v>81000</v>
      </c>
      <c r="BZ2" s="9">
        <f>SUM('Monthly Recycling'!J110:J115)</f>
        <v>1335</v>
      </c>
      <c r="CA2" s="9">
        <f>SUM('Monthly Recycling'!K110:K115)</f>
        <v>957.1</v>
      </c>
      <c r="CB2" s="9">
        <f>SUM(BR2:CA2)</f>
        <v>1109637.2000000002</v>
      </c>
      <c r="CD2" s="8" t="s">
        <v>512</v>
      </c>
      <c r="CE2" s="9">
        <f>SUM('Monthly Recycling'!B102:B115)</f>
        <v>156547</v>
      </c>
      <c r="CF2" s="9">
        <f>SUM('Monthly Recycling'!C102:C115)</f>
        <v>10915</v>
      </c>
      <c r="CG2" s="9">
        <f>SUM('Monthly Recycling'!D102:D115)</f>
        <v>1133315.5330000001</v>
      </c>
      <c r="CH2" s="9">
        <f>SUM('Monthly Recycling'!E102:E115)</f>
        <v>8323</v>
      </c>
      <c r="CI2" s="9">
        <f>SUM('Monthly Recycling'!F102:F115)</f>
        <v>452898.6</v>
      </c>
      <c r="CJ2" s="9">
        <f>SUM('Monthly Recycling'!G102:G115)</f>
        <v>91200</v>
      </c>
      <c r="CK2" s="9">
        <f>SUM('Monthly Recycling'!H102:H115)</f>
        <v>399000</v>
      </c>
      <c r="CL2" s="9">
        <f>SUM('Monthly Recycling'!I102:I115)</f>
        <v>165358</v>
      </c>
      <c r="CM2" s="9">
        <f>SUM('Monthly Recycling'!J102:J115)</f>
        <v>6955</v>
      </c>
      <c r="CN2" s="9">
        <f>SUM('Monthly Recycling'!K102:K115)</f>
        <v>1512.8329999999999</v>
      </c>
      <c r="CO2" s="9">
        <f>SUM(CE2:CN2)</f>
        <v>2426024.966</v>
      </c>
      <c r="CQ2" s="8" t="s">
        <v>511</v>
      </c>
      <c r="DC2" s="8" t="s">
        <v>512</v>
      </c>
    </row>
    <row r="3" spans="1:117" x14ac:dyDescent="0.2">
      <c r="A3" s="105">
        <v>41487</v>
      </c>
      <c r="B3" s="9">
        <f>'Raw Data (KG)'!B3</f>
        <v>282100</v>
      </c>
      <c r="C3" s="9">
        <f>'Raw Data (KG)'!C3</f>
        <v>0</v>
      </c>
      <c r="D3" s="9">
        <f t="shared" ref="D3:D66" si="1">SUM(B3:C3)</f>
        <v>282100</v>
      </c>
      <c r="E3" s="138"/>
      <c r="F3" s="138"/>
      <c r="G3" s="138"/>
      <c r="H3" s="138"/>
      <c r="J3" s="137"/>
      <c r="K3" s="7"/>
      <c r="L3" s="7"/>
      <c r="M3" s="145"/>
      <c r="N3" s="189">
        <v>45139</v>
      </c>
      <c r="O3" s="184">
        <f>SUM('Raw Data (KG)'!B123:C123)</f>
        <v>153100</v>
      </c>
      <c r="P3" s="184">
        <f>SUM('Raw Data (KG)'!D123,'Raw Data (KG)'!G123,'Raw Data (KG)'!V123,'Raw Data (KG)'!H123,'Raw Data (KG)'!K123,'Raw Data (KG)'!L123)</f>
        <v>11012.9</v>
      </c>
      <c r="Q3" s="184">
        <f>SUM('Raw Data (KG)'!E123:F123,'Raw Data (KG)'!J123:Z123,'Raw Data (KG)'!Q123)</f>
        <v>60898</v>
      </c>
      <c r="R3" s="184">
        <f>SUM('Raw Data (KG)'!I123:X123,'Raw Data (KG)'!J123,'Raw Data (KG)'!P123,'Raw Data (KG)'!T123)</f>
        <v>72672.600000000006</v>
      </c>
      <c r="S3" s="184">
        <f>'Raw Food Data (KG)'!Q84</f>
        <v>28190.499999999996</v>
      </c>
      <c r="T3" s="185">
        <f>SUM('Raw Data (KG)'!R123:S123)</f>
        <v>27270</v>
      </c>
      <c r="V3" s="137" t="s">
        <v>513</v>
      </c>
      <c r="W3" s="125">
        <f>SUM(O8:O13)</f>
        <v>846008.6</v>
      </c>
      <c r="X3" s="125">
        <f t="shared" ref="X3:AB3" si="2">SUM(P8:P13)</f>
        <v>81133</v>
      </c>
      <c r="Y3" s="125">
        <f t="shared" si="2"/>
        <v>337855.60000000003</v>
      </c>
      <c r="Z3" s="125">
        <f t="shared" si="2"/>
        <v>458410.80000000005</v>
      </c>
      <c r="AA3" s="125">
        <f t="shared" si="2"/>
        <v>219107.59999999998</v>
      </c>
      <c r="AB3" s="125">
        <f t="shared" si="2"/>
        <v>133135</v>
      </c>
      <c r="AD3" s="186">
        <f>W3/SUM(W3:AB3)</f>
        <v>0.40758719217964717</v>
      </c>
      <c r="AE3" s="186">
        <f>SUM(X3:AB3)/SUM(W3:AB3)</f>
        <v>0.59241280782035277</v>
      </c>
      <c r="AG3" s="189">
        <v>45139</v>
      </c>
      <c r="AH3" s="9">
        <f>'Monthly Recycling'!B123</f>
        <v>10732</v>
      </c>
      <c r="AI3" s="9">
        <f>'Monthly Recycling'!C123</f>
        <v>872</v>
      </c>
      <c r="AJ3" s="9">
        <f>'Monthly Recycling'!D123</f>
        <v>71197.5</v>
      </c>
      <c r="AK3" s="9">
        <f>'Monthly Recycling'!E123</f>
        <v>996</v>
      </c>
      <c r="AL3" s="9">
        <f>'Monthly Recycling'!F123</f>
        <v>28190.499999999996</v>
      </c>
      <c r="AM3" s="9">
        <f>'Monthly Recycling'!G123</f>
        <v>7200</v>
      </c>
      <c r="AN3" s="9">
        <f>'Monthly Recycling'!H123</f>
        <v>20070</v>
      </c>
      <c r="AO3" s="9">
        <f>'Monthly Recycling'!I123</f>
        <v>15000</v>
      </c>
      <c r="AP3" s="9">
        <f>'Monthly Recycling'!J123</f>
        <v>435</v>
      </c>
      <c r="AQ3" s="9">
        <f>'Monthly Recycling'!K123</f>
        <v>21.1</v>
      </c>
      <c r="AS3" s="191" t="s">
        <v>513</v>
      </c>
      <c r="AT3" s="139">
        <f>SUM(AN8:AN13)/SUM(AH8:AQ13)</f>
        <v>6.0762097171957102E-2</v>
      </c>
      <c r="AU3" s="139">
        <f>SUM(AO8:AO13)/SUM(AH8:AQ13)</f>
        <v>9.4189099708175864E-2</v>
      </c>
      <c r="AV3" s="139">
        <f>SUM(AL8:AL13)/SUM(AH8:AQ13)</f>
        <v>0.22190911379805495</v>
      </c>
      <c r="AW3" s="139">
        <f>SUM(AH8:AH13)/SUM(AH8:AQ13)</f>
        <v>7.8930465555451371E-2</v>
      </c>
      <c r="AY3" s="189">
        <v>45139</v>
      </c>
      <c r="AZ3" s="8">
        <f>'Raw Food Data (KG)'!B84</f>
        <v>10135</v>
      </c>
      <c r="BA3" s="8">
        <f>'Raw Food Data (KG)'!E84</f>
        <v>10227.799999999999</v>
      </c>
      <c r="BB3" s="8">
        <f>'Raw Food Data (KG)'!F84</f>
        <v>1272</v>
      </c>
      <c r="BC3" s="8">
        <f>'Raw Food Data (KG)'!G84</f>
        <v>1102</v>
      </c>
      <c r="BD3" s="8">
        <f>'Raw Food Data (KG)'!H84</f>
        <v>456</v>
      </c>
      <c r="BE3" s="8">
        <f>'Raw Food Data (KG)'!I84</f>
        <v>2079</v>
      </c>
      <c r="BF3" s="8">
        <f>'Raw Food Data (KG)'!L84</f>
        <v>123</v>
      </c>
      <c r="BG3" s="8">
        <f>'Raw Food Data (KG)'!M84</f>
        <v>589.6</v>
      </c>
      <c r="BH3" s="8">
        <f>'Raw Food Data (KG)'!P84</f>
        <v>2206.1</v>
      </c>
      <c r="BQ3" s="8" t="s">
        <v>514</v>
      </c>
      <c r="BR3" s="9">
        <f>SUM('Monthly Recycling'!B122:B127)</f>
        <v>70743</v>
      </c>
      <c r="BS3" s="9">
        <f>SUM('Monthly Recycling'!C122:C127)</f>
        <v>4415</v>
      </c>
      <c r="BT3" s="9">
        <f>SUM('Monthly Recycling'!D122:D127)</f>
        <v>466294.75</v>
      </c>
      <c r="BU3" s="9">
        <f>SUM('Monthly Recycling'!E122:E127)</f>
        <v>4912</v>
      </c>
      <c r="BV3" s="9">
        <f>SUM('Monthly Recycling'!F122:F127)</f>
        <v>190339.69999999998</v>
      </c>
      <c r="BW3" s="9">
        <f>SUM('Monthly Recycling'!G122:G127)</f>
        <v>62801</v>
      </c>
      <c r="BX3" s="9">
        <f>SUM('Monthly Recycling'!H122:H127)</f>
        <v>117067</v>
      </c>
      <c r="BY3" s="9">
        <f>SUM('Monthly Recycling'!I122:I127)</f>
        <v>90000</v>
      </c>
      <c r="BZ3" s="9">
        <f>SUM('Monthly Recycling'!J122:J127)</f>
        <v>3866</v>
      </c>
      <c r="CA3" s="9">
        <f>SUM('Monthly Recycling'!K122:K127)</f>
        <v>216.89999999999998</v>
      </c>
      <c r="CB3" s="9">
        <f>SUM(BR3:CA3)</f>
        <v>1010655.35</v>
      </c>
      <c r="CD3" s="8" t="s">
        <v>515</v>
      </c>
      <c r="CE3" s="9">
        <f>SUM('Monthly Recycling'!B114:B127)</f>
        <v>156016</v>
      </c>
      <c r="CF3" s="9">
        <f>SUM('Monthly Recycling'!C114:C127)</f>
        <v>11902</v>
      </c>
      <c r="CG3" s="9">
        <f>SUM('Monthly Recycling'!D114:D127)</f>
        <v>1141848.6500000001</v>
      </c>
      <c r="CH3" s="9">
        <f>SUM('Monthly Recycling'!E114:E127)</f>
        <v>9804</v>
      </c>
      <c r="CI3" s="9">
        <f>SUM('Monthly Recycling'!F114:F127)</f>
        <v>494796.79999999999</v>
      </c>
      <c r="CJ3" s="9">
        <f>SUM('Monthly Recycling'!G114:G127)</f>
        <v>115601</v>
      </c>
      <c r="CK3" s="9">
        <f>SUM('Monthly Recycling'!H114:H127)</f>
        <v>320067</v>
      </c>
      <c r="CL3" s="9">
        <f>SUM('Monthly Recycling'!I114:I127)</f>
        <v>198000</v>
      </c>
      <c r="CM3" s="9">
        <f>SUM('Monthly Recycling'!J114:J127)</f>
        <v>6413</v>
      </c>
      <c r="CN3" s="9">
        <f>SUM('Monthly Recycling'!K114:K127)</f>
        <v>917.30000000000007</v>
      </c>
      <c r="CO3" s="9">
        <f>SUM(CE3:CN3)</f>
        <v>2455365.75</v>
      </c>
      <c r="CQ3" s="8" t="s">
        <v>514</v>
      </c>
      <c r="DC3" s="8" t="s">
        <v>515</v>
      </c>
    </row>
    <row r="4" spans="1:117" x14ac:dyDescent="0.2">
      <c r="A4" s="105">
        <v>41518</v>
      </c>
      <c r="B4" s="9">
        <f>'Raw Data (KG)'!B4</f>
        <v>273000.00000000006</v>
      </c>
      <c r="C4" s="9">
        <f>'Raw Data (KG)'!C4</f>
        <v>0</v>
      </c>
      <c r="D4" s="9">
        <f t="shared" si="1"/>
        <v>273000.00000000006</v>
      </c>
      <c r="E4" s="138"/>
      <c r="F4" s="138"/>
      <c r="G4" s="138"/>
      <c r="H4" s="138"/>
      <c r="J4" s="137"/>
      <c r="K4" s="7"/>
      <c r="L4" s="7"/>
      <c r="M4" s="145"/>
      <c r="N4" s="189">
        <v>45170</v>
      </c>
      <c r="O4" s="184">
        <f>SUM('Raw Data (KG)'!B124:C124)</f>
        <v>157880</v>
      </c>
      <c r="P4" s="184">
        <f>SUM('Raw Data (KG)'!D124,'Raw Data (KG)'!G124,'Raw Data (KG)'!V124,'Raw Data (KG)'!H124,'Raw Data (KG)'!K124,'Raw Data (KG)'!L124)</f>
        <v>11439.75</v>
      </c>
      <c r="Q4" s="184">
        <f>SUM('Raw Data (KG)'!E124:F124,'Raw Data (KG)'!J124:Z124,'Raw Data (KG)'!Q124)</f>
        <v>81832.350000000006</v>
      </c>
      <c r="R4" s="184">
        <f>SUM('Raw Data (KG)'!I124:X124,'Raw Data (KG)'!J124,'Raw Data (KG)'!P124,'Raw Data (KG)'!T124)</f>
        <v>95840.950000000012</v>
      </c>
      <c r="S4" s="184">
        <f>'Raw Food Data (KG)'!Q85</f>
        <v>30387</v>
      </c>
      <c r="T4" s="185">
        <f>SUM('Raw Data (KG)'!R124:S124)</f>
        <v>48985</v>
      </c>
      <c r="V4" s="137"/>
      <c r="W4" s="125"/>
      <c r="X4" s="126"/>
      <c r="Y4" s="125"/>
      <c r="Z4" s="125"/>
      <c r="AA4" s="125"/>
      <c r="AB4" s="125"/>
      <c r="AG4" s="189">
        <v>45170</v>
      </c>
      <c r="AH4" s="9">
        <f>'Monthly Recycling'!B124</f>
        <v>11135</v>
      </c>
      <c r="AI4" s="9">
        <f>'Monthly Recycling'!C124</f>
        <v>801</v>
      </c>
      <c r="AJ4" s="9">
        <f>'Monthly Recycling'!D124</f>
        <v>95299.35</v>
      </c>
      <c r="AK4" s="9">
        <f>'Monthly Recycling'!E124</f>
        <v>0</v>
      </c>
      <c r="AL4" s="9">
        <f>'Monthly Recycling'!F124</f>
        <v>30387</v>
      </c>
      <c r="AM4" s="9">
        <f>'Monthly Recycling'!G124</f>
        <v>11215</v>
      </c>
      <c r="AN4" s="9">
        <f>'Monthly Recycling'!H124</f>
        <v>37770</v>
      </c>
      <c r="AO4" s="9">
        <f>'Monthly Recycling'!I124</f>
        <v>15000</v>
      </c>
      <c r="AP4" s="9">
        <f>'Monthly Recycling'!J124</f>
        <v>531</v>
      </c>
      <c r="AQ4" s="9">
        <f>'Monthly Recycling'!K124</f>
        <v>91.6</v>
      </c>
      <c r="AY4" s="189">
        <v>45170</v>
      </c>
      <c r="AZ4" s="8">
        <f>'Raw Food Data (KG)'!B85</f>
        <v>10338</v>
      </c>
      <c r="BA4" s="8">
        <f>'Raw Food Data (KG)'!E85</f>
        <v>11338.2</v>
      </c>
      <c r="BB4" s="8">
        <f>'Raw Food Data (KG)'!F85</f>
        <v>464.9</v>
      </c>
      <c r="BC4" s="8">
        <f>'Raw Food Data (KG)'!G85</f>
        <v>1964.4</v>
      </c>
      <c r="BD4" s="8">
        <f>'Raw Food Data (KG)'!H85</f>
        <v>628</v>
      </c>
      <c r="BE4" s="8">
        <f>'Raw Food Data (KG)'!I85</f>
        <v>2438.6999999999998</v>
      </c>
      <c r="BF4" s="8">
        <f>'Raw Food Data (KG)'!L85</f>
        <v>525.9</v>
      </c>
      <c r="BG4" s="8">
        <f>'Raw Food Data (KG)'!M85</f>
        <v>530.6</v>
      </c>
      <c r="BH4" s="8">
        <f>'Raw Food Data (KG)'!P85</f>
        <v>2158.3000000000002</v>
      </c>
      <c r="BQ4" s="8" t="s">
        <v>516</v>
      </c>
      <c r="BR4" s="139">
        <f t="shared" ref="BR4:CB4" si="3">BR3/BR2-1</f>
        <v>4.4177121771217687E-2</v>
      </c>
      <c r="BS4" s="139">
        <f t="shared" si="3"/>
        <v>-0.24387737626305872</v>
      </c>
      <c r="BT4" s="139">
        <f t="shared" si="3"/>
        <v>-0.10180611622409141</v>
      </c>
      <c r="BU4" s="139">
        <f t="shared" si="3"/>
        <v>3.6943213004011044E-2</v>
      </c>
      <c r="BV4" s="139">
        <f t="shared" si="3"/>
        <v>-0.11002983092690966</v>
      </c>
      <c r="BW4" s="139">
        <f t="shared" si="3"/>
        <v>0.570025</v>
      </c>
      <c r="BX4" s="139">
        <f t="shared" si="3"/>
        <v>-0.33104571428571428</v>
      </c>
      <c r="BY4" s="139">
        <f t="shared" si="3"/>
        <v>0.11111111111111116</v>
      </c>
      <c r="BZ4" s="139">
        <f t="shared" si="3"/>
        <v>1.8958801498127342</v>
      </c>
      <c r="CA4" s="139">
        <f t="shared" si="3"/>
        <v>-0.7733779124438408</v>
      </c>
      <c r="CB4" s="199">
        <f t="shared" si="3"/>
        <v>-8.9201993228057108E-2</v>
      </c>
      <c r="CD4" s="8" t="s">
        <v>516</v>
      </c>
      <c r="CE4" s="139">
        <f t="shared" ref="CE4:CO4" si="4">CE3/CE2-1</f>
        <v>-3.3919525765424563E-3</v>
      </c>
      <c r="CF4" s="139">
        <f t="shared" si="4"/>
        <v>9.0426019239578492E-2</v>
      </c>
      <c r="CG4" s="139">
        <f t="shared" si="4"/>
        <v>7.5293391394821718E-3</v>
      </c>
      <c r="CH4" s="139">
        <f t="shared" si="4"/>
        <v>0.17794064640153784</v>
      </c>
      <c r="CI4" s="139">
        <f t="shared" si="4"/>
        <v>9.2511215534779812E-2</v>
      </c>
      <c r="CJ4" s="139">
        <f t="shared" si="4"/>
        <v>0.26755482456140345</v>
      </c>
      <c r="CK4" s="139">
        <f t="shared" si="4"/>
        <v>-0.19782706766917291</v>
      </c>
      <c r="CL4" s="139">
        <f t="shared" si="4"/>
        <v>0.19740200050798862</v>
      </c>
      <c r="CM4" s="139">
        <f t="shared" si="4"/>
        <v>-7.7929547088425588E-2</v>
      </c>
      <c r="CN4" s="139">
        <f t="shared" si="4"/>
        <v>-0.39365415746483579</v>
      </c>
      <c r="CO4" s="199">
        <f t="shared" si="4"/>
        <v>1.2094180567472357E-2</v>
      </c>
      <c r="CQ4" s="8" t="s">
        <v>516</v>
      </c>
      <c r="DC4" s="8" t="s">
        <v>516</v>
      </c>
    </row>
    <row r="5" spans="1:117" x14ac:dyDescent="0.2">
      <c r="A5" s="105">
        <v>41548</v>
      </c>
      <c r="B5" s="9">
        <f>'Raw Data (KG)'!B5</f>
        <v>282100</v>
      </c>
      <c r="C5" s="9">
        <f>'Raw Data (KG)'!C5</f>
        <v>0</v>
      </c>
      <c r="D5" s="9">
        <f t="shared" si="1"/>
        <v>282100</v>
      </c>
      <c r="E5" s="138"/>
      <c r="F5" s="138"/>
      <c r="G5" s="138"/>
      <c r="H5" s="138"/>
      <c r="J5" s="137"/>
      <c r="K5" s="7"/>
      <c r="L5" s="7"/>
      <c r="M5" s="145"/>
      <c r="N5" s="189">
        <v>45200</v>
      </c>
      <c r="O5" s="184">
        <f>SUM('Raw Data (KG)'!B125:C125)</f>
        <v>151690</v>
      </c>
      <c r="P5" s="184">
        <f>SUM('Raw Data (KG)'!D125,'Raw Data (KG)'!G125,'Raw Data (KG)'!V125,'Raw Data (KG)'!H125,'Raw Data (KG)'!K125,'Raw Data (KG)'!L125)</f>
        <v>11646.6</v>
      </c>
      <c r="Q5" s="184">
        <f>SUM('Raw Data (KG)'!E125:F125,'Raw Data (KG)'!J125:Z125,'Raw Data (KG)'!Q125)</f>
        <v>63851.1</v>
      </c>
      <c r="R5" s="184">
        <f>SUM('Raw Data (KG)'!I125:X125,'Raw Data (KG)'!J125,'Raw Data (KG)'!P125,'Raw Data (KG)'!T125)</f>
        <v>78116.100000000006</v>
      </c>
      <c r="S5" s="184">
        <f>'Raw Food Data (KG)'!Q86</f>
        <v>30156.499999999996</v>
      </c>
      <c r="T5" s="185">
        <f>SUM('Raw Data (KG)'!R125:S125)</f>
        <v>30475</v>
      </c>
      <c r="V5" s="137"/>
      <c r="W5" s="125"/>
      <c r="X5" s="126"/>
      <c r="Y5" s="125"/>
      <c r="Z5" s="125"/>
      <c r="AA5" s="125"/>
      <c r="AB5" s="125"/>
      <c r="AG5" s="189">
        <v>45200</v>
      </c>
      <c r="AH5" s="9">
        <f>'Monthly Recycling'!B125</f>
        <v>11304</v>
      </c>
      <c r="AI5" s="9">
        <f>'Monthly Recycling'!C125</f>
        <v>733</v>
      </c>
      <c r="AJ5" s="9">
        <f>'Monthly Recycling'!D125</f>
        <v>76415.600000000006</v>
      </c>
      <c r="AK5" s="9">
        <f>'Monthly Recycling'!E125</f>
        <v>1412</v>
      </c>
      <c r="AL5" s="9">
        <f>'Monthly Recycling'!F125</f>
        <v>30156.499999999996</v>
      </c>
      <c r="AM5" s="9">
        <f>'Monthly Recycling'!G125</f>
        <v>9565</v>
      </c>
      <c r="AN5" s="9">
        <f>'Monthly Recycling'!H125</f>
        <v>20910</v>
      </c>
      <c r="AO5" s="9">
        <f>'Monthly Recycling'!I125</f>
        <v>15000</v>
      </c>
      <c r="AP5" s="9">
        <f>'Monthly Recycling'!J125</f>
        <v>364.5</v>
      </c>
      <c r="AQ5" s="9">
        <f>'Monthly Recycling'!K125</f>
        <v>77</v>
      </c>
      <c r="AY5" s="189">
        <v>45200</v>
      </c>
      <c r="AZ5" s="8">
        <f>'Raw Food Data (KG)'!B86</f>
        <v>10324.6</v>
      </c>
      <c r="BA5" s="8">
        <f>'Raw Food Data (KG)'!E86</f>
        <v>10794.8</v>
      </c>
      <c r="BB5" s="8">
        <f>'Raw Food Data (KG)'!F86</f>
        <v>1523</v>
      </c>
      <c r="BC5" s="8">
        <f>'Raw Food Data (KG)'!G86</f>
        <v>1648.9</v>
      </c>
      <c r="BD5" s="8">
        <f>'Raw Food Data (KG)'!H86</f>
        <v>410.9</v>
      </c>
      <c r="BE5" s="8">
        <f>'Raw Food Data (KG)'!I86</f>
        <v>2014.9</v>
      </c>
      <c r="BF5" s="8">
        <f>'Raw Food Data (KG)'!L86</f>
        <v>476.79999999999995</v>
      </c>
      <c r="BG5" s="8">
        <f>'Raw Food Data (KG)'!M86</f>
        <v>564</v>
      </c>
      <c r="BH5" s="8">
        <f>'Raw Food Data (KG)'!P86</f>
        <v>2398.6</v>
      </c>
    </row>
    <row r="6" spans="1:117" x14ac:dyDescent="0.2">
      <c r="A6" s="105">
        <v>41579</v>
      </c>
      <c r="B6" s="9">
        <f>'Raw Data (KG)'!B6</f>
        <v>273000.00000000006</v>
      </c>
      <c r="C6" s="9">
        <f>'Raw Data (KG)'!C6</f>
        <v>0</v>
      </c>
      <c r="D6" s="9">
        <f t="shared" si="1"/>
        <v>273000.00000000006</v>
      </c>
      <c r="E6" s="138"/>
      <c r="F6" s="138"/>
      <c r="G6" s="138"/>
      <c r="H6" s="138"/>
      <c r="J6" s="137"/>
      <c r="K6" s="7"/>
      <c r="L6" s="7"/>
      <c r="M6" s="145"/>
      <c r="N6" s="189">
        <v>45231</v>
      </c>
      <c r="O6" s="184">
        <f>SUM('Raw Data (KG)'!B126:C126)</f>
        <v>158262</v>
      </c>
      <c r="P6" s="184">
        <f>SUM('Raw Data (KG)'!D126,'Raw Data (KG)'!G126,'Raw Data (KG)'!V126,'Raw Data (KG)'!H126,'Raw Data (KG)'!K126,'Raw Data (KG)'!L126)</f>
        <v>13879.6</v>
      </c>
      <c r="Q6" s="184">
        <f>SUM('Raw Data (KG)'!E126:F126,'Raw Data (KG)'!J126:Z126,'Raw Data (KG)'!Q126)</f>
        <v>51652.299999999996</v>
      </c>
      <c r="R6" s="184">
        <f>SUM('Raw Data (KG)'!I126:X126,'Raw Data (KG)'!J126,'Raw Data (KG)'!P126,'Raw Data (KG)'!T126)</f>
        <v>81080.899999999994</v>
      </c>
      <c r="S6" s="184">
        <f>'Raw Food Data (KG)'!Q87</f>
        <v>42615.9</v>
      </c>
      <c r="T6" s="185">
        <f>SUM('Raw Data (KG)'!R126:S126)</f>
        <v>23750</v>
      </c>
      <c r="V6" s="137"/>
      <c r="W6" s="100"/>
      <c r="X6" s="100"/>
      <c r="Y6" s="100"/>
      <c r="Z6" s="100"/>
      <c r="AA6" s="125"/>
      <c r="AB6" s="125"/>
      <c r="AG6" s="189">
        <v>45231</v>
      </c>
      <c r="AH6" s="9">
        <f>'Monthly Recycling'!B126</f>
        <v>13460</v>
      </c>
      <c r="AI6" s="9">
        <f>'Monthly Recycling'!C126</f>
        <v>752</v>
      </c>
      <c r="AJ6" s="9">
        <f>'Monthly Recycling'!D126</f>
        <v>79550.2</v>
      </c>
      <c r="AK6" s="9">
        <f>'Monthly Recycling'!E126</f>
        <v>975</v>
      </c>
      <c r="AL6" s="9">
        <f>'Monthly Recycling'!F126</f>
        <v>42615.9</v>
      </c>
      <c r="AM6" s="9">
        <f>'Monthly Recycling'!G126</f>
        <v>7803</v>
      </c>
      <c r="AN6" s="9">
        <f>'Monthly Recycling'!H126</f>
        <v>15947</v>
      </c>
      <c r="AO6" s="9">
        <f>'Monthly Recycling'!I126</f>
        <v>12000</v>
      </c>
      <c r="AP6" s="9">
        <f>'Monthly Recycling'!J126</f>
        <v>737.5</v>
      </c>
      <c r="AQ6" s="9">
        <f>'Monthly Recycling'!K126</f>
        <v>27.2</v>
      </c>
      <c r="AY6" s="189">
        <v>45231</v>
      </c>
      <c r="AZ6" s="8">
        <f>'Raw Food Data (KG)'!B87</f>
        <v>14389.8</v>
      </c>
      <c r="BA6" s="8">
        <f>'Raw Food Data (KG)'!E87</f>
        <v>17059.3</v>
      </c>
      <c r="BB6" s="8">
        <f>'Raw Food Data (KG)'!F87</f>
        <v>797.5</v>
      </c>
      <c r="BC6" s="8">
        <f>'Raw Food Data (KG)'!G87</f>
        <v>2422</v>
      </c>
      <c r="BD6" s="8">
        <f>'Raw Food Data (KG)'!H87</f>
        <v>545.79999999999995</v>
      </c>
      <c r="BE6" s="8">
        <f>'Raw Food Data (KG)'!I87</f>
        <v>3703.9</v>
      </c>
      <c r="BF6" s="8">
        <f>'Raw Food Data (KG)'!L87</f>
        <v>770.6</v>
      </c>
      <c r="BG6" s="8">
        <f>'Raw Food Data (KG)'!M87</f>
        <v>650.6</v>
      </c>
      <c r="BH6" s="8">
        <f>'Raw Food Data (KG)'!P87</f>
        <v>2276.4</v>
      </c>
      <c r="BQ6" s="8" t="s">
        <v>517</v>
      </c>
      <c r="BR6" s="9">
        <f>SUM('Monthly Recycling'!B116:B121)</f>
        <v>62723</v>
      </c>
      <c r="BS6" s="9">
        <f>SUM('Monthly Recycling'!C116:C121)</f>
        <v>5118</v>
      </c>
      <c r="BT6" s="9">
        <f>SUM('Monthly Recycling'!D116:D121)</f>
        <v>487080.39999999997</v>
      </c>
      <c r="BU6" s="9">
        <f>SUM('Monthly Recycling'!E116:E121)</f>
        <v>3137</v>
      </c>
      <c r="BV6" s="9">
        <f>SUM('Monthly Recycling'!F116:F121)</f>
        <v>217891.1</v>
      </c>
      <c r="BW6" s="9">
        <f>SUM('Monthly Recycling'!G116:G121)</f>
        <v>40000</v>
      </c>
      <c r="BX6" s="9">
        <f>SUM('Monthly Recycling'!H116:H121)</f>
        <v>143500</v>
      </c>
      <c r="BY6" s="9">
        <f>SUM('Monthly Recycling'!I116:I121)</f>
        <v>81000</v>
      </c>
      <c r="BZ6" s="9">
        <f>SUM('Monthly Recycling'!J116:J121)</f>
        <v>2547</v>
      </c>
      <c r="CA6" s="9">
        <f>SUM('Monthly Recycling'!K116:K121)</f>
        <v>471.9</v>
      </c>
      <c r="CB6" s="9">
        <f>SUM(BR6:CA6)</f>
        <v>1043468.3999999999</v>
      </c>
      <c r="CD6" s="8" t="s">
        <v>518</v>
      </c>
      <c r="CE6" s="9">
        <f>SUM('Monthly Recycling'!B108:B121)</f>
        <v>150623</v>
      </c>
      <c r="CF6" s="9">
        <f>SUM('Monthly Recycling'!C108:C121)</f>
        <v>11577</v>
      </c>
      <c r="CG6" s="9">
        <f>SUM('Monthly Recycling'!D108:D121)</f>
        <v>1162067.6500000001</v>
      </c>
      <c r="CH6" s="9">
        <f>SUM('Monthly Recycling'!E108:E121)</f>
        <v>8930</v>
      </c>
      <c r="CI6" s="9">
        <f>SUM('Monthly Recycling'!F108:F121)</f>
        <v>482091.1</v>
      </c>
      <c r="CJ6" s="9">
        <f>SUM('Monthly Recycling'!G108:G121)</f>
        <v>94400</v>
      </c>
      <c r="CK6" s="9">
        <f>SUM('Monthly Recycling'!H108:H121)</f>
        <v>385000</v>
      </c>
      <c r="CL6" s="9">
        <f>SUM('Monthly Recycling'!I108:I121)</f>
        <v>183000</v>
      </c>
      <c r="CM6" s="9">
        <f>SUM('Monthly Recycling'!J108:J121)</f>
        <v>5437</v>
      </c>
      <c r="CN6" s="9">
        <f>SUM('Monthly Recycling'!K108:K121)</f>
        <v>1531</v>
      </c>
      <c r="CO6" s="9">
        <f>SUM(CE6:CN6)</f>
        <v>2484656.75</v>
      </c>
      <c r="CQ6" s="8" t="s">
        <v>517</v>
      </c>
      <c r="DC6" s="8" t="s">
        <v>518</v>
      </c>
    </row>
    <row r="7" spans="1:117" x14ac:dyDescent="0.2">
      <c r="A7" s="105">
        <v>41609</v>
      </c>
      <c r="B7" s="9">
        <f>'Raw Data (KG)'!B7</f>
        <v>282100</v>
      </c>
      <c r="C7" s="9">
        <f>'Raw Data (KG)'!C7</f>
        <v>0</v>
      </c>
      <c r="D7" s="9">
        <f t="shared" si="1"/>
        <v>282100</v>
      </c>
      <c r="E7" s="138"/>
      <c r="F7" s="138"/>
      <c r="G7" s="138"/>
      <c r="H7" s="138"/>
      <c r="J7" s="137"/>
      <c r="K7" s="7"/>
      <c r="L7" s="7"/>
      <c r="M7" s="145"/>
      <c r="N7" s="189">
        <v>45261</v>
      </c>
      <c r="O7" s="184">
        <f>SUM('Raw Data (KG)'!B127:C127)</f>
        <v>148708</v>
      </c>
      <c r="P7" s="184">
        <f>SUM('Raw Data (KG)'!D127,'Raw Data (KG)'!G127,'Raw Data (KG)'!V127,'Raw Data (KG)'!H127,'Raw Data (KG)'!K127,'Raw Data (KG)'!L127)</f>
        <v>13838.8</v>
      </c>
      <c r="Q7" s="184">
        <f>SUM('Raw Data (KG)'!E127:F127,'Raw Data (KG)'!J127:Z127,'Raw Data (KG)'!Q127)</f>
        <v>62198.8</v>
      </c>
      <c r="R7" s="184">
        <f>SUM('Raw Data (KG)'!I127:X127,'Raw Data (KG)'!J127,'Raw Data (KG)'!P127,'Raw Data (KG)'!T127)</f>
        <v>82035.099999999991</v>
      </c>
      <c r="S7" s="184">
        <f>'Raw Food Data (KG)'!Q88</f>
        <v>35693.299999999996</v>
      </c>
      <c r="T7" s="185">
        <f>SUM('Raw Data (KG)'!R127:S127)</f>
        <v>27718</v>
      </c>
      <c r="V7" s="137"/>
      <c r="W7" s="126"/>
      <c r="X7" s="100"/>
      <c r="Y7" s="78"/>
      <c r="Z7" s="100"/>
      <c r="AA7" s="126"/>
      <c r="AB7" s="126"/>
      <c r="AG7" s="189">
        <v>45261</v>
      </c>
      <c r="AH7" s="9">
        <f>'Monthly Recycling'!B127</f>
        <v>13442</v>
      </c>
      <c r="AI7" s="9">
        <f>'Monthly Recycling'!C127</f>
        <v>342</v>
      </c>
      <c r="AJ7" s="9">
        <f>'Monthly Recycling'!D127</f>
        <v>80093.099999999991</v>
      </c>
      <c r="AK7" s="9">
        <f>'Monthly Recycling'!E127</f>
        <v>856</v>
      </c>
      <c r="AL7" s="9">
        <f>'Monthly Recycling'!F127</f>
        <v>35693.299999999996</v>
      </c>
      <c r="AM7" s="9">
        <f>'Monthly Recycling'!G127</f>
        <v>19833</v>
      </c>
      <c r="AN7" s="9">
        <f>'Monthly Recycling'!H127</f>
        <v>7885</v>
      </c>
      <c r="AO7" s="9">
        <f>'Monthly Recycling'!I127</f>
        <v>15000</v>
      </c>
      <c r="AP7" s="9">
        <f>'Monthly Recycling'!J127</f>
        <v>1285</v>
      </c>
      <c r="AQ7" s="9">
        <f>'Monthly Recycling'!K127</f>
        <v>0</v>
      </c>
      <c r="AY7" s="189">
        <v>45261</v>
      </c>
      <c r="AZ7" s="8">
        <f>'Raw Food Data (KG)'!B88</f>
        <v>13139.5</v>
      </c>
      <c r="BA7" s="8">
        <f>'Raw Food Data (KG)'!E88</f>
        <v>12822.3</v>
      </c>
      <c r="BB7" s="8">
        <f>'Raw Food Data (KG)'!F88</f>
        <v>714.5</v>
      </c>
      <c r="BC7" s="8">
        <f>'Raw Food Data (KG)'!G88</f>
        <v>1756.1</v>
      </c>
      <c r="BD7" s="8">
        <f>'Raw Food Data (KG)'!H88</f>
        <v>746.4</v>
      </c>
      <c r="BE7" s="8">
        <f>'Raw Food Data (KG)'!I88</f>
        <v>2987.4</v>
      </c>
      <c r="BF7" s="8">
        <f>'Raw Food Data (KG)'!L88</f>
        <v>490.1</v>
      </c>
      <c r="BG7" s="8">
        <f>'Raw Food Data (KG)'!M88</f>
        <v>796.8</v>
      </c>
      <c r="BH7" s="8">
        <f>'Raw Food Data (KG)'!P88</f>
        <v>2240.1999999999998</v>
      </c>
      <c r="BQ7" s="8" t="s">
        <v>519</v>
      </c>
      <c r="CD7" s="8" t="s">
        <v>520</v>
      </c>
      <c r="CQ7" s="8" t="s">
        <v>519</v>
      </c>
      <c r="DC7" s="8" t="s">
        <v>520</v>
      </c>
    </row>
    <row r="8" spans="1:117" x14ac:dyDescent="0.2">
      <c r="A8" s="105">
        <v>41640</v>
      </c>
      <c r="B8" s="9">
        <f>'Raw Data (KG)'!B8</f>
        <v>282100</v>
      </c>
      <c r="C8" s="9">
        <f>'Raw Data (KG)'!C8</f>
        <v>0</v>
      </c>
      <c r="D8" s="9">
        <f t="shared" si="1"/>
        <v>282100</v>
      </c>
      <c r="E8" s="138"/>
      <c r="F8" s="138"/>
      <c r="G8" s="138"/>
      <c r="H8" s="138"/>
      <c r="J8" s="137"/>
      <c r="K8" s="7"/>
      <c r="L8" s="7"/>
      <c r="M8" s="145"/>
      <c r="N8" s="190">
        <v>45292</v>
      </c>
      <c r="O8" s="184">
        <f>SUM('Raw Data (KG)'!B128:C128)</f>
        <v>130338</v>
      </c>
      <c r="P8" s="184">
        <f>SUM('Raw Data (KG)'!D128,'Raw Data (KG)'!G128,'Raw Data (KG)'!V128,'Raw Data (KG)'!H128,'Raw Data (KG)'!K128,'Raw Data (KG)'!L128)</f>
        <v>13922.8</v>
      </c>
      <c r="Q8" s="184">
        <f>SUM('Raw Data (KG)'!E128:F128,'Raw Data (KG)'!J128:Z128,'Raw Data (KG)'!Q128)</f>
        <v>68877.3</v>
      </c>
      <c r="R8" s="184">
        <f>SUM('Raw Data (KG)'!I128:X128,'Raw Data (KG)'!J128,'Raw Data (KG)'!P128,'Raw Data (KG)'!T128)</f>
        <v>79614.7</v>
      </c>
      <c r="S8" s="184">
        <f>'Raw Food Data (KG)'!Q89</f>
        <v>29377.9</v>
      </c>
      <c r="T8" s="185">
        <f>SUM('Raw Data (KG)'!R128:S128)</f>
        <v>29300</v>
      </c>
      <c r="V8" s="137"/>
      <c r="W8" s="126"/>
      <c r="X8" s="126"/>
      <c r="Y8" s="126"/>
      <c r="Z8" s="126"/>
      <c r="AA8" s="126"/>
      <c r="AB8" s="126"/>
      <c r="AG8" s="190">
        <v>45292</v>
      </c>
      <c r="AH8" s="9">
        <f>'Monthly Recycling'!B128</f>
        <v>13416</v>
      </c>
      <c r="AI8" s="9">
        <f>'Monthly Recycling'!C128</f>
        <v>735</v>
      </c>
      <c r="AJ8" s="9">
        <f>'Monthly Recycling'!D128</f>
        <v>78479.199999999997</v>
      </c>
      <c r="AK8" s="9">
        <f>'Monthly Recycling'!E128</f>
        <v>0</v>
      </c>
      <c r="AL8" s="9">
        <f>'Monthly Recycling'!F128</f>
        <v>29377.9</v>
      </c>
      <c r="AM8" s="9">
        <f>'Monthly Recycling'!G128</f>
        <v>21650</v>
      </c>
      <c r="AN8" s="9">
        <f>'Monthly Recycling'!H128</f>
        <v>7650</v>
      </c>
      <c r="AO8" s="9">
        <f>'Monthly Recycling'!I128</f>
        <v>18000</v>
      </c>
      <c r="AP8" s="9">
        <f>'Monthly Recycling'!J128</f>
        <v>917.5</v>
      </c>
      <c r="AQ8" s="9">
        <f>'Monthly Recycling'!K128</f>
        <v>505</v>
      </c>
      <c r="AY8" s="190">
        <v>45292</v>
      </c>
      <c r="AZ8" s="8">
        <f>'Raw Food Data (KG)'!B89</f>
        <v>10440.200000000001</v>
      </c>
      <c r="BA8" s="8">
        <f>'Raw Food Data (KG)'!E89</f>
        <v>10518.7</v>
      </c>
      <c r="BB8" s="8">
        <f>'Raw Food Data (KG)'!F89</f>
        <v>549.9</v>
      </c>
      <c r="BC8" s="8">
        <f>'Raw Food Data (KG)'!G89</f>
        <v>1402.4</v>
      </c>
      <c r="BD8" s="8">
        <f>'Raw Food Data (KG)'!H89</f>
        <v>413.5</v>
      </c>
      <c r="BE8" s="8">
        <f>'Raw Food Data (KG)'!I89</f>
        <v>2540.4</v>
      </c>
      <c r="BF8" s="8">
        <f>'Raw Food Data (KG)'!L89</f>
        <v>221.8</v>
      </c>
      <c r="BG8" s="8">
        <f>'Raw Food Data (KG)'!M89</f>
        <v>870.1</v>
      </c>
      <c r="BH8" s="8">
        <f>'Raw Food Data (KG)'!P89</f>
        <v>2420.9</v>
      </c>
      <c r="BQ8" s="8" t="s">
        <v>516</v>
      </c>
      <c r="CD8" s="8" t="s">
        <v>516</v>
      </c>
      <c r="CQ8" s="8" t="s">
        <v>516</v>
      </c>
      <c r="DC8" s="8" t="s">
        <v>516</v>
      </c>
    </row>
    <row r="9" spans="1:117" x14ac:dyDescent="0.2">
      <c r="A9" s="105">
        <v>41671</v>
      </c>
      <c r="B9" s="9">
        <f>'Raw Data (KG)'!B9</f>
        <v>254800.00000000003</v>
      </c>
      <c r="C9" s="9">
        <f>'Raw Data (KG)'!C9</f>
        <v>0</v>
      </c>
      <c r="D9" s="9">
        <f t="shared" si="1"/>
        <v>254800.00000000003</v>
      </c>
      <c r="E9" s="138"/>
      <c r="F9" s="138"/>
      <c r="G9" s="138"/>
      <c r="H9" s="138"/>
      <c r="N9" s="190">
        <v>45323</v>
      </c>
      <c r="O9" s="184">
        <f>SUM('Raw Data (KG)'!B129:C129)</f>
        <v>123019.9</v>
      </c>
      <c r="P9" s="184">
        <f>SUM('Raw Data (KG)'!D129,'Raw Data (KG)'!G129,'Raw Data (KG)'!V129,'Raw Data (KG)'!H129,'Raw Data (KG)'!K129,'Raw Data (KG)'!L129)</f>
        <v>13075.4</v>
      </c>
      <c r="Q9" s="184">
        <f>SUM('Raw Data (KG)'!E129:F129,'Raw Data (KG)'!J129:Z129,'Raw Data (KG)'!Q129)</f>
        <v>54675.199999999997</v>
      </c>
      <c r="R9" s="184">
        <f>SUM('Raw Data (KG)'!I129:X129,'Raw Data (KG)'!J129,'Raw Data (KG)'!P129,'Raw Data (KG)'!T129)</f>
        <v>74568.599999999991</v>
      </c>
      <c r="S9" s="184">
        <f>'Raw Food Data (KG)'!Q90</f>
        <v>35652.6</v>
      </c>
      <c r="T9" s="185">
        <f>SUM('Raw Data (KG)'!R129:S129)</f>
        <v>21810</v>
      </c>
      <c r="AG9" s="190">
        <v>45323</v>
      </c>
      <c r="AH9" s="9">
        <f>'Monthly Recycling'!B129</f>
        <v>12589</v>
      </c>
      <c r="AI9" s="9">
        <f>'Monthly Recycling'!C129</f>
        <v>318</v>
      </c>
      <c r="AJ9" s="9">
        <f>'Monthly Recycling'!D129</f>
        <v>73507.799999999988</v>
      </c>
      <c r="AK9" s="9">
        <f>'Monthly Recycling'!E129</f>
        <v>698</v>
      </c>
      <c r="AL9" s="9">
        <f>'Monthly Recycling'!F129</f>
        <v>35652.6</v>
      </c>
      <c r="AM9" s="9">
        <f>'Monthly Recycling'!G129</f>
        <v>15470</v>
      </c>
      <c r="AN9" s="9">
        <f>'Monthly Recycling'!H129</f>
        <v>6340</v>
      </c>
      <c r="AO9" s="9">
        <f>'Monthly Recycling'!I129</f>
        <v>15000</v>
      </c>
      <c r="AP9" s="9">
        <f>'Monthly Recycling'!J129</f>
        <v>353.1</v>
      </c>
      <c r="AQ9" s="9">
        <f>'Monthly Recycling'!K129</f>
        <v>320.7</v>
      </c>
      <c r="AY9" s="190">
        <v>45323</v>
      </c>
      <c r="AZ9" s="8">
        <f>'Raw Food Data (KG)'!B90</f>
        <v>13343</v>
      </c>
      <c r="BA9" s="8">
        <f>'Raw Food Data (KG)'!E90</f>
        <v>12271.5</v>
      </c>
      <c r="BB9" s="8">
        <f>'Raw Food Data (KG)'!F90</f>
        <v>372.5</v>
      </c>
      <c r="BC9" s="8">
        <f>'Raw Food Data (KG)'!G90</f>
        <v>2301.4</v>
      </c>
      <c r="BD9" s="8">
        <f>'Raw Food Data (KG)'!H90</f>
        <v>438.2</v>
      </c>
      <c r="BE9" s="8">
        <f>'Raw Food Data (KG)'!I90</f>
        <v>2848.4</v>
      </c>
      <c r="BF9" s="8">
        <f>'Raw Food Data (KG)'!L90</f>
        <v>612</v>
      </c>
      <c r="BG9" s="8">
        <f>'Raw Food Data (KG)'!M90</f>
        <v>790.2</v>
      </c>
      <c r="BH9" s="8">
        <f>'Raw Food Data (KG)'!P90</f>
        <v>2675.4</v>
      </c>
    </row>
    <row r="10" spans="1:117" x14ac:dyDescent="0.2">
      <c r="A10" s="105">
        <v>41699</v>
      </c>
      <c r="B10" s="9">
        <f>'Raw Data (KG)'!B10</f>
        <v>282100</v>
      </c>
      <c r="C10" s="9">
        <f>'Raw Data (KG)'!C10</f>
        <v>0</v>
      </c>
      <c r="D10" s="9">
        <f t="shared" si="1"/>
        <v>282100</v>
      </c>
      <c r="K10" s="121"/>
      <c r="L10" s="121"/>
      <c r="M10" s="144"/>
      <c r="N10" s="190">
        <v>45352</v>
      </c>
      <c r="O10" s="184">
        <f>SUM('Raw Data (KG)'!B130:C130)</f>
        <v>141749.70000000001</v>
      </c>
      <c r="P10" s="184">
        <f>SUM('Raw Data (KG)'!D130,'Raw Data (KG)'!G130,'Raw Data (KG)'!V130,'Raw Data (KG)'!H130,'Raw Data (KG)'!K129,'Raw Data (KG)'!L130)</f>
        <v>13876.8</v>
      </c>
      <c r="Q10" s="184">
        <f>SUM('Raw Data (KG)'!E130:F130,'Raw Data (KG)'!J130:Z130,'Raw Data (KG)'!Q130)</f>
        <v>57105.4</v>
      </c>
      <c r="R10" s="184">
        <f>SUM('Raw Data (KG)'!I130:X130,'Raw Data (KG)'!J129,'Raw Data (KG)'!P130,'Raw Data (KG)'!T130)</f>
        <v>85301.800000000017</v>
      </c>
      <c r="S10" s="184">
        <f>'Raw Food Data (KG)'!Q91</f>
        <v>43510.8</v>
      </c>
      <c r="T10" s="185">
        <f>SUM('Raw Data (KG)'!R130:S130)</f>
        <v>24205</v>
      </c>
      <c r="W10" s="124"/>
      <c r="X10" s="124"/>
      <c r="Y10" s="124"/>
      <c r="Z10" s="124"/>
      <c r="AA10" s="124"/>
      <c r="AB10" s="124"/>
      <c r="AC10" s="124"/>
      <c r="AD10" s="124"/>
      <c r="AE10" s="124"/>
      <c r="AF10" s="187"/>
      <c r="AG10" s="190">
        <v>45352</v>
      </c>
      <c r="AH10" s="9">
        <f>'Monthly Recycling'!B130</f>
        <v>13346</v>
      </c>
      <c r="AI10" s="9">
        <f>'Monthly Recycling'!C130</f>
        <v>533</v>
      </c>
      <c r="AJ10" s="9">
        <f>'Monthly Recycling'!D130</f>
        <v>83949.200000000012</v>
      </c>
      <c r="AK10" s="9">
        <f>'Monthly Recycling'!E130</f>
        <v>597</v>
      </c>
      <c r="AL10" s="9">
        <f>'Monthly Recycling'!F130</f>
        <v>43510.8</v>
      </c>
      <c r="AM10" s="9">
        <f>'Monthly Recycling'!G130</f>
        <v>17465</v>
      </c>
      <c r="AN10" s="9">
        <f>'Monthly Recycling'!H130</f>
        <v>6740</v>
      </c>
      <c r="AO10" s="9">
        <f>'Monthly Recycling'!I130</f>
        <v>15000</v>
      </c>
      <c r="AP10" s="9">
        <f>'Monthly Recycling'!J130</f>
        <v>785</v>
      </c>
      <c r="AQ10" s="9">
        <f>'Monthly Recycling'!K130</f>
        <v>32.6</v>
      </c>
      <c r="AY10" s="190">
        <v>45352</v>
      </c>
      <c r="AZ10" s="8">
        <f>'Raw Food Data (KG)'!B91</f>
        <v>16211.6</v>
      </c>
      <c r="BA10" s="8">
        <f>'Raw Food Data (KG)'!E91</f>
        <v>15475.8</v>
      </c>
      <c r="BB10" s="8">
        <f>'Raw Food Data (KG)'!F91</f>
        <v>384.1</v>
      </c>
      <c r="BC10" s="8">
        <f>'Raw Food Data (KG)'!G91</f>
        <v>2645.1</v>
      </c>
      <c r="BD10" s="8">
        <f>'Raw Food Data (KG)'!H91</f>
        <v>504.3</v>
      </c>
      <c r="BE10" s="8">
        <f>'Raw Food Data (KG)'!I91</f>
        <v>3490.9</v>
      </c>
      <c r="BF10" s="8">
        <f>'Raw Food Data (KG)'!L91</f>
        <v>733.1</v>
      </c>
      <c r="BG10" s="8">
        <f>'Raw Food Data (KG)'!M91</f>
        <v>947</v>
      </c>
      <c r="BH10" s="8">
        <f>'Raw Food Data (KG)'!P91</f>
        <v>3118.9</v>
      </c>
      <c r="BQ10" s="8" t="s">
        <v>514</v>
      </c>
    </row>
    <row r="11" spans="1:117" x14ac:dyDescent="0.2">
      <c r="A11" s="105">
        <v>41730</v>
      </c>
      <c r="B11" s="9">
        <f>'Raw Data (KG)'!B11</f>
        <v>273000.00000000006</v>
      </c>
      <c r="C11" s="9">
        <f>'Raw Data (KG)'!C11</f>
        <v>0</v>
      </c>
      <c r="D11" s="9">
        <f t="shared" si="1"/>
        <v>273000.00000000006</v>
      </c>
      <c r="E11" s="138"/>
      <c r="F11" s="138"/>
      <c r="G11" s="138"/>
      <c r="H11" s="138"/>
      <c r="K11" s="62"/>
      <c r="L11" s="62"/>
      <c r="M11" s="146"/>
      <c r="N11" s="190">
        <v>45383</v>
      </c>
      <c r="O11" s="184">
        <f>SUM('Raw Data (KG)'!B131:C131)</f>
        <v>136279</v>
      </c>
      <c r="P11" s="184">
        <f>SUM('Raw Data (KG)'!D131,'Raw Data (KG)'!G131,'Raw Data (KG)'!V131,'Raw Data (KG)'!H131,'Raw Data (KG)'!K131,'Raw Data (KG)'!L131)</f>
        <v>13058.8</v>
      </c>
      <c r="Q11" s="184">
        <f>SUM('Raw Data (KG)'!E131:F131,'Raw Data (KG)'!J131:Z131,'Raw Data (KG)'!Q131)</f>
        <v>52848.600000000006</v>
      </c>
      <c r="R11" s="184">
        <f>SUM('Raw Data (KG)'!I131:X131,'Raw Data (KG)'!J131,'Raw Data (KG)'!P131,'Raw Data (KG)'!T131)</f>
        <v>76413.400000000009</v>
      </c>
      <c r="S11" s="184">
        <f>'Raw Food Data (KG)'!Q92</f>
        <v>39601</v>
      </c>
      <c r="T11" s="185">
        <f>SUM('Raw Data (KG)'!R131:S131)</f>
        <v>19415</v>
      </c>
      <c r="V11" s="121"/>
      <c r="W11" s="7"/>
      <c r="X11" s="7"/>
      <c r="Y11" s="7"/>
      <c r="Z11" s="7"/>
      <c r="AA11" s="7"/>
      <c r="AB11" s="7"/>
      <c r="AC11" s="7"/>
      <c r="AD11" s="7"/>
      <c r="AE11" s="7"/>
      <c r="AF11" s="145"/>
      <c r="AG11" s="190">
        <v>45383</v>
      </c>
      <c r="AH11" s="9">
        <f>'Monthly Recycling'!B131</f>
        <v>12371</v>
      </c>
      <c r="AI11" s="9">
        <f>'Monthly Recycling'!C131</f>
        <v>739</v>
      </c>
      <c r="AJ11" s="9">
        <f>'Monthly Recycling'!D131</f>
        <v>75206.600000000006</v>
      </c>
      <c r="AK11" s="9">
        <f>'Monthly Recycling'!E131</f>
        <v>917</v>
      </c>
      <c r="AL11" s="9">
        <f>'Monthly Recycling'!F131</f>
        <v>39601</v>
      </c>
      <c r="AM11" s="9">
        <f>'Monthly Recycling'!G131</f>
        <v>6415</v>
      </c>
      <c r="AN11" s="9">
        <f>'Monthly Recycling'!H131</f>
        <v>13000</v>
      </c>
      <c r="AO11" s="9">
        <f>'Monthly Recycling'!I131</f>
        <v>15000</v>
      </c>
      <c r="AP11" s="9">
        <f>'Monthly Recycling'!J131</f>
        <v>440</v>
      </c>
      <c r="AQ11" s="9">
        <f>'Monthly Recycling'!K131</f>
        <v>272.8</v>
      </c>
      <c r="AY11" s="190">
        <v>45383</v>
      </c>
      <c r="AZ11" s="8">
        <f>'Raw Food Data (KG)'!B92</f>
        <v>14442.9</v>
      </c>
      <c r="BA11" s="8">
        <f>'Raw Food Data (KG)'!E92</f>
        <v>14528.1</v>
      </c>
      <c r="BB11" s="8">
        <f>'Raw Food Data (KG)'!F92</f>
        <v>462.4</v>
      </c>
      <c r="BC11" s="8">
        <f>'Raw Food Data (KG)'!G92</f>
        <v>2136.4</v>
      </c>
      <c r="BD11" s="8">
        <f>'Raw Food Data (KG)'!H92</f>
        <v>361.5</v>
      </c>
      <c r="BE11" s="8">
        <f>'Raw Food Data (KG)'!I92</f>
        <v>3084.1</v>
      </c>
      <c r="BF11" s="8">
        <f>'Raw Food Data (KG)'!L92</f>
        <v>601.20000000000005</v>
      </c>
      <c r="BG11" s="8">
        <f>'Raw Food Data (KG)'!M92</f>
        <v>744.9</v>
      </c>
      <c r="BH11" s="8">
        <f>'Raw Food Data (KG)'!P92</f>
        <v>3239.5</v>
      </c>
      <c r="BQ11" s="8" t="s">
        <v>521</v>
      </c>
    </row>
    <row r="12" spans="1:117" x14ac:dyDescent="0.2">
      <c r="A12" s="105">
        <v>41760</v>
      </c>
      <c r="B12" s="9">
        <f>'Raw Data (KG)'!B12</f>
        <v>282100</v>
      </c>
      <c r="C12" s="9">
        <f>'Raw Data (KG)'!C12</f>
        <v>0</v>
      </c>
      <c r="D12" s="9">
        <f t="shared" si="1"/>
        <v>282100</v>
      </c>
      <c r="E12" s="139"/>
      <c r="F12" s="139"/>
      <c r="G12" s="139"/>
      <c r="H12" s="139"/>
      <c r="K12" s="139"/>
      <c r="L12" s="139"/>
      <c r="M12" s="147"/>
      <c r="N12" s="190">
        <v>45413</v>
      </c>
      <c r="O12" s="184">
        <f>SUM('Raw Data (KG)'!B132:C132)</f>
        <v>168240</v>
      </c>
      <c r="P12" s="184">
        <f>SUM('Raw Data (KG)'!D132,'Raw Data (KG)'!G132,'Raw Data (KG)'!V132,'Raw Data (KG)'!H132,'Raw Data (KG)'!K132,'Raw Data (KG)'!L132)</f>
        <v>13974.2</v>
      </c>
      <c r="Q12" s="184">
        <f>SUM('Raw Data (KG)'!E132:F132,'Raw Data (KG)'!J132:Z132,'Raw Data (KG)'!Q132)</f>
        <v>46277.9</v>
      </c>
      <c r="R12" s="184">
        <f>SUM('Raw Data (KG)'!I132:X132,'Raw Data (KG)'!J132,'Raw Data (KG)'!P132,'Raw Data (KG)'!T132)</f>
        <v>73661.899999999994</v>
      </c>
      <c r="S12" s="184">
        <f>'Raw Food Data (KG)'!Q93</f>
        <v>40905.300000000003</v>
      </c>
      <c r="T12" s="185">
        <f>SUM('Raw Data (KG)'!R132:S132)</f>
        <v>19270</v>
      </c>
      <c r="AG12" s="190">
        <v>45413</v>
      </c>
      <c r="AH12" s="9">
        <f>'Monthly Recycling'!B132</f>
        <v>13434</v>
      </c>
      <c r="AI12" s="9">
        <f>'Monthly Recycling'!C132</f>
        <v>757</v>
      </c>
      <c r="AJ12" s="9">
        <f>'Monthly Recycling'!D132</f>
        <v>73151.199999999997</v>
      </c>
      <c r="AK12" s="9">
        <f>'Monthly Recycling'!E132</f>
        <v>321</v>
      </c>
      <c r="AL12" s="9">
        <f>'Monthly Recycling'!F132</f>
        <v>40905.300000000003</v>
      </c>
      <c r="AM12" s="9">
        <f>'Monthly Recycling'!G132</f>
        <v>7575</v>
      </c>
      <c r="AN12" s="9">
        <f>'Monthly Recycling'!H132</f>
        <v>11695</v>
      </c>
      <c r="AO12" s="9">
        <f>'Monthly Recycling'!I132</f>
        <v>12000</v>
      </c>
      <c r="AP12" s="9">
        <f>'Monthly Recycling'!J132</f>
        <v>359</v>
      </c>
      <c r="AQ12" s="9">
        <f>'Monthly Recycling'!K132</f>
        <v>150.69999999999999</v>
      </c>
      <c r="AY12" s="190">
        <v>45413</v>
      </c>
      <c r="AZ12" s="8">
        <f>'Raw Food Data (KG)'!B93</f>
        <v>15427.9</v>
      </c>
      <c r="BA12" s="8">
        <f>'Raw Food Data (KG)'!E93</f>
        <v>14693.7</v>
      </c>
      <c r="BB12" s="8">
        <f>'Raw Food Data (KG)'!F93</f>
        <v>495.5</v>
      </c>
      <c r="BC12" s="8">
        <f>'Raw Food Data (KG)'!G93</f>
        <v>2215.9</v>
      </c>
      <c r="BD12" s="8">
        <f>'Raw Food Data (KG)'!H93</f>
        <v>576.4</v>
      </c>
      <c r="BE12" s="8">
        <f>'Raw Food Data (KG)'!I93</f>
        <v>2978.3</v>
      </c>
      <c r="BF12" s="8">
        <f>'Raw Food Data (KG)'!L93</f>
        <v>590</v>
      </c>
      <c r="BG12" s="8">
        <f>'Raw Food Data (KG)'!M93</f>
        <v>894</v>
      </c>
      <c r="BH12" s="8">
        <f>'Raw Food Data (KG)'!P93</f>
        <v>3033.6</v>
      </c>
      <c r="BQ12" s="8" t="s">
        <v>516</v>
      </c>
    </row>
    <row r="13" spans="1:117" x14ac:dyDescent="0.2">
      <c r="A13" s="105">
        <v>41791</v>
      </c>
      <c r="B13" s="9">
        <f>'Raw Data (KG)'!B13</f>
        <v>273000.00000000006</v>
      </c>
      <c r="C13" s="9">
        <f>'Raw Data (KG)'!C13</f>
        <v>0</v>
      </c>
      <c r="D13" s="9">
        <f t="shared" si="1"/>
        <v>273000.00000000006</v>
      </c>
      <c r="E13" s="9">
        <f>SUM(D2:D13)</f>
        <v>3321500</v>
      </c>
      <c r="F13" s="62">
        <f>E13/12</f>
        <v>276791.66666666669</v>
      </c>
      <c r="N13" s="190">
        <v>45444</v>
      </c>
      <c r="O13" s="184">
        <f>SUM('Raw Data (KG)'!B133:C133)</f>
        <v>146382</v>
      </c>
      <c r="P13" s="184">
        <f>SUM('Raw Data (KG)'!D133,'Raw Data (KG)'!G133,'Raw Data (KG)'!V133,'Raw Data (KG)'!H133,'Raw Data (KG)'!K133,'Raw Data (KG)'!L133)</f>
        <v>13225</v>
      </c>
      <c r="Q13" s="184">
        <f>SUM('Raw Data (KG)'!E133:F133,'Raw Data (KG)'!J133:Z133,'Raw Data (KG)'!Q133)</f>
        <v>58071.199999999997</v>
      </c>
      <c r="R13" s="184">
        <f>SUM('Raw Data (KG)'!I133:X133,'Raw Data (KG)'!J133,'Raw Data (KG)'!P133,'Raw Data (KG)'!T133)</f>
        <v>68850.399999999994</v>
      </c>
      <c r="S13" s="184">
        <f>'Raw Food Data (KG)'!Q94</f>
        <v>30060</v>
      </c>
      <c r="T13" s="185">
        <f>SUM('Raw Data (KG)'!R133:S133)</f>
        <v>19135</v>
      </c>
      <c r="AG13" s="190">
        <v>45444</v>
      </c>
      <c r="AH13" s="9">
        <f>'Monthly Recycling'!B133</f>
        <v>12778</v>
      </c>
      <c r="AI13" s="9">
        <f>'Monthly Recycling'!C133</f>
        <v>1087</v>
      </c>
      <c r="AJ13" s="9">
        <f>'Monthly Recycling'!D133</f>
        <v>68048.2</v>
      </c>
      <c r="AK13" s="9">
        <f>'Monthly Recycling'!E133</f>
        <v>612</v>
      </c>
      <c r="AL13" s="9">
        <f>'Monthly Recycling'!F133</f>
        <v>30060</v>
      </c>
      <c r="AM13" s="9">
        <f>'Monthly Recycling'!G133</f>
        <v>4565</v>
      </c>
      <c r="AN13" s="9">
        <f>'Monthly Recycling'!H133</f>
        <v>14570</v>
      </c>
      <c r="AO13" s="9">
        <f>'Monthly Recycling'!I133</f>
        <v>18000</v>
      </c>
      <c r="AP13" s="9">
        <f>'Monthly Recycling'!J133</f>
        <v>372.5</v>
      </c>
      <c r="AQ13" s="9">
        <f>'Monthly Recycling'!K133</f>
        <v>33.700000000000003</v>
      </c>
      <c r="AY13" s="190">
        <v>45444</v>
      </c>
      <c r="AZ13" s="8">
        <f>'Raw Food Data (KG)'!B94</f>
        <v>11557.2</v>
      </c>
      <c r="BA13" s="8">
        <f>'Raw Food Data (KG)'!E94</f>
        <v>9417.7000000000007</v>
      </c>
      <c r="BB13" s="8">
        <f>'Raw Food Data (KG)'!F94</f>
        <v>586</v>
      </c>
      <c r="BC13" s="8">
        <f>'Raw Food Data (KG)'!G94</f>
        <v>1702.6</v>
      </c>
      <c r="BD13" s="8">
        <f>'Raw Food Data (KG)'!H94</f>
        <v>503.8</v>
      </c>
      <c r="BE13" s="8">
        <f>'Raw Food Data (KG)'!I94</f>
        <v>2130.4</v>
      </c>
      <c r="BF13" s="8">
        <f>'Raw Food Data (KG)'!L94</f>
        <v>208.2</v>
      </c>
      <c r="BG13" s="8">
        <f>'Raw Food Data (KG)'!M94</f>
        <v>920</v>
      </c>
      <c r="BH13" s="8">
        <f>'Raw Food Data (KG)'!P94</f>
        <v>3034.1</v>
      </c>
    </row>
    <row r="14" spans="1:117" x14ac:dyDescent="0.2">
      <c r="A14" s="105">
        <v>41821</v>
      </c>
      <c r="B14" s="9">
        <f>'Raw Data (KG)'!B14</f>
        <v>282100</v>
      </c>
      <c r="C14" s="9">
        <f>'Raw Data (KG)'!C14</f>
        <v>0</v>
      </c>
      <c r="D14" s="9">
        <f t="shared" si="1"/>
        <v>282100</v>
      </c>
      <c r="E14" s="9">
        <f>SUM(D3:D14)</f>
        <v>3321500</v>
      </c>
      <c r="F14" s="62">
        <f t="shared" ref="F14:F77" si="5">E14/12</f>
        <v>276791.66666666669</v>
      </c>
      <c r="N14" s="190">
        <v>45474</v>
      </c>
      <c r="O14" s="184">
        <f>SUM('Raw Data (KG)'!B134:C134)</f>
        <v>160720.6</v>
      </c>
      <c r="P14" s="184">
        <f>SUM('Raw Data (KG)'!D134,'Raw Data (KG)'!G134,'Raw Data (KG)'!V134,'Raw Data (KG)'!H134,'Raw Data (KG)'!K134,'Raw Data (KG)'!L134)</f>
        <v>12835</v>
      </c>
      <c r="Q14" s="184">
        <f>SUM('Raw Data (KG)'!E134:F134,'Raw Data (KG)'!J134:Z134,'Raw Data (KG)'!Q134)</f>
        <v>60311.199999999997</v>
      </c>
      <c r="R14" s="184">
        <f>SUM('Raw Data (KG)'!I134:X134,'Raw Data (KG)'!J134,'Raw Data (KG)'!P134,'Raw Data (KG)'!T134)</f>
        <v>75797.2</v>
      </c>
      <c r="S14" s="184">
        <f>'Raw Food Data (KG)'!Q95</f>
        <v>34108.800000000003</v>
      </c>
      <c r="T14" s="185">
        <f>SUM('Raw Data (KG)'!R134:S134)</f>
        <v>19770</v>
      </c>
    </row>
    <row r="15" spans="1:117" x14ac:dyDescent="0.2">
      <c r="A15" s="105">
        <v>41852</v>
      </c>
      <c r="B15" s="9">
        <f>'Raw Data (KG)'!B15</f>
        <v>282100</v>
      </c>
      <c r="C15" s="9">
        <f>'Raw Data (KG)'!C15</f>
        <v>0</v>
      </c>
      <c r="D15" s="9">
        <f t="shared" si="1"/>
        <v>282100</v>
      </c>
      <c r="E15" s="9">
        <f t="shared" ref="E15:E77" si="6">SUM(D4:D15)</f>
        <v>3321500</v>
      </c>
      <c r="F15" s="62">
        <f t="shared" si="5"/>
        <v>276791.66666666669</v>
      </c>
      <c r="G15" s="127"/>
      <c r="N15" s="190">
        <v>45505</v>
      </c>
      <c r="O15" s="184">
        <f>SUM('Raw Data (KG)'!B135:C135)</f>
        <v>140037</v>
      </c>
      <c r="P15" s="184">
        <f>SUM('Raw Data (KG)'!D135,'Raw Data (KG)'!G135,'Raw Data (KG)'!V135,'Raw Data (KG)'!H135,'Raw Data (KG)'!K135,'Raw Data (KG)'!L135)</f>
        <v>14072</v>
      </c>
      <c r="Q15" s="184">
        <f>SUM('Raw Data (KG)'!E135:F135,'Raw Data (KG)'!J135:Z135,'Raw Data (KG)'!Q135)</f>
        <v>69196.2</v>
      </c>
      <c r="R15" s="184">
        <f>SUM('Raw Data (KG)'!I135:X135,'Raw Data (KG)'!J135,'Raw Data (KG)'!P135,'Raw Data (KG)'!T135)</f>
        <v>83816.899999999994</v>
      </c>
      <c r="S15" s="184">
        <f>'Raw Food Data (KG)'!Q96</f>
        <v>36595.5</v>
      </c>
      <c r="T15" s="185">
        <f>SUM('Raw Data (KG)'!R135:S135)</f>
        <v>24215</v>
      </c>
    </row>
    <row r="16" spans="1:117" x14ac:dyDescent="0.2">
      <c r="A16" s="105">
        <v>41883</v>
      </c>
      <c r="B16" s="9">
        <f>'Raw Data (KG)'!B16</f>
        <v>273000.00000000006</v>
      </c>
      <c r="C16" s="9">
        <f>'Raw Data (KG)'!C16</f>
        <v>0</v>
      </c>
      <c r="D16" s="9">
        <f t="shared" si="1"/>
        <v>273000.00000000006</v>
      </c>
      <c r="E16" s="9">
        <f t="shared" si="6"/>
        <v>3321500</v>
      </c>
      <c r="F16" s="62">
        <f t="shared" si="5"/>
        <v>276791.66666666669</v>
      </c>
      <c r="G16" s="127"/>
      <c r="N16" s="190">
        <v>45536</v>
      </c>
      <c r="O16" s="184">
        <f>SUM('Raw Data (KG)'!B136:C136)</f>
        <v>153930</v>
      </c>
      <c r="P16" s="184">
        <f>SUM('Raw Data (KG)'!D136,'Raw Data (KG)'!G136,'Raw Data (KG)'!V136,'Raw Data (KG)'!H136,'Raw Data (KG)'!K136,'Raw Data (KG)'!L136)</f>
        <v>13840</v>
      </c>
      <c r="Q16" s="184">
        <f>SUM('Raw Data (KG)'!E136:F136,'Raw Data (KG)'!J136:Z136,'Raw Data (KG)'!Q136)</f>
        <v>51697.599999999999</v>
      </c>
      <c r="R16" s="184">
        <f>SUM('Raw Data (KG)'!I136:X136,'Raw Data (KG)'!J136,'Raw Data (KG)'!P136,'Raw Data (KG)'!T136)</f>
        <v>86602.900000000009</v>
      </c>
      <c r="S16" s="184">
        <f>'Raw Food Data (KG)'!Q97</f>
        <v>46111.7</v>
      </c>
      <c r="T16" s="185">
        <f>SUM('Raw Data (KG)'!R136:S136)</f>
        <v>23780</v>
      </c>
    </row>
    <row r="17" spans="1:16" x14ac:dyDescent="0.2">
      <c r="A17" s="105">
        <v>41913</v>
      </c>
      <c r="B17" s="9">
        <f>'Raw Data (KG)'!B17</f>
        <v>282100</v>
      </c>
      <c r="C17" s="9">
        <f>'Raw Data (KG)'!C17</f>
        <v>0</v>
      </c>
      <c r="D17" s="9">
        <f t="shared" si="1"/>
        <v>282100</v>
      </c>
      <c r="E17" s="9">
        <f t="shared" si="6"/>
        <v>3321500</v>
      </c>
      <c r="F17" s="62">
        <f t="shared" si="5"/>
        <v>276791.66666666669</v>
      </c>
      <c r="G17" s="139"/>
      <c r="N17" s="135"/>
      <c r="P17" s="127"/>
    </row>
    <row r="18" spans="1:16" x14ac:dyDescent="0.2">
      <c r="A18" s="105">
        <v>41944</v>
      </c>
      <c r="B18" s="9">
        <f>'Raw Data (KG)'!B18</f>
        <v>273000.00000000006</v>
      </c>
      <c r="C18" s="9">
        <f>'Raw Data (KG)'!C18</f>
        <v>0</v>
      </c>
      <c r="D18" s="9">
        <f t="shared" si="1"/>
        <v>273000.00000000006</v>
      </c>
      <c r="E18" s="9">
        <f t="shared" si="6"/>
        <v>3321500</v>
      </c>
      <c r="F18" s="62">
        <f t="shared" si="5"/>
        <v>276791.66666666669</v>
      </c>
      <c r="N18" s="135"/>
      <c r="P18" s="127"/>
    </row>
    <row r="19" spans="1:16" x14ac:dyDescent="0.2">
      <c r="A19" s="105">
        <v>41974</v>
      </c>
      <c r="B19" s="9">
        <f>'Raw Data (KG)'!B19</f>
        <v>282100</v>
      </c>
      <c r="C19" s="9">
        <f>'Raw Data (KG)'!C19</f>
        <v>0</v>
      </c>
      <c r="D19" s="9">
        <f t="shared" si="1"/>
        <v>282100</v>
      </c>
      <c r="E19" s="9">
        <f>SUM(D8:D19)</f>
        <v>3321500</v>
      </c>
      <c r="F19" s="62">
        <f>E19/12</f>
        <v>276791.66666666669</v>
      </c>
      <c r="N19" s="135"/>
      <c r="P19" s="127"/>
    </row>
    <row r="20" spans="1:16" x14ac:dyDescent="0.2">
      <c r="A20" s="105">
        <v>42005</v>
      </c>
      <c r="B20" s="9">
        <f>'Raw Data (KG)'!B20</f>
        <v>282100</v>
      </c>
      <c r="C20" s="9">
        <f>'Raw Data (KG)'!C20</f>
        <v>0</v>
      </c>
      <c r="D20" s="9">
        <f t="shared" si="1"/>
        <v>282100</v>
      </c>
      <c r="E20" s="9">
        <f t="shared" si="6"/>
        <v>3321500</v>
      </c>
      <c r="F20" s="62">
        <f t="shared" si="5"/>
        <v>276791.66666666669</v>
      </c>
    </row>
    <row r="21" spans="1:16" x14ac:dyDescent="0.2">
      <c r="A21" s="105">
        <v>42036</v>
      </c>
      <c r="B21" s="9">
        <f>'Raw Data (KG)'!B21</f>
        <v>254800.00000000003</v>
      </c>
      <c r="C21" s="9">
        <f>'Raw Data (KG)'!C21</f>
        <v>0</v>
      </c>
      <c r="D21" s="9">
        <f t="shared" si="1"/>
        <v>254800.00000000003</v>
      </c>
      <c r="E21" s="9">
        <f t="shared" si="6"/>
        <v>3321500</v>
      </c>
      <c r="F21" s="62">
        <f t="shared" si="5"/>
        <v>276791.66666666669</v>
      </c>
    </row>
    <row r="22" spans="1:16" x14ac:dyDescent="0.2">
      <c r="A22" s="105">
        <v>42064</v>
      </c>
      <c r="B22" s="9">
        <f>'Raw Data (KG)'!B22</f>
        <v>282100</v>
      </c>
      <c r="C22" s="9">
        <f>'Raw Data (KG)'!C22</f>
        <v>0</v>
      </c>
      <c r="D22" s="9">
        <f t="shared" si="1"/>
        <v>282100</v>
      </c>
      <c r="E22" s="9">
        <f t="shared" si="6"/>
        <v>3321500</v>
      </c>
      <c r="F22" s="62">
        <f t="shared" si="5"/>
        <v>276791.66666666669</v>
      </c>
    </row>
    <row r="23" spans="1:16" x14ac:dyDescent="0.2">
      <c r="A23" s="105">
        <v>42095</v>
      </c>
      <c r="B23" s="9">
        <f>'Raw Data (KG)'!B23</f>
        <v>273000.00000000006</v>
      </c>
      <c r="C23" s="9">
        <f>'Raw Data (KG)'!C23</f>
        <v>0</v>
      </c>
      <c r="D23" s="9">
        <f t="shared" si="1"/>
        <v>273000.00000000006</v>
      </c>
      <c r="E23" s="9">
        <f t="shared" si="6"/>
        <v>3321500</v>
      </c>
      <c r="F23" s="62">
        <f t="shared" si="5"/>
        <v>276791.66666666669</v>
      </c>
    </row>
    <row r="24" spans="1:16" x14ac:dyDescent="0.2">
      <c r="A24" s="105">
        <v>42125</v>
      </c>
      <c r="B24" s="9">
        <f>'Raw Data (KG)'!B24</f>
        <v>282100</v>
      </c>
      <c r="C24" s="9">
        <f>'Raw Data (KG)'!C24</f>
        <v>0</v>
      </c>
      <c r="D24" s="9">
        <f t="shared" si="1"/>
        <v>282100</v>
      </c>
      <c r="E24" s="9">
        <f t="shared" si="6"/>
        <v>3321500</v>
      </c>
      <c r="F24" s="62">
        <f t="shared" si="5"/>
        <v>276791.66666666669</v>
      </c>
    </row>
    <row r="25" spans="1:16" x14ac:dyDescent="0.2">
      <c r="A25" s="105">
        <v>42156</v>
      </c>
      <c r="B25" s="9">
        <f>'Raw Data (KG)'!B25</f>
        <v>273000.00000000006</v>
      </c>
      <c r="C25" s="9">
        <f>'Raw Data (KG)'!C25</f>
        <v>0</v>
      </c>
      <c r="D25" s="9">
        <f t="shared" si="1"/>
        <v>273000.00000000006</v>
      </c>
      <c r="E25" s="9">
        <f t="shared" si="6"/>
        <v>3321500</v>
      </c>
      <c r="F25" s="62">
        <f>E25/12</f>
        <v>276791.66666666669</v>
      </c>
    </row>
    <row r="26" spans="1:16" x14ac:dyDescent="0.2">
      <c r="A26" s="105">
        <v>42186</v>
      </c>
      <c r="B26" s="9">
        <f>'Raw Data (KG)'!B26</f>
        <v>231390</v>
      </c>
      <c r="C26" s="9">
        <f>'Raw Data (KG)'!C26</f>
        <v>0</v>
      </c>
      <c r="D26" s="9">
        <f t="shared" si="1"/>
        <v>231390</v>
      </c>
      <c r="E26" s="9">
        <f t="shared" si="6"/>
        <v>3270790</v>
      </c>
      <c r="F26" s="62">
        <f t="shared" si="5"/>
        <v>272565.83333333331</v>
      </c>
    </row>
    <row r="27" spans="1:16" x14ac:dyDescent="0.2">
      <c r="A27" s="105">
        <v>42217</v>
      </c>
      <c r="B27" s="9">
        <f>'Raw Data (KG)'!B27</f>
        <v>281540</v>
      </c>
      <c r="C27" s="9">
        <f>'Raw Data (KG)'!C27</f>
        <v>0</v>
      </c>
      <c r="D27" s="9">
        <f t="shared" si="1"/>
        <v>281540</v>
      </c>
      <c r="E27" s="9">
        <f t="shared" si="6"/>
        <v>3270230</v>
      </c>
      <c r="F27" s="62">
        <f t="shared" si="5"/>
        <v>272519.16666666669</v>
      </c>
    </row>
    <row r="28" spans="1:16" x14ac:dyDescent="0.2">
      <c r="A28" s="105">
        <v>42248</v>
      </c>
      <c r="B28" s="9">
        <f>'Raw Data (KG)'!B28</f>
        <v>272880</v>
      </c>
      <c r="C28" s="9">
        <f>'Raw Data (KG)'!C28</f>
        <v>0</v>
      </c>
      <c r="D28" s="9">
        <f t="shared" si="1"/>
        <v>272880</v>
      </c>
      <c r="E28" s="9">
        <f t="shared" si="6"/>
        <v>3270110</v>
      </c>
      <c r="F28" s="62">
        <f t="shared" si="5"/>
        <v>272509.16666666669</v>
      </c>
      <c r="I28" s="9"/>
    </row>
    <row r="29" spans="1:16" x14ac:dyDescent="0.2">
      <c r="A29" s="105">
        <v>42278</v>
      </c>
      <c r="B29" s="9">
        <f>'Raw Data (KG)'!B29</f>
        <v>281000</v>
      </c>
      <c r="C29" s="9">
        <f>'Raw Data (KG)'!C29</f>
        <v>0</v>
      </c>
      <c r="D29" s="9">
        <f t="shared" si="1"/>
        <v>281000</v>
      </c>
      <c r="E29" s="9">
        <f t="shared" si="6"/>
        <v>3269010</v>
      </c>
      <c r="F29" s="62">
        <f t="shared" si="5"/>
        <v>272417.5</v>
      </c>
      <c r="I29" s="9"/>
    </row>
    <row r="30" spans="1:16" x14ac:dyDescent="0.2">
      <c r="A30" s="105">
        <v>42309</v>
      </c>
      <c r="B30" s="9">
        <f>'Raw Data (KG)'!B30</f>
        <v>274289.99999999994</v>
      </c>
      <c r="C30" s="9">
        <f>'Raw Data (KG)'!C30</f>
        <v>0</v>
      </c>
      <c r="D30" s="9">
        <f t="shared" si="1"/>
        <v>274289.99999999994</v>
      </c>
      <c r="E30" s="9">
        <f t="shared" si="6"/>
        <v>3270300</v>
      </c>
      <c r="F30" s="62">
        <f t="shared" si="5"/>
        <v>272525</v>
      </c>
      <c r="G30" s="8">
        <f>(E118-E25)/E25*100</f>
        <v>-47.124491946409755</v>
      </c>
      <c r="H30" s="62"/>
      <c r="I30" s="9"/>
    </row>
    <row r="31" spans="1:16" x14ac:dyDescent="0.2">
      <c r="A31" s="105">
        <v>42339</v>
      </c>
      <c r="B31" s="9">
        <f>'Raw Data (KG)'!B31</f>
        <v>267880</v>
      </c>
      <c r="C31" s="9">
        <f>'Raw Data (KG)'!C31</f>
        <v>0</v>
      </c>
      <c r="D31" s="9">
        <f t="shared" si="1"/>
        <v>267880</v>
      </c>
      <c r="E31" s="9">
        <f t="shared" si="6"/>
        <v>3256080</v>
      </c>
      <c r="F31" s="62">
        <f t="shared" si="5"/>
        <v>271340</v>
      </c>
      <c r="I31" s="9"/>
    </row>
    <row r="32" spans="1:16" x14ac:dyDescent="0.2">
      <c r="A32" s="105">
        <v>42370</v>
      </c>
      <c r="B32" s="9">
        <f>'Raw Data (KG)'!B32</f>
        <v>269800</v>
      </c>
      <c r="C32" s="9">
        <f>'Raw Data (KG)'!C32</f>
        <v>0</v>
      </c>
      <c r="D32" s="9">
        <f t="shared" si="1"/>
        <v>269800</v>
      </c>
      <c r="E32" s="9">
        <f t="shared" si="6"/>
        <v>3243780</v>
      </c>
      <c r="F32" s="62">
        <f t="shared" si="5"/>
        <v>270315</v>
      </c>
      <c r="I32" s="9"/>
    </row>
    <row r="33" spans="1:32" x14ac:dyDescent="0.2">
      <c r="A33" s="105">
        <v>42401</v>
      </c>
      <c r="B33" s="9">
        <f>'Raw Data (KG)'!B33</f>
        <v>240500</v>
      </c>
      <c r="C33" s="9">
        <f>'Raw Data (KG)'!C33</f>
        <v>0</v>
      </c>
      <c r="D33" s="9">
        <f t="shared" si="1"/>
        <v>240500</v>
      </c>
      <c r="E33" s="9">
        <f t="shared" si="6"/>
        <v>3229480</v>
      </c>
      <c r="F33" s="62">
        <f t="shared" si="5"/>
        <v>269123.33333333331</v>
      </c>
      <c r="I33" s="9"/>
    </row>
    <row r="34" spans="1:32" x14ac:dyDescent="0.2">
      <c r="A34" s="105">
        <v>42430</v>
      </c>
      <c r="B34" s="9">
        <f>'Raw Data (KG)'!B34</f>
        <v>263290</v>
      </c>
      <c r="C34" s="9">
        <f>'Raw Data (KG)'!C34</f>
        <v>0</v>
      </c>
      <c r="D34" s="9">
        <f t="shared" si="1"/>
        <v>263290</v>
      </c>
      <c r="E34" s="9">
        <f t="shared" si="6"/>
        <v>3210670</v>
      </c>
      <c r="F34" s="62">
        <f t="shared" si="5"/>
        <v>267555.83333333331</v>
      </c>
      <c r="I34" s="9"/>
    </row>
    <row r="35" spans="1:32" x14ac:dyDescent="0.2">
      <c r="A35" s="105">
        <v>42461</v>
      </c>
      <c r="B35" s="9">
        <f>'Raw Data (KG)'!B35</f>
        <v>260100.00000000003</v>
      </c>
      <c r="C35" s="9">
        <f>'Raw Data (KG)'!C35</f>
        <v>0</v>
      </c>
      <c r="D35" s="9">
        <f t="shared" si="1"/>
        <v>260100.00000000003</v>
      </c>
      <c r="E35" s="9">
        <f t="shared" si="6"/>
        <v>3197770</v>
      </c>
      <c r="F35" s="62">
        <f t="shared" si="5"/>
        <v>266480.83333333331</v>
      </c>
      <c r="I35" s="9"/>
    </row>
    <row r="36" spans="1:32" x14ac:dyDescent="0.2">
      <c r="A36" s="105">
        <v>42491</v>
      </c>
      <c r="B36" s="9">
        <f>'Raw Data (KG)'!B36</f>
        <v>279280.00000000006</v>
      </c>
      <c r="C36" s="9">
        <f>'Raw Data (KG)'!C36</f>
        <v>0</v>
      </c>
      <c r="D36" s="9">
        <f t="shared" si="1"/>
        <v>279280.00000000006</v>
      </c>
      <c r="E36" s="9">
        <f t="shared" si="6"/>
        <v>3194950</v>
      </c>
      <c r="F36" s="62">
        <f t="shared" si="5"/>
        <v>266245.83333333331</v>
      </c>
      <c r="I36" s="9"/>
    </row>
    <row r="37" spans="1:32" x14ac:dyDescent="0.2">
      <c r="A37" s="105">
        <v>42522</v>
      </c>
      <c r="B37" s="9">
        <f>'Raw Data (KG)'!B37</f>
        <v>265300</v>
      </c>
      <c r="C37" s="9">
        <f>'Raw Data (KG)'!C37</f>
        <v>0</v>
      </c>
      <c r="D37" s="9">
        <f t="shared" si="1"/>
        <v>265300</v>
      </c>
      <c r="E37" s="9">
        <f t="shared" si="6"/>
        <v>3187250</v>
      </c>
      <c r="F37" s="62">
        <f t="shared" si="5"/>
        <v>265604.16666666669</v>
      </c>
      <c r="I37" s="9"/>
      <c r="J37" s="140"/>
      <c r="K37" s="140"/>
      <c r="L37" s="140"/>
      <c r="M37" s="148"/>
      <c r="N37" s="140"/>
      <c r="O37" s="140"/>
      <c r="P37" s="140"/>
      <c r="Q37" s="140"/>
      <c r="R37" s="140"/>
      <c r="S37" s="140"/>
      <c r="T37" s="140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88"/>
    </row>
    <row r="38" spans="1:32" x14ac:dyDescent="0.2">
      <c r="A38" s="105">
        <v>42552</v>
      </c>
      <c r="B38" s="9">
        <f>'Raw Data (KG)'!B38</f>
        <v>230700</v>
      </c>
      <c r="C38" s="9">
        <f>'Raw Data (KG)'!C38</f>
        <v>0</v>
      </c>
      <c r="D38" s="9">
        <f t="shared" si="1"/>
        <v>230700</v>
      </c>
      <c r="E38" s="9">
        <f t="shared" si="6"/>
        <v>3186560</v>
      </c>
      <c r="F38" s="62">
        <f t="shared" si="5"/>
        <v>265546.66666666669</v>
      </c>
      <c r="I38" s="9"/>
      <c r="J38" s="55"/>
      <c r="K38" s="121"/>
      <c r="L38" s="121"/>
      <c r="M38" s="144"/>
      <c r="N38" s="121"/>
      <c r="O38" s="121"/>
      <c r="P38" s="121"/>
      <c r="Q38" s="121"/>
      <c r="R38" s="121"/>
      <c r="S38" s="122"/>
      <c r="T38" s="121"/>
      <c r="V38" s="55"/>
      <c r="W38" s="124"/>
      <c r="X38" s="124"/>
      <c r="Y38" s="124"/>
      <c r="Z38" s="124"/>
      <c r="AA38" s="124"/>
      <c r="AB38" s="124"/>
      <c r="AC38" s="124"/>
      <c r="AD38" s="124"/>
      <c r="AE38" s="124"/>
      <c r="AF38" s="187"/>
    </row>
    <row r="39" spans="1:32" x14ac:dyDescent="0.2">
      <c r="A39" s="105">
        <v>42583</v>
      </c>
      <c r="B39" s="9">
        <f>'Raw Data (KG)'!B39</f>
        <v>249380</v>
      </c>
      <c r="C39" s="9">
        <f>'Raw Data (KG)'!C39</f>
        <v>0</v>
      </c>
      <c r="D39" s="9">
        <f t="shared" si="1"/>
        <v>249380</v>
      </c>
      <c r="E39" s="9">
        <f t="shared" si="6"/>
        <v>3154400</v>
      </c>
      <c r="F39" s="62">
        <f t="shared" si="5"/>
        <v>262866.66666666669</v>
      </c>
      <c r="K39" s="9"/>
      <c r="L39" s="9"/>
      <c r="M39" s="149"/>
      <c r="N39" s="62"/>
      <c r="O39" s="62"/>
      <c r="P39" s="9"/>
      <c r="Q39" s="9"/>
      <c r="R39" s="9"/>
      <c r="S39" s="62"/>
      <c r="T39" s="62"/>
      <c r="W39" s="7"/>
      <c r="X39" s="7"/>
      <c r="Y39" s="7"/>
      <c r="Z39" s="7"/>
      <c r="AA39" s="7"/>
      <c r="AB39" s="7"/>
      <c r="AC39" s="7"/>
      <c r="AD39" s="7"/>
      <c r="AE39" s="7"/>
      <c r="AF39" s="145"/>
    </row>
    <row r="40" spans="1:32" x14ac:dyDescent="0.2">
      <c r="A40" s="105">
        <v>42614</v>
      </c>
      <c r="B40" s="9">
        <f>'Raw Data (KG)'!B40</f>
        <v>261649.99999999997</v>
      </c>
      <c r="C40" s="9">
        <f>'Raw Data (KG)'!C40</f>
        <v>0</v>
      </c>
      <c r="D40" s="9">
        <f t="shared" si="1"/>
        <v>261649.99999999997</v>
      </c>
      <c r="E40" s="9">
        <f t="shared" si="6"/>
        <v>3143170</v>
      </c>
      <c r="F40" s="62">
        <f t="shared" si="5"/>
        <v>261930.83333333334</v>
      </c>
      <c r="K40" s="9"/>
      <c r="L40" s="9"/>
      <c r="M40" s="149"/>
      <c r="N40" s="62"/>
      <c r="O40" s="62"/>
      <c r="P40" s="9"/>
      <c r="Q40" s="9"/>
      <c r="R40" s="9"/>
      <c r="S40" s="62"/>
      <c r="T40" s="62"/>
      <c r="W40" s="7"/>
      <c r="X40" s="7"/>
      <c r="Y40" s="7"/>
      <c r="Z40" s="7"/>
      <c r="AA40" s="7"/>
      <c r="AB40" s="7"/>
      <c r="AC40" s="7"/>
      <c r="AD40" s="7"/>
      <c r="AE40" s="7"/>
      <c r="AF40" s="145"/>
    </row>
    <row r="41" spans="1:32" x14ac:dyDescent="0.2">
      <c r="A41" s="105">
        <v>42644</v>
      </c>
      <c r="B41" s="9">
        <f>'Raw Data (KG)'!B41</f>
        <v>258899.99999999997</v>
      </c>
      <c r="C41" s="9">
        <f>'Raw Data (KG)'!C41</f>
        <v>0</v>
      </c>
      <c r="D41" s="9">
        <f t="shared" si="1"/>
        <v>258899.99999999997</v>
      </c>
      <c r="E41" s="9">
        <f t="shared" si="6"/>
        <v>3121070</v>
      </c>
      <c r="F41" s="62">
        <f t="shared" si="5"/>
        <v>260089.16666666666</v>
      </c>
      <c r="K41" s="139"/>
      <c r="L41" s="139"/>
      <c r="M41" s="147"/>
      <c r="N41" s="139"/>
      <c r="O41" s="139"/>
      <c r="P41" s="139"/>
      <c r="Q41" s="139"/>
      <c r="R41" s="139"/>
      <c r="S41" s="139"/>
      <c r="T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47"/>
    </row>
    <row r="42" spans="1:32" x14ac:dyDescent="0.2">
      <c r="A42" s="105">
        <v>42675</v>
      </c>
      <c r="B42" s="9">
        <f>'Raw Data (KG)'!B42</f>
        <v>262650</v>
      </c>
      <c r="C42" s="9">
        <f>'Raw Data (KG)'!C42</f>
        <v>0</v>
      </c>
      <c r="D42" s="9">
        <f t="shared" si="1"/>
        <v>262650</v>
      </c>
      <c r="E42" s="9">
        <f t="shared" si="6"/>
        <v>3109430</v>
      </c>
      <c r="F42" s="62">
        <f t="shared" si="5"/>
        <v>259119.16666666666</v>
      </c>
    </row>
    <row r="43" spans="1:32" x14ac:dyDescent="0.2">
      <c r="A43" s="105">
        <v>42705</v>
      </c>
      <c r="B43" s="9">
        <f>'Raw Data (KG)'!B43</f>
        <v>247410.00000000003</v>
      </c>
      <c r="C43" s="9">
        <f>'Raw Data (KG)'!C43</f>
        <v>0</v>
      </c>
      <c r="D43" s="9">
        <f t="shared" si="1"/>
        <v>247410.00000000003</v>
      </c>
      <c r="E43" s="9">
        <f t="shared" si="6"/>
        <v>3088960</v>
      </c>
      <c r="F43" s="62">
        <f t="shared" si="5"/>
        <v>257413.33333333334</v>
      </c>
      <c r="J43" s="55"/>
      <c r="K43" s="121"/>
      <c r="L43" s="121"/>
      <c r="M43" s="144"/>
      <c r="N43" s="121"/>
      <c r="O43" s="121"/>
      <c r="P43" s="121"/>
      <c r="Q43" s="121"/>
      <c r="R43" s="121"/>
      <c r="S43" s="122"/>
      <c r="T43" s="121"/>
      <c r="V43" s="55"/>
      <c r="W43" s="124"/>
      <c r="X43" s="124"/>
      <c r="Y43" s="124"/>
      <c r="Z43" s="124"/>
      <c r="AA43" s="124"/>
      <c r="AB43" s="124"/>
      <c r="AC43" s="124"/>
      <c r="AD43" s="124"/>
      <c r="AE43" s="124"/>
      <c r="AF43" s="187"/>
    </row>
    <row r="44" spans="1:32" x14ac:dyDescent="0.2">
      <c r="A44" s="105">
        <v>42736</v>
      </c>
      <c r="B44" s="9">
        <f>'Raw Data (KG)'!B44</f>
        <v>186070.00000000003</v>
      </c>
      <c r="C44" s="9">
        <f>'Raw Data (KG)'!C44</f>
        <v>41470</v>
      </c>
      <c r="D44" s="9">
        <f t="shared" si="1"/>
        <v>227540.00000000003</v>
      </c>
      <c r="E44" s="9">
        <f t="shared" si="6"/>
        <v>3046700</v>
      </c>
      <c r="F44" s="62">
        <f t="shared" si="5"/>
        <v>253891.66666666666</v>
      </c>
      <c r="K44" s="9"/>
      <c r="L44" s="9"/>
      <c r="M44" s="149"/>
      <c r="N44" s="62"/>
      <c r="O44" s="62"/>
      <c r="P44" s="9"/>
      <c r="Q44" s="9"/>
      <c r="R44" s="9"/>
      <c r="S44" s="62"/>
      <c r="T44" s="62"/>
      <c r="W44" s="7"/>
      <c r="X44" s="7"/>
      <c r="Y44" s="7"/>
      <c r="Z44" s="7"/>
      <c r="AA44" s="7"/>
      <c r="AB44" s="7"/>
      <c r="AC44" s="7"/>
      <c r="AD44" s="7"/>
      <c r="AE44" s="7"/>
      <c r="AF44" s="145"/>
    </row>
    <row r="45" spans="1:32" x14ac:dyDescent="0.2">
      <c r="A45" s="105">
        <v>42767</v>
      </c>
      <c r="B45" s="9">
        <f>'Raw Data (KG)'!B45</f>
        <v>189900</v>
      </c>
      <c r="C45" s="9">
        <f>'Raw Data (KG)'!C45</f>
        <v>54160</v>
      </c>
      <c r="D45" s="9">
        <f t="shared" si="1"/>
        <v>244060</v>
      </c>
      <c r="E45" s="9">
        <f t="shared" si="6"/>
        <v>3050260</v>
      </c>
      <c r="F45" s="62">
        <f t="shared" si="5"/>
        <v>254188.33333333334</v>
      </c>
      <c r="K45" s="9"/>
      <c r="L45" s="9"/>
      <c r="M45" s="149"/>
      <c r="N45" s="62"/>
      <c r="O45" s="62"/>
      <c r="P45" s="9"/>
      <c r="Q45" s="9"/>
      <c r="R45" s="9"/>
      <c r="S45" s="62"/>
      <c r="T45" s="62"/>
      <c r="W45" s="7"/>
      <c r="X45" s="7"/>
      <c r="Y45" s="7"/>
      <c r="Z45" s="7"/>
      <c r="AA45" s="7"/>
      <c r="AB45" s="7"/>
      <c r="AC45" s="7"/>
      <c r="AD45" s="7"/>
      <c r="AE45" s="7"/>
      <c r="AF45" s="145"/>
    </row>
    <row r="46" spans="1:32" x14ac:dyDescent="0.2">
      <c r="A46" s="105">
        <v>42795</v>
      </c>
      <c r="B46" s="9">
        <f>'Raw Data (KG)'!B46</f>
        <v>218930</v>
      </c>
      <c r="C46" s="9">
        <f>'Raw Data (KG)'!C46</f>
        <v>32240.000000000004</v>
      </c>
      <c r="D46" s="9">
        <f t="shared" si="1"/>
        <v>251170</v>
      </c>
      <c r="E46" s="9">
        <f t="shared" si="6"/>
        <v>3038140</v>
      </c>
      <c r="F46" s="62">
        <f t="shared" si="5"/>
        <v>253178.33333333334</v>
      </c>
      <c r="K46" s="139"/>
      <c r="L46" s="139"/>
      <c r="M46" s="147"/>
      <c r="N46" s="139"/>
      <c r="O46" s="139"/>
      <c r="P46" s="139"/>
      <c r="Q46" s="139"/>
      <c r="R46" s="139"/>
      <c r="S46" s="139"/>
      <c r="T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47"/>
    </row>
    <row r="47" spans="1:32" x14ac:dyDescent="0.2">
      <c r="A47" s="105">
        <v>42826</v>
      </c>
      <c r="B47" s="9">
        <f>'Raw Data (KG)'!B47</f>
        <v>200140</v>
      </c>
      <c r="C47" s="9">
        <f>'Raw Data (KG)'!C47</f>
        <v>35860</v>
      </c>
      <c r="D47" s="9">
        <f t="shared" si="1"/>
        <v>236000</v>
      </c>
      <c r="E47" s="9">
        <f t="shared" si="6"/>
        <v>3014040</v>
      </c>
      <c r="F47" s="62">
        <f t="shared" si="5"/>
        <v>251170</v>
      </c>
    </row>
    <row r="48" spans="1:32" x14ac:dyDescent="0.2">
      <c r="A48" s="105">
        <v>42856</v>
      </c>
      <c r="B48" s="9">
        <f>'Raw Data (KG)'!B48</f>
        <v>194190</v>
      </c>
      <c r="C48" s="9">
        <f>'Raw Data (KG)'!C48</f>
        <v>41550</v>
      </c>
      <c r="D48" s="9">
        <f t="shared" si="1"/>
        <v>235740</v>
      </c>
      <c r="E48" s="9">
        <f t="shared" si="6"/>
        <v>2970500</v>
      </c>
      <c r="F48" s="62">
        <f t="shared" si="5"/>
        <v>247541.66666666666</v>
      </c>
    </row>
    <row r="49" spans="1:6" x14ac:dyDescent="0.2">
      <c r="A49" s="105">
        <v>42887</v>
      </c>
      <c r="B49" s="9">
        <f>'Raw Data (KG)'!B49</f>
        <v>204680</v>
      </c>
      <c r="C49" s="9">
        <f>'Raw Data (KG)'!C49</f>
        <v>51440</v>
      </c>
      <c r="D49" s="9">
        <f t="shared" si="1"/>
        <v>256120</v>
      </c>
      <c r="E49" s="9">
        <f t="shared" si="6"/>
        <v>2961320</v>
      </c>
      <c r="F49" s="62">
        <f t="shared" si="5"/>
        <v>246776.66666666666</v>
      </c>
    </row>
    <row r="50" spans="1:6" x14ac:dyDescent="0.2">
      <c r="A50" s="105">
        <v>42917</v>
      </c>
      <c r="B50" s="9">
        <f>'Raw Data (KG)'!B50</f>
        <v>180020</v>
      </c>
      <c r="C50" s="9">
        <f>'Raw Data (KG)'!C50</f>
        <v>45550</v>
      </c>
      <c r="D50" s="9">
        <f t="shared" si="1"/>
        <v>225570</v>
      </c>
      <c r="E50" s="9">
        <f t="shared" si="6"/>
        <v>2956190</v>
      </c>
      <c r="F50" s="62">
        <f t="shared" si="5"/>
        <v>246349.16666666666</v>
      </c>
    </row>
    <row r="51" spans="1:6" x14ac:dyDescent="0.2">
      <c r="A51" s="105">
        <v>42948</v>
      </c>
      <c r="B51" s="9">
        <f>'Raw Data (KG)'!B51</f>
        <v>205980.00000000003</v>
      </c>
      <c r="C51" s="9">
        <f>'Raw Data (KG)'!C51</f>
        <v>48250</v>
      </c>
      <c r="D51" s="9">
        <f t="shared" si="1"/>
        <v>254230.00000000003</v>
      </c>
      <c r="E51" s="9">
        <f t="shared" si="6"/>
        <v>2961040</v>
      </c>
      <c r="F51" s="62">
        <f t="shared" si="5"/>
        <v>246753.33333333334</v>
      </c>
    </row>
    <row r="52" spans="1:6" x14ac:dyDescent="0.2">
      <c r="A52" s="105">
        <v>42979</v>
      </c>
      <c r="B52" s="9">
        <f>'Raw Data (KG)'!B52</f>
        <v>204680</v>
      </c>
      <c r="C52" s="9">
        <f>'Raw Data (KG)'!C52</f>
        <v>55310</v>
      </c>
      <c r="D52" s="9">
        <f t="shared" si="1"/>
        <v>259990</v>
      </c>
      <c r="E52" s="9">
        <f t="shared" si="6"/>
        <v>2959380</v>
      </c>
      <c r="F52" s="62">
        <f t="shared" si="5"/>
        <v>246615</v>
      </c>
    </row>
    <row r="53" spans="1:6" x14ac:dyDescent="0.2">
      <c r="A53" s="105">
        <v>43009</v>
      </c>
      <c r="B53" s="9">
        <f>'Raw Data (KG)'!B53</f>
        <v>205980.00000000003</v>
      </c>
      <c r="C53" s="9">
        <f>'Raw Data (KG)'!C53</f>
        <v>65260.000000000007</v>
      </c>
      <c r="D53" s="9">
        <f t="shared" si="1"/>
        <v>271240.00000000006</v>
      </c>
      <c r="E53" s="9">
        <f t="shared" si="6"/>
        <v>2971720</v>
      </c>
      <c r="F53" s="62">
        <f t="shared" si="5"/>
        <v>247643.33333333334</v>
      </c>
    </row>
    <row r="54" spans="1:6" x14ac:dyDescent="0.2">
      <c r="A54" s="105">
        <v>43040</v>
      </c>
      <c r="B54" s="9">
        <f>'Raw Data (KG)'!B54</f>
        <v>227040</v>
      </c>
      <c r="C54" s="9">
        <f>'Raw Data (KG)'!C54</f>
        <v>65069.999999999993</v>
      </c>
      <c r="D54" s="9">
        <f t="shared" si="1"/>
        <v>292110</v>
      </c>
      <c r="E54" s="9">
        <f t="shared" si="6"/>
        <v>3001180</v>
      </c>
      <c r="F54" s="62">
        <f t="shared" si="5"/>
        <v>250098.33333333334</v>
      </c>
    </row>
    <row r="55" spans="1:6" x14ac:dyDescent="0.2">
      <c r="A55" s="105">
        <v>43070</v>
      </c>
      <c r="B55" s="9">
        <f>'Raw Data (KG)'!B55</f>
        <v>212210</v>
      </c>
      <c r="C55" s="9">
        <f>'Raw Data (KG)'!C55</f>
        <v>24760</v>
      </c>
      <c r="D55" s="9">
        <f t="shared" si="1"/>
        <v>236970</v>
      </c>
      <c r="E55" s="9">
        <f t="shared" si="6"/>
        <v>2990740</v>
      </c>
      <c r="F55" s="62">
        <f t="shared" si="5"/>
        <v>249228.33333333334</v>
      </c>
    </row>
    <row r="56" spans="1:6" x14ac:dyDescent="0.2">
      <c r="A56" s="105">
        <v>43101</v>
      </c>
      <c r="B56" s="9">
        <f>'Raw Data (KG)'!B56</f>
        <v>214260.00000000003</v>
      </c>
      <c r="C56" s="9">
        <f>'Raw Data (KG)'!C56</f>
        <v>65069.999999999993</v>
      </c>
      <c r="D56" s="9">
        <f t="shared" si="1"/>
        <v>279330</v>
      </c>
      <c r="E56" s="9">
        <f t="shared" si="6"/>
        <v>3042530</v>
      </c>
      <c r="F56" s="62">
        <f t="shared" si="5"/>
        <v>253544.16666666666</v>
      </c>
    </row>
    <row r="57" spans="1:6" x14ac:dyDescent="0.2">
      <c r="A57" s="105">
        <v>43132</v>
      </c>
      <c r="B57" s="9">
        <f>'Raw Data (KG)'!B57</f>
        <v>202080</v>
      </c>
      <c r="C57" s="9">
        <f>'Raw Data (KG)'!C57</f>
        <v>18960</v>
      </c>
      <c r="D57" s="9">
        <f t="shared" si="1"/>
        <v>221040</v>
      </c>
      <c r="E57" s="9">
        <f t="shared" si="6"/>
        <v>3019510</v>
      </c>
      <c r="F57" s="62">
        <f t="shared" si="5"/>
        <v>251625.83333333334</v>
      </c>
    </row>
    <row r="58" spans="1:6" x14ac:dyDescent="0.2">
      <c r="A58" s="105">
        <v>43160</v>
      </c>
      <c r="B58" s="9">
        <f>'Raw Data (KG)'!B58</f>
        <v>195120</v>
      </c>
      <c r="C58" s="9">
        <f>'Raw Data (KG)'!C58</f>
        <v>41590</v>
      </c>
      <c r="D58" s="9">
        <f t="shared" si="1"/>
        <v>236710</v>
      </c>
      <c r="E58" s="9">
        <f t="shared" si="6"/>
        <v>3005050</v>
      </c>
      <c r="F58" s="62">
        <f t="shared" si="5"/>
        <v>250420.83333333334</v>
      </c>
    </row>
    <row r="59" spans="1:6" x14ac:dyDescent="0.2">
      <c r="A59" s="105">
        <v>43191</v>
      </c>
      <c r="B59" s="9">
        <f>'Raw Data (KG)'!B59</f>
        <v>177650</v>
      </c>
      <c r="C59" s="9">
        <f>'Raw Data (KG)'!C59</f>
        <v>25270</v>
      </c>
      <c r="D59" s="9">
        <f t="shared" si="1"/>
        <v>202920</v>
      </c>
      <c r="E59" s="9">
        <f t="shared" si="6"/>
        <v>2971970</v>
      </c>
      <c r="F59" s="62">
        <f t="shared" si="5"/>
        <v>247664.16666666666</v>
      </c>
    </row>
    <row r="60" spans="1:6" x14ac:dyDescent="0.2">
      <c r="A60" s="105">
        <v>43221</v>
      </c>
      <c r="B60" s="9">
        <f>'Raw Data (KG)'!B60</f>
        <v>172500</v>
      </c>
      <c r="C60" s="9">
        <f>'Raw Data (KG)'!C60</f>
        <v>37170</v>
      </c>
      <c r="D60" s="9">
        <f t="shared" si="1"/>
        <v>209670</v>
      </c>
      <c r="E60" s="9">
        <f t="shared" si="6"/>
        <v>2945900</v>
      </c>
      <c r="F60" s="62">
        <f t="shared" si="5"/>
        <v>245491.66666666666</v>
      </c>
    </row>
    <row r="61" spans="1:6" x14ac:dyDescent="0.2">
      <c r="A61" s="105">
        <v>43252</v>
      </c>
      <c r="B61" s="9">
        <f>'Raw Data (KG)'!B61</f>
        <v>172790</v>
      </c>
      <c r="C61" s="9">
        <f>'Raw Data (KG)'!C61</f>
        <v>40100</v>
      </c>
      <c r="D61" s="9">
        <f t="shared" si="1"/>
        <v>212890</v>
      </c>
      <c r="E61" s="9">
        <f t="shared" si="6"/>
        <v>2902670</v>
      </c>
      <c r="F61" s="62">
        <f t="shared" si="5"/>
        <v>241889.16666666666</v>
      </c>
    </row>
    <row r="62" spans="1:6" x14ac:dyDescent="0.2">
      <c r="A62" s="105">
        <v>43282</v>
      </c>
      <c r="B62" s="9">
        <f>'Raw Data (KG)'!B62</f>
        <v>181220</v>
      </c>
      <c r="C62" s="9">
        <f>'Raw Data (KG)'!C62</f>
        <v>34440</v>
      </c>
      <c r="D62" s="9">
        <f t="shared" si="1"/>
        <v>215660</v>
      </c>
      <c r="E62" s="9">
        <f t="shared" si="6"/>
        <v>2892760</v>
      </c>
      <c r="F62" s="62">
        <f t="shared" si="5"/>
        <v>241063.33333333334</v>
      </c>
    </row>
    <row r="63" spans="1:6" x14ac:dyDescent="0.2">
      <c r="A63" s="105">
        <v>43313</v>
      </c>
      <c r="B63" s="9">
        <f>'Raw Data (KG)'!B63</f>
        <v>176530</v>
      </c>
      <c r="C63" s="9">
        <f>'Raw Data (KG)'!C63</f>
        <v>29500</v>
      </c>
      <c r="D63" s="9">
        <f t="shared" si="1"/>
        <v>206030</v>
      </c>
      <c r="E63" s="9">
        <f t="shared" si="6"/>
        <v>2844560</v>
      </c>
      <c r="F63" s="62">
        <f t="shared" si="5"/>
        <v>237046.66666666666</v>
      </c>
    </row>
    <row r="64" spans="1:6" x14ac:dyDescent="0.2">
      <c r="A64" s="105">
        <v>43344</v>
      </c>
      <c r="B64" s="9">
        <f>'Raw Data (KG)'!B64</f>
        <v>173070</v>
      </c>
      <c r="C64" s="9">
        <f>'Raw Data (KG)'!C64</f>
        <v>23680</v>
      </c>
      <c r="D64" s="9">
        <f t="shared" si="1"/>
        <v>196750</v>
      </c>
      <c r="E64" s="9">
        <f t="shared" si="6"/>
        <v>2781320</v>
      </c>
      <c r="F64" s="62">
        <f t="shared" si="5"/>
        <v>231776.66666666666</v>
      </c>
    </row>
    <row r="65" spans="1:6" x14ac:dyDescent="0.2">
      <c r="A65" s="105">
        <v>43374</v>
      </c>
      <c r="B65" s="9">
        <f>'Raw Data (KG)'!B65</f>
        <v>177500</v>
      </c>
      <c r="C65" s="9">
        <f>'Raw Data (KG)'!C65</f>
        <v>28200</v>
      </c>
      <c r="D65" s="9">
        <f t="shared" si="1"/>
        <v>205700</v>
      </c>
      <c r="E65" s="9">
        <f t="shared" si="6"/>
        <v>2715780</v>
      </c>
      <c r="F65" s="62">
        <f t="shared" si="5"/>
        <v>226315</v>
      </c>
    </row>
    <row r="66" spans="1:6" x14ac:dyDescent="0.2">
      <c r="A66" s="105">
        <v>43405</v>
      </c>
      <c r="B66" s="9">
        <f>'Raw Data (KG)'!B66</f>
        <v>208090</v>
      </c>
      <c r="C66" s="9">
        <f>'Raw Data (KG)'!C66</f>
        <v>25670</v>
      </c>
      <c r="D66" s="9">
        <f t="shared" si="1"/>
        <v>233760</v>
      </c>
      <c r="E66" s="9">
        <f t="shared" si="6"/>
        <v>2657430</v>
      </c>
      <c r="F66" s="62">
        <f t="shared" si="5"/>
        <v>221452.5</v>
      </c>
    </row>
    <row r="67" spans="1:6" x14ac:dyDescent="0.2">
      <c r="A67" s="105">
        <v>43435</v>
      </c>
      <c r="B67" s="9">
        <f>'Raw Data (KG)'!B67</f>
        <v>202560</v>
      </c>
      <c r="C67" s="9">
        <f>'Raw Data (KG)'!C67</f>
        <v>31590</v>
      </c>
      <c r="D67" s="9">
        <f t="shared" ref="D67:D130" si="7">SUM(B67:C67)</f>
        <v>234150</v>
      </c>
      <c r="E67" s="9">
        <f t="shared" si="6"/>
        <v>2654610</v>
      </c>
      <c r="F67" s="62">
        <f t="shared" si="5"/>
        <v>221217.5</v>
      </c>
    </row>
    <row r="68" spans="1:6" x14ac:dyDescent="0.2">
      <c r="A68" s="105">
        <v>43466</v>
      </c>
      <c r="B68" s="9">
        <f>'Raw Data (KG)'!B68</f>
        <v>145940.2628</v>
      </c>
      <c r="C68" s="9">
        <f>'Raw Data (KG)'!C68</f>
        <v>23670</v>
      </c>
      <c r="D68" s="9">
        <f t="shared" si="7"/>
        <v>169610.2628</v>
      </c>
      <c r="E68" s="9">
        <f t="shared" si="6"/>
        <v>2544890.2628000001</v>
      </c>
      <c r="F68" s="62">
        <f t="shared" si="5"/>
        <v>212074.18856666668</v>
      </c>
    </row>
    <row r="69" spans="1:6" x14ac:dyDescent="0.2">
      <c r="A69" s="105">
        <v>43497</v>
      </c>
      <c r="B69" s="9">
        <f>'Raw Data (KG)'!B69</f>
        <v>138993.92240000001</v>
      </c>
      <c r="C69" s="9">
        <f>'Raw Data (KG)'!C69</f>
        <v>20250</v>
      </c>
      <c r="D69" s="9">
        <f t="shared" si="7"/>
        <v>159243.92240000001</v>
      </c>
      <c r="E69" s="9">
        <f t="shared" si="6"/>
        <v>2483094.1852000002</v>
      </c>
      <c r="F69" s="62">
        <f t="shared" si="5"/>
        <v>206924.51543333335</v>
      </c>
    </row>
    <row r="70" spans="1:6" x14ac:dyDescent="0.2">
      <c r="A70" s="105">
        <v>43525</v>
      </c>
      <c r="B70" s="9">
        <f>'Raw Data (KG)'!B70</f>
        <v>162063.14259999999</v>
      </c>
      <c r="C70" s="9">
        <f>'Raw Data (KG)'!C70</f>
        <v>14620</v>
      </c>
      <c r="D70" s="9">
        <f t="shared" si="7"/>
        <v>176683.14259999999</v>
      </c>
      <c r="E70" s="9">
        <f t="shared" si="6"/>
        <v>2423067.3277999996</v>
      </c>
      <c r="F70" s="62">
        <f t="shared" si="5"/>
        <v>201922.27731666664</v>
      </c>
    </row>
    <row r="71" spans="1:6" x14ac:dyDescent="0.2">
      <c r="A71" s="105">
        <v>43556</v>
      </c>
      <c r="B71" s="9">
        <f>'Raw Data (KG)'!B71</f>
        <v>134497.64449999999</v>
      </c>
      <c r="C71" s="9">
        <f>'Raw Data (KG)'!C71</f>
        <v>13820</v>
      </c>
      <c r="D71" s="9">
        <f t="shared" si="7"/>
        <v>148317.64449999999</v>
      </c>
      <c r="E71" s="9">
        <f t="shared" si="6"/>
        <v>2368464.9723</v>
      </c>
      <c r="F71" s="62">
        <f t="shared" si="5"/>
        <v>197372.08102499999</v>
      </c>
    </row>
    <row r="72" spans="1:6" x14ac:dyDescent="0.2">
      <c r="A72" s="105">
        <v>43586</v>
      </c>
      <c r="B72" s="9">
        <f>'Raw Data (KG)'!B72</f>
        <v>155093.37599999999</v>
      </c>
      <c r="C72" s="9">
        <f>'Raw Data (KG)'!C72</f>
        <v>28910</v>
      </c>
      <c r="D72" s="9">
        <f t="shared" si="7"/>
        <v>184003.37599999999</v>
      </c>
      <c r="E72" s="9">
        <f t="shared" si="6"/>
        <v>2342798.3483000002</v>
      </c>
      <c r="F72" s="62">
        <f t="shared" si="5"/>
        <v>195233.19569166668</v>
      </c>
    </row>
    <row r="73" spans="1:6" x14ac:dyDescent="0.2">
      <c r="A73" s="105">
        <v>43617</v>
      </c>
      <c r="B73" s="9">
        <f>'Raw Data (KG)'!B73</f>
        <v>155588.34469999999</v>
      </c>
      <c r="C73" s="9">
        <f>'Raw Data (KG)'!C73</f>
        <v>37750</v>
      </c>
      <c r="D73" s="9">
        <f t="shared" si="7"/>
        <v>193338.34469999999</v>
      </c>
      <c r="E73" s="9">
        <f t="shared" si="6"/>
        <v>2323246.6929999995</v>
      </c>
      <c r="F73" s="62">
        <f t="shared" si="5"/>
        <v>193603.89108333329</v>
      </c>
    </row>
    <row r="74" spans="1:6" x14ac:dyDescent="0.2">
      <c r="A74" s="105">
        <v>43647</v>
      </c>
      <c r="B74" s="9">
        <f>'Raw Data (KG)'!B74</f>
        <v>141019.99999999997</v>
      </c>
      <c r="C74" s="9">
        <f>'Raw Data (KG)'!C74</f>
        <v>39000</v>
      </c>
      <c r="D74" s="9">
        <f t="shared" si="7"/>
        <v>180019.99999999997</v>
      </c>
      <c r="E74" s="9">
        <f t="shared" si="6"/>
        <v>2287606.6929999995</v>
      </c>
      <c r="F74" s="62">
        <f t="shared" si="5"/>
        <v>190633.89108333329</v>
      </c>
    </row>
    <row r="75" spans="1:6" x14ac:dyDescent="0.2">
      <c r="A75" s="105">
        <v>43678</v>
      </c>
      <c r="B75" s="9">
        <f>'Raw Data (KG)'!B75</f>
        <v>150570</v>
      </c>
      <c r="C75" s="9">
        <f>'Raw Data (KG)'!C75</f>
        <v>51750</v>
      </c>
      <c r="D75" s="9">
        <f t="shared" si="7"/>
        <v>202320</v>
      </c>
      <c r="E75" s="9">
        <f t="shared" si="6"/>
        <v>2283896.693</v>
      </c>
      <c r="F75" s="62">
        <f t="shared" si="5"/>
        <v>190324.72441666666</v>
      </c>
    </row>
    <row r="76" spans="1:6" x14ac:dyDescent="0.2">
      <c r="A76" s="105">
        <v>43709</v>
      </c>
      <c r="B76" s="9">
        <f>'Raw Data (KG)'!B76</f>
        <v>138430</v>
      </c>
      <c r="C76" s="9">
        <f>'Raw Data (KG)'!C76</f>
        <v>62990</v>
      </c>
      <c r="D76" s="9">
        <f t="shared" si="7"/>
        <v>201420</v>
      </c>
      <c r="E76" s="9">
        <f t="shared" si="6"/>
        <v>2288566.693</v>
      </c>
      <c r="F76" s="62">
        <f t="shared" si="5"/>
        <v>190713.89108333332</v>
      </c>
    </row>
    <row r="77" spans="1:6" x14ac:dyDescent="0.2">
      <c r="A77" s="105">
        <v>43739</v>
      </c>
      <c r="B77" s="9">
        <f>'Raw Data (KG)'!B77</f>
        <v>133570</v>
      </c>
      <c r="C77" s="9">
        <f>'Raw Data (KG)'!C77</f>
        <v>59480</v>
      </c>
      <c r="D77" s="9">
        <f t="shared" si="7"/>
        <v>193050</v>
      </c>
      <c r="E77" s="9">
        <f t="shared" si="6"/>
        <v>2275916.693</v>
      </c>
      <c r="F77" s="62">
        <f t="shared" si="5"/>
        <v>189659.72441666666</v>
      </c>
    </row>
    <row r="78" spans="1:6" x14ac:dyDescent="0.2">
      <c r="A78" s="105">
        <v>43770</v>
      </c>
      <c r="B78" s="9">
        <f>'Raw Data (KG)'!B78</f>
        <v>106670</v>
      </c>
      <c r="C78" s="9">
        <f>'Raw Data (KG)'!C78</f>
        <v>49040</v>
      </c>
      <c r="D78" s="9">
        <f t="shared" si="7"/>
        <v>155710</v>
      </c>
      <c r="E78" s="9">
        <f t="shared" ref="E78:E133" si="8">SUM(D67:D78)</f>
        <v>2197866.693</v>
      </c>
      <c r="F78" s="62">
        <f t="shared" ref="F78:F132" si="9">E78/12</f>
        <v>183155.55775000001</v>
      </c>
    </row>
    <row r="79" spans="1:6" x14ac:dyDescent="0.2">
      <c r="A79" s="105">
        <v>43800</v>
      </c>
      <c r="B79" s="9">
        <f>'Raw Data (KG)'!B79</f>
        <v>114530</v>
      </c>
      <c r="C79" s="9">
        <f>'Raw Data (KG)'!C79</f>
        <v>56380</v>
      </c>
      <c r="D79" s="9">
        <f t="shared" si="7"/>
        <v>170910</v>
      </c>
      <c r="E79" s="9">
        <f t="shared" si="8"/>
        <v>2134626.693</v>
      </c>
      <c r="F79" s="62">
        <f t="shared" si="9"/>
        <v>177885.55775000001</v>
      </c>
    </row>
    <row r="80" spans="1:6" x14ac:dyDescent="0.2">
      <c r="A80" s="105">
        <v>43831</v>
      </c>
      <c r="B80" s="9">
        <f>'Raw Data (KG)'!B80</f>
        <v>86780</v>
      </c>
      <c r="C80" s="9">
        <f>'Raw Data (KG)'!C80</f>
        <v>27790</v>
      </c>
      <c r="D80" s="9">
        <f t="shared" si="7"/>
        <v>114570</v>
      </c>
      <c r="E80" s="9">
        <f t="shared" si="8"/>
        <v>2079586.4302000001</v>
      </c>
      <c r="F80" s="62">
        <f t="shared" si="9"/>
        <v>173298.86918333333</v>
      </c>
    </row>
    <row r="81" spans="1:6" x14ac:dyDescent="0.2">
      <c r="A81" s="105">
        <v>43862</v>
      </c>
      <c r="B81" s="9">
        <f>'Raw Data (KG)'!B81</f>
        <v>68320</v>
      </c>
      <c r="C81" s="9">
        <f>'Raw Data (KG)'!C81</f>
        <v>16600</v>
      </c>
      <c r="D81" s="9">
        <f t="shared" si="7"/>
        <v>84920</v>
      </c>
      <c r="E81" s="9">
        <f t="shared" si="8"/>
        <v>2005262.5077999998</v>
      </c>
      <c r="F81" s="62">
        <f t="shared" si="9"/>
        <v>167105.20898333332</v>
      </c>
    </row>
    <row r="82" spans="1:6" x14ac:dyDescent="0.2">
      <c r="A82" s="105">
        <v>43891</v>
      </c>
      <c r="B82" s="9">
        <f>'Raw Data (KG)'!B82</f>
        <v>74000</v>
      </c>
      <c r="C82" s="9">
        <f>'Raw Data (KG)'!C82</f>
        <v>24090</v>
      </c>
      <c r="D82" s="9">
        <f t="shared" si="7"/>
        <v>98090</v>
      </c>
      <c r="E82" s="9">
        <f t="shared" si="8"/>
        <v>1926669.3651999999</v>
      </c>
      <c r="F82" s="62">
        <f t="shared" si="9"/>
        <v>160555.78043333333</v>
      </c>
    </row>
    <row r="83" spans="1:6" x14ac:dyDescent="0.2">
      <c r="A83" s="105">
        <v>43922</v>
      </c>
      <c r="B83" s="9">
        <f>'Raw Data (KG)'!B83</f>
        <v>77800</v>
      </c>
      <c r="C83" s="9">
        <f>'Raw Data (KG)'!C83</f>
        <v>24780</v>
      </c>
      <c r="D83" s="9">
        <f t="shared" si="7"/>
        <v>102580</v>
      </c>
      <c r="E83" s="9">
        <f t="shared" si="8"/>
        <v>1880931.7206999999</v>
      </c>
      <c r="F83" s="62">
        <f t="shared" si="9"/>
        <v>156744.31005833333</v>
      </c>
    </row>
    <row r="84" spans="1:6" x14ac:dyDescent="0.2">
      <c r="A84" s="105">
        <v>43952</v>
      </c>
      <c r="B84" s="9">
        <f>'Raw Data (KG)'!B84</f>
        <v>95690</v>
      </c>
      <c r="C84" s="9">
        <f>'Raw Data (KG)'!C84</f>
        <v>46630</v>
      </c>
      <c r="D84" s="9">
        <f t="shared" si="7"/>
        <v>142320</v>
      </c>
      <c r="E84" s="9">
        <f t="shared" si="8"/>
        <v>1839248.3447</v>
      </c>
      <c r="F84" s="62">
        <f t="shared" si="9"/>
        <v>153270.69539166667</v>
      </c>
    </row>
    <row r="85" spans="1:6" x14ac:dyDescent="0.2">
      <c r="A85" s="105">
        <v>43983</v>
      </c>
      <c r="B85" s="9">
        <f>'Raw Data (KG)'!B85</f>
        <v>100890</v>
      </c>
      <c r="C85" s="9">
        <f>'Raw Data (KG)'!C85</f>
        <v>43240</v>
      </c>
      <c r="D85" s="9">
        <f t="shared" si="7"/>
        <v>144130</v>
      </c>
      <c r="E85" s="9">
        <f t="shared" si="8"/>
        <v>1790040</v>
      </c>
      <c r="F85" s="62">
        <f t="shared" si="9"/>
        <v>149170</v>
      </c>
    </row>
    <row r="86" spans="1:6" x14ac:dyDescent="0.2">
      <c r="A86" s="105">
        <v>44013</v>
      </c>
      <c r="B86" s="9">
        <f>'Raw Data (KG)'!B86</f>
        <v>99540</v>
      </c>
      <c r="C86" s="9">
        <f>'Raw Data (KG)'!C86</f>
        <v>25450</v>
      </c>
      <c r="D86" s="9">
        <f t="shared" si="7"/>
        <v>124990</v>
      </c>
      <c r="E86" s="9">
        <f t="shared" si="8"/>
        <v>1735010</v>
      </c>
      <c r="F86" s="62">
        <f t="shared" si="9"/>
        <v>144584.16666666666</v>
      </c>
    </row>
    <row r="87" spans="1:6" x14ac:dyDescent="0.2">
      <c r="A87" s="105">
        <v>44044</v>
      </c>
      <c r="B87" s="9">
        <f>'Raw Data (KG)'!B87</f>
        <v>98190</v>
      </c>
      <c r="C87" s="9">
        <f>'Raw Data (KG)'!C87</f>
        <v>25100</v>
      </c>
      <c r="D87" s="9">
        <f t="shared" si="7"/>
        <v>123290</v>
      </c>
      <c r="E87" s="9">
        <f t="shared" si="8"/>
        <v>1655980</v>
      </c>
      <c r="F87" s="62">
        <f t="shared" si="9"/>
        <v>137998.33333333334</v>
      </c>
    </row>
    <row r="88" spans="1:6" x14ac:dyDescent="0.2">
      <c r="A88" s="105">
        <v>44075</v>
      </c>
      <c r="B88" s="9">
        <f>'Raw Data (KG)'!B88</f>
        <v>103480</v>
      </c>
      <c r="C88" s="9">
        <f>'Raw Data (KG)'!C88</f>
        <v>26450</v>
      </c>
      <c r="D88" s="9">
        <f t="shared" si="7"/>
        <v>129930</v>
      </c>
      <c r="E88" s="9">
        <f t="shared" si="8"/>
        <v>1584490</v>
      </c>
      <c r="F88" s="62">
        <f t="shared" si="9"/>
        <v>132040.83333333334</v>
      </c>
    </row>
    <row r="89" spans="1:6" x14ac:dyDescent="0.2">
      <c r="A89" s="105">
        <v>44105</v>
      </c>
      <c r="B89" s="9">
        <f>'Raw Data (KG)'!B89</f>
        <v>99600</v>
      </c>
      <c r="C89" s="9">
        <f>'Raw Data (KG)'!C89</f>
        <v>18840</v>
      </c>
      <c r="D89" s="9">
        <f t="shared" si="7"/>
        <v>118440</v>
      </c>
      <c r="E89" s="9">
        <f t="shared" si="8"/>
        <v>1509880</v>
      </c>
      <c r="F89" s="62">
        <f t="shared" si="9"/>
        <v>125823.33333333333</v>
      </c>
    </row>
    <row r="90" spans="1:6" x14ac:dyDescent="0.2">
      <c r="A90" s="105">
        <v>44136</v>
      </c>
      <c r="B90" s="9">
        <f>'Raw Data (KG)'!B90</f>
        <v>100780</v>
      </c>
      <c r="C90" s="9">
        <f>'Raw Data (KG)'!C90</f>
        <v>20400</v>
      </c>
      <c r="D90" s="9">
        <f t="shared" si="7"/>
        <v>121180</v>
      </c>
      <c r="E90" s="9">
        <f t="shared" si="8"/>
        <v>1475350</v>
      </c>
      <c r="F90" s="62">
        <f t="shared" si="9"/>
        <v>122945.83333333333</v>
      </c>
    </row>
    <row r="91" spans="1:6" x14ac:dyDescent="0.2">
      <c r="A91" s="105">
        <v>44166</v>
      </c>
      <c r="B91" s="9">
        <f>'Raw Data (KG)'!B91</f>
        <v>92840</v>
      </c>
      <c r="C91" s="9">
        <f>'Raw Data (KG)'!C91</f>
        <v>19120</v>
      </c>
      <c r="D91" s="9">
        <f t="shared" si="7"/>
        <v>111960</v>
      </c>
      <c r="E91" s="9">
        <f t="shared" si="8"/>
        <v>1416400</v>
      </c>
      <c r="F91" s="62">
        <f t="shared" si="9"/>
        <v>118033.33333333333</v>
      </c>
    </row>
    <row r="92" spans="1:6" x14ac:dyDescent="0.2">
      <c r="A92" s="105">
        <v>44197</v>
      </c>
      <c r="B92" s="9">
        <f>'Raw Data (KG)'!B92</f>
        <v>82270</v>
      </c>
      <c r="C92" s="9">
        <f>'Raw Data (KG)'!C92</f>
        <v>19600</v>
      </c>
      <c r="D92" s="9">
        <f t="shared" si="7"/>
        <v>101870</v>
      </c>
      <c r="E92" s="9">
        <f t="shared" si="8"/>
        <v>1403700</v>
      </c>
      <c r="F92" s="62">
        <f t="shared" si="9"/>
        <v>116975</v>
      </c>
    </row>
    <row r="93" spans="1:6" x14ac:dyDescent="0.2">
      <c r="A93" s="105">
        <v>44228</v>
      </c>
      <c r="B93" s="9">
        <f>'Raw Data (KG)'!B93</f>
        <v>91040</v>
      </c>
      <c r="C93" s="9">
        <f>'Raw Data (KG)'!C93</f>
        <v>16990</v>
      </c>
      <c r="D93" s="9">
        <f t="shared" si="7"/>
        <v>108030</v>
      </c>
      <c r="E93" s="9">
        <f t="shared" si="8"/>
        <v>1426810</v>
      </c>
      <c r="F93" s="62">
        <f t="shared" si="9"/>
        <v>118900.83333333333</v>
      </c>
    </row>
    <row r="94" spans="1:6" x14ac:dyDescent="0.2">
      <c r="A94" s="105">
        <v>44256</v>
      </c>
      <c r="B94" s="9">
        <f>'Raw Data (KG)'!B94</f>
        <v>108160</v>
      </c>
      <c r="C94" s="9">
        <f>'Raw Data (KG)'!C94</f>
        <v>20300</v>
      </c>
      <c r="D94" s="9">
        <f t="shared" si="7"/>
        <v>128460</v>
      </c>
      <c r="E94" s="9">
        <f t="shared" si="8"/>
        <v>1457180</v>
      </c>
      <c r="F94" s="62">
        <f t="shared" si="9"/>
        <v>121431.66666666667</v>
      </c>
    </row>
    <row r="95" spans="1:6" x14ac:dyDescent="0.2">
      <c r="A95" s="105">
        <v>44287</v>
      </c>
      <c r="B95" s="9">
        <f>'Raw Data (KG)'!B95</f>
        <v>97900</v>
      </c>
      <c r="C95" s="9">
        <f>'Raw Data (KG)'!C95</f>
        <v>25520</v>
      </c>
      <c r="D95" s="9">
        <f t="shared" si="7"/>
        <v>123420</v>
      </c>
      <c r="E95" s="9">
        <f t="shared" si="8"/>
        <v>1478020</v>
      </c>
      <c r="F95" s="62">
        <f t="shared" si="9"/>
        <v>123168.33333333333</v>
      </c>
    </row>
    <row r="96" spans="1:6" x14ac:dyDescent="0.2">
      <c r="A96" s="105">
        <v>44317</v>
      </c>
      <c r="B96" s="9">
        <f>'Raw Data (KG)'!B96</f>
        <v>114090</v>
      </c>
      <c r="C96" s="9">
        <f>'Raw Data (KG)'!C96</f>
        <v>22770</v>
      </c>
      <c r="D96" s="9">
        <f t="shared" si="7"/>
        <v>136860</v>
      </c>
      <c r="E96" s="9">
        <f t="shared" si="8"/>
        <v>1472560</v>
      </c>
      <c r="F96" s="62">
        <f t="shared" si="9"/>
        <v>122713.33333333333</v>
      </c>
    </row>
    <row r="97" spans="1:6" x14ac:dyDescent="0.2">
      <c r="A97" s="105">
        <v>44348</v>
      </c>
      <c r="B97" s="9">
        <f>'Raw Data (KG)'!B97</f>
        <v>91870</v>
      </c>
      <c r="C97" s="9">
        <f>'Raw Data (KG)'!C97</f>
        <v>19320</v>
      </c>
      <c r="D97" s="9">
        <f t="shared" si="7"/>
        <v>111190</v>
      </c>
      <c r="E97" s="9">
        <f t="shared" si="8"/>
        <v>1439620</v>
      </c>
      <c r="F97" s="62">
        <f t="shared" si="9"/>
        <v>119968.33333333333</v>
      </c>
    </row>
    <row r="98" spans="1:6" x14ac:dyDescent="0.2">
      <c r="A98" s="105">
        <v>44378</v>
      </c>
      <c r="B98" s="9">
        <f>'Raw Data (KG)'!B98</f>
        <v>94540</v>
      </c>
      <c r="C98" s="9">
        <f>'Raw Data (KG)'!C98</f>
        <v>23190</v>
      </c>
      <c r="D98" s="9">
        <f t="shared" si="7"/>
        <v>117730</v>
      </c>
      <c r="E98" s="9">
        <f t="shared" si="8"/>
        <v>1432360</v>
      </c>
      <c r="F98" s="62">
        <f t="shared" si="9"/>
        <v>119363.33333333333</v>
      </c>
    </row>
    <row r="99" spans="1:6" x14ac:dyDescent="0.2">
      <c r="A99" s="105">
        <v>44409</v>
      </c>
      <c r="B99" s="9">
        <f>'Raw Data (KG)'!B99</f>
        <v>104460</v>
      </c>
      <c r="C99" s="9">
        <f>'Raw Data (KG)'!C99</f>
        <v>27760</v>
      </c>
      <c r="D99" s="9">
        <f t="shared" si="7"/>
        <v>132220</v>
      </c>
      <c r="E99" s="9">
        <f t="shared" si="8"/>
        <v>1441290</v>
      </c>
      <c r="F99" s="62">
        <f t="shared" si="9"/>
        <v>120107.5</v>
      </c>
    </row>
    <row r="100" spans="1:6" x14ac:dyDescent="0.2">
      <c r="A100" s="105">
        <v>44440</v>
      </c>
      <c r="B100" s="9">
        <f>'Raw Data (KG)'!B100</f>
        <v>125580</v>
      </c>
      <c r="C100" s="9">
        <f>'Raw Data (KG)'!C100</f>
        <v>28910</v>
      </c>
      <c r="D100" s="9">
        <f t="shared" si="7"/>
        <v>154490</v>
      </c>
      <c r="E100" s="9">
        <f t="shared" si="8"/>
        <v>1465850</v>
      </c>
      <c r="F100" s="62">
        <f t="shared" si="9"/>
        <v>122154.16666666667</v>
      </c>
    </row>
    <row r="101" spans="1:6" x14ac:dyDescent="0.2">
      <c r="A101" s="105">
        <v>44470</v>
      </c>
      <c r="B101" s="9">
        <f>'Raw Data (KG)'!B101</f>
        <v>120930</v>
      </c>
      <c r="C101" s="9">
        <f>'Raw Data (KG)'!C101</f>
        <v>22640</v>
      </c>
      <c r="D101" s="9">
        <f t="shared" si="7"/>
        <v>143570</v>
      </c>
      <c r="E101" s="9">
        <f t="shared" si="8"/>
        <v>1490980</v>
      </c>
      <c r="F101" s="62">
        <f t="shared" si="9"/>
        <v>124248.33333333333</v>
      </c>
    </row>
    <row r="102" spans="1:6" x14ac:dyDescent="0.2">
      <c r="A102" s="105">
        <v>44501</v>
      </c>
      <c r="B102" s="9">
        <f>'Raw Data (KG)'!B102</f>
        <v>122690</v>
      </c>
      <c r="C102" s="9">
        <f>'Raw Data (KG)'!C102</f>
        <v>22120</v>
      </c>
      <c r="D102" s="9">
        <f t="shared" si="7"/>
        <v>144810</v>
      </c>
      <c r="E102" s="9">
        <f t="shared" si="8"/>
        <v>1514610</v>
      </c>
      <c r="F102" s="62">
        <f t="shared" si="9"/>
        <v>126217.5</v>
      </c>
    </row>
    <row r="103" spans="1:6" x14ac:dyDescent="0.2">
      <c r="A103" s="105">
        <v>44531</v>
      </c>
      <c r="B103" s="9">
        <f>'Raw Data (KG)'!B103</f>
        <v>119627</v>
      </c>
      <c r="C103" s="9">
        <f>'Raw Data (KG)'!C103</f>
        <v>24060</v>
      </c>
      <c r="D103" s="9">
        <f t="shared" si="7"/>
        <v>143687</v>
      </c>
      <c r="E103" s="9">
        <f t="shared" si="8"/>
        <v>1546337</v>
      </c>
      <c r="F103" s="62">
        <f t="shared" si="9"/>
        <v>128861.41666666667</v>
      </c>
    </row>
    <row r="104" spans="1:6" x14ac:dyDescent="0.2">
      <c r="A104" s="105">
        <v>44562</v>
      </c>
      <c r="B104" s="9">
        <f>'Raw Data (KG)'!B104</f>
        <v>113840</v>
      </c>
      <c r="C104" s="9">
        <f>'Raw Data (KG)'!C104</f>
        <v>30180</v>
      </c>
      <c r="D104" s="9">
        <f t="shared" si="7"/>
        <v>144020</v>
      </c>
      <c r="E104" s="9">
        <f t="shared" si="8"/>
        <v>1588487</v>
      </c>
      <c r="F104" s="62">
        <f t="shared" si="9"/>
        <v>132373.91666666666</v>
      </c>
    </row>
    <row r="105" spans="1:6" x14ac:dyDescent="0.2">
      <c r="A105" s="105">
        <v>44593</v>
      </c>
      <c r="B105" s="9">
        <f>'Raw Data (KG)'!B105</f>
        <v>94360</v>
      </c>
      <c r="C105" s="9">
        <f>'Raw Data (KG)'!C105</f>
        <v>16000</v>
      </c>
      <c r="D105" s="9">
        <f t="shared" si="7"/>
        <v>110360</v>
      </c>
      <c r="E105" s="9">
        <f t="shared" si="8"/>
        <v>1590817</v>
      </c>
      <c r="F105" s="62">
        <f t="shared" si="9"/>
        <v>132568.08333333334</v>
      </c>
    </row>
    <row r="106" spans="1:6" x14ac:dyDescent="0.2">
      <c r="A106" s="105">
        <v>44621</v>
      </c>
      <c r="B106" s="9">
        <f>'Raw Data (KG)'!B106</f>
        <v>94960</v>
      </c>
      <c r="C106" s="9">
        <f>'Raw Data (KG)'!C106</f>
        <v>17320</v>
      </c>
      <c r="D106" s="9">
        <f t="shared" si="7"/>
        <v>112280</v>
      </c>
      <c r="E106" s="9">
        <f t="shared" si="8"/>
        <v>1574637</v>
      </c>
      <c r="F106" s="62">
        <f t="shared" si="9"/>
        <v>131219.75</v>
      </c>
    </row>
    <row r="107" spans="1:6" x14ac:dyDescent="0.2">
      <c r="A107" s="105">
        <v>44652</v>
      </c>
      <c r="B107" s="9">
        <f>'Raw Data (KG)'!B107</f>
        <v>91850</v>
      </c>
      <c r="C107" s="9">
        <f>'Raw Data (KG)'!C107</f>
        <v>17830</v>
      </c>
      <c r="D107" s="9">
        <f t="shared" si="7"/>
        <v>109680</v>
      </c>
      <c r="E107" s="9">
        <f t="shared" si="8"/>
        <v>1560897</v>
      </c>
      <c r="F107" s="62">
        <f t="shared" si="9"/>
        <v>130074.75</v>
      </c>
    </row>
    <row r="108" spans="1:6" x14ac:dyDescent="0.2">
      <c r="A108" s="105">
        <v>44682</v>
      </c>
      <c r="B108" s="9">
        <f>'Raw Data (KG)'!B108</f>
        <v>105840</v>
      </c>
      <c r="C108" s="9">
        <f>'Raw Data (KG)'!C108</f>
        <v>22940</v>
      </c>
      <c r="D108" s="9">
        <f t="shared" si="7"/>
        <v>128780</v>
      </c>
      <c r="E108" s="9">
        <f t="shared" si="8"/>
        <v>1552817</v>
      </c>
      <c r="F108" s="62">
        <f t="shared" si="9"/>
        <v>129401.41666666667</v>
      </c>
    </row>
    <row r="109" spans="1:6" x14ac:dyDescent="0.2">
      <c r="A109" s="105">
        <v>44713</v>
      </c>
      <c r="B109" s="9">
        <f>'Raw Data (KG)'!B109</f>
        <v>111880</v>
      </c>
      <c r="C109" s="9">
        <f>'Raw Data (KG)'!C109</f>
        <v>21280</v>
      </c>
      <c r="D109" s="9">
        <f t="shared" si="7"/>
        <v>133160</v>
      </c>
      <c r="E109" s="9">
        <f t="shared" si="8"/>
        <v>1574787</v>
      </c>
      <c r="F109" s="62">
        <f t="shared" si="9"/>
        <v>131232.25</v>
      </c>
    </row>
    <row r="110" spans="1:6" x14ac:dyDescent="0.2">
      <c r="A110" s="105">
        <v>44743</v>
      </c>
      <c r="B110" s="9">
        <f>'Raw Data (KG)'!B110</f>
        <v>106480</v>
      </c>
      <c r="C110" s="9">
        <f>'Raw Data (KG)'!C110</f>
        <v>27350</v>
      </c>
      <c r="D110" s="9">
        <f t="shared" si="7"/>
        <v>133830</v>
      </c>
      <c r="E110" s="9">
        <f t="shared" si="8"/>
        <v>1590887</v>
      </c>
      <c r="F110" s="62">
        <f t="shared" si="9"/>
        <v>132573.91666666666</v>
      </c>
    </row>
    <row r="111" spans="1:6" x14ac:dyDescent="0.2">
      <c r="A111" s="105">
        <v>44774</v>
      </c>
      <c r="B111" s="9">
        <f>'Raw Data (KG)'!B111</f>
        <v>119990</v>
      </c>
      <c r="C111" s="9">
        <f>'Raw Data (KG)'!C111</f>
        <v>22610</v>
      </c>
      <c r="D111" s="9">
        <f t="shared" si="7"/>
        <v>142600</v>
      </c>
      <c r="E111" s="9">
        <f t="shared" si="8"/>
        <v>1601267</v>
      </c>
      <c r="F111" s="62">
        <f t="shared" si="9"/>
        <v>133438.91666666666</v>
      </c>
    </row>
    <row r="112" spans="1:6" x14ac:dyDescent="0.2">
      <c r="A112" s="105">
        <v>44805</v>
      </c>
      <c r="B112" s="9">
        <f>'Raw Data (KG)'!B112</f>
        <v>145680</v>
      </c>
      <c r="C112" s="9">
        <f>'Raw Data (KG)'!C112</f>
        <v>27480</v>
      </c>
      <c r="D112" s="9">
        <f t="shared" si="7"/>
        <v>173160</v>
      </c>
      <c r="E112" s="9">
        <f t="shared" si="8"/>
        <v>1619937</v>
      </c>
      <c r="F112" s="62">
        <f t="shared" si="9"/>
        <v>134994.75</v>
      </c>
    </row>
    <row r="113" spans="1:6" x14ac:dyDescent="0.2">
      <c r="A113" s="105">
        <v>44835</v>
      </c>
      <c r="B113" s="9">
        <f>'Raw Data (KG)'!B113</f>
        <v>146210</v>
      </c>
      <c r="C113" s="9">
        <f>'Raw Data (KG)'!C113</f>
        <v>21850</v>
      </c>
      <c r="D113" s="9">
        <f t="shared" si="7"/>
        <v>168060</v>
      </c>
      <c r="E113" s="9">
        <f t="shared" si="8"/>
        <v>1644427</v>
      </c>
      <c r="F113" s="62">
        <f t="shared" si="9"/>
        <v>137035.58333333334</v>
      </c>
    </row>
    <row r="114" spans="1:6" x14ac:dyDescent="0.2">
      <c r="A114" s="105">
        <v>44866</v>
      </c>
      <c r="B114" s="9">
        <f>'Raw Data (KG)'!B114</f>
        <v>147280</v>
      </c>
      <c r="C114" s="9">
        <f>'Raw Data (KG)'!C114</f>
        <v>19570</v>
      </c>
      <c r="D114" s="9">
        <f t="shared" si="7"/>
        <v>166850</v>
      </c>
      <c r="E114" s="9">
        <f t="shared" si="8"/>
        <v>1666467</v>
      </c>
      <c r="F114" s="62">
        <f t="shared" si="9"/>
        <v>138872.25</v>
      </c>
    </row>
    <row r="115" spans="1:6" x14ac:dyDescent="0.2">
      <c r="A115" s="105">
        <v>44896</v>
      </c>
      <c r="B115" s="9">
        <f>'Raw Data (KG)'!B115</f>
        <v>132640</v>
      </c>
      <c r="C115" s="9">
        <f>'Raw Data (KG)'!C115</f>
        <v>21400</v>
      </c>
      <c r="D115" s="9">
        <f t="shared" si="7"/>
        <v>154040</v>
      </c>
      <c r="E115" s="9">
        <f t="shared" si="8"/>
        <v>1676820</v>
      </c>
      <c r="F115" s="62">
        <f t="shared" si="9"/>
        <v>139735</v>
      </c>
    </row>
    <row r="116" spans="1:6" x14ac:dyDescent="0.2">
      <c r="A116" s="105">
        <v>44927</v>
      </c>
      <c r="B116" s="9">
        <f>'Raw Data (KG)'!B116</f>
        <v>106940</v>
      </c>
      <c r="C116" s="9">
        <f>'Raw Data (KG)'!C116</f>
        <v>17220</v>
      </c>
      <c r="D116" s="9">
        <f t="shared" si="7"/>
        <v>124160</v>
      </c>
      <c r="E116" s="9">
        <f t="shared" si="8"/>
        <v>1656960</v>
      </c>
      <c r="F116" s="62">
        <f t="shared" si="9"/>
        <v>138080</v>
      </c>
    </row>
    <row r="117" spans="1:6" x14ac:dyDescent="0.2">
      <c r="A117" s="105">
        <v>44958</v>
      </c>
      <c r="B117" s="9">
        <f>'Raw Data (KG)'!B117</f>
        <v>127480</v>
      </c>
      <c r="C117" s="9">
        <f>'Raw Data (KG)'!C117</f>
        <v>24570</v>
      </c>
      <c r="D117" s="9">
        <f t="shared" si="7"/>
        <v>152050</v>
      </c>
      <c r="E117" s="9">
        <f t="shared" si="8"/>
        <v>1698650</v>
      </c>
      <c r="F117" s="62">
        <f t="shared" si="9"/>
        <v>141554.16666666666</v>
      </c>
    </row>
    <row r="118" spans="1:6" x14ac:dyDescent="0.2">
      <c r="A118" s="105">
        <v>44986</v>
      </c>
      <c r="B118" s="9">
        <f>'Raw Data (KG)'!B118</f>
        <v>146920</v>
      </c>
      <c r="C118" s="9">
        <f>'Raw Data (KG)'!C118</f>
        <v>22970</v>
      </c>
      <c r="D118" s="9">
        <f>SUM(B118:C118)</f>
        <v>169890</v>
      </c>
      <c r="E118" s="9">
        <f t="shared" si="8"/>
        <v>1756260</v>
      </c>
      <c r="F118" s="62">
        <f t="shared" si="9"/>
        <v>146355</v>
      </c>
    </row>
    <row r="119" spans="1:6" x14ac:dyDescent="0.2">
      <c r="A119" s="105">
        <v>45017</v>
      </c>
      <c r="B119" s="9">
        <f>'Raw Data (KG)'!B119</f>
        <v>129810</v>
      </c>
      <c r="C119" s="9">
        <f>'Raw Data (KG)'!C119</f>
        <v>19680</v>
      </c>
      <c r="D119" s="9">
        <f t="shared" si="7"/>
        <v>149490</v>
      </c>
      <c r="E119" s="9">
        <f t="shared" si="8"/>
        <v>1796070</v>
      </c>
      <c r="F119" s="62">
        <f t="shared" si="9"/>
        <v>149672.5</v>
      </c>
    </row>
    <row r="120" spans="1:6" x14ac:dyDescent="0.2">
      <c r="A120" s="105">
        <v>45047</v>
      </c>
      <c r="B120" s="9">
        <f>'Raw Data (KG)'!B120</f>
        <v>131750</v>
      </c>
      <c r="C120" s="9">
        <f>'Raw Data (KG)'!C120</f>
        <v>20220</v>
      </c>
      <c r="D120" s="9">
        <f t="shared" si="7"/>
        <v>151970</v>
      </c>
      <c r="E120" s="9">
        <f t="shared" si="8"/>
        <v>1819260</v>
      </c>
      <c r="F120" s="62">
        <f t="shared" si="9"/>
        <v>151605</v>
      </c>
    </row>
    <row r="121" spans="1:6" x14ac:dyDescent="0.2">
      <c r="A121" s="105">
        <v>45078</v>
      </c>
      <c r="B121" s="9">
        <f>'Raw Data (KG)'!B121</f>
        <v>117380</v>
      </c>
      <c r="C121" s="9">
        <f>'Raw Data (KG)'!C121</f>
        <v>24830</v>
      </c>
      <c r="D121" s="9">
        <f t="shared" si="7"/>
        <v>142210</v>
      </c>
      <c r="E121" s="9">
        <f t="shared" si="8"/>
        <v>1828310</v>
      </c>
      <c r="F121" s="62">
        <f t="shared" si="9"/>
        <v>152359.16666666666</v>
      </c>
    </row>
    <row r="122" spans="1:6" x14ac:dyDescent="0.2">
      <c r="A122" s="105">
        <v>45108</v>
      </c>
      <c r="B122" s="9">
        <f>'Raw Data (KG)'!B122</f>
        <v>112750</v>
      </c>
      <c r="C122" s="9">
        <f>'Raw Data (KG)'!C122</f>
        <v>23930</v>
      </c>
      <c r="D122" s="9">
        <f>SUM(B122:C122)</f>
        <v>136680</v>
      </c>
      <c r="E122" s="9">
        <f t="shared" si="8"/>
        <v>1831160</v>
      </c>
      <c r="F122" s="62">
        <f t="shared" si="9"/>
        <v>152596.66666666666</v>
      </c>
    </row>
    <row r="123" spans="1:6" x14ac:dyDescent="0.2">
      <c r="A123" s="105">
        <v>45139</v>
      </c>
      <c r="B123" s="9">
        <f>'Raw Data (KG)'!B123</f>
        <v>124050</v>
      </c>
      <c r="C123" s="9">
        <f>'Raw Data (KG)'!C123</f>
        <v>29050</v>
      </c>
      <c r="D123" s="9">
        <f t="shared" si="7"/>
        <v>153100</v>
      </c>
      <c r="E123" s="9">
        <f t="shared" si="8"/>
        <v>1841660</v>
      </c>
      <c r="F123" s="62">
        <f t="shared" si="9"/>
        <v>153471.66666666666</v>
      </c>
    </row>
    <row r="124" spans="1:6" x14ac:dyDescent="0.2">
      <c r="A124" s="105">
        <v>45170</v>
      </c>
      <c r="B124" s="9">
        <f>'Raw Data (KG)'!B124</f>
        <v>139580</v>
      </c>
      <c r="C124" s="9">
        <f>'Raw Data (KG)'!C124</f>
        <v>18300</v>
      </c>
      <c r="D124" s="9">
        <f t="shared" si="7"/>
        <v>157880</v>
      </c>
      <c r="E124" s="9">
        <f t="shared" si="8"/>
        <v>1826380</v>
      </c>
      <c r="F124" s="62">
        <f t="shared" si="9"/>
        <v>152198.33333333334</v>
      </c>
    </row>
    <row r="125" spans="1:6" x14ac:dyDescent="0.2">
      <c r="A125" s="105">
        <v>45200</v>
      </c>
      <c r="B125" s="9">
        <f>'Raw Data (KG)'!B125</f>
        <v>133760</v>
      </c>
      <c r="C125" s="9">
        <f>'Raw Data (KG)'!C125</f>
        <v>17930</v>
      </c>
      <c r="D125" s="9">
        <f t="shared" si="7"/>
        <v>151690</v>
      </c>
      <c r="E125" s="9">
        <f t="shared" si="8"/>
        <v>1810010</v>
      </c>
      <c r="F125" s="62">
        <f t="shared" si="9"/>
        <v>150834.16666666666</v>
      </c>
    </row>
    <row r="126" spans="1:6" x14ac:dyDescent="0.2">
      <c r="A126" s="105">
        <v>45231</v>
      </c>
      <c r="B126" s="9">
        <f>'Raw Data (KG)'!B126</f>
        <v>138502</v>
      </c>
      <c r="C126" s="9">
        <f>'Raw Data (KG)'!C126</f>
        <v>19760</v>
      </c>
      <c r="D126" s="9">
        <f t="shared" si="7"/>
        <v>158262</v>
      </c>
      <c r="E126" s="9">
        <f t="shared" si="8"/>
        <v>1801422</v>
      </c>
      <c r="F126" s="62">
        <f t="shared" si="9"/>
        <v>150118.5</v>
      </c>
    </row>
    <row r="127" spans="1:6" x14ac:dyDescent="0.2">
      <c r="A127" s="105">
        <v>45261</v>
      </c>
      <c r="B127" s="9">
        <f>'Raw Data (KG)'!B127</f>
        <v>128817.99999999999</v>
      </c>
      <c r="C127" s="9">
        <f>'Raw Data (KG)'!C127</f>
        <v>19890</v>
      </c>
      <c r="D127" s="9">
        <f t="shared" si="7"/>
        <v>148708</v>
      </c>
      <c r="E127" s="9">
        <f t="shared" si="8"/>
        <v>1796090</v>
      </c>
      <c r="F127" s="62">
        <f t="shared" si="9"/>
        <v>149674.16666666666</v>
      </c>
    </row>
    <row r="128" spans="1:6" x14ac:dyDescent="0.2">
      <c r="A128" s="105">
        <v>45292</v>
      </c>
      <c r="B128" s="9">
        <f>'Raw Data (KG)'!B128</f>
        <v>110008</v>
      </c>
      <c r="C128" s="9">
        <f>'Raw Data (KG)'!C128</f>
        <v>20330</v>
      </c>
      <c r="D128" s="9">
        <f t="shared" si="7"/>
        <v>130338</v>
      </c>
      <c r="E128" s="9">
        <f t="shared" si="8"/>
        <v>1802268</v>
      </c>
      <c r="F128" s="62">
        <f t="shared" si="9"/>
        <v>150189</v>
      </c>
    </row>
    <row r="129" spans="1:6" x14ac:dyDescent="0.2">
      <c r="A129" s="105">
        <v>45323</v>
      </c>
      <c r="B129" s="9">
        <f>'Raw Data (KG)'!B129</f>
        <v>107199.9</v>
      </c>
      <c r="C129" s="9">
        <f>'Raw Data (KG)'!C129</f>
        <v>15820</v>
      </c>
      <c r="D129" s="9">
        <f t="shared" si="7"/>
        <v>123019.9</v>
      </c>
      <c r="E129" s="9">
        <f t="shared" si="8"/>
        <v>1773237.9</v>
      </c>
      <c r="F129" s="62">
        <f t="shared" si="9"/>
        <v>147769.82499999998</v>
      </c>
    </row>
    <row r="130" spans="1:6" x14ac:dyDescent="0.2">
      <c r="A130" s="105">
        <v>45352</v>
      </c>
      <c r="B130" s="9">
        <f>'Raw Data (KG)'!B130</f>
        <v>124409.7</v>
      </c>
      <c r="C130" s="9">
        <f>'Raw Data (KG)'!C130</f>
        <v>17340</v>
      </c>
      <c r="D130" s="9">
        <f t="shared" si="7"/>
        <v>141749.70000000001</v>
      </c>
      <c r="E130" s="9">
        <f t="shared" si="8"/>
        <v>1745097.5999999999</v>
      </c>
      <c r="F130" s="62">
        <f t="shared" si="9"/>
        <v>145424.79999999999</v>
      </c>
    </row>
    <row r="131" spans="1:6" x14ac:dyDescent="0.2">
      <c r="A131" s="105">
        <v>45383</v>
      </c>
      <c r="B131" s="9">
        <f>'Raw Data (KG)'!B131</f>
        <v>118019</v>
      </c>
      <c r="C131" s="9">
        <f>'Raw Data (KG)'!C131</f>
        <v>18260</v>
      </c>
      <c r="D131" s="9">
        <f t="shared" ref="D131:D133" si="10">SUM(B131:C131)</f>
        <v>136279</v>
      </c>
      <c r="E131" s="9">
        <f t="shared" si="8"/>
        <v>1731886.5999999999</v>
      </c>
      <c r="F131" s="62">
        <f t="shared" si="9"/>
        <v>144323.88333333333</v>
      </c>
    </row>
    <row r="132" spans="1:6" x14ac:dyDescent="0.2">
      <c r="A132" s="105">
        <v>45413</v>
      </c>
      <c r="B132" s="9">
        <f>'Raw Data (KG)'!B132</f>
        <v>146460</v>
      </c>
      <c r="C132" s="9">
        <f>'Raw Data (KG)'!C132</f>
        <v>21780</v>
      </c>
      <c r="D132" s="9">
        <f t="shared" si="10"/>
        <v>168240</v>
      </c>
      <c r="E132" s="9">
        <f t="shared" si="8"/>
        <v>1748156.5999999999</v>
      </c>
      <c r="F132" s="62">
        <f t="shared" si="9"/>
        <v>145679.71666666665</v>
      </c>
    </row>
    <row r="133" spans="1:6" x14ac:dyDescent="0.2">
      <c r="A133" s="105">
        <v>45444</v>
      </c>
      <c r="B133" s="9">
        <f>'Raw Data (KG)'!B133</f>
        <v>126612</v>
      </c>
      <c r="C133" s="9">
        <f>'Raw Data (KG)'!C133</f>
        <v>19770</v>
      </c>
      <c r="D133" s="9">
        <f t="shared" si="10"/>
        <v>146382</v>
      </c>
      <c r="E133" s="9">
        <f t="shared" si="8"/>
        <v>1752328.5999999999</v>
      </c>
      <c r="F133" s="62">
        <f>E133/12</f>
        <v>146027.38333333333</v>
      </c>
    </row>
  </sheetData>
  <pageMargins left="0.7" right="0.7" top="0.75" bottom="0.75" header="0.3" footer="0.3"/>
  <ignoredErrors>
    <ignoredError sqref="O2:O7 O8:O13 R4:R5 Q2:Q8 T8" formulaRange="1"/>
  </ignoredErrors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8C4D-B279-465B-A02B-802EDA72ADF1}">
  <dimension ref="A1:AV232"/>
  <sheetViews>
    <sheetView zoomScale="92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Q122" sqref="Q122"/>
    </sheetView>
  </sheetViews>
  <sheetFormatPr baseColWidth="10" defaultColWidth="10.6640625" defaultRowHeight="16" x14ac:dyDescent="0.2"/>
  <cols>
    <col min="1" max="1" width="11.1640625" style="61" bestFit="1" customWidth="1"/>
    <col min="2" max="3" width="15.6640625" style="354" customWidth="1"/>
    <col min="4" max="4" width="20.6640625" style="354" customWidth="1"/>
    <col min="5" max="7" width="15.6640625" style="354" customWidth="1"/>
    <col min="8" max="8" width="13.1640625" style="354" hidden="1" customWidth="1"/>
    <col min="9" max="9" width="15.6640625" style="354" customWidth="1"/>
    <col min="10" max="10" width="14.33203125" style="354" customWidth="1"/>
    <col min="11" max="11" width="13.1640625" style="354" customWidth="1"/>
    <col min="12" max="12" width="15.6640625" style="354" hidden="1" customWidth="1"/>
    <col min="13" max="15" width="18.33203125" style="354" hidden="1" customWidth="1"/>
    <col min="16" max="17" width="15.6640625" style="354" customWidth="1"/>
    <col min="18" max="18" width="12.33203125" style="354" bestFit="1" customWidth="1"/>
    <col min="19" max="19" width="13" style="354" customWidth="1"/>
    <col min="20" max="20" width="13.33203125" style="354" customWidth="1"/>
    <col min="21" max="24" width="15.6640625" style="354" customWidth="1"/>
    <col min="25" max="25" width="13.6640625" style="354" bestFit="1" customWidth="1"/>
    <col min="26" max="26" width="15.5" style="354" customWidth="1"/>
    <col min="27" max="27" width="10.6640625" style="404"/>
    <col min="28" max="28" width="12.6640625" style="404" bestFit="1" customWidth="1"/>
    <col min="29" max="29" width="14.33203125" style="354" bestFit="1" customWidth="1"/>
    <col min="30" max="30" width="13.6640625" style="354" bestFit="1" customWidth="1"/>
    <col min="31" max="31" width="16.5" style="354" customWidth="1"/>
    <col min="32" max="32" width="13.6640625" style="8" bestFit="1" customWidth="1"/>
    <col min="33" max="35" width="14.6640625" style="8" bestFit="1" customWidth="1"/>
    <col min="36" max="37" width="16.1640625" style="8" bestFit="1" customWidth="1"/>
    <col min="38" max="38" width="14" style="8" bestFit="1" customWidth="1"/>
    <col min="39" max="16384" width="10.6640625" style="8"/>
  </cols>
  <sheetData>
    <row r="1" spans="1:34" s="54" customFormat="1" ht="68" x14ac:dyDescent="0.2">
      <c r="A1" s="58" t="s">
        <v>77</v>
      </c>
      <c r="B1" s="374" t="s">
        <v>522</v>
      </c>
      <c r="C1" s="374" t="s">
        <v>490</v>
      </c>
      <c r="D1" s="374" t="s">
        <v>524</v>
      </c>
      <c r="E1" s="374" t="s">
        <v>525</v>
      </c>
      <c r="F1" s="374" t="s">
        <v>526</v>
      </c>
      <c r="G1" s="374" t="s">
        <v>527</v>
      </c>
      <c r="H1" s="375" t="s">
        <v>529</v>
      </c>
      <c r="I1" s="374" t="s">
        <v>538</v>
      </c>
      <c r="J1" s="375" t="s">
        <v>531</v>
      </c>
      <c r="K1" s="375" t="s">
        <v>532</v>
      </c>
      <c r="L1" s="375" t="s">
        <v>533</v>
      </c>
      <c r="M1" s="376" t="s">
        <v>534</v>
      </c>
      <c r="N1" s="376" t="s">
        <v>535</v>
      </c>
      <c r="O1" s="376" t="s">
        <v>536</v>
      </c>
      <c r="P1" s="374" t="s">
        <v>498</v>
      </c>
      <c r="Q1" s="374" t="s">
        <v>537</v>
      </c>
      <c r="R1" s="374" t="s">
        <v>539</v>
      </c>
      <c r="S1" s="374" t="s">
        <v>540</v>
      </c>
      <c r="T1" s="374" t="s">
        <v>541</v>
      </c>
      <c r="U1" s="374" t="s">
        <v>523</v>
      </c>
      <c r="V1" s="374" t="s">
        <v>528</v>
      </c>
      <c r="W1" s="374" t="s">
        <v>478</v>
      </c>
      <c r="X1" s="374" t="s">
        <v>530</v>
      </c>
      <c r="Y1" s="375" t="s">
        <v>719</v>
      </c>
      <c r="Z1" s="65" t="s">
        <v>720</v>
      </c>
      <c r="AA1" s="377"/>
      <c r="AB1" s="377"/>
      <c r="AC1" s="377"/>
      <c r="AD1" s="373"/>
      <c r="AE1" s="373"/>
    </row>
    <row r="2" spans="1:34" x14ac:dyDescent="0.2">
      <c r="A2" s="10">
        <v>41456</v>
      </c>
      <c r="B2" s="378">
        <v>282100</v>
      </c>
      <c r="C2" s="378"/>
      <c r="D2" s="378">
        <f>5120</f>
        <v>5120</v>
      </c>
      <c r="E2" s="378">
        <v>108</v>
      </c>
      <c r="F2" s="378"/>
      <c r="G2" s="378">
        <v>240</v>
      </c>
      <c r="H2" s="380">
        <v>3.25</v>
      </c>
      <c r="I2" s="382"/>
      <c r="J2" s="381" t="s">
        <v>549</v>
      </c>
      <c r="K2" s="381">
        <f>0.67*172</f>
        <v>115.24000000000001</v>
      </c>
      <c r="L2" s="380">
        <v>0</v>
      </c>
      <c r="M2" s="381"/>
      <c r="N2" s="381"/>
      <c r="O2" s="381"/>
      <c r="P2" s="378"/>
      <c r="Q2" s="378"/>
      <c r="R2" s="378"/>
      <c r="S2" s="378"/>
      <c r="T2" s="383"/>
      <c r="U2" s="379">
        <v>2000</v>
      </c>
      <c r="V2" s="378"/>
      <c r="W2" s="378"/>
      <c r="X2" s="378"/>
      <c r="Y2" s="380">
        <v>217</v>
      </c>
      <c r="Z2" s="380">
        <v>23</v>
      </c>
    </row>
    <row r="3" spans="1:34" x14ac:dyDescent="0.2">
      <c r="A3" s="11">
        <v>41487</v>
      </c>
      <c r="B3" s="384">
        <v>282100</v>
      </c>
      <c r="C3" s="384"/>
      <c r="D3" s="384">
        <f>4100</f>
        <v>4100</v>
      </c>
      <c r="E3" s="384">
        <v>300</v>
      </c>
      <c r="F3" s="384"/>
      <c r="G3" s="384">
        <v>250</v>
      </c>
      <c r="H3" s="380">
        <v>1.1599999999999999</v>
      </c>
      <c r="I3" s="382"/>
      <c r="J3" s="381" t="s">
        <v>549</v>
      </c>
      <c r="K3" s="381">
        <f>0.67*177</f>
        <v>118.59</v>
      </c>
      <c r="L3" s="380">
        <v>0</v>
      </c>
      <c r="M3" s="381"/>
      <c r="N3" s="381"/>
      <c r="O3" s="381"/>
      <c r="P3" s="384"/>
      <c r="Q3" s="384"/>
      <c r="R3" s="384"/>
      <c r="S3" s="384"/>
      <c r="T3" s="386"/>
      <c r="U3" s="385">
        <v>2000</v>
      </c>
      <c r="V3" s="384"/>
      <c r="W3" s="384"/>
      <c r="X3" s="384"/>
      <c r="Y3" s="380">
        <v>203</v>
      </c>
      <c r="Z3" s="380">
        <v>22</v>
      </c>
    </row>
    <row r="4" spans="1:34" x14ac:dyDescent="0.2">
      <c r="A4" s="11">
        <v>41518</v>
      </c>
      <c r="B4" s="384">
        <v>273000.00000000006</v>
      </c>
      <c r="C4" s="384"/>
      <c r="D4" s="384">
        <f>4900</f>
        <v>4900</v>
      </c>
      <c r="E4" s="384">
        <v>320</v>
      </c>
      <c r="F4" s="384"/>
      <c r="G4" s="384">
        <v>310</v>
      </c>
      <c r="H4" s="380">
        <v>0.69599999999999995</v>
      </c>
      <c r="I4" s="382"/>
      <c r="J4" s="381" t="s">
        <v>549</v>
      </c>
      <c r="K4" s="381">
        <f>0.67*134</f>
        <v>89.78</v>
      </c>
      <c r="L4" s="380">
        <v>58</v>
      </c>
      <c r="M4" s="381"/>
      <c r="N4" s="381"/>
      <c r="O4" s="381"/>
      <c r="P4" s="384"/>
      <c r="Q4" s="384"/>
      <c r="R4" s="384"/>
      <c r="S4" s="384"/>
      <c r="T4" s="386"/>
      <c r="U4" s="385">
        <v>2000</v>
      </c>
      <c r="V4" s="384"/>
      <c r="W4" s="384"/>
      <c r="X4" s="384"/>
      <c r="Y4" s="380">
        <v>223</v>
      </c>
      <c r="Z4" s="380">
        <v>24</v>
      </c>
      <c r="AF4" s="139"/>
    </row>
    <row r="5" spans="1:34" x14ac:dyDescent="0.2">
      <c r="A5" s="11">
        <v>41548</v>
      </c>
      <c r="B5" s="384">
        <v>282100</v>
      </c>
      <c r="C5" s="384"/>
      <c r="D5" s="384">
        <f>4700</f>
        <v>4700</v>
      </c>
      <c r="E5" s="384">
        <v>150</v>
      </c>
      <c r="F5" s="384"/>
      <c r="G5" s="384">
        <v>440</v>
      </c>
      <c r="H5" s="380">
        <v>0.155</v>
      </c>
      <c r="I5" s="382"/>
      <c r="J5" s="381" t="s">
        <v>549</v>
      </c>
      <c r="K5" s="381">
        <f>0.67*221</f>
        <v>148.07000000000002</v>
      </c>
      <c r="L5" s="380">
        <v>0</v>
      </c>
      <c r="M5" s="381"/>
      <c r="N5" s="381"/>
      <c r="O5" s="381"/>
      <c r="P5" s="384"/>
      <c r="Q5" s="384"/>
      <c r="R5" s="384"/>
      <c r="S5" s="384"/>
      <c r="T5" s="386"/>
      <c r="U5" s="385">
        <v>2000</v>
      </c>
      <c r="V5" s="384"/>
      <c r="W5" s="384"/>
      <c r="X5" s="384"/>
      <c r="Y5" s="380">
        <v>400</v>
      </c>
      <c r="Z5" s="380">
        <v>200</v>
      </c>
      <c r="AF5" s="139"/>
      <c r="AG5" s="139"/>
      <c r="AH5" s="139"/>
    </row>
    <row r="6" spans="1:34" x14ac:dyDescent="0.2">
      <c r="A6" s="11">
        <v>41579</v>
      </c>
      <c r="B6" s="384">
        <v>273000.00000000006</v>
      </c>
      <c r="C6" s="384"/>
      <c r="D6" s="384">
        <f>4450</f>
        <v>4450</v>
      </c>
      <c r="E6" s="384">
        <v>11</v>
      </c>
      <c r="F6" s="384"/>
      <c r="G6" s="384">
        <v>570</v>
      </c>
      <c r="H6" s="380">
        <v>2.4129999999999998</v>
      </c>
      <c r="I6" s="382"/>
      <c r="J6" s="381" t="s">
        <v>549</v>
      </c>
      <c r="K6" s="381">
        <f>0.67*142</f>
        <v>95.14</v>
      </c>
      <c r="L6" s="380">
        <v>8</v>
      </c>
      <c r="M6" s="381"/>
      <c r="N6" s="381"/>
      <c r="O6" s="381"/>
      <c r="P6" s="384"/>
      <c r="Q6" s="384"/>
      <c r="R6" s="384"/>
      <c r="S6" s="384"/>
      <c r="T6" s="386"/>
      <c r="U6" s="385">
        <v>2000</v>
      </c>
      <c r="V6" s="384"/>
      <c r="W6" s="384"/>
      <c r="X6" s="384"/>
      <c r="Y6" s="380">
        <v>800</v>
      </c>
      <c r="Z6" s="380">
        <v>400</v>
      </c>
      <c r="AF6" s="139"/>
      <c r="AG6" s="139"/>
      <c r="AH6" s="139"/>
    </row>
    <row r="7" spans="1:34" x14ac:dyDescent="0.2">
      <c r="A7" s="11">
        <v>41609</v>
      </c>
      <c r="B7" s="384">
        <v>282100</v>
      </c>
      <c r="C7" s="384"/>
      <c r="D7" s="384">
        <f>4150</f>
        <v>4150</v>
      </c>
      <c r="E7" s="384">
        <v>90</v>
      </c>
      <c r="F7" s="384"/>
      <c r="G7" s="384">
        <v>600</v>
      </c>
      <c r="H7" s="380">
        <v>1.748</v>
      </c>
      <c r="I7" s="382"/>
      <c r="J7" s="381">
        <f>0.05*68</f>
        <v>3.4000000000000004</v>
      </c>
      <c r="K7" s="381">
        <f>0.67*112</f>
        <v>75.040000000000006</v>
      </c>
      <c r="L7" s="380">
        <v>46</v>
      </c>
      <c r="M7" s="381"/>
      <c r="N7" s="381"/>
      <c r="O7" s="381"/>
      <c r="P7" s="384"/>
      <c r="Q7" s="384"/>
      <c r="R7" s="384"/>
      <c r="S7" s="384"/>
      <c r="T7" s="386"/>
      <c r="U7" s="385">
        <v>2000</v>
      </c>
      <c r="V7" s="384"/>
      <c r="W7" s="384"/>
      <c r="X7" s="384"/>
      <c r="Y7" s="380">
        <v>600</v>
      </c>
      <c r="Z7" s="380">
        <v>400</v>
      </c>
      <c r="AF7" s="139"/>
      <c r="AG7" s="139"/>
      <c r="AH7" s="139"/>
    </row>
    <row r="8" spans="1:34" x14ac:dyDescent="0.2">
      <c r="A8" s="11">
        <v>41640</v>
      </c>
      <c r="B8" s="384">
        <v>282100</v>
      </c>
      <c r="C8" s="384"/>
      <c r="D8" s="384">
        <f>4360</f>
        <v>4360</v>
      </c>
      <c r="E8" s="384">
        <v>70</v>
      </c>
      <c r="F8" s="384"/>
      <c r="G8" s="384">
        <v>520</v>
      </c>
      <c r="H8" s="380">
        <v>1.7789999999999999</v>
      </c>
      <c r="I8" s="382"/>
      <c r="J8" s="381" t="s">
        <v>549</v>
      </c>
      <c r="K8" s="381">
        <f>0.67*95</f>
        <v>63.650000000000006</v>
      </c>
      <c r="L8" s="380">
        <v>0</v>
      </c>
      <c r="M8" s="381"/>
      <c r="N8" s="381"/>
      <c r="O8" s="381"/>
      <c r="P8" s="384"/>
      <c r="Q8" s="384"/>
      <c r="R8" s="384"/>
      <c r="S8" s="384"/>
      <c r="T8" s="386"/>
      <c r="U8" s="385">
        <v>2000</v>
      </c>
      <c r="V8" s="384"/>
      <c r="W8" s="384"/>
      <c r="X8" s="384"/>
      <c r="Y8" s="380">
        <v>600</v>
      </c>
      <c r="Z8" s="380">
        <v>200</v>
      </c>
      <c r="AB8" s="541"/>
      <c r="AC8" s="540"/>
      <c r="AF8" s="139"/>
      <c r="AG8" s="139"/>
      <c r="AH8" s="139"/>
    </row>
    <row r="9" spans="1:34" x14ac:dyDescent="0.2">
      <c r="A9" s="11">
        <v>41671</v>
      </c>
      <c r="B9" s="384">
        <v>254800.00000000003</v>
      </c>
      <c r="C9" s="384"/>
      <c r="D9" s="384">
        <f>4400</f>
        <v>4400</v>
      </c>
      <c r="E9" s="384">
        <v>200</v>
      </c>
      <c r="F9" s="384"/>
      <c r="G9" s="384">
        <v>410</v>
      </c>
      <c r="H9" s="380">
        <v>3.6040000000000001</v>
      </c>
      <c r="I9" s="382"/>
      <c r="J9" s="381" t="s">
        <v>549</v>
      </c>
      <c r="K9" s="381">
        <f>0.67*154</f>
        <v>103.18</v>
      </c>
      <c r="L9" s="380">
        <v>0</v>
      </c>
      <c r="M9" s="381"/>
      <c r="N9" s="381"/>
      <c r="O9" s="381"/>
      <c r="P9" s="384"/>
      <c r="Q9" s="384"/>
      <c r="R9" s="384"/>
      <c r="S9" s="384"/>
      <c r="T9" s="386"/>
      <c r="U9" s="385">
        <v>2000</v>
      </c>
      <c r="V9" s="384"/>
      <c r="W9" s="384"/>
      <c r="X9" s="384"/>
      <c r="Y9" s="380">
        <v>800</v>
      </c>
      <c r="Z9" s="380">
        <v>200</v>
      </c>
      <c r="AB9" s="541"/>
      <c r="AC9" s="540"/>
      <c r="AF9" s="139"/>
      <c r="AG9" s="139"/>
      <c r="AH9" s="139"/>
    </row>
    <row r="10" spans="1:34" x14ac:dyDescent="0.2">
      <c r="A10" s="11">
        <v>41699</v>
      </c>
      <c r="B10" s="384">
        <v>282100</v>
      </c>
      <c r="C10" s="384"/>
      <c r="D10" s="384">
        <f>4800</f>
        <v>4800</v>
      </c>
      <c r="E10" s="384">
        <v>150</v>
      </c>
      <c r="F10" s="384"/>
      <c r="G10" s="384">
        <v>390</v>
      </c>
      <c r="H10" s="380">
        <v>0.26300000000000001</v>
      </c>
      <c r="I10" s="382"/>
      <c r="J10" s="381" t="s">
        <v>549</v>
      </c>
      <c r="K10" s="381">
        <f>0.67*170</f>
        <v>113.9</v>
      </c>
      <c r="L10" s="380">
        <v>0</v>
      </c>
      <c r="M10" s="381"/>
      <c r="N10" s="381"/>
      <c r="O10" s="381"/>
      <c r="P10" s="384"/>
      <c r="Q10" s="384"/>
      <c r="R10" s="384"/>
      <c r="S10" s="384"/>
      <c r="T10" s="386"/>
      <c r="U10" s="385">
        <v>2000</v>
      </c>
      <c r="V10" s="384"/>
      <c r="W10" s="384"/>
      <c r="X10" s="384"/>
      <c r="Y10" s="380">
        <v>800</v>
      </c>
      <c r="Z10" s="380">
        <v>400</v>
      </c>
      <c r="AB10" s="541"/>
      <c r="AC10" s="540"/>
      <c r="AF10" s="139"/>
      <c r="AG10" s="139"/>
      <c r="AH10" s="139"/>
    </row>
    <row r="11" spans="1:34" x14ac:dyDescent="0.2">
      <c r="A11" s="11">
        <v>41730</v>
      </c>
      <c r="B11" s="384">
        <v>273000.00000000006</v>
      </c>
      <c r="C11" s="384"/>
      <c r="D11" s="384">
        <f>4620</f>
        <v>4620</v>
      </c>
      <c r="E11" s="384">
        <v>110</v>
      </c>
      <c r="F11" s="384"/>
      <c r="G11" s="384">
        <v>510</v>
      </c>
      <c r="H11" s="380">
        <v>8.3989999999999991</v>
      </c>
      <c r="I11" s="382"/>
      <c r="J11" s="381" t="s">
        <v>549</v>
      </c>
      <c r="K11" s="381">
        <f>0.67*174</f>
        <v>116.58000000000001</v>
      </c>
      <c r="L11" s="380">
        <v>0</v>
      </c>
      <c r="M11" s="381"/>
      <c r="N11" s="381"/>
      <c r="O11" s="381"/>
      <c r="P11" s="384"/>
      <c r="Q11" s="384"/>
      <c r="R11" s="384"/>
      <c r="S11" s="384"/>
      <c r="T11" s="386"/>
      <c r="U11" s="385">
        <v>2000</v>
      </c>
      <c r="V11" s="384"/>
      <c r="W11" s="384"/>
      <c r="X11" s="384"/>
      <c r="Y11" s="380">
        <v>800</v>
      </c>
      <c r="Z11" s="380">
        <v>400</v>
      </c>
      <c r="AB11" s="541"/>
      <c r="AC11" s="540"/>
      <c r="AF11" s="139"/>
      <c r="AG11" s="139"/>
      <c r="AH11" s="139"/>
    </row>
    <row r="12" spans="1:34" x14ac:dyDescent="0.2">
      <c r="A12" s="11">
        <v>41760</v>
      </c>
      <c r="B12" s="384">
        <v>282100</v>
      </c>
      <c r="C12" s="384"/>
      <c r="D12" s="384">
        <f>4900</f>
        <v>4900</v>
      </c>
      <c r="E12" s="384">
        <v>350</v>
      </c>
      <c r="F12" s="384"/>
      <c r="G12" s="384">
        <v>470</v>
      </c>
      <c r="H12" s="380">
        <v>22.335000000000001</v>
      </c>
      <c r="I12" s="382"/>
      <c r="J12" s="381" t="s">
        <v>549</v>
      </c>
      <c r="K12" s="381">
        <f>0.67*120</f>
        <v>80.400000000000006</v>
      </c>
      <c r="L12" s="380">
        <v>30</v>
      </c>
      <c r="M12" s="381"/>
      <c r="N12" s="381"/>
      <c r="O12" s="381"/>
      <c r="P12" s="384"/>
      <c r="Q12" s="384"/>
      <c r="R12" s="384"/>
      <c r="S12" s="384"/>
      <c r="T12" s="386"/>
      <c r="U12" s="385">
        <v>2000</v>
      </c>
      <c r="V12" s="384"/>
      <c r="W12" s="384"/>
      <c r="X12" s="384"/>
      <c r="Y12" s="380">
        <v>800</v>
      </c>
      <c r="Z12" s="380">
        <v>400</v>
      </c>
      <c r="AB12" s="541"/>
      <c r="AC12" s="540"/>
      <c r="AF12" s="139"/>
      <c r="AG12" s="139"/>
      <c r="AH12" s="139"/>
    </row>
    <row r="13" spans="1:34" x14ac:dyDescent="0.2">
      <c r="A13" s="11">
        <v>41791</v>
      </c>
      <c r="B13" s="384">
        <v>273000.00000000006</v>
      </c>
      <c r="C13" s="384"/>
      <c r="D13" s="384">
        <f>4700</f>
        <v>4700</v>
      </c>
      <c r="E13" s="384">
        <v>450</v>
      </c>
      <c r="F13" s="384"/>
      <c r="G13" s="384">
        <v>400</v>
      </c>
      <c r="H13" s="380">
        <v>14.836</v>
      </c>
      <c r="I13" s="382"/>
      <c r="J13" s="381" t="s">
        <v>549</v>
      </c>
      <c r="K13" s="381">
        <f>0.67*112</f>
        <v>75.040000000000006</v>
      </c>
      <c r="L13" s="380">
        <v>0</v>
      </c>
      <c r="M13" s="381"/>
      <c r="N13" s="381"/>
      <c r="O13" s="381"/>
      <c r="P13" s="384"/>
      <c r="Q13" s="384"/>
      <c r="R13" s="384"/>
      <c r="S13" s="384"/>
      <c r="T13" s="386"/>
      <c r="U13" s="385">
        <v>2000</v>
      </c>
      <c r="V13" s="384"/>
      <c r="W13" s="384"/>
      <c r="X13" s="384"/>
      <c r="Y13" s="380">
        <v>800</v>
      </c>
      <c r="Z13" s="380">
        <v>400</v>
      </c>
      <c r="AB13" s="614"/>
      <c r="AC13" s="540"/>
      <c r="AF13" s="139"/>
      <c r="AG13" s="139"/>
      <c r="AH13" s="139"/>
    </row>
    <row r="14" spans="1:34" x14ac:dyDescent="0.2">
      <c r="A14" s="11">
        <v>41821</v>
      </c>
      <c r="B14" s="382">
        <v>282100</v>
      </c>
      <c r="C14" s="382"/>
      <c r="D14" s="382">
        <f>4520</f>
        <v>4520</v>
      </c>
      <c r="E14" s="382">
        <v>150</v>
      </c>
      <c r="F14" s="382"/>
      <c r="G14" s="382">
        <v>370</v>
      </c>
      <c r="H14" s="388">
        <v>27.087</v>
      </c>
      <c r="I14" s="382"/>
      <c r="J14" s="389" t="s">
        <v>549</v>
      </c>
      <c r="K14" s="389">
        <f>0.67*114</f>
        <v>76.38000000000001</v>
      </c>
      <c r="L14" s="388">
        <v>0</v>
      </c>
      <c r="M14" s="389"/>
      <c r="N14" s="389"/>
      <c r="O14" s="389"/>
      <c r="P14" s="382"/>
      <c r="Q14" s="382"/>
      <c r="R14" s="382"/>
      <c r="S14" s="382"/>
      <c r="T14" s="390"/>
      <c r="U14" s="387">
        <v>2000</v>
      </c>
      <c r="V14" s="382"/>
      <c r="W14" s="382"/>
      <c r="X14" s="382"/>
      <c r="Y14" s="388">
        <v>1000</v>
      </c>
      <c r="Z14" s="388">
        <v>600</v>
      </c>
      <c r="AB14" s="541"/>
      <c r="AC14" s="540"/>
      <c r="AF14" s="139"/>
      <c r="AG14" s="139"/>
      <c r="AH14" s="139"/>
    </row>
    <row r="15" spans="1:34" x14ac:dyDescent="0.2">
      <c r="A15" s="11">
        <v>41852</v>
      </c>
      <c r="B15" s="382">
        <v>282100</v>
      </c>
      <c r="C15" s="382"/>
      <c r="D15" s="382">
        <f>4610</f>
        <v>4610</v>
      </c>
      <c r="E15" s="382">
        <v>140</v>
      </c>
      <c r="F15" s="382"/>
      <c r="G15" s="382">
        <v>400</v>
      </c>
      <c r="H15" s="388">
        <v>16.097000000000001</v>
      </c>
      <c r="I15" s="382"/>
      <c r="J15" s="389" t="s">
        <v>549</v>
      </c>
      <c r="K15" s="389">
        <f>0.67*86</f>
        <v>57.620000000000005</v>
      </c>
      <c r="L15" s="388">
        <v>0</v>
      </c>
      <c r="M15" s="389"/>
      <c r="N15" s="389"/>
      <c r="O15" s="389"/>
      <c r="P15" s="382"/>
      <c r="Q15" s="382"/>
      <c r="R15" s="382"/>
      <c r="S15" s="382"/>
      <c r="T15" s="390"/>
      <c r="U15" s="387">
        <v>2000</v>
      </c>
      <c r="V15" s="382"/>
      <c r="W15" s="382">
        <v>626</v>
      </c>
      <c r="X15" s="382"/>
      <c r="Y15" s="388">
        <v>800</v>
      </c>
      <c r="Z15" s="388">
        <v>400</v>
      </c>
      <c r="AB15" s="541"/>
      <c r="AC15" s="540"/>
    </row>
    <row r="16" spans="1:34" x14ac:dyDescent="0.2">
      <c r="A16" s="11">
        <v>41883</v>
      </c>
      <c r="B16" s="382">
        <v>273000.00000000006</v>
      </c>
      <c r="C16" s="382"/>
      <c r="D16" s="382">
        <f>4500</f>
        <v>4500</v>
      </c>
      <c r="E16" s="382">
        <v>350</v>
      </c>
      <c r="F16" s="382"/>
      <c r="G16" s="382">
        <v>390</v>
      </c>
      <c r="H16" s="388">
        <v>4.0220000000000002</v>
      </c>
      <c r="I16" s="382"/>
      <c r="J16" s="389" t="s">
        <v>549</v>
      </c>
      <c r="K16" s="389">
        <f>0.67*139</f>
        <v>93.13000000000001</v>
      </c>
      <c r="L16" s="388">
        <v>0</v>
      </c>
      <c r="M16" s="389"/>
      <c r="N16" s="389"/>
      <c r="O16" s="389"/>
      <c r="P16" s="382"/>
      <c r="Q16" s="382"/>
      <c r="R16" s="382"/>
      <c r="S16" s="382"/>
      <c r="T16" s="390"/>
      <c r="U16" s="387">
        <v>2000</v>
      </c>
      <c r="V16" s="382"/>
      <c r="W16" s="382">
        <v>827</v>
      </c>
      <c r="X16" s="382"/>
      <c r="Y16" s="388">
        <v>800</v>
      </c>
      <c r="Z16" s="388">
        <v>400</v>
      </c>
      <c r="AB16" s="541"/>
      <c r="AC16" s="540"/>
    </row>
    <row r="17" spans="1:29" x14ac:dyDescent="0.2">
      <c r="A17" s="11">
        <v>41913</v>
      </c>
      <c r="B17" s="382">
        <v>282100</v>
      </c>
      <c r="C17" s="382"/>
      <c r="D17" s="382">
        <f>4100</f>
        <v>4100</v>
      </c>
      <c r="E17" s="382">
        <v>90</v>
      </c>
      <c r="F17" s="382"/>
      <c r="G17" s="382">
        <v>420</v>
      </c>
      <c r="H17" s="388">
        <v>0.52600000000000002</v>
      </c>
      <c r="I17" s="382"/>
      <c r="J17" s="389" t="s">
        <v>549</v>
      </c>
      <c r="K17" s="389">
        <f>0.67*100</f>
        <v>67</v>
      </c>
      <c r="L17" s="388">
        <v>25</v>
      </c>
      <c r="M17" s="389"/>
      <c r="N17" s="389"/>
      <c r="O17" s="389"/>
      <c r="P17" s="382"/>
      <c r="Q17" s="382"/>
      <c r="R17" s="382"/>
      <c r="S17" s="382"/>
      <c r="T17" s="390"/>
      <c r="U17" s="387">
        <v>2000</v>
      </c>
      <c r="V17" s="382"/>
      <c r="W17" s="382">
        <v>728</v>
      </c>
      <c r="X17" s="382">
        <v>0</v>
      </c>
      <c r="Y17" s="388">
        <v>800</v>
      </c>
      <c r="Z17" s="388">
        <v>400</v>
      </c>
      <c r="AB17" s="541"/>
      <c r="AC17" s="540"/>
    </row>
    <row r="18" spans="1:29" x14ac:dyDescent="0.2">
      <c r="A18" s="11">
        <v>41944</v>
      </c>
      <c r="B18" s="382">
        <v>273000.00000000006</v>
      </c>
      <c r="C18" s="391"/>
      <c r="D18" s="391">
        <f>4900</f>
        <v>4900</v>
      </c>
      <c r="E18" s="391">
        <v>110</v>
      </c>
      <c r="F18" s="391"/>
      <c r="G18" s="391">
        <v>390</v>
      </c>
      <c r="H18" s="392">
        <v>2.4750000000000001</v>
      </c>
      <c r="I18" s="382"/>
      <c r="J18" s="389" t="s">
        <v>549</v>
      </c>
      <c r="K18" s="393">
        <f>0.67*100</f>
        <v>67</v>
      </c>
      <c r="L18" s="392">
        <v>0</v>
      </c>
      <c r="M18" s="389"/>
      <c r="N18" s="389"/>
      <c r="O18" s="389"/>
      <c r="P18" s="382"/>
      <c r="Q18" s="382"/>
      <c r="R18" s="382"/>
      <c r="S18" s="382"/>
      <c r="T18" s="390"/>
      <c r="U18" s="387">
        <v>2000</v>
      </c>
      <c r="V18" s="391"/>
      <c r="W18" s="391">
        <v>1653</v>
      </c>
      <c r="X18" s="391">
        <v>0</v>
      </c>
      <c r="Y18" s="392">
        <v>800</v>
      </c>
      <c r="Z18" s="392">
        <v>400</v>
      </c>
      <c r="AB18" s="541"/>
      <c r="AC18" s="540"/>
    </row>
    <row r="19" spans="1:29" x14ac:dyDescent="0.2">
      <c r="A19" s="11">
        <v>41974</v>
      </c>
      <c r="B19" s="382">
        <v>282100</v>
      </c>
      <c r="C19" s="391"/>
      <c r="D19" s="391">
        <f>4750</f>
        <v>4750</v>
      </c>
      <c r="E19" s="391">
        <v>100</v>
      </c>
      <c r="F19" s="391"/>
      <c r="G19" s="391">
        <v>420</v>
      </c>
      <c r="H19" s="392">
        <v>2.5209999999999999</v>
      </c>
      <c r="I19" s="382"/>
      <c r="J19" s="393">
        <f>0.05*117</f>
        <v>5.8500000000000005</v>
      </c>
      <c r="K19" s="393">
        <f>0.67*93</f>
        <v>62.31</v>
      </c>
      <c r="L19" s="392">
        <v>0</v>
      </c>
      <c r="M19" s="389"/>
      <c r="N19" s="389"/>
      <c r="O19" s="389"/>
      <c r="P19" s="382"/>
      <c r="Q19" s="382"/>
      <c r="R19" s="382"/>
      <c r="S19" s="382"/>
      <c r="T19" s="390"/>
      <c r="U19" s="387">
        <v>2000</v>
      </c>
      <c r="V19" s="391"/>
      <c r="W19" s="391">
        <v>875</v>
      </c>
      <c r="X19" s="391">
        <v>160</v>
      </c>
      <c r="Y19" s="392">
        <v>1000</v>
      </c>
      <c r="Z19" s="392">
        <v>400</v>
      </c>
      <c r="AB19" s="541"/>
      <c r="AC19" s="540"/>
    </row>
    <row r="20" spans="1:29" x14ac:dyDescent="0.2">
      <c r="A20" s="11">
        <v>42005</v>
      </c>
      <c r="B20" s="382">
        <v>282100</v>
      </c>
      <c r="C20" s="391"/>
      <c r="D20" s="391">
        <f>4640</f>
        <v>4640</v>
      </c>
      <c r="E20" s="391">
        <v>370</v>
      </c>
      <c r="F20" s="391"/>
      <c r="G20" s="391">
        <v>390</v>
      </c>
      <c r="H20" s="392">
        <v>4.6870000000000003</v>
      </c>
      <c r="I20" s="382"/>
      <c r="J20" s="393" t="s">
        <v>549</v>
      </c>
      <c r="K20" s="393">
        <f>0.67*146</f>
        <v>97.820000000000007</v>
      </c>
      <c r="L20" s="392">
        <v>0</v>
      </c>
      <c r="M20" s="389"/>
      <c r="N20" s="389"/>
      <c r="O20" s="389"/>
      <c r="P20" s="382"/>
      <c r="Q20" s="382"/>
      <c r="R20" s="382"/>
      <c r="S20" s="382"/>
      <c r="T20" s="390"/>
      <c r="U20" s="387">
        <v>2000</v>
      </c>
      <c r="V20" s="391"/>
      <c r="W20" s="391">
        <v>870</v>
      </c>
      <c r="X20" s="391">
        <v>70</v>
      </c>
      <c r="Y20" s="392">
        <v>800</v>
      </c>
      <c r="Z20" s="392">
        <v>400</v>
      </c>
      <c r="AB20" s="541"/>
      <c r="AC20" s="540"/>
    </row>
    <row r="21" spans="1:29" x14ac:dyDescent="0.2">
      <c r="A21" s="11">
        <v>42036</v>
      </c>
      <c r="B21" s="382">
        <v>254800.00000000003</v>
      </c>
      <c r="C21" s="391"/>
      <c r="D21" s="391">
        <f>4540</f>
        <v>4540</v>
      </c>
      <c r="E21" s="391">
        <v>110</v>
      </c>
      <c r="F21" s="391"/>
      <c r="G21" s="391">
        <v>380</v>
      </c>
      <c r="H21" s="392">
        <v>14.617000000000001</v>
      </c>
      <c r="I21" s="382"/>
      <c r="J21" s="393" t="s">
        <v>549</v>
      </c>
      <c r="K21" s="393">
        <f>0.67*97</f>
        <v>64.990000000000009</v>
      </c>
      <c r="L21" s="388">
        <v>21</v>
      </c>
      <c r="M21" s="389"/>
      <c r="N21" s="389"/>
      <c r="O21" s="389"/>
      <c r="P21" s="382"/>
      <c r="Q21" s="382"/>
      <c r="R21" s="382"/>
      <c r="S21" s="382"/>
      <c r="T21" s="390"/>
      <c r="U21" s="387">
        <v>2000</v>
      </c>
      <c r="V21" s="391"/>
      <c r="W21" s="391">
        <v>856</v>
      </c>
      <c r="X21" s="391">
        <v>0</v>
      </c>
      <c r="Y21" s="392">
        <v>800</v>
      </c>
      <c r="Z21" s="392">
        <v>400</v>
      </c>
      <c r="AB21" s="541"/>
      <c r="AC21" s="540"/>
    </row>
    <row r="22" spans="1:29" x14ac:dyDescent="0.2">
      <c r="A22" s="11">
        <v>42064</v>
      </c>
      <c r="B22" s="382">
        <v>282100</v>
      </c>
      <c r="C22" s="391"/>
      <c r="D22" s="391">
        <f>4140</f>
        <v>4140</v>
      </c>
      <c r="E22" s="391">
        <v>140</v>
      </c>
      <c r="F22" s="391"/>
      <c r="G22" s="391">
        <v>410</v>
      </c>
      <c r="H22" s="392">
        <v>4.3780000000000001</v>
      </c>
      <c r="I22" s="382"/>
      <c r="J22" s="393" t="s">
        <v>549</v>
      </c>
      <c r="K22" s="393">
        <f>0.67*127</f>
        <v>85.09</v>
      </c>
      <c r="L22" s="392">
        <v>0</v>
      </c>
      <c r="M22" s="389"/>
      <c r="N22" s="389"/>
      <c r="O22" s="389"/>
      <c r="P22" s="382"/>
      <c r="Q22" s="382"/>
      <c r="R22" s="382"/>
      <c r="S22" s="382"/>
      <c r="T22" s="390"/>
      <c r="U22" s="387">
        <v>2000</v>
      </c>
      <c r="V22" s="391"/>
      <c r="W22" s="391">
        <v>1953</v>
      </c>
      <c r="X22" s="391">
        <v>0</v>
      </c>
      <c r="Y22" s="392">
        <v>800</v>
      </c>
      <c r="Z22" s="392">
        <v>400</v>
      </c>
      <c r="AB22" s="541"/>
      <c r="AC22" s="540"/>
    </row>
    <row r="23" spans="1:29" x14ac:dyDescent="0.2">
      <c r="A23" s="11">
        <v>42095</v>
      </c>
      <c r="B23" s="382">
        <v>273000.00000000006</v>
      </c>
      <c r="C23" s="391"/>
      <c r="D23" s="391">
        <f>4040</f>
        <v>4040</v>
      </c>
      <c r="E23" s="391">
        <v>110</v>
      </c>
      <c r="F23" s="391"/>
      <c r="G23" s="391">
        <v>500</v>
      </c>
      <c r="H23" s="392">
        <v>0.65</v>
      </c>
      <c r="I23" s="382"/>
      <c r="J23" s="393" t="s">
        <v>549</v>
      </c>
      <c r="K23" s="393">
        <f>0.67*88</f>
        <v>58.96</v>
      </c>
      <c r="L23" s="392">
        <v>0</v>
      </c>
      <c r="M23" s="389"/>
      <c r="N23" s="389"/>
      <c r="O23" s="389"/>
      <c r="P23" s="382"/>
      <c r="Q23" s="382"/>
      <c r="R23" s="382"/>
      <c r="S23" s="382"/>
      <c r="T23" s="390"/>
      <c r="U23" s="387">
        <v>2000</v>
      </c>
      <c r="V23" s="391"/>
      <c r="W23" s="391">
        <v>1067</v>
      </c>
      <c r="X23" s="391">
        <v>240</v>
      </c>
      <c r="Y23" s="392">
        <v>1000</v>
      </c>
      <c r="Z23" s="392">
        <v>400</v>
      </c>
      <c r="AB23" s="541"/>
      <c r="AC23" s="540"/>
    </row>
    <row r="24" spans="1:29" x14ac:dyDescent="0.2">
      <c r="A24" s="11">
        <v>42125</v>
      </c>
      <c r="B24" s="382">
        <v>282100</v>
      </c>
      <c r="C24" s="391"/>
      <c r="D24" s="391">
        <f>4090</f>
        <v>4090</v>
      </c>
      <c r="E24" s="391">
        <v>550</v>
      </c>
      <c r="F24" s="391"/>
      <c r="G24" s="391">
        <v>460</v>
      </c>
      <c r="H24" s="392">
        <v>3.3570000000000002</v>
      </c>
      <c r="I24" s="382"/>
      <c r="J24" s="393" t="s">
        <v>549</v>
      </c>
      <c r="K24" s="393">
        <f>0.67*115</f>
        <v>77.050000000000011</v>
      </c>
      <c r="L24" s="392">
        <v>0</v>
      </c>
      <c r="M24" s="389"/>
      <c r="N24" s="389"/>
      <c r="O24" s="389"/>
      <c r="P24" s="382"/>
      <c r="Q24" s="382"/>
      <c r="R24" s="382"/>
      <c r="S24" s="382"/>
      <c r="T24" s="390"/>
      <c r="U24" s="387">
        <v>2000</v>
      </c>
      <c r="V24" s="391"/>
      <c r="W24" s="391">
        <v>1074</v>
      </c>
      <c r="X24" s="391">
        <v>400</v>
      </c>
      <c r="Y24" s="392">
        <v>800</v>
      </c>
      <c r="Z24" s="392">
        <v>400</v>
      </c>
      <c r="AB24" s="541"/>
      <c r="AC24" s="540"/>
    </row>
    <row r="25" spans="1:29" x14ac:dyDescent="0.2">
      <c r="A25" s="11">
        <v>42156</v>
      </c>
      <c r="B25" s="382">
        <v>273000.00000000006</v>
      </c>
      <c r="C25" s="391"/>
      <c r="D25" s="391">
        <f>4000</f>
        <v>4000</v>
      </c>
      <c r="E25" s="391">
        <v>150</v>
      </c>
      <c r="F25" s="391"/>
      <c r="G25" s="391">
        <v>410</v>
      </c>
      <c r="H25" s="392">
        <v>1.764</v>
      </c>
      <c r="I25" s="382"/>
      <c r="J25" s="393" t="s">
        <v>549</v>
      </c>
      <c r="K25" s="393">
        <f>0.67*138</f>
        <v>92.460000000000008</v>
      </c>
      <c r="L25" s="392">
        <v>0</v>
      </c>
      <c r="M25" s="389"/>
      <c r="N25" s="389"/>
      <c r="O25" s="389"/>
      <c r="P25" s="382"/>
      <c r="Q25" s="382"/>
      <c r="R25" s="382"/>
      <c r="S25" s="382"/>
      <c r="T25" s="390"/>
      <c r="U25" s="387">
        <v>2000</v>
      </c>
      <c r="V25" s="391"/>
      <c r="W25" s="391">
        <v>1038</v>
      </c>
      <c r="X25" s="391">
        <v>270</v>
      </c>
      <c r="Y25" s="392">
        <v>800</v>
      </c>
      <c r="Z25" s="392">
        <v>400</v>
      </c>
      <c r="AB25" s="614"/>
      <c r="AC25" s="540"/>
    </row>
    <row r="26" spans="1:29" x14ac:dyDescent="0.2">
      <c r="A26" s="11">
        <v>42186</v>
      </c>
      <c r="B26" s="384">
        <v>231390</v>
      </c>
      <c r="C26" s="384"/>
      <c r="D26" s="384">
        <f>4150</f>
        <v>4150</v>
      </c>
      <c r="E26" s="384">
        <v>110</v>
      </c>
      <c r="F26" s="384"/>
      <c r="G26" s="384">
        <v>510</v>
      </c>
      <c r="H26" s="380">
        <v>6.2E-2</v>
      </c>
      <c r="I26" s="382"/>
      <c r="J26" s="381" t="s">
        <v>549</v>
      </c>
      <c r="K26" s="381">
        <f>0.67*155</f>
        <v>103.85000000000001</v>
      </c>
      <c r="L26" s="380">
        <v>0</v>
      </c>
      <c r="M26" s="381"/>
      <c r="N26" s="381"/>
      <c r="O26" s="381"/>
      <c r="P26" s="384"/>
      <c r="Q26" s="384"/>
      <c r="R26" s="384"/>
      <c r="S26" s="384"/>
      <c r="T26" s="386"/>
      <c r="U26" s="385">
        <v>2000</v>
      </c>
      <c r="V26" s="384"/>
      <c r="W26" s="384">
        <v>957</v>
      </c>
      <c r="X26" s="384">
        <v>0</v>
      </c>
      <c r="Y26" s="380">
        <v>1000</v>
      </c>
      <c r="Z26" s="380">
        <v>600</v>
      </c>
      <c r="AB26" s="541"/>
      <c r="AC26" s="540"/>
    </row>
    <row r="27" spans="1:29" x14ac:dyDescent="0.2">
      <c r="A27" s="11">
        <v>42217</v>
      </c>
      <c r="B27" s="384">
        <v>281540</v>
      </c>
      <c r="C27" s="384"/>
      <c r="D27" s="384">
        <f>4020</f>
        <v>4020</v>
      </c>
      <c r="E27" s="384">
        <v>130</v>
      </c>
      <c r="F27" s="384"/>
      <c r="G27" s="384">
        <v>480</v>
      </c>
      <c r="H27" s="380">
        <v>5.0060000000000002</v>
      </c>
      <c r="I27" s="382"/>
      <c r="J27" s="381" t="s">
        <v>549</v>
      </c>
      <c r="K27" s="381">
        <f>0.67*105</f>
        <v>70.350000000000009</v>
      </c>
      <c r="L27" s="380">
        <v>0</v>
      </c>
      <c r="M27" s="381"/>
      <c r="N27" s="381"/>
      <c r="O27" s="381"/>
      <c r="P27" s="384"/>
      <c r="Q27" s="384"/>
      <c r="R27" s="384"/>
      <c r="S27" s="384"/>
      <c r="T27" s="386"/>
      <c r="U27" s="385">
        <v>2000</v>
      </c>
      <c r="V27" s="384"/>
      <c r="W27" s="384">
        <v>827</v>
      </c>
      <c r="X27" s="384">
        <v>270</v>
      </c>
      <c r="Y27" s="380">
        <v>800</v>
      </c>
      <c r="Z27" s="380">
        <v>400</v>
      </c>
      <c r="AB27" s="541"/>
      <c r="AC27" s="540"/>
    </row>
    <row r="28" spans="1:29" x14ac:dyDescent="0.2">
      <c r="A28" s="11">
        <v>42248</v>
      </c>
      <c r="B28" s="384">
        <v>272880</v>
      </c>
      <c r="C28" s="384"/>
      <c r="D28" s="384">
        <f>3810</f>
        <v>3810</v>
      </c>
      <c r="E28" s="384">
        <v>100</v>
      </c>
      <c r="F28" s="384"/>
      <c r="G28" s="384">
        <v>390</v>
      </c>
      <c r="H28" s="380">
        <v>1.5780000000000001</v>
      </c>
      <c r="I28" s="382"/>
      <c r="J28" s="381" t="s">
        <v>549</v>
      </c>
      <c r="K28" s="381">
        <f>0.67*128</f>
        <v>85.76</v>
      </c>
      <c r="L28" s="380">
        <v>0</v>
      </c>
      <c r="M28" s="381"/>
      <c r="N28" s="381"/>
      <c r="O28" s="381"/>
      <c r="P28" s="384"/>
      <c r="Q28" s="384"/>
      <c r="R28" s="384"/>
      <c r="S28" s="384"/>
      <c r="T28" s="386"/>
      <c r="U28" s="385">
        <v>2000</v>
      </c>
      <c r="V28" s="384"/>
      <c r="W28" s="384">
        <v>1956</v>
      </c>
      <c r="X28" s="384">
        <v>120</v>
      </c>
      <c r="Y28" s="380">
        <v>1000</v>
      </c>
      <c r="Z28" s="380">
        <v>400</v>
      </c>
      <c r="AB28" s="541"/>
      <c r="AC28" s="540"/>
    </row>
    <row r="29" spans="1:29" x14ac:dyDescent="0.2">
      <c r="A29" s="11">
        <v>42278</v>
      </c>
      <c r="B29" s="384">
        <v>281000</v>
      </c>
      <c r="C29" s="384"/>
      <c r="D29" s="384">
        <f>3970</f>
        <v>3970</v>
      </c>
      <c r="E29" s="384">
        <v>90</v>
      </c>
      <c r="F29" s="384"/>
      <c r="G29" s="384">
        <v>480</v>
      </c>
      <c r="H29" s="380">
        <v>2.0419999999999998</v>
      </c>
      <c r="I29" s="382"/>
      <c r="J29" s="381" t="s">
        <v>549</v>
      </c>
      <c r="K29" s="381">
        <f>0.67*103</f>
        <v>69.010000000000005</v>
      </c>
      <c r="L29" s="380">
        <v>0</v>
      </c>
      <c r="M29" s="381"/>
      <c r="N29" s="381"/>
      <c r="O29" s="381"/>
      <c r="P29" s="384"/>
      <c r="Q29" s="384"/>
      <c r="R29" s="384"/>
      <c r="S29" s="384"/>
      <c r="T29" s="386"/>
      <c r="U29" s="385">
        <v>2000</v>
      </c>
      <c r="V29" s="384"/>
      <c r="W29" s="384">
        <v>3297</v>
      </c>
      <c r="X29" s="384">
        <v>160</v>
      </c>
      <c r="Y29" s="380">
        <v>800</v>
      </c>
      <c r="Z29" s="380">
        <v>200</v>
      </c>
      <c r="AB29" s="541"/>
      <c r="AC29" s="540"/>
    </row>
    <row r="30" spans="1:29" x14ac:dyDescent="0.2">
      <c r="A30" s="11">
        <v>42309</v>
      </c>
      <c r="B30" s="384">
        <v>274289.99999999994</v>
      </c>
      <c r="C30" s="384"/>
      <c r="D30" s="384">
        <f>3890</f>
        <v>3890</v>
      </c>
      <c r="E30" s="384">
        <v>100</v>
      </c>
      <c r="F30" s="384"/>
      <c r="G30" s="384">
        <v>450</v>
      </c>
      <c r="H30" s="380">
        <v>6.2E-2</v>
      </c>
      <c r="I30" s="382"/>
      <c r="J30" s="381" t="s">
        <v>549</v>
      </c>
      <c r="K30" s="381">
        <f>0.67*143</f>
        <v>95.81</v>
      </c>
      <c r="L30" s="380">
        <v>0</v>
      </c>
      <c r="M30" s="381"/>
      <c r="N30" s="381"/>
      <c r="O30" s="381"/>
      <c r="P30" s="384"/>
      <c r="Q30" s="384"/>
      <c r="R30" s="384"/>
      <c r="S30" s="384"/>
      <c r="T30" s="386"/>
      <c r="U30" s="385">
        <v>2000</v>
      </c>
      <c r="V30" s="384"/>
      <c r="W30" s="384">
        <v>1785</v>
      </c>
      <c r="X30" s="384">
        <v>50</v>
      </c>
      <c r="Y30" s="380">
        <v>800</v>
      </c>
      <c r="Z30" s="380">
        <v>600</v>
      </c>
      <c r="AB30" s="541"/>
      <c r="AC30" s="540"/>
    </row>
    <row r="31" spans="1:29" x14ac:dyDescent="0.2">
      <c r="A31" s="11">
        <v>42339</v>
      </c>
      <c r="B31" s="384">
        <v>267880</v>
      </c>
      <c r="C31" s="384"/>
      <c r="D31" s="384">
        <f>3810</f>
        <v>3810</v>
      </c>
      <c r="E31" s="384">
        <v>250</v>
      </c>
      <c r="F31" s="384"/>
      <c r="G31" s="384">
        <v>370</v>
      </c>
      <c r="H31" s="380">
        <v>3.2240000000000002</v>
      </c>
      <c r="I31" s="382"/>
      <c r="J31" s="381">
        <f>0.05*97</f>
        <v>4.8500000000000005</v>
      </c>
      <c r="K31" s="381">
        <f>0.67*130</f>
        <v>87.100000000000009</v>
      </c>
      <c r="L31" s="380">
        <v>0</v>
      </c>
      <c r="M31" s="381"/>
      <c r="N31" s="381"/>
      <c r="O31" s="381"/>
      <c r="P31" s="384"/>
      <c r="Q31" s="384"/>
      <c r="R31" s="384"/>
      <c r="S31" s="384"/>
      <c r="T31" s="386"/>
      <c r="U31" s="385">
        <v>2000</v>
      </c>
      <c r="V31" s="384"/>
      <c r="W31" s="384">
        <v>1400</v>
      </c>
      <c r="X31" s="384">
        <v>250</v>
      </c>
      <c r="Y31" s="380">
        <v>1200</v>
      </c>
      <c r="Z31" s="380">
        <v>1200</v>
      </c>
      <c r="AB31" s="541"/>
      <c r="AC31" s="540"/>
    </row>
    <row r="32" spans="1:29" x14ac:dyDescent="0.2">
      <c r="A32" s="11">
        <v>42370</v>
      </c>
      <c r="B32" s="384">
        <v>269800</v>
      </c>
      <c r="C32" s="384"/>
      <c r="D32" s="384">
        <f>4230</f>
        <v>4230</v>
      </c>
      <c r="E32" s="384">
        <v>300</v>
      </c>
      <c r="F32" s="384"/>
      <c r="G32" s="384">
        <v>460</v>
      </c>
      <c r="H32" s="380">
        <v>0.17</v>
      </c>
      <c r="I32" s="382"/>
      <c r="J32" s="381" t="s">
        <v>549</v>
      </c>
      <c r="K32" s="381">
        <f>0.67*77</f>
        <v>51.59</v>
      </c>
      <c r="L32" s="380">
        <v>20</v>
      </c>
      <c r="M32" s="381"/>
      <c r="N32" s="381"/>
      <c r="O32" s="381"/>
      <c r="P32" s="384"/>
      <c r="Q32" s="384"/>
      <c r="R32" s="384"/>
      <c r="S32" s="384"/>
      <c r="T32" s="386"/>
      <c r="U32" s="385">
        <f t="shared" ref="U32:U37" si="0">2000+177.808333</f>
        <v>2177.8083329999999</v>
      </c>
      <c r="V32" s="384"/>
      <c r="W32" s="384">
        <v>1647</v>
      </c>
      <c r="X32" s="384">
        <v>100</v>
      </c>
      <c r="Y32" s="555">
        <v>1200</v>
      </c>
      <c r="Z32" s="555">
        <v>400</v>
      </c>
      <c r="AB32" s="541"/>
      <c r="AC32" s="540"/>
    </row>
    <row r="33" spans="1:29" x14ac:dyDescent="0.2">
      <c r="A33" s="11">
        <v>42401</v>
      </c>
      <c r="B33" s="384">
        <v>240500</v>
      </c>
      <c r="C33" s="384"/>
      <c r="D33" s="384">
        <f>4070</f>
        <v>4070</v>
      </c>
      <c r="E33" s="384">
        <v>250</v>
      </c>
      <c r="F33" s="384"/>
      <c r="G33" s="384">
        <v>490</v>
      </c>
      <c r="H33" s="380">
        <v>0.108</v>
      </c>
      <c r="I33" s="382"/>
      <c r="J33" s="381" t="s">
        <v>549</v>
      </c>
      <c r="K33" s="381">
        <f>0.67*57</f>
        <v>38.190000000000005</v>
      </c>
      <c r="L33" s="380">
        <v>0</v>
      </c>
      <c r="M33" s="381"/>
      <c r="N33" s="381"/>
      <c r="O33" s="381"/>
      <c r="P33" s="384"/>
      <c r="Q33" s="384"/>
      <c r="R33" s="384"/>
      <c r="S33" s="384"/>
      <c r="T33" s="386"/>
      <c r="U33" s="385">
        <f t="shared" si="0"/>
        <v>2177.8083329999999</v>
      </c>
      <c r="V33" s="384"/>
      <c r="W33" s="384">
        <v>3015</v>
      </c>
      <c r="X33" s="384">
        <v>160</v>
      </c>
      <c r="Y33" s="555">
        <v>600</v>
      </c>
      <c r="Z33" s="555">
        <v>200</v>
      </c>
      <c r="AB33" s="541"/>
      <c r="AC33" s="540"/>
    </row>
    <row r="34" spans="1:29" x14ac:dyDescent="0.2">
      <c r="A34" s="11">
        <v>42430</v>
      </c>
      <c r="B34" s="384">
        <v>263290</v>
      </c>
      <c r="C34" s="384"/>
      <c r="D34" s="384">
        <f>4120</f>
        <v>4120</v>
      </c>
      <c r="E34" s="384">
        <v>170</v>
      </c>
      <c r="F34" s="384"/>
      <c r="G34" s="384">
        <v>500</v>
      </c>
      <c r="H34" s="380">
        <v>1.4359999999999999</v>
      </c>
      <c r="I34" s="382"/>
      <c r="J34" s="381" t="s">
        <v>549</v>
      </c>
      <c r="K34" s="381">
        <f>0.67*130</f>
        <v>87.100000000000009</v>
      </c>
      <c r="L34" s="380">
        <v>0</v>
      </c>
      <c r="M34" s="381"/>
      <c r="N34" s="381"/>
      <c r="O34" s="381"/>
      <c r="P34" s="384"/>
      <c r="Q34" s="384"/>
      <c r="R34" s="384"/>
      <c r="S34" s="384"/>
      <c r="T34" s="386"/>
      <c r="U34" s="385">
        <f t="shared" si="0"/>
        <v>2177.8083329999999</v>
      </c>
      <c r="V34" s="384"/>
      <c r="W34" s="384">
        <v>1168</v>
      </c>
      <c r="X34" s="384">
        <v>30</v>
      </c>
      <c r="Y34" s="555">
        <v>1200</v>
      </c>
      <c r="Z34" s="555">
        <v>400</v>
      </c>
      <c r="AB34" s="541"/>
      <c r="AC34" s="540"/>
    </row>
    <row r="35" spans="1:29" x14ac:dyDescent="0.2">
      <c r="A35" s="11">
        <v>42461</v>
      </c>
      <c r="B35" s="384">
        <v>260100.00000000003</v>
      </c>
      <c r="C35" s="384"/>
      <c r="D35" s="384">
        <f>4050</f>
        <v>4050</v>
      </c>
      <c r="E35" s="384">
        <v>140</v>
      </c>
      <c r="F35" s="384"/>
      <c r="G35" s="384">
        <v>410</v>
      </c>
      <c r="H35" s="380">
        <v>1.764</v>
      </c>
      <c r="I35" s="382"/>
      <c r="J35" s="381" t="s">
        <v>549</v>
      </c>
      <c r="K35" s="381">
        <f>0.67*81</f>
        <v>54.27</v>
      </c>
      <c r="L35" s="380">
        <v>0</v>
      </c>
      <c r="M35" s="381"/>
      <c r="N35" s="381"/>
      <c r="O35" s="381"/>
      <c r="P35" s="384"/>
      <c r="Q35" s="384"/>
      <c r="R35" s="384"/>
      <c r="S35" s="384"/>
      <c r="T35" s="386"/>
      <c r="U35" s="385">
        <f t="shared" si="0"/>
        <v>2177.8083329999999</v>
      </c>
      <c r="V35" s="384"/>
      <c r="W35" s="384">
        <v>1397</v>
      </c>
      <c r="X35" s="384">
        <v>100</v>
      </c>
      <c r="Y35" s="555">
        <v>600</v>
      </c>
      <c r="Z35" s="555">
        <v>400</v>
      </c>
      <c r="AB35" s="541"/>
      <c r="AC35" s="540"/>
    </row>
    <row r="36" spans="1:29" x14ac:dyDescent="0.2">
      <c r="A36" s="11">
        <v>42491</v>
      </c>
      <c r="B36" s="384">
        <v>279280.00000000006</v>
      </c>
      <c r="C36" s="384"/>
      <c r="D36" s="384">
        <f>4080</f>
        <v>4080</v>
      </c>
      <c r="E36" s="384">
        <v>110</v>
      </c>
      <c r="F36" s="384"/>
      <c r="G36" s="384">
        <v>500</v>
      </c>
      <c r="H36" s="380">
        <v>0</v>
      </c>
      <c r="I36" s="382"/>
      <c r="J36" s="381" t="s">
        <v>549</v>
      </c>
      <c r="K36" s="381">
        <f>0.67*52</f>
        <v>34.840000000000003</v>
      </c>
      <c r="L36" s="380">
        <v>9</v>
      </c>
      <c r="M36" s="381"/>
      <c r="N36" s="381"/>
      <c r="O36" s="381"/>
      <c r="P36" s="384"/>
      <c r="Q36" s="384"/>
      <c r="R36" s="384"/>
      <c r="S36" s="384"/>
      <c r="T36" s="386"/>
      <c r="U36" s="385">
        <f t="shared" si="0"/>
        <v>2177.8083329999999</v>
      </c>
      <c r="V36" s="384"/>
      <c r="W36" s="384">
        <v>1824</v>
      </c>
      <c r="X36" s="384">
        <v>150</v>
      </c>
      <c r="Y36" s="555">
        <v>1000</v>
      </c>
      <c r="Z36" s="555">
        <v>400</v>
      </c>
      <c r="AB36" s="541"/>
      <c r="AC36" s="540"/>
    </row>
    <row r="37" spans="1:29" x14ac:dyDescent="0.2">
      <c r="A37" s="11">
        <v>42522</v>
      </c>
      <c r="B37" s="384">
        <v>265300</v>
      </c>
      <c r="C37" s="384"/>
      <c r="D37" s="384">
        <f>4120</f>
        <v>4120</v>
      </c>
      <c r="E37" s="384">
        <v>270</v>
      </c>
      <c r="F37" s="384"/>
      <c r="G37" s="384">
        <v>490</v>
      </c>
      <c r="H37" s="380">
        <v>0</v>
      </c>
      <c r="I37" s="382"/>
      <c r="J37" s="381" t="s">
        <v>549</v>
      </c>
      <c r="K37" s="381">
        <v>0</v>
      </c>
      <c r="L37" s="380">
        <v>0</v>
      </c>
      <c r="M37" s="381"/>
      <c r="N37" s="381"/>
      <c r="O37" s="381"/>
      <c r="P37" s="384"/>
      <c r="Q37" s="384"/>
      <c r="R37" s="384">
        <v>0</v>
      </c>
      <c r="S37" s="384"/>
      <c r="T37" s="386"/>
      <c r="U37" s="385">
        <f t="shared" si="0"/>
        <v>2177.8083329999999</v>
      </c>
      <c r="V37" s="384"/>
      <c r="W37" s="384">
        <v>1672</v>
      </c>
      <c r="X37" s="384">
        <v>340</v>
      </c>
      <c r="Y37" s="555">
        <v>800</v>
      </c>
      <c r="Z37" s="555">
        <v>400</v>
      </c>
      <c r="AB37" s="614"/>
      <c r="AC37" s="540"/>
    </row>
    <row r="38" spans="1:29" x14ac:dyDescent="0.2">
      <c r="A38" s="11">
        <v>42552</v>
      </c>
      <c r="B38" s="382">
        <v>230700</v>
      </c>
      <c r="C38" s="391"/>
      <c r="D38" s="382">
        <v>2980</v>
      </c>
      <c r="E38" s="382">
        <v>260</v>
      </c>
      <c r="F38" s="382"/>
      <c r="G38" s="382">
        <v>510</v>
      </c>
      <c r="H38" s="388">
        <v>0</v>
      </c>
      <c r="I38" s="382"/>
      <c r="J38" s="393" t="s">
        <v>549</v>
      </c>
      <c r="K38" s="389">
        <v>0</v>
      </c>
      <c r="L38" s="388">
        <v>0</v>
      </c>
      <c r="M38" s="389"/>
      <c r="N38" s="389"/>
      <c r="O38" s="389"/>
      <c r="P38" s="382"/>
      <c r="Q38" s="382"/>
      <c r="R38" s="382"/>
      <c r="S38" s="382"/>
      <c r="T38" s="390"/>
      <c r="U38" s="391">
        <f>2480+177.808333</f>
        <v>2657.8083329999999</v>
      </c>
      <c r="V38" s="382"/>
      <c r="W38" s="382">
        <v>2495</v>
      </c>
      <c r="X38" s="382">
        <v>0</v>
      </c>
      <c r="Y38" s="556">
        <v>1000</v>
      </c>
      <c r="Z38" s="556">
        <v>600</v>
      </c>
      <c r="AB38" s="541"/>
      <c r="AC38" s="540"/>
    </row>
    <row r="39" spans="1:29" x14ac:dyDescent="0.2">
      <c r="A39" s="11">
        <v>42583</v>
      </c>
      <c r="B39" s="382">
        <v>249380</v>
      </c>
      <c r="C39" s="391"/>
      <c r="D39" s="382">
        <f>7160</f>
        <v>7160</v>
      </c>
      <c r="E39" s="382">
        <v>400</v>
      </c>
      <c r="F39" s="382"/>
      <c r="G39" s="382">
        <v>577.5</v>
      </c>
      <c r="H39" s="388">
        <v>0</v>
      </c>
      <c r="I39" s="382"/>
      <c r="J39" s="393" t="s">
        <v>549</v>
      </c>
      <c r="K39" s="389">
        <v>0</v>
      </c>
      <c r="L39" s="388">
        <v>0</v>
      </c>
      <c r="M39" s="389"/>
      <c r="N39" s="389"/>
      <c r="O39" s="389"/>
      <c r="P39" s="382"/>
      <c r="Q39" s="382"/>
      <c r="R39" s="382"/>
      <c r="S39" s="382"/>
      <c r="T39" s="390"/>
      <c r="U39" s="391">
        <f>2580+177.808333</f>
        <v>2757.8083329999999</v>
      </c>
      <c r="V39" s="382"/>
      <c r="W39" s="382">
        <v>1142</v>
      </c>
      <c r="X39" s="382">
        <v>200</v>
      </c>
      <c r="Y39" s="556">
        <v>2400</v>
      </c>
      <c r="Z39" s="556">
        <v>200</v>
      </c>
      <c r="AB39" s="541"/>
      <c r="AC39" s="540"/>
    </row>
    <row r="40" spans="1:29" x14ac:dyDescent="0.2">
      <c r="A40" s="11">
        <v>42614</v>
      </c>
      <c r="B40" s="382">
        <v>261649.99999999997</v>
      </c>
      <c r="C40" s="391"/>
      <c r="D40" s="382">
        <v>7820</v>
      </c>
      <c r="E40" s="382">
        <v>250</v>
      </c>
      <c r="F40" s="382"/>
      <c r="G40" s="382">
        <v>1119.8</v>
      </c>
      <c r="H40" s="388">
        <v>0</v>
      </c>
      <c r="I40" s="382"/>
      <c r="J40" s="393" t="s">
        <v>549</v>
      </c>
      <c r="K40" s="389">
        <f>0.67*253</f>
        <v>169.51000000000002</v>
      </c>
      <c r="L40" s="388">
        <v>0</v>
      </c>
      <c r="M40" s="389"/>
      <c r="N40" s="389"/>
      <c r="O40" s="389"/>
      <c r="P40" s="382"/>
      <c r="Q40" s="382"/>
      <c r="R40" s="382">
        <v>0</v>
      </c>
      <c r="S40" s="382"/>
      <c r="T40" s="390"/>
      <c r="U40" s="391">
        <f>2830+177.808333</f>
        <v>3007.8083329999999</v>
      </c>
      <c r="V40" s="382"/>
      <c r="W40" s="382">
        <v>2204</v>
      </c>
      <c r="X40" s="382">
        <v>220</v>
      </c>
      <c r="Y40" s="556">
        <v>1800</v>
      </c>
      <c r="Z40" s="556">
        <v>400</v>
      </c>
      <c r="AB40" s="541"/>
      <c r="AC40" s="540"/>
    </row>
    <row r="41" spans="1:29" x14ac:dyDescent="0.2">
      <c r="A41" s="11">
        <v>42644</v>
      </c>
      <c r="B41" s="382">
        <v>258899.99999999997</v>
      </c>
      <c r="C41" s="391"/>
      <c r="D41" s="382">
        <v>9300</v>
      </c>
      <c r="E41" s="382">
        <v>150</v>
      </c>
      <c r="F41" s="382"/>
      <c r="G41" s="382">
        <v>2310</v>
      </c>
      <c r="H41" s="388">
        <v>13.462</v>
      </c>
      <c r="I41" s="382">
        <v>21800</v>
      </c>
      <c r="J41" s="393" t="s">
        <v>549</v>
      </c>
      <c r="K41" s="389">
        <v>0</v>
      </c>
      <c r="L41" s="388">
        <v>0</v>
      </c>
      <c r="M41" s="389"/>
      <c r="N41" s="389"/>
      <c r="O41" s="389"/>
      <c r="P41" s="382"/>
      <c r="Q41" s="382"/>
      <c r="R41" s="382">
        <v>0</v>
      </c>
      <c r="S41" s="382"/>
      <c r="T41" s="390"/>
      <c r="U41" s="391">
        <v>177.80833333333331</v>
      </c>
      <c r="V41" s="382"/>
      <c r="W41" s="382">
        <v>1653</v>
      </c>
      <c r="X41" s="382">
        <v>0</v>
      </c>
      <c r="Y41" s="556">
        <v>2000</v>
      </c>
      <c r="Z41" s="556">
        <v>200</v>
      </c>
      <c r="AB41" s="541"/>
      <c r="AC41" s="540"/>
    </row>
    <row r="42" spans="1:29" x14ac:dyDescent="0.2">
      <c r="A42" s="11">
        <v>42675</v>
      </c>
      <c r="B42" s="382">
        <v>262650</v>
      </c>
      <c r="C42" s="391"/>
      <c r="D42" s="391">
        <v>9900</v>
      </c>
      <c r="E42" s="391">
        <v>110</v>
      </c>
      <c r="F42" s="391"/>
      <c r="G42" s="391">
        <v>2627.5</v>
      </c>
      <c r="H42" s="392">
        <v>0</v>
      </c>
      <c r="I42" s="382">
        <v>19250</v>
      </c>
      <c r="J42" s="393" t="s">
        <v>549</v>
      </c>
      <c r="K42" s="393">
        <f>0.67*221</f>
        <v>148.07000000000002</v>
      </c>
      <c r="L42" s="392">
        <v>0</v>
      </c>
      <c r="M42" s="389"/>
      <c r="N42" s="389"/>
      <c r="O42" s="389"/>
      <c r="P42" s="382"/>
      <c r="Q42" s="382"/>
      <c r="R42" s="382">
        <v>66</v>
      </c>
      <c r="S42" s="382"/>
      <c r="T42" s="390"/>
      <c r="U42" s="391">
        <v>177.80833333333331</v>
      </c>
      <c r="V42" s="391"/>
      <c r="W42" s="391">
        <v>3458</v>
      </c>
      <c r="X42" s="391">
        <v>0</v>
      </c>
      <c r="Y42" s="557">
        <v>1600</v>
      </c>
      <c r="Z42" s="557">
        <v>400</v>
      </c>
      <c r="AB42" s="541"/>
      <c r="AC42" s="540"/>
    </row>
    <row r="43" spans="1:29" x14ac:dyDescent="0.2">
      <c r="A43" s="11">
        <v>42705</v>
      </c>
      <c r="B43" s="382">
        <v>247410.00000000003</v>
      </c>
      <c r="C43" s="391"/>
      <c r="D43" s="391">
        <v>9450</v>
      </c>
      <c r="E43" s="391">
        <v>270</v>
      </c>
      <c r="F43" s="391"/>
      <c r="G43" s="391">
        <v>1472.5</v>
      </c>
      <c r="H43" s="392">
        <v>0</v>
      </c>
      <c r="I43" s="382">
        <v>16900</v>
      </c>
      <c r="J43" s="393">
        <f>0.05*113</f>
        <v>5.65</v>
      </c>
      <c r="K43" s="393">
        <v>0</v>
      </c>
      <c r="L43" s="392">
        <v>0</v>
      </c>
      <c r="M43" s="389"/>
      <c r="N43" s="389"/>
      <c r="O43" s="389"/>
      <c r="P43" s="382"/>
      <c r="Q43" s="382"/>
      <c r="R43" s="382">
        <v>62.5</v>
      </c>
      <c r="S43" s="382"/>
      <c r="T43" s="390"/>
      <c r="U43" s="391">
        <v>177.80833333333331</v>
      </c>
      <c r="V43" s="391"/>
      <c r="W43" s="391">
        <v>1465</v>
      </c>
      <c r="X43" s="391">
        <v>50</v>
      </c>
      <c r="Y43" s="557">
        <v>1400</v>
      </c>
      <c r="Z43" s="557">
        <v>200</v>
      </c>
      <c r="AB43" s="541"/>
      <c r="AC43" s="540"/>
    </row>
    <row r="44" spans="1:29" x14ac:dyDescent="0.2">
      <c r="A44" s="11">
        <v>42736</v>
      </c>
      <c r="B44" s="382">
        <v>186070.00000000003</v>
      </c>
      <c r="C44" s="391">
        <v>41470</v>
      </c>
      <c r="D44" s="391">
        <v>10200</v>
      </c>
      <c r="E44" s="391">
        <v>180</v>
      </c>
      <c r="F44" s="391"/>
      <c r="G44" s="391">
        <v>1682</v>
      </c>
      <c r="H44" s="392">
        <f>8231/1000</f>
        <v>8.2309999999999999</v>
      </c>
      <c r="I44" s="382">
        <v>13750</v>
      </c>
      <c r="J44" s="393" t="s">
        <v>549</v>
      </c>
      <c r="K44" s="393">
        <f>0.67*206</f>
        <v>138.02000000000001</v>
      </c>
      <c r="L44" s="392">
        <v>0</v>
      </c>
      <c r="M44" s="389"/>
      <c r="N44" s="389"/>
      <c r="O44" s="389"/>
      <c r="P44" s="382"/>
      <c r="Q44" s="382"/>
      <c r="R44" s="382">
        <v>0</v>
      </c>
      <c r="S44" s="382"/>
      <c r="T44" s="390"/>
      <c r="U44" s="391">
        <v>2093.875</v>
      </c>
      <c r="V44" s="391"/>
      <c r="W44" s="391">
        <v>1726</v>
      </c>
      <c r="X44" s="391">
        <v>0</v>
      </c>
      <c r="Y44" s="557">
        <v>1400</v>
      </c>
      <c r="Z44" s="557">
        <v>0</v>
      </c>
      <c r="AB44" s="541"/>
      <c r="AC44" s="540"/>
    </row>
    <row r="45" spans="1:29" x14ac:dyDescent="0.2">
      <c r="A45" s="11">
        <v>42767</v>
      </c>
      <c r="B45" s="382">
        <v>189900</v>
      </c>
      <c r="C45" s="391">
        <v>54160</v>
      </c>
      <c r="D45" s="391">
        <v>9070</v>
      </c>
      <c r="E45" s="391">
        <v>210</v>
      </c>
      <c r="F45" s="391"/>
      <c r="G45" s="391">
        <v>1845.5</v>
      </c>
      <c r="H45" s="392">
        <v>0</v>
      </c>
      <c r="I45" s="382">
        <v>18825</v>
      </c>
      <c r="J45" s="393" t="s">
        <v>549</v>
      </c>
      <c r="K45" s="393">
        <v>0</v>
      </c>
      <c r="L45" s="388">
        <v>0</v>
      </c>
      <c r="M45" s="389"/>
      <c r="N45" s="389"/>
      <c r="O45" s="389"/>
      <c r="P45" s="382"/>
      <c r="Q45" s="382"/>
      <c r="R45" s="382">
        <v>0</v>
      </c>
      <c r="S45" s="382"/>
      <c r="T45" s="390"/>
      <c r="U45" s="391">
        <v>2093.875</v>
      </c>
      <c r="V45" s="391"/>
      <c r="W45" s="391">
        <v>1475</v>
      </c>
      <c r="X45" s="391">
        <v>120</v>
      </c>
      <c r="Y45" s="557">
        <v>2800</v>
      </c>
      <c r="Z45" s="557">
        <v>400</v>
      </c>
      <c r="AB45" s="541"/>
      <c r="AC45" s="540"/>
    </row>
    <row r="46" spans="1:29" x14ac:dyDescent="0.2">
      <c r="A46" s="11">
        <v>42795</v>
      </c>
      <c r="B46" s="382">
        <v>218930</v>
      </c>
      <c r="C46" s="391">
        <v>32240.000000000004</v>
      </c>
      <c r="D46" s="391">
        <v>9840</v>
      </c>
      <c r="E46" s="391">
        <v>210</v>
      </c>
      <c r="F46" s="391"/>
      <c r="G46" s="391">
        <v>1991</v>
      </c>
      <c r="H46" s="392">
        <v>0</v>
      </c>
      <c r="I46" s="382">
        <v>21975</v>
      </c>
      <c r="J46" s="393" t="s">
        <v>549</v>
      </c>
      <c r="K46" s="393">
        <f>0.67*121</f>
        <v>81.070000000000007</v>
      </c>
      <c r="L46" s="392">
        <v>0</v>
      </c>
      <c r="M46" s="389"/>
      <c r="N46" s="389"/>
      <c r="O46" s="389"/>
      <c r="P46" s="382"/>
      <c r="Q46" s="382"/>
      <c r="R46" s="382">
        <v>0</v>
      </c>
      <c r="S46" s="382"/>
      <c r="T46" s="390"/>
      <c r="U46" s="391">
        <v>2093.875</v>
      </c>
      <c r="V46" s="391"/>
      <c r="W46" s="391">
        <v>1816</v>
      </c>
      <c r="X46" s="391">
        <v>0</v>
      </c>
      <c r="Y46" s="557">
        <v>3000</v>
      </c>
      <c r="Z46" s="557">
        <v>0</v>
      </c>
      <c r="AB46" s="541"/>
      <c r="AC46" s="540"/>
    </row>
    <row r="47" spans="1:29" x14ac:dyDescent="0.2">
      <c r="A47" s="11">
        <v>42826</v>
      </c>
      <c r="B47" s="382">
        <v>200140</v>
      </c>
      <c r="C47" s="391">
        <v>35860</v>
      </c>
      <c r="D47" s="391">
        <v>10420</v>
      </c>
      <c r="E47" s="391">
        <v>290</v>
      </c>
      <c r="F47" s="391"/>
      <c r="G47" s="391">
        <v>2070.1999999999998</v>
      </c>
      <c r="H47" s="392">
        <v>0</v>
      </c>
      <c r="I47" s="382">
        <v>18850</v>
      </c>
      <c r="J47" s="393" t="s">
        <v>549</v>
      </c>
      <c r="K47" s="393">
        <v>0</v>
      </c>
      <c r="L47" s="392">
        <v>0</v>
      </c>
      <c r="M47" s="389">
        <f>0.34*1900</f>
        <v>646</v>
      </c>
      <c r="N47" s="389">
        <f>0.13*40</f>
        <v>5.2</v>
      </c>
      <c r="O47" s="389">
        <f>0.15*60</f>
        <v>9</v>
      </c>
      <c r="P47" s="382"/>
      <c r="Q47" s="382"/>
      <c r="R47" s="382">
        <v>0</v>
      </c>
      <c r="S47" s="382"/>
      <c r="T47" s="390"/>
      <c r="U47" s="391">
        <v>2093.875</v>
      </c>
      <c r="V47" s="391"/>
      <c r="W47" s="391">
        <v>1894</v>
      </c>
      <c r="X47" s="391">
        <v>150</v>
      </c>
      <c r="Y47" s="557">
        <v>1400</v>
      </c>
      <c r="Z47" s="557">
        <v>400</v>
      </c>
      <c r="AB47" s="541"/>
      <c r="AC47" s="540"/>
    </row>
    <row r="48" spans="1:29" x14ac:dyDescent="0.2">
      <c r="A48" s="11">
        <v>42856</v>
      </c>
      <c r="B48" s="382">
        <v>194190</v>
      </c>
      <c r="C48" s="391">
        <v>41550</v>
      </c>
      <c r="D48" s="391">
        <v>11250</v>
      </c>
      <c r="E48" s="391">
        <v>260</v>
      </c>
      <c r="F48" s="391"/>
      <c r="G48" s="391">
        <v>1900</v>
      </c>
      <c r="H48" s="392">
        <f>29-8-13</f>
        <v>8</v>
      </c>
      <c r="I48" s="382">
        <v>20275</v>
      </c>
      <c r="J48" s="393" t="s">
        <v>549</v>
      </c>
      <c r="K48" s="393">
        <f>0.67*129</f>
        <v>86.43</v>
      </c>
      <c r="L48" s="392">
        <v>0</v>
      </c>
      <c r="M48" s="389"/>
      <c r="N48" s="389"/>
      <c r="O48" s="389"/>
      <c r="P48" s="382"/>
      <c r="Q48" s="382"/>
      <c r="R48" s="382">
        <v>0</v>
      </c>
      <c r="S48" s="382"/>
      <c r="T48" s="390"/>
      <c r="U48" s="391">
        <v>2093.875</v>
      </c>
      <c r="V48" s="391"/>
      <c r="W48" s="391">
        <v>1563</v>
      </c>
      <c r="X48" s="391">
        <v>250</v>
      </c>
      <c r="Y48" s="557">
        <v>3400</v>
      </c>
      <c r="Z48" s="557">
        <v>400</v>
      </c>
      <c r="AB48" s="541"/>
      <c r="AC48" s="540"/>
    </row>
    <row r="49" spans="1:29" x14ac:dyDescent="0.2">
      <c r="A49" s="11">
        <v>42887</v>
      </c>
      <c r="B49" s="382">
        <v>204680</v>
      </c>
      <c r="C49" s="391">
        <v>51440</v>
      </c>
      <c r="D49" s="391">
        <v>7160</v>
      </c>
      <c r="E49" s="391">
        <v>400</v>
      </c>
      <c r="F49" s="391"/>
      <c r="G49" s="391">
        <f>1991+1020</f>
        <v>3011</v>
      </c>
      <c r="H49" s="392">
        <v>0</v>
      </c>
      <c r="I49" s="382">
        <v>21025</v>
      </c>
      <c r="J49" s="393" t="s">
        <v>549</v>
      </c>
      <c r="K49" s="393">
        <v>0</v>
      </c>
      <c r="L49" s="392">
        <v>0</v>
      </c>
      <c r="M49" s="389">
        <f>0.34*1000</f>
        <v>340</v>
      </c>
      <c r="N49" s="389"/>
      <c r="O49" s="389"/>
      <c r="P49" s="382"/>
      <c r="Q49" s="382"/>
      <c r="R49" s="382">
        <v>0</v>
      </c>
      <c r="S49" s="382"/>
      <c r="T49" s="390"/>
      <c r="U49" s="391">
        <v>2093.875</v>
      </c>
      <c r="V49" s="391"/>
      <c r="W49" s="391">
        <v>1981</v>
      </c>
      <c r="X49" s="391">
        <v>250</v>
      </c>
      <c r="Y49" s="557">
        <v>800</v>
      </c>
      <c r="Z49" s="557">
        <v>400</v>
      </c>
      <c r="AB49" s="614"/>
      <c r="AC49" s="540"/>
    </row>
    <row r="50" spans="1:29" x14ac:dyDescent="0.2">
      <c r="A50" s="11">
        <v>42917</v>
      </c>
      <c r="B50" s="384">
        <v>180020</v>
      </c>
      <c r="C50" s="384">
        <v>45550</v>
      </c>
      <c r="D50" s="384">
        <v>10930</v>
      </c>
      <c r="E50" s="384">
        <v>270</v>
      </c>
      <c r="F50" s="384"/>
      <c r="G50" s="384">
        <v>1863.5</v>
      </c>
      <c r="H50" s="380">
        <v>2.5680000000000001</v>
      </c>
      <c r="I50" s="382">
        <v>13275</v>
      </c>
      <c r="J50" s="381" t="s">
        <v>549</v>
      </c>
      <c r="K50" s="381">
        <f>0.67*148</f>
        <v>99.160000000000011</v>
      </c>
      <c r="L50" s="380">
        <v>3</v>
      </c>
      <c r="M50" s="381"/>
      <c r="N50" s="381"/>
      <c r="O50" s="381"/>
      <c r="P50" s="384"/>
      <c r="Q50" s="384"/>
      <c r="R50" s="384">
        <v>0</v>
      </c>
      <c r="S50" s="384"/>
      <c r="T50" s="386"/>
      <c r="U50" s="384">
        <v>2093.875</v>
      </c>
      <c r="V50" s="384"/>
      <c r="W50" s="384">
        <v>1948</v>
      </c>
      <c r="X50" s="384">
        <v>100</v>
      </c>
      <c r="Y50" s="555">
        <v>3200</v>
      </c>
      <c r="Z50" s="555">
        <v>400</v>
      </c>
      <c r="AB50" s="541"/>
      <c r="AC50" s="540"/>
    </row>
    <row r="51" spans="1:29" x14ac:dyDescent="0.2">
      <c r="A51" s="11">
        <v>42948</v>
      </c>
      <c r="B51" s="384">
        <v>205980.00000000003</v>
      </c>
      <c r="C51" s="384">
        <v>48250</v>
      </c>
      <c r="D51" s="384">
        <v>10700</v>
      </c>
      <c r="E51" s="384">
        <v>210</v>
      </c>
      <c r="F51" s="384"/>
      <c r="G51" s="384">
        <v>975</v>
      </c>
      <c r="H51" s="380">
        <v>0</v>
      </c>
      <c r="I51" s="382">
        <v>15525</v>
      </c>
      <c r="J51" s="381" t="s">
        <v>549</v>
      </c>
      <c r="K51" s="381">
        <v>0</v>
      </c>
      <c r="L51" s="380">
        <v>0</v>
      </c>
      <c r="M51" s="381">
        <f>0.34*700</f>
        <v>238.00000000000003</v>
      </c>
      <c r="N51" s="381">
        <f>0.13*300</f>
        <v>39</v>
      </c>
      <c r="O51" s="381"/>
      <c r="P51" s="384"/>
      <c r="Q51" s="384"/>
      <c r="R51" s="384">
        <v>0</v>
      </c>
      <c r="S51" s="384"/>
      <c r="T51" s="386"/>
      <c r="U51" s="384">
        <v>2093.875</v>
      </c>
      <c r="V51" s="384"/>
      <c r="W51" s="384">
        <v>1726</v>
      </c>
      <c r="X51" s="384">
        <v>0</v>
      </c>
      <c r="Y51" s="555">
        <v>800</v>
      </c>
      <c r="Z51" s="555">
        <v>400</v>
      </c>
      <c r="AB51" s="541"/>
      <c r="AC51" s="540"/>
    </row>
    <row r="52" spans="1:29" x14ac:dyDescent="0.2">
      <c r="A52" s="11">
        <v>42979</v>
      </c>
      <c r="B52" s="384">
        <v>204680</v>
      </c>
      <c r="C52" s="384">
        <v>55310</v>
      </c>
      <c r="D52" s="384">
        <v>7160</v>
      </c>
      <c r="E52" s="384">
        <v>400</v>
      </c>
      <c r="F52" s="384"/>
      <c r="G52" s="384">
        <v>975</v>
      </c>
      <c r="H52" s="380">
        <v>3.4340000000000002</v>
      </c>
      <c r="I52" s="382">
        <v>25050</v>
      </c>
      <c r="J52" s="381" t="s">
        <v>549</v>
      </c>
      <c r="K52" s="381">
        <v>0</v>
      </c>
      <c r="L52" s="380">
        <v>0</v>
      </c>
      <c r="M52" s="381"/>
      <c r="N52" s="381"/>
      <c r="O52" s="381"/>
      <c r="P52" s="384"/>
      <c r="Q52" s="384"/>
      <c r="R52" s="384">
        <v>0</v>
      </c>
      <c r="S52" s="384"/>
      <c r="T52" s="386"/>
      <c r="U52" s="384">
        <v>721</v>
      </c>
      <c r="V52" s="384"/>
      <c r="W52" s="384">
        <v>3290</v>
      </c>
      <c r="X52" s="384">
        <v>200</v>
      </c>
      <c r="Y52" s="555">
        <v>800</v>
      </c>
      <c r="Z52" s="555">
        <v>400</v>
      </c>
      <c r="AB52" s="541"/>
      <c r="AC52" s="540"/>
    </row>
    <row r="53" spans="1:29" x14ac:dyDescent="0.2">
      <c r="A53" s="11">
        <v>43009</v>
      </c>
      <c r="B53" s="384">
        <v>205980.00000000003</v>
      </c>
      <c r="C53" s="384">
        <v>65260.000000000007</v>
      </c>
      <c r="D53" s="384">
        <v>9910</v>
      </c>
      <c r="E53" s="384">
        <v>200</v>
      </c>
      <c r="F53" s="384"/>
      <c r="G53" s="384">
        <v>1691</v>
      </c>
      <c r="H53" s="380">
        <v>0</v>
      </c>
      <c r="I53" s="382">
        <v>25175</v>
      </c>
      <c r="J53" s="381" t="s">
        <v>549</v>
      </c>
      <c r="K53" s="381">
        <f>0.67*193</f>
        <v>129.31</v>
      </c>
      <c r="L53" s="380">
        <v>7</v>
      </c>
      <c r="M53" s="381"/>
      <c r="N53" s="381"/>
      <c r="O53" s="381"/>
      <c r="P53" s="384"/>
      <c r="Q53" s="384"/>
      <c r="R53" s="384">
        <v>0</v>
      </c>
      <c r="S53" s="384"/>
      <c r="T53" s="386"/>
      <c r="U53" s="384">
        <v>423</v>
      </c>
      <c r="V53" s="384"/>
      <c r="W53" s="384">
        <v>0</v>
      </c>
      <c r="X53" s="384">
        <v>70</v>
      </c>
      <c r="Y53" s="555">
        <v>800</v>
      </c>
      <c r="Z53" s="555">
        <v>400</v>
      </c>
      <c r="AB53" s="541"/>
      <c r="AC53" s="540"/>
    </row>
    <row r="54" spans="1:29" x14ac:dyDescent="0.2">
      <c r="A54" s="11">
        <v>43040</v>
      </c>
      <c r="B54" s="384">
        <v>227040</v>
      </c>
      <c r="C54" s="384">
        <v>65069.999999999993</v>
      </c>
      <c r="D54" s="384">
        <v>9740</v>
      </c>
      <c r="E54" s="384">
        <v>210</v>
      </c>
      <c r="F54" s="384"/>
      <c r="G54" s="384">
        <v>975</v>
      </c>
      <c r="H54" s="380">
        <v>2.0110000000000001</v>
      </c>
      <c r="I54" s="382">
        <v>30100</v>
      </c>
      <c r="J54" s="381" t="s">
        <v>549</v>
      </c>
      <c r="K54" s="381">
        <v>0</v>
      </c>
      <c r="L54" s="380">
        <v>0</v>
      </c>
      <c r="M54" s="381">
        <f>0.34*700</f>
        <v>238.00000000000003</v>
      </c>
      <c r="N54" s="381">
        <f>0.13*300</f>
        <v>39</v>
      </c>
      <c r="O54" s="381"/>
      <c r="P54" s="384"/>
      <c r="Q54" s="384"/>
      <c r="R54" s="384">
        <v>0</v>
      </c>
      <c r="S54" s="384"/>
      <c r="T54" s="386"/>
      <c r="U54" s="384">
        <v>828</v>
      </c>
      <c r="V54" s="384"/>
      <c r="W54" s="384">
        <v>3956</v>
      </c>
      <c r="X54" s="384">
        <v>100</v>
      </c>
      <c r="Y54" s="555">
        <v>1200</v>
      </c>
      <c r="Z54" s="555">
        <v>600</v>
      </c>
      <c r="AB54" s="541"/>
      <c r="AC54" s="540"/>
    </row>
    <row r="55" spans="1:29" x14ac:dyDescent="0.2">
      <c r="A55" s="11">
        <v>43070</v>
      </c>
      <c r="B55" s="384">
        <v>212210</v>
      </c>
      <c r="C55" s="384">
        <v>24760</v>
      </c>
      <c r="D55" s="384">
        <v>8410</v>
      </c>
      <c r="E55" s="384">
        <v>150</v>
      </c>
      <c r="F55" s="384"/>
      <c r="G55" s="384">
        <v>1882</v>
      </c>
      <c r="H55" s="380">
        <v>0</v>
      </c>
      <c r="I55" s="382">
        <v>30200</v>
      </c>
      <c r="J55" s="381">
        <f>0.05*92</f>
        <v>4.6000000000000005</v>
      </c>
      <c r="K55" s="381">
        <f>0.67*193</f>
        <v>129.31</v>
      </c>
      <c r="L55" s="380">
        <v>0</v>
      </c>
      <c r="M55" s="381">
        <f>0.34*500</f>
        <v>170</v>
      </c>
      <c r="N55" s="381"/>
      <c r="O55" s="381">
        <f>0.15*500</f>
        <v>75</v>
      </c>
      <c r="P55" s="384"/>
      <c r="Q55" s="384"/>
      <c r="R55" s="384">
        <v>0</v>
      </c>
      <c r="S55" s="384"/>
      <c r="T55" s="386"/>
      <c r="U55" s="384">
        <v>1935</v>
      </c>
      <c r="V55" s="384">
        <v>110.05</v>
      </c>
      <c r="W55" s="384">
        <v>4858</v>
      </c>
      <c r="X55" s="384">
        <v>100</v>
      </c>
      <c r="Y55" s="555">
        <v>1800</v>
      </c>
      <c r="Z55" s="555">
        <v>400</v>
      </c>
      <c r="AB55" s="541"/>
      <c r="AC55" s="540"/>
    </row>
    <row r="56" spans="1:29" x14ac:dyDescent="0.2">
      <c r="A56" s="11">
        <v>43101</v>
      </c>
      <c r="B56" s="384">
        <v>214260.00000000003</v>
      </c>
      <c r="C56" s="384">
        <v>65069.999999999993</v>
      </c>
      <c r="D56" s="384">
        <v>9740</v>
      </c>
      <c r="E56" s="384">
        <v>210</v>
      </c>
      <c r="F56" s="384"/>
      <c r="G56" s="384">
        <v>975</v>
      </c>
      <c r="H56" s="380">
        <v>0</v>
      </c>
      <c r="I56" s="382">
        <v>27975</v>
      </c>
      <c r="J56" s="381" t="s">
        <v>549</v>
      </c>
      <c r="K56" s="381">
        <v>0</v>
      </c>
      <c r="L56" s="380">
        <v>0</v>
      </c>
      <c r="M56" s="381"/>
      <c r="N56" s="381"/>
      <c r="O56" s="381"/>
      <c r="P56" s="384"/>
      <c r="Q56" s="384"/>
      <c r="R56" s="384">
        <v>0</v>
      </c>
      <c r="S56" s="384"/>
      <c r="T56" s="386"/>
      <c r="U56" s="384">
        <v>196</v>
      </c>
      <c r="V56" s="384">
        <v>58.3</v>
      </c>
      <c r="W56" s="384">
        <v>0</v>
      </c>
      <c r="X56" s="384">
        <v>150</v>
      </c>
      <c r="Y56" s="555">
        <v>1600</v>
      </c>
      <c r="Z56" s="555">
        <v>400</v>
      </c>
      <c r="AB56" s="541"/>
      <c r="AC56" s="540"/>
    </row>
    <row r="57" spans="1:29" x14ac:dyDescent="0.2">
      <c r="A57" s="11">
        <v>43132</v>
      </c>
      <c r="B57" s="384">
        <v>202080</v>
      </c>
      <c r="C57" s="384">
        <v>18960</v>
      </c>
      <c r="D57" s="384">
        <v>7530</v>
      </c>
      <c r="E57" s="384">
        <v>150</v>
      </c>
      <c r="F57" s="384"/>
      <c r="G57" s="384">
        <v>140</v>
      </c>
      <c r="H57" s="380">
        <v>0</v>
      </c>
      <c r="I57" s="382">
        <v>21825</v>
      </c>
      <c r="J57" s="381" t="s">
        <v>549</v>
      </c>
      <c r="K57" s="381">
        <v>0</v>
      </c>
      <c r="L57" s="380">
        <v>0</v>
      </c>
      <c r="M57" s="381"/>
      <c r="N57" s="381"/>
      <c r="O57" s="381"/>
      <c r="P57" s="384"/>
      <c r="Q57" s="384">
        <v>1300</v>
      </c>
      <c r="R57" s="384">
        <v>0</v>
      </c>
      <c r="S57" s="384"/>
      <c r="T57" s="386"/>
      <c r="U57" s="384">
        <v>313</v>
      </c>
      <c r="V57" s="384">
        <v>60.3</v>
      </c>
      <c r="W57" s="384">
        <v>2040</v>
      </c>
      <c r="X57" s="384">
        <v>0</v>
      </c>
      <c r="Y57" s="555">
        <v>1200</v>
      </c>
      <c r="Z57" s="555">
        <v>200</v>
      </c>
      <c r="AB57" s="541"/>
      <c r="AC57" s="540"/>
    </row>
    <row r="58" spans="1:29" x14ac:dyDescent="0.2">
      <c r="A58" s="11">
        <v>43160</v>
      </c>
      <c r="B58" s="384">
        <v>195120</v>
      </c>
      <c r="C58" s="384">
        <v>41590</v>
      </c>
      <c r="D58" s="384">
        <v>9500</v>
      </c>
      <c r="E58" s="384">
        <v>170</v>
      </c>
      <c r="F58" s="384">
        <v>330</v>
      </c>
      <c r="G58" s="384">
        <v>450</v>
      </c>
      <c r="H58" s="380">
        <v>0</v>
      </c>
      <c r="I58" s="382">
        <v>25300</v>
      </c>
      <c r="J58" s="381" t="s">
        <v>549</v>
      </c>
      <c r="K58" s="381">
        <f>0.67*260</f>
        <v>174.20000000000002</v>
      </c>
      <c r="L58" s="380">
        <v>7</v>
      </c>
      <c r="M58" s="381"/>
      <c r="N58" s="381"/>
      <c r="O58" s="381"/>
      <c r="P58" s="384"/>
      <c r="Q58" s="384">
        <v>1500</v>
      </c>
      <c r="R58" s="384">
        <v>0</v>
      </c>
      <c r="S58" s="384"/>
      <c r="T58" s="386"/>
      <c r="U58" s="384">
        <v>181</v>
      </c>
      <c r="V58" s="384">
        <v>68.5</v>
      </c>
      <c r="W58" s="384">
        <v>1740</v>
      </c>
      <c r="X58" s="384">
        <v>80</v>
      </c>
      <c r="Y58" s="555">
        <v>1600</v>
      </c>
      <c r="Z58" s="555">
        <v>400</v>
      </c>
      <c r="AB58" s="541"/>
      <c r="AC58" s="540"/>
    </row>
    <row r="59" spans="1:29" x14ac:dyDescent="0.2">
      <c r="A59" s="11">
        <v>43191</v>
      </c>
      <c r="B59" s="384">
        <v>177650</v>
      </c>
      <c r="C59" s="384">
        <v>25270</v>
      </c>
      <c r="D59" s="384">
        <v>9790</v>
      </c>
      <c r="E59" s="384">
        <v>170</v>
      </c>
      <c r="F59" s="384"/>
      <c r="G59" s="384">
        <v>460</v>
      </c>
      <c r="H59" s="380">
        <v>11.510999999999999</v>
      </c>
      <c r="I59" s="382">
        <v>25225</v>
      </c>
      <c r="J59" s="381" t="s">
        <v>549</v>
      </c>
      <c r="K59" s="381">
        <v>0</v>
      </c>
      <c r="L59" s="380">
        <v>0</v>
      </c>
      <c r="M59" s="381"/>
      <c r="N59" s="381">
        <f>0.13*(1000+1600)</f>
        <v>338</v>
      </c>
      <c r="O59" s="381">
        <f>0.15*(1000+400)</f>
        <v>210</v>
      </c>
      <c r="P59" s="384"/>
      <c r="Q59" s="384">
        <v>1300</v>
      </c>
      <c r="R59" s="384">
        <v>0</v>
      </c>
      <c r="S59" s="384">
        <v>3000</v>
      </c>
      <c r="T59" s="386"/>
      <c r="U59" s="384">
        <v>0</v>
      </c>
      <c r="V59" s="384">
        <v>56.4</v>
      </c>
      <c r="W59" s="384">
        <v>1490</v>
      </c>
      <c r="X59" s="384">
        <v>180</v>
      </c>
      <c r="Y59" s="555">
        <v>4600</v>
      </c>
      <c r="Z59" s="555">
        <v>400</v>
      </c>
      <c r="AB59" s="541"/>
      <c r="AC59" s="540"/>
    </row>
    <row r="60" spans="1:29" x14ac:dyDescent="0.2">
      <c r="A60" s="11">
        <v>43221</v>
      </c>
      <c r="B60" s="384">
        <v>172500</v>
      </c>
      <c r="C60" s="384">
        <v>37170</v>
      </c>
      <c r="D60" s="384">
        <v>11580</v>
      </c>
      <c r="E60" s="384">
        <v>170</v>
      </c>
      <c r="F60" s="384"/>
      <c r="G60" s="384">
        <v>670</v>
      </c>
      <c r="H60" s="380">
        <v>0</v>
      </c>
      <c r="I60" s="382">
        <v>37200</v>
      </c>
      <c r="J60" s="381" t="s">
        <v>549</v>
      </c>
      <c r="K60" s="381">
        <v>0</v>
      </c>
      <c r="L60" s="380">
        <v>0</v>
      </c>
      <c r="M60" s="381"/>
      <c r="N60" s="381"/>
      <c r="O60" s="381"/>
      <c r="P60" s="384"/>
      <c r="Q60" s="384">
        <v>3400.0000000000005</v>
      </c>
      <c r="R60" s="384">
        <v>0</v>
      </c>
      <c r="S60" s="384">
        <v>12000</v>
      </c>
      <c r="T60" s="386"/>
      <c r="U60" s="384">
        <v>130</v>
      </c>
      <c r="V60" s="384">
        <v>0</v>
      </c>
      <c r="W60" s="384">
        <v>0</v>
      </c>
      <c r="X60" s="384">
        <v>170</v>
      </c>
      <c r="Y60" s="555">
        <v>2400</v>
      </c>
      <c r="Z60" s="555">
        <v>200</v>
      </c>
      <c r="AB60" s="541"/>
      <c r="AC60" s="540"/>
    </row>
    <row r="61" spans="1:29" x14ac:dyDescent="0.2">
      <c r="A61" s="11">
        <v>43252</v>
      </c>
      <c r="B61" s="384">
        <v>172790</v>
      </c>
      <c r="C61" s="384">
        <v>40100</v>
      </c>
      <c r="D61" s="384">
        <v>10110</v>
      </c>
      <c r="E61" s="384">
        <v>210</v>
      </c>
      <c r="F61" s="384"/>
      <c r="G61" s="384">
        <v>340</v>
      </c>
      <c r="H61" s="380">
        <v>0</v>
      </c>
      <c r="I61" s="382">
        <v>27900</v>
      </c>
      <c r="J61" s="381" t="s">
        <v>549</v>
      </c>
      <c r="K61" s="381">
        <v>0</v>
      </c>
      <c r="L61" s="380">
        <v>0</v>
      </c>
      <c r="M61" s="381"/>
      <c r="N61" s="381"/>
      <c r="O61" s="381"/>
      <c r="P61" s="384"/>
      <c r="Q61" s="384">
        <v>40370</v>
      </c>
      <c r="R61" s="384">
        <v>0</v>
      </c>
      <c r="S61" s="384">
        <v>6000</v>
      </c>
      <c r="T61" s="386"/>
      <c r="U61" s="384">
        <v>4124</v>
      </c>
      <c r="V61" s="384">
        <v>119.65</v>
      </c>
      <c r="W61" s="384">
        <v>3470</v>
      </c>
      <c r="X61" s="384">
        <v>280</v>
      </c>
      <c r="Y61" s="555">
        <v>800</v>
      </c>
      <c r="Z61" s="555">
        <v>400</v>
      </c>
      <c r="AB61" s="614"/>
      <c r="AC61" s="540"/>
    </row>
    <row r="62" spans="1:29" x14ac:dyDescent="0.2">
      <c r="A62" s="11">
        <v>43282</v>
      </c>
      <c r="B62" s="382">
        <v>181220</v>
      </c>
      <c r="C62" s="391">
        <v>34440</v>
      </c>
      <c r="D62" s="382">
        <v>11130</v>
      </c>
      <c r="E62" s="382">
        <v>260</v>
      </c>
      <c r="F62" s="382"/>
      <c r="G62" s="382">
        <v>560</v>
      </c>
      <c r="H62" s="388">
        <v>0</v>
      </c>
      <c r="I62" s="382">
        <v>25675</v>
      </c>
      <c r="J62" s="393" t="s">
        <v>549</v>
      </c>
      <c r="K62" s="389">
        <v>0</v>
      </c>
      <c r="L62" s="388">
        <v>0</v>
      </c>
      <c r="M62" s="389">
        <v>0</v>
      </c>
      <c r="N62" s="389">
        <f>0.13*800</f>
        <v>104</v>
      </c>
      <c r="O62" s="389">
        <f>0.15*200</f>
        <v>30</v>
      </c>
      <c r="P62" s="382"/>
      <c r="Q62" s="382">
        <v>0</v>
      </c>
      <c r="R62" s="382">
        <v>0</v>
      </c>
      <c r="S62" s="382">
        <v>5000</v>
      </c>
      <c r="T62" s="390"/>
      <c r="U62" s="391">
        <v>144</v>
      </c>
      <c r="V62" s="382">
        <v>57.8</v>
      </c>
      <c r="W62" s="382">
        <v>0</v>
      </c>
      <c r="X62" s="382">
        <v>130</v>
      </c>
      <c r="Y62" s="556">
        <v>800</v>
      </c>
      <c r="Z62" s="556">
        <v>400</v>
      </c>
      <c r="AB62" s="541"/>
      <c r="AC62" s="540"/>
    </row>
    <row r="63" spans="1:29" x14ac:dyDescent="0.2">
      <c r="A63" s="11">
        <v>43313</v>
      </c>
      <c r="B63" s="382">
        <v>176530</v>
      </c>
      <c r="C63" s="391">
        <v>29500</v>
      </c>
      <c r="D63" s="382">
        <v>10170</v>
      </c>
      <c r="E63" s="382">
        <v>310</v>
      </c>
      <c r="F63" s="382"/>
      <c r="G63" s="382">
        <v>540</v>
      </c>
      <c r="H63" s="388">
        <v>0</v>
      </c>
      <c r="I63" s="382">
        <v>16633.900000000001</v>
      </c>
      <c r="J63" s="393" t="s">
        <v>549</v>
      </c>
      <c r="K63" s="389">
        <v>0</v>
      </c>
      <c r="L63" s="388">
        <v>0</v>
      </c>
      <c r="M63" s="389">
        <v>0</v>
      </c>
      <c r="N63" s="389">
        <v>0</v>
      </c>
      <c r="O63" s="389">
        <v>0</v>
      </c>
      <c r="P63" s="382">
        <f>17*27+3*35+4*4.5</f>
        <v>582</v>
      </c>
      <c r="Q63" s="382">
        <v>7200</v>
      </c>
      <c r="R63" s="382">
        <v>0</v>
      </c>
      <c r="S63" s="382">
        <v>3500</v>
      </c>
      <c r="T63" s="390"/>
      <c r="U63" s="391">
        <v>66</v>
      </c>
      <c r="V63" s="382">
        <v>29.5</v>
      </c>
      <c r="W63" s="382">
        <v>2620</v>
      </c>
      <c r="X63" s="382">
        <v>0</v>
      </c>
      <c r="Y63" s="556">
        <v>800</v>
      </c>
      <c r="Z63" s="556">
        <v>400</v>
      </c>
      <c r="AB63" s="541"/>
      <c r="AC63" s="540"/>
    </row>
    <row r="64" spans="1:29" x14ac:dyDescent="0.2">
      <c r="A64" s="11">
        <v>43344</v>
      </c>
      <c r="B64" s="382">
        <v>173070</v>
      </c>
      <c r="C64" s="391">
        <v>23680</v>
      </c>
      <c r="D64" s="382">
        <v>9110</v>
      </c>
      <c r="E64" s="382">
        <v>270</v>
      </c>
      <c r="F64" s="382"/>
      <c r="G64" s="382">
        <v>660</v>
      </c>
      <c r="H64" s="388">
        <v>0.186</v>
      </c>
      <c r="I64" s="382">
        <v>18194.05</v>
      </c>
      <c r="J64" s="393" t="s">
        <v>549</v>
      </c>
      <c r="K64" s="389">
        <f>0.67*238</f>
        <v>159.46</v>
      </c>
      <c r="L64" s="388">
        <v>14</v>
      </c>
      <c r="M64" s="389">
        <v>0</v>
      </c>
      <c r="N64" s="389">
        <v>0</v>
      </c>
      <c r="O64" s="389">
        <v>0</v>
      </c>
      <c r="P64" s="382"/>
      <c r="Q64" s="382">
        <v>3800</v>
      </c>
      <c r="R64" s="382">
        <v>7680</v>
      </c>
      <c r="S64" s="382">
        <v>45500</v>
      </c>
      <c r="T64" s="390"/>
      <c r="U64" s="391">
        <v>589</v>
      </c>
      <c r="V64" s="382">
        <v>0</v>
      </c>
      <c r="W64" s="382">
        <v>845</v>
      </c>
      <c r="X64" s="382">
        <v>260</v>
      </c>
      <c r="Y64" s="556">
        <v>800</v>
      </c>
      <c r="Z64" s="556">
        <v>400</v>
      </c>
      <c r="AB64" s="541"/>
      <c r="AC64" s="540"/>
    </row>
    <row r="65" spans="1:31" x14ac:dyDescent="0.2">
      <c r="A65" s="11">
        <v>43374</v>
      </c>
      <c r="B65" s="382">
        <v>177500</v>
      </c>
      <c r="C65" s="391">
        <v>28200</v>
      </c>
      <c r="D65" s="382">
        <v>7540</v>
      </c>
      <c r="E65" s="382">
        <v>190</v>
      </c>
      <c r="F65" s="382"/>
      <c r="G65" s="382">
        <v>1170</v>
      </c>
      <c r="H65" s="388">
        <v>0</v>
      </c>
      <c r="I65" s="382">
        <v>26058</v>
      </c>
      <c r="J65" s="393" t="s">
        <v>549</v>
      </c>
      <c r="K65" s="389">
        <v>0</v>
      </c>
      <c r="L65" s="388">
        <v>0</v>
      </c>
      <c r="M65" s="389"/>
      <c r="N65" s="389"/>
      <c r="O65" s="389"/>
      <c r="P65" s="382">
        <f>12*27+1*7.5+2*4.5</f>
        <v>340.5</v>
      </c>
      <c r="Q65" s="382">
        <v>2700</v>
      </c>
      <c r="R65" s="382">
        <v>7680</v>
      </c>
      <c r="S65" s="382">
        <v>0</v>
      </c>
      <c r="T65" s="390"/>
      <c r="U65" s="391">
        <v>225</v>
      </c>
      <c r="V65" s="382">
        <v>223.45</v>
      </c>
      <c r="W65" s="382">
        <v>1663</v>
      </c>
      <c r="X65" s="382">
        <v>30</v>
      </c>
      <c r="Y65" s="556">
        <v>2400</v>
      </c>
      <c r="Z65" s="556">
        <v>600</v>
      </c>
      <c r="AB65" s="541"/>
      <c r="AC65" s="540"/>
    </row>
    <row r="66" spans="1:31" x14ac:dyDescent="0.2">
      <c r="A66" s="11">
        <v>43405</v>
      </c>
      <c r="B66" s="382">
        <v>208090</v>
      </c>
      <c r="C66" s="391">
        <v>25670</v>
      </c>
      <c r="D66" s="391">
        <v>7720</v>
      </c>
      <c r="E66" s="391">
        <v>170</v>
      </c>
      <c r="F66" s="391"/>
      <c r="G66" s="391">
        <v>820</v>
      </c>
      <c r="H66" s="392">
        <v>0.44900000000000001</v>
      </c>
      <c r="I66" s="382">
        <v>28892.5</v>
      </c>
      <c r="J66" s="393" t="s">
        <v>549</v>
      </c>
      <c r="K66" s="393">
        <v>0</v>
      </c>
      <c r="L66" s="392">
        <v>0</v>
      </c>
      <c r="M66" s="389"/>
      <c r="N66" s="389">
        <f>0.13*2000</f>
        <v>260</v>
      </c>
      <c r="O66" s="389"/>
      <c r="P66" s="382">
        <f>32*27+9*35</f>
        <v>1179</v>
      </c>
      <c r="Q66" s="382">
        <v>3700</v>
      </c>
      <c r="R66" s="382">
        <v>7680</v>
      </c>
      <c r="S66" s="382">
        <v>21000</v>
      </c>
      <c r="T66" s="390"/>
      <c r="U66" s="391">
        <v>366</v>
      </c>
      <c r="V66" s="391">
        <v>159.65</v>
      </c>
      <c r="W66" s="391">
        <v>812</v>
      </c>
      <c r="X66" s="391">
        <v>0</v>
      </c>
      <c r="Y66" s="557">
        <v>1800</v>
      </c>
      <c r="Z66" s="557">
        <v>200</v>
      </c>
      <c r="AB66" s="541"/>
      <c r="AC66" s="540"/>
    </row>
    <row r="67" spans="1:31" x14ac:dyDescent="0.2">
      <c r="A67" s="11">
        <v>43435</v>
      </c>
      <c r="B67" s="382">
        <v>202560</v>
      </c>
      <c r="C67" s="391">
        <v>31590</v>
      </c>
      <c r="D67" s="391">
        <v>7080</v>
      </c>
      <c r="E67" s="391">
        <v>120</v>
      </c>
      <c r="F67" s="391"/>
      <c r="G67" s="391">
        <v>830</v>
      </c>
      <c r="H67" s="392">
        <v>0.186</v>
      </c>
      <c r="I67" s="382">
        <v>24534.5</v>
      </c>
      <c r="J67" s="393" t="s">
        <v>549</v>
      </c>
      <c r="K67" s="393">
        <f>0.67*370</f>
        <v>247.9</v>
      </c>
      <c r="L67" s="392">
        <v>20</v>
      </c>
      <c r="M67" s="389"/>
      <c r="N67" s="389"/>
      <c r="O67" s="389"/>
      <c r="P67" s="382"/>
      <c r="Q67" s="382">
        <v>32700.000000000004</v>
      </c>
      <c r="R67" s="382">
        <v>7680</v>
      </c>
      <c r="S67" s="382">
        <v>28000</v>
      </c>
      <c r="T67" s="390"/>
      <c r="U67" s="391">
        <v>739</v>
      </c>
      <c r="V67" s="391">
        <v>78</v>
      </c>
      <c r="W67" s="391">
        <v>2191</v>
      </c>
      <c r="X67" s="391">
        <v>100</v>
      </c>
      <c r="Y67" s="557">
        <v>1800</v>
      </c>
      <c r="Z67" s="557">
        <v>400</v>
      </c>
      <c r="AB67" s="541"/>
      <c r="AC67" s="540"/>
    </row>
    <row r="68" spans="1:31" x14ac:dyDescent="0.2">
      <c r="A68" s="11">
        <v>43466</v>
      </c>
      <c r="B68" s="382">
        <v>145940.2628</v>
      </c>
      <c r="C68" s="391">
        <v>23670</v>
      </c>
      <c r="D68" s="391">
        <v>9880</v>
      </c>
      <c r="E68" s="391">
        <v>170</v>
      </c>
      <c r="F68" s="391"/>
      <c r="G68" s="391">
        <v>610</v>
      </c>
      <c r="H68" s="392">
        <v>0</v>
      </c>
      <c r="I68" s="382">
        <v>21757.5</v>
      </c>
      <c r="J68" s="393" t="s">
        <v>549</v>
      </c>
      <c r="K68" s="393">
        <v>0</v>
      </c>
      <c r="L68" s="392">
        <v>0</v>
      </c>
      <c r="M68" s="389"/>
      <c r="N68" s="389"/>
      <c r="O68" s="389"/>
      <c r="P68" s="382">
        <f>17*27+6*7.5+19*4.5+7*35+2*4.5+1*6.5</f>
        <v>850</v>
      </c>
      <c r="Q68" s="382">
        <v>7800</v>
      </c>
      <c r="R68" s="382">
        <f>160*48</f>
        <v>7680</v>
      </c>
      <c r="S68" s="382">
        <v>38500</v>
      </c>
      <c r="T68" s="390"/>
      <c r="U68" s="391">
        <v>0</v>
      </c>
      <c r="V68" s="391">
        <v>79.5</v>
      </c>
      <c r="W68" s="391">
        <v>1388</v>
      </c>
      <c r="X68" s="391">
        <v>180</v>
      </c>
      <c r="Y68" s="557">
        <v>2800</v>
      </c>
      <c r="Z68" s="557">
        <v>400</v>
      </c>
      <c r="AB68" s="541"/>
      <c r="AC68" s="540"/>
    </row>
    <row r="69" spans="1:31" x14ac:dyDescent="0.2">
      <c r="A69" s="11">
        <v>43497</v>
      </c>
      <c r="B69" s="382">
        <v>138993.92240000001</v>
      </c>
      <c r="C69" s="391">
        <v>20250</v>
      </c>
      <c r="D69" s="391">
        <v>7000</v>
      </c>
      <c r="E69" s="391">
        <v>160</v>
      </c>
      <c r="F69" s="391"/>
      <c r="G69" s="391">
        <v>390</v>
      </c>
      <c r="H69" s="392">
        <v>3.9449999999999998</v>
      </c>
      <c r="I69" s="382">
        <v>24584.5</v>
      </c>
      <c r="J69" s="393" t="s">
        <v>549</v>
      </c>
      <c r="K69" s="393">
        <f>0.67*125</f>
        <v>83.75</v>
      </c>
      <c r="L69" s="388">
        <v>3</v>
      </c>
      <c r="M69" s="389"/>
      <c r="N69" s="389"/>
      <c r="O69" s="389"/>
      <c r="P69" s="382"/>
      <c r="Q69" s="382">
        <v>1900</v>
      </c>
      <c r="R69" s="382">
        <f>160*48</f>
        <v>7680</v>
      </c>
      <c r="S69" s="382">
        <v>0</v>
      </c>
      <c r="T69" s="390"/>
      <c r="U69" s="391">
        <v>233</v>
      </c>
      <c r="V69" s="391">
        <v>61.5</v>
      </c>
      <c r="W69" s="391">
        <v>1172</v>
      </c>
      <c r="X69" s="391">
        <v>0</v>
      </c>
      <c r="Y69" s="557">
        <v>1400</v>
      </c>
      <c r="Z69" s="557">
        <v>400</v>
      </c>
      <c r="AB69" s="541"/>
      <c r="AC69" s="540"/>
    </row>
    <row r="70" spans="1:31" x14ac:dyDescent="0.2">
      <c r="A70" s="11">
        <v>43525</v>
      </c>
      <c r="B70" s="382">
        <v>162063.14259999999</v>
      </c>
      <c r="C70" s="391">
        <v>14620</v>
      </c>
      <c r="D70" s="391">
        <v>9520</v>
      </c>
      <c r="E70" s="391">
        <v>180</v>
      </c>
      <c r="F70" s="391"/>
      <c r="G70" s="391">
        <v>950</v>
      </c>
      <c r="H70" s="392">
        <v>0</v>
      </c>
      <c r="I70" s="382">
        <v>30930.5</v>
      </c>
      <c r="J70" s="393" t="s">
        <v>549</v>
      </c>
      <c r="K70" s="393">
        <f>0.67*90</f>
        <v>60.300000000000004</v>
      </c>
      <c r="L70" s="392">
        <v>0</v>
      </c>
      <c r="M70" s="389"/>
      <c r="N70" s="389"/>
      <c r="O70" s="389"/>
      <c r="P70" s="382"/>
      <c r="Q70" s="382">
        <v>2500</v>
      </c>
      <c r="R70" s="382"/>
      <c r="S70" s="382">
        <v>3500</v>
      </c>
      <c r="T70" s="390"/>
      <c r="U70" s="391">
        <v>224</v>
      </c>
      <c r="V70" s="391">
        <v>70.2</v>
      </c>
      <c r="W70" s="391">
        <v>1793</v>
      </c>
      <c r="X70" s="391">
        <v>120</v>
      </c>
      <c r="Y70" s="557">
        <v>800</v>
      </c>
      <c r="Z70" s="557">
        <v>200</v>
      </c>
      <c r="AA70" s="541"/>
      <c r="AB70" s="541"/>
      <c r="AC70" s="540"/>
      <c r="AD70" s="540"/>
      <c r="AE70" s="540"/>
    </row>
    <row r="71" spans="1:31" x14ac:dyDescent="0.2">
      <c r="A71" s="11">
        <v>43556</v>
      </c>
      <c r="B71" s="382">
        <v>134497.64449999999</v>
      </c>
      <c r="C71" s="391">
        <v>13820</v>
      </c>
      <c r="D71" s="391">
        <v>8220</v>
      </c>
      <c r="E71" s="391">
        <v>160</v>
      </c>
      <c r="F71" s="391"/>
      <c r="G71" s="391">
        <v>920</v>
      </c>
      <c r="H71" s="392">
        <v>1.47</v>
      </c>
      <c r="I71" s="382">
        <v>32534.5</v>
      </c>
      <c r="J71" s="393" t="s">
        <v>549</v>
      </c>
      <c r="K71" s="393">
        <f>0.67*137</f>
        <v>91.79</v>
      </c>
      <c r="L71" s="392">
        <v>18</v>
      </c>
      <c r="M71" s="389"/>
      <c r="N71" s="389"/>
      <c r="O71" s="389"/>
      <c r="P71" s="382"/>
      <c r="Q71" s="382">
        <v>7800</v>
      </c>
      <c r="R71" s="382"/>
      <c r="S71" s="382">
        <v>0</v>
      </c>
      <c r="T71" s="390"/>
      <c r="U71" s="391">
        <v>485</v>
      </c>
      <c r="V71" s="391">
        <v>0</v>
      </c>
      <c r="W71" s="391">
        <v>1845</v>
      </c>
      <c r="X71" s="391">
        <v>100</v>
      </c>
      <c r="Y71" s="557">
        <v>2200</v>
      </c>
      <c r="Z71" s="557">
        <v>400</v>
      </c>
      <c r="AA71" s="541"/>
      <c r="AB71" s="541"/>
      <c r="AC71" s="540"/>
      <c r="AD71" s="540"/>
      <c r="AE71" s="540"/>
    </row>
    <row r="72" spans="1:31" x14ac:dyDescent="0.2">
      <c r="A72" s="11">
        <v>43586</v>
      </c>
      <c r="B72" s="382">
        <v>155093.37599999999</v>
      </c>
      <c r="C72" s="391">
        <v>28910</v>
      </c>
      <c r="D72" s="391">
        <v>6735</v>
      </c>
      <c r="E72" s="391">
        <v>140</v>
      </c>
      <c r="F72" s="391"/>
      <c r="G72" s="391">
        <v>1080</v>
      </c>
      <c r="H72" s="392">
        <v>1.841</v>
      </c>
      <c r="I72" s="382">
        <v>31664</v>
      </c>
      <c r="J72" s="393" t="s">
        <v>549</v>
      </c>
      <c r="K72" s="393">
        <v>0</v>
      </c>
      <c r="L72" s="392">
        <v>0</v>
      </c>
      <c r="M72" s="389"/>
      <c r="N72" s="389"/>
      <c r="O72" s="389"/>
      <c r="P72" s="382">
        <f>27*27+9*4.5+21*35</f>
        <v>1504.5</v>
      </c>
      <c r="Q72" s="382">
        <v>10400</v>
      </c>
      <c r="R72" s="382"/>
      <c r="S72" s="382">
        <v>0</v>
      </c>
      <c r="T72" s="390"/>
      <c r="U72" s="391">
        <v>11581</v>
      </c>
      <c r="V72" s="391">
        <v>62.35</v>
      </c>
      <c r="W72" s="391">
        <v>1356</v>
      </c>
      <c r="X72" s="391">
        <v>130</v>
      </c>
      <c r="Y72" s="557">
        <v>800</v>
      </c>
      <c r="Z72" s="557">
        <v>200</v>
      </c>
      <c r="AA72" s="541"/>
      <c r="AB72" s="541"/>
      <c r="AC72" s="540"/>
      <c r="AD72" s="540"/>
      <c r="AE72" s="540"/>
    </row>
    <row r="73" spans="1:31" x14ac:dyDescent="0.2">
      <c r="A73" s="11">
        <v>43617</v>
      </c>
      <c r="B73" s="382">
        <v>155588.34469999999</v>
      </c>
      <c r="C73" s="391">
        <v>37750</v>
      </c>
      <c r="D73" s="391">
        <v>7100</v>
      </c>
      <c r="E73" s="391">
        <v>170</v>
      </c>
      <c r="F73" s="391"/>
      <c r="G73" s="391">
        <v>870</v>
      </c>
      <c r="H73" s="392">
        <v>0</v>
      </c>
      <c r="I73" s="382">
        <v>23162.5</v>
      </c>
      <c r="J73" s="393" t="s">
        <v>549</v>
      </c>
      <c r="K73" s="393">
        <v>0</v>
      </c>
      <c r="L73" s="392">
        <v>0</v>
      </c>
      <c r="M73" s="389"/>
      <c r="N73" s="389"/>
      <c r="O73" s="389"/>
      <c r="P73" s="382"/>
      <c r="Q73" s="382">
        <v>11000</v>
      </c>
      <c r="R73" s="382"/>
      <c r="S73" s="382">
        <v>0</v>
      </c>
      <c r="T73" s="390"/>
      <c r="U73" s="391">
        <v>575</v>
      </c>
      <c r="V73" s="391">
        <v>63.8</v>
      </c>
      <c r="W73" s="391">
        <v>2613</v>
      </c>
      <c r="X73" s="391">
        <v>150</v>
      </c>
      <c r="Y73" s="557">
        <v>800</v>
      </c>
      <c r="Z73" s="557">
        <v>200</v>
      </c>
      <c r="AA73" s="541"/>
      <c r="AB73" s="614"/>
      <c r="AC73" s="540"/>
      <c r="AD73" s="540"/>
      <c r="AE73" s="540"/>
    </row>
    <row r="74" spans="1:31" x14ac:dyDescent="0.2">
      <c r="A74" s="11">
        <v>43647</v>
      </c>
      <c r="B74" s="384">
        <v>141019.99999999997</v>
      </c>
      <c r="C74" s="384">
        <v>39000</v>
      </c>
      <c r="D74" s="384">
        <f>5696+6456</f>
        <v>12152</v>
      </c>
      <c r="E74" s="384">
        <v>100</v>
      </c>
      <c r="F74" s="384">
        <v>423</v>
      </c>
      <c r="G74" s="384">
        <v>390</v>
      </c>
      <c r="H74" s="380">
        <v>20.067</v>
      </c>
      <c r="I74" s="382">
        <v>19566</v>
      </c>
      <c r="J74" s="381" t="s">
        <v>549</v>
      </c>
      <c r="K74" s="381">
        <f>0.67*112</f>
        <v>75.040000000000006</v>
      </c>
      <c r="L74" s="380">
        <v>0</v>
      </c>
      <c r="M74" s="381"/>
      <c r="N74" s="381"/>
      <c r="O74" s="381"/>
      <c r="P74" s="384"/>
      <c r="Q74" s="384">
        <v>19200</v>
      </c>
      <c r="R74" s="384"/>
      <c r="S74" s="384">
        <v>0</v>
      </c>
      <c r="T74" s="386"/>
      <c r="U74" s="384">
        <v>3106</v>
      </c>
      <c r="V74" s="384"/>
      <c r="W74" s="384">
        <v>1388</v>
      </c>
      <c r="X74" s="384">
        <v>110</v>
      </c>
      <c r="Y74" s="555">
        <v>800</v>
      </c>
      <c r="Z74" s="555">
        <v>400</v>
      </c>
      <c r="AA74" s="541"/>
      <c r="AB74" s="541"/>
      <c r="AC74" s="540"/>
      <c r="AD74" s="540"/>
      <c r="AE74" s="540"/>
    </row>
    <row r="75" spans="1:31" x14ac:dyDescent="0.2">
      <c r="A75" s="11">
        <v>43678</v>
      </c>
      <c r="B75" s="384">
        <v>150570</v>
      </c>
      <c r="C75" s="384">
        <v>51750</v>
      </c>
      <c r="D75" s="384">
        <v>5646</v>
      </c>
      <c r="E75" s="384">
        <v>51</v>
      </c>
      <c r="F75" s="384">
        <v>267</v>
      </c>
      <c r="G75" s="384">
        <v>302</v>
      </c>
      <c r="H75" s="380">
        <v>0</v>
      </c>
      <c r="I75" s="382">
        <v>24598</v>
      </c>
      <c r="J75" s="381" t="s">
        <v>549</v>
      </c>
      <c r="K75" s="381">
        <v>0</v>
      </c>
      <c r="L75" s="380">
        <v>0</v>
      </c>
      <c r="M75" s="381"/>
      <c r="N75" s="381"/>
      <c r="O75" s="381"/>
      <c r="P75" s="384"/>
      <c r="Q75" s="384">
        <v>25600</v>
      </c>
      <c r="R75" s="384"/>
      <c r="S75" s="384">
        <v>0</v>
      </c>
      <c r="T75" s="386"/>
      <c r="U75" s="384">
        <v>4099.2000000000007</v>
      </c>
      <c r="V75" s="384">
        <v>67.099999999999994</v>
      </c>
      <c r="W75" s="384">
        <v>2411</v>
      </c>
      <c r="X75" s="384">
        <v>70</v>
      </c>
      <c r="Y75" s="555">
        <v>600</v>
      </c>
      <c r="Z75" s="555">
        <v>400</v>
      </c>
      <c r="AA75" s="541"/>
      <c r="AB75" s="541"/>
      <c r="AC75" s="540"/>
      <c r="AD75" s="540"/>
      <c r="AE75" s="540"/>
    </row>
    <row r="76" spans="1:31" x14ac:dyDescent="0.2">
      <c r="A76" s="11">
        <v>43709</v>
      </c>
      <c r="B76" s="384">
        <v>138430</v>
      </c>
      <c r="C76" s="384">
        <v>62990</v>
      </c>
      <c r="D76" s="384">
        <f>6755+4050</f>
        <v>10805</v>
      </c>
      <c r="E76" s="384">
        <v>83</v>
      </c>
      <c r="F76" s="384">
        <v>169</v>
      </c>
      <c r="G76" s="384">
        <v>380</v>
      </c>
      <c r="H76" s="380">
        <v>0.78900000000000003</v>
      </c>
      <c r="I76" s="382">
        <v>34879.5</v>
      </c>
      <c r="J76" s="381" t="s">
        <v>549</v>
      </c>
      <c r="K76" s="381">
        <f>0.67*105</f>
        <v>70.350000000000009</v>
      </c>
      <c r="L76" s="380">
        <v>20</v>
      </c>
      <c r="M76" s="381"/>
      <c r="N76" s="381"/>
      <c r="O76" s="381"/>
      <c r="P76" s="384">
        <f>31*27+2*7.5</f>
        <v>852</v>
      </c>
      <c r="Q76" s="384">
        <v>24100</v>
      </c>
      <c r="R76" s="384">
        <f>10560</f>
        <v>10560</v>
      </c>
      <c r="S76" s="384">
        <v>17500</v>
      </c>
      <c r="T76" s="386"/>
      <c r="U76" s="384">
        <v>7886.3999999999987</v>
      </c>
      <c r="V76" s="384">
        <v>157.25</v>
      </c>
      <c r="W76" s="384">
        <v>2352</v>
      </c>
      <c r="X76" s="384">
        <v>40</v>
      </c>
      <c r="Y76" s="555">
        <v>800</v>
      </c>
      <c r="Z76" s="555">
        <v>600</v>
      </c>
      <c r="AA76" s="541"/>
      <c r="AB76" s="541"/>
      <c r="AC76" s="540"/>
      <c r="AD76" s="540"/>
      <c r="AE76" s="540"/>
    </row>
    <row r="77" spans="1:31" x14ac:dyDescent="0.2">
      <c r="A77" s="11">
        <v>43739</v>
      </c>
      <c r="B77" s="384">
        <v>133570</v>
      </c>
      <c r="C77" s="384">
        <v>59480</v>
      </c>
      <c r="D77" s="384">
        <v>14330</v>
      </c>
      <c r="E77" s="384">
        <v>107</v>
      </c>
      <c r="F77" s="384">
        <v>179</v>
      </c>
      <c r="G77" s="384">
        <v>462</v>
      </c>
      <c r="H77" s="380">
        <v>15.38</v>
      </c>
      <c r="I77" s="382">
        <v>37724</v>
      </c>
      <c r="J77" s="381" t="s">
        <v>549</v>
      </c>
      <c r="K77" s="381">
        <f>0.67*120</f>
        <v>80.400000000000006</v>
      </c>
      <c r="L77" s="380">
        <v>9</v>
      </c>
      <c r="M77" s="381">
        <v>0</v>
      </c>
      <c r="N77" s="381">
        <v>0</v>
      </c>
      <c r="O77" s="381">
        <v>0</v>
      </c>
      <c r="P77" s="384">
        <v>0</v>
      </c>
      <c r="Q77" s="384">
        <v>14400</v>
      </c>
      <c r="R77" s="384">
        <v>10560</v>
      </c>
      <c r="S77" s="384">
        <v>10500</v>
      </c>
      <c r="T77" s="386"/>
      <c r="U77" s="384">
        <v>622</v>
      </c>
      <c r="V77" s="384">
        <v>81</v>
      </c>
      <c r="W77" s="384">
        <v>2259</v>
      </c>
      <c r="X77" s="384">
        <v>40</v>
      </c>
      <c r="Y77" s="555">
        <v>400</v>
      </c>
      <c r="Z77" s="555">
        <v>400</v>
      </c>
      <c r="AA77" s="541"/>
      <c r="AB77" s="541"/>
      <c r="AC77" s="540"/>
      <c r="AD77" s="540"/>
      <c r="AE77" s="540"/>
    </row>
    <row r="78" spans="1:31" x14ac:dyDescent="0.2">
      <c r="A78" s="11">
        <v>43770</v>
      </c>
      <c r="B78" s="384">
        <v>106670</v>
      </c>
      <c r="C78" s="384">
        <v>49040</v>
      </c>
      <c r="D78" s="384">
        <v>12030</v>
      </c>
      <c r="E78" s="384">
        <v>107</v>
      </c>
      <c r="F78" s="384">
        <v>220</v>
      </c>
      <c r="G78" s="384">
        <v>401</v>
      </c>
      <c r="H78" s="380">
        <v>3.4</v>
      </c>
      <c r="I78" s="382">
        <v>27265.5</v>
      </c>
      <c r="J78" s="381" t="s">
        <v>549</v>
      </c>
      <c r="K78" s="381">
        <f>0.67*95</f>
        <v>63.650000000000006</v>
      </c>
      <c r="L78" s="380">
        <v>6</v>
      </c>
      <c r="M78" s="381"/>
      <c r="N78" s="381"/>
      <c r="O78" s="381"/>
      <c r="P78" s="384"/>
      <c r="Q78" s="384">
        <v>10500</v>
      </c>
      <c r="R78" s="384">
        <v>10240</v>
      </c>
      <c r="S78" s="384">
        <v>14000</v>
      </c>
      <c r="T78" s="386"/>
      <c r="U78" s="384">
        <v>2214</v>
      </c>
      <c r="V78" s="384">
        <v>391.95</v>
      </c>
      <c r="W78" s="384">
        <v>542</v>
      </c>
      <c r="X78" s="384">
        <v>30</v>
      </c>
      <c r="Y78" s="555">
        <v>800</v>
      </c>
      <c r="Z78" s="555">
        <v>400</v>
      </c>
      <c r="AA78" s="541"/>
      <c r="AB78" s="541"/>
      <c r="AC78" s="540"/>
      <c r="AD78" s="540"/>
      <c r="AE78" s="540"/>
    </row>
    <row r="79" spans="1:31" x14ac:dyDescent="0.2">
      <c r="A79" s="11">
        <v>43800</v>
      </c>
      <c r="B79" s="384">
        <v>114530</v>
      </c>
      <c r="C79" s="384">
        <v>56380</v>
      </c>
      <c r="D79" s="384">
        <v>13715</v>
      </c>
      <c r="E79" s="384">
        <v>94</v>
      </c>
      <c r="F79" s="384">
        <v>197</v>
      </c>
      <c r="G79" s="384">
        <v>340</v>
      </c>
      <c r="H79" s="380">
        <v>5.57</v>
      </c>
      <c r="I79" s="382">
        <v>28071.5</v>
      </c>
      <c r="J79" s="381" t="s">
        <v>549</v>
      </c>
      <c r="K79" s="381">
        <f>0.67*74</f>
        <v>49.580000000000005</v>
      </c>
      <c r="L79" s="380">
        <v>11</v>
      </c>
      <c r="M79" s="381"/>
      <c r="N79" s="381"/>
      <c r="O79" s="381"/>
      <c r="P79" s="384">
        <f>36*27+1*4.5+22*35</f>
        <v>1746.5</v>
      </c>
      <c r="Q79" s="384">
        <v>10100</v>
      </c>
      <c r="R79" s="384">
        <v>10240</v>
      </c>
      <c r="S79" s="384">
        <v>24500</v>
      </c>
      <c r="T79" s="386"/>
      <c r="U79" s="384">
        <v>909</v>
      </c>
      <c r="V79" s="384">
        <v>72.349999999999994</v>
      </c>
      <c r="W79" s="384">
        <v>874</v>
      </c>
      <c r="X79" s="384">
        <v>50</v>
      </c>
      <c r="Y79" s="555">
        <v>800</v>
      </c>
      <c r="Z79" s="555">
        <v>400</v>
      </c>
      <c r="AA79" s="541"/>
      <c r="AB79" s="541"/>
      <c r="AC79" s="540"/>
      <c r="AD79" s="540"/>
      <c r="AE79" s="540"/>
    </row>
    <row r="80" spans="1:31" x14ac:dyDescent="0.2">
      <c r="A80" s="11">
        <v>43831</v>
      </c>
      <c r="B80" s="384">
        <v>86780</v>
      </c>
      <c r="C80" s="384">
        <v>27790</v>
      </c>
      <c r="D80" s="384">
        <v>12753</v>
      </c>
      <c r="E80" s="384">
        <v>80</v>
      </c>
      <c r="F80" s="384">
        <v>214</v>
      </c>
      <c r="G80" s="384">
        <v>280</v>
      </c>
      <c r="H80" s="380">
        <v>0</v>
      </c>
      <c r="I80" s="382">
        <v>23781.5</v>
      </c>
      <c r="J80" s="381" t="s">
        <v>549</v>
      </c>
      <c r="K80" s="381">
        <v>0</v>
      </c>
      <c r="L80" s="380">
        <v>0</v>
      </c>
      <c r="M80" s="381"/>
      <c r="N80" s="381"/>
      <c r="O80" s="381"/>
      <c r="P80" s="384">
        <v>0</v>
      </c>
      <c r="Q80" s="384">
        <v>11200</v>
      </c>
      <c r="R80" s="384">
        <v>5120</v>
      </c>
      <c r="S80" s="384">
        <v>21000</v>
      </c>
      <c r="T80" s="386"/>
      <c r="U80" s="384">
        <v>1011</v>
      </c>
      <c r="V80" s="384">
        <v>76.849999999999994</v>
      </c>
      <c r="W80" s="384">
        <v>0</v>
      </c>
      <c r="X80" s="384">
        <v>80</v>
      </c>
      <c r="Y80" s="555">
        <v>800</v>
      </c>
      <c r="Z80" s="555">
        <v>400</v>
      </c>
      <c r="AA80" s="541"/>
      <c r="AB80" s="541"/>
      <c r="AC80" s="540"/>
      <c r="AD80" s="540"/>
      <c r="AE80" s="540"/>
    </row>
    <row r="81" spans="1:31" x14ac:dyDescent="0.2">
      <c r="A81" s="11">
        <v>43862</v>
      </c>
      <c r="B81" s="384">
        <v>68320</v>
      </c>
      <c r="C81" s="384">
        <v>16600</v>
      </c>
      <c r="D81" s="384">
        <v>7410</v>
      </c>
      <c r="E81" s="384">
        <v>56</v>
      </c>
      <c r="F81" s="384">
        <v>164</v>
      </c>
      <c r="G81" s="384">
        <v>250</v>
      </c>
      <c r="H81" s="380">
        <v>0</v>
      </c>
      <c r="I81" s="382">
        <v>11633.5</v>
      </c>
      <c r="J81" s="381" t="s">
        <v>549</v>
      </c>
      <c r="K81" s="381">
        <v>0</v>
      </c>
      <c r="L81" s="380">
        <v>0</v>
      </c>
      <c r="M81" s="381"/>
      <c r="N81" s="381"/>
      <c r="O81" s="381"/>
      <c r="P81" s="384">
        <v>0</v>
      </c>
      <c r="Q81" s="384">
        <v>7900</v>
      </c>
      <c r="R81" s="384">
        <v>6400</v>
      </c>
      <c r="S81" s="384">
        <v>21000</v>
      </c>
      <c r="T81" s="386"/>
      <c r="U81" s="384">
        <v>0</v>
      </c>
      <c r="V81" s="384">
        <v>71.900000000000006</v>
      </c>
      <c r="W81" s="384">
        <v>0</v>
      </c>
      <c r="X81" s="384">
        <v>0</v>
      </c>
      <c r="Y81" s="555">
        <v>400</v>
      </c>
      <c r="Z81" s="555">
        <v>200</v>
      </c>
      <c r="AA81" s="541"/>
      <c r="AB81" s="541"/>
      <c r="AC81" s="540"/>
      <c r="AD81" s="540"/>
      <c r="AE81" s="540"/>
    </row>
    <row r="82" spans="1:31" x14ac:dyDescent="0.2">
      <c r="A82" s="11">
        <v>43891</v>
      </c>
      <c r="B82" s="384">
        <v>74000</v>
      </c>
      <c r="C82" s="384">
        <v>24090</v>
      </c>
      <c r="D82" s="384">
        <v>10071</v>
      </c>
      <c r="E82" s="384">
        <v>77</v>
      </c>
      <c r="F82" s="384">
        <v>211</v>
      </c>
      <c r="G82" s="384">
        <v>356</v>
      </c>
      <c r="H82" s="380">
        <v>0</v>
      </c>
      <c r="I82" s="382">
        <v>13782.5</v>
      </c>
      <c r="J82" s="381" t="s">
        <v>549</v>
      </c>
      <c r="K82" s="381">
        <v>0</v>
      </c>
      <c r="L82" s="380">
        <v>0</v>
      </c>
      <c r="M82" s="381"/>
      <c r="N82" s="381"/>
      <c r="O82" s="381"/>
      <c r="P82" s="384">
        <v>0</v>
      </c>
      <c r="Q82" s="384">
        <v>10000</v>
      </c>
      <c r="R82" s="384">
        <v>4800</v>
      </c>
      <c r="S82" s="384">
        <v>21000</v>
      </c>
      <c r="T82" s="386"/>
      <c r="U82" s="384">
        <v>190</v>
      </c>
      <c r="V82" s="384">
        <v>82.1</v>
      </c>
      <c r="W82" s="384">
        <v>1020</v>
      </c>
      <c r="X82" s="384">
        <v>0</v>
      </c>
      <c r="Y82" s="555">
        <v>400</v>
      </c>
      <c r="Z82" s="555">
        <v>200</v>
      </c>
      <c r="AA82" s="541"/>
      <c r="AB82" s="541"/>
      <c r="AC82" s="540"/>
      <c r="AD82" s="540"/>
      <c r="AE82" s="540"/>
    </row>
    <row r="83" spans="1:31" x14ac:dyDescent="0.2">
      <c r="A83" s="11">
        <v>43922</v>
      </c>
      <c r="B83" s="384">
        <v>77800</v>
      </c>
      <c r="C83" s="384">
        <v>24780</v>
      </c>
      <c r="D83" s="384">
        <v>8981</v>
      </c>
      <c r="E83" s="384">
        <v>67</v>
      </c>
      <c r="F83" s="384">
        <v>214</v>
      </c>
      <c r="G83" s="384">
        <v>284</v>
      </c>
      <c r="H83" s="380">
        <v>0</v>
      </c>
      <c r="I83" s="382">
        <v>11779</v>
      </c>
      <c r="J83" s="381" t="s">
        <v>549</v>
      </c>
      <c r="K83" s="381">
        <v>0</v>
      </c>
      <c r="L83" s="380">
        <v>0</v>
      </c>
      <c r="M83" s="381"/>
      <c r="N83" s="381"/>
      <c r="O83" s="381"/>
      <c r="P83" s="384"/>
      <c r="Q83" s="384">
        <v>5200</v>
      </c>
      <c r="R83" s="384">
        <v>4800</v>
      </c>
      <c r="S83" s="384">
        <v>24500</v>
      </c>
      <c r="T83" s="386"/>
      <c r="U83" s="384">
        <v>174</v>
      </c>
      <c r="V83" s="384">
        <v>136</v>
      </c>
      <c r="W83" s="384">
        <v>0</v>
      </c>
      <c r="X83" s="384">
        <v>0</v>
      </c>
      <c r="Y83" s="555">
        <v>400</v>
      </c>
      <c r="Z83" s="555">
        <v>200</v>
      </c>
      <c r="AA83" s="541"/>
      <c r="AB83" s="541"/>
      <c r="AC83" s="540"/>
      <c r="AD83" s="540"/>
      <c r="AE83" s="540"/>
    </row>
    <row r="84" spans="1:31" x14ac:dyDescent="0.2">
      <c r="A84" s="11">
        <v>43952</v>
      </c>
      <c r="B84" s="384">
        <v>95690</v>
      </c>
      <c r="C84" s="384">
        <v>46630</v>
      </c>
      <c r="D84" s="384">
        <v>9906</v>
      </c>
      <c r="E84" s="384">
        <v>76</v>
      </c>
      <c r="F84" s="384">
        <v>1743</v>
      </c>
      <c r="G84" s="384">
        <v>291</v>
      </c>
      <c r="H84" s="380">
        <v>10.829000000000001</v>
      </c>
      <c r="I84" s="382">
        <v>15765</v>
      </c>
      <c r="J84" s="381" t="s">
        <v>549</v>
      </c>
      <c r="K84" s="381">
        <f>0.67*163</f>
        <v>109.21000000000001</v>
      </c>
      <c r="L84" s="380">
        <v>2</v>
      </c>
      <c r="M84" s="381"/>
      <c r="N84" s="381"/>
      <c r="O84" s="381"/>
      <c r="P84" s="384">
        <f>27*27</f>
        <v>729</v>
      </c>
      <c r="Q84" s="384">
        <v>11500</v>
      </c>
      <c r="R84" s="384">
        <v>6400</v>
      </c>
      <c r="S84" s="384">
        <v>28000</v>
      </c>
      <c r="T84" s="386"/>
      <c r="U84" s="384">
        <v>862</v>
      </c>
      <c r="V84" s="384">
        <v>223.15</v>
      </c>
      <c r="W84" s="384">
        <v>863</v>
      </c>
      <c r="X84" s="384">
        <v>0</v>
      </c>
      <c r="Y84" s="555">
        <v>800</v>
      </c>
      <c r="Z84" s="555">
        <v>400</v>
      </c>
      <c r="AA84" s="541"/>
      <c r="AB84" s="541"/>
      <c r="AC84" s="540"/>
      <c r="AD84" s="540"/>
      <c r="AE84" s="540"/>
    </row>
    <row r="85" spans="1:31" x14ac:dyDescent="0.2">
      <c r="A85" s="11">
        <v>43983</v>
      </c>
      <c r="B85" s="384">
        <v>100890</v>
      </c>
      <c r="C85" s="384">
        <v>43240</v>
      </c>
      <c r="D85" s="384">
        <v>12620</v>
      </c>
      <c r="E85" s="384">
        <v>88</v>
      </c>
      <c r="F85" s="384">
        <v>2264</v>
      </c>
      <c r="G85" s="384">
        <v>322</v>
      </c>
      <c r="H85" s="380">
        <v>10.52</v>
      </c>
      <c r="I85" s="382">
        <v>20002.000000000004</v>
      </c>
      <c r="J85" s="381" t="s">
        <v>549</v>
      </c>
      <c r="K85" s="381">
        <f>0.67*250</f>
        <v>167.5</v>
      </c>
      <c r="L85" s="380">
        <v>0</v>
      </c>
      <c r="M85" s="381"/>
      <c r="N85" s="381"/>
      <c r="O85" s="381"/>
      <c r="P85" s="384">
        <f>23*27+1*4.5+12*35</f>
        <v>1045.5</v>
      </c>
      <c r="Q85" s="384">
        <v>7200</v>
      </c>
      <c r="R85" s="384">
        <v>6400</v>
      </c>
      <c r="S85" s="384">
        <v>28000</v>
      </c>
      <c r="T85" s="386"/>
      <c r="U85" s="384">
        <v>657</v>
      </c>
      <c r="V85" s="384">
        <v>145.1</v>
      </c>
      <c r="W85" s="384">
        <v>982</v>
      </c>
      <c r="X85" s="384">
        <v>180</v>
      </c>
      <c r="Y85" s="555">
        <v>1600</v>
      </c>
      <c r="Z85" s="555">
        <v>400</v>
      </c>
      <c r="AA85" s="541"/>
      <c r="AB85" s="541"/>
      <c r="AC85" s="540"/>
      <c r="AD85" s="540"/>
      <c r="AE85" s="540"/>
    </row>
    <row r="86" spans="1:31" x14ac:dyDescent="0.2">
      <c r="A86" s="11">
        <v>44013</v>
      </c>
      <c r="B86" s="382">
        <v>99540</v>
      </c>
      <c r="C86" s="391">
        <v>25450</v>
      </c>
      <c r="D86" s="391">
        <v>12224</v>
      </c>
      <c r="E86" s="391">
        <v>107</v>
      </c>
      <c r="F86" s="391">
        <v>1459</v>
      </c>
      <c r="G86" s="391">
        <v>340</v>
      </c>
      <c r="H86" s="392">
        <v>0.85099999999999998</v>
      </c>
      <c r="I86" s="382">
        <v>24809</v>
      </c>
      <c r="J86" s="393" t="s">
        <v>549</v>
      </c>
      <c r="K86" s="393">
        <f>0.67*220</f>
        <v>147.4</v>
      </c>
      <c r="L86" s="392">
        <v>6</v>
      </c>
      <c r="M86" s="393"/>
      <c r="N86" s="393"/>
      <c r="O86" s="393"/>
      <c r="P86" s="391">
        <v>0</v>
      </c>
      <c r="Q86" s="382">
        <v>12300</v>
      </c>
      <c r="R86" s="391">
        <v>4800</v>
      </c>
      <c r="S86" s="382">
        <v>17500</v>
      </c>
      <c r="T86" s="390"/>
      <c r="U86" s="391">
        <v>481</v>
      </c>
      <c r="V86" s="391">
        <v>233.8</v>
      </c>
      <c r="W86" s="391">
        <v>0</v>
      </c>
      <c r="X86" s="391">
        <v>70</v>
      </c>
      <c r="Y86" s="557">
        <v>400</v>
      </c>
      <c r="Z86" s="557">
        <v>200</v>
      </c>
      <c r="AA86" s="541"/>
      <c r="AB86" s="541"/>
      <c r="AC86" s="540"/>
      <c r="AD86" s="540"/>
      <c r="AE86" s="540"/>
    </row>
    <row r="87" spans="1:31" x14ac:dyDescent="0.2">
      <c r="A87" s="11">
        <v>44044</v>
      </c>
      <c r="B87" s="382">
        <v>98190</v>
      </c>
      <c r="C87" s="391">
        <v>25100</v>
      </c>
      <c r="D87" s="391">
        <v>11764</v>
      </c>
      <c r="E87" s="391">
        <v>107</v>
      </c>
      <c r="F87" s="391">
        <v>1874</v>
      </c>
      <c r="G87" s="391">
        <v>343</v>
      </c>
      <c r="H87" s="392">
        <v>0</v>
      </c>
      <c r="I87" s="382">
        <v>23143</v>
      </c>
      <c r="J87" s="393" t="s">
        <v>549</v>
      </c>
      <c r="K87" s="393">
        <v>0</v>
      </c>
      <c r="L87" s="392">
        <v>0</v>
      </c>
      <c r="M87" s="393"/>
      <c r="N87" s="393"/>
      <c r="O87" s="393"/>
      <c r="P87" s="391">
        <f>5*27+27*35</f>
        <v>1080</v>
      </c>
      <c r="Q87" s="382">
        <v>12400</v>
      </c>
      <c r="R87" s="391">
        <v>4800</v>
      </c>
      <c r="S87" s="382">
        <v>24000</v>
      </c>
      <c r="T87" s="390"/>
      <c r="U87" s="391">
        <v>735</v>
      </c>
      <c r="V87" s="391">
        <v>137.15</v>
      </c>
      <c r="W87" s="391">
        <v>734</v>
      </c>
      <c r="X87" s="391">
        <v>100</v>
      </c>
      <c r="Y87" s="557">
        <v>1200</v>
      </c>
      <c r="Z87" s="557">
        <v>600</v>
      </c>
      <c r="AA87" s="541"/>
      <c r="AB87" s="541"/>
      <c r="AC87" s="540"/>
      <c r="AD87" s="540"/>
      <c r="AE87" s="540"/>
    </row>
    <row r="88" spans="1:31" x14ac:dyDescent="0.2">
      <c r="A88" s="11">
        <v>44075</v>
      </c>
      <c r="B88" s="382">
        <v>103480</v>
      </c>
      <c r="C88" s="391">
        <v>26450</v>
      </c>
      <c r="D88" s="391">
        <v>12331</v>
      </c>
      <c r="E88" s="391">
        <v>105</v>
      </c>
      <c r="F88" s="391">
        <v>266</v>
      </c>
      <c r="G88" s="391">
        <v>344</v>
      </c>
      <c r="H88" s="392">
        <v>0.78900000000000003</v>
      </c>
      <c r="I88" s="382">
        <v>28611</v>
      </c>
      <c r="J88" s="393" t="s">
        <v>549</v>
      </c>
      <c r="K88" s="393">
        <f>0.67*123</f>
        <v>82.410000000000011</v>
      </c>
      <c r="L88" s="392">
        <v>0</v>
      </c>
      <c r="M88" s="393"/>
      <c r="N88" s="393"/>
      <c r="O88" s="393"/>
      <c r="P88" s="391">
        <v>0</v>
      </c>
      <c r="Q88" s="382">
        <v>10400</v>
      </c>
      <c r="R88" s="391">
        <v>6400</v>
      </c>
      <c r="S88" s="382">
        <v>21000</v>
      </c>
      <c r="T88" s="390"/>
      <c r="U88" s="391">
        <v>2051</v>
      </c>
      <c r="V88" s="391">
        <v>168.75</v>
      </c>
      <c r="W88" s="391">
        <v>643</v>
      </c>
      <c r="X88" s="391">
        <v>0</v>
      </c>
      <c r="Y88" s="557">
        <v>800</v>
      </c>
      <c r="Z88" s="557">
        <v>400</v>
      </c>
      <c r="AA88" s="541"/>
      <c r="AB88" s="541"/>
      <c r="AC88" s="540"/>
      <c r="AD88" s="540"/>
      <c r="AE88" s="540"/>
    </row>
    <row r="89" spans="1:31" x14ac:dyDescent="0.2">
      <c r="A89" s="11">
        <v>44105</v>
      </c>
      <c r="B89" s="382">
        <v>99600</v>
      </c>
      <c r="C89" s="391">
        <v>18840</v>
      </c>
      <c r="D89" s="391">
        <v>13196</v>
      </c>
      <c r="E89" s="391">
        <v>96</v>
      </c>
      <c r="F89" s="391">
        <v>249</v>
      </c>
      <c r="G89" s="391">
        <v>348</v>
      </c>
      <c r="H89" s="392">
        <v>0</v>
      </c>
      <c r="I89" s="382">
        <v>31009</v>
      </c>
      <c r="J89" s="393" t="s">
        <v>549</v>
      </c>
      <c r="K89" s="393">
        <f>0.67*86</f>
        <v>57.620000000000005</v>
      </c>
      <c r="L89" s="392">
        <v>6</v>
      </c>
      <c r="M89" s="393"/>
      <c r="N89" s="393"/>
      <c r="O89" s="393"/>
      <c r="P89" s="391">
        <f>29*27+2*4.5</f>
        <v>792</v>
      </c>
      <c r="Q89" s="382">
        <v>12200</v>
      </c>
      <c r="R89" s="391">
        <v>4800</v>
      </c>
      <c r="S89" s="382">
        <v>24500</v>
      </c>
      <c r="T89" s="390"/>
      <c r="U89" s="391">
        <v>807</v>
      </c>
      <c r="V89" s="391">
        <v>162.69999999999999</v>
      </c>
      <c r="W89" s="391">
        <v>971</v>
      </c>
      <c r="X89" s="391">
        <v>0</v>
      </c>
      <c r="Y89" s="557">
        <v>400</v>
      </c>
      <c r="Z89" s="557">
        <v>400</v>
      </c>
      <c r="AA89" s="541"/>
      <c r="AB89" s="541"/>
      <c r="AC89" s="540"/>
      <c r="AD89" s="540"/>
      <c r="AE89" s="540"/>
    </row>
    <row r="90" spans="1:31" x14ac:dyDescent="0.2">
      <c r="A90" s="11">
        <v>44136</v>
      </c>
      <c r="B90" s="382">
        <v>100780</v>
      </c>
      <c r="C90" s="391">
        <v>20400</v>
      </c>
      <c r="D90" s="391">
        <v>11978</v>
      </c>
      <c r="E90" s="391">
        <v>100</v>
      </c>
      <c r="F90" s="391">
        <v>321</v>
      </c>
      <c r="G90" s="391">
        <v>477</v>
      </c>
      <c r="H90" s="392">
        <v>0.46400000000000002</v>
      </c>
      <c r="I90" s="382">
        <v>34289</v>
      </c>
      <c r="J90" s="393" t="s">
        <v>549</v>
      </c>
      <c r="K90" s="393">
        <f>0.67*125</f>
        <v>83.75</v>
      </c>
      <c r="L90" s="392">
        <v>7</v>
      </c>
      <c r="M90" s="393"/>
      <c r="N90" s="393"/>
      <c r="O90" s="393"/>
      <c r="P90" s="391">
        <f>(18+29)*27+7.5*2+(22+2)*4.5+1*35</f>
        <v>1427</v>
      </c>
      <c r="Q90" s="382">
        <v>13500</v>
      </c>
      <c r="R90" s="391">
        <v>3200</v>
      </c>
      <c r="S90" s="382">
        <v>21000</v>
      </c>
      <c r="T90" s="390"/>
      <c r="U90" s="391">
        <v>866</v>
      </c>
      <c r="V90" s="391">
        <v>242.15</v>
      </c>
      <c r="W90" s="391">
        <v>781</v>
      </c>
      <c r="X90" s="391">
        <v>0</v>
      </c>
      <c r="Y90" s="557">
        <v>800</v>
      </c>
      <c r="Z90" s="557">
        <v>400</v>
      </c>
      <c r="AA90" s="541"/>
      <c r="AB90" s="541"/>
      <c r="AC90" s="540"/>
      <c r="AD90" s="540"/>
      <c r="AE90" s="540"/>
    </row>
    <row r="91" spans="1:31" x14ac:dyDescent="0.2">
      <c r="A91" s="11">
        <v>44166</v>
      </c>
      <c r="B91" s="382">
        <v>92840</v>
      </c>
      <c r="C91" s="391">
        <v>19120</v>
      </c>
      <c r="D91" s="391">
        <v>11422</v>
      </c>
      <c r="E91" s="391">
        <v>86</v>
      </c>
      <c r="F91" s="391">
        <v>321</v>
      </c>
      <c r="G91" s="391">
        <v>352</v>
      </c>
      <c r="H91" s="392">
        <v>0.92800000000000005</v>
      </c>
      <c r="I91" s="382">
        <v>33360</v>
      </c>
      <c r="J91" s="393" t="s">
        <v>549</v>
      </c>
      <c r="K91" s="393">
        <f>0.67*100</f>
        <v>67</v>
      </c>
      <c r="L91" s="392">
        <v>0</v>
      </c>
      <c r="M91" s="393"/>
      <c r="N91" s="393"/>
      <c r="O91" s="393"/>
      <c r="P91" s="391">
        <v>0</v>
      </c>
      <c r="Q91" s="382">
        <v>14600</v>
      </c>
      <c r="R91" s="391">
        <v>3200</v>
      </c>
      <c r="S91" s="382">
        <v>10500</v>
      </c>
      <c r="T91" s="390"/>
      <c r="U91" s="391">
        <v>731</v>
      </c>
      <c r="V91" s="391">
        <v>161.05000000000001</v>
      </c>
      <c r="W91" s="391">
        <v>971</v>
      </c>
      <c r="X91" s="391">
        <v>0</v>
      </c>
      <c r="Y91" s="557">
        <v>600</v>
      </c>
      <c r="Z91" s="557">
        <v>200</v>
      </c>
      <c r="AA91" s="541"/>
      <c r="AB91" s="541"/>
      <c r="AC91" s="540"/>
      <c r="AD91" s="540"/>
      <c r="AE91" s="540"/>
    </row>
    <row r="92" spans="1:31" x14ac:dyDescent="0.2">
      <c r="A92" s="11">
        <v>44197</v>
      </c>
      <c r="B92" s="382">
        <v>82270</v>
      </c>
      <c r="C92" s="391">
        <v>19600</v>
      </c>
      <c r="D92" s="391">
        <v>12557</v>
      </c>
      <c r="E92" s="391">
        <v>82</v>
      </c>
      <c r="F92" s="391">
        <v>262</v>
      </c>
      <c r="G92" s="391">
        <v>305</v>
      </c>
      <c r="H92" s="392">
        <v>4.6399999999999997</v>
      </c>
      <c r="I92" s="382">
        <v>33517</v>
      </c>
      <c r="J92" s="393" t="s">
        <v>549</v>
      </c>
      <c r="K92" s="393">
        <f>0.67*112</f>
        <v>75.040000000000006</v>
      </c>
      <c r="L92" s="392">
        <v>0</v>
      </c>
      <c r="M92" s="393"/>
      <c r="N92" s="393"/>
      <c r="O92" s="393"/>
      <c r="P92" s="391">
        <v>0</v>
      </c>
      <c r="Q92" s="382">
        <v>18700</v>
      </c>
      <c r="R92" s="391">
        <v>3200</v>
      </c>
      <c r="S92" s="382">
        <v>24500</v>
      </c>
      <c r="T92" s="390"/>
      <c r="U92" s="391">
        <v>291</v>
      </c>
      <c r="V92" s="391">
        <v>83.55</v>
      </c>
      <c r="W92" s="391">
        <v>1544</v>
      </c>
      <c r="X92" s="391">
        <v>0</v>
      </c>
      <c r="Y92" s="557">
        <v>600</v>
      </c>
      <c r="Z92" s="557">
        <v>400</v>
      </c>
      <c r="AA92" s="541"/>
      <c r="AB92" s="541"/>
      <c r="AC92" s="540"/>
      <c r="AD92" s="540"/>
      <c r="AE92" s="540"/>
    </row>
    <row r="93" spans="1:31" x14ac:dyDescent="0.2">
      <c r="A93" s="11">
        <v>44228</v>
      </c>
      <c r="B93" s="382">
        <v>91040</v>
      </c>
      <c r="C93" s="391">
        <v>16990</v>
      </c>
      <c r="D93" s="391">
        <v>11838</v>
      </c>
      <c r="E93" s="391">
        <v>89</v>
      </c>
      <c r="F93" s="391">
        <v>1701</v>
      </c>
      <c r="G93" s="391">
        <v>366</v>
      </c>
      <c r="H93" s="392">
        <v>3.911</v>
      </c>
      <c r="I93" s="382">
        <v>29468</v>
      </c>
      <c r="J93" s="393" t="s">
        <v>549</v>
      </c>
      <c r="K93" s="393">
        <v>0</v>
      </c>
      <c r="L93" s="392">
        <v>0</v>
      </c>
      <c r="M93" s="393"/>
      <c r="N93" s="393"/>
      <c r="O93" s="393"/>
      <c r="P93" s="391">
        <f>24*27+4.5*1</f>
        <v>652.5</v>
      </c>
      <c r="Q93" s="382">
        <v>6000</v>
      </c>
      <c r="R93" s="391">
        <v>4800</v>
      </c>
      <c r="S93" s="382">
        <v>14000</v>
      </c>
      <c r="T93" s="390"/>
      <c r="U93" s="391">
        <v>90</v>
      </c>
      <c r="V93" s="391">
        <v>185.05</v>
      </c>
      <c r="W93" s="391">
        <v>0</v>
      </c>
      <c r="X93" s="391">
        <v>0</v>
      </c>
      <c r="Y93" s="557">
        <v>600</v>
      </c>
      <c r="Z93" s="557">
        <v>400</v>
      </c>
      <c r="AA93" s="541"/>
      <c r="AB93" s="541"/>
      <c r="AC93" s="540"/>
      <c r="AD93" s="540"/>
      <c r="AE93" s="540"/>
    </row>
    <row r="94" spans="1:31" x14ac:dyDescent="0.2">
      <c r="A94" s="11">
        <v>44256</v>
      </c>
      <c r="B94" s="382">
        <v>108160</v>
      </c>
      <c r="C94" s="391">
        <v>20300</v>
      </c>
      <c r="D94" s="391">
        <v>14191</v>
      </c>
      <c r="E94" s="391">
        <v>90</v>
      </c>
      <c r="F94" s="391">
        <v>251</v>
      </c>
      <c r="G94" s="391">
        <v>433</v>
      </c>
      <c r="H94" s="392">
        <v>4.3630000000000004</v>
      </c>
      <c r="I94" s="382">
        <v>35447</v>
      </c>
      <c r="J94" s="393" t="s">
        <v>549</v>
      </c>
      <c r="K94" s="393">
        <f>0.67*110</f>
        <v>73.7</v>
      </c>
      <c r="L94" s="392">
        <v>0</v>
      </c>
      <c r="M94" s="393"/>
      <c r="N94" s="393"/>
      <c r="O94" s="393"/>
      <c r="P94" s="391">
        <v>0</v>
      </c>
      <c r="Q94" s="382">
        <v>14700</v>
      </c>
      <c r="R94" s="391">
        <v>8000</v>
      </c>
      <c r="S94" s="382">
        <v>17500</v>
      </c>
      <c r="T94" s="390"/>
      <c r="U94" s="391">
        <v>588</v>
      </c>
      <c r="V94" s="391">
        <v>142.6</v>
      </c>
      <c r="W94" s="391">
        <v>758</v>
      </c>
      <c r="X94" s="391">
        <v>30</v>
      </c>
      <c r="Y94" s="557">
        <v>400</v>
      </c>
      <c r="Z94" s="557">
        <v>200</v>
      </c>
      <c r="AA94" s="541"/>
      <c r="AB94" s="541"/>
      <c r="AC94" s="540"/>
      <c r="AD94" s="540"/>
      <c r="AE94" s="540"/>
    </row>
    <row r="95" spans="1:31" x14ac:dyDescent="0.2">
      <c r="A95" s="11">
        <v>44287</v>
      </c>
      <c r="B95" s="382">
        <v>97900</v>
      </c>
      <c r="C95" s="391">
        <v>25520</v>
      </c>
      <c r="D95" s="391">
        <v>12749</v>
      </c>
      <c r="E95" s="391">
        <v>77</v>
      </c>
      <c r="F95" s="391">
        <v>1274</v>
      </c>
      <c r="G95" s="391">
        <v>383</v>
      </c>
      <c r="H95" s="392">
        <v>0.35599999999999998</v>
      </c>
      <c r="I95" s="382">
        <v>43497</v>
      </c>
      <c r="J95" s="393" t="s">
        <v>549</v>
      </c>
      <c r="K95" s="393">
        <f>0.67*180</f>
        <v>120.60000000000001</v>
      </c>
      <c r="L95" s="392">
        <v>0</v>
      </c>
      <c r="M95" s="393"/>
      <c r="N95" s="393"/>
      <c r="O95" s="393"/>
      <c r="P95" s="391">
        <v>0</v>
      </c>
      <c r="Q95" s="382">
        <v>20500</v>
      </c>
      <c r="R95" s="391">
        <v>4800</v>
      </c>
      <c r="S95" s="382">
        <v>14000</v>
      </c>
      <c r="T95" s="390"/>
      <c r="U95" s="391">
        <v>317</v>
      </c>
      <c r="V95" s="391">
        <v>124.75</v>
      </c>
      <c r="W95" s="391">
        <v>0</v>
      </c>
      <c r="X95" s="391">
        <v>130</v>
      </c>
      <c r="Y95" s="557">
        <v>800</v>
      </c>
      <c r="Z95" s="557">
        <v>400</v>
      </c>
      <c r="AA95" s="541"/>
      <c r="AB95" s="541"/>
      <c r="AC95" s="540"/>
      <c r="AD95" s="540"/>
      <c r="AE95" s="540"/>
    </row>
    <row r="96" spans="1:31" x14ac:dyDescent="0.2">
      <c r="A96" s="11">
        <v>44317</v>
      </c>
      <c r="B96" s="382">
        <v>114090</v>
      </c>
      <c r="C96" s="391">
        <v>22770</v>
      </c>
      <c r="D96" s="391">
        <v>12531</v>
      </c>
      <c r="E96" s="391">
        <v>77</v>
      </c>
      <c r="F96" s="391">
        <v>802</v>
      </c>
      <c r="G96" s="391">
        <v>563</v>
      </c>
      <c r="H96" s="392">
        <v>5.415</v>
      </c>
      <c r="I96" s="382">
        <v>40188</v>
      </c>
      <c r="J96" s="393" t="s">
        <v>549</v>
      </c>
      <c r="K96" s="393">
        <f>0.67*185</f>
        <v>123.95</v>
      </c>
      <c r="L96" s="392">
        <v>0</v>
      </c>
      <c r="M96" s="393"/>
      <c r="N96" s="393"/>
      <c r="O96" s="393"/>
      <c r="P96" s="391">
        <f>25*27</f>
        <v>675</v>
      </c>
      <c r="Q96" s="382">
        <v>10400</v>
      </c>
      <c r="R96" s="391">
        <v>6400</v>
      </c>
      <c r="S96" s="382">
        <v>17500</v>
      </c>
      <c r="T96" s="390"/>
      <c r="U96" s="391">
        <v>476</v>
      </c>
      <c r="V96" s="391">
        <v>130.30000000000001</v>
      </c>
      <c r="W96" s="391">
        <v>1085</v>
      </c>
      <c r="X96" s="391">
        <v>50</v>
      </c>
      <c r="Y96" s="557">
        <v>800</v>
      </c>
      <c r="Z96" s="557">
        <v>400</v>
      </c>
      <c r="AA96" s="541"/>
      <c r="AB96" s="541"/>
      <c r="AC96" s="540"/>
      <c r="AD96" s="540"/>
      <c r="AE96" s="540"/>
    </row>
    <row r="97" spans="1:31" x14ac:dyDescent="0.2">
      <c r="A97" s="11">
        <v>44348</v>
      </c>
      <c r="B97" s="382">
        <v>91870</v>
      </c>
      <c r="C97" s="391">
        <v>19320</v>
      </c>
      <c r="D97" s="391">
        <v>13034</v>
      </c>
      <c r="E97" s="391">
        <v>73</v>
      </c>
      <c r="F97" s="391">
        <v>259</v>
      </c>
      <c r="G97" s="391">
        <v>350</v>
      </c>
      <c r="H97" s="392">
        <v>3.8679999999999999</v>
      </c>
      <c r="I97" s="382">
        <v>35583</v>
      </c>
      <c r="J97" s="393" t="s">
        <v>549</v>
      </c>
      <c r="K97" s="393">
        <f>0.67*120</f>
        <v>80.400000000000006</v>
      </c>
      <c r="L97" s="392">
        <v>0</v>
      </c>
      <c r="M97" s="393"/>
      <c r="N97" s="393"/>
      <c r="O97" s="393"/>
      <c r="P97" s="391">
        <v>0</v>
      </c>
      <c r="Q97" s="382">
        <v>10400</v>
      </c>
      <c r="R97" s="391">
        <v>4800</v>
      </c>
      <c r="S97" s="382">
        <v>24500</v>
      </c>
      <c r="T97" s="390"/>
      <c r="U97" s="391">
        <v>1449</v>
      </c>
      <c r="V97" s="391">
        <v>115.7</v>
      </c>
      <c r="W97" s="391">
        <v>908</v>
      </c>
      <c r="X97" s="391">
        <v>130</v>
      </c>
      <c r="Y97" s="557">
        <v>800</v>
      </c>
      <c r="Z97" s="557">
        <v>400</v>
      </c>
      <c r="AA97" s="541"/>
      <c r="AB97" s="614"/>
      <c r="AC97" s="540"/>
      <c r="AD97" s="540"/>
      <c r="AE97" s="540"/>
    </row>
    <row r="98" spans="1:31" x14ac:dyDescent="0.2">
      <c r="A98" s="11">
        <v>44378</v>
      </c>
      <c r="B98" s="384">
        <v>94540</v>
      </c>
      <c r="C98" s="384">
        <v>23190</v>
      </c>
      <c r="D98" s="384">
        <v>12407</v>
      </c>
      <c r="E98" s="384">
        <v>79</v>
      </c>
      <c r="F98" s="384">
        <v>1049</v>
      </c>
      <c r="G98" s="384">
        <v>535</v>
      </c>
      <c r="H98" s="380">
        <v>3.8679999999999999</v>
      </c>
      <c r="I98" s="382">
        <v>36437</v>
      </c>
      <c r="J98" s="381" t="s">
        <v>549</v>
      </c>
      <c r="K98" s="381">
        <f>0.67*150</f>
        <v>100.5</v>
      </c>
      <c r="L98" s="380">
        <v>0</v>
      </c>
      <c r="M98" s="381"/>
      <c r="N98" s="381"/>
      <c r="O98" s="381"/>
      <c r="P98" s="384">
        <v>0</v>
      </c>
      <c r="Q98" s="384">
        <v>16700</v>
      </c>
      <c r="R98" s="384">
        <v>8000</v>
      </c>
      <c r="S98" s="384">
        <v>21000</v>
      </c>
      <c r="T98" s="386"/>
      <c r="U98" s="384">
        <v>1001</v>
      </c>
      <c r="V98" s="384">
        <v>81.849999999999994</v>
      </c>
      <c r="W98" s="384">
        <v>1043</v>
      </c>
      <c r="X98" s="384">
        <v>150</v>
      </c>
      <c r="Y98" s="555">
        <v>800</v>
      </c>
      <c r="Z98" s="555">
        <v>400</v>
      </c>
      <c r="AA98" s="541"/>
      <c r="AB98" s="541"/>
      <c r="AC98" s="540"/>
      <c r="AD98" s="540"/>
      <c r="AE98" s="540"/>
    </row>
    <row r="99" spans="1:31" x14ac:dyDescent="0.2">
      <c r="A99" s="11">
        <v>44409</v>
      </c>
      <c r="B99" s="384">
        <v>104460</v>
      </c>
      <c r="C99" s="384">
        <v>27760</v>
      </c>
      <c r="D99" s="384">
        <v>14252</v>
      </c>
      <c r="E99" s="384">
        <v>82</v>
      </c>
      <c r="F99" s="384">
        <v>294</v>
      </c>
      <c r="G99" s="384">
        <v>356</v>
      </c>
      <c r="H99" s="380">
        <v>0.20300000000000001</v>
      </c>
      <c r="I99" s="382">
        <v>33584</v>
      </c>
      <c r="J99" s="381" t="s">
        <v>549</v>
      </c>
      <c r="K99" s="381">
        <f>0.67*182</f>
        <v>121.94000000000001</v>
      </c>
      <c r="L99" s="380">
        <v>0</v>
      </c>
      <c r="M99" s="381"/>
      <c r="N99" s="381"/>
      <c r="O99" s="381"/>
      <c r="P99" s="384">
        <v>0</v>
      </c>
      <c r="Q99" s="384">
        <v>13700</v>
      </c>
      <c r="R99" s="384">
        <v>6400</v>
      </c>
      <c r="S99" s="384">
        <v>35000</v>
      </c>
      <c r="T99" s="386"/>
      <c r="U99" s="384">
        <v>1112</v>
      </c>
      <c r="V99" s="384">
        <v>75.95</v>
      </c>
      <c r="W99" s="384">
        <v>0</v>
      </c>
      <c r="X99" s="384">
        <v>130</v>
      </c>
      <c r="Y99" s="555">
        <v>800</v>
      </c>
      <c r="Z99" s="555">
        <v>400</v>
      </c>
      <c r="AA99" s="541"/>
      <c r="AB99" s="541"/>
      <c r="AC99" s="540"/>
      <c r="AD99" s="540"/>
      <c r="AE99" s="540"/>
    </row>
    <row r="100" spans="1:31" x14ac:dyDescent="0.2">
      <c r="A100" s="11">
        <v>44440</v>
      </c>
      <c r="B100" s="384">
        <v>125580</v>
      </c>
      <c r="C100" s="384">
        <v>28910</v>
      </c>
      <c r="D100" s="384">
        <v>15030</v>
      </c>
      <c r="E100" s="384">
        <v>92</v>
      </c>
      <c r="F100" s="384">
        <v>810</v>
      </c>
      <c r="G100" s="384">
        <v>336</v>
      </c>
      <c r="H100" s="380">
        <v>0</v>
      </c>
      <c r="I100" s="382">
        <v>35376</v>
      </c>
      <c r="J100" s="381" t="s">
        <v>549</v>
      </c>
      <c r="K100" s="381">
        <f>0.67*100</f>
        <v>67</v>
      </c>
      <c r="L100" s="380">
        <v>0</v>
      </c>
      <c r="M100" s="381"/>
      <c r="N100" s="381"/>
      <c r="O100" s="381"/>
      <c r="P100" s="384">
        <v>0</v>
      </c>
      <c r="Q100" s="384">
        <v>9500</v>
      </c>
      <c r="R100" s="384">
        <v>6400</v>
      </c>
      <c r="S100" s="384">
        <v>28000</v>
      </c>
      <c r="T100" s="386"/>
      <c r="U100" s="384">
        <v>624</v>
      </c>
      <c r="V100" s="384">
        <v>70.05</v>
      </c>
      <c r="W100" s="384">
        <v>1006</v>
      </c>
      <c r="X100" s="384">
        <v>80</v>
      </c>
      <c r="Y100" s="555">
        <v>800</v>
      </c>
      <c r="Z100" s="555">
        <v>400</v>
      </c>
      <c r="AA100" s="541"/>
      <c r="AB100" s="541"/>
      <c r="AC100" s="540"/>
      <c r="AD100" s="540"/>
      <c r="AE100" s="540"/>
    </row>
    <row r="101" spans="1:31" x14ac:dyDescent="0.2">
      <c r="A101" s="11">
        <v>44470</v>
      </c>
      <c r="B101" s="384">
        <v>120930</v>
      </c>
      <c r="C101" s="384">
        <v>22640</v>
      </c>
      <c r="D101" s="384">
        <v>12985</v>
      </c>
      <c r="E101" s="384">
        <v>81</v>
      </c>
      <c r="F101" s="384">
        <v>911</v>
      </c>
      <c r="G101" s="384">
        <v>304</v>
      </c>
      <c r="H101" s="380">
        <v>0</v>
      </c>
      <c r="I101" s="382">
        <v>45400</v>
      </c>
      <c r="J101" s="381" t="s">
        <v>549</v>
      </c>
      <c r="K101" s="381">
        <v>0</v>
      </c>
      <c r="L101" s="380">
        <v>0</v>
      </c>
      <c r="M101" s="381"/>
      <c r="N101" s="381"/>
      <c r="O101" s="381"/>
      <c r="P101" s="384">
        <v>0</v>
      </c>
      <c r="Q101" s="384">
        <v>7830</v>
      </c>
      <c r="R101" s="384">
        <v>6400</v>
      </c>
      <c r="S101" s="384">
        <v>35000</v>
      </c>
      <c r="T101" s="386"/>
      <c r="U101" s="384">
        <v>243</v>
      </c>
      <c r="V101" s="384">
        <v>157.35</v>
      </c>
      <c r="W101" s="384">
        <v>891</v>
      </c>
      <c r="X101" s="384">
        <v>150</v>
      </c>
      <c r="Y101" s="555">
        <v>800</v>
      </c>
      <c r="Z101" s="555">
        <v>400</v>
      </c>
      <c r="AA101" s="541"/>
      <c r="AB101" s="541"/>
      <c r="AC101" s="540"/>
      <c r="AD101" s="540"/>
      <c r="AE101" s="540"/>
    </row>
    <row r="102" spans="1:31" x14ac:dyDescent="0.2">
      <c r="A102" s="11">
        <v>44501</v>
      </c>
      <c r="B102" s="384">
        <v>122690</v>
      </c>
      <c r="C102" s="384">
        <v>22120</v>
      </c>
      <c r="D102" s="384">
        <v>13164</v>
      </c>
      <c r="E102" s="384">
        <v>88</v>
      </c>
      <c r="F102" s="384">
        <v>282</v>
      </c>
      <c r="G102" s="384">
        <v>285</v>
      </c>
      <c r="H102" s="380">
        <v>0.77400000000000002</v>
      </c>
      <c r="I102" s="382">
        <v>42665</v>
      </c>
      <c r="J102" s="381" t="s">
        <v>549</v>
      </c>
      <c r="K102" s="381">
        <f>0.67*258</f>
        <v>172.86</v>
      </c>
      <c r="L102" s="380">
        <v>0</v>
      </c>
      <c r="M102" s="381"/>
      <c r="N102" s="381"/>
      <c r="O102" s="381"/>
      <c r="P102" s="384">
        <f>72*27+6*4.5</f>
        <v>1971</v>
      </c>
      <c r="Q102" s="384">
        <v>5800</v>
      </c>
      <c r="R102" s="384">
        <v>4800</v>
      </c>
      <c r="S102" s="384">
        <v>35000</v>
      </c>
      <c r="T102" s="386"/>
      <c r="U102" s="384">
        <v>1282</v>
      </c>
      <c r="V102" s="384">
        <v>67.75</v>
      </c>
      <c r="W102" s="384">
        <v>625</v>
      </c>
      <c r="X102" s="384">
        <v>30</v>
      </c>
      <c r="Y102" s="555">
        <v>800</v>
      </c>
      <c r="Z102" s="555">
        <v>400</v>
      </c>
      <c r="AA102" s="541"/>
      <c r="AB102" s="541"/>
      <c r="AC102" s="540"/>
      <c r="AD102" s="540"/>
      <c r="AE102" s="540"/>
    </row>
    <row r="103" spans="1:31" x14ac:dyDescent="0.2">
      <c r="A103" s="11">
        <v>44531</v>
      </c>
      <c r="B103" s="384">
        <v>119627</v>
      </c>
      <c r="C103" s="384">
        <v>24060</v>
      </c>
      <c r="D103" s="384">
        <v>13435</v>
      </c>
      <c r="E103" s="384">
        <v>87</v>
      </c>
      <c r="F103" s="384">
        <v>984</v>
      </c>
      <c r="G103" s="384">
        <v>361</v>
      </c>
      <c r="H103" s="380">
        <v>0.38700000000000001</v>
      </c>
      <c r="I103" s="382">
        <v>41338</v>
      </c>
      <c r="J103" s="381" t="s">
        <v>549</v>
      </c>
      <c r="K103" s="381">
        <f>0.67*120</f>
        <v>80.400000000000006</v>
      </c>
      <c r="L103" s="380">
        <v>0</v>
      </c>
      <c r="M103" s="381"/>
      <c r="N103" s="381"/>
      <c r="O103" s="381"/>
      <c r="P103" s="384">
        <f>13*27+1*4.5</f>
        <v>355.5</v>
      </c>
      <c r="Q103" s="384">
        <v>10180</v>
      </c>
      <c r="R103" s="384">
        <v>8000</v>
      </c>
      <c r="S103" s="384">
        <v>31500</v>
      </c>
      <c r="T103" s="386"/>
      <c r="U103" s="384">
        <v>683</v>
      </c>
      <c r="V103" s="384">
        <v>63.95</v>
      </c>
      <c r="W103" s="384">
        <v>0</v>
      </c>
      <c r="X103" s="384">
        <v>70</v>
      </c>
      <c r="Y103" s="555">
        <v>600</v>
      </c>
      <c r="Z103" s="555">
        <v>400</v>
      </c>
      <c r="AA103" s="541"/>
      <c r="AB103" s="541"/>
      <c r="AC103" s="540"/>
      <c r="AD103" s="540"/>
      <c r="AE103" s="540"/>
    </row>
    <row r="104" spans="1:31" x14ac:dyDescent="0.2">
      <c r="A104" s="11">
        <v>44562</v>
      </c>
      <c r="B104" s="384">
        <v>113840</v>
      </c>
      <c r="C104" s="384">
        <v>30180</v>
      </c>
      <c r="D104" s="384">
        <v>13422</v>
      </c>
      <c r="E104" s="384">
        <v>82</v>
      </c>
      <c r="F104" s="384">
        <v>1130</v>
      </c>
      <c r="G104" s="384">
        <v>288</v>
      </c>
      <c r="H104" s="380">
        <v>0</v>
      </c>
      <c r="I104" s="382">
        <v>33071</v>
      </c>
      <c r="J104" s="381" t="s">
        <v>549</v>
      </c>
      <c r="K104" s="381">
        <v>0</v>
      </c>
      <c r="L104" s="380">
        <v>0</v>
      </c>
      <c r="M104" s="381"/>
      <c r="N104" s="381"/>
      <c r="O104" s="381"/>
      <c r="P104" s="384">
        <v>0</v>
      </c>
      <c r="Q104" s="384">
        <v>19838</v>
      </c>
      <c r="R104" s="384">
        <v>6400</v>
      </c>
      <c r="S104" s="384">
        <v>28000</v>
      </c>
      <c r="T104" s="386"/>
      <c r="U104" s="384">
        <v>1410</v>
      </c>
      <c r="V104" s="384">
        <v>133.65</v>
      </c>
      <c r="W104" s="384">
        <v>0</v>
      </c>
      <c r="X104" s="384">
        <v>200</v>
      </c>
      <c r="Y104" s="555">
        <v>1200</v>
      </c>
      <c r="Z104" s="555">
        <v>600</v>
      </c>
      <c r="AA104" s="541"/>
      <c r="AB104" s="541"/>
      <c r="AC104" s="540"/>
      <c r="AD104" s="540"/>
      <c r="AE104" s="540"/>
    </row>
    <row r="105" spans="1:31" x14ac:dyDescent="0.2">
      <c r="A105" s="11">
        <v>44593</v>
      </c>
      <c r="B105" s="384">
        <v>94360</v>
      </c>
      <c r="C105" s="384">
        <v>16000</v>
      </c>
      <c r="D105" s="384">
        <v>9823</v>
      </c>
      <c r="E105" s="384">
        <v>59</v>
      </c>
      <c r="F105" s="384">
        <v>254</v>
      </c>
      <c r="G105" s="384">
        <v>191</v>
      </c>
      <c r="H105" s="380">
        <v>0.371</v>
      </c>
      <c r="I105" s="382">
        <v>24947</v>
      </c>
      <c r="J105" s="381" t="s">
        <v>549</v>
      </c>
      <c r="K105" s="381">
        <f>0.67*188</f>
        <v>125.96000000000001</v>
      </c>
      <c r="L105" s="380">
        <v>0</v>
      </c>
      <c r="M105" s="381"/>
      <c r="N105" s="381"/>
      <c r="O105" s="381"/>
      <c r="P105" s="384">
        <f>6*27+1*4.5+1*35+1*55</f>
        <v>256.5</v>
      </c>
      <c r="Q105" s="384">
        <v>7420</v>
      </c>
      <c r="R105" s="384">
        <v>4800</v>
      </c>
      <c r="S105" s="384">
        <v>14000</v>
      </c>
      <c r="T105" s="386"/>
      <c r="U105" s="384">
        <v>1223</v>
      </c>
      <c r="V105" s="384">
        <v>67.650000000000006</v>
      </c>
      <c r="W105" s="384">
        <v>869</v>
      </c>
      <c r="X105" s="384">
        <v>0</v>
      </c>
      <c r="Y105" s="555">
        <v>400</v>
      </c>
      <c r="Z105" s="555">
        <v>400</v>
      </c>
      <c r="AA105" s="541"/>
      <c r="AB105" s="541"/>
      <c r="AC105" s="540"/>
      <c r="AD105" s="540"/>
      <c r="AE105" s="540"/>
    </row>
    <row r="106" spans="1:31" x14ac:dyDescent="0.2">
      <c r="A106" s="11">
        <v>44621</v>
      </c>
      <c r="B106" s="384">
        <v>94960</v>
      </c>
      <c r="C106" s="384">
        <v>17320</v>
      </c>
      <c r="D106" s="384">
        <v>9495</v>
      </c>
      <c r="E106" s="384">
        <v>65</v>
      </c>
      <c r="F106" s="384">
        <v>324</v>
      </c>
      <c r="G106" s="384">
        <v>185.4</v>
      </c>
      <c r="H106" s="380">
        <v>0</v>
      </c>
      <c r="I106" s="382">
        <v>22091</v>
      </c>
      <c r="J106" s="381" t="s">
        <v>549</v>
      </c>
      <c r="K106" s="381">
        <v>0</v>
      </c>
      <c r="L106" s="380">
        <v>0</v>
      </c>
      <c r="M106" s="381"/>
      <c r="N106" s="381"/>
      <c r="O106" s="381"/>
      <c r="P106" s="384">
        <v>0</v>
      </c>
      <c r="Q106" s="384">
        <v>9700</v>
      </c>
      <c r="R106" s="384">
        <v>6400</v>
      </c>
      <c r="S106" s="384">
        <v>24500</v>
      </c>
      <c r="T106" s="386"/>
      <c r="U106" s="384">
        <v>540</v>
      </c>
      <c r="V106" s="384">
        <v>206.75</v>
      </c>
      <c r="W106" s="384">
        <v>0</v>
      </c>
      <c r="X106" s="384">
        <v>0</v>
      </c>
      <c r="Y106" s="555">
        <v>400</v>
      </c>
      <c r="Z106" s="555">
        <v>400</v>
      </c>
      <c r="AA106" s="541"/>
      <c r="AB106" s="541"/>
      <c r="AC106" s="540"/>
      <c r="AD106" s="540"/>
      <c r="AE106" s="540"/>
    </row>
    <row r="107" spans="1:31" x14ac:dyDescent="0.2">
      <c r="A107" s="11">
        <v>44652</v>
      </c>
      <c r="B107" s="384">
        <v>91850</v>
      </c>
      <c r="C107" s="384">
        <v>17830</v>
      </c>
      <c r="D107" s="384">
        <v>9308</v>
      </c>
      <c r="E107" s="384">
        <v>61</v>
      </c>
      <c r="F107" s="384">
        <v>1040</v>
      </c>
      <c r="G107" s="384">
        <v>137</v>
      </c>
      <c r="H107" s="380">
        <v>4.641</v>
      </c>
      <c r="I107" s="382">
        <v>24586.6</v>
      </c>
      <c r="J107" s="381" t="s">
        <v>549</v>
      </c>
      <c r="K107" s="381">
        <f>0.67*102</f>
        <v>68.34</v>
      </c>
      <c r="L107" s="380">
        <v>0</v>
      </c>
      <c r="M107" s="381"/>
      <c r="N107" s="381"/>
      <c r="O107" s="381"/>
      <c r="P107" s="384">
        <f>36*27+2*7.5+9*55</f>
        <v>1482</v>
      </c>
      <c r="Q107" s="384">
        <v>10420</v>
      </c>
      <c r="R107" s="384">
        <v>6400</v>
      </c>
      <c r="S107" s="384">
        <v>24500</v>
      </c>
      <c r="T107" s="386"/>
      <c r="U107" s="384">
        <v>174</v>
      </c>
      <c r="V107" s="384">
        <v>153.80000000000001</v>
      </c>
      <c r="W107" s="384">
        <v>1036</v>
      </c>
      <c r="X107" s="384">
        <v>160</v>
      </c>
      <c r="Y107" s="555">
        <v>800</v>
      </c>
      <c r="Z107" s="555">
        <v>200</v>
      </c>
      <c r="AA107" s="541"/>
      <c r="AB107" s="541"/>
      <c r="AC107" s="540"/>
      <c r="AD107" s="540"/>
      <c r="AE107" s="540"/>
    </row>
    <row r="108" spans="1:31" x14ac:dyDescent="0.2">
      <c r="A108" s="11">
        <v>44682</v>
      </c>
      <c r="B108" s="384">
        <v>105840</v>
      </c>
      <c r="C108" s="384">
        <v>22940</v>
      </c>
      <c r="D108" s="384">
        <v>10020</v>
      </c>
      <c r="E108" s="384">
        <v>65</v>
      </c>
      <c r="F108" s="384">
        <v>251</v>
      </c>
      <c r="G108" s="384">
        <v>113</v>
      </c>
      <c r="H108" s="380">
        <v>0</v>
      </c>
      <c r="I108" s="382">
        <v>27462</v>
      </c>
      <c r="J108" s="381" t="s">
        <v>549</v>
      </c>
      <c r="K108" s="381">
        <v>0</v>
      </c>
      <c r="L108" s="380">
        <v>0</v>
      </c>
      <c r="M108" s="381"/>
      <c r="N108" s="381"/>
      <c r="O108" s="381"/>
      <c r="P108" s="384">
        <f>13*27+7*55</f>
        <v>736</v>
      </c>
      <c r="Q108" s="384">
        <v>12000</v>
      </c>
      <c r="R108" s="384">
        <v>6400</v>
      </c>
      <c r="S108" s="384">
        <v>31500</v>
      </c>
      <c r="T108" s="386"/>
      <c r="U108" s="384">
        <v>869</v>
      </c>
      <c r="V108" s="384">
        <v>57.35</v>
      </c>
      <c r="W108" s="384">
        <v>0</v>
      </c>
      <c r="X108" s="384">
        <v>80</v>
      </c>
      <c r="Y108" s="555">
        <v>400</v>
      </c>
      <c r="Z108" s="555">
        <v>200</v>
      </c>
      <c r="AA108" s="541"/>
      <c r="AB108" s="541"/>
      <c r="AC108" s="540"/>
      <c r="AD108" s="540"/>
      <c r="AE108" s="540"/>
    </row>
    <row r="109" spans="1:31" x14ac:dyDescent="0.2">
      <c r="A109" s="11">
        <v>44713</v>
      </c>
      <c r="B109" s="384">
        <v>111880</v>
      </c>
      <c r="C109" s="384">
        <v>21280</v>
      </c>
      <c r="D109" s="384">
        <v>10130</v>
      </c>
      <c r="E109" s="384">
        <v>59</v>
      </c>
      <c r="F109" s="384">
        <v>245</v>
      </c>
      <c r="G109" s="384">
        <v>148</v>
      </c>
      <c r="H109" s="380">
        <v>0</v>
      </c>
      <c r="I109" s="382">
        <v>22866</v>
      </c>
      <c r="J109" s="381">
        <v>45</v>
      </c>
      <c r="K109" s="381">
        <v>57</v>
      </c>
      <c r="L109" s="380">
        <v>0</v>
      </c>
      <c r="M109" s="381"/>
      <c r="N109" s="381"/>
      <c r="O109" s="381"/>
      <c r="P109" s="384">
        <f>22*27+3*55+1*60</f>
        <v>819</v>
      </c>
      <c r="Q109" s="384">
        <v>9000</v>
      </c>
      <c r="R109" s="384">
        <v>8000</v>
      </c>
      <c r="S109" s="384">
        <v>35000</v>
      </c>
      <c r="T109" s="386"/>
      <c r="U109" s="384">
        <v>640</v>
      </c>
      <c r="V109" s="384">
        <v>127.8</v>
      </c>
      <c r="W109" s="384">
        <v>1056</v>
      </c>
      <c r="X109" s="384">
        <v>150</v>
      </c>
      <c r="Y109" s="555">
        <v>800</v>
      </c>
      <c r="Z109" s="555">
        <v>400</v>
      </c>
      <c r="AA109" s="541"/>
      <c r="AB109" s="614"/>
      <c r="AC109" s="540"/>
      <c r="AD109" s="540"/>
      <c r="AE109" s="540"/>
    </row>
    <row r="110" spans="1:31" x14ac:dyDescent="0.2">
      <c r="A110" s="11">
        <v>44743</v>
      </c>
      <c r="B110" s="382">
        <v>106480</v>
      </c>
      <c r="C110" s="391">
        <v>27350</v>
      </c>
      <c r="D110" s="391">
        <v>10024</v>
      </c>
      <c r="E110" s="391">
        <v>62</v>
      </c>
      <c r="F110" s="391">
        <v>748</v>
      </c>
      <c r="G110" s="391">
        <v>232</v>
      </c>
      <c r="H110" s="392">
        <v>0</v>
      </c>
      <c r="I110" s="382">
        <v>25176</v>
      </c>
      <c r="J110" s="393">
        <v>324</v>
      </c>
      <c r="K110" s="393">
        <v>44</v>
      </c>
      <c r="L110" s="392">
        <v>0</v>
      </c>
      <c r="M110" s="393"/>
      <c r="N110" s="393"/>
      <c r="O110" s="393"/>
      <c r="P110" s="391">
        <v>0</v>
      </c>
      <c r="Q110" s="382">
        <v>12000</v>
      </c>
      <c r="R110" s="391">
        <v>6400</v>
      </c>
      <c r="S110" s="382">
        <v>24500</v>
      </c>
      <c r="T110" s="390">
        <v>67</v>
      </c>
      <c r="U110" s="391">
        <v>631</v>
      </c>
      <c r="V110" s="391">
        <v>101.95</v>
      </c>
      <c r="W110" s="391">
        <v>0</v>
      </c>
      <c r="X110" s="391">
        <v>150</v>
      </c>
      <c r="Y110" s="557">
        <v>600</v>
      </c>
      <c r="Z110" s="557">
        <v>400</v>
      </c>
      <c r="AA110" s="541"/>
      <c r="AB110" s="541"/>
      <c r="AC110" s="540"/>
      <c r="AD110" s="540"/>
      <c r="AE110" s="540"/>
    </row>
    <row r="111" spans="1:31" x14ac:dyDescent="0.2">
      <c r="A111" s="11">
        <v>44774</v>
      </c>
      <c r="B111" s="382">
        <v>119990</v>
      </c>
      <c r="C111" s="391">
        <v>22610</v>
      </c>
      <c r="D111" s="391">
        <v>11052</v>
      </c>
      <c r="E111" s="391">
        <v>71</v>
      </c>
      <c r="F111" s="391">
        <v>1232</v>
      </c>
      <c r="G111" s="391">
        <v>248</v>
      </c>
      <c r="H111" s="392">
        <v>0</v>
      </c>
      <c r="I111" s="382">
        <v>26660</v>
      </c>
      <c r="J111" s="393">
        <v>89</v>
      </c>
      <c r="K111" s="393">
        <v>76</v>
      </c>
      <c r="L111" s="392">
        <v>0</v>
      </c>
      <c r="M111" s="393"/>
      <c r="N111" s="393"/>
      <c r="O111" s="393"/>
      <c r="P111" s="391">
        <f>17*27+2*55+1*35</f>
        <v>604</v>
      </c>
      <c r="Q111" s="382">
        <v>15000</v>
      </c>
      <c r="R111" s="391">
        <v>6400</v>
      </c>
      <c r="S111" s="382">
        <v>31500</v>
      </c>
      <c r="T111" s="390">
        <v>0</v>
      </c>
      <c r="U111" s="391">
        <v>567</v>
      </c>
      <c r="V111" s="391">
        <v>90.25</v>
      </c>
      <c r="W111" s="391">
        <v>1973</v>
      </c>
      <c r="X111" s="391">
        <v>150</v>
      </c>
      <c r="Y111" s="557">
        <v>1200</v>
      </c>
      <c r="Z111" s="557">
        <v>400</v>
      </c>
      <c r="AA111" s="541"/>
      <c r="AB111" s="541"/>
      <c r="AC111" s="540"/>
      <c r="AD111" s="540"/>
      <c r="AE111" s="540"/>
    </row>
    <row r="112" spans="1:31" x14ac:dyDescent="0.2">
      <c r="A112" s="11">
        <v>44805</v>
      </c>
      <c r="B112" s="382">
        <v>145680</v>
      </c>
      <c r="C112" s="391">
        <v>27480</v>
      </c>
      <c r="D112" s="391">
        <v>12231</v>
      </c>
      <c r="E112" s="391">
        <v>76</v>
      </c>
      <c r="F112" s="391">
        <v>555</v>
      </c>
      <c r="G112" s="391">
        <v>266</v>
      </c>
      <c r="H112" s="392">
        <v>0</v>
      </c>
      <c r="I112" s="382">
        <v>35619</v>
      </c>
      <c r="J112" s="393">
        <v>0</v>
      </c>
      <c r="K112" s="393">
        <v>49</v>
      </c>
      <c r="L112" s="392">
        <v>0</v>
      </c>
      <c r="M112" s="393"/>
      <c r="N112" s="393"/>
      <c r="O112" s="393"/>
      <c r="P112" s="391">
        <v>0</v>
      </c>
      <c r="Q112" s="382">
        <v>12000</v>
      </c>
      <c r="R112" s="391">
        <v>8000</v>
      </c>
      <c r="S112" s="382">
        <v>31500</v>
      </c>
      <c r="T112" s="390">
        <v>12.6</v>
      </c>
      <c r="U112" s="391">
        <v>889</v>
      </c>
      <c r="V112" s="391">
        <v>55.25</v>
      </c>
      <c r="W112" s="391">
        <v>0</v>
      </c>
      <c r="X112" s="391">
        <v>110</v>
      </c>
      <c r="Y112" s="557">
        <v>400</v>
      </c>
      <c r="Z112" s="557">
        <v>400</v>
      </c>
      <c r="AA112" s="541"/>
      <c r="AB112" s="541"/>
      <c r="AC112" s="540"/>
      <c r="AD112" s="540"/>
      <c r="AE112" s="540"/>
    </row>
    <row r="113" spans="1:37" x14ac:dyDescent="0.2">
      <c r="A113" s="11">
        <v>44835</v>
      </c>
      <c r="B113" s="382">
        <v>146210</v>
      </c>
      <c r="C113" s="391">
        <v>21850</v>
      </c>
      <c r="D113" s="391">
        <v>11893</v>
      </c>
      <c r="E113" s="391">
        <v>79</v>
      </c>
      <c r="F113" s="391">
        <v>647</v>
      </c>
      <c r="G113" s="391">
        <v>266</v>
      </c>
      <c r="H113" s="392">
        <v>0</v>
      </c>
      <c r="I113" s="382">
        <v>39851</v>
      </c>
      <c r="J113" s="393">
        <v>18</v>
      </c>
      <c r="K113" s="393">
        <v>49</v>
      </c>
      <c r="L113" s="392">
        <v>0</v>
      </c>
      <c r="M113" s="393"/>
      <c r="N113" s="393"/>
      <c r="O113" s="393"/>
      <c r="P113" s="391">
        <f>23*27+2*55</f>
        <v>731</v>
      </c>
      <c r="Q113" s="382">
        <v>15000</v>
      </c>
      <c r="R113" s="391">
        <v>6400</v>
      </c>
      <c r="S113" s="382">
        <v>28000</v>
      </c>
      <c r="T113" s="390">
        <v>0</v>
      </c>
      <c r="U113" s="391">
        <v>1137</v>
      </c>
      <c r="V113" s="391">
        <v>120.55</v>
      </c>
      <c r="W113" s="391">
        <v>1009</v>
      </c>
      <c r="X113" s="391">
        <v>60</v>
      </c>
      <c r="Y113" s="557">
        <v>800</v>
      </c>
      <c r="Z113" s="557">
        <v>400</v>
      </c>
      <c r="AA113" s="541"/>
      <c r="AB113" s="541"/>
      <c r="AC113" s="540"/>
      <c r="AD113" s="540"/>
      <c r="AE113" s="540"/>
    </row>
    <row r="114" spans="1:37" x14ac:dyDescent="0.2">
      <c r="A114" s="11">
        <v>44866</v>
      </c>
      <c r="B114" s="382">
        <v>147280</v>
      </c>
      <c r="C114" s="391">
        <v>19570</v>
      </c>
      <c r="D114" s="391">
        <v>11445</v>
      </c>
      <c r="E114" s="391">
        <v>77</v>
      </c>
      <c r="F114" s="391">
        <v>659</v>
      </c>
      <c r="G114" s="391">
        <v>273</v>
      </c>
      <c r="H114" s="392">
        <v>0</v>
      </c>
      <c r="I114" s="382">
        <v>42228</v>
      </c>
      <c r="J114" s="393">
        <v>47</v>
      </c>
      <c r="K114" s="393">
        <v>57</v>
      </c>
      <c r="L114" s="392">
        <v>0</v>
      </c>
      <c r="M114" s="393"/>
      <c r="N114" s="393"/>
      <c r="O114" s="393"/>
      <c r="P114" s="391">
        <v>0</v>
      </c>
      <c r="Q114" s="382">
        <v>12000</v>
      </c>
      <c r="R114" s="391">
        <v>6400</v>
      </c>
      <c r="S114" s="382">
        <v>31500</v>
      </c>
      <c r="T114" s="390">
        <v>6.5</v>
      </c>
      <c r="U114" s="391">
        <v>723</v>
      </c>
      <c r="V114" s="391">
        <v>0</v>
      </c>
      <c r="W114" s="391">
        <v>993</v>
      </c>
      <c r="X114" s="391">
        <v>180</v>
      </c>
      <c r="Y114" s="557">
        <v>800</v>
      </c>
      <c r="Z114" s="557">
        <v>400</v>
      </c>
      <c r="AA114" s="541"/>
      <c r="AB114" s="541"/>
      <c r="AC114" s="540"/>
      <c r="AD114" s="540"/>
      <c r="AE114" s="540"/>
    </row>
    <row r="115" spans="1:37" x14ac:dyDescent="0.2">
      <c r="A115" s="11">
        <v>44896</v>
      </c>
      <c r="B115" s="382">
        <v>132640</v>
      </c>
      <c r="C115" s="391">
        <v>21400</v>
      </c>
      <c r="D115" s="391">
        <v>11105</v>
      </c>
      <c r="E115" s="391">
        <v>65</v>
      </c>
      <c r="F115" s="391">
        <v>1568</v>
      </c>
      <c r="G115" s="391">
        <v>279</v>
      </c>
      <c r="H115" s="392">
        <v>0</v>
      </c>
      <c r="I115" s="382">
        <v>44338</v>
      </c>
      <c r="J115" s="393">
        <v>101</v>
      </c>
      <c r="K115" s="393">
        <v>17</v>
      </c>
      <c r="L115" s="392">
        <v>0</v>
      </c>
      <c r="M115" s="393"/>
      <c r="N115" s="393"/>
      <c r="O115" s="393"/>
      <c r="P115" s="391">
        <v>0</v>
      </c>
      <c r="Q115" s="382">
        <v>15000</v>
      </c>
      <c r="R115" s="391">
        <v>6400</v>
      </c>
      <c r="S115" s="382">
        <v>28000</v>
      </c>
      <c r="T115" s="390">
        <v>0</v>
      </c>
      <c r="U115" s="391">
        <v>1104</v>
      </c>
      <c r="V115" s="391">
        <v>0</v>
      </c>
      <c r="W115" s="391">
        <v>762</v>
      </c>
      <c r="X115" s="391">
        <v>230</v>
      </c>
      <c r="Y115" s="557">
        <v>800</v>
      </c>
      <c r="Z115" s="557">
        <v>400</v>
      </c>
    </row>
    <row r="116" spans="1:37" x14ac:dyDescent="0.2">
      <c r="A116" s="11">
        <v>44927</v>
      </c>
      <c r="B116" s="382">
        <v>106940</v>
      </c>
      <c r="C116" s="391">
        <v>17220</v>
      </c>
      <c r="D116" s="391">
        <v>9350</v>
      </c>
      <c r="E116" s="391">
        <v>58</v>
      </c>
      <c r="F116" s="391">
        <v>714</v>
      </c>
      <c r="G116" s="391">
        <v>198</v>
      </c>
      <c r="H116" s="392">
        <v>0</v>
      </c>
      <c r="I116" s="382">
        <v>34407</v>
      </c>
      <c r="J116" s="393">
        <v>0</v>
      </c>
      <c r="K116" s="393">
        <v>0</v>
      </c>
      <c r="L116" s="392">
        <v>0</v>
      </c>
      <c r="M116" s="393"/>
      <c r="N116" s="393"/>
      <c r="O116" s="393"/>
      <c r="P116" s="391">
        <f>37*27+2*55</f>
        <v>1109</v>
      </c>
      <c r="Q116" s="382">
        <v>15000</v>
      </c>
      <c r="R116" s="391">
        <v>6400</v>
      </c>
      <c r="S116" s="382">
        <v>31500</v>
      </c>
      <c r="T116" s="390">
        <v>9.5</v>
      </c>
      <c r="U116" s="391">
        <v>68</v>
      </c>
      <c r="V116" s="391">
        <v>36.5</v>
      </c>
      <c r="W116" s="391">
        <v>757</v>
      </c>
      <c r="X116" s="391">
        <v>90</v>
      </c>
      <c r="Y116" s="557">
        <v>400</v>
      </c>
      <c r="Z116" s="557">
        <v>200</v>
      </c>
    </row>
    <row r="117" spans="1:37" ht="17" x14ac:dyDescent="0.2">
      <c r="A117" s="11">
        <v>44958</v>
      </c>
      <c r="B117" s="382">
        <v>127480</v>
      </c>
      <c r="C117" s="391">
        <v>24570</v>
      </c>
      <c r="D117" s="391">
        <v>10379</v>
      </c>
      <c r="E117" s="391">
        <v>60</v>
      </c>
      <c r="F117" s="390">
        <v>1050</v>
      </c>
      <c r="G117" s="391">
        <v>217</v>
      </c>
      <c r="H117" s="392">
        <v>0</v>
      </c>
      <c r="I117" s="382">
        <v>28553</v>
      </c>
      <c r="J117" s="393">
        <v>24</v>
      </c>
      <c r="K117" s="393">
        <v>72</v>
      </c>
      <c r="L117" s="392">
        <v>0</v>
      </c>
      <c r="M117" s="393"/>
      <c r="N117" s="393"/>
      <c r="O117" s="393"/>
      <c r="P117" s="391">
        <v>0</v>
      </c>
      <c r="Q117" s="382">
        <v>12000</v>
      </c>
      <c r="R117" s="391">
        <v>6400</v>
      </c>
      <c r="S117" s="382">
        <v>21000</v>
      </c>
      <c r="T117" s="390">
        <v>13.4</v>
      </c>
      <c r="U117" s="391" t="s">
        <v>549</v>
      </c>
      <c r="V117" s="391">
        <v>0</v>
      </c>
      <c r="W117" s="391">
        <v>670</v>
      </c>
      <c r="X117" s="391">
        <v>140</v>
      </c>
      <c r="Y117" s="557">
        <v>600</v>
      </c>
      <c r="Z117" s="557">
        <v>400</v>
      </c>
      <c r="AA117" s="408"/>
      <c r="AB117" s="408"/>
      <c r="AF117" s="92"/>
      <c r="AG117" s="92"/>
      <c r="AH117" s="92"/>
      <c r="AI117" s="92"/>
      <c r="AJ117" s="92"/>
      <c r="AK117" s="92"/>
    </row>
    <row r="118" spans="1:37" ht="17" x14ac:dyDescent="0.2">
      <c r="A118" s="11">
        <v>44986</v>
      </c>
      <c r="B118" s="382">
        <v>146920</v>
      </c>
      <c r="C118" s="391">
        <v>22970</v>
      </c>
      <c r="D118" s="391">
        <v>11198</v>
      </c>
      <c r="E118" s="391">
        <v>71</v>
      </c>
      <c r="F118" s="390">
        <v>903</v>
      </c>
      <c r="G118" s="391">
        <v>285</v>
      </c>
      <c r="H118" s="392">
        <v>0</v>
      </c>
      <c r="I118" s="382">
        <v>35187</v>
      </c>
      <c r="J118" s="393">
        <f>0.05*580</f>
        <v>29</v>
      </c>
      <c r="K118" s="393">
        <v>73</v>
      </c>
      <c r="L118" s="392">
        <v>0</v>
      </c>
      <c r="M118" s="393"/>
      <c r="N118" s="393"/>
      <c r="O118" s="393"/>
      <c r="P118" s="391">
        <v>0</v>
      </c>
      <c r="Q118" s="382">
        <v>15000</v>
      </c>
      <c r="R118" s="391">
        <v>8000</v>
      </c>
      <c r="S118" s="382">
        <v>24500</v>
      </c>
      <c r="T118" s="390">
        <v>26.5</v>
      </c>
      <c r="U118" s="391" t="s">
        <v>549</v>
      </c>
      <c r="V118" s="391">
        <v>35.799999999999997</v>
      </c>
      <c r="W118" s="391">
        <v>603</v>
      </c>
      <c r="X118" s="391">
        <v>200</v>
      </c>
      <c r="Y118" s="557">
        <v>800</v>
      </c>
      <c r="Z118" s="557">
        <v>200</v>
      </c>
      <c r="AA118" s="408"/>
      <c r="AB118" s="408"/>
      <c r="AF118" s="92"/>
      <c r="AG118" s="92"/>
      <c r="AH118" s="92"/>
      <c r="AI118" s="92"/>
      <c r="AJ118" s="92"/>
      <c r="AK118" s="92"/>
    </row>
    <row r="119" spans="1:37" ht="17" x14ac:dyDescent="0.2">
      <c r="A119" s="11">
        <v>45017</v>
      </c>
      <c r="B119" s="382">
        <v>129810</v>
      </c>
      <c r="C119" s="391">
        <v>19680</v>
      </c>
      <c r="D119" s="391">
        <v>10871</v>
      </c>
      <c r="E119" s="391">
        <v>61</v>
      </c>
      <c r="F119" s="390">
        <v>666</v>
      </c>
      <c r="G119" s="391">
        <v>220</v>
      </c>
      <c r="H119" s="392">
        <v>0</v>
      </c>
      <c r="I119" s="382">
        <v>39810.5</v>
      </c>
      <c r="J119" s="393">
        <v>0</v>
      </c>
      <c r="K119" s="393">
        <v>48</v>
      </c>
      <c r="L119" s="392">
        <v>0</v>
      </c>
      <c r="M119" s="393"/>
      <c r="N119" s="393"/>
      <c r="O119" s="393"/>
      <c r="P119" s="391">
        <f>39*27+7*55</f>
        <v>1438</v>
      </c>
      <c r="Q119" s="382">
        <v>15000</v>
      </c>
      <c r="R119" s="391">
        <v>4800</v>
      </c>
      <c r="S119" s="382">
        <v>17500</v>
      </c>
      <c r="T119" s="390">
        <v>6.5</v>
      </c>
      <c r="U119" s="391" t="s">
        <v>549</v>
      </c>
      <c r="V119" s="391">
        <v>35.75</v>
      </c>
      <c r="W119" s="391">
        <v>499</v>
      </c>
      <c r="X119" s="391">
        <v>250</v>
      </c>
      <c r="Y119" s="558">
        <v>200</v>
      </c>
      <c r="Z119" s="558">
        <v>200</v>
      </c>
      <c r="AA119" s="408"/>
      <c r="AB119" s="408"/>
      <c r="AF119" s="92"/>
      <c r="AG119" s="92"/>
      <c r="AH119" s="92"/>
      <c r="AI119" s="92"/>
      <c r="AJ119" s="92"/>
      <c r="AK119" s="92"/>
    </row>
    <row r="120" spans="1:37" ht="17" x14ac:dyDescent="0.2">
      <c r="A120" s="11">
        <v>45047</v>
      </c>
      <c r="B120" s="382">
        <v>131750</v>
      </c>
      <c r="C120" s="391">
        <v>20220</v>
      </c>
      <c r="D120" s="391">
        <v>10533</v>
      </c>
      <c r="E120" s="391">
        <v>69</v>
      </c>
      <c r="F120" s="390">
        <v>569</v>
      </c>
      <c r="G120" s="391">
        <v>260</v>
      </c>
      <c r="H120" s="392">
        <v>0</v>
      </c>
      <c r="I120" s="382">
        <v>39784</v>
      </c>
      <c r="J120" s="393">
        <v>0</v>
      </c>
      <c r="K120" s="393">
        <v>105</v>
      </c>
      <c r="L120" s="392">
        <v>0</v>
      </c>
      <c r="M120" s="393"/>
      <c r="N120" s="393"/>
      <c r="O120" s="393"/>
      <c r="P120" s="391">
        <v>0</v>
      </c>
      <c r="Q120" s="382">
        <v>12000</v>
      </c>
      <c r="R120" s="391">
        <v>6400</v>
      </c>
      <c r="S120" s="382">
        <v>24500</v>
      </c>
      <c r="T120" s="390">
        <v>0</v>
      </c>
      <c r="U120" s="391" t="s">
        <v>549</v>
      </c>
      <c r="V120" s="391">
        <v>28.9</v>
      </c>
      <c r="W120" s="391">
        <v>0</v>
      </c>
      <c r="X120" s="391">
        <v>120</v>
      </c>
      <c r="Y120" s="558">
        <v>400</v>
      </c>
      <c r="Z120" s="558">
        <v>200</v>
      </c>
      <c r="AA120" s="613"/>
      <c r="AB120" s="613"/>
      <c r="AC120" s="540"/>
      <c r="AF120" s="92"/>
      <c r="AG120" s="92"/>
      <c r="AH120" s="92"/>
      <c r="AI120" s="92"/>
      <c r="AJ120" s="92"/>
      <c r="AK120" s="92"/>
    </row>
    <row r="121" spans="1:37" ht="17" x14ac:dyDescent="0.2">
      <c r="A121" s="11">
        <v>45078</v>
      </c>
      <c r="B121" s="382">
        <v>117380</v>
      </c>
      <c r="C121" s="391">
        <v>24830</v>
      </c>
      <c r="D121" s="391">
        <v>10392</v>
      </c>
      <c r="E121" s="391">
        <v>63</v>
      </c>
      <c r="F121" s="390">
        <v>834</v>
      </c>
      <c r="G121" s="391">
        <v>244</v>
      </c>
      <c r="H121" s="394">
        <v>0</v>
      </c>
      <c r="I121" s="382">
        <v>40149.599999999999</v>
      </c>
      <c r="J121" s="393">
        <v>0</v>
      </c>
      <c r="K121" s="393">
        <v>22</v>
      </c>
      <c r="L121" s="394">
        <v>0</v>
      </c>
      <c r="M121" s="393"/>
      <c r="N121" s="393"/>
      <c r="O121" s="393"/>
      <c r="P121" s="391">
        <v>0</v>
      </c>
      <c r="Q121" s="382">
        <v>12000</v>
      </c>
      <c r="R121" s="391">
        <v>8000</v>
      </c>
      <c r="S121" s="382">
        <v>24500</v>
      </c>
      <c r="T121" s="390">
        <v>43</v>
      </c>
      <c r="U121" s="391" t="s">
        <v>549</v>
      </c>
      <c r="V121" s="391">
        <v>41.45</v>
      </c>
      <c r="W121" s="391">
        <v>608</v>
      </c>
      <c r="X121" s="391">
        <v>180</v>
      </c>
      <c r="Y121" s="558">
        <v>1200</v>
      </c>
      <c r="Z121" s="558">
        <v>200</v>
      </c>
      <c r="AA121" s="613"/>
      <c r="AB121" s="614"/>
      <c r="AC121" s="540"/>
      <c r="AF121" s="92"/>
      <c r="AG121" s="92"/>
      <c r="AH121" s="92"/>
      <c r="AI121" s="92"/>
      <c r="AJ121" s="92"/>
      <c r="AK121" s="92"/>
    </row>
    <row r="122" spans="1:37" ht="17" x14ac:dyDescent="0.2">
      <c r="A122" s="11">
        <v>45108</v>
      </c>
      <c r="B122" s="384">
        <v>112750</v>
      </c>
      <c r="C122" s="384">
        <v>23930</v>
      </c>
      <c r="D122" s="384">
        <f>6996+3674</f>
        <v>10670</v>
      </c>
      <c r="E122" s="384">
        <v>69</v>
      </c>
      <c r="F122" s="386">
        <v>846</v>
      </c>
      <c r="G122" s="384">
        <v>216</v>
      </c>
      <c r="H122" s="394">
        <v>0</v>
      </c>
      <c r="I122" s="382">
        <v>23296.5</v>
      </c>
      <c r="J122" s="381">
        <v>0</v>
      </c>
      <c r="K122" s="381">
        <v>0</v>
      </c>
      <c r="L122" s="394">
        <v>0</v>
      </c>
      <c r="M122" s="381"/>
      <c r="N122" s="381"/>
      <c r="O122" s="381"/>
      <c r="P122" s="384">
        <v>513</v>
      </c>
      <c r="Q122" s="384">
        <v>18000</v>
      </c>
      <c r="R122" s="384">
        <f>7.185*1000</f>
        <v>7185</v>
      </c>
      <c r="S122" s="384">
        <v>14485</v>
      </c>
      <c r="T122" s="386">
        <v>0</v>
      </c>
      <c r="U122" s="384" t="s">
        <v>550</v>
      </c>
      <c r="V122" s="384">
        <v>43.5</v>
      </c>
      <c r="W122" s="384">
        <v>673</v>
      </c>
      <c r="X122" s="384">
        <v>170</v>
      </c>
      <c r="Y122" s="559">
        <v>1200</v>
      </c>
      <c r="Z122" s="559">
        <v>400</v>
      </c>
      <c r="AA122" s="613"/>
      <c r="AB122" s="613"/>
      <c r="AC122" s="540"/>
      <c r="AF122" s="92"/>
      <c r="AG122" s="92"/>
      <c r="AH122" s="92"/>
      <c r="AI122" s="92"/>
      <c r="AJ122" s="92"/>
      <c r="AK122" s="92"/>
    </row>
    <row r="123" spans="1:37" ht="17" x14ac:dyDescent="0.2">
      <c r="A123" s="11">
        <v>45139</v>
      </c>
      <c r="B123" s="384">
        <v>124050</v>
      </c>
      <c r="C123" s="384">
        <v>29050</v>
      </c>
      <c r="D123" s="384">
        <f>7291+3441</f>
        <v>10732</v>
      </c>
      <c r="E123" s="384">
        <f>72</f>
        <v>72</v>
      </c>
      <c r="F123" s="386">
        <f>800</f>
        <v>800</v>
      </c>
      <c r="G123" s="384">
        <f>227</f>
        <v>227</v>
      </c>
      <c r="H123" s="394">
        <v>0</v>
      </c>
      <c r="I123" s="382">
        <v>28190.499999999996</v>
      </c>
      <c r="J123" s="381">
        <v>0</v>
      </c>
      <c r="K123" s="381">
        <v>0</v>
      </c>
      <c r="L123" s="394">
        <v>0</v>
      </c>
      <c r="M123" s="381"/>
      <c r="N123" s="381"/>
      <c r="O123" s="381"/>
      <c r="P123" s="384">
        <f>(8*27)+(2*4.5)+(6*35)</f>
        <v>435</v>
      </c>
      <c r="Q123" s="384">
        <v>15000</v>
      </c>
      <c r="R123" s="384">
        <f>7.2*1000</f>
        <v>7200</v>
      </c>
      <c r="S123" s="384">
        <v>20070</v>
      </c>
      <c r="T123" s="386">
        <v>21.1</v>
      </c>
      <c r="U123" s="384" t="s">
        <v>550</v>
      </c>
      <c r="V123" s="384">
        <v>53.9</v>
      </c>
      <c r="W123" s="384">
        <v>996</v>
      </c>
      <c r="X123" s="384">
        <v>250</v>
      </c>
      <c r="Y123" s="560">
        <v>600</v>
      </c>
      <c r="Z123" s="560">
        <v>400</v>
      </c>
      <c r="AA123" s="613"/>
      <c r="AB123" s="613"/>
      <c r="AC123" s="540"/>
      <c r="AF123" s="92"/>
      <c r="AG123" s="92"/>
      <c r="AH123" s="92"/>
      <c r="AI123" s="92"/>
      <c r="AJ123" s="92"/>
      <c r="AK123" s="92"/>
    </row>
    <row r="124" spans="1:37" ht="17" customHeight="1" x14ac:dyDescent="0.2">
      <c r="A124" s="11">
        <v>45170</v>
      </c>
      <c r="B124" s="384">
        <v>139580</v>
      </c>
      <c r="C124" s="384">
        <v>18300</v>
      </c>
      <c r="D124" s="384">
        <f>7713+3422</f>
        <v>11135</v>
      </c>
      <c r="E124" s="384">
        <f>70</f>
        <v>70</v>
      </c>
      <c r="F124" s="386">
        <f>731</f>
        <v>731</v>
      </c>
      <c r="G124" s="384">
        <f>261</f>
        <v>261</v>
      </c>
      <c r="H124" s="394">
        <v>0</v>
      </c>
      <c r="I124" s="382">
        <v>30387</v>
      </c>
      <c r="J124" s="381">
        <v>74</v>
      </c>
      <c r="K124" s="381">
        <v>0</v>
      </c>
      <c r="L124" s="394">
        <v>0</v>
      </c>
      <c r="M124" s="381"/>
      <c r="N124" s="381"/>
      <c r="O124" s="381"/>
      <c r="P124" s="384">
        <f>(19*27)+(4*4.5)</f>
        <v>531</v>
      </c>
      <c r="Q124" s="384">
        <v>15000</v>
      </c>
      <c r="R124" s="384">
        <f>11.215*1000</f>
        <v>11215</v>
      </c>
      <c r="S124" s="384">
        <v>37770</v>
      </c>
      <c r="T124" s="386">
        <v>17.600000000000001</v>
      </c>
      <c r="U124" s="384" t="s">
        <v>550</v>
      </c>
      <c r="V124" s="384">
        <f>43.75</f>
        <v>43.75</v>
      </c>
      <c r="W124" s="384">
        <v>0</v>
      </c>
      <c r="X124" s="384">
        <v>180</v>
      </c>
      <c r="Y124" s="560">
        <v>800</v>
      </c>
      <c r="Z124" s="560">
        <v>400</v>
      </c>
      <c r="AA124" s="542"/>
      <c r="AB124" s="542"/>
      <c r="AC124" s="540"/>
      <c r="AF124" s="92"/>
      <c r="AG124" s="92"/>
      <c r="AH124" s="92"/>
      <c r="AI124" s="92"/>
      <c r="AJ124" s="92"/>
      <c r="AK124" s="92"/>
    </row>
    <row r="125" spans="1:37" ht="17" x14ac:dyDescent="0.2">
      <c r="A125" s="11">
        <v>45200</v>
      </c>
      <c r="B125" s="384">
        <v>133760</v>
      </c>
      <c r="C125" s="384">
        <v>17930</v>
      </c>
      <c r="D125" s="384">
        <f>8080+3224</f>
        <v>11304</v>
      </c>
      <c r="E125" s="384">
        <v>72</v>
      </c>
      <c r="F125" s="386">
        <v>661</v>
      </c>
      <c r="G125" s="384">
        <v>323</v>
      </c>
      <c r="H125" s="394">
        <v>0</v>
      </c>
      <c r="I125" s="382">
        <v>30156.499999999996</v>
      </c>
      <c r="J125" s="381">
        <v>77</v>
      </c>
      <c r="K125" s="381">
        <v>0</v>
      </c>
      <c r="L125" s="394">
        <v>0</v>
      </c>
      <c r="M125" s="381"/>
      <c r="N125" s="381"/>
      <c r="O125" s="381"/>
      <c r="P125" s="384">
        <f>(13*27)+(3*4.5)</f>
        <v>364.5</v>
      </c>
      <c r="Q125" s="384">
        <v>15000</v>
      </c>
      <c r="R125" s="384">
        <f>1000*9.565</f>
        <v>9565</v>
      </c>
      <c r="S125" s="384">
        <v>20910</v>
      </c>
      <c r="T125" s="386">
        <v>0</v>
      </c>
      <c r="U125" s="384" t="s">
        <v>550</v>
      </c>
      <c r="V125" s="384">
        <v>19.600000000000001</v>
      </c>
      <c r="W125" s="384">
        <v>1412</v>
      </c>
      <c r="X125" s="384">
        <v>170</v>
      </c>
      <c r="Y125" s="560">
        <v>400</v>
      </c>
      <c r="Z125" s="560">
        <v>200</v>
      </c>
      <c r="AA125" s="542"/>
      <c r="AB125" s="542"/>
      <c r="AC125" s="540"/>
      <c r="AF125" s="92"/>
      <c r="AG125" s="92"/>
      <c r="AH125" s="92"/>
      <c r="AI125" s="92"/>
      <c r="AJ125" s="92"/>
      <c r="AK125" s="92"/>
    </row>
    <row r="126" spans="1:37" ht="17" x14ac:dyDescent="0.2">
      <c r="A126" s="11">
        <v>45253</v>
      </c>
      <c r="B126" s="384">
        <v>138502</v>
      </c>
      <c r="C126" s="384">
        <v>19760</v>
      </c>
      <c r="D126" s="384">
        <f>9388+4072</f>
        <v>13460</v>
      </c>
      <c r="E126" s="384">
        <v>86</v>
      </c>
      <c r="F126" s="386">
        <v>666</v>
      </c>
      <c r="G126" s="384">
        <v>399</v>
      </c>
      <c r="H126" s="394">
        <v>0</v>
      </c>
      <c r="I126" s="382">
        <v>42615.9</v>
      </c>
      <c r="J126" s="381">
        <v>0</v>
      </c>
      <c r="K126" s="381">
        <v>0</v>
      </c>
      <c r="L126" s="394">
        <v>0</v>
      </c>
      <c r="M126" s="381"/>
      <c r="N126" s="381"/>
      <c r="O126" s="381"/>
      <c r="P126" s="384">
        <f>(12*27)+(5*4.5)+391</f>
        <v>737.5</v>
      </c>
      <c r="Q126" s="384">
        <v>12000</v>
      </c>
      <c r="R126" s="384">
        <f>1000*7.803</f>
        <v>7803</v>
      </c>
      <c r="S126" s="384">
        <v>15947</v>
      </c>
      <c r="T126" s="386">
        <v>27.2</v>
      </c>
      <c r="U126" s="384" t="s">
        <v>549</v>
      </c>
      <c r="V126" s="384">
        <v>20.6</v>
      </c>
      <c r="W126" s="384">
        <v>975</v>
      </c>
      <c r="X126" s="384">
        <v>190</v>
      </c>
      <c r="Y126" s="560">
        <v>800</v>
      </c>
      <c r="Z126" s="565">
        <v>400</v>
      </c>
      <c r="AA126" s="542"/>
      <c r="AB126" s="542"/>
      <c r="AC126" s="540"/>
      <c r="AF126" s="92"/>
      <c r="AG126" s="92"/>
      <c r="AH126" s="92"/>
      <c r="AI126" s="92"/>
      <c r="AJ126" s="92"/>
      <c r="AK126" s="92"/>
    </row>
    <row r="127" spans="1:37" ht="17" x14ac:dyDescent="0.2">
      <c r="A127" s="11">
        <v>45261</v>
      </c>
      <c r="B127" s="384">
        <v>128817.99999999999</v>
      </c>
      <c r="C127" s="384">
        <v>19890</v>
      </c>
      <c r="D127" s="384">
        <f>9155+4287</f>
        <v>13442</v>
      </c>
      <c r="E127" s="384">
        <v>83</v>
      </c>
      <c r="F127" s="386">
        <v>259</v>
      </c>
      <c r="G127" s="384">
        <v>379</v>
      </c>
      <c r="H127" s="394">
        <v>0</v>
      </c>
      <c r="I127" s="382">
        <v>35693.299999999996</v>
      </c>
      <c r="J127" s="381">
        <v>0</v>
      </c>
      <c r="K127" s="381">
        <v>0</v>
      </c>
      <c r="L127" s="394">
        <v>0</v>
      </c>
      <c r="M127" s="381"/>
      <c r="N127" s="381"/>
      <c r="O127" s="381"/>
      <c r="P127" s="384">
        <f>838+447</f>
        <v>1285</v>
      </c>
      <c r="Q127" s="384">
        <v>15000</v>
      </c>
      <c r="R127" s="384">
        <f>19.833*1000</f>
        <v>19833</v>
      </c>
      <c r="S127" s="384">
        <f>7885</f>
        <v>7885</v>
      </c>
      <c r="T127" s="386">
        <v>0</v>
      </c>
      <c r="U127" s="384" t="s">
        <v>549</v>
      </c>
      <c r="V127" s="384">
        <v>17.8</v>
      </c>
      <c r="W127" s="384">
        <v>856</v>
      </c>
      <c r="X127" s="384">
        <v>180</v>
      </c>
      <c r="Y127" s="560">
        <v>1200</v>
      </c>
      <c r="Z127" s="565">
        <v>600</v>
      </c>
      <c r="AA127" s="542"/>
      <c r="AB127" s="542"/>
      <c r="AC127" s="540"/>
      <c r="AF127" s="92"/>
      <c r="AG127" s="92"/>
      <c r="AH127" s="92"/>
      <c r="AI127" s="92"/>
      <c r="AJ127" s="92"/>
      <c r="AK127" s="92"/>
    </row>
    <row r="128" spans="1:37" ht="17" x14ac:dyDescent="0.2">
      <c r="A128" s="11">
        <v>45292</v>
      </c>
      <c r="B128" s="384">
        <f>109960+48</f>
        <v>110008</v>
      </c>
      <c r="C128" s="384">
        <v>20330</v>
      </c>
      <c r="D128" s="384">
        <v>13416</v>
      </c>
      <c r="E128" s="384">
        <v>75</v>
      </c>
      <c r="F128" s="386">
        <v>660</v>
      </c>
      <c r="G128" s="384">
        <v>359</v>
      </c>
      <c r="H128" s="394">
        <v>0</v>
      </c>
      <c r="I128" s="382">
        <v>29377.9</v>
      </c>
      <c r="J128" s="395">
        <v>371</v>
      </c>
      <c r="K128" s="395">
        <v>128</v>
      </c>
      <c r="L128" s="394">
        <v>0</v>
      </c>
      <c r="M128" s="384"/>
      <c r="N128" s="384"/>
      <c r="O128" s="384"/>
      <c r="P128" s="384">
        <f>435+482.5</f>
        <v>917.5</v>
      </c>
      <c r="Q128" s="384">
        <v>18000</v>
      </c>
      <c r="R128" s="384">
        <v>21650</v>
      </c>
      <c r="S128" s="384">
        <v>7650</v>
      </c>
      <c r="T128" s="386">
        <v>6</v>
      </c>
      <c r="U128" s="384" t="s">
        <v>549</v>
      </c>
      <c r="V128" s="384">
        <v>19.8</v>
      </c>
      <c r="W128" s="384">
        <v>0</v>
      </c>
      <c r="X128" s="384">
        <v>200</v>
      </c>
      <c r="Y128" s="560">
        <v>800</v>
      </c>
      <c r="Z128" s="560">
        <v>400</v>
      </c>
      <c r="AA128" s="542"/>
      <c r="AB128" s="542"/>
      <c r="AC128" s="540"/>
      <c r="AF128" s="92"/>
      <c r="AG128" s="92"/>
      <c r="AH128" s="92"/>
      <c r="AI128" s="92"/>
      <c r="AJ128" s="92"/>
      <c r="AK128" s="92"/>
    </row>
    <row r="129" spans="1:33" ht="17" x14ac:dyDescent="0.2">
      <c r="A129" s="11">
        <v>45323</v>
      </c>
      <c r="B129" s="396">
        <f>107.19*1000+9.9</f>
        <v>107199.9</v>
      </c>
      <c r="C129" s="384">
        <f>15.82*1000</f>
        <v>15820</v>
      </c>
      <c r="D129" s="384">
        <f>8541+4048</f>
        <v>12589</v>
      </c>
      <c r="E129" s="384">
        <v>75</v>
      </c>
      <c r="F129" s="386">
        <v>243</v>
      </c>
      <c r="G129" s="384">
        <v>356</v>
      </c>
      <c r="H129" s="394">
        <v>0</v>
      </c>
      <c r="I129" s="382">
        <v>35652.6</v>
      </c>
      <c r="J129" s="395">
        <v>201</v>
      </c>
      <c r="K129" s="395">
        <v>115</v>
      </c>
      <c r="L129" s="394">
        <v>0</v>
      </c>
      <c r="M129" s="384"/>
      <c r="N129" s="384"/>
      <c r="O129" s="384"/>
      <c r="P129" s="384">
        <f>218.1+135</f>
        <v>353.1</v>
      </c>
      <c r="Q129" s="384">
        <v>15000</v>
      </c>
      <c r="R129" s="395">
        <v>15470</v>
      </c>
      <c r="S129" s="395">
        <v>6340</v>
      </c>
      <c r="T129" s="395">
        <v>4.7</v>
      </c>
      <c r="U129" s="384" t="s">
        <v>549</v>
      </c>
      <c r="V129" s="384">
        <v>15.4</v>
      </c>
      <c r="W129" s="384">
        <v>698</v>
      </c>
      <c r="X129" s="397">
        <v>160</v>
      </c>
      <c r="Y129" s="561">
        <v>800</v>
      </c>
      <c r="Z129" s="561">
        <v>200</v>
      </c>
      <c r="AA129" s="542"/>
      <c r="AB129" s="542"/>
      <c r="AC129" s="540"/>
    </row>
    <row r="130" spans="1:33" ht="17" x14ac:dyDescent="0.2">
      <c r="A130" s="11">
        <v>45352</v>
      </c>
      <c r="B130" s="384">
        <f>124360+49.7</f>
        <v>124409.7</v>
      </c>
      <c r="C130" s="384">
        <v>17340</v>
      </c>
      <c r="D130" s="384">
        <v>13346</v>
      </c>
      <c r="E130" s="384">
        <v>78</v>
      </c>
      <c r="F130" s="386">
        <v>455</v>
      </c>
      <c r="G130" s="384">
        <v>393</v>
      </c>
      <c r="H130" s="394">
        <v>0</v>
      </c>
      <c r="I130" s="382">
        <v>43510.8</v>
      </c>
      <c r="J130" s="397">
        <v>0</v>
      </c>
      <c r="K130" s="395">
        <v>0</v>
      </c>
      <c r="L130" s="394">
        <v>0</v>
      </c>
      <c r="M130" s="384"/>
      <c r="N130" s="384"/>
      <c r="O130" s="384"/>
      <c r="P130" s="384">
        <f>425+360</f>
        <v>785</v>
      </c>
      <c r="Q130" s="384">
        <v>15000</v>
      </c>
      <c r="R130" s="395">
        <v>17465</v>
      </c>
      <c r="S130" s="395">
        <v>6740</v>
      </c>
      <c r="T130" s="395">
        <v>32.6</v>
      </c>
      <c r="U130" s="384" t="s">
        <v>549</v>
      </c>
      <c r="V130" s="384">
        <v>22.8</v>
      </c>
      <c r="W130" s="384">
        <v>597</v>
      </c>
      <c r="X130" s="384">
        <v>130</v>
      </c>
      <c r="Y130" s="559">
        <v>400</v>
      </c>
      <c r="Z130" s="559">
        <v>400</v>
      </c>
      <c r="AA130" s="542"/>
      <c r="AB130" s="542"/>
      <c r="AC130" s="540"/>
    </row>
    <row r="131" spans="1:33" ht="17" x14ac:dyDescent="0.2">
      <c r="A131" s="11">
        <v>45383</v>
      </c>
      <c r="B131" s="384">
        <v>118019</v>
      </c>
      <c r="C131" s="384">
        <v>18260</v>
      </c>
      <c r="D131" s="384">
        <v>12371</v>
      </c>
      <c r="E131" s="384">
        <v>79</v>
      </c>
      <c r="F131" s="386">
        <v>660</v>
      </c>
      <c r="G131" s="384">
        <v>413</v>
      </c>
      <c r="H131" s="395">
        <v>0</v>
      </c>
      <c r="I131" s="382">
        <v>39601</v>
      </c>
      <c r="J131" s="395">
        <v>40</v>
      </c>
      <c r="K131" s="395">
        <v>210</v>
      </c>
      <c r="L131" s="395">
        <v>0</v>
      </c>
      <c r="M131" s="384"/>
      <c r="N131" s="384"/>
      <c r="O131" s="384"/>
      <c r="P131" s="384">
        <f>242+198</f>
        <v>440</v>
      </c>
      <c r="Q131" s="384">
        <v>15000</v>
      </c>
      <c r="R131" s="395">
        <v>6415</v>
      </c>
      <c r="S131" s="395">
        <v>13000</v>
      </c>
      <c r="T131" s="395">
        <v>22.8</v>
      </c>
      <c r="U131" s="384" t="s">
        <v>549</v>
      </c>
      <c r="V131" s="384">
        <v>64.8</v>
      </c>
      <c r="W131" s="384">
        <v>917</v>
      </c>
      <c r="X131" s="384">
        <v>200</v>
      </c>
      <c r="Y131" s="559">
        <v>600</v>
      </c>
      <c r="Z131" s="559">
        <v>200</v>
      </c>
      <c r="AA131" s="542"/>
      <c r="AB131" s="542"/>
      <c r="AC131" s="615"/>
      <c r="AF131" s="354"/>
    </row>
    <row r="132" spans="1:33" ht="17" x14ac:dyDescent="0.2">
      <c r="A132" s="11">
        <v>45413</v>
      </c>
      <c r="B132" s="384">
        <v>146460</v>
      </c>
      <c r="C132" s="384">
        <v>21780</v>
      </c>
      <c r="D132" s="384">
        <v>13434</v>
      </c>
      <c r="E132" s="384">
        <v>83</v>
      </c>
      <c r="F132" s="386">
        <v>674</v>
      </c>
      <c r="G132" s="384">
        <v>396</v>
      </c>
      <c r="H132" s="398">
        <v>0</v>
      </c>
      <c r="I132" s="382">
        <v>40905.300000000003</v>
      </c>
      <c r="J132" s="395">
        <v>41</v>
      </c>
      <c r="K132" s="395">
        <v>74</v>
      </c>
      <c r="L132" s="395">
        <v>0</v>
      </c>
      <c r="M132" s="384"/>
      <c r="N132" s="384"/>
      <c r="O132" s="384"/>
      <c r="P132" s="384">
        <v>359</v>
      </c>
      <c r="Q132" s="384">
        <v>12000</v>
      </c>
      <c r="R132" s="399">
        <v>7575</v>
      </c>
      <c r="S132" s="399">
        <v>11695</v>
      </c>
      <c r="T132" s="395">
        <v>35.700000000000003</v>
      </c>
      <c r="U132" s="384" t="s">
        <v>549</v>
      </c>
      <c r="V132" s="381">
        <v>70.2</v>
      </c>
      <c r="W132" s="384">
        <v>321</v>
      </c>
      <c r="X132" s="384">
        <v>150</v>
      </c>
      <c r="Y132" s="559">
        <v>800</v>
      </c>
      <c r="Z132" s="559">
        <v>400</v>
      </c>
      <c r="AA132" s="542"/>
      <c r="AB132" s="542"/>
      <c r="AC132" s="615"/>
      <c r="AF132" s="354"/>
    </row>
    <row r="133" spans="1:33" ht="17" x14ac:dyDescent="0.2">
      <c r="A133" s="11">
        <v>45444</v>
      </c>
      <c r="B133" s="384">
        <v>126612</v>
      </c>
      <c r="C133" s="384">
        <v>19770</v>
      </c>
      <c r="D133" s="384">
        <v>12778</v>
      </c>
      <c r="E133" s="384">
        <v>84</v>
      </c>
      <c r="F133" s="386">
        <v>1003</v>
      </c>
      <c r="G133" s="384">
        <v>366</v>
      </c>
      <c r="H133" s="395">
        <v>0</v>
      </c>
      <c r="I133" s="382">
        <v>30060</v>
      </c>
      <c r="J133" s="395">
        <v>0</v>
      </c>
      <c r="K133" s="395">
        <v>0</v>
      </c>
      <c r="L133" s="395">
        <v>0</v>
      </c>
      <c r="M133" s="395"/>
      <c r="N133" s="395"/>
      <c r="O133" s="395"/>
      <c r="P133" s="384">
        <v>372.5</v>
      </c>
      <c r="Q133" s="384">
        <v>18000</v>
      </c>
      <c r="R133" s="395">
        <v>4565</v>
      </c>
      <c r="S133" s="395">
        <v>14570</v>
      </c>
      <c r="T133" s="395">
        <v>33.700000000000003</v>
      </c>
      <c r="U133" s="384" t="s">
        <v>549</v>
      </c>
      <c r="V133" s="381">
        <v>81</v>
      </c>
      <c r="W133" s="384">
        <v>612</v>
      </c>
      <c r="X133" s="384">
        <v>150</v>
      </c>
      <c r="Y133" s="559">
        <v>400</v>
      </c>
      <c r="Z133" s="559">
        <v>200</v>
      </c>
      <c r="AA133" s="542"/>
      <c r="AB133" s="614"/>
      <c r="AC133" s="540"/>
      <c r="AF133" s="354"/>
    </row>
    <row r="134" spans="1:33" ht="17" x14ac:dyDescent="0.2">
      <c r="A134" s="11">
        <v>45474</v>
      </c>
      <c r="B134" s="382">
        <f>137128.6+202</f>
        <v>137330.6</v>
      </c>
      <c r="C134" s="382">
        <v>23390</v>
      </c>
      <c r="D134" s="382">
        <f>8765+3647</f>
        <v>12412</v>
      </c>
      <c r="E134" s="382">
        <v>86</v>
      </c>
      <c r="F134" s="382">
        <v>808</v>
      </c>
      <c r="G134" s="382">
        <v>361</v>
      </c>
      <c r="H134" s="382">
        <v>0</v>
      </c>
      <c r="I134" s="382">
        <v>34108.800000000003</v>
      </c>
      <c r="J134" s="382">
        <v>0</v>
      </c>
      <c r="K134" s="382">
        <v>0</v>
      </c>
      <c r="L134" s="382">
        <v>0</v>
      </c>
      <c r="M134" s="382"/>
      <c r="N134" s="382"/>
      <c r="O134" s="382"/>
      <c r="P134" s="382">
        <f>1318+141.5</f>
        <v>1459.5</v>
      </c>
      <c r="Q134" s="400">
        <v>18000</v>
      </c>
      <c r="R134" s="382">
        <v>6540</v>
      </c>
      <c r="S134" s="382">
        <v>13230</v>
      </c>
      <c r="T134" s="382">
        <v>11.7</v>
      </c>
      <c r="U134" s="382" t="s">
        <v>549</v>
      </c>
      <c r="V134" s="382">
        <v>62</v>
      </c>
      <c r="W134" s="382">
        <v>704</v>
      </c>
      <c r="X134" s="382">
        <v>210</v>
      </c>
      <c r="Y134" s="562">
        <v>800</v>
      </c>
      <c r="Z134" s="562">
        <v>400</v>
      </c>
      <c r="AA134" s="542"/>
      <c r="AB134" s="540"/>
      <c r="AC134" s="540"/>
      <c r="AF134" s="354"/>
      <c r="AG134" s="407"/>
    </row>
    <row r="135" spans="1:33" ht="17" x14ac:dyDescent="0.2">
      <c r="A135" s="11">
        <v>45505</v>
      </c>
      <c r="B135" s="382">
        <f>120300+37</f>
        <v>120337</v>
      </c>
      <c r="C135" s="382">
        <v>19700</v>
      </c>
      <c r="D135" s="382">
        <v>13553</v>
      </c>
      <c r="E135" s="382">
        <v>87</v>
      </c>
      <c r="F135" s="382">
        <v>300</v>
      </c>
      <c r="G135" s="382">
        <v>366</v>
      </c>
      <c r="H135" s="382">
        <v>0</v>
      </c>
      <c r="I135" s="382">
        <v>36595.5</v>
      </c>
      <c r="J135" s="382">
        <v>26</v>
      </c>
      <c r="K135" s="382">
        <v>88</v>
      </c>
      <c r="L135" s="382">
        <v>0</v>
      </c>
      <c r="M135" s="382"/>
      <c r="N135" s="382"/>
      <c r="O135" s="382"/>
      <c r="P135" s="382">
        <f>237+(27*4+35*5+4.5*6+27)</f>
        <v>574</v>
      </c>
      <c r="Q135" s="400">
        <v>21000</v>
      </c>
      <c r="R135" s="382">
        <v>7880</v>
      </c>
      <c r="S135" s="382">
        <v>16335</v>
      </c>
      <c r="T135" s="382">
        <v>12.2</v>
      </c>
      <c r="U135" s="382" t="s">
        <v>549</v>
      </c>
      <c r="V135" s="382">
        <v>65</v>
      </c>
      <c r="W135" s="401">
        <v>479</v>
      </c>
      <c r="X135" s="401">
        <v>150</v>
      </c>
      <c r="Y135" s="562">
        <v>800</v>
      </c>
      <c r="Z135" s="562">
        <v>400</v>
      </c>
      <c r="AA135" s="542"/>
      <c r="AB135" s="540"/>
      <c r="AC135" s="540"/>
      <c r="AF135" s="354"/>
      <c r="AG135" s="407"/>
    </row>
    <row r="136" spans="1:33" ht="17" x14ac:dyDescent="0.2">
      <c r="A136" s="11">
        <v>45536</v>
      </c>
      <c r="B136" s="382">
        <f>134870+40</f>
        <v>134910</v>
      </c>
      <c r="C136" s="382">
        <v>19020</v>
      </c>
      <c r="D136" s="382">
        <v>13355</v>
      </c>
      <c r="E136" s="382">
        <v>88</v>
      </c>
      <c r="F136" s="382">
        <v>520</v>
      </c>
      <c r="G136" s="382">
        <v>349</v>
      </c>
      <c r="H136" s="382">
        <v>0</v>
      </c>
      <c r="I136" s="382">
        <v>46111.7</v>
      </c>
      <c r="J136" s="382">
        <v>27</v>
      </c>
      <c r="K136" s="382">
        <v>57</v>
      </c>
      <c r="L136" s="382">
        <v>0</v>
      </c>
      <c r="M136" s="382"/>
      <c r="N136" s="382"/>
      <c r="O136" s="382"/>
      <c r="P136" s="382">
        <f>229+7+(27*3+35*6+35*7+27*44)</f>
        <v>1960</v>
      </c>
      <c r="Q136" s="391">
        <v>12000</v>
      </c>
      <c r="R136" s="382">
        <v>6620</v>
      </c>
      <c r="S136" s="382">
        <v>17160</v>
      </c>
      <c r="T136" s="391">
        <v>14.6</v>
      </c>
      <c r="U136" s="382" t="s">
        <v>549</v>
      </c>
      <c r="V136" s="382">
        <v>79</v>
      </c>
      <c r="W136" s="382">
        <v>432</v>
      </c>
      <c r="X136" s="382">
        <v>140</v>
      </c>
      <c r="Y136" s="562">
        <v>400</v>
      </c>
      <c r="Z136" s="562">
        <v>200</v>
      </c>
      <c r="AA136" s="542"/>
      <c r="AB136" s="540"/>
      <c r="AC136" s="540"/>
      <c r="AF136" s="354"/>
      <c r="AG136" s="407"/>
    </row>
    <row r="137" spans="1:33" ht="17" x14ac:dyDescent="0.2">
      <c r="A137" s="11">
        <v>45566</v>
      </c>
      <c r="B137" s="382">
        <v>139170</v>
      </c>
      <c r="C137" s="382">
        <v>17510</v>
      </c>
      <c r="D137" s="382">
        <f>10104+4291</f>
        <v>14395</v>
      </c>
      <c r="E137" s="382">
        <v>110</v>
      </c>
      <c r="F137" s="382">
        <v>621</v>
      </c>
      <c r="G137" s="382">
        <v>394</v>
      </c>
      <c r="H137" s="382">
        <v>0</v>
      </c>
      <c r="I137" s="382">
        <v>50542.2</v>
      </c>
      <c r="J137" s="382">
        <v>99</v>
      </c>
      <c r="K137" s="382">
        <v>40</v>
      </c>
      <c r="L137" s="382">
        <v>0</v>
      </c>
      <c r="M137" s="382"/>
      <c r="N137" s="382"/>
      <c r="O137" s="382"/>
      <c r="P137" s="354">
        <f>34*27+5*4.5+4.5</f>
        <v>945</v>
      </c>
      <c r="Q137" s="400">
        <v>12000</v>
      </c>
      <c r="R137" s="382">
        <v>6395</v>
      </c>
      <c r="S137" s="382">
        <v>16830</v>
      </c>
      <c r="T137" s="391">
        <v>10.6</v>
      </c>
      <c r="U137" s="382" t="s">
        <v>549</v>
      </c>
      <c r="V137" s="382">
        <v>85</v>
      </c>
      <c r="W137" s="382">
        <v>483.3</v>
      </c>
      <c r="X137" s="382">
        <v>140</v>
      </c>
      <c r="Y137" s="562">
        <v>800</v>
      </c>
      <c r="Z137" s="562">
        <v>400</v>
      </c>
      <c r="AA137" s="542"/>
      <c r="AB137" s="540"/>
      <c r="AC137" s="540"/>
      <c r="AF137" s="354"/>
      <c r="AG137" s="407"/>
    </row>
    <row r="138" spans="1:33" ht="17" x14ac:dyDescent="0.2">
      <c r="A138" s="11">
        <v>45597</v>
      </c>
      <c r="B138" s="382">
        <v>140950</v>
      </c>
      <c r="C138" s="382">
        <v>16470</v>
      </c>
      <c r="D138" s="382">
        <f>9802+4178</f>
        <v>13980</v>
      </c>
      <c r="E138" s="382">
        <v>101</v>
      </c>
      <c r="F138" s="382">
        <v>979</v>
      </c>
      <c r="G138" s="382">
        <v>374</v>
      </c>
      <c r="H138" s="382">
        <v>0</v>
      </c>
      <c r="I138" s="382">
        <v>50742.400000000009</v>
      </c>
      <c r="J138" s="382">
        <v>11</v>
      </c>
      <c r="K138" s="354">
        <v>30</v>
      </c>
      <c r="L138" s="382">
        <v>0</v>
      </c>
      <c r="M138" s="382"/>
      <c r="N138" s="382"/>
      <c r="O138" s="382"/>
      <c r="P138" s="382">
        <v>252</v>
      </c>
      <c r="Q138" s="400">
        <v>18000</v>
      </c>
      <c r="R138" s="382">
        <v>6575</v>
      </c>
      <c r="S138" s="382">
        <v>12345</v>
      </c>
      <c r="T138" s="391">
        <v>6.7</v>
      </c>
      <c r="U138" s="382" t="s">
        <v>549</v>
      </c>
      <c r="V138" s="382">
        <v>77</v>
      </c>
      <c r="W138" s="382">
        <v>597</v>
      </c>
      <c r="X138" s="382" t="s">
        <v>549</v>
      </c>
      <c r="Y138" s="562">
        <v>800</v>
      </c>
      <c r="Z138" s="562">
        <v>200</v>
      </c>
      <c r="AA138" s="542"/>
      <c r="AB138" s="540"/>
      <c r="AC138" s="540"/>
      <c r="AF138" s="354"/>
      <c r="AG138" s="407"/>
    </row>
    <row r="139" spans="1:33" ht="17" x14ac:dyDescent="0.2">
      <c r="A139" s="11">
        <v>45627</v>
      </c>
      <c r="B139" s="382">
        <v>125300</v>
      </c>
      <c r="C139" s="382">
        <v>18200</v>
      </c>
      <c r="D139" s="382">
        <f>9342+3734</f>
        <v>13076</v>
      </c>
      <c r="E139" s="382">
        <v>89</v>
      </c>
      <c r="F139" s="382">
        <v>786</v>
      </c>
      <c r="G139" s="382">
        <v>327</v>
      </c>
      <c r="H139" s="382">
        <v>0</v>
      </c>
      <c r="I139" s="382">
        <v>42777</v>
      </c>
      <c r="J139" s="382">
        <v>15</v>
      </c>
      <c r="K139" s="382">
        <v>76</v>
      </c>
      <c r="L139" s="382">
        <v>0</v>
      </c>
      <c r="M139" s="382"/>
      <c r="N139" s="382"/>
      <c r="O139" s="382"/>
      <c r="P139" s="382">
        <v>324</v>
      </c>
      <c r="Q139" s="400">
        <v>12000</v>
      </c>
      <c r="R139" s="382">
        <v>4805</v>
      </c>
      <c r="S139" s="382">
        <v>10635</v>
      </c>
      <c r="T139" s="391">
        <v>13.4</v>
      </c>
      <c r="U139" s="382" t="s">
        <v>549</v>
      </c>
      <c r="V139" s="382">
        <v>69</v>
      </c>
      <c r="W139" s="382">
        <v>500.3</v>
      </c>
      <c r="X139" s="382">
        <v>130</v>
      </c>
      <c r="Y139" s="562">
        <v>800</v>
      </c>
      <c r="Z139" s="562">
        <v>400</v>
      </c>
      <c r="AA139" s="542"/>
      <c r="AB139" s="540"/>
      <c r="AC139" s="540"/>
      <c r="AF139" s="354"/>
      <c r="AG139" s="407"/>
    </row>
    <row r="140" spans="1:33" ht="17" x14ac:dyDescent="0.2">
      <c r="A140" s="11">
        <v>45658</v>
      </c>
      <c r="B140" s="382">
        <v>110380</v>
      </c>
      <c r="C140" s="382">
        <v>13520</v>
      </c>
      <c r="D140" s="382">
        <f>8584+3596</f>
        <v>12180</v>
      </c>
      <c r="E140" s="382">
        <v>85</v>
      </c>
      <c r="F140" s="382">
        <v>252</v>
      </c>
      <c r="G140" s="382">
        <v>306</v>
      </c>
      <c r="H140" s="382">
        <v>0</v>
      </c>
      <c r="I140" s="382">
        <v>32055</v>
      </c>
      <c r="J140" s="382">
        <v>0</v>
      </c>
      <c r="K140" s="382">
        <v>0</v>
      </c>
      <c r="L140" s="382">
        <v>0</v>
      </c>
      <c r="M140" s="382"/>
      <c r="N140" s="382"/>
      <c r="O140" s="382"/>
      <c r="P140" s="382">
        <f>432+270</f>
        <v>702</v>
      </c>
      <c r="Q140" s="400">
        <v>15000</v>
      </c>
      <c r="R140" s="382">
        <v>6125</v>
      </c>
      <c r="S140" s="382">
        <v>14663</v>
      </c>
      <c r="T140" s="391">
        <v>8.5</v>
      </c>
      <c r="U140" s="382" t="s">
        <v>549</v>
      </c>
      <c r="V140" s="382">
        <v>82</v>
      </c>
      <c r="W140" s="382">
        <v>535.70000000000005</v>
      </c>
      <c r="X140" s="382">
        <v>140</v>
      </c>
      <c r="Y140" s="563">
        <v>400</v>
      </c>
      <c r="Z140" s="563">
        <v>200</v>
      </c>
      <c r="AA140" s="542"/>
      <c r="AB140" s="540"/>
      <c r="AC140" s="540"/>
      <c r="AF140" s="354"/>
      <c r="AG140" s="407"/>
    </row>
    <row r="141" spans="1:33" ht="17" x14ac:dyDescent="0.2">
      <c r="A141" s="11">
        <v>45689</v>
      </c>
      <c r="B141" s="382">
        <v>125120</v>
      </c>
      <c r="C141" s="382">
        <v>14790</v>
      </c>
      <c r="D141" s="382">
        <f>9026+3793</f>
        <v>12819</v>
      </c>
      <c r="E141" s="382">
        <v>99</v>
      </c>
      <c r="F141" s="382">
        <v>755</v>
      </c>
      <c r="G141" s="382">
        <v>340</v>
      </c>
      <c r="H141" s="382">
        <v>0</v>
      </c>
      <c r="I141" s="382">
        <v>41573.300000000003</v>
      </c>
      <c r="J141" s="382">
        <v>70</v>
      </c>
      <c r="K141" s="382">
        <v>53</v>
      </c>
      <c r="L141" s="382">
        <v>0</v>
      </c>
      <c r="M141" s="382"/>
      <c r="N141" s="382"/>
      <c r="O141" s="382"/>
      <c r="P141" s="382">
        <v>403</v>
      </c>
      <c r="Q141" s="400">
        <v>12000</v>
      </c>
      <c r="R141" s="382">
        <v>6455</v>
      </c>
      <c r="S141" s="382">
        <v>10741</v>
      </c>
      <c r="T141" s="391">
        <v>21</v>
      </c>
      <c r="U141" s="382" t="s">
        <v>549</v>
      </c>
      <c r="V141" s="382">
        <v>98</v>
      </c>
      <c r="W141" s="382">
        <v>307.5</v>
      </c>
      <c r="X141" s="382">
        <v>150</v>
      </c>
      <c r="Y141" s="562">
        <v>200</v>
      </c>
      <c r="Z141" s="562">
        <v>200</v>
      </c>
      <c r="AA141" s="542"/>
      <c r="AB141" s="540"/>
      <c r="AC141" s="540"/>
      <c r="AF141" s="354"/>
      <c r="AG141" s="407"/>
    </row>
    <row r="142" spans="1:33" ht="17" x14ac:dyDescent="0.2">
      <c r="A142" s="11">
        <v>45717</v>
      </c>
      <c r="B142" s="391">
        <v>139600</v>
      </c>
      <c r="C142" s="391">
        <v>19610</v>
      </c>
      <c r="D142" s="391">
        <f>9687+4115</f>
        <v>13802</v>
      </c>
      <c r="E142" s="391">
        <v>111</v>
      </c>
      <c r="F142" s="391">
        <v>922</v>
      </c>
      <c r="G142" s="391">
        <f>385+149</f>
        <v>534</v>
      </c>
      <c r="H142" s="391">
        <v>0</v>
      </c>
      <c r="I142" s="391">
        <v>49419.1</v>
      </c>
      <c r="J142" s="391">
        <v>140</v>
      </c>
      <c r="K142" s="391">
        <v>27</v>
      </c>
      <c r="L142" s="391">
        <v>0</v>
      </c>
      <c r="M142" s="391"/>
      <c r="N142" s="391"/>
      <c r="O142" s="391"/>
      <c r="P142" s="391">
        <v>779.5</v>
      </c>
      <c r="Q142" s="391">
        <v>18000</v>
      </c>
      <c r="R142" s="391">
        <v>5720</v>
      </c>
      <c r="S142" s="391">
        <v>10890</v>
      </c>
      <c r="T142" s="391">
        <v>25</v>
      </c>
      <c r="U142" s="391" t="s">
        <v>549</v>
      </c>
      <c r="V142" s="391">
        <v>92</v>
      </c>
      <c r="W142" s="391">
        <v>913</v>
      </c>
      <c r="X142" s="391">
        <v>110</v>
      </c>
      <c r="Y142" s="564">
        <v>800</v>
      </c>
      <c r="Z142" s="564">
        <v>400</v>
      </c>
      <c r="AA142" s="542"/>
      <c r="AB142" s="540"/>
      <c r="AC142" s="540"/>
      <c r="AD142" s="540"/>
      <c r="AE142" s="540"/>
      <c r="AF142" s="540"/>
      <c r="AG142" s="110"/>
    </row>
    <row r="143" spans="1:33" ht="17" x14ac:dyDescent="0.2">
      <c r="A143" s="11">
        <v>45748</v>
      </c>
      <c r="B143" s="382">
        <v>125070</v>
      </c>
      <c r="C143" s="382">
        <v>21290</v>
      </c>
      <c r="D143" s="382">
        <f>9913+3880</f>
        <v>13793</v>
      </c>
      <c r="E143" s="382">
        <v>102</v>
      </c>
      <c r="F143" s="382">
        <v>1256</v>
      </c>
      <c r="G143" s="382">
        <v>393</v>
      </c>
      <c r="H143" s="382">
        <v>0</v>
      </c>
      <c r="I143" s="382">
        <v>42293.100000000006</v>
      </c>
      <c r="J143" s="382">
        <v>153</v>
      </c>
      <c r="K143" s="382">
        <v>51</v>
      </c>
      <c r="L143" s="382">
        <v>0</v>
      </c>
      <c r="M143" s="382"/>
      <c r="N143" s="382"/>
      <c r="O143" s="382"/>
      <c r="P143" s="382">
        <v>108.5</v>
      </c>
      <c r="Q143" s="400">
        <v>15000</v>
      </c>
      <c r="R143" s="382">
        <v>5518</v>
      </c>
      <c r="S143" s="382">
        <v>13267</v>
      </c>
      <c r="T143" s="391">
        <v>7</v>
      </c>
      <c r="U143" s="382" t="s">
        <v>549</v>
      </c>
      <c r="V143" s="382">
        <v>79</v>
      </c>
      <c r="W143" s="382">
        <v>0</v>
      </c>
      <c r="X143" s="391">
        <v>130</v>
      </c>
      <c r="Y143" s="562">
        <v>800</v>
      </c>
      <c r="Z143" s="562">
        <v>400</v>
      </c>
      <c r="AA143" s="542"/>
      <c r="AB143" s="540"/>
      <c r="AC143" s="540"/>
      <c r="AF143" s="354"/>
      <c r="AG143" s="407"/>
    </row>
    <row r="144" spans="1:33" ht="17" x14ac:dyDescent="0.2">
      <c r="A144" s="11">
        <v>45778</v>
      </c>
      <c r="B144" s="382">
        <v>140130</v>
      </c>
      <c r="C144" s="382">
        <v>19990</v>
      </c>
      <c r="D144" s="382">
        <f>9879+3720</f>
        <v>13599</v>
      </c>
      <c r="E144" s="382">
        <v>111</v>
      </c>
      <c r="F144" s="382">
        <v>1084</v>
      </c>
      <c r="G144" s="382">
        <f>418+30</f>
        <v>448</v>
      </c>
      <c r="H144" s="382">
        <v>0</v>
      </c>
      <c r="I144" s="382">
        <v>44778.400000000009</v>
      </c>
      <c r="J144" s="382">
        <v>128</v>
      </c>
      <c r="K144" s="382">
        <v>58</v>
      </c>
      <c r="L144" s="382">
        <v>0</v>
      </c>
      <c r="M144" s="382"/>
      <c r="N144" s="382"/>
      <c r="O144" s="382"/>
      <c r="P144" s="382">
        <v>475.5</v>
      </c>
      <c r="Q144" s="400">
        <v>18000</v>
      </c>
      <c r="R144" s="384">
        <v>5925</v>
      </c>
      <c r="S144" s="384">
        <v>9595</v>
      </c>
      <c r="T144" s="391">
        <v>10.1</v>
      </c>
      <c r="U144" s="382" t="s">
        <v>549</v>
      </c>
      <c r="V144" s="382">
        <v>95</v>
      </c>
      <c r="W144" s="382">
        <v>774.4</v>
      </c>
      <c r="X144" s="391">
        <v>150</v>
      </c>
      <c r="Y144" s="562">
        <v>800</v>
      </c>
      <c r="Z144" s="562">
        <v>400</v>
      </c>
      <c r="AA144" s="542"/>
      <c r="AB144" s="540"/>
      <c r="AC144" s="540"/>
      <c r="AF144" s="354"/>
    </row>
    <row r="145" spans="1:32" ht="17" x14ac:dyDescent="0.2">
      <c r="A145" s="11">
        <v>45809</v>
      </c>
      <c r="B145" s="382">
        <v>128640</v>
      </c>
      <c r="C145" s="382">
        <v>23570</v>
      </c>
      <c r="D145" s="382">
        <f>8950+3936</f>
        <v>12886</v>
      </c>
      <c r="E145" s="382">
        <v>115</v>
      </c>
      <c r="F145" s="382">
        <v>864</v>
      </c>
      <c r="G145" s="382">
        <v>393</v>
      </c>
      <c r="H145" s="382">
        <v>0</v>
      </c>
      <c r="I145" s="382">
        <v>31534.400000000001</v>
      </c>
      <c r="J145" s="382">
        <v>163</v>
      </c>
      <c r="K145" s="382">
        <v>28</v>
      </c>
      <c r="L145" s="382">
        <v>0</v>
      </c>
      <c r="M145" s="382"/>
      <c r="N145" s="382"/>
      <c r="O145" s="382"/>
      <c r="P145" s="382">
        <v>671.5</v>
      </c>
      <c r="Q145" s="400">
        <v>18000</v>
      </c>
      <c r="R145" s="384">
        <v>5780</v>
      </c>
      <c r="S145" s="384">
        <v>18235</v>
      </c>
      <c r="T145" s="391">
        <f>AVERAGE(T134:T144)</f>
        <v>12.799999999999999</v>
      </c>
      <c r="U145" s="382" t="s">
        <v>549</v>
      </c>
      <c r="V145" s="382">
        <v>83</v>
      </c>
      <c r="W145" s="382">
        <v>314.60000000000002</v>
      </c>
      <c r="X145" s="391">
        <v>100</v>
      </c>
      <c r="Y145" s="562">
        <v>800</v>
      </c>
      <c r="Z145" s="562">
        <v>400</v>
      </c>
      <c r="AA145" s="542"/>
      <c r="AB145" s="614"/>
      <c r="AC145" s="540"/>
      <c r="AD145" s="407"/>
      <c r="AF145" s="354"/>
    </row>
    <row r="146" spans="1:32" x14ac:dyDescent="0.2">
      <c r="A146" s="11">
        <v>45839</v>
      </c>
      <c r="B146" s="384">
        <v>121260</v>
      </c>
      <c r="C146" s="384">
        <v>22800</v>
      </c>
      <c r="D146" s="384">
        <f>9078+4024+657+385</f>
        <v>14144</v>
      </c>
      <c r="E146" s="384">
        <f>92+17</f>
        <v>109</v>
      </c>
      <c r="F146" s="384">
        <v>953</v>
      </c>
      <c r="G146" s="384">
        <f>326+66+41</f>
        <v>433</v>
      </c>
      <c r="H146" s="384"/>
      <c r="I146" s="384">
        <v>30759.799999999996</v>
      </c>
      <c r="J146" s="384">
        <v>135</v>
      </c>
      <c r="K146" s="384">
        <v>43</v>
      </c>
      <c r="L146" s="384"/>
      <c r="M146" s="384"/>
      <c r="N146" s="384"/>
      <c r="O146" s="384"/>
      <c r="P146" s="384"/>
      <c r="Q146" s="384">
        <v>13120</v>
      </c>
      <c r="R146" s="384">
        <v>6740</v>
      </c>
      <c r="S146" s="384">
        <v>13345</v>
      </c>
      <c r="T146" s="384">
        <v>6</v>
      </c>
      <c r="U146" s="384"/>
      <c r="V146" s="384">
        <v>83</v>
      </c>
      <c r="W146" s="384">
        <v>0</v>
      </c>
      <c r="X146" s="384"/>
      <c r="Y146" s="561">
        <v>800</v>
      </c>
      <c r="Z146" s="561">
        <v>400</v>
      </c>
      <c r="AA146" s="8"/>
      <c r="AB146" s="8"/>
      <c r="AC146" s="8"/>
      <c r="AD146" s="8"/>
      <c r="AE146" s="8"/>
    </row>
    <row r="147" spans="1:32" x14ac:dyDescent="0.2">
      <c r="A147" s="11">
        <v>45870</v>
      </c>
      <c r="B147" s="384">
        <v>130380</v>
      </c>
      <c r="C147" s="384">
        <v>25120</v>
      </c>
      <c r="D147" s="384">
        <f>9424+3980+714+395</f>
        <v>14513</v>
      </c>
      <c r="E147" s="384">
        <f>93+17</f>
        <v>110</v>
      </c>
      <c r="F147" s="384">
        <v>780</v>
      </c>
      <c r="G147" s="384">
        <f>341+65+48</f>
        <v>454</v>
      </c>
      <c r="H147" s="384"/>
      <c r="I147" s="384">
        <v>31994.2</v>
      </c>
      <c r="J147" s="384">
        <v>125</v>
      </c>
      <c r="K147" s="384">
        <v>46</v>
      </c>
      <c r="L147" s="384"/>
      <c r="M147" s="384"/>
      <c r="N147" s="384"/>
      <c r="O147" s="384"/>
      <c r="P147" s="384"/>
      <c r="Q147" s="384">
        <v>15150</v>
      </c>
      <c r="R147" s="384">
        <v>8680</v>
      </c>
      <c r="S147" s="384">
        <v>20840</v>
      </c>
      <c r="T147" s="384">
        <v>0</v>
      </c>
      <c r="U147" s="384"/>
      <c r="V147" s="384">
        <v>91</v>
      </c>
      <c r="W147" s="384">
        <v>893</v>
      </c>
      <c r="X147" s="384"/>
      <c r="Y147" s="561">
        <v>800</v>
      </c>
      <c r="Z147" s="561">
        <v>400</v>
      </c>
      <c r="AA147" s="540"/>
      <c r="AB147" s="540"/>
      <c r="AC147" s="8"/>
      <c r="AD147" s="8"/>
      <c r="AE147" s="8"/>
    </row>
    <row r="148" spans="1:32" ht="17" x14ac:dyDescent="0.2">
      <c r="A148" s="11">
        <v>45901</v>
      </c>
      <c r="B148" s="384">
        <v>141660</v>
      </c>
      <c r="C148" s="384">
        <v>24780</v>
      </c>
      <c r="D148" s="384">
        <f>9017+3930+760+409</f>
        <v>14116</v>
      </c>
      <c r="E148" s="384">
        <f>94+15</f>
        <v>109</v>
      </c>
      <c r="F148" s="384">
        <v>1806</v>
      </c>
      <c r="G148" s="384">
        <f>327+74</f>
        <v>401</v>
      </c>
      <c r="H148" s="384"/>
      <c r="I148" s="384">
        <v>42403.399999999994</v>
      </c>
      <c r="J148" s="384">
        <v>0</v>
      </c>
      <c r="K148" s="384">
        <v>0</v>
      </c>
      <c r="L148" s="384"/>
      <c r="M148" s="384"/>
      <c r="N148" s="384"/>
      <c r="O148" s="384"/>
      <c r="P148" s="384"/>
      <c r="Q148" s="384">
        <v>14305</v>
      </c>
      <c r="R148" s="384">
        <v>11010</v>
      </c>
      <c r="S148" s="384">
        <v>13360</v>
      </c>
      <c r="T148" s="384">
        <v>5</v>
      </c>
      <c r="U148" s="384"/>
      <c r="V148" s="384">
        <v>117</v>
      </c>
      <c r="W148" s="384" t="s">
        <v>549</v>
      </c>
      <c r="X148" s="384"/>
      <c r="Y148" s="561">
        <v>800</v>
      </c>
      <c r="Z148" s="561">
        <v>400</v>
      </c>
      <c r="AA148" s="354"/>
      <c r="AB148" s="354"/>
      <c r="AC148" s="8"/>
      <c r="AD148" s="8"/>
      <c r="AE148" s="8"/>
    </row>
    <row r="149" spans="1:32" x14ac:dyDescent="0.2">
      <c r="A149" s="11">
        <v>45931</v>
      </c>
      <c r="B149" s="384">
        <v>145450</v>
      </c>
      <c r="C149" s="384">
        <v>23010</v>
      </c>
      <c r="D149" s="384">
        <f>8982+3900+681+389</f>
        <v>13952</v>
      </c>
      <c r="E149" s="384">
        <f>14+90</f>
        <v>104</v>
      </c>
      <c r="F149" s="384">
        <v>1060</v>
      </c>
      <c r="G149" s="384">
        <f>310+69+13</f>
        <v>392</v>
      </c>
      <c r="H149" s="384"/>
      <c r="I149" s="384">
        <v>47055.799999999996</v>
      </c>
      <c r="J149" s="384">
        <v>0</v>
      </c>
      <c r="K149" s="384">
        <v>42</v>
      </c>
      <c r="L149" s="384"/>
      <c r="M149" s="384"/>
      <c r="N149" s="384"/>
      <c r="O149" s="384"/>
      <c r="P149" s="384"/>
      <c r="Q149" s="384">
        <v>9655</v>
      </c>
      <c r="R149" s="384">
        <v>10020</v>
      </c>
      <c r="S149" s="384">
        <v>19145</v>
      </c>
      <c r="T149" s="384">
        <v>11.5</v>
      </c>
      <c r="U149" s="543"/>
      <c r="V149" s="384">
        <v>108</v>
      </c>
      <c r="W149" s="384">
        <v>191.2</v>
      </c>
      <c r="X149" s="384"/>
      <c r="Y149" s="561">
        <v>400</v>
      </c>
      <c r="Z149" s="561">
        <v>200</v>
      </c>
      <c r="AA149" s="354"/>
      <c r="AB149" s="354"/>
      <c r="AC149" s="8"/>
      <c r="AD149" s="8"/>
      <c r="AE149" s="8"/>
    </row>
    <row r="150" spans="1:32" x14ac:dyDescent="0.2">
      <c r="A150" s="11">
        <v>45962</v>
      </c>
      <c r="B150" s="384">
        <v>150840</v>
      </c>
      <c r="C150" s="384">
        <v>23410</v>
      </c>
      <c r="D150" s="384">
        <v>14700</v>
      </c>
      <c r="E150" s="384">
        <v>120</v>
      </c>
      <c r="F150" s="384">
        <v>1382</v>
      </c>
      <c r="G150" s="384">
        <v>469</v>
      </c>
      <c r="H150" s="384"/>
      <c r="I150" s="384">
        <v>51520.399999999994</v>
      </c>
      <c r="J150" s="384">
        <v>24</v>
      </c>
      <c r="K150" s="384">
        <v>26</v>
      </c>
      <c r="L150" s="384"/>
      <c r="M150" s="384"/>
      <c r="N150" s="384"/>
      <c r="O150" s="384"/>
      <c r="P150" s="384"/>
      <c r="Q150" s="384">
        <v>9530</v>
      </c>
      <c r="R150" s="384">
        <v>8905</v>
      </c>
      <c r="S150" s="384">
        <v>15420</v>
      </c>
      <c r="T150" s="384">
        <v>7</v>
      </c>
      <c r="U150" s="384"/>
      <c r="V150" s="384">
        <v>135</v>
      </c>
      <c r="W150" s="384">
        <v>946</v>
      </c>
      <c r="X150" s="384"/>
      <c r="Y150" s="561">
        <v>800</v>
      </c>
      <c r="Z150" s="561">
        <v>400</v>
      </c>
      <c r="AA150" s="354"/>
      <c r="AB150" s="354"/>
      <c r="AC150" s="8"/>
      <c r="AD150" s="8"/>
      <c r="AE150" s="8"/>
    </row>
    <row r="151" spans="1:32" x14ac:dyDescent="0.2">
      <c r="A151" s="11">
        <v>45992</v>
      </c>
      <c r="B151" s="384">
        <v>133710</v>
      </c>
      <c r="C151" s="384">
        <v>25150</v>
      </c>
      <c r="D151" s="384">
        <v>12838</v>
      </c>
      <c r="E151" s="384">
        <v>117</v>
      </c>
      <c r="F151" s="384">
        <v>280</v>
      </c>
      <c r="G151" s="384">
        <v>431</v>
      </c>
      <c r="H151" s="384"/>
      <c r="I151" s="384">
        <v>40105.1</v>
      </c>
      <c r="J151" s="384">
        <v>0</v>
      </c>
      <c r="K151" s="384">
        <v>68</v>
      </c>
      <c r="L151" s="384"/>
      <c r="M151" s="384"/>
      <c r="N151" s="384"/>
      <c r="O151" s="384"/>
      <c r="P151" s="384"/>
      <c r="Q151" s="384">
        <v>11380</v>
      </c>
      <c r="R151" s="384">
        <v>10775</v>
      </c>
      <c r="S151" s="384">
        <v>11475</v>
      </c>
      <c r="T151" s="384">
        <v>5</v>
      </c>
      <c r="U151" s="384"/>
      <c r="V151" s="384">
        <v>96</v>
      </c>
      <c r="W151" s="384">
        <v>0</v>
      </c>
      <c r="X151" s="384"/>
      <c r="Y151" s="561">
        <v>800</v>
      </c>
      <c r="Z151" s="561">
        <v>400</v>
      </c>
      <c r="AA151" s="354"/>
      <c r="AB151" s="354"/>
      <c r="AC151" s="8"/>
      <c r="AD151" s="8"/>
      <c r="AE151" s="8"/>
    </row>
    <row r="152" spans="1:32" x14ac:dyDescent="0.2">
      <c r="A152" s="11">
        <v>46023</v>
      </c>
      <c r="B152" s="384">
        <v>114050</v>
      </c>
      <c r="C152" s="384">
        <v>23100</v>
      </c>
      <c r="D152" s="384">
        <v>13661</v>
      </c>
      <c r="E152" s="384">
        <v>115</v>
      </c>
      <c r="F152" s="384">
        <v>882</v>
      </c>
      <c r="G152" s="384">
        <v>390</v>
      </c>
      <c r="H152" s="384"/>
      <c r="I152" s="384">
        <v>30488.999999999996</v>
      </c>
      <c r="J152" s="384">
        <v>26</v>
      </c>
      <c r="K152" s="384">
        <v>23</v>
      </c>
      <c r="L152" s="384"/>
      <c r="M152" s="384"/>
      <c r="N152" s="384"/>
      <c r="O152" s="384"/>
      <c r="P152" s="384"/>
      <c r="Q152" s="384">
        <v>10865</v>
      </c>
      <c r="R152" s="384">
        <v>11975</v>
      </c>
      <c r="S152" s="384">
        <v>8510</v>
      </c>
      <c r="T152" s="384">
        <v>12</v>
      </c>
      <c r="U152" s="384"/>
      <c r="V152" s="384"/>
      <c r="W152" s="384">
        <v>1116</v>
      </c>
      <c r="X152" s="384"/>
      <c r="Y152" s="561">
        <v>800</v>
      </c>
      <c r="Z152" s="561">
        <v>400</v>
      </c>
      <c r="AA152" s="354"/>
      <c r="AB152" s="354"/>
      <c r="AC152" s="8"/>
      <c r="AD152" s="8"/>
      <c r="AE152" s="8"/>
    </row>
    <row r="153" spans="1:32" x14ac:dyDescent="0.2">
      <c r="A153" s="11">
        <v>46054</v>
      </c>
      <c r="B153" s="384">
        <v>123400</v>
      </c>
      <c r="C153" s="384">
        <v>16820</v>
      </c>
      <c r="D153" s="384">
        <v>11648</v>
      </c>
      <c r="E153" s="384">
        <v>102</v>
      </c>
      <c r="F153" s="384">
        <v>507</v>
      </c>
      <c r="G153" s="384">
        <v>302</v>
      </c>
      <c r="H153" s="384"/>
      <c r="I153" s="384"/>
      <c r="J153" s="384">
        <v>0</v>
      </c>
      <c r="K153" s="384">
        <v>0</v>
      </c>
      <c r="L153" s="384"/>
      <c r="M153" s="384"/>
      <c r="N153" s="384"/>
      <c r="O153" s="384"/>
      <c r="P153" s="384"/>
      <c r="Q153" s="384">
        <v>20659</v>
      </c>
      <c r="R153" s="384">
        <v>12319</v>
      </c>
      <c r="S153" s="384">
        <v>8672</v>
      </c>
      <c r="T153" s="384">
        <v>0</v>
      </c>
      <c r="U153" s="384"/>
      <c r="V153" s="384"/>
      <c r="W153" s="384">
        <v>0</v>
      </c>
      <c r="X153" s="384"/>
      <c r="Y153" s="561">
        <v>800</v>
      </c>
      <c r="Z153" s="561">
        <v>400</v>
      </c>
      <c r="AA153" s="354"/>
      <c r="AB153" s="354"/>
      <c r="AC153" s="8"/>
      <c r="AD153" s="8"/>
      <c r="AE153" s="8"/>
    </row>
    <row r="154" spans="1:32" x14ac:dyDescent="0.2">
      <c r="A154" s="11">
        <v>46082</v>
      </c>
      <c r="B154" s="384">
        <v>164450</v>
      </c>
      <c r="C154" s="384">
        <v>22110</v>
      </c>
      <c r="D154" s="384">
        <v>13565</v>
      </c>
      <c r="E154" s="384">
        <v>116</v>
      </c>
      <c r="F154" s="384">
        <v>1571</v>
      </c>
      <c r="G154" s="384">
        <v>432</v>
      </c>
      <c r="H154" s="384"/>
      <c r="I154" s="384">
        <v>0</v>
      </c>
      <c r="J154" s="384">
        <v>18</v>
      </c>
      <c r="K154" s="384">
        <v>32</v>
      </c>
      <c r="L154" s="384"/>
      <c r="M154" s="384"/>
      <c r="N154" s="384"/>
      <c r="O154" s="384"/>
      <c r="P154" s="384"/>
      <c r="Q154" s="384">
        <v>10009</v>
      </c>
      <c r="R154" s="384">
        <v>12478</v>
      </c>
      <c r="S154" s="384">
        <v>12330</v>
      </c>
      <c r="T154" s="384">
        <v>9.5</v>
      </c>
      <c r="U154" s="384"/>
      <c r="V154" s="384"/>
      <c r="W154" s="384">
        <v>672.9</v>
      </c>
      <c r="X154" s="384"/>
      <c r="Y154" s="561">
        <v>800</v>
      </c>
      <c r="Z154" s="561">
        <v>400</v>
      </c>
      <c r="AA154" s="354"/>
      <c r="AB154" s="354"/>
      <c r="AC154" s="8"/>
      <c r="AD154" s="8"/>
      <c r="AE154" s="8"/>
    </row>
    <row r="155" spans="1:32" x14ac:dyDescent="0.2">
      <c r="A155" s="11">
        <v>46113</v>
      </c>
      <c r="B155" s="384">
        <v>146340</v>
      </c>
      <c r="C155" s="384">
        <v>15730</v>
      </c>
      <c r="D155" s="384">
        <v>12906</v>
      </c>
      <c r="E155" s="384">
        <v>103</v>
      </c>
      <c r="F155" s="384">
        <v>237</v>
      </c>
      <c r="G155" s="384">
        <v>377</v>
      </c>
      <c r="H155" s="384"/>
      <c r="I155" s="384">
        <v>0</v>
      </c>
      <c r="J155" s="384">
        <v>20</v>
      </c>
      <c r="K155" s="384">
        <v>0</v>
      </c>
      <c r="L155" s="384"/>
      <c r="M155" s="384"/>
      <c r="N155" s="384"/>
      <c r="O155" s="384"/>
      <c r="P155" s="384"/>
      <c r="Q155" s="384">
        <v>6591</v>
      </c>
      <c r="R155" s="384">
        <v>11114</v>
      </c>
      <c r="S155" s="384">
        <v>9640</v>
      </c>
      <c r="T155" s="384">
        <v>6</v>
      </c>
      <c r="U155" s="384"/>
      <c r="V155" s="384"/>
      <c r="W155" s="384">
        <v>0</v>
      </c>
      <c r="X155" s="384"/>
      <c r="Y155" s="561">
        <v>600</v>
      </c>
      <c r="Z155" s="384">
        <v>0</v>
      </c>
      <c r="AA155" s="354"/>
      <c r="AB155" s="354"/>
      <c r="AC155" s="8"/>
      <c r="AD155" s="8"/>
      <c r="AE155" s="8"/>
    </row>
    <row r="156" spans="1:32" x14ac:dyDescent="0.2">
      <c r="A156" s="11">
        <v>46143</v>
      </c>
      <c r="B156" s="384"/>
      <c r="C156" s="384"/>
      <c r="D156" s="384">
        <v>13759</v>
      </c>
      <c r="E156" s="384"/>
      <c r="F156" s="384"/>
      <c r="G156" s="384"/>
      <c r="H156" s="384"/>
      <c r="I156" s="384">
        <v>0</v>
      </c>
      <c r="J156" s="384">
        <v>0</v>
      </c>
      <c r="K156" s="384">
        <v>0</v>
      </c>
      <c r="L156" s="384"/>
      <c r="M156" s="384"/>
      <c r="N156" s="384"/>
      <c r="O156" s="384"/>
      <c r="P156" s="384"/>
      <c r="Q156" s="384">
        <v>12012</v>
      </c>
      <c r="R156" s="384">
        <v>10244</v>
      </c>
      <c r="S156" s="384">
        <v>11378</v>
      </c>
      <c r="T156" s="384">
        <v>0</v>
      </c>
      <c r="U156" s="384"/>
      <c r="V156" s="384"/>
      <c r="W156" s="384">
        <v>1073.5</v>
      </c>
      <c r="X156" s="384"/>
      <c r="Y156" s="384">
        <v>400</v>
      </c>
      <c r="Z156" s="384">
        <v>200</v>
      </c>
      <c r="AA156" s="354"/>
      <c r="AB156" s="354"/>
      <c r="AC156" s="8"/>
      <c r="AD156" s="8"/>
      <c r="AE156" s="8"/>
    </row>
    <row r="157" spans="1:32" x14ac:dyDescent="0.2">
      <c r="A157" s="11">
        <v>46174</v>
      </c>
      <c r="B157" s="384"/>
      <c r="C157" s="384"/>
      <c r="D157" s="384"/>
      <c r="E157" s="384"/>
      <c r="F157" s="384"/>
      <c r="G157" s="384"/>
      <c r="H157" s="384"/>
      <c r="I157" s="384">
        <v>0</v>
      </c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  <c r="AA157" s="8"/>
      <c r="AB157" s="8"/>
      <c r="AC157" s="8"/>
      <c r="AD157" s="8"/>
      <c r="AE157" s="8"/>
    </row>
    <row r="158" spans="1:32" x14ac:dyDescent="0.2">
      <c r="A158" s="59"/>
      <c r="B158" s="404"/>
      <c r="F158" s="404"/>
      <c r="G158" s="404"/>
      <c r="I158" s="8"/>
      <c r="J158" s="8"/>
      <c r="K158" s="8"/>
      <c r="L158" s="8"/>
      <c r="M158" s="8"/>
      <c r="N158" s="8"/>
      <c r="O158" s="8"/>
      <c r="P158" s="8"/>
      <c r="Q158" s="8"/>
      <c r="R158" s="8"/>
      <c r="T158" s="404"/>
      <c r="U158" s="540"/>
      <c r="X158" s="8"/>
      <c r="Y158" s="8"/>
      <c r="Z158" s="8"/>
      <c r="AA158" s="8"/>
      <c r="AB158" s="8"/>
      <c r="AC158" s="8"/>
      <c r="AD158" s="8"/>
      <c r="AE158" s="8"/>
    </row>
    <row r="159" spans="1:32" x14ac:dyDescent="0.2">
      <c r="A159" s="59"/>
      <c r="B159" s="404"/>
      <c r="F159" s="404"/>
      <c r="G159" s="404"/>
      <c r="I159" s="8"/>
      <c r="J159" s="8"/>
      <c r="K159" s="8"/>
      <c r="L159" s="8"/>
      <c r="M159" s="8"/>
      <c r="N159" s="8"/>
      <c r="O159" s="8"/>
      <c r="P159" s="8"/>
      <c r="Q159" s="8"/>
      <c r="R159" s="8"/>
      <c r="T159" s="404"/>
      <c r="U159" s="540"/>
      <c r="X159" s="8"/>
      <c r="Y159" s="8"/>
      <c r="Z159" s="8"/>
      <c r="AA159" s="8"/>
      <c r="AB159" s="8"/>
      <c r="AC159" s="8"/>
      <c r="AD159" s="8"/>
      <c r="AE159" s="8"/>
    </row>
    <row r="160" spans="1:32" x14ac:dyDescent="0.2">
      <c r="A160" s="59"/>
      <c r="B160" s="404"/>
      <c r="F160" s="404"/>
      <c r="G160" s="404"/>
      <c r="I160" s="8"/>
      <c r="J160" s="8"/>
      <c r="K160" s="8"/>
      <c r="L160" s="8"/>
      <c r="M160" s="8"/>
      <c r="N160" s="8"/>
      <c r="O160" s="8"/>
      <c r="P160" s="8"/>
      <c r="Q160" s="8"/>
      <c r="R160" s="8"/>
      <c r="T160" s="404"/>
      <c r="U160" s="540"/>
      <c r="X160" s="8"/>
      <c r="Y160" s="8"/>
      <c r="Z160" s="8"/>
      <c r="AA160" s="8"/>
      <c r="AB160" s="8"/>
      <c r="AC160" s="8"/>
      <c r="AD160" s="8"/>
      <c r="AE160" s="8"/>
    </row>
    <row r="161" spans="1:31" x14ac:dyDescent="0.2">
      <c r="A161" s="59"/>
      <c r="B161" s="404"/>
      <c r="F161" s="404"/>
      <c r="G161" s="404"/>
      <c r="I161" s="8"/>
      <c r="J161" s="8"/>
      <c r="K161" s="8"/>
      <c r="L161" s="8"/>
      <c r="M161" s="8"/>
      <c r="N161" s="8"/>
      <c r="O161" s="8"/>
      <c r="P161" s="8"/>
      <c r="Q161" s="8"/>
      <c r="R161" s="8"/>
      <c r="T161" s="404"/>
      <c r="U161" s="540"/>
      <c r="X161" s="8"/>
      <c r="Y161" s="8"/>
      <c r="Z161" s="8"/>
      <c r="AA161" s="8"/>
      <c r="AB161" s="8"/>
      <c r="AC161" s="8"/>
      <c r="AD161" s="8"/>
      <c r="AE161" s="8"/>
    </row>
    <row r="162" spans="1:31" x14ac:dyDescent="0.2">
      <c r="A162" s="59"/>
      <c r="B162" s="404"/>
      <c r="F162" s="404"/>
      <c r="G162" s="404"/>
      <c r="I162" s="8"/>
      <c r="J162" s="8"/>
      <c r="K162" s="8"/>
      <c r="L162" s="8"/>
      <c r="M162" s="8"/>
      <c r="N162" s="8"/>
      <c r="O162" s="8"/>
      <c r="P162" s="8"/>
      <c r="Q162" s="8"/>
      <c r="R162" s="8"/>
      <c r="T162" s="404"/>
      <c r="U162" s="540"/>
      <c r="X162" s="8"/>
      <c r="Y162" s="8"/>
      <c r="Z162" s="8"/>
      <c r="AA162" s="8"/>
      <c r="AB162" s="8"/>
      <c r="AC162" s="8"/>
      <c r="AD162" s="8"/>
      <c r="AE162" s="8"/>
    </row>
    <row r="163" spans="1:31" x14ac:dyDescent="0.2">
      <c r="B163" s="404"/>
      <c r="F163" s="404"/>
      <c r="G163" s="404"/>
      <c r="I163" s="8"/>
      <c r="J163" s="8"/>
      <c r="K163" s="8"/>
      <c r="L163" s="8"/>
      <c r="M163" s="8"/>
      <c r="N163" s="8"/>
      <c r="O163" s="8"/>
      <c r="P163" s="8"/>
      <c r="Q163" s="8"/>
      <c r="R163" s="8"/>
      <c r="T163" s="404"/>
      <c r="U163" s="540"/>
      <c r="X163" s="8"/>
      <c r="Y163" s="8"/>
      <c r="Z163" s="8"/>
      <c r="AA163" s="8"/>
      <c r="AB163" s="8"/>
      <c r="AC163" s="8"/>
      <c r="AD163" s="8"/>
      <c r="AE163" s="8"/>
    </row>
    <row r="164" spans="1:31" x14ac:dyDescent="0.2">
      <c r="B164" s="404"/>
      <c r="F164" s="404"/>
      <c r="G164" s="404"/>
      <c r="I164" s="8"/>
      <c r="J164" s="8"/>
      <c r="K164" s="8"/>
      <c r="L164" s="8"/>
      <c r="M164" s="8"/>
      <c r="N164" s="8"/>
      <c r="O164" s="8"/>
      <c r="P164" s="8"/>
      <c r="Q164" s="8"/>
      <c r="R164" s="8"/>
      <c r="T164" s="404"/>
      <c r="U164" s="540"/>
      <c r="X164" s="8"/>
      <c r="Y164" s="8"/>
      <c r="Z164" s="8"/>
      <c r="AA164" s="8"/>
      <c r="AB164" s="8"/>
      <c r="AC164" s="8"/>
      <c r="AD164" s="8"/>
      <c r="AE164" s="8"/>
    </row>
    <row r="165" spans="1:31" x14ac:dyDescent="0.2">
      <c r="B165" s="404"/>
      <c r="F165" s="404"/>
      <c r="G165" s="404"/>
      <c r="I165" s="8"/>
      <c r="J165" s="8"/>
      <c r="K165" s="8"/>
      <c r="L165" s="8"/>
      <c r="M165" s="8"/>
      <c r="N165" s="8"/>
      <c r="O165" s="8"/>
      <c r="P165" s="8"/>
      <c r="Q165" s="8"/>
      <c r="R165" s="8"/>
      <c r="T165" s="404"/>
      <c r="U165" s="540"/>
      <c r="X165" s="8"/>
      <c r="Y165" s="8"/>
      <c r="Z165" s="8"/>
      <c r="AA165" s="8"/>
      <c r="AB165" s="8"/>
      <c r="AC165" s="8"/>
      <c r="AD165" s="8"/>
      <c r="AE165" s="8"/>
    </row>
    <row r="166" spans="1:31" x14ac:dyDescent="0.2">
      <c r="B166" s="404"/>
      <c r="F166" s="404"/>
      <c r="G166" s="404"/>
      <c r="I166" s="8"/>
      <c r="J166" s="8"/>
      <c r="K166" s="8"/>
      <c r="L166" s="8"/>
      <c r="M166" s="8"/>
      <c r="N166" s="8"/>
      <c r="O166" s="8"/>
      <c r="P166" s="8"/>
      <c r="Q166" s="8"/>
      <c r="R166" s="8"/>
      <c r="T166" s="404"/>
      <c r="U166" s="540"/>
      <c r="X166" s="8"/>
      <c r="Y166" s="8"/>
      <c r="Z166" s="8"/>
      <c r="AA166" s="8"/>
      <c r="AB166" s="8"/>
      <c r="AC166" s="8"/>
      <c r="AD166" s="8"/>
      <c r="AE166" s="8"/>
    </row>
    <row r="167" spans="1:31" x14ac:dyDescent="0.2">
      <c r="B167" s="404"/>
      <c r="F167" s="404"/>
      <c r="G167" s="404"/>
      <c r="I167" s="8"/>
      <c r="J167" s="8"/>
      <c r="K167" s="8"/>
      <c r="L167" s="8"/>
      <c r="M167" s="8"/>
      <c r="N167" s="8"/>
      <c r="O167" s="8"/>
      <c r="P167" s="8"/>
      <c r="Q167" s="8"/>
      <c r="R167" s="8"/>
      <c r="T167" s="404"/>
      <c r="U167" s="540"/>
      <c r="X167" s="8"/>
      <c r="Y167" s="8"/>
      <c r="Z167" s="8"/>
      <c r="AA167" s="8"/>
      <c r="AB167" s="8"/>
      <c r="AC167" s="8"/>
      <c r="AD167" s="8"/>
      <c r="AE167" s="8"/>
    </row>
    <row r="168" spans="1:31" x14ac:dyDescent="0.2">
      <c r="B168" s="404"/>
      <c r="F168" s="404"/>
      <c r="G168" s="404"/>
      <c r="I168" s="8"/>
      <c r="J168" s="8"/>
      <c r="K168" s="8"/>
      <c r="L168" s="8"/>
      <c r="M168" s="8"/>
      <c r="N168" s="8"/>
      <c r="O168" s="8"/>
      <c r="P168" s="8"/>
      <c r="Q168" s="8"/>
      <c r="R168" s="8"/>
      <c r="T168" s="404"/>
      <c r="U168" s="540"/>
      <c r="X168" s="8"/>
      <c r="Y168" s="8"/>
      <c r="Z168" s="8"/>
      <c r="AA168" s="8"/>
      <c r="AB168" s="8"/>
      <c r="AC168" s="8"/>
      <c r="AD168" s="8"/>
      <c r="AE168" s="8"/>
    </row>
    <row r="169" spans="1:31" x14ac:dyDescent="0.2">
      <c r="B169" s="404"/>
      <c r="F169" s="404"/>
      <c r="G169" s="40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540"/>
      <c r="X169" s="8"/>
      <c r="Y169" s="8"/>
      <c r="Z169" s="8"/>
      <c r="AA169" s="8"/>
      <c r="AB169" s="8"/>
      <c r="AC169" s="8"/>
      <c r="AD169" s="8"/>
      <c r="AE169" s="8"/>
    </row>
    <row r="170" spans="1:31" x14ac:dyDescent="0.2">
      <c r="B170" s="404"/>
      <c r="F170" s="404"/>
      <c r="G170" s="40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540"/>
      <c r="X170" s="8"/>
      <c r="Y170" s="8"/>
      <c r="Z170" s="8"/>
      <c r="AA170" s="8"/>
      <c r="AB170" s="8"/>
      <c r="AC170" s="8"/>
      <c r="AD170" s="8"/>
      <c r="AE170" s="8"/>
    </row>
    <row r="171" spans="1:31" x14ac:dyDescent="0.2">
      <c r="B171" s="404"/>
      <c r="F171" s="404"/>
      <c r="G171" s="40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540"/>
      <c r="X171" s="8"/>
      <c r="Y171" s="8"/>
      <c r="Z171" s="8"/>
      <c r="AA171" s="8"/>
      <c r="AB171" s="8"/>
      <c r="AC171" s="8"/>
      <c r="AD171" s="8"/>
      <c r="AE171" s="8"/>
    </row>
    <row r="172" spans="1:31" x14ac:dyDescent="0.2">
      <c r="B172" s="404"/>
      <c r="F172" s="404"/>
      <c r="G172" s="40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540"/>
      <c r="X172" s="8"/>
      <c r="Y172" s="8"/>
      <c r="Z172" s="8"/>
      <c r="AA172" s="8"/>
      <c r="AB172" s="8"/>
      <c r="AC172" s="8"/>
      <c r="AD172" s="8"/>
      <c r="AE172" s="8"/>
    </row>
    <row r="173" spans="1:31" x14ac:dyDescent="0.2">
      <c r="B173" s="404"/>
      <c r="F173" s="404"/>
      <c r="G173" s="40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540"/>
      <c r="X173" s="8"/>
      <c r="Y173" s="8"/>
      <c r="Z173" s="8"/>
      <c r="AA173" s="8"/>
      <c r="AB173" s="8"/>
      <c r="AC173" s="8"/>
      <c r="AD173" s="8"/>
      <c r="AE173" s="8"/>
    </row>
    <row r="174" spans="1:31" x14ac:dyDescent="0.2">
      <c r="B174" s="404"/>
      <c r="F174" s="404"/>
      <c r="G174" s="40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540"/>
      <c r="X174" s="8"/>
      <c r="Y174" s="8"/>
      <c r="Z174" s="8"/>
      <c r="AA174" s="8"/>
      <c r="AB174" s="8"/>
      <c r="AC174" s="8"/>
      <c r="AD174" s="8"/>
      <c r="AE174" s="8"/>
    </row>
    <row r="175" spans="1:31" x14ac:dyDescent="0.2">
      <c r="B175" s="404"/>
      <c r="F175" s="404"/>
      <c r="G175" s="40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540"/>
      <c r="X175" s="8"/>
      <c r="Y175" s="8"/>
      <c r="Z175" s="8"/>
      <c r="AA175" s="8"/>
      <c r="AB175" s="8"/>
      <c r="AC175" s="8"/>
      <c r="AD175" s="8"/>
      <c r="AE175" s="8"/>
    </row>
    <row r="176" spans="1:31" x14ac:dyDescent="0.2">
      <c r="B176" s="404"/>
      <c r="F176" s="404"/>
      <c r="G176" s="40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540"/>
      <c r="X176" s="8"/>
      <c r="Y176" s="8"/>
      <c r="Z176" s="8"/>
      <c r="AA176" s="8"/>
      <c r="AB176" s="8"/>
      <c r="AC176" s="8"/>
      <c r="AD176" s="8"/>
      <c r="AE176" s="8"/>
    </row>
    <row r="177" spans="2:41" x14ac:dyDescent="0.2">
      <c r="B177" s="404"/>
      <c r="F177" s="404"/>
      <c r="G177" s="40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540"/>
      <c r="X177" s="8"/>
      <c r="Y177" s="8"/>
      <c r="Z177" s="8"/>
      <c r="AA177" s="8"/>
      <c r="AB177" s="8"/>
      <c r="AC177" s="8"/>
      <c r="AD177" s="8"/>
      <c r="AE177" s="8"/>
    </row>
    <row r="178" spans="2:41" x14ac:dyDescent="0.2">
      <c r="B178" s="404"/>
      <c r="F178" s="404"/>
      <c r="G178" s="40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540"/>
      <c r="X178" s="8"/>
      <c r="Y178" s="8"/>
      <c r="Z178" s="8"/>
      <c r="AA178" s="8"/>
      <c r="AB178" s="8"/>
      <c r="AC178" s="8"/>
      <c r="AD178" s="8"/>
      <c r="AE178" s="8"/>
    </row>
    <row r="179" spans="2:41" x14ac:dyDescent="0.2">
      <c r="B179" s="404"/>
      <c r="F179" s="404"/>
      <c r="G179" s="40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540"/>
      <c r="X179" s="8"/>
      <c r="Y179" s="8"/>
      <c r="Z179" s="8"/>
      <c r="AA179" s="8"/>
      <c r="AB179" s="8"/>
      <c r="AC179" s="8"/>
      <c r="AD179" s="8"/>
      <c r="AE179" s="8"/>
    </row>
    <row r="180" spans="2:41" x14ac:dyDescent="0.2">
      <c r="B180" s="404"/>
      <c r="F180" s="404"/>
      <c r="G180" s="40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540"/>
      <c r="X180" s="8"/>
      <c r="Y180" s="8"/>
      <c r="Z180" s="8"/>
      <c r="AA180" s="8"/>
      <c r="AB180" s="8"/>
      <c r="AC180" s="8"/>
      <c r="AD180" s="8"/>
      <c r="AE180" s="8"/>
    </row>
    <row r="181" spans="2:41" x14ac:dyDescent="0.2">
      <c r="B181" s="404"/>
      <c r="F181" s="404"/>
      <c r="G181" s="40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540"/>
      <c r="X181" s="8"/>
      <c r="Y181" s="8"/>
      <c r="Z181" s="8"/>
      <c r="AA181" s="8"/>
      <c r="AB181" s="8"/>
      <c r="AC181" s="8"/>
      <c r="AD181" s="8"/>
      <c r="AE181" s="8"/>
    </row>
    <row r="182" spans="2:41" x14ac:dyDescent="0.2">
      <c r="B182" s="404"/>
      <c r="F182" s="404"/>
      <c r="G182" s="40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540"/>
      <c r="X182" s="8"/>
      <c r="Y182" s="8"/>
      <c r="Z182" s="8"/>
      <c r="AA182" s="8"/>
      <c r="AB182" s="8"/>
      <c r="AC182" s="8"/>
      <c r="AD182" s="8"/>
      <c r="AE182" s="8"/>
    </row>
    <row r="183" spans="2:41" x14ac:dyDescent="0.2">
      <c r="B183" s="404"/>
      <c r="F183" s="404"/>
      <c r="G183" s="40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540"/>
      <c r="X183" s="8"/>
      <c r="Y183" s="8"/>
      <c r="Z183" s="8"/>
      <c r="AA183" s="8"/>
      <c r="AB183" s="8"/>
      <c r="AC183" s="8"/>
      <c r="AD183" s="8"/>
      <c r="AE183" s="8"/>
    </row>
    <row r="184" spans="2:41" x14ac:dyDescent="0.2">
      <c r="B184" s="404"/>
      <c r="F184" s="404"/>
      <c r="G184" s="40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540"/>
      <c r="X184" s="8"/>
      <c r="Y184" s="8"/>
      <c r="Z184" s="8"/>
      <c r="AA184" s="8"/>
      <c r="AB184" s="8"/>
      <c r="AC184" s="8"/>
      <c r="AD184" s="8"/>
      <c r="AE184" s="8"/>
    </row>
    <row r="185" spans="2:41" x14ac:dyDescent="0.2">
      <c r="B185" s="404"/>
      <c r="F185" s="404"/>
      <c r="G185" s="40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540"/>
      <c r="X185" s="8"/>
      <c r="Y185" s="8"/>
      <c r="Z185" s="8"/>
      <c r="AA185" s="8"/>
      <c r="AB185" s="8"/>
      <c r="AC185" s="8"/>
      <c r="AD185" s="8"/>
      <c r="AE185" s="8"/>
    </row>
    <row r="186" spans="2:41" x14ac:dyDescent="0.2">
      <c r="B186" s="404"/>
      <c r="F186" s="404"/>
      <c r="G186" s="40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540"/>
      <c r="X186" s="8"/>
      <c r="Y186" s="8"/>
      <c r="Z186" s="8"/>
      <c r="AA186" s="8"/>
      <c r="AB186" s="8"/>
      <c r="AC186" s="8"/>
      <c r="AD186" s="8"/>
      <c r="AE186" s="8"/>
    </row>
    <row r="187" spans="2:41" x14ac:dyDescent="0.2">
      <c r="B187" s="404"/>
      <c r="F187" s="404"/>
      <c r="G187" s="40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540"/>
      <c r="X187" s="8"/>
      <c r="Y187" s="8"/>
      <c r="Z187" s="8"/>
      <c r="AA187" s="8"/>
      <c r="AB187" s="8"/>
      <c r="AC187" s="8"/>
      <c r="AD187" s="8"/>
      <c r="AE187" s="8"/>
    </row>
    <row r="188" spans="2:41" x14ac:dyDescent="0.2">
      <c r="B188" s="404"/>
      <c r="F188" s="404"/>
      <c r="G188" s="40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540"/>
      <c r="X188" s="8"/>
      <c r="Y188" s="8"/>
      <c r="Z188" s="8"/>
      <c r="AA188" s="8"/>
      <c r="AB188" s="8"/>
      <c r="AC188" s="8"/>
      <c r="AD188" s="8"/>
      <c r="AE188" s="8"/>
    </row>
    <row r="189" spans="2:41" x14ac:dyDescent="0.2">
      <c r="B189" s="404"/>
      <c r="F189" s="404"/>
      <c r="G189" s="40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540"/>
      <c r="X189" s="8"/>
      <c r="Y189" s="8"/>
      <c r="Z189" s="8"/>
      <c r="AA189" s="8"/>
      <c r="AB189" s="8"/>
      <c r="AC189" s="8"/>
      <c r="AD189" s="611"/>
      <c r="AE189" s="402"/>
      <c r="AF189" s="402"/>
      <c r="AG189" s="402"/>
      <c r="AH189" s="402"/>
      <c r="AI189" s="402"/>
      <c r="AJ189" s="402"/>
      <c r="AK189" s="402"/>
      <c r="AL189" s="402"/>
      <c r="AM189" s="354"/>
      <c r="AN189" s="402"/>
      <c r="AO189" s="403"/>
    </row>
    <row r="190" spans="2:41" x14ac:dyDescent="0.2">
      <c r="B190" s="404"/>
      <c r="F190" s="404"/>
      <c r="G190" s="40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540"/>
      <c r="X190" s="8"/>
      <c r="Y190" s="8"/>
      <c r="Z190" s="8"/>
      <c r="AA190" s="8"/>
      <c r="AB190" s="8"/>
      <c r="AC190" s="8"/>
      <c r="AD190" s="55"/>
      <c r="AE190" s="676"/>
      <c r="AF190" s="676"/>
      <c r="AG190" s="676"/>
      <c r="AH190" s="676"/>
      <c r="AI190" s="612"/>
      <c r="AJ190" s="612"/>
      <c r="AK190" s="612"/>
      <c r="AL190" s="405"/>
      <c r="AM190" s="354"/>
      <c r="AN190" s="405"/>
      <c r="AO190" s="405"/>
    </row>
    <row r="191" spans="2:41" x14ac:dyDescent="0.2">
      <c r="B191" s="404"/>
      <c r="F191" s="404"/>
      <c r="G191" s="40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540"/>
      <c r="X191" s="8"/>
      <c r="Y191" s="8"/>
      <c r="Z191" s="8"/>
      <c r="AA191" s="8"/>
      <c r="AB191" s="8"/>
      <c r="AC191" s="8"/>
      <c r="AD191" s="55"/>
      <c r="AE191" s="676"/>
      <c r="AF191" s="676"/>
      <c r="AG191" s="676"/>
      <c r="AH191" s="676"/>
      <c r="AI191" s="612"/>
      <c r="AJ191" s="612"/>
      <c r="AK191" s="612"/>
      <c r="AL191" s="405"/>
      <c r="AM191" s="354"/>
      <c r="AN191" s="405"/>
      <c r="AO191" s="405"/>
    </row>
    <row r="192" spans="2:41" x14ac:dyDescent="0.2">
      <c r="B192" s="404"/>
      <c r="F192" s="404"/>
      <c r="G192" s="40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540"/>
      <c r="X192" s="8"/>
      <c r="Y192" s="8"/>
      <c r="Z192" s="8"/>
      <c r="AA192" s="8"/>
      <c r="AB192" s="8"/>
      <c r="AC192" s="8"/>
      <c r="AD192" s="55"/>
      <c r="AE192" s="676"/>
      <c r="AF192" s="676"/>
      <c r="AG192" s="676"/>
      <c r="AH192" s="676"/>
      <c r="AI192" s="612"/>
      <c r="AJ192" s="612"/>
      <c r="AK192" s="612"/>
      <c r="AL192" s="405"/>
      <c r="AM192" s="354"/>
      <c r="AN192" s="405"/>
      <c r="AO192" s="405"/>
    </row>
    <row r="193" spans="2:48" x14ac:dyDescent="0.2">
      <c r="B193" s="404"/>
      <c r="F193" s="404"/>
      <c r="G193" s="40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540"/>
      <c r="X193" s="8"/>
      <c r="Y193" s="8"/>
      <c r="Z193" s="8"/>
      <c r="AA193" s="8"/>
      <c r="AB193" s="8"/>
      <c r="AC193" s="8"/>
      <c r="AD193" s="55"/>
      <c r="AE193" s="676"/>
      <c r="AF193" s="676"/>
      <c r="AG193" s="676"/>
      <c r="AH193" s="612"/>
      <c r="AI193" s="612"/>
      <c r="AJ193" s="612"/>
      <c r="AK193" s="612"/>
      <c r="AL193" s="405"/>
      <c r="AM193" s="354"/>
      <c r="AN193" s="405"/>
      <c r="AO193" s="405"/>
    </row>
    <row r="194" spans="2:48" x14ac:dyDescent="0.2">
      <c r="B194" s="404"/>
      <c r="F194" s="404"/>
      <c r="G194" s="40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540"/>
      <c r="X194" s="8"/>
      <c r="Y194" s="8"/>
      <c r="Z194" s="8"/>
      <c r="AA194" s="8"/>
      <c r="AB194" s="8"/>
      <c r="AC194" s="8"/>
      <c r="AD194" s="55"/>
      <c r="AE194" s="676"/>
      <c r="AF194" s="676"/>
      <c r="AG194" s="676"/>
      <c r="AH194" s="676"/>
      <c r="AI194" s="676"/>
      <c r="AJ194" s="612"/>
      <c r="AK194" s="612"/>
      <c r="AL194" s="405"/>
      <c r="AM194" s="354"/>
      <c r="AN194" s="405"/>
      <c r="AO194" s="405"/>
    </row>
    <row r="195" spans="2:48" x14ac:dyDescent="0.2">
      <c r="B195" s="404"/>
      <c r="F195" s="404"/>
      <c r="G195" s="40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540"/>
      <c r="X195" s="8"/>
      <c r="Y195" s="8"/>
      <c r="Z195" s="8"/>
      <c r="AA195" s="8"/>
      <c r="AB195" s="8"/>
      <c r="AC195" s="8"/>
      <c r="AD195" s="55"/>
      <c r="AE195" s="676"/>
      <c r="AF195" s="676"/>
      <c r="AG195" s="676"/>
      <c r="AH195" s="676"/>
      <c r="AI195" s="676"/>
      <c r="AJ195" s="676"/>
      <c r="AK195" s="676"/>
      <c r="AL195" s="405"/>
      <c r="AM195" s="354"/>
      <c r="AN195" s="405"/>
      <c r="AO195" s="405"/>
    </row>
    <row r="196" spans="2:48" x14ac:dyDescent="0.2">
      <c r="B196" s="404"/>
      <c r="F196" s="404"/>
      <c r="G196" s="40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540"/>
      <c r="X196" s="8"/>
      <c r="Y196" s="8"/>
      <c r="Z196" s="8"/>
      <c r="AA196" s="8"/>
      <c r="AB196" s="8"/>
      <c r="AC196" s="8"/>
      <c r="AD196" s="55"/>
      <c r="AE196" s="676"/>
      <c r="AF196" s="676"/>
      <c r="AG196" s="676"/>
      <c r="AH196" s="676"/>
      <c r="AI196" s="612"/>
      <c r="AJ196" s="612"/>
      <c r="AK196" s="612"/>
      <c r="AL196" s="405"/>
      <c r="AM196" s="354"/>
      <c r="AN196" s="405"/>
      <c r="AO196" s="405"/>
    </row>
    <row r="197" spans="2:48" x14ac:dyDescent="0.2">
      <c r="B197" s="404"/>
      <c r="F197" s="404"/>
      <c r="G197" s="40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540"/>
      <c r="X197" s="8"/>
      <c r="Y197" s="8"/>
      <c r="Z197" s="8"/>
      <c r="AA197" s="8"/>
      <c r="AB197" s="8"/>
      <c r="AC197" s="8"/>
      <c r="AD197" s="55"/>
      <c r="AE197" s="676"/>
      <c r="AF197" s="676"/>
      <c r="AG197" s="676"/>
      <c r="AH197" s="676"/>
      <c r="AI197" s="676"/>
      <c r="AJ197" s="612"/>
      <c r="AK197" s="612"/>
      <c r="AL197" s="405"/>
      <c r="AM197" s="354"/>
      <c r="AN197" s="405"/>
      <c r="AO197" s="405"/>
    </row>
    <row r="198" spans="2:48" x14ac:dyDescent="0.2">
      <c r="B198" s="404"/>
      <c r="F198" s="404"/>
      <c r="G198" s="40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540"/>
      <c r="X198" s="8"/>
      <c r="Y198" s="8"/>
      <c r="Z198" s="8"/>
      <c r="AA198" s="8"/>
      <c r="AB198" s="8"/>
      <c r="AC198" s="8"/>
      <c r="AD198" s="8"/>
      <c r="AE198" s="8"/>
      <c r="AP198" s="354"/>
      <c r="AQ198" s="354"/>
      <c r="AR198" s="354"/>
      <c r="AS198" s="354"/>
      <c r="AT198" s="354"/>
      <c r="AU198" s="404"/>
      <c r="AV198" s="402"/>
    </row>
    <row r="199" spans="2:48" x14ac:dyDescent="0.2">
      <c r="B199" s="404"/>
      <c r="F199" s="404"/>
      <c r="G199" s="40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540"/>
      <c r="X199" s="8"/>
      <c r="Y199" s="8"/>
      <c r="Z199" s="8"/>
      <c r="AA199" s="8"/>
      <c r="AB199" s="8"/>
      <c r="AC199" s="8"/>
      <c r="AD199" s="8"/>
      <c r="AE199" s="8"/>
      <c r="AP199" s="354"/>
      <c r="AQ199" s="354"/>
      <c r="AR199" s="354"/>
      <c r="AS199" s="354"/>
      <c r="AT199" s="354"/>
      <c r="AU199" s="405"/>
      <c r="AV199" s="405"/>
    </row>
    <row r="200" spans="2:48" x14ac:dyDescent="0.2">
      <c r="B200" s="404"/>
      <c r="F200" s="404"/>
      <c r="G200" s="40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540"/>
      <c r="X200" s="8"/>
      <c r="Y200" s="8"/>
      <c r="Z200" s="8"/>
      <c r="AA200" s="8"/>
      <c r="AB200" s="8"/>
      <c r="AC200" s="8"/>
      <c r="AD200" s="8"/>
      <c r="AE200" s="8"/>
      <c r="AP200" s="354"/>
      <c r="AQ200" s="354"/>
      <c r="AR200" s="354"/>
      <c r="AS200" s="354"/>
      <c r="AT200" s="354"/>
      <c r="AU200" s="405"/>
      <c r="AV200" s="405"/>
    </row>
    <row r="201" spans="2:48" x14ac:dyDescent="0.2">
      <c r="B201" s="404"/>
      <c r="F201" s="404"/>
      <c r="G201" s="40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540"/>
      <c r="X201" s="8"/>
      <c r="Y201" s="8"/>
      <c r="Z201" s="8"/>
      <c r="AA201" s="8"/>
      <c r="AB201" s="8"/>
      <c r="AC201" s="8"/>
      <c r="AD201" s="8"/>
      <c r="AE201" s="8"/>
      <c r="AP201" s="354"/>
      <c r="AQ201" s="354"/>
      <c r="AR201" s="354"/>
      <c r="AS201" s="354"/>
      <c r="AT201" s="354"/>
      <c r="AU201" s="405"/>
      <c r="AV201" s="405"/>
    </row>
    <row r="202" spans="2:48" x14ac:dyDescent="0.2">
      <c r="B202" s="404"/>
      <c r="F202" s="404"/>
      <c r="G202" s="40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540"/>
      <c r="X202" s="8"/>
      <c r="Y202" s="8"/>
      <c r="Z202" s="8"/>
      <c r="AA202" s="8"/>
      <c r="AB202" s="8"/>
      <c r="AC202" s="8"/>
      <c r="AD202" s="8"/>
      <c r="AE202" s="8"/>
      <c r="AP202" s="354"/>
      <c r="AQ202" s="354"/>
      <c r="AR202" s="354"/>
      <c r="AS202" s="354"/>
      <c r="AT202" s="354"/>
      <c r="AU202" s="405"/>
      <c r="AV202" s="405"/>
    </row>
    <row r="203" spans="2:48" x14ac:dyDescent="0.2">
      <c r="B203" s="404"/>
      <c r="F203" s="404"/>
      <c r="G203" s="40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540"/>
      <c r="X203" s="8"/>
      <c r="Y203" s="8"/>
      <c r="Z203" s="8"/>
      <c r="AA203" s="8"/>
      <c r="AB203" s="8"/>
      <c r="AC203" s="8"/>
      <c r="AD203" s="8"/>
      <c r="AE203" s="8"/>
      <c r="AP203" s="354"/>
      <c r="AQ203" s="354"/>
      <c r="AR203" s="354"/>
      <c r="AS203" s="354"/>
      <c r="AT203" s="354"/>
      <c r="AU203" s="405"/>
      <c r="AV203" s="405"/>
    </row>
    <row r="204" spans="2:48" x14ac:dyDescent="0.2">
      <c r="B204" s="404"/>
      <c r="F204" s="404"/>
      <c r="G204" s="40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540"/>
      <c r="X204" s="8"/>
      <c r="Y204" s="8"/>
      <c r="Z204" s="8"/>
      <c r="AA204" s="8"/>
      <c r="AB204" s="8"/>
      <c r="AC204" s="8"/>
      <c r="AD204" s="8"/>
      <c r="AE204" s="8"/>
      <c r="AP204" s="354"/>
      <c r="AQ204" s="354"/>
      <c r="AR204" s="354"/>
      <c r="AS204" s="354"/>
      <c r="AT204" s="354"/>
      <c r="AU204" s="405"/>
      <c r="AV204" s="405"/>
    </row>
    <row r="205" spans="2:48" x14ac:dyDescent="0.2">
      <c r="B205" s="404"/>
      <c r="F205" s="404"/>
      <c r="G205" s="40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540"/>
      <c r="X205" s="8"/>
      <c r="Y205" s="8"/>
      <c r="Z205" s="8"/>
      <c r="AA205" s="8"/>
      <c r="AB205" s="8"/>
      <c r="AC205" s="8"/>
      <c r="AD205" s="8"/>
      <c r="AE205" s="8"/>
      <c r="AP205" s="354"/>
      <c r="AQ205" s="354"/>
      <c r="AR205" s="354"/>
      <c r="AS205" s="354"/>
      <c r="AT205" s="354"/>
      <c r="AU205" s="405"/>
      <c r="AV205" s="405"/>
    </row>
    <row r="206" spans="2:48" x14ac:dyDescent="0.2">
      <c r="B206" s="404"/>
      <c r="F206" s="404"/>
      <c r="G206" s="40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540"/>
      <c r="X206" s="8"/>
      <c r="Y206" s="8"/>
      <c r="Z206" s="8"/>
      <c r="AA206" s="8"/>
      <c r="AB206" s="8"/>
      <c r="AC206" s="8"/>
      <c r="AD206" s="8"/>
      <c r="AE206" s="8"/>
      <c r="AP206" s="354"/>
      <c r="AQ206" s="354"/>
      <c r="AR206" s="354"/>
      <c r="AS206" s="354"/>
      <c r="AT206" s="354"/>
      <c r="AU206" s="405"/>
      <c r="AV206" s="405"/>
    </row>
    <row r="207" spans="2:48" ht="16.25" customHeight="1" x14ac:dyDescent="0.2">
      <c r="B207" s="404"/>
      <c r="F207" s="404"/>
      <c r="G207" s="40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540"/>
      <c r="X207" s="8"/>
      <c r="Y207" s="8"/>
      <c r="Z207" s="8"/>
      <c r="AA207" s="8"/>
      <c r="AB207" s="8"/>
      <c r="AC207" s="8"/>
      <c r="AD207" s="8"/>
      <c r="AE207" s="8"/>
      <c r="AP207" s="405"/>
      <c r="AQ207" s="405"/>
      <c r="AR207" s="405"/>
      <c r="AS207" s="405"/>
      <c r="AT207" s="405"/>
      <c r="AU207" s="405"/>
      <c r="AV207" s="405"/>
    </row>
    <row r="208" spans="2:48" x14ac:dyDescent="0.2">
      <c r="B208" s="404"/>
      <c r="F208" s="404"/>
      <c r="G208" s="40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540"/>
      <c r="X208" s="8"/>
      <c r="Y208" s="8"/>
      <c r="Z208" s="8"/>
      <c r="AA208" s="8"/>
      <c r="AB208" s="8"/>
      <c r="AC208" s="8"/>
      <c r="AD208" s="8"/>
      <c r="AE208" s="8"/>
    </row>
    <row r="209" spans="2:31" x14ac:dyDescent="0.2">
      <c r="B209" s="404"/>
      <c r="F209" s="404"/>
      <c r="G209" s="40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540"/>
      <c r="X209" s="8"/>
      <c r="Y209" s="8"/>
      <c r="Z209" s="8"/>
      <c r="AA209" s="8"/>
      <c r="AB209" s="8"/>
      <c r="AC209" s="8"/>
      <c r="AD209" s="8"/>
      <c r="AE209" s="8"/>
    </row>
    <row r="210" spans="2:31" x14ac:dyDescent="0.2">
      <c r="B210" s="404"/>
      <c r="F210" s="404"/>
      <c r="G210" s="40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540"/>
      <c r="X210" s="8"/>
      <c r="Y210" s="8"/>
      <c r="Z210" s="8"/>
      <c r="AA210" s="8"/>
      <c r="AB210" s="8"/>
      <c r="AC210" s="8"/>
      <c r="AD210" s="8"/>
      <c r="AE210" s="8"/>
    </row>
    <row r="211" spans="2:31" x14ac:dyDescent="0.2">
      <c r="B211" s="404"/>
      <c r="F211" s="404"/>
      <c r="G211" s="40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540"/>
      <c r="X211" s="8"/>
      <c r="Y211" s="8"/>
      <c r="Z211" s="8"/>
      <c r="AA211" s="8"/>
      <c r="AB211" s="8"/>
      <c r="AC211" s="8"/>
      <c r="AD211" s="8"/>
      <c r="AE211" s="8"/>
    </row>
    <row r="212" spans="2:31" x14ac:dyDescent="0.2">
      <c r="T212" s="8"/>
      <c r="U212" s="540"/>
      <c r="AA212" s="8"/>
      <c r="AB212" s="8"/>
      <c r="AC212" s="8"/>
      <c r="AD212" s="8"/>
      <c r="AE212" s="8"/>
    </row>
    <row r="213" spans="2:31" x14ac:dyDescent="0.2">
      <c r="T213" s="8"/>
      <c r="AA213" s="8"/>
      <c r="AB213" s="8"/>
      <c r="AC213" s="8"/>
      <c r="AD213" s="8"/>
      <c r="AE213" s="8"/>
    </row>
    <row r="214" spans="2:31" x14ac:dyDescent="0.2">
      <c r="T214" s="8"/>
      <c r="AA214" s="8"/>
      <c r="AB214" s="8"/>
      <c r="AC214" s="8"/>
      <c r="AD214" s="8"/>
      <c r="AE214" s="8"/>
    </row>
    <row r="215" spans="2:31" x14ac:dyDescent="0.2">
      <c r="T215" s="8"/>
      <c r="AA215" s="8"/>
      <c r="AB215" s="8"/>
      <c r="AC215" s="8"/>
      <c r="AD215" s="8"/>
      <c r="AE215" s="8"/>
    </row>
    <row r="216" spans="2:31" x14ac:dyDescent="0.2">
      <c r="T216" s="8"/>
      <c r="AA216" s="8"/>
      <c r="AB216" s="8"/>
      <c r="AC216" s="8"/>
      <c r="AD216" s="8"/>
      <c r="AE216" s="8"/>
    </row>
    <row r="217" spans="2:31" x14ac:dyDescent="0.2">
      <c r="T217" s="8"/>
      <c r="AA217" s="8"/>
      <c r="AB217" s="8"/>
      <c r="AC217" s="8"/>
      <c r="AD217" s="8"/>
      <c r="AE217" s="8"/>
    </row>
    <row r="218" spans="2:31" x14ac:dyDescent="0.2">
      <c r="T218" s="8"/>
      <c r="AA218" s="8"/>
      <c r="AB218" s="8"/>
      <c r="AC218" s="8"/>
      <c r="AD218" s="8"/>
      <c r="AE218" s="8"/>
    </row>
    <row r="219" spans="2:31" x14ac:dyDescent="0.2">
      <c r="T219" s="8"/>
      <c r="AA219" s="8"/>
      <c r="AB219" s="8"/>
      <c r="AC219" s="8"/>
      <c r="AD219" s="8"/>
      <c r="AE219" s="8"/>
    </row>
    <row r="220" spans="2:31" x14ac:dyDescent="0.2">
      <c r="T220" s="8"/>
      <c r="AA220" s="8"/>
      <c r="AB220" s="8"/>
      <c r="AC220" s="8"/>
      <c r="AD220" s="8"/>
      <c r="AE220" s="8"/>
    </row>
    <row r="221" spans="2:31" x14ac:dyDescent="0.2">
      <c r="T221" s="8"/>
      <c r="AA221" s="8"/>
      <c r="AB221" s="8"/>
      <c r="AC221" s="8"/>
      <c r="AD221" s="8"/>
      <c r="AE221" s="8"/>
    </row>
    <row r="222" spans="2:31" x14ac:dyDescent="0.2">
      <c r="T222" s="8"/>
      <c r="AA222" s="8"/>
      <c r="AB222" s="8"/>
      <c r="AC222" s="8"/>
      <c r="AD222" s="8"/>
      <c r="AE222" s="8"/>
    </row>
    <row r="223" spans="2:31" x14ac:dyDescent="0.2">
      <c r="T223" s="8"/>
    </row>
    <row r="224" spans="2:31" x14ac:dyDescent="0.2">
      <c r="T224" s="8"/>
    </row>
    <row r="225" spans="20:20" x14ac:dyDescent="0.2">
      <c r="T225" s="8"/>
    </row>
    <row r="226" spans="20:20" x14ac:dyDescent="0.2">
      <c r="T226" s="8"/>
    </row>
    <row r="227" spans="20:20" x14ac:dyDescent="0.2">
      <c r="T227" s="8"/>
    </row>
    <row r="228" spans="20:20" x14ac:dyDescent="0.2">
      <c r="T228" s="8"/>
    </row>
    <row r="229" spans="20:20" x14ac:dyDescent="0.2">
      <c r="T229" s="8"/>
    </row>
    <row r="230" spans="20:20" x14ac:dyDescent="0.2">
      <c r="T230" s="8"/>
    </row>
    <row r="231" spans="20:20" x14ac:dyDescent="0.2">
      <c r="T231" s="8"/>
    </row>
    <row r="232" spans="20:20" x14ac:dyDescent="0.2">
      <c r="T232" s="8"/>
    </row>
  </sheetData>
  <mergeCells count="8">
    <mergeCell ref="AE190:AH190"/>
    <mergeCell ref="AE196:AH196"/>
    <mergeCell ref="AE197:AI197"/>
    <mergeCell ref="AE191:AH191"/>
    <mergeCell ref="AE192:AH192"/>
    <mergeCell ref="AE193:AG193"/>
    <mergeCell ref="AE194:AI194"/>
    <mergeCell ref="AE195:AK195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FEB3-2035-704D-9C00-69C520937E73}">
  <dimension ref="A1:AH232"/>
  <sheetViews>
    <sheetView zoomScale="107" workbookViewId="0">
      <pane xSplit="1" ySplit="1" topLeftCell="G129" activePane="bottomRight" state="frozen"/>
      <selection pane="topRight" activeCell="B1" sqref="B1"/>
      <selection pane="bottomLeft" activeCell="A2" sqref="A2"/>
      <selection pane="bottomRight" activeCell="I137" sqref="I137"/>
    </sheetView>
  </sheetViews>
  <sheetFormatPr baseColWidth="10" defaultColWidth="10.6640625" defaultRowHeight="16" x14ac:dyDescent="0.2"/>
  <cols>
    <col min="1" max="1" width="11.1640625" style="61" bestFit="1" customWidth="1"/>
    <col min="2" max="2" width="13.1640625" style="354" hidden="1" customWidth="1"/>
    <col min="3" max="3" width="15.6640625" style="354" hidden="1" customWidth="1"/>
    <col min="4" max="6" width="18.33203125" style="354" hidden="1" customWidth="1"/>
    <col min="7" max="7" width="13.1640625" style="404" bestFit="1" customWidth="1"/>
    <col min="8" max="8" width="16" style="354" bestFit="1" customWidth="1"/>
    <col min="9" max="9" width="13.1640625" style="540" bestFit="1" customWidth="1"/>
    <col min="10" max="11" width="15.1640625" style="354" bestFit="1" customWidth="1"/>
    <col min="12" max="12" width="15" style="540" bestFit="1" customWidth="1"/>
    <col min="13" max="13" width="10.6640625" style="404"/>
    <col min="14" max="14" width="12.6640625" style="404" bestFit="1" customWidth="1"/>
    <col min="15" max="15" width="14.33203125" style="354" bestFit="1" customWidth="1"/>
    <col min="16" max="16" width="13.6640625" style="354" bestFit="1" customWidth="1"/>
    <col min="17" max="17" width="16.5" style="354" customWidth="1"/>
    <col min="18" max="18" width="13.6640625" style="8" bestFit="1" customWidth="1"/>
    <col min="19" max="21" width="14.6640625" style="8" bestFit="1" customWidth="1"/>
    <col min="22" max="23" width="16.1640625" style="8" bestFit="1" customWidth="1"/>
    <col min="24" max="24" width="14" style="8" bestFit="1" customWidth="1"/>
    <col min="25" max="16384" width="10.6640625" style="8"/>
  </cols>
  <sheetData>
    <row r="1" spans="1:20" s="54" customFormat="1" ht="68" x14ac:dyDescent="0.2">
      <c r="A1" s="58"/>
      <c r="B1" s="375" t="s">
        <v>529</v>
      </c>
      <c r="C1" s="375" t="s">
        <v>533</v>
      </c>
      <c r="D1" s="376" t="s">
        <v>534</v>
      </c>
      <c r="E1" s="376" t="s">
        <v>535</v>
      </c>
      <c r="F1" s="376" t="s">
        <v>536</v>
      </c>
      <c r="G1" s="377" t="s">
        <v>542</v>
      </c>
      <c r="H1" s="377" t="s">
        <v>543</v>
      </c>
      <c r="I1" s="610" t="s">
        <v>544</v>
      </c>
      <c r="J1" s="377" t="s">
        <v>545</v>
      </c>
      <c r="K1" s="377" t="s">
        <v>546</v>
      </c>
      <c r="L1" s="610" t="s">
        <v>547</v>
      </c>
      <c r="M1" s="377"/>
      <c r="N1" s="377" t="s">
        <v>743</v>
      </c>
      <c r="O1" s="377" t="s">
        <v>548</v>
      </c>
      <c r="P1" s="373"/>
      <c r="Q1" s="373"/>
    </row>
    <row r="2" spans="1:20" x14ac:dyDescent="0.2">
      <c r="A2" s="10">
        <v>41456</v>
      </c>
      <c r="B2" s="380">
        <v>3.25</v>
      </c>
      <c r="C2" s="380">
        <v>0</v>
      </c>
      <c r="D2" s="381"/>
      <c r="E2" s="381"/>
      <c r="F2" s="381"/>
      <c r="G2" s="541">
        <v>282100</v>
      </c>
      <c r="H2" s="540">
        <v>3321500</v>
      </c>
      <c r="I2" s="540">
        <v>276791.66666666669</v>
      </c>
      <c r="J2" s="540">
        <v>7826.49</v>
      </c>
      <c r="K2" s="540">
        <v>118387518.75446363</v>
      </c>
      <c r="L2" s="540">
        <v>9865626.5628719684</v>
      </c>
      <c r="M2" s="541"/>
      <c r="N2" s="541"/>
    </row>
    <row r="3" spans="1:20" x14ac:dyDescent="0.2">
      <c r="A3" s="11">
        <v>41487</v>
      </c>
      <c r="B3" s="380">
        <v>1.1599999999999999</v>
      </c>
      <c r="C3" s="380">
        <v>0</v>
      </c>
      <c r="D3" s="381"/>
      <c r="E3" s="381"/>
      <c r="F3" s="381"/>
      <c r="G3" s="541">
        <v>282100</v>
      </c>
      <c r="H3" s="540">
        <v>3321500</v>
      </c>
      <c r="I3" s="540">
        <v>276791.66666666669</v>
      </c>
      <c r="J3" s="540">
        <v>6994.75</v>
      </c>
      <c r="K3" s="540">
        <v>118379692.26446362</v>
      </c>
      <c r="L3" s="540">
        <v>9864974.3553719688</v>
      </c>
      <c r="M3" s="541"/>
      <c r="N3" s="541"/>
    </row>
    <row r="4" spans="1:20" x14ac:dyDescent="0.2">
      <c r="A4" s="11">
        <v>41518</v>
      </c>
      <c r="B4" s="380">
        <v>0.69599999999999995</v>
      </c>
      <c r="C4" s="380">
        <v>58</v>
      </c>
      <c r="D4" s="381"/>
      <c r="E4" s="381"/>
      <c r="F4" s="381"/>
      <c r="G4" s="541">
        <v>273000.00000000006</v>
      </c>
      <c r="H4" s="540">
        <v>3321500</v>
      </c>
      <c r="I4" s="540">
        <v>276791.66666666669</v>
      </c>
      <c r="J4" s="540">
        <v>7925.4759999999997</v>
      </c>
      <c r="K4" s="540">
        <v>118372697.51446362</v>
      </c>
      <c r="L4" s="540">
        <v>9864391.4595386349</v>
      </c>
      <c r="M4" s="541"/>
      <c r="N4" s="541"/>
      <c r="R4" s="139"/>
    </row>
    <row r="5" spans="1:20" x14ac:dyDescent="0.2">
      <c r="A5" s="11">
        <v>41548</v>
      </c>
      <c r="B5" s="380">
        <v>0.155</v>
      </c>
      <c r="C5" s="380">
        <v>0</v>
      </c>
      <c r="D5" s="381"/>
      <c r="E5" s="381"/>
      <c r="F5" s="381"/>
      <c r="G5" s="541">
        <v>282100</v>
      </c>
      <c r="H5" s="540">
        <v>3321500</v>
      </c>
      <c r="I5" s="540">
        <v>276791.66666666669</v>
      </c>
      <c r="J5" s="540">
        <v>8038.2249999999995</v>
      </c>
      <c r="K5" s="540">
        <v>118364772.03846362</v>
      </c>
      <c r="L5" s="540">
        <v>9863731.0032053012</v>
      </c>
      <c r="M5" s="541"/>
      <c r="N5" s="541"/>
      <c r="R5" s="139"/>
      <c r="S5" s="139"/>
      <c r="T5" s="139"/>
    </row>
    <row r="6" spans="1:20" x14ac:dyDescent="0.2">
      <c r="A6" s="11">
        <v>41579</v>
      </c>
      <c r="B6" s="380">
        <v>2.4129999999999998</v>
      </c>
      <c r="C6" s="380">
        <v>8</v>
      </c>
      <c r="D6" s="381"/>
      <c r="E6" s="381"/>
      <c r="F6" s="381"/>
      <c r="G6" s="541">
        <v>273000.00000000006</v>
      </c>
      <c r="H6" s="540">
        <v>3321500</v>
      </c>
      <c r="I6" s="540">
        <v>276791.66666666669</v>
      </c>
      <c r="J6" s="540">
        <v>8336.5529999999999</v>
      </c>
      <c r="K6" s="540">
        <v>118356733.81346361</v>
      </c>
      <c r="L6" s="540">
        <v>9863061.1511219684</v>
      </c>
      <c r="M6" s="541"/>
      <c r="N6" s="541"/>
      <c r="R6" s="139"/>
      <c r="S6" s="139"/>
      <c r="T6" s="139"/>
    </row>
    <row r="7" spans="1:20" x14ac:dyDescent="0.2">
      <c r="A7" s="11">
        <v>41609</v>
      </c>
      <c r="B7" s="380">
        <v>1.748</v>
      </c>
      <c r="C7" s="380">
        <v>46</v>
      </c>
      <c r="D7" s="381"/>
      <c r="E7" s="381"/>
      <c r="F7" s="381"/>
      <c r="G7" s="541">
        <v>282100</v>
      </c>
      <c r="H7" s="540">
        <v>3321500</v>
      </c>
      <c r="I7" s="540">
        <v>276791.66666666669</v>
      </c>
      <c r="J7" s="540">
        <v>7966.1879999999992</v>
      </c>
      <c r="K7" s="540">
        <v>118348397.26046361</v>
      </c>
      <c r="L7" s="540">
        <v>9862366.4383719675</v>
      </c>
      <c r="M7" s="541"/>
      <c r="N7" s="541"/>
      <c r="R7" s="139"/>
      <c r="S7" s="139"/>
      <c r="T7" s="139"/>
    </row>
    <row r="8" spans="1:20" x14ac:dyDescent="0.2">
      <c r="A8" s="11">
        <v>41640</v>
      </c>
      <c r="B8" s="380">
        <v>1.7789999999999999</v>
      </c>
      <c r="C8" s="380">
        <v>0</v>
      </c>
      <c r="D8" s="381"/>
      <c r="E8" s="381"/>
      <c r="F8" s="381"/>
      <c r="G8" s="541">
        <v>282100</v>
      </c>
      <c r="H8" s="540">
        <v>3321500</v>
      </c>
      <c r="I8" s="540">
        <v>276791.66666666669</v>
      </c>
      <c r="J8" s="540">
        <v>7815.4290000000001</v>
      </c>
      <c r="K8" s="540">
        <v>118340431.07246362</v>
      </c>
      <c r="L8" s="540">
        <v>9861702.5893719681</v>
      </c>
      <c r="M8" s="541"/>
      <c r="N8" s="541"/>
      <c r="R8" s="139"/>
      <c r="S8" s="139"/>
      <c r="T8" s="139"/>
    </row>
    <row r="9" spans="1:20" x14ac:dyDescent="0.2">
      <c r="A9" s="11">
        <v>41671</v>
      </c>
      <c r="B9" s="380">
        <v>3.6040000000000001</v>
      </c>
      <c r="C9" s="380">
        <v>0</v>
      </c>
      <c r="D9" s="381"/>
      <c r="E9" s="381"/>
      <c r="F9" s="381"/>
      <c r="G9" s="541">
        <v>254800.00000000003</v>
      </c>
      <c r="H9" s="540">
        <v>3313800</v>
      </c>
      <c r="I9" s="540">
        <v>276150</v>
      </c>
      <c r="J9" s="540">
        <v>8116.7840000000006</v>
      </c>
      <c r="K9" s="540">
        <v>118332615.64346363</v>
      </c>
      <c r="L9" s="540">
        <v>9861051.3036219683</v>
      </c>
      <c r="M9" s="541"/>
      <c r="N9" s="541"/>
      <c r="R9" s="139"/>
      <c r="S9" s="139"/>
      <c r="T9" s="139"/>
    </row>
    <row r="10" spans="1:20" x14ac:dyDescent="0.2">
      <c r="A10" s="11">
        <v>41699</v>
      </c>
      <c r="B10" s="380">
        <v>0.26300000000000001</v>
      </c>
      <c r="C10" s="380">
        <v>0</v>
      </c>
      <c r="D10" s="381"/>
      <c r="E10" s="381"/>
      <c r="F10" s="381"/>
      <c r="G10" s="541">
        <v>282100</v>
      </c>
      <c r="H10" s="540">
        <v>3313800</v>
      </c>
      <c r="I10" s="540">
        <v>276150</v>
      </c>
      <c r="J10" s="540">
        <v>8654.1629999999986</v>
      </c>
      <c r="K10" s="540">
        <v>118324498.85946362</v>
      </c>
      <c r="L10" s="540">
        <v>9860374.9049553014</v>
      </c>
      <c r="M10" s="541"/>
      <c r="N10" s="541"/>
      <c r="R10" s="139"/>
      <c r="S10" s="139"/>
      <c r="T10" s="139"/>
    </row>
    <row r="11" spans="1:20" x14ac:dyDescent="0.2">
      <c r="A11" s="11">
        <v>41730</v>
      </c>
      <c r="B11" s="380">
        <v>8.3989999999999991</v>
      </c>
      <c r="C11" s="380">
        <v>0</v>
      </c>
      <c r="D11" s="381"/>
      <c r="E11" s="381"/>
      <c r="F11" s="381"/>
      <c r="G11" s="541">
        <v>273000.00000000006</v>
      </c>
      <c r="H11" s="540">
        <v>3313800</v>
      </c>
      <c r="I11" s="540">
        <v>276150</v>
      </c>
      <c r="J11" s="540">
        <v>9162.2239999999983</v>
      </c>
      <c r="K11" s="540">
        <v>118315844.69646363</v>
      </c>
      <c r="L11" s="540">
        <v>9859653.7247053031</v>
      </c>
      <c r="M11" s="541"/>
      <c r="N11" s="614">
        <v>3267480.841</v>
      </c>
      <c r="R11" s="139"/>
      <c r="S11" s="139"/>
      <c r="T11" s="139"/>
    </row>
    <row r="12" spans="1:20" x14ac:dyDescent="0.2">
      <c r="A12" s="11">
        <v>41760</v>
      </c>
      <c r="B12" s="380">
        <v>22.335000000000001</v>
      </c>
      <c r="C12" s="380">
        <v>30</v>
      </c>
      <c r="D12" s="381"/>
      <c r="E12" s="381"/>
      <c r="F12" s="381"/>
      <c r="G12" s="541">
        <v>282100</v>
      </c>
      <c r="H12" s="540">
        <v>3263090</v>
      </c>
      <c r="I12" s="540">
        <v>271924.16666666669</v>
      </c>
      <c r="J12" s="540">
        <v>9052.7349999999988</v>
      </c>
      <c r="K12" s="540">
        <v>89889.017000000007</v>
      </c>
      <c r="L12" s="540">
        <v>7490.751416666667</v>
      </c>
      <c r="M12" s="541"/>
      <c r="N12" s="541"/>
      <c r="R12" s="139"/>
      <c r="S12" s="139"/>
      <c r="T12" s="139"/>
    </row>
    <row r="13" spans="1:20" x14ac:dyDescent="0.2">
      <c r="A13" s="11">
        <v>41791</v>
      </c>
      <c r="B13" s="380">
        <v>14.836</v>
      </c>
      <c r="C13" s="380">
        <v>0</v>
      </c>
      <c r="D13" s="381"/>
      <c r="E13" s="381"/>
      <c r="F13" s="381"/>
      <c r="G13" s="541">
        <v>273000.00000000006</v>
      </c>
      <c r="H13" s="540">
        <v>3262530</v>
      </c>
      <c r="I13" s="540">
        <v>271877.5</v>
      </c>
      <c r="J13" s="540">
        <v>8839.8760000000002</v>
      </c>
      <c r="K13" s="540">
        <v>98728.893000000011</v>
      </c>
      <c r="L13" s="540">
        <v>8227.4077500000003</v>
      </c>
      <c r="M13" s="541"/>
      <c r="N13" s="541"/>
      <c r="R13" s="139"/>
      <c r="S13" s="139"/>
      <c r="T13" s="139"/>
    </row>
    <row r="14" spans="1:20" x14ac:dyDescent="0.2">
      <c r="A14" s="11">
        <v>41821</v>
      </c>
      <c r="B14" s="388">
        <v>27.087</v>
      </c>
      <c r="C14" s="388">
        <v>0</v>
      </c>
      <c r="D14" s="389"/>
      <c r="E14" s="389"/>
      <c r="F14" s="389"/>
      <c r="G14" s="541">
        <v>282100</v>
      </c>
      <c r="H14" s="540">
        <v>3262410</v>
      </c>
      <c r="I14" s="540">
        <v>271867.5</v>
      </c>
      <c r="J14" s="540">
        <v>8743.4669999999987</v>
      </c>
      <c r="K14" s="540">
        <v>99645.87000000001</v>
      </c>
      <c r="L14" s="540">
        <v>8303.8225000000002</v>
      </c>
      <c r="M14" s="541"/>
      <c r="N14" s="541"/>
      <c r="R14" s="139"/>
      <c r="S14" s="139"/>
      <c r="T14" s="139"/>
    </row>
    <row r="15" spans="1:20" x14ac:dyDescent="0.2">
      <c r="A15" s="11">
        <v>41852</v>
      </c>
      <c r="B15" s="388">
        <v>16.097000000000001</v>
      </c>
      <c r="C15" s="388">
        <v>0</v>
      </c>
      <c r="D15" s="389"/>
      <c r="E15" s="389"/>
      <c r="F15" s="389"/>
      <c r="G15" s="541">
        <v>282100</v>
      </c>
      <c r="H15" s="540">
        <v>3261310</v>
      </c>
      <c r="I15" s="540">
        <v>271775.83333333331</v>
      </c>
      <c r="J15" s="540">
        <v>9049.7170000000006</v>
      </c>
      <c r="K15" s="540">
        <v>101700.83700000001</v>
      </c>
      <c r="L15" s="540">
        <v>8475.0697500000006</v>
      </c>
      <c r="M15" s="541"/>
      <c r="N15" s="541"/>
    </row>
    <row r="16" spans="1:20" x14ac:dyDescent="0.2">
      <c r="A16" s="11">
        <v>41883</v>
      </c>
      <c r="B16" s="388">
        <v>4.0220000000000002</v>
      </c>
      <c r="C16" s="388">
        <v>0</v>
      </c>
      <c r="D16" s="389"/>
      <c r="E16" s="389"/>
      <c r="F16" s="389"/>
      <c r="G16" s="541">
        <v>273000.00000000006</v>
      </c>
      <c r="H16" s="540">
        <v>3262600</v>
      </c>
      <c r="I16" s="540">
        <v>271883.33333333331</v>
      </c>
      <c r="J16" s="540">
        <v>9364.152</v>
      </c>
      <c r="K16" s="540">
        <v>103139.51300000001</v>
      </c>
      <c r="L16" s="540">
        <v>8594.9594166666666</v>
      </c>
      <c r="M16" s="541"/>
      <c r="N16" s="541"/>
    </row>
    <row r="17" spans="1:15" x14ac:dyDescent="0.2">
      <c r="A17" s="11">
        <v>41913</v>
      </c>
      <c r="B17" s="388">
        <v>0.52600000000000002</v>
      </c>
      <c r="C17" s="388">
        <v>25</v>
      </c>
      <c r="D17" s="389"/>
      <c r="E17" s="389"/>
      <c r="F17" s="389"/>
      <c r="G17" s="541">
        <v>282100</v>
      </c>
      <c r="H17" s="540">
        <v>3248380</v>
      </c>
      <c r="I17" s="540">
        <v>270698.33333333331</v>
      </c>
      <c r="J17" s="540">
        <v>8630.5259999999998</v>
      </c>
      <c r="K17" s="540">
        <v>103731.81400000001</v>
      </c>
      <c r="L17" s="540">
        <v>8644.3178333333344</v>
      </c>
      <c r="M17" s="541"/>
      <c r="N17" s="541"/>
    </row>
    <row r="18" spans="1:15" x14ac:dyDescent="0.2">
      <c r="A18" s="11">
        <v>41944</v>
      </c>
      <c r="B18" s="392">
        <v>2.4750000000000001</v>
      </c>
      <c r="C18" s="392">
        <v>0</v>
      </c>
      <c r="D18" s="389"/>
      <c r="E18" s="389"/>
      <c r="F18" s="389"/>
      <c r="G18" s="541">
        <v>273000.00000000006</v>
      </c>
      <c r="H18" s="540">
        <v>3236080</v>
      </c>
      <c r="I18" s="540">
        <v>269673.33333333331</v>
      </c>
      <c r="J18" s="540">
        <v>10322.475</v>
      </c>
      <c r="K18" s="540">
        <v>105717.73600000002</v>
      </c>
      <c r="L18" s="540">
        <v>8809.8113333333349</v>
      </c>
      <c r="M18" s="541"/>
      <c r="N18" s="541"/>
    </row>
    <row r="19" spans="1:15" x14ac:dyDescent="0.2">
      <c r="A19" s="11">
        <v>41974</v>
      </c>
      <c r="B19" s="392">
        <v>2.5209999999999999</v>
      </c>
      <c r="C19" s="392">
        <v>0</v>
      </c>
      <c r="D19" s="389"/>
      <c r="E19" s="389"/>
      <c r="F19" s="389"/>
      <c r="G19" s="541">
        <v>282100</v>
      </c>
      <c r="H19" s="540">
        <v>3221780</v>
      </c>
      <c r="I19" s="540">
        <v>268481.66666666669</v>
      </c>
      <c r="J19" s="540">
        <v>9775.6810000000005</v>
      </c>
      <c r="K19" s="540">
        <v>107527.22899999999</v>
      </c>
      <c r="L19" s="540">
        <v>8960.6024166666666</v>
      </c>
      <c r="M19" s="541"/>
      <c r="N19" s="541"/>
    </row>
    <row r="20" spans="1:15" x14ac:dyDescent="0.2">
      <c r="A20" s="11">
        <v>42005</v>
      </c>
      <c r="B20" s="392">
        <v>4.6870000000000003</v>
      </c>
      <c r="C20" s="392">
        <v>0</v>
      </c>
      <c r="D20" s="389"/>
      <c r="E20" s="389"/>
      <c r="F20" s="389"/>
      <c r="G20" s="541">
        <v>282100</v>
      </c>
      <c r="H20" s="540">
        <v>3202970</v>
      </c>
      <c r="I20" s="540">
        <v>266914.16666666669</v>
      </c>
      <c r="J20" s="540">
        <v>9642.5069999999996</v>
      </c>
      <c r="K20" s="540">
        <v>109354.30699999999</v>
      </c>
      <c r="L20" s="540">
        <v>9112.8589166666661</v>
      </c>
      <c r="M20" s="541"/>
      <c r="N20" s="541"/>
    </row>
    <row r="21" spans="1:15" x14ac:dyDescent="0.2">
      <c r="A21" s="11">
        <v>42036</v>
      </c>
      <c r="B21" s="392">
        <v>14.617000000000001</v>
      </c>
      <c r="C21" s="388">
        <v>21</v>
      </c>
      <c r="D21" s="389"/>
      <c r="E21" s="389"/>
      <c r="F21" s="389"/>
      <c r="G21" s="541">
        <v>254800.00000000003</v>
      </c>
      <c r="H21" s="540">
        <v>3197770</v>
      </c>
      <c r="I21" s="540">
        <v>266480.83333333331</v>
      </c>
      <c r="J21" s="540">
        <v>9186.607</v>
      </c>
      <c r="K21" s="540">
        <v>110424.12999999999</v>
      </c>
      <c r="L21" s="540">
        <v>9202.0108333333319</v>
      </c>
      <c r="M21" s="541"/>
      <c r="N21" s="541"/>
    </row>
    <row r="22" spans="1:15" x14ac:dyDescent="0.2">
      <c r="A22" s="11">
        <v>42064</v>
      </c>
      <c r="B22" s="392">
        <v>4.3780000000000001</v>
      </c>
      <c r="C22" s="392">
        <v>0</v>
      </c>
      <c r="D22" s="389"/>
      <c r="E22" s="389"/>
      <c r="F22" s="389"/>
      <c r="G22" s="541">
        <v>282100</v>
      </c>
      <c r="H22" s="540">
        <v>3194950</v>
      </c>
      <c r="I22" s="540">
        <v>266245.83333333331</v>
      </c>
      <c r="J22" s="540">
        <v>9932.4680000000008</v>
      </c>
      <c r="K22" s="540">
        <v>111702.435</v>
      </c>
      <c r="L22" s="540">
        <v>9308.5362499999992</v>
      </c>
      <c r="M22" s="541"/>
      <c r="N22" s="541"/>
    </row>
    <row r="23" spans="1:15" x14ac:dyDescent="0.2">
      <c r="A23" s="11">
        <v>42095</v>
      </c>
      <c r="B23" s="392">
        <v>0.65</v>
      </c>
      <c r="C23" s="392">
        <v>0</v>
      </c>
      <c r="D23" s="389"/>
      <c r="E23" s="389"/>
      <c r="F23" s="389"/>
      <c r="G23" s="541">
        <v>265300</v>
      </c>
      <c r="H23" s="540">
        <v>3187250</v>
      </c>
      <c r="I23" s="540">
        <v>265604.16666666669</v>
      </c>
      <c r="J23" s="540">
        <v>9416.6099999999988</v>
      </c>
      <c r="K23" s="540">
        <v>111956.82100000001</v>
      </c>
      <c r="L23" s="540">
        <v>9329.7350833333348</v>
      </c>
      <c r="M23" s="541"/>
      <c r="N23" s="614">
        <v>3082079.0219979999</v>
      </c>
    </row>
    <row r="24" spans="1:15" x14ac:dyDescent="0.2">
      <c r="A24" s="11">
        <v>42125</v>
      </c>
      <c r="B24" s="392">
        <v>3.3570000000000002</v>
      </c>
      <c r="C24" s="392">
        <v>0</v>
      </c>
      <c r="D24" s="389"/>
      <c r="E24" s="389"/>
      <c r="F24" s="389"/>
      <c r="G24" s="541">
        <v>282100</v>
      </c>
      <c r="H24" s="540">
        <v>3186560</v>
      </c>
      <c r="I24" s="540">
        <v>265546.66666666669</v>
      </c>
      <c r="J24" s="540">
        <v>9854.4069999999992</v>
      </c>
      <c r="K24" s="540">
        <v>112758.49299999999</v>
      </c>
      <c r="L24" s="540">
        <v>9396.5410833333317</v>
      </c>
      <c r="M24" s="541"/>
      <c r="N24" s="541"/>
    </row>
    <row r="25" spans="1:15" x14ac:dyDescent="0.2">
      <c r="A25" s="11">
        <v>42156</v>
      </c>
      <c r="B25" s="392">
        <v>1.764</v>
      </c>
      <c r="C25" s="392">
        <v>0</v>
      </c>
      <c r="D25" s="389"/>
      <c r="E25" s="389"/>
      <c r="F25" s="389"/>
      <c r="G25" s="541">
        <v>273000.00000000006</v>
      </c>
      <c r="H25" s="540">
        <v>3154400</v>
      </c>
      <c r="I25" s="540">
        <v>262866.66666666669</v>
      </c>
      <c r="J25" s="540">
        <v>9162.2239999999983</v>
      </c>
      <c r="K25" s="540">
        <v>113080.841</v>
      </c>
      <c r="L25" s="540">
        <v>9423.4034166666661</v>
      </c>
      <c r="M25" s="541"/>
      <c r="N25" s="541"/>
      <c r="O25" s="354">
        <f>K25/H25</f>
        <v>3.584860544002029E-2</v>
      </c>
    </row>
    <row r="26" spans="1:15" x14ac:dyDescent="0.2">
      <c r="A26" s="11">
        <v>42186</v>
      </c>
      <c r="B26" s="380">
        <v>6.2E-2</v>
      </c>
      <c r="C26" s="380">
        <v>0</v>
      </c>
      <c r="D26" s="381"/>
      <c r="E26" s="381"/>
      <c r="F26" s="381"/>
      <c r="G26" s="541">
        <v>231390</v>
      </c>
      <c r="H26" s="540">
        <v>3143170</v>
      </c>
      <c r="I26" s="540">
        <v>261930.83333333334</v>
      </c>
      <c r="J26" s="540">
        <v>9430.9120000000003</v>
      </c>
      <c r="K26" s="540">
        <v>113768.28599999999</v>
      </c>
      <c r="L26" s="540">
        <v>9480.6904999999988</v>
      </c>
      <c r="M26" s="541"/>
      <c r="N26" s="541"/>
    </row>
    <row r="27" spans="1:15" x14ac:dyDescent="0.2">
      <c r="A27" s="11">
        <v>42217</v>
      </c>
      <c r="B27" s="380">
        <v>5.0060000000000002</v>
      </c>
      <c r="C27" s="380">
        <v>0</v>
      </c>
      <c r="D27" s="381"/>
      <c r="E27" s="381"/>
      <c r="F27" s="381"/>
      <c r="G27" s="541">
        <v>281540</v>
      </c>
      <c r="H27" s="540">
        <v>3121070</v>
      </c>
      <c r="I27" s="540">
        <v>260089.16666666666</v>
      </c>
      <c r="J27" s="540">
        <v>9002.3560000000016</v>
      </c>
      <c r="K27" s="540">
        <v>113720.92499999999</v>
      </c>
      <c r="L27" s="540">
        <v>9476.7437499999996</v>
      </c>
      <c r="M27" s="541"/>
      <c r="N27" s="541"/>
    </row>
    <row r="28" spans="1:15" x14ac:dyDescent="0.2">
      <c r="A28" s="11">
        <v>42248</v>
      </c>
      <c r="B28" s="380">
        <v>1.5780000000000001</v>
      </c>
      <c r="C28" s="380">
        <v>0</v>
      </c>
      <c r="D28" s="381"/>
      <c r="E28" s="381"/>
      <c r="F28" s="381"/>
      <c r="G28" s="541">
        <v>272880</v>
      </c>
      <c r="H28" s="540">
        <v>3109430</v>
      </c>
      <c r="I28" s="540">
        <v>259119.16666666666</v>
      </c>
      <c r="J28" s="540">
        <v>9863.3380000000016</v>
      </c>
      <c r="K28" s="540">
        <v>114220.11099999999</v>
      </c>
      <c r="L28" s="540">
        <v>9518.3425833333331</v>
      </c>
      <c r="M28" s="541"/>
      <c r="N28" s="541"/>
    </row>
    <row r="29" spans="1:15" x14ac:dyDescent="0.2">
      <c r="A29" s="11">
        <v>42278</v>
      </c>
      <c r="B29" s="380">
        <v>2.0419999999999998</v>
      </c>
      <c r="C29" s="380">
        <v>0</v>
      </c>
      <c r="D29" s="381"/>
      <c r="E29" s="381"/>
      <c r="F29" s="381"/>
      <c r="G29" s="541">
        <v>281000</v>
      </c>
      <c r="H29" s="540">
        <v>3088960</v>
      </c>
      <c r="I29" s="540">
        <v>257413.33333333334</v>
      </c>
      <c r="J29" s="540">
        <v>11068.052000000001</v>
      </c>
      <c r="K29" s="540">
        <v>116657.637</v>
      </c>
      <c r="L29" s="540">
        <v>9721.4697500000002</v>
      </c>
      <c r="M29" s="541"/>
      <c r="N29" s="541"/>
    </row>
    <row r="30" spans="1:15" x14ac:dyDescent="0.2">
      <c r="A30" s="11">
        <v>42309</v>
      </c>
      <c r="B30" s="380">
        <v>6.2E-2</v>
      </c>
      <c r="C30" s="380">
        <v>0</v>
      </c>
      <c r="D30" s="381"/>
      <c r="E30" s="381"/>
      <c r="F30" s="381"/>
      <c r="G30" s="541">
        <v>274289.99999999994</v>
      </c>
      <c r="H30" s="540">
        <v>3046700</v>
      </c>
      <c r="I30" s="540">
        <v>253891.66666666666</v>
      </c>
      <c r="J30" s="540">
        <v>9770.8719999999994</v>
      </c>
      <c r="K30" s="540">
        <v>116106.034</v>
      </c>
      <c r="L30" s="540">
        <v>9675.5028333333339</v>
      </c>
      <c r="M30" s="541"/>
      <c r="N30" s="541"/>
    </row>
    <row r="31" spans="1:15" x14ac:dyDescent="0.2">
      <c r="A31" s="11">
        <v>42339</v>
      </c>
      <c r="B31" s="380">
        <v>3.2240000000000002</v>
      </c>
      <c r="C31" s="380">
        <v>0</v>
      </c>
      <c r="D31" s="381"/>
      <c r="E31" s="381"/>
      <c r="F31" s="381"/>
      <c r="G31" s="541">
        <v>267880</v>
      </c>
      <c r="H31" s="540">
        <v>3050260</v>
      </c>
      <c r="I31" s="540">
        <v>254188.33333333334</v>
      </c>
      <c r="J31" s="540">
        <v>10575.174000000001</v>
      </c>
      <c r="K31" s="540">
        <v>116905.527</v>
      </c>
      <c r="L31" s="540">
        <v>9742.1272499999995</v>
      </c>
      <c r="M31" s="541"/>
      <c r="N31" s="541"/>
    </row>
    <row r="32" spans="1:15" x14ac:dyDescent="0.2">
      <c r="A32" s="11">
        <v>42370</v>
      </c>
      <c r="B32" s="380">
        <v>0.17</v>
      </c>
      <c r="C32" s="380">
        <v>20</v>
      </c>
      <c r="D32" s="381"/>
      <c r="E32" s="381"/>
      <c r="F32" s="381"/>
      <c r="G32" s="541">
        <v>269800</v>
      </c>
      <c r="H32" s="540">
        <v>3038140</v>
      </c>
      <c r="I32" s="540">
        <v>253178.33333333334</v>
      </c>
      <c r="J32" s="540">
        <v>10586.568332999999</v>
      </c>
      <c r="K32" s="540">
        <v>117849.58833299999</v>
      </c>
      <c r="L32" s="540">
        <v>9820.7990277499994</v>
      </c>
      <c r="M32" s="541"/>
      <c r="N32" s="541"/>
    </row>
    <row r="33" spans="1:14" x14ac:dyDescent="0.2">
      <c r="A33" s="11">
        <v>42401</v>
      </c>
      <c r="B33" s="380">
        <v>0.108</v>
      </c>
      <c r="C33" s="380">
        <v>0</v>
      </c>
      <c r="D33" s="381"/>
      <c r="E33" s="381"/>
      <c r="F33" s="381"/>
      <c r="G33" s="541">
        <v>240500</v>
      </c>
      <c r="H33" s="540">
        <v>3014040</v>
      </c>
      <c r="I33" s="540">
        <v>251170</v>
      </c>
      <c r="J33" s="540">
        <v>11001.106333000002</v>
      </c>
      <c r="K33" s="540">
        <v>119664.08766600001</v>
      </c>
      <c r="L33" s="540">
        <v>9972.0073055000012</v>
      </c>
      <c r="M33" s="541"/>
      <c r="N33" s="541"/>
    </row>
    <row r="34" spans="1:14" x14ac:dyDescent="0.2">
      <c r="A34" s="11">
        <v>42430</v>
      </c>
      <c r="B34" s="380">
        <v>1.4359999999999999</v>
      </c>
      <c r="C34" s="380">
        <v>0</v>
      </c>
      <c r="D34" s="381"/>
      <c r="E34" s="381"/>
      <c r="F34" s="381"/>
      <c r="G34" s="541">
        <v>263290</v>
      </c>
      <c r="H34" s="540">
        <v>2970500</v>
      </c>
      <c r="I34" s="540">
        <v>247541.66666666666</v>
      </c>
      <c r="J34" s="540">
        <v>9854.3443329999991</v>
      </c>
      <c r="K34" s="540">
        <v>119585.96399900001</v>
      </c>
      <c r="L34" s="540">
        <v>9965.4969999166678</v>
      </c>
      <c r="M34" s="541"/>
      <c r="N34" s="541"/>
    </row>
    <row r="35" spans="1:14" x14ac:dyDescent="0.2">
      <c r="A35" s="11">
        <v>42461</v>
      </c>
      <c r="B35" s="380">
        <v>1.764</v>
      </c>
      <c r="C35" s="380">
        <v>0</v>
      </c>
      <c r="D35" s="381"/>
      <c r="E35" s="381"/>
      <c r="F35" s="381"/>
      <c r="G35" s="541">
        <v>260100.00000000003</v>
      </c>
      <c r="H35" s="540">
        <v>2961320</v>
      </c>
      <c r="I35" s="540">
        <v>246776.66666666666</v>
      </c>
      <c r="J35" s="540">
        <v>9330.8423330000005</v>
      </c>
      <c r="K35" s="540">
        <v>119500.19633200002</v>
      </c>
      <c r="L35" s="540">
        <v>9958.3496943333357</v>
      </c>
      <c r="M35" s="541"/>
      <c r="N35" s="614">
        <v>3219886.242999</v>
      </c>
    </row>
    <row r="36" spans="1:14" x14ac:dyDescent="0.2">
      <c r="A36" s="11">
        <v>42491</v>
      </c>
      <c r="B36" s="380">
        <v>0</v>
      </c>
      <c r="C36" s="380">
        <v>9</v>
      </c>
      <c r="D36" s="381"/>
      <c r="E36" s="381"/>
      <c r="F36" s="381"/>
      <c r="G36" s="541">
        <v>279280.00000000006</v>
      </c>
      <c r="H36" s="540">
        <v>2956190</v>
      </c>
      <c r="I36" s="540">
        <v>246349.16666666666</v>
      </c>
      <c r="J36" s="540">
        <v>10285.648333000001</v>
      </c>
      <c r="K36" s="540">
        <v>119931.43766500002</v>
      </c>
      <c r="L36" s="540">
        <v>9994.286472083335</v>
      </c>
      <c r="M36" s="541"/>
      <c r="N36" s="541"/>
    </row>
    <row r="37" spans="1:14" x14ac:dyDescent="0.2">
      <c r="A37" s="11">
        <v>42522</v>
      </c>
      <c r="B37" s="380">
        <v>0</v>
      </c>
      <c r="C37" s="380">
        <v>0</v>
      </c>
      <c r="D37" s="381"/>
      <c r="E37" s="381"/>
      <c r="F37" s="381"/>
      <c r="G37" s="541">
        <v>265300</v>
      </c>
      <c r="H37" s="540">
        <v>2961040</v>
      </c>
      <c r="I37" s="540">
        <v>246753.33333333334</v>
      </c>
      <c r="J37" s="540">
        <v>10269.808333000001</v>
      </c>
      <c r="K37" s="540">
        <v>121039.02199800004</v>
      </c>
      <c r="L37" s="540">
        <v>10086.585166500003</v>
      </c>
      <c r="M37" s="541"/>
      <c r="N37" s="541"/>
    </row>
    <row r="38" spans="1:14" x14ac:dyDescent="0.2">
      <c r="A38" s="11">
        <v>42552</v>
      </c>
      <c r="B38" s="388">
        <v>0</v>
      </c>
      <c r="C38" s="388">
        <v>0</v>
      </c>
      <c r="D38" s="389"/>
      <c r="E38" s="389"/>
      <c r="F38" s="389"/>
      <c r="G38" s="541">
        <v>230700</v>
      </c>
      <c r="H38" s="540">
        <v>2959380</v>
      </c>
      <c r="I38" s="540">
        <v>246615</v>
      </c>
      <c r="J38" s="540">
        <v>10502.808333000001</v>
      </c>
      <c r="K38" s="540">
        <v>122110.91833100002</v>
      </c>
      <c r="L38" s="540">
        <v>10175.909860916669</v>
      </c>
      <c r="M38" s="541"/>
      <c r="N38" s="541"/>
    </row>
    <row r="39" spans="1:14" x14ac:dyDescent="0.2">
      <c r="A39" s="11">
        <v>42583</v>
      </c>
      <c r="B39" s="388">
        <v>0</v>
      </c>
      <c r="C39" s="388">
        <v>0</v>
      </c>
      <c r="D39" s="389"/>
      <c r="E39" s="389"/>
      <c r="F39" s="389"/>
      <c r="G39" s="541">
        <v>249380</v>
      </c>
      <c r="H39" s="540">
        <v>2971720</v>
      </c>
      <c r="I39" s="540">
        <v>247643.33333333334</v>
      </c>
      <c r="J39" s="540">
        <v>14837.308333000001</v>
      </c>
      <c r="K39" s="540">
        <v>127945.87066400002</v>
      </c>
      <c r="L39" s="540">
        <v>10662.155888666668</v>
      </c>
      <c r="M39" s="541"/>
      <c r="N39" s="541"/>
    </row>
    <row r="40" spans="1:14" x14ac:dyDescent="0.2">
      <c r="A40" s="11">
        <v>42614</v>
      </c>
      <c r="B40" s="388">
        <v>0</v>
      </c>
      <c r="C40" s="388">
        <v>0</v>
      </c>
      <c r="D40" s="389"/>
      <c r="E40" s="389"/>
      <c r="F40" s="389"/>
      <c r="G40" s="541">
        <v>261649.99999999997</v>
      </c>
      <c r="H40" s="540">
        <v>3001180</v>
      </c>
      <c r="I40" s="540">
        <v>250098.33333333334</v>
      </c>
      <c r="J40" s="540">
        <v>16991.118332999999</v>
      </c>
      <c r="K40" s="540">
        <v>135073.65099699999</v>
      </c>
      <c r="L40" s="540">
        <v>11256.137583083333</v>
      </c>
      <c r="M40" s="541"/>
      <c r="N40" s="541"/>
    </row>
    <row r="41" spans="1:14" x14ac:dyDescent="0.2">
      <c r="A41" s="11">
        <v>42644</v>
      </c>
      <c r="B41" s="388">
        <v>13.462</v>
      </c>
      <c r="C41" s="388">
        <v>0</v>
      </c>
      <c r="D41" s="389"/>
      <c r="E41" s="389"/>
      <c r="F41" s="389"/>
      <c r="G41" s="541">
        <v>258899.99999999997</v>
      </c>
      <c r="H41" s="540">
        <v>2990740</v>
      </c>
      <c r="I41" s="540">
        <v>249228.33333333334</v>
      </c>
      <c r="J41" s="540">
        <v>37604.270333333334</v>
      </c>
      <c r="K41" s="540">
        <v>161609.86933033331</v>
      </c>
      <c r="L41" s="540">
        <v>13467.48911086111</v>
      </c>
      <c r="M41" s="541"/>
      <c r="N41" s="541"/>
    </row>
    <row r="42" spans="1:14" x14ac:dyDescent="0.2">
      <c r="A42" s="11">
        <v>42675</v>
      </c>
      <c r="B42" s="392">
        <v>0</v>
      </c>
      <c r="C42" s="392">
        <v>0</v>
      </c>
      <c r="D42" s="389"/>
      <c r="E42" s="389"/>
      <c r="F42" s="389"/>
      <c r="G42" s="541">
        <v>262650</v>
      </c>
      <c r="H42" s="540">
        <v>3042530</v>
      </c>
      <c r="I42" s="540">
        <v>253544.16666666666</v>
      </c>
      <c r="J42" s="540">
        <v>37737.378333333334</v>
      </c>
      <c r="K42" s="540">
        <v>189576.37566366667</v>
      </c>
      <c r="L42" s="540">
        <v>15798.031305305556</v>
      </c>
      <c r="M42" s="541"/>
      <c r="N42" s="541"/>
    </row>
    <row r="43" spans="1:14" x14ac:dyDescent="0.2">
      <c r="A43" s="11">
        <v>42705</v>
      </c>
      <c r="B43" s="392">
        <v>0</v>
      </c>
      <c r="C43" s="392">
        <v>0</v>
      </c>
      <c r="D43" s="389"/>
      <c r="E43" s="389"/>
      <c r="F43" s="389"/>
      <c r="G43" s="541">
        <v>247410.00000000003</v>
      </c>
      <c r="H43" s="540">
        <v>3019510</v>
      </c>
      <c r="I43" s="540">
        <v>251625.83333333334</v>
      </c>
      <c r="J43" s="540">
        <v>31453.458333333332</v>
      </c>
      <c r="K43" s="540">
        <v>210454.65999700001</v>
      </c>
      <c r="L43" s="540">
        <v>17537.888333083334</v>
      </c>
      <c r="M43" s="541"/>
      <c r="N43" s="541"/>
    </row>
    <row r="44" spans="1:14" x14ac:dyDescent="0.2">
      <c r="A44" s="11">
        <v>42736</v>
      </c>
      <c r="B44" s="392">
        <f>8231/1000</f>
        <v>8.2309999999999999</v>
      </c>
      <c r="C44" s="392">
        <v>0</v>
      </c>
      <c r="D44" s="389"/>
      <c r="E44" s="389"/>
      <c r="F44" s="389"/>
      <c r="G44" s="541">
        <v>227540.00000000003</v>
      </c>
      <c r="H44" s="540">
        <v>3005050</v>
      </c>
      <c r="I44" s="540">
        <v>250420.83333333334</v>
      </c>
      <c r="J44" s="540">
        <v>31178.126</v>
      </c>
      <c r="K44" s="540">
        <v>231046.217664</v>
      </c>
      <c r="L44" s="540">
        <v>19253.851471999998</v>
      </c>
      <c r="M44" s="541"/>
      <c r="N44" s="541"/>
    </row>
    <row r="45" spans="1:14" x14ac:dyDescent="0.2">
      <c r="A45" s="11">
        <v>42767</v>
      </c>
      <c r="B45" s="392">
        <v>0</v>
      </c>
      <c r="C45" s="388">
        <v>0</v>
      </c>
      <c r="D45" s="389"/>
      <c r="E45" s="389"/>
      <c r="F45" s="389"/>
      <c r="G45" s="541">
        <v>244060</v>
      </c>
      <c r="H45" s="540">
        <v>2971970</v>
      </c>
      <c r="I45" s="540">
        <v>247664.16666666666</v>
      </c>
      <c r="J45" s="540">
        <v>36839.375</v>
      </c>
      <c r="K45" s="540">
        <v>256884.48633100002</v>
      </c>
      <c r="L45" s="540">
        <v>21407.040527583336</v>
      </c>
      <c r="M45" s="541"/>
      <c r="N45" s="541"/>
    </row>
    <row r="46" spans="1:14" x14ac:dyDescent="0.2">
      <c r="A46" s="11">
        <v>42795</v>
      </c>
      <c r="B46" s="392">
        <v>0</v>
      </c>
      <c r="C46" s="392">
        <v>0</v>
      </c>
      <c r="D46" s="389"/>
      <c r="E46" s="389"/>
      <c r="F46" s="389"/>
      <c r="G46" s="541">
        <v>251170</v>
      </c>
      <c r="H46" s="540">
        <v>2945900</v>
      </c>
      <c r="I46" s="540">
        <v>245491.66666666666</v>
      </c>
      <c r="J46" s="540">
        <v>41006.945</v>
      </c>
      <c r="K46" s="540">
        <v>288037.08699799998</v>
      </c>
      <c r="L46" s="540">
        <v>24003.090583166664</v>
      </c>
      <c r="M46" s="541"/>
      <c r="N46" s="541"/>
    </row>
    <row r="47" spans="1:14" x14ac:dyDescent="0.2">
      <c r="A47" s="11">
        <v>42826</v>
      </c>
      <c r="B47" s="392">
        <v>0</v>
      </c>
      <c r="C47" s="392">
        <v>0</v>
      </c>
      <c r="D47" s="389">
        <f>0.34*1900</f>
        <v>646</v>
      </c>
      <c r="E47" s="389">
        <f>0.13*40</f>
        <v>5.2</v>
      </c>
      <c r="F47" s="389">
        <f>0.15*60</f>
        <v>9</v>
      </c>
      <c r="G47" s="541">
        <v>236000</v>
      </c>
      <c r="H47" s="540">
        <v>2902670</v>
      </c>
      <c r="I47" s="540">
        <v>241889.16666666666</v>
      </c>
      <c r="J47" s="540">
        <v>38228.275000000001</v>
      </c>
      <c r="K47" s="540">
        <v>316934.51966500003</v>
      </c>
      <c r="L47" s="540">
        <v>26411.209972083336</v>
      </c>
      <c r="M47" s="541"/>
      <c r="N47" s="614">
        <v>1887682.6965999999</v>
      </c>
    </row>
    <row r="48" spans="1:14" x14ac:dyDescent="0.2">
      <c r="A48" s="11">
        <v>42856</v>
      </c>
      <c r="B48" s="392">
        <f>29-8-13</f>
        <v>8</v>
      </c>
      <c r="C48" s="392">
        <v>0</v>
      </c>
      <c r="D48" s="389"/>
      <c r="E48" s="389"/>
      <c r="F48" s="389"/>
      <c r="G48" s="541">
        <v>235740</v>
      </c>
      <c r="H48" s="540">
        <v>2892760</v>
      </c>
      <c r="I48" s="540">
        <v>241063.33333333334</v>
      </c>
      <c r="J48" s="540">
        <v>41486.305</v>
      </c>
      <c r="K48" s="540">
        <v>348135.176332</v>
      </c>
      <c r="L48" s="540">
        <v>29011.264694333335</v>
      </c>
      <c r="M48" s="541"/>
      <c r="N48" s="541"/>
    </row>
    <row r="49" spans="1:14" x14ac:dyDescent="0.2">
      <c r="A49" s="11">
        <v>42887</v>
      </c>
      <c r="B49" s="392">
        <v>0</v>
      </c>
      <c r="C49" s="392">
        <v>0</v>
      </c>
      <c r="D49" s="389">
        <f>0.34*1000</f>
        <v>340</v>
      </c>
      <c r="E49" s="389"/>
      <c r="F49" s="389"/>
      <c r="G49" s="541">
        <v>256120</v>
      </c>
      <c r="H49" s="540">
        <v>2844560</v>
      </c>
      <c r="I49" s="540">
        <v>237046.66666666666</v>
      </c>
      <c r="J49" s="540">
        <v>37460.875</v>
      </c>
      <c r="K49" s="540">
        <v>375326.24299900001</v>
      </c>
      <c r="L49" s="540">
        <v>31277.186916583334</v>
      </c>
      <c r="M49" s="541"/>
      <c r="N49" s="541"/>
    </row>
    <row r="50" spans="1:14" x14ac:dyDescent="0.2">
      <c r="A50" s="11">
        <v>42917</v>
      </c>
      <c r="B50" s="380">
        <v>2.5680000000000001</v>
      </c>
      <c r="C50" s="380">
        <v>3</v>
      </c>
      <c r="D50" s="381"/>
      <c r="E50" s="381"/>
      <c r="F50" s="381"/>
      <c r="G50" s="541">
        <v>225570</v>
      </c>
      <c r="H50" s="540">
        <v>2781320</v>
      </c>
      <c r="I50" s="540">
        <v>231776.66666666666</v>
      </c>
      <c r="J50" s="540">
        <v>34185.103000000003</v>
      </c>
      <c r="K50" s="540">
        <v>399008.53766600002</v>
      </c>
      <c r="L50" s="540">
        <v>33250.711472166666</v>
      </c>
      <c r="M50" s="541"/>
      <c r="N50" s="541"/>
    </row>
    <row r="51" spans="1:14" x14ac:dyDescent="0.2">
      <c r="A51" s="11">
        <v>42948</v>
      </c>
      <c r="B51" s="380">
        <v>0</v>
      </c>
      <c r="C51" s="380">
        <v>0</v>
      </c>
      <c r="D51" s="381">
        <f>0.34*700</f>
        <v>238.00000000000003</v>
      </c>
      <c r="E51" s="381">
        <f>0.13*300</f>
        <v>39</v>
      </c>
      <c r="F51" s="381"/>
      <c r="G51" s="541">
        <v>254230.00000000003</v>
      </c>
      <c r="H51" s="540">
        <v>2715780</v>
      </c>
      <c r="I51" s="540">
        <v>226315</v>
      </c>
      <c r="J51" s="540">
        <v>32706.875</v>
      </c>
      <c r="K51" s="540">
        <v>416878.10433300002</v>
      </c>
      <c r="L51" s="540">
        <v>34739.842027750004</v>
      </c>
      <c r="M51" s="541"/>
      <c r="N51" s="541"/>
    </row>
    <row r="52" spans="1:14" x14ac:dyDescent="0.2">
      <c r="A52" s="11">
        <v>42979</v>
      </c>
      <c r="B52" s="380">
        <v>3.4340000000000002</v>
      </c>
      <c r="C52" s="380">
        <v>0</v>
      </c>
      <c r="D52" s="381"/>
      <c r="E52" s="381"/>
      <c r="F52" s="381"/>
      <c r="G52" s="541">
        <v>259990</v>
      </c>
      <c r="H52" s="540">
        <v>2657430</v>
      </c>
      <c r="I52" s="540">
        <v>221452.5</v>
      </c>
      <c r="J52" s="540">
        <v>38999.434000000001</v>
      </c>
      <c r="K52" s="540">
        <v>438886.42000000004</v>
      </c>
      <c r="L52" s="540">
        <v>36573.868333333339</v>
      </c>
      <c r="M52" s="541"/>
      <c r="N52" s="541"/>
    </row>
    <row r="53" spans="1:14" x14ac:dyDescent="0.2">
      <c r="A53" s="11">
        <v>43009</v>
      </c>
      <c r="B53" s="380">
        <v>0</v>
      </c>
      <c r="C53" s="380">
        <v>7</v>
      </c>
      <c r="D53" s="381"/>
      <c r="E53" s="381"/>
      <c r="F53" s="381"/>
      <c r="G53" s="541">
        <v>271240.00000000006</v>
      </c>
      <c r="H53" s="540">
        <v>2654610</v>
      </c>
      <c r="I53" s="540">
        <v>221217.5</v>
      </c>
      <c r="J53" s="540">
        <v>38805.31</v>
      </c>
      <c r="K53" s="540">
        <v>440087.45966666663</v>
      </c>
      <c r="L53" s="540">
        <v>36673.954972222222</v>
      </c>
      <c r="M53" s="541"/>
      <c r="N53" s="541"/>
    </row>
    <row r="54" spans="1:14" x14ac:dyDescent="0.2">
      <c r="A54" s="11">
        <v>43040</v>
      </c>
      <c r="B54" s="380">
        <v>2.0110000000000001</v>
      </c>
      <c r="C54" s="380">
        <v>0</v>
      </c>
      <c r="D54" s="381">
        <f>0.34*700</f>
        <v>238.00000000000003</v>
      </c>
      <c r="E54" s="381">
        <f>0.13*300</f>
        <v>39</v>
      </c>
      <c r="F54" s="381"/>
      <c r="G54" s="541">
        <v>292110</v>
      </c>
      <c r="H54" s="540">
        <v>2375280</v>
      </c>
      <c r="I54" s="540">
        <v>197940</v>
      </c>
      <c r="J54" s="540">
        <v>47988.010999999999</v>
      </c>
      <c r="K54" s="540">
        <v>450338.09233333333</v>
      </c>
      <c r="L54" s="540">
        <v>37528.174361111109</v>
      </c>
      <c r="M54" s="541"/>
      <c r="N54" s="541"/>
    </row>
    <row r="55" spans="1:14" x14ac:dyDescent="0.2">
      <c r="A55" s="11">
        <v>43070</v>
      </c>
      <c r="B55" s="380">
        <v>0</v>
      </c>
      <c r="C55" s="380">
        <v>0</v>
      </c>
      <c r="D55" s="381">
        <f>0.34*500</f>
        <v>170</v>
      </c>
      <c r="E55" s="381"/>
      <c r="F55" s="381">
        <f>0.15*500</f>
        <v>75</v>
      </c>
      <c r="G55" s="541">
        <v>236970</v>
      </c>
      <c r="H55" s="540">
        <v>2154240</v>
      </c>
      <c r="I55" s="540">
        <v>179520</v>
      </c>
      <c r="J55" s="540">
        <v>50223.96</v>
      </c>
      <c r="K55" s="540">
        <v>469108.59399999998</v>
      </c>
      <c r="L55" s="540">
        <v>39092.382833333329</v>
      </c>
      <c r="M55" s="541"/>
      <c r="N55" s="541"/>
    </row>
    <row r="56" spans="1:14" x14ac:dyDescent="0.2">
      <c r="A56" s="11">
        <v>43101</v>
      </c>
      <c r="B56" s="380">
        <v>0</v>
      </c>
      <c r="C56" s="380">
        <v>0</v>
      </c>
      <c r="D56" s="381"/>
      <c r="E56" s="381"/>
      <c r="F56" s="381"/>
      <c r="G56" s="541">
        <v>279330</v>
      </c>
      <c r="H56" s="540">
        <v>2185086.1425999999</v>
      </c>
      <c r="I56" s="540">
        <v>182090.51188333333</v>
      </c>
      <c r="J56" s="540">
        <v>41304.300000000003</v>
      </c>
      <c r="K56" s="540">
        <v>479234.76799999998</v>
      </c>
      <c r="L56" s="540">
        <v>39936.230666666663</v>
      </c>
      <c r="M56" s="541"/>
      <c r="N56" s="541"/>
    </row>
    <row r="57" spans="1:14" x14ac:dyDescent="0.2">
      <c r="A57" s="11">
        <v>43132</v>
      </c>
      <c r="B57" s="380">
        <v>0</v>
      </c>
      <c r="C57" s="380">
        <v>0</v>
      </c>
      <c r="D57" s="381"/>
      <c r="E57" s="381"/>
      <c r="F57" s="381"/>
      <c r="G57" s="541">
        <v>221040</v>
      </c>
      <c r="H57" s="540">
        <v>1982166.1425999999</v>
      </c>
      <c r="I57" s="540">
        <v>165180.51188333333</v>
      </c>
      <c r="J57" s="540">
        <v>34758.300000000003</v>
      </c>
      <c r="K57" s="540">
        <v>477153.69299999997</v>
      </c>
      <c r="L57" s="540">
        <v>39762.80775</v>
      </c>
      <c r="M57" s="541"/>
      <c r="N57" s="541"/>
    </row>
    <row r="58" spans="1:14" x14ac:dyDescent="0.2">
      <c r="A58" s="11">
        <v>43160</v>
      </c>
      <c r="B58" s="380">
        <v>0</v>
      </c>
      <c r="C58" s="380">
        <v>7</v>
      </c>
      <c r="D58" s="381"/>
      <c r="E58" s="381"/>
      <c r="F58" s="381"/>
      <c r="G58" s="541">
        <v>236710</v>
      </c>
      <c r="H58" s="540">
        <v>1772496.1425999999</v>
      </c>
      <c r="I58" s="540">
        <v>147708.01188333333</v>
      </c>
      <c r="J58" s="540">
        <v>41500.699999999997</v>
      </c>
      <c r="K58" s="540">
        <v>477647.44800000003</v>
      </c>
      <c r="L58" s="540">
        <v>39803.954000000005</v>
      </c>
      <c r="M58" s="541"/>
      <c r="N58" s="541"/>
    </row>
    <row r="59" spans="1:14" x14ac:dyDescent="0.2">
      <c r="A59" s="11">
        <v>43191</v>
      </c>
      <c r="B59" s="380">
        <v>11.510999999999999</v>
      </c>
      <c r="C59" s="380">
        <v>0</v>
      </c>
      <c r="D59" s="381"/>
      <c r="E59" s="381">
        <f>0.13*(1000+1600)</f>
        <v>338</v>
      </c>
      <c r="F59" s="381">
        <f>0.15*(1000+400)</f>
        <v>210</v>
      </c>
      <c r="G59" s="541">
        <v>202920</v>
      </c>
      <c r="H59" s="540">
        <v>1559606.1425999999</v>
      </c>
      <c r="I59" s="540">
        <v>129967.17855</v>
      </c>
      <c r="J59" s="540">
        <v>47230.911</v>
      </c>
      <c r="K59" s="540">
        <v>486650.08400000003</v>
      </c>
      <c r="L59" s="540">
        <v>40554.173666666669</v>
      </c>
      <c r="M59" s="541"/>
      <c r="N59" s="614">
        <v>84454.3</v>
      </c>
    </row>
    <row r="60" spans="1:14" x14ac:dyDescent="0.2">
      <c r="A60" s="11">
        <v>43221</v>
      </c>
      <c r="B60" s="380">
        <v>0</v>
      </c>
      <c r="C60" s="380">
        <v>0</v>
      </c>
      <c r="D60" s="381"/>
      <c r="E60" s="381"/>
      <c r="F60" s="381"/>
      <c r="G60" s="541">
        <v>209670</v>
      </c>
      <c r="H60" s="540">
        <v>1523966.1425999999</v>
      </c>
      <c r="I60" s="540">
        <v>126997.17855</v>
      </c>
      <c r="J60" s="540">
        <v>67920</v>
      </c>
      <c r="K60" s="540">
        <v>513083.77900000004</v>
      </c>
      <c r="L60" s="540">
        <v>42756.981583333334</v>
      </c>
      <c r="M60" s="541"/>
      <c r="N60" s="541"/>
    </row>
    <row r="61" spans="1:14" x14ac:dyDescent="0.2">
      <c r="A61" s="11">
        <v>43252</v>
      </c>
      <c r="B61" s="380">
        <v>0</v>
      </c>
      <c r="C61" s="380">
        <v>0</v>
      </c>
      <c r="D61" s="381"/>
      <c r="E61" s="381"/>
      <c r="F61" s="381"/>
      <c r="G61" s="541">
        <v>212890</v>
      </c>
      <c r="H61" s="540">
        <v>1317936.1425999999</v>
      </c>
      <c r="I61" s="540">
        <v>109828.01188333333</v>
      </c>
      <c r="J61" s="540">
        <v>94123.65</v>
      </c>
      <c r="K61" s="540">
        <v>569746.554</v>
      </c>
      <c r="L61" s="540">
        <v>47478.879500000003</v>
      </c>
      <c r="M61" s="541"/>
      <c r="N61" s="541"/>
    </row>
    <row r="62" spans="1:14" x14ac:dyDescent="0.2">
      <c r="A62" s="11">
        <v>43282</v>
      </c>
      <c r="B62" s="388">
        <v>0</v>
      </c>
      <c r="C62" s="388">
        <v>0</v>
      </c>
      <c r="D62" s="389">
        <v>0</v>
      </c>
      <c r="E62" s="389">
        <f>0.13*800</f>
        <v>104</v>
      </c>
      <c r="F62" s="389">
        <f>0.15*200</f>
        <v>30</v>
      </c>
      <c r="G62" s="541">
        <v>215660</v>
      </c>
      <c r="H62" s="540">
        <v>1121186.1425999999</v>
      </c>
      <c r="I62" s="540">
        <v>93432.178549999997</v>
      </c>
      <c r="J62" s="540">
        <v>44290.8</v>
      </c>
      <c r="K62" s="540">
        <v>579852.25100000005</v>
      </c>
      <c r="L62" s="540">
        <v>48321.020916666668</v>
      </c>
      <c r="M62" s="541"/>
      <c r="N62" s="541"/>
    </row>
    <row r="63" spans="1:14" x14ac:dyDescent="0.2">
      <c r="A63" s="11">
        <v>43313</v>
      </c>
      <c r="B63" s="388">
        <v>0</v>
      </c>
      <c r="C63" s="388">
        <v>0</v>
      </c>
      <c r="D63" s="389">
        <v>0</v>
      </c>
      <c r="E63" s="389">
        <v>0</v>
      </c>
      <c r="F63" s="389">
        <v>0</v>
      </c>
      <c r="G63" s="541">
        <v>206030</v>
      </c>
      <c r="H63" s="540">
        <v>1223383.9226000002</v>
      </c>
      <c r="I63" s="540">
        <v>101948.66021666669</v>
      </c>
      <c r="J63" s="540">
        <v>42851.4</v>
      </c>
      <c r="K63" s="540">
        <v>589996.77600000007</v>
      </c>
      <c r="L63" s="540">
        <v>49166.398000000008</v>
      </c>
      <c r="M63" s="541"/>
      <c r="N63" s="541"/>
    </row>
    <row r="64" spans="1:14" x14ac:dyDescent="0.2">
      <c r="A64" s="11">
        <v>43344</v>
      </c>
      <c r="B64" s="388">
        <v>0.186</v>
      </c>
      <c r="C64" s="388">
        <v>14</v>
      </c>
      <c r="D64" s="389">
        <v>0</v>
      </c>
      <c r="E64" s="389">
        <v>0</v>
      </c>
      <c r="F64" s="389">
        <v>0</v>
      </c>
      <c r="G64" s="541">
        <v>196750</v>
      </c>
      <c r="H64" s="540">
        <v>2781320</v>
      </c>
      <c r="I64" s="540">
        <v>231776.66666666666</v>
      </c>
      <c r="J64" s="540">
        <v>88281.695999999996</v>
      </c>
      <c r="K64" s="540">
        <v>639279.03799999994</v>
      </c>
      <c r="L64" s="540">
        <v>53273.253166666662</v>
      </c>
      <c r="M64" s="541"/>
      <c r="N64" s="541"/>
    </row>
    <row r="65" spans="1:14" x14ac:dyDescent="0.2">
      <c r="A65" s="11">
        <v>43374</v>
      </c>
      <c r="B65" s="388">
        <v>0</v>
      </c>
      <c r="C65" s="388">
        <v>0</v>
      </c>
      <c r="D65" s="389"/>
      <c r="E65" s="389"/>
      <c r="F65" s="389"/>
      <c r="G65" s="541">
        <v>205700</v>
      </c>
      <c r="H65" s="540">
        <v>2715780</v>
      </c>
      <c r="I65" s="540">
        <v>226315</v>
      </c>
      <c r="J65" s="540">
        <v>50819.95</v>
      </c>
      <c r="K65" s="540">
        <v>651293.67800000007</v>
      </c>
      <c r="L65" s="540">
        <v>54274.47316666667</v>
      </c>
      <c r="M65" s="541"/>
      <c r="N65" s="541"/>
    </row>
    <row r="66" spans="1:14" x14ac:dyDescent="0.2">
      <c r="A66" s="11">
        <v>43405</v>
      </c>
      <c r="B66" s="392">
        <v>0.44900000000000001</v>
      </c>
      <c r="C66" s="392">
        <v>0</v>
      </c>
      <c r="D66" s="389"/>
      <c r="E66" s="389">
        <f>0.13*2000</f>
        <v>260</v>
      </c>
      <c r="F66" s="389"/>
      <c r="G66" s="541">
        <v>233760</v>
      </c>
      <c r="H66" s="540">
        <v>2657430</v>
      </c>
      <c r="I66" s="540">
        <v>221452.5</v>
      </c>
      <c r="J66" s="540">
        <v>74759.599000000002</v>
      </c>
      <c r="K66" s="540">
        <v>678065.26599999995</v>
      </c>
      <c r="L66" s="540">
        <v>56505.438833333326</v>
      </c>
      <c r="M66" s="541"/>
      <c r="N66" s="541"/>
    </row>
    <row r="67" spans="1:14" x14ac:dyDescent="0.2">
      <c r="A67" s="11">
        <v>43435</v>
      </c>
      <c r="B67" s="392">
        <v>0.186</v>
      </c>
      <c r="C67" s="392">
        <v>20</v>
      </c>
      <c r="D67" s="389"/>
      <c r="E67" s="389"/>
      <c r="F67" s="389"/>
      <c r="G67" s="541">
        <v>234150</v>
      </c>
      <c r="H67" s="540">
        <v>2654610</v>
      </c>
      <c r="I67" s="540">
        <v>221217.5</v>
      </c>
      <c r="J67" s="540">
        <v>106520.58600000001</v>
      </c>
      <c r="K67" s="540">
        <v>734361.89200000011</v>
      </c>
      <c r="L67" s="540">
        <v>61196.824333333345</v>
      </c>
      <c r="M67" s="541"/>
      <c r="N67" s="541">
        <v>78.186000000000007</v>
      </c>
    </row>
    <row r="68" spans="1:14" x14ac:dyDescent="0.2">
      <c r="A68" s="11">
        <v>43466</v>
      </c>
      <c r="B68" s="392">
        <v>0</v>
      </c>
      <c r="C68" s="392">
        <v>0</v>
      </c>
      <c r="D68" s="389"/>
      <c r="E68" s="389"/>
      <c r="F68" s="389"/>
      <c r="G68" s="540">
        <v>0</v>
      </c>
      <c r="H68" s="540">
        <v>0</v>
      </c>
      <c r="I68" s="540">
        <v>115765</v>
      </c>
      <c r="J68" s="540">
        <v>1891588.3981833332</v>
      </c>
      <c r="K68" s="540">
        <v>157632.36651527777</v>
      </c>
      <c r="L68" s="541"/>
      <c r="M68" s="541">
        <v>689.5</v>
      </c>
      <c r="N68" s="540">
        <v>689.5</v>
      </c>
    </row>
    <row r="69" spans="1:14" x14ac:dyDescent="0.2">
      <c r="A69" s="11">
        <v>43497</v>
      </c>
      <c r="B69" s="392">
        <v>3.9449999999999998</v>
      </c>
      <c r="C69" s="388">
        <v>3</v>
      </c>
      <c r="D69" s="389"/>
      <c r="E69" s="389"/>
      <c r="F69" s="389"/>
      <c r="G69" s="540">
        <v>0</v>
      </c>
      <c r="H69" s="540">
        <v>204315.61740000002</v>
      </c>
      <c r="I69" s="540">
        <v>19532030.253000002</v>
      </c>
      <c r="J69" s="540">
        <v>1627669.1877500003</v>
      </c>
      <c r="K69" s="541"/>
      <c r="L69" s="541">
        <v>390</v>
      </c>
      <c r="M69" s="540">
        <v>493721.39716666669</v>
      </c>
      <c r="N69" s="540">
        <v>41143.449763888893</v>
      </c>
    </row>
    <row r="70" spans="1:14" x14ac:dyDescent="0.2">
      <c r="A70" s="11">
        <v>43525</v>
      </c>
      <c r="B70" s="392">
        <v>0</v>
      </c>
      <c r="C70" s="392">
        <v>0</v>
      </c>
      <c r="D70" s="389"/>
      <c r="E70" s="389"/>
      <c r="F70" s="389"/>
      <c r="G70" s="540">
        <v>267556.14260000002</v>
      </c>
      <c r="H70" s="540">
        <v>2185086.1425999999</v>
      </c>
      <c r="I70" s="540">
        <v>182090.51188333333</v>
      </c>
      <c r="J70" s="541"/>
      <c r="K70" s="541">
        <v>180</v>
      </c>
      <c r="L70" s="540">
        <v>5600141.6845152779</v>
      </c>
      <c r="M70" s="540">
        <v>466678.47370960651</v>
      </c>
      <c r="N70" s="540">
        <v>2675656.7970833331</v>
      </c>
    </row>
    <row r="71" spans="1:14" x14ac:dyDescent="0.2">
      <c r="A71" s="11">
        <v>43556</v>
      </c>
      <c r="B71" s="392">
        <v>1.47</v>
      </c>
      <c r="C71" s="392">
        <v>18</v>
      </c>
      <c r="D71" s="389"/>
      <c r="E71" s="389"/>
      <c r="F71" s="389"/>
      <c r="G71" s="540">
        <v>0</v>
      </c>
      <c r="H71" s="540">
        <v>0</v>
      </c>
      <c r="I71" s="541">
        <v>-1</v>
      </c>
      <c r="J71" s="541">
        <v>8380</v>
      </c>
      <c r="K71" s="540">
        <v>4097205.2669333331</v>
      </c>
      <c r="L71" s="540">
        <v>341433.77224444441</v>
      </c>
      <c r="M71" s="540">
        <v>45909.760000000002</v>
      </c>
      <c r="N71" s="540">
        <v>1006999.1308762731</v>
      </c>
    </row>
    <row r="72" spans="1:14" x14ac:dyDescent="0.2">
      <c r="A72" s="11">
        <v>43586</v>
      </c>
      <c r="B72" s="392">
        <v>1.841</v>
      </c>
      <c r="C72" s="392">
        <v>0</v>
      </c>
      <c r="D72" s="389"/>
      <c r="E72" s="389"/>
      <c r="F72" s="389"/>
      <c r="G72" s="540">
        <v>0</v>
      </c>
      <c r="H72" s="541"/>
      <c r="I72" s="541">
        <v>18316</v>
      </c>
      <c r="J72" s="540">
        <v>21054171.282200001</v>
      </c>
      <c r="K72" s="540">
        <v>1754514.2735166668</v>
      </c>
      <c r="L72" s="540">
        <v>47338.690999999999</v>
      </c>
      <c r="M72" s="540">
        <v>6359520.4356763884</v>
      </c>
      <c r="N72" s="540">
        <v>529960.03630636574</v>
      </c>
    </row>
    <row r="73" spans="1:14" x14ac:dyDescent="0.2">
      <c r="A73" s="11">
        <v>43617</v>
      </c>
      <c r="B73" s="392">
        <v>0</v>
      </c>
      <c r="C73" s="392">
        <v>0</v>
      </c>
      <c r="D73" s="389"/>
      <c r="E73" s="389"/>
      <c r="F73" s="389"/>
      <c r="G73" s="541"/>
      <c r="H73" s="541">
        <v>38325</v>
      </c>
      <c r="I73" s="540">
        <v>15581436.825200001</v>
      </c>
      <c r="J73" s="540">
        <v>1298453.0687666668</v>
      </c>
      <c r="K73" s="540">
        <v>46129.3</v>
      </c>
      <c r="L73" s="540">
        <v>9928510.1079652775</v>
      </c>
      <c r="M73" s="540">
        <v>827375.84233043983</v>
      </c>
      <c r="N73" s="541"/>
    </row>
    <row r="74" spans="1:14" x14ac:dyDescent="0.2">
      <c r="A74" s="11">
        <v>43647</v>
      </c>
      <c r="B74" s="380">
        <v>20.067</v>
      </c>
      <c r="C74" s="380">
        <v>0</v>
      </c>
      <c r="D74" s="381"/>
      <c r="E74" s="381"/>
      <c r="F74" s="381"/>
      <c r="G74" s="541">
        <v>180019.99999999997</v>
      </c>
      <c r="H74" s="540">
        <v>1523966.1425999999</v>
      </c>
      <c r="I74" s="540">
        <v>126997.17855</v>
      </c>
      <c r="J74" s="540">
        <v>57730.107000000004</v>
      </c>
      <c r="K74" s="540">
        <v>26301225.274900004</v>
      </c>
      <c r="L74" s="540">
        <v>2191768.7729083337</v>
      </c>
      <c r="M74" s="541"/>
      <c r="N74" s="541">
        <v>20.067</v>
      </c>
    </row>
    <row r="75" spans="1:14" x14ac:dyDescent="0.2">
      <c r="A75" s="11">
        <v>43678</v>
      </c>
      <c r="B75" s="380">
        <v>0</v>
      </c>
      <c r="C75" s="380">
        <v>0</v>
      </c>
      <c r="D75" s="381"/>
      <c r="E75" s="381"/>
      <c r="F75" s="381"/>
      <c r="G75" s="540">
        <v>0</v>
      </c>
      <c r="H75" s="540">
        <v>0</v>
      </c>
      <c r="I75" s="540">
        <v>115861.29999999999</v>
      </c>
      <c r="J75" s="540">
        <v>36573257.735299997</v>
      </c>
      <c r="K75" s="540">
        <v>3047771.4779416663</v>
      </c>
      <c r="L75" s="541"/>
      <c r="M75" s="541">
        <v>369.1</v>
      </c>
      <c r="N75" s="540">
        <v>8194264.5088831009</v>
      </c>
    </row>
    <row r="76" spans="1:14" x14ac:dyDescent="0.2">
      <c r="A76" s="11">
        <v>43709</v>
      </c>
      <c r="B76" s="380">
        <v>0.78900000000000003</v>
      </c>
      <c r="C76" s="380">
        <v>20</v>
      </c>
      <c r="D76" s="381"/>
      <c r="E76" s="381"/>
      <c r="F76" s="381"/>
      <c r="G76" s="540">
        <v>0</v>
      </c>
      <c r="H76" s="540">
        <v>295175.28899999999</v>
      </c>
      <c r="I76" s="540">
        <v>12274688.1916</v>
      </c>
      <c r="J76" s="540">
        <v>1022890.6826333334</v>
      </c>
      <c r="K76" s="541"/>
      <c r="L76" s="541">
        <v>549</v>
      </c>
      <c r="M76" s="540">
        <v>18282108.764966667</v>
      </c>
      <c r="N76" s="540">
        <v>1523509.0637472223</v>
      </c>
    </row>
    <row r="77" spans="1:14" x14ac:dyDescent="0.2">
      <c r="A77" s="11">
        <v>43739</v>
      </c>
      <c r="B77" s="380">
        <v>15.38</v>
      </c>
      <c r="C77" s="380">
        <v>9</v>
      </c>
      <c r="D77" s="381">
        <v>0</v>
      </c>
      <c r="E77" s="381">
        <v>0</v>
      </c>
      <c r="F77" s="381">
        <v>0</v>
      </c>
      <c r="G77" s="540">
        <v>307897.78000000003</v>
      </c>
      <c r="H77" s="540">
        <v>1223383.9226000002</v>
      </c>
      <c r="I77" s="540">
        <v>101948.66021666669</v>
      </c>
      <c r="J77" s="541"/>
      <c r="K77" s="541">
        <v>286</v>
      </c>
      <c r="L77" s="540">
        <v>36817371.117806949</v>
      </c>
      <c r="M77" s="540">
        <v>3068114.2598172459</v>
      </c>
      <c r="N77" s="540">
        <v>1710161.142816667</v>
      </c>
    </row>
    <row r="78" spans="1:14" x14ac:dyDescent="0.2">
      <c r="A78" s="11">
        <v>43770</v>
      </c>
      <c r="B78" s="380">
        <v>3.4</v>
      </c>
      <c r="C78" s="380">
        <v>6</v>
      </c>
      <c r="D78" s="381"/>
      <c r="E78" s="381"/>
      <c r="F78" s="381"/>
      <c r="G78" s="540">
        <v>0</v>
      </c>
      <c r="H78" s="540">
        <v>0</v>
      </c>
      <c r="I78" s="541"/>
      <c r="J78" s="541">
        <v>12137</v>
      </c>
      <c r="K78" s="540">
        <v>63652798.047833331</v>
      </c>
      <c r="L78" s="540">
        <v>5304399.8373194439</v>
      </c>
      <c r="M78" s="540">
        <v>64863.5</v>
      </c>
      <c r="N78" s="540">
        <v>29609351.033667013</v>
      </c>
    </row>
    <row r="79" spans="1:14" x14ac:dyDescent="0.2">
      <c r="A79" s="11">
        <v>43800</v>
      </c>
      <c r="B79" s="380">
        <v>5.57</v>
      </c>
      <c r="C79" s="380">
        <v>11</v>
      </c>
      <c r="D79" s="381"/>
      <c r="E79" s="381"/>
      <c r="F79" s="381"/>
      <c r="G79" s="540">
        <v>0</v>
      </c>
      <c r="H79" s="541"/>
      <c r="I79" s="541">
        <v>14624</v>
      </c>
      <c r="J79" s="540">
        <v>48063756.920450002</v>
      </c>
      <c r="K79" s="540">
        <v>4005313.0767041668</v>
      </c>
      <c r="L79" s="540">
        <v>77551.5</v>
      </c>
      <c r="M79" s="540">
        <v>60309454.483759724</v>
      </c>
      <c r="N79" s="540">
        <v>5025787.8736466439</v>
      </c>
    </row>
    <row r="80" spans="1:14" x14ac:dyDescent="0.2">
      <c r="A80" s="11">
        <v>43831</v>
      </c>
      <c r="B80" s="380">
        <v>0</v>
      </c>
      <c r="C80" s="380">
        <v>0</v>
      </c>
      <c r="D80" s="381"/>
      <c r="E80" s="381"/>
      <c r="F80" s="381"/>
      <c r="G80" s="541"/>
      <c r="H80" s="541">
        <v>28801</v>
      </c>
      <c r="I80" s="540">
        <v>5499053.1141999997</v>
      </c>
      <c r="J80" s="540">
        <v>458254.42618333333</v>
      </c>
      <c r="K80" s="540">
        <v>75785.350000000006</v>
      </c>
      <c r="L80" s="540">
        <v>102981208.06782916</v>
      </c>
      <c r="M80" s="540">
        <v>8581767.3389857635</v>
      </c>
      <c r="N80" s="541"/>
    </row>
    <row r="81" spans="1:14" x14ac:dyDescent="0.2">
      <c r="A81" s="11">
        <v>43862</v>
      </c>
      <c r="B81" s="380">
        <v>0</v>
      </c>
      <c r="C81" s="380">
        <v>0</v>
      </c>
      <c r="D81" s="381"/>
      <c r="E81" s="381"/>
      <c r="F81" s="381"/>
      <c r="G81" s="541"/>
      <c r="H81" s="540"/>
      <c r="J81" s="540"/>
      <c r="K81" s="540"/>
      <c r="M81" s="541"/>
      <c r="N81" s="541"/>
    </row>
    <row r="82" spans="1:14" x14ac:dyDescent="0.2">
      <c r="A82" s="11">
        <v>43891</v>
      </c>
      <c r="B82" s="380">
        <v>0</v>
      </c>
      <c r="C82" s="380">
        <v>0</v>
      </c>
      <c r="D82" s="381"/>
      <c r="E82" s="381"/>
      <c r="F82" s="381"/>
      <c r="G82" s="541"/>
      <c r="H82" s="540"/>
      <c r="J82" s="540"/>
      <c r="K82" s="540"/>
      <c r="M82" s="541"/>
      <c r="N82" s="541"/>
    </row>
    <row r="83" spans="1:14" x14ac:dyDescent="0.2">
      <c r="A83" s="11">
        <v>43922</v>
      </c>
      <c r="B83" s="380">
        <v>0</v>
      </c>
      <c r="C83" s="380">
        <v>0</v>
      </c>
      <c r="D83" s="381"/>
      <c r="E83" s="381"/>
      <c r="F83" s="381"/>
      <c r="G83" s="541"/>
      <c r="H83" s="540"/>
      <c r="J83" s="540"/>
      <c r="K83" s="540"/>
      <c r="M83" s="541"/>
      <c r="N83" s="541"/>
    </row>
    <row r="84" spans="1:14" x14ac:dyDescent="0.2">
      <c r="A84" s="11">
        <v>43952</v>
      </c>
      <c r="B84" s="380">
        <v>10.829000000000001</v>
      </c>
      <c r="C84" s="380">
        <v>2</v>
      </c>
      <c r="D84" s="381"/>
      <c r="E84" s="381"/>
      <c r="F84" s="381"/>
      <c r="G84" s="541"/>
      <c r="H84" s="540"/>
      <c r="J84" s="540"/>
      <c r="K84" s="540"/>
      <c r="M84" s="541"/>
      <c r="N84" s="541"/>
    </row>
    <row r="85" spans="1:14" x14ac:dyDescent="0.2">
      <c r="A85" s="11">
        <v>43983</v>
      </c>
      <c r="B85" s="380">
        <v>10.52</v>
      </c>
      <c r="C85" s="380">
        <v>0</v>
      </c>
      <c r="D85" s="381"/>
      <c r="E85" s="381"/>
      <c r="F85" s="381"/>
      <c r="G85" s="541"/>
      <c r="H85" s="540"/>
      <c r="J85" s="540"/>
      <c r="K85" s="540"/>
      <c r="M85" s="541"/>
      <c r="N85" s="541"/>
    </row>
    <row r="86" spans="1:14" x14ac:dyDescent="0.2">
      <c r="A86" s="11">
        <v>44013</v>
      </c>
      <c r="B86" s="392">
        <v>0.85099999999999998</v>
      </c>
      <c r="C86" s="392">
        <v>6</v>
      </c>
      <c r="D86" s="393"/>
      <c r="E86" s="393"/>
      <c r="F86" s="393"/>
      <c r="G86" s="541"/>
      <c r="H86" s="540"/>
      <c r="J86" s="540"/>
      <c r="K86" s="540"/>
      <c r="M86" s="541"/>
      <c r="N86" s="541"/>
    </row>
    <row r="87" spans="1:14" x14ac:dyDescent="0.2">
      <c r="A87" s="11">
        <v>44044</v>
      </c>
      <c r="B87" s="392">
        <v>0</v>
      </c>
      <c r="C87" s="392">
        <v>0</v>
      </c>
      <c r="D87" s="393"/>
      <c r="E87" s="393"/>
      <c r="F87" s="393"/>
      <c r="G87" s="541"/>
      <c r="H87" s="540"/>
      <c r="J87" s="540"/>
      <c r="K87" s="540"/>
      <c r="M87" s="541"/>
      <c r="N87" s="541"/>
    </row>
    <row r="88" spans="1:14" x14ac:dyDescent="0.2">
      <c r="A88" s="11">
        <v>44075</v>
      </c>
      <c r="B88" s="392">
        <v>0.78900000000000003</v>
      </c>
      <c r="C88" s="392">
        <v>0</v>
      </c>
      <c r="D88" s="393"/>
      <c r="E88" s="393"/>
      <c r="F88" s="393"/>
      <c r="G88" s="541"/>
      <c r="H88" s="540"/>
      <c r="J88" s="540"/>
      <c r="K88" s="540"/>
      <c r="M88" s="541"/>
      <c r="N88" s="541"/>
    </row>
    <row r="89" spans="1:14" x14ac:dyDescent="0.2">
      <c r="A89" s="11">
        <v>44105</v>
      </c>
      <c r="B89" s="392">
        <v>0</v>
      </c>
      <c r="C89" s="392">
        <v>6</v>
      </c>
      <c r="D89" s="393"/>
      <c r="E89" s="393"/>
      <c r="F89" s="393"/>
      <c r="G89" s="541"/>
      <c r="H89" s="540"/>
      <c r="J89" s="540"/>
      <c r="K89" s="540"/>
      <c r="M89" s="541"/>
      <c r="N89" s="541"/>
    </row>
    <row r="90" spans="1:14" x14ac:dyDescent="0.2">
      <c r="A90" s="11">
        <v>44136</v>
      </c>
      <c r="B90" s="392">
        <v>0.46400000000000002</v>
      </c>
      <c r="C90" s="392">
        <v>7</v>
      </c>
      <c r="D90" s="393"/>
      <c r="E90" s="393"/>
      <c r="F90" s="393"/>
      <c r="G90" s="541"/>
      <c r="H90" s="540"/>
      <c r="J90" s="540"/>
      <c r="K90" s="540"/>
      <c r="M90" s="541"/>
      <c r="N90" s="541"/>
    </row>
    <row r="91" spans="1:14" x14ac:dyDescent="0.2">
      <c r="A91" s="11">
        <v>44166</v>
      </c>
      <c r="B91" s="392">
        <v>0.92800000000000005</v>
      </c>
      <c r="C91" s="392">
        <v>0</v>
      </c>
      <c r="D91" s="393"/>
      <c r="E91" s="393"/>
      <c r="F91" s="393"/>
      <c r="G91" s="541"/>
      <c r="H91" s="540"/>
      <c r="J91" s="540"/>
      <c r="K91" s="540"/>
      <c r="M91" s="541"/>
      <c r="N91" s="541"/>
    </row>
    <row r="92" spans="1:14" x14ac:dyDescent="0.2">
      <c r="A92" s="11">
        <v>44197</v>
      </c>
      <c r="B92" s="392">
        <v>4.6399999999999997</v>
      </c>
      <c r="C92" s="392">
        <v>0</v>
      </c>
      <c r="D92" s="393"/>
      <c r="E92" s="393"/>
      <c r="F92" s="393"/>
      <c r="G92" s="541"/>
      <c r="H92" s="540"/>
      <c r="J92" s="540"/>
      <c r="K92" s="540"/>
      <c r="M92" s="541"/>
      <c r="N92" s="541"/>
    </row>
    <row r="93" spans="1:14" x14ac:dyDescent="0.2">
      <c r="A93" s="11">
        <v>44228</v>
      </c>
      <c r="B93" s="392">
        <v>3.911</v>
      </c>
      <c r="C93" s="392">
        <v>0</v>
      </c>
      <c r="D93" s="393"/>
      <c r="E93" s="393"/>
      <c r="F93" s="393"/>
      <c r="G93" s="541"/>
      <c r="H93" s="540"/>
      <c r="J93" s="540"/>
      <c r="K93" s="540"/>
      <c r="M93" s="541"/>
      <c r="N93" s="541"/>
    </row>
    <row r="94" spans="1:14" x14ac:dyDescent="0.2">
      <c r="A94" s="11">
        <v>44256</v>
      </c>
      <c r="B94" s="392">
        <v>4.3630000000000004</v>
      </c>
      <c r="C94" s="392">
        <v>0</v>
      </c>
      <c r="D94" s="393"/>
      <c r="E94" s="393"/>
      <c r="F94" s="393"/>
      <c r="G94" s="541"/>
      <c r="H94" s="540"/>
      <c r="J94" s="540"/>
      <c r="K94" s="540"/>
      <c r="M94" s="541"/>
      <c r="N94" s="541"/>
    </row>
    <row r="95" spans="1:14" x14ac:dyDescent="0.2">
      <c r="A95" s="11">
        <v>44287</v>
      </c>
      <c r="B95" s="392">
        <v>0.35599999999999998</v>
      </c>
      <c r="C95" s="392">
        <v>0</v>
      </c>
      <c r="D95" s="393"/>
      <c r="E95" s="393"/>
      <c r="F95" s="393"/>
      <c r="G95" s="541"/>
      <c r="H95" s="540"/>
      <c r="J95" s="540"/>
      <c r="K95" s="540"/>
      <c r="M95" s="541"/>
      <c r="N95" s="541"/>
    </row>
    <row r="96" spans="1:14" x14ac:dyDescent="0.2">
      <c r="A96" s="11">
        <v>44317</v>
      </c>
      <c r="B96" s="392">
        <v>5.415</v>
      </c>
      <c r="C96" s="392">
        <v>0</v>
      </c>
      <c r="D96" s="393"/>
      <c r="E96" s="393"/>
      <c r="F96" s="393"/>
      <c r="G96" s="541"/>
      <c r="H96" s="540"/>
      <c r="J96" s="540"/>
      <c r="K96" s="540"/>
      <c r="M96" s="541"/>
      <c r="N96" s="541"/>
    </row>
    <row r="97" spans="1:14" x14ac:dyDescent="0.2">
      <c r="A97" s="11">
        <v>44348</v>
      </c>
      <c r="B97" s="392">
        <v>3.8679999999999999</v>
      </c>
      <c r="C97" s="392">
        <v>0</v>
      </c>
      <c r="D97" s="393"/>
      <c r="E97" s="393"/>
      <c r="F97" s="393"/>
      <c r="G97" s="541">
        <v>111190</v>
      </c>
      <c r="H97" s="540">
        <v>111190</v>
      </c>
      <c r="I97" s="540">
        <v>9265.8333333333339</v>
      </c>
      <c r="J97" s="540">
        <v>92885.967999999993</v>
      </c>
      <c r="K97" s="540">
        <v>92885.967999999993</v>
      </c>
      <c r="L97" s="540">
        <v>7740.4973333333328</v>
      </c>
      <c r="M97" s="541"/>
      <c r="N97" s="614">
        <v>204075.96799999999</v>
      </c>
    </row>
    <row r="98" spans="1:14" x14ac:dyDescent="0.2">
      <c r="A98" s="11">
        <v>44378</v>
      </c>
      <c r="B98" s="380">
        <v>3.8679999999999999</v>
      </c>
      <c r="C98" s="380">
        <v>0</v>
      </c>
      <c r="D98" s="381"/>
      <c r="E98" s="381"/>
      <c r="F98" s="381"/>
      <c r="G98" s="541">
        <v>117730</v>
      </c>
      <c r="H98" s="540">
        <v>228920</v>
      </c>
      <c r="I98" s="540">
        <v>19076.666666666668</v>
      </c>
      <c r="J98" s="540">
        <v>99787.217999999993</v>
      </c>
      <c r="K98" s="540">
        <v>192673.18599999999</v>
      </c>
      <c r="L98" s="540">
        <v>16056.098833333332</v>
      </c>
      <c r="M98" s="541"/>
      <c r="N98" s="541"/>
    </row>
    <row r="99" spans="1:14" x14ac:dyDescent="0.2">
      <c r="A99" s="11">
        <v>44409</v>
      </c>
      <c r="B99" s="380">
        <v>0.20300000000000001</v>
      </c>
      <c r="C99" s="380">
        <v>0</v>
      </c>
      <c r="D99" s="381"/>
      <c r="E99" s="381"/>
      <c r="F99" s="381"/>
      <c r="G99" s="541">
        <v>132220</v>
      </c>
      <c r="H99" s="540">
        <v>361140</v>
      </c>
      <c r="I99" s="540">
        <v>30095</v>
      </c>
      <c r="J99" s="540">
        <v>106308.09299999999</v>
      </c>
      <c r="K99" s="540">
        <v>298981.27899999998</v>
      </c>
      <c r="L99" s="540">
        <v>24915.10658333333</v>
      </c>
      <c r="M99" s="541"/>
      <c r="N99" s="541"/>
    </row>
    <row r="100" spans="1:14" x14ac:dyDescent="0.2">
      <c r="A100" s="11">
        <v>44440</v>
      </c>
      <c r="B100" s="380">
        <v>0</v>
      </c>
      <c r="C100" s="380">
        <v>0</v>
      </c>
      <c r="D100" s="381"/>
      <c r="E100" s="381"/>
      <c r="F100" s="381"/>
      <c r="G100" s="541">
        <v>154490</v>
      </c>
      <c r="H100" s="540">
        <v>515630</v>
      </c>
      <c r="I100" s="540">
        <v>42969.166666666664</v>
      </c>
      <c r="J100" s="540">
        <v>98591.05</v>
      </c>
      <c r="K100" s="540">
        <v>397572.32899999997</v>
      </c>
      <c r="L100" s="540">
        <v>33131.027416666664</v>
      </c>
      <c r="M100" s="541"/>
      <c r="N100" s="541"/>
    </row>
    <row r="101" spans="1:14" x14ac:dyDescent="0.2">
      <c r="A101" s="11">
        <v>44470</v>
      </c>
      <c r="B101" s="380">
        <v>0</v>
      </c>
      <c r="C101" s="380">
        <v>0</v>
      </c>
      <c r="D101" s="381"/>
      <c r="E101" s="381"/>
      <c r="F101" s="381"/>
      <c r="G101" s="541">
        <v>143570</v>
      </c>
      <c r="H101" s="540">
        <v>659200</v>
      </c>
      <c r="I101" s="540">
        <v>54933.333333333336</v>
      </c>
      <c r="J101" s="540">
        <v>111552.35</v>
      </c>
      <c r="K101" s="540">
        <v>509124.679</v>
      </c>
      <c r="L101" s="540">
        <v>42427.056583333331</v>
      </c>
      <c r="M101" s="541"/>
      <c r="N101" s="541"/>
    </row>
    <row r="102" spans="1:14" x14ac:dyDescent="0.2">
      <c r="A102" s="11">
        <v>44501</v>
      </c>
      <c r="B102" s="380">
        <v>0.77400000000000002</v>
      </c>
      <c r="C102" s="380">
        <v>0</v>
      </c>
      <c r="D102" s="381"/>
      <c r="E102" s="381"/>
      <c r="F102" s="381"/>
      <c r="G102" s="541">
        <v>144810</v>
      </c>
      <c r="H102" s="540">
        <v>804010</v>
      </c>
      <c r="I102" s="540">
        <v>67000.833333333328</v>
      </c>
      <c r="J102" s="540">
        <v>107433.38399999999</v>
      </c>
      <c r="K102" s="540">
        <v>616558.06299999997</v>
      </c>
      <c r="L102" s="540">
        <v>51379.83858333333</v>
      </c>
      <c r="M102" s="541"/>
      <c r="N102" s="541"/>
    </row>
    <row r="103" spans="1:14" x14ac:dyDescent="0.2">
      <c r="A103" s="11">
        <v>44531</v>
      </c>
      <c r="B103" s="380">
        <v>0.38700000000000001</v>
      </c>
      <c r="C103" s="380">
        <v>0</v>
      </c>
      <c r="D103" s="381"/>
      <c r="E103" s="381"/>
      <c r="F103" s="381"/>
      <c r="G103" s="541">
        <v>143687</v>
      </c>
      <c r="H103" s="540">
        <v>947697</v>
      </c>
      <c r="I103" s="540">
        <v>78974.75</v>
      </c>
      <c r="J103" s="540">
        <v>108138.23699999999</v>
      </c>
      <c r="K103" s="540">
        <v>724696.29999999993</v>
      </c>
      <c r="L103" s="540">
        <v>60391.35833333333</v>
      </c>
      <c r="M103" s="541"/>
      <c r="N103" s="541"/>
    </row>
    <row r="104" spans="1:14" x14ac:dyDescent="0.2">
      <c r="A104" s="11">
        <v>44562</v>
      </c>
      <c r="B104" s="380">
        <v>0</v>
      </c>
      <c r="C104" s="380">
        <v>0</v>
      </c>
      <c r="D104" s="381"/>
      <c r="E104" s="381"/>
      <c r="F104" s="381"/>
      <c r="G104" s="541">
        <v>144020</v>
      </c>
      <c r="H104" s="540">
        <v>1091717</v>
      </c>
      <c r="I104" s="540">
        <v>90976.416666666672</v>
      </c>
      <c r="J104" s="540">
        <v>105774.65</v>
      </c>
      <c r="K104" s="540">
        <v>830470.95</v>
      </c>
      <c r="L104" s="540">
        <v>69205.912499999991</v>
      </c>
      <c r="M104" s="541"/>
      <c r="N104" s="541"/>
    </row>
    <row r="105" spans="1:14" x14ac:dyDescent="0.2">
      <c r="A105" s="11">
        <v>44593</v>
      </c>
      <c r="B105" s="380">
        <v>0.371</v>
      </c>
      <c r="C105" s="380">
        <v>0</v>
      </c>
      <c r="D105" s="381"/>
      <c r="E105" s="381"/>
      <c r="F105" s="381"/>
      <c r="G105" s="541">
        <v>110360</v>
      </c>
      <c r="H105" s="540">
        <v>1202077</v>
      </c>
      <c r="I105" s="540">
        <v>100173.08333333333</v>
      </c>
      <c r="J105" s="540">
        <v>64836.481</v>
      </c>
      <c r="K105" s="540">
        <v>895307.43099999998</v>
      </c>
      <c r="L105" s="540">
        <v>74608.952583333332</v>
      </c>
      <c r="M105" s="541"/>
      <c r="N105" s="541"/>
    </row>
    <row r="106" spans="1:14" x14ac:dyDescent="0.2">
      <c r="A106" s="11">
        <v>44621</v>
      </c>
      <c r="B106" s="380">
        <v>0</v>
      </c>
      <c r="C106" s="380">
        <v>0</v>
      </c>
      <c r="D106" s="381"/>
      <c r="E106" s="381"/>
      <c r="F106" s="381"/>
      <c r="G106" s="541">
        <v>112280</v>
      </c>
      <c r="H106" s="540">
        <v>1314357</v>
      </c>
      <c r="I106" s="540">
        <v>109529.75</v>
      </c>
      <c r="J106" s="540">
        <v>74307.149999999994</v>
      </c>
      <c r="K106" s="540">
        <v>969614.58100000001</v>
      </c>
      <c r="L106" s="540">
        <v>80801.215083333329</v>
      </c>
      <c r="M106" s="541"/>
      <c r="N106" s="541"/>
    </row>
    <row r="107" spans="1:14" x14ac:dyDescent="0.2">
      <c r="A107" s="11">
        <v>44652</v>
      </c>
      <c r="B107" s="380">
        <v>4.641</v>
      </c>
      <c r="C107" s="380">
        <v>0</v>
      </c>
      <c r="D107" s="381"/>
      <c r="E107" s="381"/>
      <c r="F107" s="381"/>
      <c r="G107" s="541">
        <v>109680</v>
      </c>
      <c r="H107" s="540">
        <v>1424037</v>
      </c>
      <c r="I107" s="540">
        <v>118669.75</v>
      </c>
      <c r="J107" s="540">
        <v>80531.380999999994</v>
      </c>
      <c r="K107" s="540">
        <v>1050145.9620000001</v>
      </c>
      <c r="L107" s="540">
        <v>87512.16350000001</v>
      </c>
      <c r="M107" s="541"/>
      <c r="N107" s="541"/>
    </row>
    <row r="108" spans="1:14" x14ac:dyDescent="0.2">
      <c r="A108" s="11">
        <v>44682</v>
      </c>
      <c r="B108" s="380">
        <v>0</v>
      </c>
      <c r="C108" s="380">
        <v>0</v>
      </c>
      <c r="D108" s="381"/>
      <c r="E108" s="381"/>
      <c r="F108" s="381"/>
      <c r="G108" s="541">
        <v>128780</v>
      </c>
      <c r="H108" s="540">
        <v>1552817</v>
      </c>
      <c r="I108" s="540">
        <v>129401.41666666667</v>
      </c>
      <c r="J108" s="540">
        <v>90153.35</v>
      </c>
      <c r="K108" s="540">
        <v>1140299.3120000002</v>
      </c>
      <c r="L108" s="540">
        <v>95024.942666666684</v>
      </c>
      <c r="M108" s="541"/>
      <c r="N108" s="541"/>
    </row>
    <row r="109" spans="1:14" x14ac:dyDescent="0.2">
      <c r="A109" s="11">
        <v>44713</v>
      </c>
      <c r="B109" s="380">
        <v>0</v>
      </c>
      <c r="C109" s="380">
        <v>0</v>
      </c>
      <c r="D109" s="381"/>
      <c r="E109" s="381"/>
      <c r="F109" s="381"/>
      <c r="G109" s="541">
        <v>133160</v>
      </c>
      <c r="H109" s="540">
        <v>1574787</v>
      </c>
      <c r="I109" s="540">
        <v>131232.25</v>
      </c>
      <c r="J109" s="540">
        <v>89542.8</v>
      </c>
      <c r="K109" s="540">
        <v>1136956.1439999999</v>
      </c>
      <c r="L109" s="540">
        <v>94746.345333333316</v>
      </c>
      <c r="M109" s="541"/>
      <c r="N109" s="614">
        <v>2711743.1439999999</v>
      </c>
    </row>
    <row r="110" spans="1:14" x14ac:dyDescent="0.2">
      <c r="A110" s="11">
        <v>44743</v>
      </c>
      <c r="B110" s="392">
        <v>0</v>
      </c>
      <c r="C110" s="392">
        <v>0</v>
      </c>
      <c r="D110" s="393"/>
      <c r="E110" s="393"/>
      <c r="F110" s="393"/>
      <c r="G110" s="541">
        <v>133830</v>
      </c>
      <c r="H110" s="540">
        <v>1590887</v>
      </c>
      <c r="I110" s="540">
        <v>132573.91666666666</v>
      </c>
      <c r="J110" s="540">
        <v>81459.95</v>
      </c>
      <c r="K110" s="540">
        <v>1118628.8760000002</v>
      </c>
      <c r="L110" s="540">
        <v>93219.073000000019</v>
      </c>
      <c r="M110" s="541"/>
      <c r="N110" s="541"/>
    </row>
    <row r="111" spans="1:14" x14ac:dyDescent="0.2">
      <c r="A111" s="11">
        <v>44774</v>
      </c>
      <c r="B111" s="392">
        <v>0</v>
      </c>
      <c r="C111" s="392">
        <v>0</v>
      </c>
      <c r="D111" s="393"/>
      <c r="E111" s="393"/>
      <c r="F111" s="393"/>
      <c r="G111" s="541">
        <v>142600</v>
      </c>
      <c r="H111" s="540">
        <v>1601267</v>
      </c>
      <c r="I111" s="540">
        <v>133438.91666666666</v>
      </c>
      <c r="J111" s="540">
        <v>97312.25</v>
      </c>
      <c r="K111" s="540">
        <v>1109633.0329999998</v>
      </c>
      <c r="L111" s="540">
        <v>92469.419416666657</v>
      </c>
      <c r="M111" s="541"/>
      <c r="N111" s="541"/>
    </row>
    <row r="112" spans="1:14" x14ac:dyDescent="0.2">
      <c r="A112" s="11">
        <v>44805</v>
      </c>
      <c r="B112" s="392">
        <v>0</v>
      </c>
      <c r="C112" s="392">
        <v>0</v>
      </c>
      <c r="D112" s="393"/>
      <c r="E112" s="393"/>
      <c r="F112" s="393"/>
      <c r="G112" s="541">
        <v>173160</v>
      </c>
      <c r="H112" s="540">
        <v>1619937</v>
      </c>
      <c r="I112" s="540">
        <v>134994.75</v>
      </c>
      <c r="J112" s="540">
        <v>102162.85</v>
      </c>
      <c r="K112" s="540">
        <v>1113204.8330000001</v>
      </c>
      <c r="L112" s="540">
        <v>92767.06941666668</v>
      </c>
      <c r="M112" s="541"/>
      <c r="N112" s="541"/>
    </row>
    <row r="113" spans="1:23" x14ac:dyDescent="0.2">
      <c r="A113" s="11">
        <v>44835</v>
      </c>
      <c r="B113" s="392">
        <v>0</v>
      </c>
      <c r="C113" s="392">
        <v>0</v>
      </c>
      <c r="D113" s="393"/>
      <c r="E113" s="393"/>
      <c r="F113" s="393"/>
      <c r="G113" s="541">
        <v>168060</v>
      </c>
      <c r="H113" s="540">
        <v>1644427</v>
      </c>
      <c r="I113" s="540">
        <v>137035.58333333334</v>
      </c>
      <c r="J113" s="540">
        <v>106460.55</v>
      </c>
      <c r="K113" s="540">
        <v>1108113.0330000001</v>
      </c>
      <c r="L113" s="540">
        <v>92342.75275</v>
      </c>
      <c r="M113" s="541"/>
      <c r="N113" s="541"/>
    </row>
    <row r="114" spans="1:23" x14ac:dyDescent="0.2">
      <c r="A114" s="11">
        <v>44866</v>
      </c>
      <c r="B114" s="392">
        <v>0</v>
      </c>
      <c r="C114" s="392">
        <v>0</v>
      </c>
      <c r="D114" s="393"/>
      <c r="E114" s="393"/>
      <c r="F114" s="393"/>
      <c r="G114" s="541">
        <v>166850</v>
      </c>
      <c r="H114" s="540">
        <v>1666467</v>
      </c>
      <c r="I114" s="540">
        <v>138872.25</v>
      </c>
      <c r="J114" s="540">
        <v>107788.5</v>
      </c>
      <c r="K114" s="540">
        <v>1108468.1490000002</v>
      </c>
      <c r="L114" s="540">
        <v>92372.345750000022</v>
      </c>
      <c r="M114" s="541"/>
      <c r="N114" s="541"/>
    </row>
    <row r="115" spans="1:23" x14ac:dyDescent="0.2">
      <c r="A115" s="11">
        <v>44896</v>
      </c>
      <c r="B115" s="392">
        <v>0</v>
      </c>
      <c r="C115" s="392">
        <v>0</v>
      </c>
      <c r="D115" s="393"/>
      <c r="E115" s="393"/>
      <c r="F115" s="393"/>
      <c r="G115" s="541">
        <v>154040</v>
      </c>
      <c r="H115" s="540">
        <v>1676820</v>
      </c>
      <c r="I115" s="540">
        <v>139735</v>
      </c>
      <c r="J115" s="540">
        <v>110169</v>
      </c>
      <c r="K115" s="540">
        <v>1110498.912</v>
      </c>
      <c r="L115" s="540">
        <v>92541.576000000001</v>
      </c>
      <c r="M115" s="541"/>
      <c r="N115" s="541"/>
    </row>
    <row r="116" spans="1:23" x14ac:dyDescent="0.2">
      <c r="A116" s="11">
        <v>44927</v>
      </c>
      <c r="B116" s="392">
        <v>0</v>
      </c>
      <c r="C116" s="392">
        <v>0</v>
      </c>
      <c r="D116" s="393"/>
      <c r="E116" s="393"/>
      <c r="F116" s="393"/>
      <c r="G116" s="541">
        <v>124160</v>
      </c>
      <c r="H116" s="540">
        <v>1656960</v>
      </c>
      <c r="I116" s="540">
        <v>138080</v>
      </c>
      <c r="J116" s="540">
        <v>100297</v>
      </c>
      <c r="K116" s="540">
        <v>1105021.2620000001</v>
      </c>
      <c r="L116" s="540">
        <v>92085.105166666675</v>
      </c>
      <c r="M116" s="541"/>
      <c r="N116" s="541"/>
    </row>
    <row r="117" spans="1:23" x14ac:dyDescent="0.2">
      <c r="A117" s="11">
        <v>44958</v>
      </c>
      <c r="B117" s="392">
        <v>0</v>
      </c>
      <c r="C117" s="392">
        <v>0</v>
      </c>
      <c r="D117" s="393"/>
      <c r="E117" s="393"/>
      <c r="F117" s="393"/>
      <c r="G117" s="541">
        <v>152050</v>
      </c>
      <c r="H117" s="540">
        <v>1698650</v>
      </c>
      <c r="I117" s="540">
        <v>141554.16666666666</v>
      </c>
      <c r="J117" s="540">
        <v>81578.399999999994</v>
      </c>
      <c r="K117" s="540">
        <v>1121763.1810000001</v>
      </c>
      <c r="L117" s="540">
        <v>93480.265083333346</v>
      </c>
      <c r="M117" s="613"/>
      <c r="N117" s="613"/>
      <c r="R117" s="92"/>
      <c r="S117" s="92"/>
      <c r="T117" s="92"/>
      <c r="U117" s="92"/>
      <c r="V117" s="92"/>
      <c r="W117" s="92"/>
    </row>
    <row r="118" spans="1:23" x14ac:dyDescent="0.2">
      <c r="A118" s="11">
        <v>44986</v>
      </c>
      <c r="B118" s="392">
        <v>0</v>
      </c>
      <c r="C118" s="392">
        <v>0</v>
      </c>
      <c r="D118" s="393"/>
      <c r="E118" s="393"/>
      <c r="F118" s="393"/>
      <c r="G118" s="541">
        <v>169890</v>
      </c>
      <c r="H118" s="540">
        <v>1756260</v>
      </c>
      <c r="I118" s="540">
        <v>146355</v>
      </c>
      <c r="J118" s="540">
        <v>97111.3</v>
      </c>
      <c r="K118" s="540">
        <v>1144567.331</v>
      </c>
      <c r="L118" s="540">
        <v>95380.610916666672</v>
      </c>
      <c r="M118" s="613"/>
      <c r="N118" s="613"/>
      <c r="R118" s="92"/>
      <c r="S118" s="92"/>
      <c r="T118" s="92"/>
      <c r="U118" s="92"/>
      <c r="V118" s="92"/>
      <c r="W118" s="92"/>
    </row>
    <row r="119" spans="1:23" x14ac:dyDescent="0.2">
      <c r="A119" s="11">
        <v>45017</v>
      </c>
      <c r="B119" s="392">
        <v>0</v>
      </c>
      <c r="C119" s="392">
        <v>0</v>
      </c>
      <c r="D119" s="393"/>
      <c r="E119" s="393"/>
      <c r="F119" s="393"/>
      <c r="G119" s="541">
        <v>149490</v>
      </c>
      <c r="H119" s="540">
        <v>1796070</v>
      </c>
      <c r="I119" s="540">
        <v>149672.5</v>
      </c>
      <c r="J119" s="540">
        <v>91605.75</v>
      </c>
      <c r="K119" s="540">
        <v>1155641.7000000002</v>
      </c>
      <c r="L119" s="540">
        <v>96303.47500000002</v>
      </c>
      <c r="M119" s="613"/>
      <c r="N119" s="613"/>
      <c r="R119" s="92"/>
      <c r="S119" s="92"/>
      <c r="T119" s="92"/>
      <c r="U119" s="92"/>
      <c r="V119" s="92"/>
      <c r="W119" s="92"/>
    </row>
    <row r="120" spans="1:23" x14ac:dyDescent="0.2">
      <c r="A120" s="11">
        <v>45047</v>
      </c>
      <c r="B120" s="392">
        <v>0</v>
      </c>
      <c r="C120" s="392">
        <v>0</v>
      </c>
      <c r="D120" s="393"/>
      <c r="E120" s="393"/>
      <c r="F120" s="393"/>
      <c r="G120" s="541">
        <v>151970</v>
      </c>
      <c r="H120" s="540">
        <v>1819260</v>
      </c>
      <c r="I120" s="540">
        <v>151605</v>
      </c>
      <c r="J120" s="540">
        <v>94968.9</v>
      </c>
      <c r="K120" s="540">
        <v>1160457.25</v>
      </c>
      <c r="L120" s="540">
        <v>96704.770833333328</v>
      </c>
      <c r="M120" s="613"/>
      <c r="N120" s="613"/>
      <c r="R120" s="92"/>
      <c r="S120" s="92"/>
      <c r="T120" s="92"/>
      <c r="U120" s="92"/>
      <c r="V120" s="92"/>
      <c r="W120" s="92"/>
    </row>
    <row r="121" spans="1:23" x14ac:dyDescent="0.2">
      <c r="A121" s="11">
        <v>45078</v>
      </c>
      <c r="B121" s="394">
        <v>0</v>
      </c>
      <c r="C121" s="394">
        <v>0</v>
      </c>
      <c r="D121" s="393"/>
      <c r="E121" s="393"/>
      <c r="F121" s="393"/>
      <c r="G121" s="541">
        <v>142210</v>
      </c>
      <c r="H121" s="540">
        <v>1828310</v>
      </c>
      <c r="I121" s="540">
        <v>152359.16666666666</v>
      </c>
      <c r="J121" s="540">
        <v>98477.05</v>
      </c>
      <c r="K121" s="540">
        <v>1169391.5000000002</v>
      </c>
      <c r="L121" s="540">
        <v>97449.291666666686</v>
      </c>
      <c r="M121" s="613"/>
      <c r="N121" s="614">
        <v>2997701.5</v>
      </c>
      <c r="R121" s="92"/>
      <c r="S121" s="92"/>
      <c r="T121" s="92"/>
      <c r="U121" s="92"/>
      <c r="V121" s="92"/>
      <c r="W121" s="92"/>
    </row>
    <row r="122" spans="1:23" x14ac:dyDescent="0.2">
      <c r="A122" s="11">
        <v>45108</v>
      </c>
      <c r="B122" s="394">
        <v>0</v>
      </c>
      <c r="C122" s="394">
        <v>0</v>
      </c>
      <c r="D122" s="381"/>
      <c r="E122" s="381"/>
      <c r="F122" s="381"/>
      <c r="G122" s="541">
        <v>136680</v>
      </c>
      <c r="H122" s="540">
        <v>1831160</v>
      </c>
      <c r="I122" s="540">
        <v>152596.66666666666</v>
      </c>
      <c r="J122" s="540">
        <v>77767</v>
      </c>
      <c r="K122" s="540">
        <v>1165698.55</v>
      </c>
      <c r="L122" s="540">
        <v>97141.545833333337</v>
      </c>
      <c r="M122" s="613"/>
      <c r="N122" s="613"/>
      <c r="R122" s="92"/>
      <c r="S122" s="92"/>
      <c r="T122" s="92"/>
      <c r="U122" s="92"/>
      <c r="V122" s="92"/>
      <c r="W122" s="92"/>
    </row>
    <row r="123" spans="1:23" x14ac:dyDescent="0.2">
      <c r="A123" s="11">
        <v>45139</v>
      </c>
      <c r="B123" s="394">
        <v>0</v>
      </c>
      <c r="C123" s="394">
        <v>0</v>
      </c>
      <c r="D123" s="381"/>
      <c r="E123" s="381"/>
      <c r="F123" s="381"/>
      <c r="G123" s="541">
        <v>153100</v>
      </c>
      <c r="H123" s="540">
        <v>1841660</v>
      </c>
      <c r="I123" s="540">
        <v>153471.66666666666</v>
      </c>
      <c r="J123" s="540">
        <v>85047.5</v>
      </c>
      <c r="K123" s="540">
        <v>1153433.8000000003</v>
      </c>
      <c r="L123" s="540">
        <v>96119.483333333352</v>
      </c>
      <c r="M123" s="613"/>
      <c r="N123" s="613"/>
      <c r="R123" s="92"/>
      <c r="S123" s="92"/>
      <c r="T123" s="92"/>
      <c r="U123" s="92"/>
      <c r="V123" s="92"/>
      <c r="W123" s="92"/>
    </row>
    <row r="124" spans="1:23" ht="17" customHeight="1" x14ac:dyDescent="0.2">
      <c r="A124" s="11">
        <v>45170</v>
      </c>
      <c r="B124" s="394">
        <v>0</v>
      </c>
      <c r="C124" s="394">
        <v>0</v>
      </c>
      <c r="D124" s="381"/>
      <c r="E124" s="381"/>
      <c r="F124" s="381"/>
      <c r="G124" s="541">
        <v>157880</v>
      </c>
      <c r="H124" s="540">
        <v>1826380</v>
      </c>
      <c r="I124" s="540">
        <v>152198.33333333334</v>
      </c>
      <c r="J124" s="540">
        <v>108615.35</v>
      </c>
      <c r="K124" s="540">
        <v>1159886.3000000003</v>
      </c>
      <c r="L124" s="540">
        <v>96657.191666666695</v>
      </c>
      <c r="M124" s="542"/>
      <c r="N124" s="542"/>
      <c r="R124" s="92"/>
      <c r="S124" s="92"/>
      <c r="T124" s="92"/>
      <c r="U124" s="92"/>
      <c r="V124" s="92"/>
      <c r="W124" s="92"/>
    </row>
    <row r="125" spans="1:23" x14ac:dyDescent="0.2">
      <c r="A125" s="11">
        <v>45200</v>
      </c>
      <c r="B125" s="394">
        <v>0</v>
      </c>
      <c r="C125" s="394">
        <v>0</v>
      </c>
      <c r="D125" s="381"/>
      <c r="E125" s="381"/>
      <c r="F125" s="381"/>
      <c r="G125" s="541">
        <v>151690</v>
      </c>
      <c r="H125" s="540">
        <v>1810010</v>
      </c>
      <c r="I125" s="540">
        <v>150834.16666666666</v>
      </c>
      <c r="J125" s="540">
        <v>90634.599999999991</v>
      </c>
      <c r="K125" s="540">
        <v>1144060.3500000001</v>
      </c>
      <c r="L125" s="540">
        <v>95338.362500000003</v>
      </c>
      <c r="M125" s="542"/>
      <c r="N125" s="542"/>
      <c r="R125" s="92"/>
      <c r="S125" s="92"/>
      <c r="T125" s="92"/>
      <c r="U125" s="92"/>
      <c r="V125" s="92"/>
      <c r="W125" s="92"/>
    </row>
    <row r="126" spans="1:23" x14ac:dyDescent="0.2">
      <c r="A126" s="11">
        <v>45253</v>
      </c>
      <c r="B126" s="394">
        <v>0</v>
      </c>
      <c r="C126" s="394">
        <v>0</v>
      </c>
      <c r="D126" s="381"/>
      <c r="E126" s="381"/>
      <c r="F126" s="381"/>
      <c r="G126" s="541">
        <v>158262</v>
      </c>
      <c r="H126" s="540">
        <v>1801422</v>
      </c>
      <c r="I126" s="540">
        <v>150118.5</v>
      </c>
      <c r="J126" s="540">
        <v>96127.2</v>
      </c>
      <c r="K126" s="540">
        <v>1132399.05</v>
      </c>
      <c r="L126" s="540">
        <v>94366.587500000009</v>
      </c>
      <c r="M126" s="542"/>
      <c r="N126" s="542"/>
      <c r="R126" s="92"/>
      <c r="S126" s="92"/>
      <c r="T126" s="92"/>
      <c r="U126" s="92"/>
      <c r="V126" s="92"/>
      <c r="W126" s="92"/>
    </row>
    <row r="127" spans="1:23" x14ac:dyDescent="0.2">
      <c r="A127" s="11">
        <v>45261</v>
      </c>
      <c r="B127" s="394">
        <v>0</v>
      </c>
      <c r="C127" s="394">
        <v>0</v>
      </c>
      <c r="D127" s="381"/>
      <c r="E127" s="381"/>
      <c r="F127" s="381"/>
      <c r="G127" s="541">
        <v>148708</v>
      </c>
      <c r="H127" s="540">
        <v>1796090</v>
      </c>
      <c r="I127" s="540">
        <v>149674.16666666666</v>
      </c>
      <c r="J127" s="540">
        <v>96713.1</v>
      </c>
      <c r="K127" s="540">
        <v>1118943.1499999999</v>
      </c>
      <c r="L127" s="540">
        <v>93245.262499999997</v>
      </c>
      <c r="M127" s="542"/>
      <c r="N127" s="542"/>
      <c r="R127" s="92"/>
      <c r="S127" s="92"/>
      <c r="T127" s="92"/>
      <c r="U127" s="92"/>
      <c r="V127" s="92"/>
      <c r="W127" s="92"/>
    </row>
    <row r="128" spans="1:23" x14ac:dyDescent="0.2">
      <c r="A128" s="11">
        <v>45292</v>
      </c>
      <c r="B128" s="394">
        <v>0</v>
      </c>
      <c r="C128" s="394">
        <v>0</v>
      </c>
      <c r="D128" s="384"/>
      <c r="E128" s="384"/>
      <c r="F128" s="384"/>
      <c r="G128" s="541">
        <v>130338</v>
      </c>
      <c r="H128" s="540">
        <v>1802268</v>
      </c>
      <c r="I128" s="540">
        <v>150189</v>
      </c>
      <c r="J128" s="540">
        <v>94030.200000000012</v>
      </c>
      <c r="K128" s="540">
        <v>1112676.3499999999</v>
      </c>
      <c r="L128" s="540">
        <v>92723.02916666666</v>
      </c>
      <c r="M128" s="542"/>
      <c r="N128" s="542"/>
      <c r="R128" s="92"/>
      <c r="S128" s="92"/>
      <c r="T128" s="92"/>
      <c r="U128" s="92"/>
      <c r="V128" s="92"/>
      <c r="W128" s="92"/>
    </row>
    <row r="129" spans="1:19" x14ac:dyDescent="0.2">
      <c r="A129" s="11">
        <v>45323</v>
      </c>
      <c r="B129" s="394">
        <v>0</v>
      </c>
      <c r="C129" s="394">
        <v>0</v>
      </c>
      <c r="D129" s="384"/>
      <c r="E129" s="384"/>
      <c r="F129" s="384"/>
      <c r="G129" s="541">
        <v>123019.9</v>
      </c>
      <c r="H129" s="540">
        <v>1773237.9</v>
      </c>
      <c r="I129" s="540">
        <v>147769.82499999998</v>
      </c>
      <c r="J129" s="540">
        <v>88272.8</v>
      </c>
      <c r="K129" s="540">
        <v>1119370.75</v>
      </c>
      <c r="L129" s="540">
        <v>93280.895833333328</v>
      </c>
      <c r="M129" s="542"/>
      <c r="N129" s="542"/>
    </row>
    <row r="130" spans="1:19" x14ac:dyDescent="0.2">
      <c r="A130" s="11">
        <v>45352</v>
      </c>
      <c r="B130" s="394">
        <v>0</v>
      </c>
      <c r="C130" s="394">
        <v>0</v>
      </c>
      <c r="D130" s="384"/>
      <c r="E130" s="384"/>
      <c r="F130" s="384"/>
      <c r="G130" s="541">
        <v>141749.70000000001</v>
      </c>
      <c r="H130" s="540">
        <v>1745097.5999999999</v>
      </c>
      <c r="I130" s="540">
        <v>145424.79999999999</v>
      </c>
      <c r="J130" s="540">
        <v>99355.200000000012</v>
      </c>
      <c r="K130" s="540">
        <v>1121614.6499999999</v>
      </c>
      <c r="L130" s="540">
        <v>93467.887499999997</v>
      </c>
      <c r="M130" s="542"/>
      <c r="N130" s="542"/>
    </row>
    <row r="131" spans="1:19" x14ac:dyDescent="0.2">
      <c r="A131" s="11">
        <v>45383</v>
      </c>
      <c r="B131" s="395">
        <v>0</v>
      </c>
      <c r="C131" s="395">
        <v>0</v>
      </c>
      <c r="D131" s="384"/>
      <c r="E131" s="384"/>
      <c r="F131" s="384"/>
      <c r="G131" s="541">
        <v>136279</v>
      </c>
      <c r="H131" s="540">
        <v>1731886.5999999999</v>
      </c>
      <c r="I131" s="540">
        <v>144323.88333333333</v>
      </c>
      <c r="J131" s="540">
        <v>90233.600000000006</v>
      </c>
      <c r="K131" s="540">
        <v>1120242.5</v>
      </c>
      <c r="L131" s="540">
        <v>93353.541666666672</v>
      </c>
      <c r="M131" s="542"/>
      <c r="N131" s="542"/>
      <c r="O131" s="406"/>
      <c r="R131" s="354"/>
    </row>
    <row r="132" spans="1:19" x14ac:dyDescent="0.2">
      <c r="A132" s="11">
        <v>45413</v>
      </c>
      <c r="B132" s="398">
        <v>0</v>
      </c>
      <c r="C132" s="395">
        <v>0</v>
      </c>
      <c r="D132" s="384"/>
      <c r="E132" s="384"/>
      <c r="F132" s="384"/>
      <c r="G132" s="541">
        <v>168240</v>
      </c>
      <c r="H132" s="540">
        <v>1748156.5999999999</v>
      </c>
      <c r="I132" s="540">
        <v>145679.71666666665</v>
      </c>
      <c r="J132" s="540">
        <v>89013.2</v>
      </c>
      <c r="K132" s="540">
        <v>1114286.8</v>
      </c>
      <c r="L132" s="540">
        <v>92857.233333333337</v>
      </c>
      <c r="M132" s="542"/>
      <c r="N132" s="542"/>
      <c r="O132" s="406"/>
      <c r="R132" s="354"/>
    </row>
    <row r="133" spans="1:19" x14ac:dyDescent="0.2">
      <c r="A133" s="11">
        <v>45444</v>
      </c>
      <c r="B133" s="395">
        <v>0</v>
      </c>
      <c r="C133" s="395">
        <v>0</v>
      </c>
      <c r="D133" s="395"/>
      <c r="E133" s="395"/>
      <c r="F133" s="395"/>
      <c r="G133" s="541">
        <v>146382</v>
      </c>
      <c r="H133" s="540">
        <v>1752328.5999999999</v>
      </c>
      <c r="I133" s="540">
        <v>146027.38333333333</v>
      </c>
      <c r="J133" s="540">
        <v>83275.199999999997</v>
      </c>
      <c r="K133" s="540">
        <v>1099084.95</v>
      </c>
      <c r="L133" s="540">
        <v>91590.412499999991</v>
      </c>
      <c r="M133" s="542"/>
      <c r="N133" s="614">
        <v>2851413.55</v>
      </c>
      <c r="R133" s="354"/>
    </row>
    <row r="134" spans="1:19" x14ac:dyDescent="0.2">
      <c r="A134" s="11">
        <v>45474</v>
      </c>
      <c r="B134" s="382">
        <v>0</v>
      </c>
      <c r="C134" s="382">
        <v>0</v>
      </c>
      <c r="D134" s="382"/>
      <c r="E134" s="382"/>
      <c r="F134" s="382"/>
      <c r="G134" s="541">
        <v>160720.6</v>
      </c>
      <c r="H134" s="540">
        <v>1776369.2000000002</v>
      </c>
      <c r="I134" s="540">
        <v>148030.76666666669</v>
      </c>
      <c r="J134" s="540">
        <v>89193</v>
      </c>
      <c r="K134" s="540">
        <v>1110510.9499999997</v>
      </c>
      <c r="L134" s="540">
        <v>92542.579166666648</v>
      </c>
      <c r="M134" s="542"/>
      <c r="N134" s="540"/>
      <c r="R134" s="354"/>
      <c r="S134" s="407"/>
    </row>
    <row r="135" spans="1:19" x14ac:dyDescent="0.2">
      <c r="A135" s="11">
        <v>45505</v>
      </c>
      <c r="B135" s="382">
        <v>0</v>
      </c>
      <c r="C135" s="382">
        <v>0</v>
      </c>
      <c r="D135" s="382"/>
      <c r="E135" s="382"/>
      <c r="F135" s="382"/>
      <c r="G135" s="541">
        <v>140037</v>
      </c>
      <c r="H135" s="540">
        <v>1763306.2000000002</v>
      </c>
      <c r="I135" s="540">
        <v>146942.18333333335</v>
      </c>
      <c r="J135" s="540">
        <v>98710.7</v>
      </c>
      <c r="K135" s="540">
        <v>1124174.1499999999</v>
      </c>
      <c r="L135" s="540">
        <v>93681.179166666654</v>
      </c>
      <c r="M135" s="542"/>
      <c r="N135" s="540"/>
      <c r="R135" s="354"/>
      <c r="S135" s="407"/>
    </row>
    <row r="136" spans="1:19" x14ac:dyDescent="0.2">
      <c r="A136" s="11">
        <v>45536</v>
      </c>
      <c r="B136" s="382">
        <v>0</v>
      </c>
      <c r="C136" s="382">
        <v>0</v>
      </c>
      <c r="D136" s="382"/>
      <c r="E136" s="382"/>
      <c r="F136" s="382"/>
      <c r="G136" s="541">
        <v>153930</v>
      </c>
      <c r="H136" s="540">
        <v>1759356.2000000002</v>
      </c>
      <c r="I136" s="540">
        <v>146613.01666666669</v>
      </c>
      <c r="J136" s="540">
        <v>99513.3</v>
      </c>
      <c r="K136" s="540">
        <v>1115072.0999999999</v>
      </c>
      <c r="L136" s="540">
        <v>92922.674999999988</v>
      </c>
      <c r="M136" s="542"/>
      <c r="N136" s="540"/>
      <c r="R136" s="354"/>
      <c r="S136" s="407"/>
    </row>
    <row r="137" spans="1:19" x14ac:dyDescent="0.2">
      <c r="A137" s="11">
        <v>45566</v>
      </c>
      <c r="B137" s="382">
        <v>0</v>
      </c>
      <c r="C137" s="382">
        <v>0</v>
      </c>
      <c r="D137" s="382"/>
      <c r="E137" s="382"/>
      <c r="F137" s="382"/>
      <c r="G137" s="541">
        <v>156680</v>
      </c>
      <c r="H137" s="540">
        <v>1764346.2000000002</v>
      </c>
      <c r="I137" s="540">
        <v>147028.85</v>
      </c>
      <c r="J137" s="540">
        <v>104290.1</v>
      </c>
      <c r="K137" s="540">
        <v>1128727.5999999999</v>
      </c>
      <c r="L137" s="540">
        <v>94060.633333333317</v>
      </c>
      <c r="M137" s="542"/>
      <c r="N137" s="540"/>
      <c r="R137" s="354"/>
      <c r="S137" s="407"/>
    </row>
    <row r="138" spans="1:19" x14ac:dyDescent="0.2">
      <c r="A138" s="11">
        <v>45597</v>
      </c>
      <c r="B138" s="382">
        <v>0</v>
      </c>
      <c r="C138" s="382">
        <v>0</v>
      </c>
      <c r="D138" s="382"/>
      <c r="E138" s="382"/>
      <c r="F138" s="382"/>
      <c r="G138" s="541">
        <v>157420</v>
      </c>
      <c r="H138" s="540">
        <v>1763504.2000000002</v>
      </c>
      <c r="I138" s="540">
        <v>146958.68333333335</v>
      </c>
      <c r="J138" s="540">
        <v>105070.1</v>
      </c>
      <c r="K138" s="540">
        <v>1137670.5</v>
      </c>
      <c r="L138" s="540">
        <v>94805.875</v>
      </c>
      <c r="M138" s="542"/>
      <c r="N138" s="540"/>
      <c r="R138" s="354"/>
      <c r="S138" s="407"/>
    </row>
    <row r="139" spans="1:19" x14ac:dyDescent="0.2">
      <c r="A139" s="11">
        <v>45627</v>
      </c>
      <c r="B139" s="382">
        <v>0</v>
      </c>
      <c r="C139" s="382">
        <v>0</v>
      </c>
      <c r="D139" s="382"/>
      <c r="E139" s="382"/>
      <c r="F139" s="382"/>
      <c r="G139" s="541">
        <v>143500</v>
      </c>
      <c r="H139" s="540">
        <v>1758296.2</v>
      </c>
      <c r="I139" s="540">
        <v>146524.68333333332</v>
      </c>
      <c r="J139" s="540">
        <v>86822.7</v>
      </c>
      <c r="K139" s="540">
        <v>1127780.1000000001</v>
      </c>
      <c r="L139" s="540">
        <v>93981.675000000003</v>
      </c>
      <c r="M139" s="542"/>
      <c r="N139" s="540"/>
      <c r="R139" s="354"/>
      <c r="S139" s="407"/>
    </row>
    <row r="140" spans="1:19" x14ac:dyDescent="0.2">
      <c r="A140" s="11">
        <v>45658</v>
      </c>
      <c r="B140" s="382">
        <v>0</v>
      </c>
      <c r="C140" s="382">
        <v>0</v>
      </c>
      <c r="D140" s="382"/>
      <c r="E140" s="382"/>
      <c r="F140" s="382"/>
      <c r="G140" s="541">
        <v>123900</v>
      </c>
      <c r="H140" s="540">
        <v>1751858.2</v>
      </c>
      <c r="I140" s="540">
        <v>145988.18333333332</v>
      </c>
      <c r="J140" s="540">
        <v>82734.2</v>
      </c>
      <c r="K140" s="540">
        <v>1116484.0999999999</v>
      </c>
      <c r="L140" s="540">
        <v>93040.34166666666</v>
      </c>
      <c r="M140" s="542"/>
      <c r="N140" s="540"/>
      <c r="R140" s="354"/>
      <c r="S140" s="407"/>
    </row>
    <row r="141" spans="1:19" x14ac:dyDescent="0.2">
      <c r="A141" s="11">
        <v>45689</v>
      </c>
      <c r="B141" s="382">
        <v>0</v>
      </c>
      <c r="C141" s="382">
        <v>0</v>
      </c>
      <c r="D141" s="382"/>
      <c r="E141" s="382"/>
      <c r="F141" s="382"/>
      <c r="G141" s="541">
        <v>139910</v>
      </c>
      <c r="H141" s="540">
        <v>1768748.2999999998</v>
      </c>
      <c r="I141" s="540">
        <v>147395.69166666665</v>
      </c>
      <c r="J141" s="540">
        <v>86284.800000000003</v>
      </c>
      <c r="K141" s="540">
        <v>1114496.0999999999</v>
      </c>
      <c r="L141" s="540">
        <v>92874.674999999988</v>
      </c>
      <c r="M141" s="542"/>
      <c r="N141" s="540"/>
      <c r="R141" s="354"/>
      <c r="S141" s="407"/>
    </row>
    <row r="142" spans="1:19" x14ac:dyDescent="0.2">
      <c r="A142" s="11">
        <v>45717</v>
      </c>
      <c r="B142" s="391">
        <v>0</v>
      </c>
      <c r="C142" s="391">
        <v>0</v>
      </c>
      <c r="D142" s="391"/>
      <c r="E142" s="391"/>
      <c r="F142" s="391"/>
      <c r="G142" s="541">
        <v>159210</v>
      </c>
      <c r="H142" s="540">
        <v>1786208.6</v>
      </c>
      <c r="I142" s="540">
        <v>148850.71666666667</v>
      </c>
      <c r="J142" s="540">
        <v>102684.6</v>
      </c>
      <c r="K142" s="540">
        <v>1117825.5</v>
      </c>
      <c r="L142" s="540">
        <v>93152.125</v>
      </c>
      <c r="M142" s="542"/>
      <c r="N142" s="540"/>
      <c r="O142" s="540"/>
      <c r="P142" s="540"/>
      <c r="Q142" s="540"/>
      <c r="R142" s="540"/>
      <c r="S142" s="110"/>
    </row>
    <row r="143" spans="1:19" x14ac:dyDescent="0.2">
      <c r="A143" s="11">
        <v>45748</v>
      </c>
      <c r="B143" s="382">
        <v>0</v>
      </c>
      <c r="C143" s="382">
        <v>0</v>
      </c>
      <c r="D143" s="382"/>
      <c r="E143" s="382"/>
      <c r="F143" s="382"/>
      <c r="G143" s="541">
        <v>146360</v>
      </c>
      <c r="H143" s="540">
        <v>1796289.6</v>
      </c>
      <c r="I143" s="540">
        <v>149690.80000000002</v>
      </c>
      <c r="J143" s="540">
        <v>93350.6</v>
      </c>
      <c r="K143" s="540">
        <v>1120942.5</v>
      </c>
      <c r="L143" s="540">
        <v>93411.875</v>
      </c>
      <c r="M143" s="542"/>
      <c r="N143" s="540"/>
      <c r="R143" s="354"/>
      <c r="S143" s="407"/>
    </row>
    <row r="144" spans="1:19" x14ac:dyDescent="0.2">
      <c r="A144" s="11">
        <v>45778</v>
      </c>
      <c r="B144" s="382">
        <v>0</v>
      </c>
      <c r="C144" s="382">
        <v>0</v>
      </c>
      <c r="D144" s="382"/>
      <c r="E144" s="382"/>
      <c r="F144" s="382"/>
      <c r="G144" s="541">
        <v>160120</v>
      </c>
      <c r="H144" s="540">
        <v>1788169.6</v>
      </c>
      <c r="I144" s="540">
        <v>149014.13333333333</v>
      </c>
      <c r="J144" s="540">
        <v>96431.400000000023</v>
      </c>
      <c r="K144" s="540">
        <v>1128360.7</v>
      </c>
      <c r="L144" s="540">
        <v>94030.058333333334</v>
      </c>
      <c r="M144" s="542"/>
      <c r="N144" s="540"/>
      <c r="R144" s="354"/>
    </row>
    <row r="145" spans="1:18" x14ac:dyDescent="0.2">
      <c r="A145" s="11">
        <v>45809</v>
      </c>
      <c r="B145" s="382">
        <v>0</v>
      </c>
      <c r="C145" s="382">
        <v>0</v>
      </c>
      <c r="D145" s="382"/>
      <c r="E145" s="382"/>
      <c r="F145" s="382"/>
      <c r="G145" s="541">
        <v>152210</v>
      </c>
      <c r="H145" s="540">
        <v>1793997.6</v>
      </c>
      <c r="I145" s="540">
        <v>149499.80000000002</v>
      </c>
      <c r="J145" s="540">
        <v>90380.3</v>
      </c>
      <c r="K145" s="540">
        <v>1135465.7999999998</v>
      </c>
      <c r="L145" s="540">
        <v>94622.14999999998</v>
      </c>
      <c r="M145" s="542"/>
      <c r="N145" s="614">
        <v>2929463.4</v>
      </c>
      <c r="P145" s="407"/>
      <c r="R145" s="354"/>
    </row>
    <row r="146" spans="1:18" x14ac:dyDescent="0.2">
      <c r="A146" s="11">
        <v>45839</v>
      </c>
      <c r="B146" s="384"/>
      <c r="C146" s="384"/>
      <c r="D146" s="384"/>
      <c r="E146" s="384"/>
      <c r="F146" s="384"/>
      <c r="G146" s="541">
        <v>144060</v>
      </c>
      <c r="H146" s="542"/>
      <c r="I146" s="542"/>
      <c r="J146" s="540"/>
      <c r="K146" s="540"/>
      <c r="M146" s="8"/>
      <c r="N146" s="8"/>
      <c r="O146" s="8"/>
      <c r="P146" s="8"/>
      <c r="Q146" s="8"/>
    </row>
    <row r="147" spans="1:18" x14ac:dyDescent="0.2">
      <c r="A147" s="11">
        <v>45870</v>
      </c>
      <c r="B147" s="384"/>
      <c r="C147" s="384"/>
      <c r="D147" s="384"/>
      <c r="E147" s="384"/>
      <c r="F147" s="384"/>
      <c r="G147" s="541">
        <v>155500</v>
      </c>
      <c r="H147" s="542"/>
      <c r="I147" s="542"/>
      <c r="J147" s="540"/>
      <c r="K147" s="540"/>
      <c r="M147" s="540"/>
      <c r="N147" s="540"/>
      <c r="O147" s="8"/>
      <c r="P147" s="8"/>
      <c r="Q147" s="8"/>
    </row>
    <row r="148" spans="1:18" x14ac:dyDescent="0.2">
      <c r="A148" s="11">
        <v>45901</v>
      </c>
      <c r="B148" s="384"/>
      <c r="C148" s="384"/>
      <c r="D148" s="384"/>
      <c r="E148" s="384"/>
      <c r="F148" s="384"/>
      <c r="G148" s="540">
        <v>166440</v>
      </c>
      <c r="H148" s="542"/>
      <c r="I148" s="542"/>
      <c r="J148" s="540"/>
      <c r="K148" s="540"/>
      <c r="M148" s="540"/>
      <c r="N148" s="540"/>
      <c r="O148" s="8"/>
      <c r="P148" s="8"/>
      <c r="Q148" s="8"/>
    </row>
    <row r="149" spans="1:18" x14ac:dyDescent="0.2">
      <c r="A149" s="11">
        <v>45931</v>
      </c>
      <c r="B149" s="384"/>
      <c r="C149" s="384"/>
      <c r="D149" s="384"/>
      <c r="E149" s="384"/>
      <c r="F149" s="384"/>
      <c r="G149" s="540"/>
      <c r="H149" s="616"/>
      <c r="I149" s="542"/>
      <c r="J149" s="540"/>
      <c r="K149" s="540"/>
      <c r="M149" s="540"/>
      <c r="N149" s="540"/>
      <c r="O149" s="8"/>
      <c r="P149" s="8"/>
      <c r="Q149" s="8"/>
    </row>
    <row r="150" spans="1:18" x14ac:dyDescent="0.2">
      <c r="A150" s="11">
        <v>45962</v>
      </c>
      <c r="B150" s="384"/>
      <c r="C150" s="384"/>
      <c r="D150" s="384"/>
      <c r="E150" s="384"/>
      <c r="F150" s="384"/>
      <c r="G150" s="540"/>
      <c r="H150" s="542"/>
      <c r="I150" s="542"/>
      <c r="J150" s="540"/>
      <c r="K150" s="540"/>
      <c r="M150" s="540"/>
      <c r="N150" s="540"/>
      <c r="O150" s="8"/>
      <c r="P150" s="8"/>
      <c r="Q150" s="8"/>
    </row>
    <row r="151" spans="1:18" x14ac:dyDescent="0.2">
      <c r="A151" s="11">
        <v>45992</v>
      </c>
      <c r="B151" s="384"/>
      <c r="C151" s="384"/>
      <c r="D151" s="384"/>
      <c r="E151" s="384"/>
      <c r="F151" s="384"/>
      <c r="G151" s="540"/>
      <c r="H151" s="542"/>
      <c r="I151" s="542"/>
      <c r="J151" s="540"/>
      <c r="K151" s="540"/>
      <c r="M151" s="540"/>
      <c r="N151" s="540"/>
      <c r="O151" s="8"/>
      <c r="P151" s="8"/>
      <c r="Q151" s="8"/>
    </row>
    <row r="152" spans="1:18" x14ac:dyDescent="0.2">
      <c r="A152" s="11">
        <v>46023</v>
      </c>
      <c r="B152" s="384"/>
      <c r="C152" s="384"/>
      <c r="D152" s="384"/>
      <c r="E152" s="384"/>
      <c r="F152" s="384"/>
      <c r="G152" s="540"/>
      <c r="H152" s="542"/>
      <c r="I152" s="542"/>
      <c r="J152" s="540"/>
      <c r="K152" s="540"/>
      <c r="M152" s="540"/>
      <c r="N152" s="540"/>
      <c r="O152" s="8"/>
      <c r="P152" s="8"/>
      <c r="Q152" s="8"/>
    </row>
    <row r="153" spans="1:18" x14ac:dyDescent="0.2">
      <c r="A153" s="11">
        <v>46054</v>
      </c>
      <c r="B153" s="384"/>
      <c r="C153" s="384"/>
      <c r="D153" s="384"/>
      <c r="E153" s="384"/>
      <c r="F153" s="384"/>
      <c r="G153" s="540"/>
      <c r="H153" s="542"/>
      <c r="I153" s="542"/>
      <c r="J153" s="540"/>
      <c r="K153" s="540"/>
      <c r="M153" s="540"/>
      <c r="N153" s="540"/>
      <c r="O153" s="8"/>
      <c r="P153" s="8"/>
      <c r="Q153" s="8"/>
    </row>
    <row r="154" spans="1:18" x14ac:dyDescent="0.2">
      <c r="A154" s="11">
        <v>46082</v>
      </c>
      <c r="B154" s="384"/>
      <c r="C154" s="384"/>
      <c r="D154" s="384"/>
      <c r="E154" s="384"/>
      <c r="F154" s="384"/>
      <c r="G154" s="540"/>
      <c r="H154" s="542"/>
      <c r="I154" s="542"/>
      <c r="J154" s="540"/>
      <c r="K154" s="540"/>
      <c r="M154" s="540"/>
      <c r="N154" s="540"/>
      <c r="O154" s="8"/>
      <c r="P154" s="8"/>
      <c r="Q154" s="8"/>
    </row>
    <row r="155" spans="1:18" x14ac:dyDescent="0.2">
      <c r="A155" s="11">
        <v>46113</v>
      </c>
      <c r="B155" s="384"/>
      <c r="C155" s="384"/>
      <c r="D155" s="384"/>
      <c r="E155" s="384"/>
      <c r="F155" s="384"/>
      <c r="G155" s="540"/>
      <c r="H155" s="542"/>
      <c r="I155" s="542"/>
      <c r="J155" s="540"/>
      <c r="K155" s="540"/>
      <c r="M155" s="540"/>
      <c r="N155" s="540"/>
      <c r="O155" s="8"/>
      <c r="P155" s="8"/>
      <c r="Q155" s="8"/>
    </row>
    <row r="156" spans="1:18" x14ac:dyDescent="0.2">
      <c r="A156" s="11">
        <v>46143</v>
      </c>
      <c r="B156" s="384"/>
      <c r="C156" s="384"/>
      <c r="D156" s="384"/>
      <c r="E156" s="384"/>
      <c r="F156" s="384"/>
      <c r="G156" s="540"/>
      <c r="H156" s="542"/>
      <c r="I156" s="542"/>
      <c r="J156" s="540"/>
      <c r="K156" s="540"/>
      <c r="M156" s="540"/>
      <c r="N156" s="540"/>
      <c r="O156" s="8"/>
      <c r="P156" s="8"/>
      <c r="Q156" s="8"/>
    </row>
    <row r="157" spans="1:18" x14ac:dyDescent="0.2">
      <c r="A157" s="11">
        <v>46174</v>
      </c>
      <c r="B157" s="384"/>
      <c r="C157" s="384"/>
      <c r="D157" s="384"/>
      <c r="E157" s="384"/>
      <c r="F157" s="384"/>
      <c r="G157" s="540"/>
      <c r="H157" s="542"/>
      <c r="I157" s="542"/>
      <c r="J157" s="540"/>
      <c r="K157" s="540"/>
      <c r="M157" s="8"/>
      <c r="N157" s="8"/>
      <c r="O157" s="8"/>
      <c r="P157" s="8"/>
      <c r="Q157" s="8"/>
    </row>
    <row r="158" spans="1:18" x14ac:dyDescent="0.2">
      <c r="A158" s="59"/>
      <c r="C158" s="8"/>
      <c r="D158" s="8"/>
      <c r="E158" s="8"/>
      <c r="F158" s="8"/>
      <c r="G158" s="354"/>
      <c r="H158" s="409"/>
      <c r="I158" s="542"/>
      <c r="M158" s="8"/>
      <c r="N158" s="8"/>
      <c r="O158" s="8"/>
      <c r="P158" s="8"/>
      <c r="Q158" s="8"/>
    </row>
    <row r="159" spans="1:18" x14ac:dyDescent="0.2">
      <c r="A159" s="59"/>
      <c r="C159" s="8"/>
      <c r="D159" s="8"/>
      <c r="E159" s="8"/>
      <c r="F159" s="8"/>
      <c r="G159" s="354"/>
      <c r="H159" s="409"/>
      <c r="I159" s="542"/>
      <c r="M159" s="8"/>
      <c r="N159" s="8"/>
      <c r="O159" s="8"/>
      <c r="P159" s="8"/>
      <c r="Q159" s="8"/>
    </row>
    <row r="160" spans="1:18" x14ac:dyDescent="0.2">
      <c r="A160" s="59"/>
      <c r="C160" s="8"/>
      <c r="D160" s="8"/>
      <c r="E160" s="8"/>
      <c r="F160" s="8"/>
      <c r="G160" s="354"/>
      <c r="H160" s="409"/>
      <c r="I160" s="542"/>
      <c r="M160" s="8"/>
      <c r="N160" s="8"/>
      <c r="O160" s="8"/>
      <c r="P160" s="8"/>
      <c r="Q160" s="8"/>
    </row>
    <row r="161" spans="1:17" x14ac:dyDescent="0.2">
      <c r="A161" s="59"/>
      <c r="C161" s="8"/>
      <c r="D161" s="8"/>
      <c r="E161" s="8"/>
      <c r="F161" s="8"/>
      <c r="G161" s="354"/>
      <c r="H161" s="409"/>
      <c r="I161" s="542"/>
      <c r="M161" s="8"/>
      <c r="N161" s="8"/>
      <c r="O161" s="8"/>
      <c r="P161" s="8"/>
      <c r="Q161" s="8"/>
    </row>
    <row r="162" spans="1:17" x14ac:dyDescent="0.2">
      <c r="A162" s="59"/>
      <c r="C162" s="8"/>
      <c r="D162" s="8"/>
      <c r="E162" s="8"/>
      <c r="F162" s="8"/>
      <c r="G162" s="354"/>
      <c r="H162" s="409"/>
      <c r="I162" s="542"/>
      <c r="M162" s="8"/>
      <c r="N162" s="8"/>
      <c r="O162" s="8"/>
      <c r="P162" s="8"/>
      <c r="Q162" s="8"/>
    </row>
    <row r="163" spans="1:17" x14ac:dyDescent="0.2">
      <c r="C163" s="8"/>
      <c r="D163" s="8"/>
      <c r="E163" s="8"/>
      <c r="F163" s="8"/>
      <c r="G163" s="354"/>
      <c r="H163" s="404"/>
      <c r="I163" s="541"/>
      <c r="M163" s="8"/>
      <c r="N163" s="8"/>
      <c r="O163" s="8"/>
      <c r="P163" s="8"/>
      <c r="Q163" s="8"/>
    </row>
    <row r="164" spans="1:17" x14ac:dyDescent="0.2">
      <c r="C164" s="8"/>
      <c r="D164" s="8"/>
      <c r="E164" s="8"/>
      <c r="F164" s="8"/>
      <c r="G164" s="354"/>
      <c r="H164" s="404"/>
      <c r="I164" s="541"/>
      <c r="M164" s="8"/>
      <c r="N164" s="8"/>
      <c r="O164" s="8"/>
      <c r="P164" s="8"/>
      <c r="Q164" s="8"/>
    </row>
    <row r="165" spans="1:17" x14ac:dyDescent="0.2">
      <c r="C165" s="8"/>
      <c r="D165" s="8"/>
      <c r="E165" s="8"/>
      <c r="F165" s="8"/>
      <c r="G165" s="354"/>
      <c r="H165" s="404"/>
      <c r="I165" s="541"/>
      <c r="M165" s="8"/>
      <c r="N165" s="8"/>
      <c r="O165" s="8"/>
      <c r="P165" s="8"/>
      <c r="Q165" s="8"/>
    </row>
    <row r="166" spans="1:17" x14ac:dyDescent="0.2">
      <c r="C166" s="8"/>
      <c r="D166" s="8"/>
      <c r="E166" s="8"/>
      <c r="F166" s="8"/>
      <c r="G166" s="354"/>
      <c r="H166" s="404"/>
      <c r="I166" s="541"/>
      <c r="M166" s="8"/>
      <c r="N166" s="8"/>
      <c r="O166" s="8"/>
      <c r="P166" s="8"/>
      <c r="Q166" s="8"/>
    </row>
    <row r="167" spans="1:17" x14ac:dyDescent="0.2">
      <c r="C167" s="8"/>
      <c r="D167" s="8"/>
      <c r="E167" s="8"/>
      <c r="F167" s="8"/>
      <c r="G167" s="354"/>
      <c r="H167" s="404"/>
      <c r="I167" s="541"/>
      <c r="M167" s="8"/>
      <c r="N167" s="8"/>
      <c r="O167" s="8"/>
      <c r="P167" s="8"/>
      <c r="Q167" s="8"/>
    </row>
    <row r="168" spans="1:17" x14ac:dyDescent="0.2">
      <c r="C168" s="8"/>
      <c r="D168" s="8"/>
      <c r="E168" s="8"/>
      <c r="F168" s="8"/>
      <c r="G168" s="354"/>
      <c r="H168" s="404"/>
      <c r="I168" s="541"/>
      <c r="M168" s="8"/>
      <c r="N168" s="8"/>
      <c r="O168" s="8"/>
      <c r="P168" s="8"/>
      <c r="Q168" s="8"/>
    </row>
    <row r="169" spans="1:17" x14ac:dyDescent="0.2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spans="1:17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spans="1:17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spans="1:17" x14ac:dyDescent="0.2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spans="1:17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spans="1:17" x14ac:dyDescent="0.2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 spans="1:17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spans="1:17" x14ac:dyDescent="0.2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spans="3:27" x14ac:dyDescent="0.2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 spans="3:27" x14ac:dyDescent="0.2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spans="3:27" x14ac:dyDescent="0.2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spans="3:27" x14ac:dyDescent="0.2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spans="3:27" x14ac:dyDescent="0.2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spans="3:27" x14ac:dyDescent="0.2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spans="3:27" x14ac:dyDescent="0.2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spans="3:27" x14ac:dyDescent="0.2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 spans="3:27" x14ac:dyDescent="0.2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 spans="3:27" x14ac:dyDescent="0.2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spans="3:27" x14ac:dyDescent="0.2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spans="3:27" x14ac:dyDescent="0.2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3:27" ht="17" x14ac:dyDescent="0.2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60" t="s">
        <v>551</v>
      </c>
      <c r="Q189" s="402"/>
      <c r="R189" s="402"/>
      <c r="S189" s="402"/>
      <c r="T189" s="402"/>
      <c r="U189" s="402"/>
      <c r="V189" s="402"/>
      <c r="W189" s="402"/>
      <c r="X189" s="402"/>
      <c r="Y189" s="354"/>
      <c r="Z189" s="402"/>
      <c r="AA189" s="403"/>
    </row>
    <row r="190" spans="3:27" x14ac:dyDescent="0.2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59"/>
      <c r="Q190" s="677" t="s">
        <v>552</v>
      </c>
      <c r="R190" s="677"/>
      <c r="S190" s="677"/>
      <c r="T190" s="677"/>
      <c r="U190" s="405"/>
      <c r="V190" s="405"/>
      <c r="W190" s="405"/>
      <c r="X190" s="405"/>
      <c r="Y190" s="354"/>
      <c r="Z190" s="405"/>
      <c r="AA190" s="405"/>
    </row>
    <row r="191" spans="3:27" x14ac:dyDescent="0.2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59"/>
      <c r="Q191" s="677" t="s">
        <v>553</v>
      </c>
      <c r="R191" s="677"/>
      <c r="S191" s="677"/>
      <c r="T191" s="677"/>
      <c r="U191" s="405"/>
      <c r="V191" s="405"/>
      <c r="W191" s="405"/>
      <c r="X191" s="405"/>
      <c r="Y191" s="354"/>
      <c r="Z191" s="405"/>
      <c r="AA191" s="405"/>
    </row>
    <row r="192" spans="3:27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59"/>
      <c r="Q192" s="677" t="s">
        <v>554</v>
      </c>
      <c r="R192" s="677"/>
      <c r="S192" s="677"/>
      <c r="T192" s="677"/>
      <c r="U192" s="405"/>
      <c r="V192" s="405"/>
      <c r="W192" s="405"/>
      <c r="X192" s="405"/>
      <c r="Y192" s="354"/>
      <c r="Z192" s="405"/>
      <c r="AA192" s="405"/>
    </row>
    <row r="193" spans="3:34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59"/>
      <c r="Q193" s="677" t="s">
        <v>555</v>
      </c>
      <c r="R193" s="677"/>
      <c r="S193" s="677"/>
      <c r="T193" s="405"/>
      <c r="U193" s="405"/>
      <c r="V193" s="405"/>
      <c r="W193" s="405"/>
      <c r="X193" s="405"/>
      <c r="Y193" s="354"/>
      <c r="Z193" s="405"/>
      <c r="AA193" s="405"/>
    </row>
    <row r="194" spans="3:34" x14ac:dyDescent="0.2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59"/>
      <c r="Q194" s="677" t="s">
        <v>556</v>
      </c>
      <c r="R194" s="677"/>
      <c r="S194" s="677"/>
      <c r="T194" s="677"/>
      <c r="U194" s="677"/>
      <c r="V194" s="405"/>
      <c r="W194" s="405"/>
      <c r="X194" s="405"/>
      <c r="Y194" s="354"/>
      <c r="Z194" s="405"/>
      <c r="AA194" s="405"/>
    </row>
    <row r="195" spans="3:34" x14ac:dyDescent="0.2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59"/>
      <c r="Q195" s="677" t="s">
        <v>557</v>
      </c>
      <c r="R195" s="677"/>
      <c r="S195" s="677"/>
      <c r="T195" s="677"/>
      <c r="U195" s="677"/>
      <c r="V195" s="677"/>
      <c r="W195" s="677"/>
      <c r="X195" s="405"/>
      <c r="Y195" s="354"/>
      <c r="Z195" s="405"/>
      <c r="AA195" s="405"/>
    </row>
    <row r="196" spans="3:34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59"/>
      <c r="Q196" s="677" t="s">
        <v>558</v>
      </c>
      <c r="R196" s="677"/>
      <c r="S196" s="677"/>
      <c r="T196" s="677"/>
      <c r="U196" s="405"/>
      <c r="V196" s="405"/>
      <c r="W196" s="405"/>
      <c r="X196" s="405"/>
      <c r="Y196" s="354"/>
      <c r="Z196" s="405"/>
      <c r="AA196" s="405"/>
    </row>
    <row r="197" spans="3:34" x14ac:dyDescent="0.2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59"/>
      <c r="Q197" s="677" t="s">
        <v>559</v>
      </c>
      <c r="R197" s="677"/>
      <c r="S197" s="677"/>
      <c r="T197" s="677"/>
      <c r="U197" s="677"/>
      <c r="V197" s="405"/>
      <c r="W197" s="405"/>
      <c r="X197" s="405"/>
      <c r="Y197" s="354"/>
      <c r="Z197" s="405"/>
      <c r="AA197" s="405"/>
    </row>
    <row r="198" spans="3:34" x14ac:dyDescent="0.2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AB198" s="354"/>
      <c r="AC198" s="354"/>
      <c r="AD198" s="354"/>
      <c r="AE198" s="354"/>
      <c r="AF198" s="354"/>
      <c r="AG198" s="404"/>
      <c r="AH198" s="402"/>
    </row>
    <row r="199" spans="3:34" x14ac:dyDescent="0.2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AB199" s="354"/>
      <c r="AC199" s="354"/>
      <c r="AD199" s="354"/>
      <c r="AE199" s="354"/>
      <c r="AF199" s="354"/>
      <c r="AG199" s="405"/>
      <c r="AH199" s="405"/>
    </row>
    <row r="200" spans="3:34" x14ac:dyDescent="0.2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AB200" s="354"/>
      <c r="AC200" s="354"/>
      <c r="AD200" s="354"/>
      <c r="AE200" s="354"/>
      <c r="AF200" s="354"/>
      <c r="AG200" s="405"/>
      <c r="AH200" s="405"/>
    </row>
    <row r="201" spans="3:34" x14ac:dyDescent="0.2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AB201" s="354"/>
      <c r="AC201" s="354"/>
      <c r="AD201" s="354"/>
      <c r="AE201" s="354"/>
      <c r="AF201" s="354"/>
      <c r="AG201" s="405"/>
      <c r="AH201" s="405"/>
    </row>
    <row r="202" spans="3:34" x14ac:dyDescent="0.2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AB202" s="354"/>
      <c r="AC202" s="354"/>
      <c r="AD202" s="354"/>
      <c r="AE202" s="354"/>
      <c r="AF202" s="354"/>
      <c r="AG202" s="405"/>
      <c r="AH202" s="405"/>
    </row>
    <row r="203" spans="3:34" x14ac:dyDescent="0.2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AB203" s="354"/>
      <c r="AC203" s="354"/>
      <c r="AD203" s="354"/>
      <c r="AE203" s="354"/>
      <c r="AF203" s="354"/>
      <c r="AG203" s="405"/>
      <c r="AH203" s="405"/>
    </row>
    <row r="204" spans="3:34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AB204" s="354"/>
      <c r="AC204" s="354"/>
      <c r="AD204" s="354"/>
      <c r="AE204" s="354"/>
      <c r="AF204" s="354"/>
      <c r="AG204" s="405"/>
      <c r="AH204" s="405"/>
    </row>
    <row r="205" spans="3:34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AB205" s="354"/>
      <c r="AC205" s="354"/>
      <c r="AD205" s="354"/>
      <c r="AE205" s="354"/>
      <c r="AF205" s="354"/>
      <c r="AG205" s="405"/>
      <c r="AH205" s="405"/>
    </row>
    <row r="206" spans="3:34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AB206" s="354"/>
      <c r="AC206" s="354"/>
      <c r="AD206" s="354"/>
      <c r="AE206" s="354"/>
      <c r="AF206" s="354"/>
      <c r="AG206" s="405"/>
      <c r="AH206" s="405"/>
    </row>
    <row r="207" spans="3:34" ht="16.25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AB207" s="405"/>
      <c r="AC207" s="405"/>
      <c r="AD207" s="405"/>
      <c r="AE207" s="405"/>
      <c r="AF207" s="405"/>
      <c r="AG207" s="405"/>
      <c r="AH207" s="405"/>
    </row>
    <row r="208" spans="3:34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spans="3:17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spans="3:17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 spans="3:17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spans="3:17" x14ac:dyDescent="0.2"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 spans="3:17" x14ac:dyDescent="0.2"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spans="3:17" x14ac:dyDescent="0.2"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 spans="3:17" x14ac:dyDescent="0.2"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 spans="3:17" x14ac:dyDescent="0.2"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 spans="3:17" x14ac:dyDescent="0.2"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spans="3:17" x14ac:dyDescent="0.2"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spans="3:17" x14ac:dyDescent="0.2"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 spans="3:17" x14ac:dyDescent="0.2"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 spans="3:17" x14ac:dyDescent="0.2"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spans="3:17" x14ac:dyDescent="0.2"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 spans="3:17" x14ac:dyDescent="0.2">
      <c r="G223" s="8"/>
      <c r="H223" s="8"/>
      <c r="I223" s="8"/>
    </row>
    <row r="224" spans="3:17" x14ac:dyDescent="0.2">
      <c r="G224" s="8"/>
      <c r="H224" s="8"/>
      <c r="I224" s="8"/>
    </row>
    <row r="225" spans="7:9" x14ac:dyDescent="0.2">
      <c r="G225" s="8"/>
      <c r="H225" s="8"/>
      <c r="I225" s="8"/>
    </row>
    <row r="226" spans="7:9" x14ac:dyDescent="0.2">
      <c r="G226" s="8"/>
      <c r="H226" s="8"/>
      <c r="I226" s="8"/>
    </row>
    <row r="227" spans="7:9" x14ac:dyDescent="0.2">
      <c r="G227" s="8"/>
      <c r="H227" s="8"/>
      <c r="I227" s="8"/>
    </row>
    <row r="228" spans="7:9" x14ac:dyDescent="0.2">
      <c r="G228" s="8"/>
      <c r="H228" s="8"/>
      <c r="I228" s="8"/>
    </row>
    <row r="229" spans="7:9" x14ac:dyDescent="0.2">
      <c r="G229" s="8"/>
      <c r="H229" s="8"/>
      <c r="I229" s="8"/>
    </row>
    <row r="230" spans="7:9" x14ac:dyDescent="0.2">
      <c r="G230" s="8"/>
      <c r="H230" s="8"/>
      <c r="I230" s="8"/>
    </row>
    <row r="231" spans="7:9" x14ac:dyDescent="0.2">
      <c r="G231" s="8"/>
      <c r="H231" s="8"/>
      <c r="I231" s="8"/>
    </row>
    <row r="232" spans="7:9" x14ac:dyDescent="0.2">
      <c r="G232" s="8"/>
      <c r="H232" s="8"/>
      <c r="I232" s="8"/>
    </row>
  </sheetData>
  <mergeCells count="8">
    <mergeCell ref="Q196:T196"/>
    <mergeCell ref="Q197:U197"/>
    <mergeCell ref="Q190:T190"/>
    <mergeCell ref="Q191:T191"/>
    <mergeCell ref="Q192:T192"/>
    <mergeCell ref="Q193:S193"/>
    <mergeCell ref="Q194:U194"/>
    <mergeCell ref="Q195:W195"/>
  </mergeCells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72BB-AAA6-7845-8A47-C89280B63528}">
  <dimension ref="A1:O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2" sqref="C32"/>
    </sheetView>
  </sheetViews>
  <sheetFormatPr baseColWidth="10" defaultColWidth="11.5" defaultRowHeight="15" x14ac:dyDescent="0.2"/>
  <cols>
    <col min="2" max="11" width="20.6640625" customWidth="1"/>
    <col min="15" max="15" width="51" bestFit="1" customWidth="1"/>
  </cols>
  <sheetData>
    <row r="1" spans="1:15" x14ac:dyDescent="0.2">
      <c r="A1" s="416"/>
      <c r="B1" s="416" t="s">
        <v>14</v>
      </c>
      <c r="C1" s="416" t="s">
        <v>560</v>
      </c>
      <c r="D1" s="416" t="s">
        <v>24</v>
      </c>
      <c r="E1" s="416" t="s">
        <v>490</v>
      </c>
      <c r="F1" s="416" t="s">
        <v>561</v>
      </c>
      <c r="G1" s="416" t="s">
        <v>562</v>
      </c>
      <c r="H1" s="416" t="s">
        <v>563</v>
      </c>
      <c r="I1" s="416" t="s">
        <v>8</v>
      </c>
      <c r="J1" s="416" t="s">
        <v>45</v>
      </c>
      <c r="K1" s="416" t="s">
        <v>82</v>
      </c>
    </row>
    <row r="2" spans="1:15" ht="16" x14ac:dyDescent="0.2">
      <c r="A2" s="417">
        <v>45108</v>
      </c>
      <c r="B2" s="418">
        <v>24538</v>
      </c>
      <c r="C2" s="418">
        <v>21744</v>
      </c>
      <c r="D2" s="418">
        <v>24538</v>
      </c>
      <c r="E2" s="418">
        <v>23940</v>
      </c>
      <c r="F2" s="418">
        <v>1234</v>
      </c>
      <c r="G2" s="418">
        <v>15397</v>
      </c>
      <c r="H2" s="418">
        <v>20367</v>
      </c>
      <c r="I2" s="418">
        <v>5164</v>
      </c>
      <c r="J2" s="419" t="s">
        <v>549</v>
      </c>
      <c r="K2" s="418">
        <f>SUM(B2:J2)</f>
        <v>136922</v>
      </c>
      <c r="N2" s="516" t="s">
        <v>564</v>
      </c>
      <c r="O2" s="516" t="s">
        <v>565</v>
      </c>
    </row>
    <row r="3" spans="1:15" ht="16" x14ac:dyDescent="0.2">
      <c r="A3" s="417">
        <v>45139</v>
      </c>
      <c r="B3" s="418">
        <v>32023</v>
      </c>
      <c r="C3" s="418">
        <v>23917</v>
      </c>
      <c r="D3" s="418">
        <v>32023</v>
      </c>
      <c r="E3" s="418">
        <v>29050</v>
      </c>
      <c r="F3" s="418">
        <v>1446</v>
      </c>
      <c r="G3" s="418">
        <v>16293</v>
      </c>
      <c r="H3" s="418">
        <v>21851</v>
      </c>
      <c r="I3" s="418">
        <v>5090</v>
      </c>
      <c r="J3" s="419" t="s">
        <v>549</v>
      </c>
      <c r="K3" s="418">
        <f t="shared" ref="K3:K12" si="0">SUM(B3:J3)</f>
        <v>161693</v>
      </c>
      <c r="N3" s="420" t="s">
        <v>562</v>
      </c>
      <c r="O3" s="421" t="s">
        <v>566</v>
      </c>
    </row>
    <row r="4" spans="1:15" ht="16" x14ac:dyDescent="0.2">
      <c r="A4" s="417">
        <v>45170</v>
      </c>
      <c r="B4" s="418">
        <v>33678</v>
      </c>
      <c r="C4" s="418">
        <v>34781</v>
      </c>
      <c r="D4" s="418">
        <v>23660</v>
      </c>
      <c r="E4" s="418">
        <v>18300</v>
      </c>
      <c r="F4" s="418">
        <v>1142</v>
      </c>
      <c r="G4" s="418">
        <v>16977</v>
      </c>
      <c r="H4" s="418">
        <v>21635</v>
      </c>
      <c r="I4" s="418">
        <v>7710</v>
      </c>
      <c r="J4" s="419" t="s">
        <v>549</v>
      </c>
      <c r="K4" s="418">
        <f t="shared" si="0"/>
        <v>157883</v>
      </c>
      <c r="N4" s="420" t="s">
        <v>567</v>
      </c>
      <c r="O4" s="420" t="s">
        <v>568</v>
      </c>
    </row>
    <row r="5" spans="1:15" ht="16" x14ac:dyDescent="0.2">
      <c r="A5" s="417">
        <v>45200</v>
      </c>
      <c r="B5" s="418">
        <v>30520</v>
      </c>
      <c r="C5" s="418">
        <v>33067</v>
      </c>
      <c r="D5" s="418">
        <v>22740</v>
      </c>
      <c r="E5" s="418">
        <v>17930</v>
      </c>
      <c r="F5" s="418">
        <v>1512</v>
      </c>
      <c r="G5" s="418">
        <v>17573</v>
      </c>
      <c r="H5" s="418">
        <v>23299</v>
      </c>
      <c r="I5" s="418">
        <v>7128</v>
      </c>
      <c r="J5" s="419" t="s">
        <v>549</v>
      </c>
      <c r="K5" s="418">
        <f t="shared" si="0"/>
        <v>153769</v>
      </c>
      <c r="N5" s="420" t="s">
        <v>8</v>
      </c>
      <c r="O5" s="420" t="s">
        <v>569</v>
      </c>
    </row>
    <row r="6" spans="1:15" ht="16" x14ac:dyDescent="0.2">
      <c r="A6" s="417">
        <v>45231</v>
      </c>
      <c r="B6" s="418">
        <v>33259</v>
      </c>
      <c r="C6" s="418">
        <v>33410</v>
      </c>
      <c r="D6" s="418">
        <v>20571</v>
      </c>
      <c r="E6" s="418">
        <v>19760</v>
      </c>
      <c r="F6" s="418">
        <v>1767</v>
      </c>
      <c r="G6" s="418">
        <v>18181</v>
      </c>
      <c r="H6" s="418">
        <v>23075</v>
      </c>
      <c r="I6" s="418">
        <v>7879</v>
      </c>
      <c r="J6" s="419" t="s">
        <v>549</v>
      </c>
      <c r="K6" s="418">
        <f t="shared" si="0"/>
        <v>157902</v>
      </c>
      <c r="N6" s="420" t="s">
        <v>570</v>
      </c>
      <c r="O6" s="420" t="s">
        <v>570</v>
      </c>
    </row>
    <row r="7" spans="1:15" ht="16" x14ac:dyDescent="0.2">
      <c r="A7" s="417">
        <v>45261</v>
      </c>
      <c r="B7" s="418">
        <v>30251</v>
      </c>
      <c r="C7" s="418">
        <v>28610</v>
      </c>
      <c r="D7" s="418">
        <v>18500</v>
      </c>
      <c r="E7" s="418">
        <v>19890</v>
      </c>
      <c r="F7" s="418">
        <v>1338</v>
      </c>
      <c r="G7" s="418">
        <v>16001</v>
      </c>
      <c r="H7" s="418">
        <v>22396</v>
      </c>
      <c r="I7" s="418">
        <v>6190</v>
      </c>
      <c r="J7" s="419" t="s">
        <v>549</v>
      </c>
      <c r="K7" s="418">
        <f t="shared" si="0"/>
        <v>143176</v>
      </c>
      <c r="N7" s="420" t="s">
        <v>571</v>
      </c>
      <c r="O7" s="421" t="s">
        <v>572</v>
      </c>
    </row>
    <row r="8" spans="1:15" ht="16" x14ac:dyDescent="0.2">
      <c r="A8" s="417">
        <v>45292</v>
      </c>
      <c r="B8" s="418">
        <v>22433</v>
      </c>
      <c r="C8" s="418">
        <v>22959</v>
      </c>
      <c r="D8" s="418">
        <v>20720</v>
      </c>
      <c r="E8" s="418">
        <v>20330</v>
      </c>
      <c r="F8" s="418">
        <v>1356</v>
      </c>
      <c r="G8" s="418">
        <v>14704</v>
      </c>
      <c r="H8" s="418">
        <v>21806</v>
      </c>
      <c r="I8" s="418">
        <v>5979</v>
      </c>
      <c r="J8" s="419" t="s">
        <v>549</v>
      </c>
      <c r="K8" s="418">
        <f t="shared" si="0"/>
        <v>130287</v>
      </c>
      <c r="N8" s="420" t="s">
        <v>573</v>
      </c>
      <c r="O8" s="421" t="s">
        <v>574</v>
      </c>
    </row>
    <row r="9" spans="1:15" ht="16" x14ac:dyDescent="0.2">
      <c r="A9" s="417">
        <v>45323</v>
      </c>
      <c r="B9" s="418">
        <v>24875</v>
      </c>
      <c r="C9" s="418">
        <v>24776</v>
      </c>
      <c r="D9" s="418">
        <v>20343</v>
      </c>
      <c r="E9" s="418">
        <v>15820</v>
      </c>
      <c r="F9" s="418">
        <v>1020</v>
      </c>
      <c r="G9" s="418">
        <v>13870</v>
      </c>
      <c r="H9" s="418">
        <v>17213</v>
      </c>
      <c r="I9" s="418">
        <v>5095</v>
      </c>
      <c r="J9" s="419" t="s">
        <v>549</v>
      </c>
      <c r="K9" s="418">
        <f t="shared" si="0"/>
        <v>123012</v>
      </c>
      <c r="N9" s="420" t="s">
        <v>561</v>
      </c>
      <c r="O9" s="420" t="s">
        <v>575</v>
      </c>
    </row>
    <row r="10" spans="1:15" ht="16" x14ac:dyDescent="0.2">
      <c r="A10" s="417">
        <v>45352</v>
      </c>
      <c r="B10" s="418">
        <v>30076</v>
      </c>
      <c r="C10" s="418">
        <v>29629</v>
      </c>
      <c r="D10" s="418">
        <v>19412</v>
      </c>
      <c r="E10" s="418">
        <v>17340</v>
      </c>
      <c r="F10" s="418">
        <v>1131</v>
      </c>
      <c r="G10" s="418">
        <v>17880</v>
      </c>
      <c r="H10" s="418">
        <v>20056</v>
      </c>
      <c r="I10" s="418">
        <v>6175</v>
      </c>
      <c r="J10" s="419" t="s">
        <v>549</v>
      </c>
      <c r="K10" s="418">
        <f t="shared" si="0"/>
        <v>141699</v>
      </c>
      <c r="N10" s="420" t="s">
        <v>560</v>
      </c>
      <c r="O10" s="420" t="s">
        <v>576</v>
      </c>
    </row>
    <row r="11" spans="1:15" ht="16" x14ac:dyDescent="0.2">
      <c r="A11" s="417">
        <v>45383</v>
      </c>
      <c r="B11" s="418">
        <v>30642</v>
      </c>
      <c r="C11" s="418">
        <v>26442</v>
      </c>
      <c r="D11" s="418">
        <v>20486</v>
      </c>
      <c r="E11" s="418">
        <v>18260</v>
      </c>
      <c r="F11" s="418">
        <v>883</v>
      </c>
      <c r="G11" s="418">
        <v>15053</v>
      </c>
      <c r="H11" s="418">
        <v>19608</v>
      </c>
      <c r="I11" s="418">
        <v>4888</v>
      </c>
      <c r="J11" s="419" t="s">
        <v>549</v>
      </c>
      <c r="K11" s="418">
        <f t="shared" si="0"/>
        <v>136262</v>
      </c>
      <c r="N11" s="420" t="s">
        <v>490</v>
      </c>
      <c r="O11" s="420" t="s">
        <v>577</v>
      </c>
    </row>
    <row r="12" spans="1:15" ht="16" x14ac:dyDescent="0.2">
      <c r="A12" s="417">
        <v>45413</v>
      </c>
      <c r="B12" s="418">
        <v>43625</v>
      </c>
      <c r="C12" s="418">
        <v>32901</v>
      </c>
      <c r="D12" s="418">
        <v>21884</v>
      </c>
      <c r="E12" s="418">
        <v>21780</v>
      </c>
      <c r="F12" s="418">
        <v>1338</v>
      </c>
      <c r="G12" s="418">
        <v>20425</v>
      </c>
      <c r="H12" s="418">
        <v>21124</v>
      </c>
      <c r="I12" s="418">
        <v>5164</v>
      </c>
      <c r="J12" s="419" t="s">
        <v>549</v>
      </c>
      <c r="K12" s="418">
        <f t="shared" si="0"/>
        <v>168241</v>
      </c>
      <c r="N12" s="420" t="s">
        <v>496</v>
      </c>
      <c r="O12" s="420" t="s">
        <v>578</v>
      </c>
    </row>
    <row r="13" spans="1:15" x14ac:dyDescent="0.2">
      <c r="A13" s="417">
        <v>45444</v>
      </c>
      <c r="B13" s="418">
        <v>36930</v>
      </c>
      <c r="C13" s="418">
        <v>24515</v>
      </c>
      <c r="D13" s="418">
        <v>22658</v>
      </c>
      <c r="E13" s="418">
        <v>19770</v>
      </c>
      <c r="F13" s="418">
        <v>780</v>
      </c>
      <c r="G13" s="418">
        <v>19424</v>
      </c>
      <c r="H13" s="418">
        <v>17962</v>
      </c>
      <c r="I13" s="418">
        <v>4391</v>
      </c>
      <c r="J13" s="419" t="s">
        <v>549</v>
      </c>
      <c r="K13" s="418">
        <f t="shared" ref="K13:K25" si="1">SUM(B13:J13)</f>
        <v>146430</v>
      </c>
      <c r="L13" s="422">
        <f>SUM(K2:K13)</f>
        <v>1757276</v>
      </c>
    </row>
    <row r="14" spans="1:15" x14ac:dyDescent="0.2">
      <c r="A14" s="417">
        <v>45474</v>
      </c>
      <c r="B14" s="418">
        <v>25340</v>
      </c>
      <c r="C14" s="418">
        <v>24197</v>
      </c>
      <c r="D14" s="418">
        <v>18706</v>
      </c>
      <c r="E14" s="418">
        <v>23390</v>
      </c>
      <c r="F14" s="418">
        <v>1181</v>
      </c>
      <c r="G14" s="418">
        <v>18237</v>
      </c>
      <c r="H14" s="418">
        <v>21370</v>
      </c>
      <c r="I14" s="418">
        <v>4741</v>
      </c>
      <c r="J14" s="419" t="s">
        <v>549</v>
      </c>
      <c r="K14" s="418">
        <f t="shared" si="1"/>
        <v>137162</v>
      </c>
    </row>
    <row r="15" spans="1:15" x14ac:dyDescent="0.2">
      <c r="A15" s="417">
        <v>45505</v>
      </c>
      <c r="B15" s="418">
        <v>29881</v>
      </c>
      <c r="C15" s="418">
        <v>23900</v>
      </c>
      <c r="D15" s="418">
        <v>23141</v>
      </c>
      <c r="E15" s="418">
        <v>19700</v>
      </c>
      <c r="F15" s="418">
        <v>824</v>
      </c>
      <c r="G15" s="418">
        <v>18647</v>
      </c>
      <c r="H15" s="418">
        <v>18110</v>
      </c>
      <c r="I15" s="418">
        <v>5798</v>
      </c>
      <c r="J15" s="419" t="s">
        <v>549</v>
      </c>
      <c r="K15" s="418">
        <f t="shared" si="1"/>
        <v>140001</v>
      </c>
    </row>
    <row r="16" spans="1:15" x14ac:dyDescent="0.2">
      <c r="A16" s="417">
        <v>45536</v>
      </c>
      <c r="B16" s="418">
        <v>35310</v>
      </c>
      <c r="C16" s="418">
        <v>27318</v>
      </c>
      <c r="D16" s="418">
        <v>24410</v>
      </c>
      <c r="E16" s="418">
        <v>19020</v>
      </c>
      <c r="F16" s="418">
        <v>494</v>
      </c>
      <c r="G16" s="418">
        <v>19810</v>
      </c>
      <c r="H16" s="418">
        <v>20336</v>
      </c>
      <c r="I16" s="418">
        <v>7131</v>
      </c>
      <c r="J16" s="419" t="s">
        <v>549</v>
      </c>
      <c r="K16" s="418">
        <f t="shared" si="1"/>
        <v>153829</v>
      </c>
    </row>
    <row r="17" spans="1:12" x14ac:dyDescent="0.2">
      <c r="A17" s="417">
        <v>45566</v>
      </c>
      <c r="B17" s="418">
        <v>34316</v>
      </c>
      <c r="C17" s="418">
        <v>27481</v>
      </c>
      <c r="D17" s="418">
        <v>22550</v>
      </c>
      <c r="E17" s="418">
        <v>17510</v>
      </c>
      <c r="F17" s="418">
        <v>847</v>
      </c>
      <c r="G17" s="418">
        <v>22790</v>
      </c>
      <c r="H17" s="418">
        <v>23054</v>
      </c>
      <c r="I17" s="418">
        <v>8137</v>
      </c>
      <c r="J17" s="419" t="s">
        <v>549</v>
      </c>
      <c r="K17" s="418">
        <f t="shared" si="1"/>
        <v>156685</v>
      </c>
    </row>
    <row r="18" spans="1:12" x14ac:dyDescent="0.2">
      <c r="A18" s="417">
        <v>45597</v>
      </c>
      <c r="B18" s="418">
        <v>33644</v>
      </c>
      <c r="C18" s="418">
        <v>28361</v>
      </c>
      <c r="D18" s="418">
        <v>22574</v>
      </c>
      <c r="E18" s="418">
        <v>16450</v>
      </c>
      <c r="F18" s="418">
        <v>1181</v>
      </c>
      <c r="G18" s="418">
        <v>23820</v>
      </c>
      <c r="H18" s="418">
        <v>22365</v>
      </c>
      <c r="I18" s="418">
        <v>8954</v>
      </c>
      <c r="J18" s="419" t="s">
        <v>549</v>
      </c>
      <c r="K18" s="418">
        <f t="shared" si="1"/>
        <v>157349</v>
      </c>
    </row>
    <row r="19" spans="1:12" x14ac:dyDescent="0.2">
      <c r="A19" s="417">
        <v>45627</v>
      </c>
      <c r="B19" s="418">
        <v>22250</v>
      </c>
      <c r="C19" s="418">
        <v>19020</v>
      </c>
      <c r="D19" s="418">
        <v>17474</v>
      </c>
      <c r="E19" s="419" t="s">
        <v>549</v>
      </c>
      <c r="F19" s="418">
        <v>888</v>
      </c>
      <c r="G19" s="418">
        <v>14277</v>
      </c>
      <c r="H19" s="418">
        <v>14600</v>
      </c>
      <c r="I19" s="418">
        <v>5825</v>
      </c>
      <c r="J19" s="419" t="s">
        <v>549</v>
      </c>
      <c r="K19" s="418">
        <f t="shared" si="1"/>
        <v>94334</v>
      </c>
    </row>
    <row r="20" spans="1:12" x14ac:dyDescent="0.2">
      <c r="A20" s="417">
        <v>45658</v>
      </c>
      <c r="B20" s="418">
        <f>AVERAGE(B2:B19,B22:B25)</f>
        <v>31661.045454545456</v>
      </c>
      <c r="C20" s="418">
        <f t="shared" ref="C20:I20" si="2">AVERAGE(C2:C19,C22:C25)</f>
        <v>27002.227272727272</v>
      </c>
      <c r="D20" s="418">
        <f t="shared" si="2"/>
        <v>22169.545454545456</v>
      </c>
      <c r="E20" s="418">
        <f t="shared" si="2"/>
        <v>20128.571428571428</v>
      </c>
      <c r="F20" s="418">
        <f t="shared" si="2"/>
        <v>1110.409090909091</v>
      </c>
      <c r="G20" s="418">
        <f t="shared" si="2"/>
        <v>17956.090909090908</v>
      </c>
      <c r="H20" s="418">
        <f t="shared" si="2"/>
        <v>20734.590909090908</v>
      </c>
      <c r="I20" s="418">
        <f t="shared" si="2"/>
        <v>5813.363636363636</v>
      </c>
      <c r="J20" s="419" t="s">
        <v>549</v>
      </c>
      <c r="K20" s="418">
        <f t="shared" si="1"/>
        <v>146575.84415584416</v>
      </c>
    </row>
    <row r="21" spans="1:12" x14ac:dyDescent="0.2">
      <c r="A21" s="417">
        <v>45689</v>
      </c>
      <c r="B21" s="418">
        <f>AVERAGE(B2:B19,B22:B25)</f>
        <v>31661.045454545456</v>
      </c>
      <c r="C21" s="418">
        <f t="shared" ref="C21:I21" si="3">AVERAGE(C2:C19,C22:C25)</f>
        <v>27002.227272727272</v>
      </c>
      <c r="D21" s="418">
        <f t="shared" si="3"/>
        <v>22169.545454545456</v>
      </c>
      <c r="E21" s="418">
        <f t="shared" si="3"/>
        <v>20128.571428571428</v>
      </c>
      <c r="F21" s="418">
        <f t="shared" si="3"/>
        <v>1110.409090909091</v>
      </c>
      <c r="G21" s="418">
        <f t="shared" si="3"/>
        <v>17956.090909090908</v>
      </c>
      <c r="H21" s="418">
        <f t="shared" si="3"/>
        <v>20734.590909090908</v>
      </c>
      <c r="I21" s="418">
        <f t="shared" si="3"/>
        <v>5813.363636363636</v>
      </c>
      <c r="J21" s="419" t="s">
        <v>549</v>
      </c>
      <c r="K21" s="418">
        <f t="shared" si="1"/>
        <v>146575.84415584416</v>
      </c>
    </row>
    <row r="22" spans="1:12" x14ac:dyDescent="0.2">
      <c r="A22" s="417">
        <v>45717</v>
      </c>
      <c r="B22" s="418">
        <v>34294</v>
      </c>
      <c r="C22" s="418">
        <v>29801</v>
      </c>
      <c r="D22" s="418">
        <v>24654</v>
      </c>
      <c r="E22" s="418">
        <v>19610</v>
      </c>
      <c r="F22" s="418">
        <v>1346</v>
      </c>
      <c r="G22" s="418">
        <v>19762</v>
      </c>
      <c r="H22" s="418">
        <v>22464</v>
      </c>
      <c r="I22" s="418">
        <v>4465</v>
      </c>
      <c r="J22" s="418">
        <v>2811</v>
      </c>
      <c r="K22" s="418">
        <f t="shared" si="1"/>
        <v>159207</v>
      </c>
    </row>
    <row r="23" spans="1:12" x14ac:dyDescent="0.2">
      <c r="A23" s="417">
        <v>45748</v>
      </c>
      <c r="B23" s="418">
        <v>33529</v>
      </c>
      <c r="C23" s="418">
        <v>24621</v>
      </c>
      <c r="D23" s="418">
        <v>21880</v>
      </c>
      <c r="E23" s="418">
        <v>21290</v>
      </c>
      <c r="F23" s="418">
        <v>876</v>
      </c>
      <c r="G23" s="418">
        <v>16938</v>
      </c>
      <c r="H23" s="418">
        <v>20489</v>
      </c>
      <c r="I23" s="418">
        <v>4359</v>
      </c>
      <c r="J23" s="418">
        <v>2381</v>
      </c>
      <c r="K23" s="418">
        <f t="shared" si="1"/>
        <v>146363</v>
      </c>
    </row>
    <row r="24" spans="1:12" x14ac:dyDescent="0.2">
      <c r="A24" s="417">
        <v>45778</v>
      </c>
      <c r="B24" s="418">
        <v>40048</v>
      </c>
      <c r="C24" s="418">
        <v>27099</v>
      </c>
      <c r="D24" s="418">
        <v>23180</v>
      </c>
      <c r="E24" s="418">
        <v>19990</v>
      </c>
      <c r="F24" s="418">
        <v>850</v>
      </c>
      <c r="G24" s="418">
        <v>20186</v>
      </c>
      <c r="H24" s="418">
        <v>21851</v>
      </c>
      <c r="I24" s="418">
        <v>4217</v>
      </c>
      <c r="J24" s="418">
        <v>2698</v>
      </c>
      <c r="K24" s="418">
        <f t="shared" si="1"/>
        <v>160119</v>
      </c>
    </row>
    <row r="25" spans="1:12" x14ac:dyDescent="0.2">
      <c r="A25" s="417">
        <v>45809</v>
      </c>
      <c r="B25" s="418">
        <v>35081</v>
      </c>
      <c r="C25" s="418">
        <v>25500</v>
      </c>
      <c r="D25" s="418">
        <v>21626</v>
      </c>
      <c r="E25" s="418">
        <v>23570</v>
      </c>
      <c r="F25" s="418">
        <v>995</v>
      </c>
      <c r="G25" s="418">
        <v>18789</v>
      </c>
      <c r="H25" s="418">
        <v>21130</v>
      </c>
      <c r="I25" s="418">
        <v>3414</v>
      </c>
      <c r="J25" s="418">
        <v>2109</v>
      </c>
      <c r="K25" s="418">
        <f t="shared" si="1"/>
        <v>152214</v>
      </c>
      <c r="L25" s="422">
        <f>SUM(K14:K25)</f>
        <v>1750414.6883116884</v>
      </c>
    </row>
    <row r="26" spans="1:12" x14ac:dyDescent="0.2">
      <c r="B26" s="422"/>
      <c r="C26" s="422"/>
      <c r="D26" s="422"/>
      <c r="E26" s="422"/>
      <c r="F26" s="422"/>
      <c r="G26" s="422"/>
      <c r="H26" s="422"/>
      <c r="I26" s="422"/>
      <c r="J26" s="422"/>
      <c r="K26" s="422"/>
    </row>
    <row r="27" spans="1:12" x14ac:dyDescent="0.2">
      <c r="B27" s="422"/>
      <c r="C27" s="422"/>
      <c r="D27" s="422"/>
      <c r="E27" s="422"/>
      <c r="F27" s="422"/>
      <c r="G27" s="422"/>
      <c r="H27" s="422"/>
      <c r="I27" s="422"/>
      <c r="J27" s="422"/>
      <c r="K27" s="422"/>
    </row>
    <row r="28" spans="1:12" x14ac:dyDescent="0.2">
      <c r="A28" t="s">
        <v>74</v>
      </c>
      <c r="B28" s="422">
        <f>SUM(B2:B13)</f>
        <v>372850</v>
      </c>
      <c r="C28" s="422">
        <f t="shared" ref="C28:J28" si="4">SUM(C2:C13)</f>
        <v>336751</v>
      </c>
      <c r="D28" s="422">
        <f t="shared" si="4"/>
        <v>267535</v>
      </c>
      <c r="E28" s="422">
        <f t="shared" si="4"/>
        <v>242170</v>
      </c>
      <c r="F28" s="422">
        <f t="shared" si="4"/>
        <v>14947</v>
      </c>
      <c r="G28" s="422">
        <f t="shared" si="4"/>
        <v>201778</v>
      </c>
      <c r="H28" s="422">
        <f t="shared" si="4"/>
        <v>250392</v>
      </c>
      <c r="I28" s="422">
        <f t="shared" si="4"/>
        <v>70853</v>
      </c>
      <c r="J28" s="422">
        <f t="shared" si="4"/>
        <v>0</v>
      </c>
      <c r="K28" s="422"/>
    </row>
    <row r="29" spans="1:12" x14ac:dyDescent="0.2">
      <c r="A29" t="s">
        <v>76</v>
      </c>
      <c r="B29" s="422">
        <f>SUM(B14:B25)</f>
        <v>387015.09090909094</v>
      </c>
      <c r="C29" s="422">
        <f t="shared" ref="C29:J29" si="5">SUM(C14:C25)</f>
        <v>311302.45454545453</v>
      </c>
      <c r="D29" s="422">
        <f t="shared" si="5"/>
        <v>264534.09090909094</v>
      </c>
      <c r="E29" s="422">
        <f t="shared" si="5"/>
        <v>220787.14285714284</v>
      </c>
      <c r="F29" s="422">
        <f t="shared" si="5"/>
        <v>11702.818181818182</v>
      </c>
      <c r="G29" s="422">
        <f t="shared" si="5"/>
        <v>229168.18181818182</v>
      </c>
      <c r="H29" s="422">
        <f t="shared" si="5"/>
        <v>247238.18181818182</v>
      </c>
      <c r="I29" s="422">
        <f t="shared" si="5"/>
        <v>68667.727272727265</v>
      </c>
      <c r="J29" s="422">
        <f t="shared" si="5"/>
        <v>9999</v>
      </c>
    </row>
    <row r="31" spans="1:12" x14ac:dyDescent="0.2">
      <c r="B31" s="422"/>
      <c r="C31" s="422"/>
      <c r="D31" s="422"/>
      <c r="E31" s="422"/>
    </row>
    <row r="33" spans="6:8" ht="16" thickBot="1" x14ac:dyDescent="0.25"/>
    <row r="34" spans="6:8" ht="28" thickBot="1" x14ac:dyDescent="0.25">
      <c r="F34" s="423" t="s">
        <v>74</v>
      </c>
      <c r="G34" s="423" t="s">
        <v>76</v>
      </c>
    </row>
    <row r="35" spans="6:8" ht="28" thickTop="1" thickBot="1" x14ac:dyDescent="0.25">
      <c r="F35" s="424">
        <v>372850</v>
      </c>
      <c r="G35" s="424">
        <v>387015</v>
      </c>
      <c r="H35" s="426">
        <f>(F35-G35)/G35</f>
        <v>-3.6600648553673627E-2</v>
      </c>
    </row>
    <row r="36" spans="6:8" ht="27" thickBot="1" x14ac:dyDescent="0.25">
      <c r="F36" s="425">
        <v>336751</v>
      </c>
      <c r="G36" s="425">
        <v>311302</v>
      </c>
      <c r="H36" s="426">
        <f t="shared" ref="H36:H44" si="6">(F36-G36)/G36</f>
        <v>8.175019755735588E-2</v>
      </c>
    </row>
    <row r="37" spans="6:8" ht="27" thickBot="1" x14ac:dyDescent="0.25">
      <c r="F37" s="425">
        <v>267535</v>
      </c>
      <c r="G37" s="425">
        <v>264534</v>
      </c>
      <c r="H37" s="426">
        <f t="shared" si="6"/>
        <v>1.1344477458474146E-2</v>
      </c>
    </row>
    <row r="38" spans="6:8" ht="27" thickBot="1" x14ac:dyDescent="0.25">
      <c r="F38" s="425">
        <v>250392</v>
      </c>
      <c r="G38" s="425">
        <v>247238</v>
      </c>
      <c r="H38" s="426">
        <f t="shared" si="6"/>
        <v>1.2756938658296864E-2</v>
      </c>
    </row>
    <row r="39" spans="6:8" ht="27" thickBot="1" x14ac:dyDescent="0.25">
      <c r="F39" s="425">
        <v>201778</v>
      </c>
      <c r="G39" s="425">
        <v>229168</v>
      </c>
      <c r="H39" s="426">
        <f t="shared" si="6"/>
        <v>-0.11951930461495497</v>
      </c>
    </row>
    <row r="40" spans="6:8" ht="27" thickBot="1" x14ac:dyDescent="0.25">
      <c r="F40" s="425">
        <v>242170</v>
      </c>
      <c r="G40" s="425">
        <v>220787</v>
      </c>
      <c r="H40" s="426">
        <f t="shared" si="6"/>
        <v>9.6848999261731891E-2</v>
      </c>
    </row>
    <row r="41" spans="6:8" ht="27" thickBot="1" x14ac:dyDescent="0.25">
      <c r="F41" s="425">
        <v>70853</v>
      </c>
      <c r="G41" s="425">
        <v>68668</v>
      </c>
      <c r="H41" s="426">
        <f t="shared" si="6"/>
        <v>3.1819770489893401E-2</v>
      </c>
    </row>
    <row r="42" spans="6:8" ht="27" thickBot="1" x14ac:dyDescent="0.25">
      <c r="F42" s="425">
        <v>9999</v>
      </c>
      <c r="G42" s="425">
        <v>9999</v>
      </c>
      <c r="H42" s="426">
        <f t="shared" si="6"/>
        <v>0</v>
      </c>
    </row>
    <row r="43" spans="6:8" ht="27" thickBot="1" x14ac:dyDescent="0.25">
      <c r="F43" s="425">
        <v>14947</v>
      </c>
      <c r="G43" s="425">
        <v>11703</v>
      </c>
      <c r="H43" s="426">
        <f t="shared" si="6"/>
        <v>0.27719388191062122</v>
      </c>
    </row>
    <row r="44" spans="6:8" ht="27" thickBot="1" x14ac:dyDescent="0.25">
      <c r="F44" s="425">
        <v>1757276</v>
      </c>
      <c r="G44" s="425">
        <v>1750415</v>
      </c>
      <c r="H44" s="426">
        <f t="shared" si="6"/>
        <v>3.9196419134890871E-3</v>
      </c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ABB1-BF6D-414F-8799-A5FEEE492E11}">
  <dimension ref="A1:H20"/>
  <sheetViews>
    <sheetView workbookViewId="0">
      <selection activeCell="D8" sqref="D8"/>
    </sheetView>
  </sheetViews>
  <sheetFormatPr baseColWidth="10" defaultColWidth="11.5" defaultRowHeight="15" x14ac:dyDescent="0.2"/>
  <cols>
    <col min="5" max="6" width="0" hidden="1" customWidth="1"/>
  </cols>
  <sheetData>
    <row r="1" spans="1:8" x14ac:dyDescent="0.2">
      <c r="A1" s="477"/>
      <c r="B1" s="477" t="s">
        <v>475</v>
      </c>
      <c r="C1" s="477" t="s">
        <v>476</v>
      </c>
      <c r="D1" s="477" t="s">
        <v>579</v>
      </c>
      <c r="E1" s="477" t="s">
        <v>580</v>
      </c>
      <c r="F1" s="477" t="s">
        <v>581</v>
      </c>
      <c r="G1" s="477" t="s">
        <v>82</v>
      </c>
    </row>
    <row r="2" spans="1:8" x14ac:dyDescent="0.2">
      <c r="A2" s="478">
        <v>45748</v>
      </c>
      <c r="B2" s="479">
        <v>246.4</v>
      </c>
      <c r="C2" s="479">
        <v>15.3</v>
      </c>
      <c r="D2" s="479">
        <v>51.6</v>
      </c>
      <c r="E2" s="479" t="s">
        <v>549</v>
      </c>
      <c r="F2" s="479" t="s">
        <v>549</v>
      </c>
      <c r="G2" s="479">
        <f>SUM(B2:F2)</f>
        <v>313.3</v>
      </c>
    </row>
    <row r="3" spans="1:8" x14ac:dyDescent="0.2">
      <c r="A3" s="478">
        <v>45778</v>
      </c>
      <c r="B3" s="479">
        <v>308.2</v>
      </c>
      <c r="C3" s="479">
        <v>25.3</v>
      </c>
      <c r="D3" s="479">
        <v>92.5</v>
      </c>
      <c r="E3" s="479" t="s">
        <v>549</v>
      </c>
      <c r="F3" s="479" t="s">
        <v>549</v>
      </c>
      <c r="G3" s="479">
        <f>SUM(B3:F3)</f>
        <v>426</v>
      </c>
      <c r="H3" s="427">
        <f>SUM(G2:G7)</f>
        <v>2454.5</v>
      </c>
    </row>
    <row r="4" spans="1:8" x14ac:dyDescent="0.2">
      <c r="A4" s="478">
        <v>45809</v>
      </c>
      <c r="B4" s="479">
        <v>254.2</v>
      </c>
      <c r="C4" s="479">
        <v>12.7</v>
      </c>
      <c r="D4" s="479">
        <v>58.3</v>
      </c>
      <c r="E4" s="479" t="s">
        <v>549</v>
      </c>
      <c r="F4" s="479" t="s">
        <v>549</v>
      </c>
      <c r="G4" s="479">
        <f t="shared" ref="G4:G16" si="0">SUM(B4:F4)</f>
        <v>325.2</v>
      </c>
    </row>
    <row r="5" spans="1:8" x14ac:dyDescent="0.2">
      <c r="A5" s="478">
        <v>45839</v>
      </c>
      <c r="B5" s="479">
        <v>509.7</v>
      </c>
      <c r="C5" s="479">
        <v>16.100000000000001</v>
      </c>
      <c r="D5" s="479">
        <v>55</v>
      </c>
      <c r="E5" s="479" t="s">
        <v>549</v>
      </c>
      <c r="F5" s="479" t="s">
        <v>549</v>
      </c>
      <c r="G5" s="479">
        <f t="shared" si="0"/>
        <v>580.79999999999995</v>
      </c>
    </row>
    <row r="6" spans="1:8" x14ac:dyDescent="0.2">
      <c r="A6" s="478">
        <v>45870</v>
      </c>
      <c r="B6" s="479">
        <v>411.2</v>
      </c>
      <c r="C6" s="479">
        <v>12</v>
      </c>
      <c r="D6" s="479">
        <v>83.1</v>
      </c>
      <c r="E6" s="479" t="s">
        <v>549</v>
      </c>
      <c r="F6" s="479" t="s">
        <v>549</v>
      </c>
      <c r="G6" s="479">
        <f t="shared" si="0"/>
        <v>506.29999999999995</v>
      </c>
    </row>
    <row r="7" spans="1:8" x14ac:dyDescent="0.2">
      <c r="A7" s="478">
        <v>45901</v>
      </c>
      <c r="B7" s="479">
        <v>208.7</v>
      </c>
      <c r="C7" s="479">
        <v>11.1</v>
      </c>
      <c r="D7" s="479">
        <v>83.1</v>
      </c>
      <c r="E7" s="479" t="s">
        <v>549</v>
      </c>
      <c r="F7" s="479" t="s">
        <v>549</v>
      </c>
      <c r="G7" s="479">
        <f t="shared" si="0"/>
        <v>302.89999999999998</v>
      </c>
      <c r="H7" s="509">
        <f>(G7-G5)/G5</f>
        <v>-0.47847796143250687</v>
      </c>
    </row>
    <row r="8" spans="1:8" x14ac:dyDescent="0.2">
      <c r="A8" s="478">
        <v>45931</v>
      </c>
      <c r="B8" s="479">
        <v>197.5</v>
      </c>
      <c r="C8" s="479">
        <v>21.4</v>
      </c>
      <c r="D8" s="479">
        <v>68.3</v>
      </c>
      <c r="E8" s="479" t="s">
        <v>549</v>
      </c>
      <c r="F8" s="479" t="s">
        <v>549</v>
      </c>
      <c r="G8" s="479">
        <f t="shared" si="0"/>
        <v>287.2</v>
      </c>
    </row>
    <row r="9" spans="1:8" x14ac:dyDescent="0.2">
      <c r="A9" s="478">
        <v>45962</v>
      </c>
      <c r="B9" s="479">
        <v>263.2</v>
      </c>
      <c r="C9" s="479">
        <v>11.9</v>
      </c>
      <c r="D9" s="479">
        <v>59.5</v>
      </c>
      <c r="E9" s="479" t="s">
        <v>549</v>
      </c>
      <c r="F9" s="479" t="s">
        <v>549</v>
      </c>
      <c r="G9" s="479">
        <f t="shared" si="0"/>
        <v>334.59999999999997</v>
      </c>
    </row>
    <row r="10" spans="1:8" x14ac:dyDescent="0.2">
      <c r="A10" s="478">
        <v>45992</v>
      </c>
      <c r="B10" s="479">
        <v>115</v>
      </c>
      <c r="C10" s="479">
        <v>9.1999999999999993</v>
      </c>
      <c r="D10" s="479">
        <v>45</v>
      </c>
      <c r="E10" s="479"/>
      <c r="F10" s="479"/>
      <c r="G10" s="479">
        <f t="shared" si="0"/>
        <v>169.2</v>
      </c>
      <c r="H10">
        <f>(G10-G9)/G9</f>
        <v>-0.49432157800358634</v>
      </c>
    </row>
    <row r="11" spans="1:8" x14ac:dyDescent="0.2">
      <c r="A11" s="478">
        <v>46023</v>
      </c>
      <c r="B11" s="479"/>
      <c r="C11" s="479"/>
      <c r="D11" s="479"/>
      <c r="E11" s="479"/>
      <c r="F11" s="479"/>
      <c r="G11" s="479">
        <f t="shared" si="0"/>
        <v>0</v>
      </c>
    </row>
    <row r="12" spans="1:8" x14ac:dyDescent="0.2">
      <c r="A12" s="478">
        <v>46054</v>
      </c>
      <c r="B12" s="479"/>
      <c r="C12" s="479"/>
      <c r="D12" s="479"/>
      <c r="E12" s="479"/>
      <c r="F12" s="479"/>
      <c r="G12" s="479">
        <f t="shared" si="0"/>
        <v>0</v>
      </c>
    </row>
    <row r="13" spans="1:8" x14ac:dyDescent="0.2">
      <c r="A13" s="478">
        <v>46082</v>
      </c>
      <c r="B13" s="479"/>
      <c r="C13" s="479"/>
      <c r="D13" s="479"/>
      <c r="E13" s="479"/>
      <c r="F13" s="479"/>
      <c r="G13" s="479">
        <f t="shared" si="0"/>
        <v>0</v>
      </c>
    </row>
    <row r="14" spans="1:8" x14ac:dyDescent="0.2">
      <c r="A14" s="478">
        <v>46113</v>
      </c>
      <c r="B14" s="479"/>
      <c r="C14" s="479"/>
      <c r="D14" s="479"/>
      <c r="E14" s="479"/>
      <c r="F14" s="479"/>
      <c r="G14" s="479">
        <f t="shared" si="0"/>
        <v>0</v>
      </c>
    </row>
    <row r="15" spans="1:8" x14ac:dyDescent="0.2">
      <c r="A15" s="478">
        <v>46143</v>
      </c>
      <c r="B15" s="479"/>
      <c r="C15" s="479"/>
      <c r="D15" s="479"/>
      <c r="E15" s="479"/>
      <c r="F15" s="479"/>
      <c r="G15" s="479">
        <f t="shared" si="0"/>
        <v>0</v>
      </c>
    </row>
    <row r="16" spans="1:8" x14ac:dyDescent="0.2">
      <c r="A16" s="478">
        <v>46174</v>
      </c>
      <c r="B16" s="479"/>
      <c r="C16" s="479"/>
      <c r="D16" s="479"/>
      <c r="E16" s="479"/>
      <c r="F16" s="479"/>
      <c r="G16" s="479">
        <f t="shared" si="0"/>
        <v>0</v>
      </c>
    </row>
    <row r="17" spans="2:7" x14ac:dyDescent="0.2">
      <c r="B17" s="334">
        <f>(B7-B6)/B6</f>
        <v>-0.49246108949416345</v>
      </c>
      <c r="C17" s="334">
        <f t="shared" ref="C17:G17" si="1">(C7-C6)/C6</f>
        <v>-7.5000000000000025E-2</v>
      </c>
      <c r="D17" s="334">
        <f t="shared" si="1"/>
        <v>0</v>
      </c>
      <c r="E17" s="334" t="e">
        <f t="shared" si="1"/>
        <v>#VALUE!</v>
      </c>
      <c r="F17" s="334" t="e">
        <f t="shared" si="1"/>
        <v>#VALUE!</v>
      </c>
      <c r="G17" s="334">
        <f t="shared" si="1"/>
        <v>-0.40173809994074661</v>
      </c>
    </row>
    <row r="18" spans="2:7" x14ac:dyDescent="0.2">
      <c r="B18">
        <f>(B5-B3)/B3</f>
        <v>0.65379623621025307</v>
      </c>
      <c r="C18">
        <f t="shared" ref="C18:G18" si="2">(C5-C3)/C3</f>
        <v>-0.36363636363636359</v>
      </c>
      <c r="D18">
        <f t="shared" si="2"/>
        <v>-0.40540540540540543</v>
      </c>
      <c r="E18" t="e">
        <f t="shared" si="2"/>
        <v>#VALUE!</v>
      </c>
      <c r="F18" t="e">
        <f t="shared" si="2"/>
        <v>#VALUE!</v>
      </c>
      <c r="G18">
        <f t="shared" si="2"/>
        <v>0.36338028169014075</v>
      </c>
    </row>
    <row r="19" spans="2:7" x14ac:dyDescent="0.2">
      <c r="B19" s="427">
        <f>B5-B4</f>
        <v>255.5</v>
      </c>
    </row>
    <row r="20" spans="2:7" x14ac:dyDescent="0.2">
      <c r="B20" s="427">
        <f>B7-B5</f>
        <v>-301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206E-BC93-F14C-93ED-1EAACCB1983A}">
  <dimension ref="A1:H20"/>
  <sheetViews>
    <sheetView zoomScale="101" workbookViewId="0"/>
  </sheetViews>
  <sheetFormatPr baseColWidth="10" defaultColWidth="11.5" defaultRowHeight="15" x14ac:dyDescent="0.2"/>
  <cols>
    <col min="4" max="4" width="11.6640625" bestFit="1" customWidth="1"/>
    <col min="5" max="5" width="11.5" hidden="1" customWidth="1"/>
  </cols>
  <sheetData>
    <row r="1" spans="1:8" x14ac:dyDescent="0.2">
      <c r="A1" s="477"/>
      <c r="B1" s="477" t="s">
        <v>475</v>
      </c>
      <c r="C1" s="477" t="s">
        <v>476</v>
      </c>
      <c r="D1" s="477" t="s">
        <v>579</v>
      </c>
      <c r="E1" s="477" t="s">
        <v>580</v>
      </c>
      <c r="F1" s="477" t="s">
        <v>581</v>
      </c>
      <c r="G1" s="477" t="s">
        <v>82</v>
      </c>
    </row>
    <row r="2" spans="1:8" x14ac:dyDescent="0.2">
      <c r="A2" s="508" t="s">
        <v>582</v>
      </c>
      <c r="B2" s="479">
        <v>68.400000000000006</v>
      </c>
      <c r="C2" s="479">
        <v>4.4000000000000004</v>
      </c>
      <c r="D2" s="479">
        <v>25.3</v>
      </c>
      <c r="E2" s="479" t="s">
        <v>549</v>
      </c>
      <c r="F2" s="479">
        <v>24.7</v>
      </c>
      <c r="G2" s="479">
        <f t="shared" ref="G2:G3" si="0">SUM(B2:F2)</f>
        <v>122.80000000000001</v>
      </c>
    </row>
    <row r="3" spans="1:8" x14ac:dyDescent="0.2">
      <c r="A3" s="508" t="s">
        <v>583</v>
      </c>
      <c r="B3" s="479">
        <v>57.9</v>
      </c>
      <c r="C3" s="479">
        <v>6.5</v>
      </c>
      <c r="D3" s="479">
        <v>8.8000000000000007</v>
      </c>
      <c r="E3" s="479" t="s">
        <v>549</v>
      </c>
      <c r="F3" s="479">
        <v>20.7</v>
      </c>
      <c r="G3" s="479">
        <f t="shared" si="0"/>
        <v>93.9</v>
      </c>
    </row>
    <row r="4" spans="1:8" x14ac:dyDescent="0.2">
      <c r="A4" s="478">
        <v>45778</v>
      </c>
      <c r="B4" s="479">
        <v>139.30000000000001</v>
      </c>
      <c r="C4" s="479">
        <v>7.9</v>
      </c>
      <c r="D4" s="479">
        <v>55.2</v>
      </c>
      <c r="E4" s="479" t="s">
        <v>549</v>
      </c>
      <c r="F4" s="479">
        <v>56.5</v>
      </c>
      <c r="G4" s="479">
        <f>SUM(B4:F4)</f>
        <v>258.90000000000003</v>
      </c>
    </row>
    <row r="5" spans="1:8" x14ac:dyDescent="0.2">
      <c r="A5" s="478">
        <v>45809</v>
      </c>
      <c r="B5" s="479">
        <v>155.5</v>
      </c>
      <c r="C5" s="479">
        <v>31.7</v>
      </c>
      <c r="D5" s="479">
        <v>48.4</v>
      </c>
      <c r="E5" s="479" t="s">
        <v>549</v>
      </c>
      <c r="F5" s="479">
        <v>34.5</v>
      </c>
      <c r="G5" s="479">
        <f t="shared" ref="G5:G6" si="1">SUM(B5:F5)</f>
        <v>270.10000000000002</v>
      </c>
    </row>
    <row r="6" spans="1:8" x14ac:dyDescent="0.2">
      <c r="A6" s="478">
        <v>45839</v>
      </c>
      <c r="B6" s="479">
        <v>210.4</v>
      </c>
      <c r="C6" s="479">
        <v>16.3</v>
      </c>
      <c r="D6" s="479">
        <v>67</v>
      </c>
      <c r="E6" s="479" t="s">
        <v>549</v>
      </c>
      <c r="F6" s="479">
        <v>81.2</v>
      </c>
      <c r="G6" s="479">
        <f t="shared" si="1"/>
        <v>374.90000000000003</v>
      </c>
      <c r="H6" s="427"/>
    </row>
    <row r="7" spans="1:8" x14ac:dyDescent="0.2">
      <c r="A7" s="478">
        <v>45870</v>
      </c>
      <c r="B7" s="479">
        <v>170.4</v>
      </c>
      <c r="C7" s="479">
        <v>13.3</v>
      </c>
      <c r="D7" s="479">
        <v>55.9</v>
      </c>
      <c r="E7" s="479" t="s">
        <v>549</v>
      </c>
      <c r="F7" s="479">
        <v>80</v>
      </c>
      <c r="G7" s="479">
        <f>SUM(B7:F7)</f>
        <v>319.60000000000002</v>
      </c>
    </row>
    <row r="8" spans="1:8" x14ac:dyDescent="0.2">
      <c r="A8" s="478">
        <v>45901</v>
      </c>
      <c r="B8" s="507">
        <v>234.7</v>
      </c>
      <c r="C8" s="507">
        <v>16.399999999999999</v>
      </c>
      <c r="D8" s="507">
        <v>72.8</v>
      </c>
      <c r="E8" s="507" t="s">
        <v>549</v>
      </c>
      <c r="F8" s="479">
        <v>63.6</v>
      </c>
      <c r="G8" s="479">
        <f>SUM(B8:F8)</f>
        <v>387.5</v>
      </c>
    </row>
    <row r="9" spans="1:8" x14ac:dyDescent="0.2">
      <c r="A9" s="478">
        <v>45931</v>
      </c>
      <c r="B9" s="479">
        <v>181.1</v>
      </c>
      <c r="C9" s="479">
        <v>16.600000000000001</v>
      </c>
      <c r="D9" s="479">
        <v>65.099999999999994</v>
      </c>
      <c r="E9" s="479"/>
      <c r="F9" s="479">
        <v>61.2</v>
      </c>
      <c r="G9" s="479">
        <f t="shared" ref="G9:G17" si="2">SUM(B9:F9)</f>
        <v>323.99999999999994</v>
      </c>
      <c r="H9" s="509">
        <f>(G9-G8)/G8</f>
        <v>-0.16387096774193563</v>
      </c>
    </row>
    <row r="10" spans="1:8" x14ac:dyDescent="0.2">
      <c r="A10" s="478">
        <v>45962</v>
      </c>
      <c r="B10" s="479">
        <v>165.3</v>
      </c>
      <c r="C10" s="479">
        <v>15.2</v>
      </c>
      <c r="D10" s="479">
        <v>71.599999999999994</v>
      </c>
      <c r="E10" s="479"/>
      <c r="F10" s="479">
        <v>69</v>
      </c>
      <c r="G10" s="479">
        <f t="shared" si="2"/>
        <v>321.10000000000002</v>
      </c>
    </row>
    <row r="11" spans="1:8" x14ac:dyDescent="0.2">
      <c r="A11" s="478">
        <v>45992</v>
      </c>
      <c r="B11" s="479">
        <v>151</v>
      </c>
      <c r="C11" s="479">
        <v>12.6</v>
      </c>
      <c r="D11" s="479">
        <v>88.1</v>
      </c>
      <c r="E11" s="479"/>
      <c r="F11" s="479">
        <v>70.5</v>
      </c>
      <c r="G11" s="479">
        <f t="shared" si="2"/>
        <v>322.2</v>
      </c>
    </row>
    <row r="12" spans="1:8" x14ac:dyDescent="0.2">
      <c r="A12" s="478">
        <v>46023</v>
      </c>
      <c r="B12" s="479"/>
      <c r="C12" s="479"/>
      <c r="D12" s="479"/>
      <c r="E12" s="479"/>
      <c r="F12" s="479"/>
      <c r="G12" s="479">
        <f t="shared" si="2"/>
        <v>0</v>
      </c>
    </row>
    <row r="13" spans="1:8" x14ac:dyDescent="0.2">
      <c r="A13" s="478">
        <v>46054</v>
      </c>
      <c r="B13" s="479"/>
      <c r="C13" s="479"/>
      <c r="D13" s="479"/>
      <c r="E13" s="479"/>
      <c r="F13" s="479"/>
      <c r="G13" s="479">
        <f t="shared" si="2"/>
        <v>0</v>
      </c>
    </row>
    <row r="14" spans="1:8" x14ac:dyDescent="0.2">
      <c r="A14" s="478">
        <v>46082</v>
      </c>
      <c r="B14" s="479"/>
      <c r="C14" s="479"/>
      <c r="D14" s="479"/>
      <c r="E14" s="479"/>
      <c r="F14" s="479"/>
      <c r="G14" s="479">
        <f t="shared" si="2"/>
        <v>0</v>
      </c>
    </row>
    <row r="15" spans="1:8" x14ac:dyDescent="0.2">
      <c r="A15" s="478">
        <v>46113</v>
      </c>
      <c r="B15" s="479"/>
      <c r="C15" s="479"/>
      <c r="D15" s="479"/>
      <c r="E15" s="479"/>
      <c r="F15" s="479"/>
      <c r="G15" s="479">
        <f t="shared" si="2"/>
        <v>0</v>
      </c>
    </row>
    <row r="16" spans="1:8" x14ac:dyDescent="0.2">
      <c r="A16" s="478">
        <v>46143</v>
      </c>
      <c r="B16" s="479"/>
      <c r="C16" s="479"/>
      <c r="D16" s="479"/>
      <c r="E16" s="479"/>
      <c r="F16" s="479"/>
      <c r="G16" s="479">
        <f t="shared" si="2"/>
        <v>0</v>
      </c>
    </row>
    <row r="17" spans="1:7" x14ac:dyDescent="0.2">
      <c r="A17" s="478">
        <v>46174</v>
      </c>
      <c r="B17" s="479"/>
      <c r="C17" s="479"/>
      <c r="D17" s="479"/>
      <c r="E17" s="479"/>
      <c r="F17" s="479"/>
      <c r="G17" s="479">
        <f t="shared" si="2"/>
        <v>0</v>
      </c>
    </row>
    <row r="18" spans="1:7" x14ac:dyDescent="0.2">
      <c r="B18" s="427">
        <f>B8-B7</f>
        <v>64.299999999999983</v>
      </c>
      <c r="C18" s="427">
        <f t="shared" ref="C18:G18" si="3">C8-C7</f>
        <v>3.0999999999999979</v>
      </c>
      <c r="D18" s="427">
        <f t="shared" si="3"/>
        <v>16.899999999999999</v>
      </c>
      <c r="E18" s="427" t="e">
        <f t="shared" si="3"/>
        <v>#VALUE!</v>
      </c>
      <c r="F18" s="427">
        <f t="shared" si="3"/>
        <v>-16.399999999999999</v>
      </c>
      <c r="G18" s="427">
        <f t="shared" si="3"/>
        <v>67.899999999999977</v>
      </c>
    </row>
    <row r="19" spans="1:7" x14ac:dyDescent="0.2">
      <c r="B19" s="334">
        <f>B18/$G$18</f>
        <v>0.94698085419734912</v>
      </c>
      <c r="C19" s="334">
        <f t="shared" ref="C19:G19" si="4">C18/$G$18</f>
        <v>4.5655375552282752E-2</v>
      </c>
      <c r="D19" s="334">
        <f t="shared" si="4"/>
        <v>0.24889543446244483</v>
      </c>
      <c r="E19" s="334" t="e">
        <f t="shared" si="4"/>
        <v>#VALUE!</v>
      </c>
      <c r="F19" s="334">
        <f t="shared" si="4"/>
        <v>-0.24153166421207664</v>
      </c>
      <c r="G19" s="334">
        <f t="shared" si="4"/>
        <v>1</v>
      </c>
    </row>
    <row r="20" spans="1:7" x14ac:dyDescent="0.2">
      <c r="B20" s="334">
        <f>(B8-B7)/B7</f>
        <v>0.37734741784037545</v>
      </c>
      <c r="C20" s="334">
        <f t="shared" ref="C20:G20" si="5">(C8-C7)/C7</f>
        <v>0.23308270676691711</v>
      </c>
      <c r="D20" s="334">
        <f t="shared" si="5"/>
        <v>0.30232558139534882</v>
      </c>
      <c r="E20" s="334" t="e">
        <f t="shared" si="5"/>
        <v>#VALUE!</v>
      </c>
      <c r="F20" s="334">
        <f t="shared" si="5"/>
        <v>-0.20499999999999999</v>
      </c>
      <c r="G20" s="334">
        <f t="shared" si="5"/>
        <v>0.21245306633291605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E1C8-6AA1-471B-BEC8-76FC0F20896E}">
  <dimension ref="A1:T118"/>
  <sheetViews>
    <sheetView zoomScale="75" workbookViewId="0">
      <pane xSplit="1" ySplit="1" topLeftCell="B75" activePane="bottomRight" state="frozen"/>
      <selection pane="topRight"/>
      <selection pane="bottomLeft"/>
      <selection pane="bottomRight" activeCell="V101" sqref="V101"/>
    </sheetView>
  </sheetViews>
  <sheetFormatPr baseColWidth="10" defaultColWidth="10.33203125" defaultRowHeight="15" customHeight="1" x14ac:dyDescent="0.2"/>
  <cols>
    <col min="1" max="1" width="21.33203125" style="5" customWidth="1"/>
    <col min="2" max="2" width="16.1640625" style="7" customWidth="1"/>
    <col min="3" max="3" width="11.6640625" style="7" hidden="1" customWidth="1"/>
    <col min="4" max="4" width="2.6640625" style="7" hidden="1" customWidth="1"/>
    <col min="5" max="5" width="17.1640625" style="7" customWidth="1"/>
    <col min="6" max="6" width="10.33203125" style="7"/>
    <col min="7" max="8" width="12.33203125" style="7" customWidth="1"/>
    <col min="9" max="9" width="10.5" style="7" bestFit="1" customWidth="1"/>
    <col min="10" max="10" width="33.33203125" style="7" hidden="1" customWidth="1"/>
    <col min="11" max="11" width="10.33203125" style="7" hidden="1" customWidth="1"/>
    <col min="12" max="12" width="21.6640625" style="7" customWidth="1"/>
    <col min="13" max="13" width="13.5" style="7" customWidth="1"/>
    <col min="14" max="14" width="12.33203125" style="7" hidden="1" customWidth="1"/>
    <col min="15" max="15" width="11.1640625" style="7" hidden="1" customWidth="1"/>
    <col min="16" max="16" width="11.1640625" style="7" customWidth="1"/>
    <col min="17" max="17" width="11.6640625" style="7" customWidth="1"/>
    <col min="18" max="18" width="11.5" style="5" customWidth="1"/>
    <col min="19" max="19" width="13.6640625" style="5" bestFit="1" customWidth="1"/>
    <col min="20" max="20" width="11.6640625" style="5" bestFit="1" customWidth="1"/>
    <col min="21" max="16384" width="10.33203125" style="5"/>
  </cols>
  <sheetData>
    <row r="1" spans="1:18" s="3" customFormat="1" ht="50" customHeight="1" x14ac:dyDescent="0.2">
      <c r="A1" s="2" t="s">
        <v>28</v>
      </c>
      <c r="B1" s="347" t="s">
        <v>501</v>
      </c>
      <c r="C1" s="347" t="s">
        <v>584</v>
      </c>
      <c r="D1" s="347" t="s">
        <v>585</v>
      </c>
      <c r="E1" s="347" t="s">
        <v>502</v>
      </c>
      <c r="F1" s="347" t="s">
        <v>503</v>
      </c>
      <c r="G1" s="347" t="s">
        <v>504</v>
      </c>
      <c r="H1" s="347" t="s">
        <v>505</v>
      </c>
      <c r="I1" s="347" t="s">
        <v>273</v>
      </c>
      <c r="J1" s="347" t="s">
        <v>586</v>
      </c>
      <c r="K1" s="347" t="s">
        <v>587</v>
      </c>
      <c r="L1" s="347" t="s">
        <v>506</v>
      </c>
      <c r="M1" s="347" t="s">
        <v>45</v>
      </c>
      <c r="N1" s="347" t="s">
        <v>24</v>
      </c>
      <c r="O1" s="347" t="s">
        <v>588</v>
      </c>
      <c r="P1" s="347" t="s">
        <v>507</v>
      </c>
      <c r="Q1" s="347" t="s">
        <v>589</v>
      </c>
      <c r="R1" s="496" t="s">
        <v>590</v>
      </c>
    </row>
    <row r="2" spans="1:18" ht="16" x14ac:dyDescent="0.2">
      <c r="A2" s="4">
        <v>42644</v>
      </c>
      <c r="B2" s="336">
        <v>4750</v>
      </c>
      <c r="C2" s="336">
        <v>11825</v>
      </c>
      <c r="D2" s="336"/>
      <c r="E2" s="336">
        <v>11825</v>
      </c>
      <c r="F2" s="336"/>
      <c r="G2" s="336">
        <v>2000</v>
      </c>
      <c r="H2" s="336">
        <v>1050</v>
      </c>
      <c r="I2" s="336">
        <v>250</v>
      </c>
      <c r="J2" s="336">
        <v>1075</v>
      </c>
      <c r="K2" s="336"/>
      <c r="L2" s="336">
        <f>J2+K2</f>
        <v>1075</v>
      </c>
      <c r="M2" s="336">
        <v>850</v>
      </c>
      <c r="N2" s="336"/>
      <c r="O2" s="336"/>
      <c r="P2" s="336">
        <v>0</v>
      </c>
      <c r="Q2" s="336">
        <v>21800</v>
      </c>
      <c r="R2" s="7"/>
    </row>
    <row r="3" spans="1:18" ht="16" x14ac:dyDescent="0.2">
      <c r="A3" s="4">
        <v>42675</v>
      </c>
      <c r="B3" s="336">
        <v>4350</v>
      </c>
      <c r="C3" s="336">
        <v>9850</v>
      </c>
      <c r="D3" s="336"/>
      <c r="E3" s="336">
        <v>9850</v>
      </c>
      <c r="F3" s="336"/>
      <c r="G3" s="336">
        <v>2375</v>
      </c>
      <c r="H3" s="336">
        <v>875</v>
      </c>
      <c r="I3" s="336">
        <v>100</v>
      </c>
      <c r="J3" s="336">
        <v>775</v>
      </c>
      <c r="K3" s="336"/>
      <c r="L3" s="336">
        <f t="shared" ref="L3:L66" si="0">J3+K3</f>
        <v>775</v>
      </c>
      <c r="M3" s="336">
        <v>925</v>
      </c>
      <c r="N3" s="336"/>
      <c r="O3" s="336"/>
      <c r="P3" s="336">
        <v>0</v>
      </c>
      <c r="Q3" s="336">
        <v>19250</v>
      </c>
      <c r="R3" s="7"/>
    </row>
    <row r="4" spans="1:18" ht="16" x14ac:dyDescent="0.2">
      <c r="A4" s="4">
        <v>42705</v>
      </c>
      <c r="B4" s="336">
        <v>4600</v>
      </c>
      <c r="C4" s="336">
        <v>7300</v>
      </c>
      <c r="D4" s="336"/>
      <c r="E4" s="336">
        <v>7300</v>
      </c>
      <c r="F4" s="336"/>
      <c r="G4" s="336">
        <v>1650</v>
      </c>
      <c r="H4" s="336">
        <v>900</v>
      </c>
      <c r="I4" s="336">
        <v>975</v>
      </c>
      <c r="J4" s="336">
        <v>625</v>
      </c>
      <c r="K4" s="336"/>
      <c r="L4" s="336">
        <f t="shared" si="0"/>
        <v>625</v>
      </c>
      <c r="M4" s="336">
        <v>850</v>
      </c>
      <c r="N4" s="336"/>
      <c r="O4" s="336"/>
      <c r="P4" s="336">
        <v>0</v>
      </c>
      <c r="Q4" s="336">
        <v>16900</v>
      </c>
      <c r="R4" s="7"/>
    </row>
    <row r="5" spans="1:18" ht="16" x14ac:dyDescent="0.2">
      <c r="A5" s="4">
        <v>42736</v>
      </c>
      <c r="B5" s="336">
        <v>4025</v>
      </c>
      <c r="C5" s="336">
        <v>5700</v>
      </c>
      <c r="D5" s="336"/>
      <c r="E5" s="336">
        <v>5700</v>
      </c>
      <c r="F5" s="336"/>
      <c r="G5" s="336">
        <v>1325</v>
      </c>
      <c r="H5" s="336">
        <v>825</v>
      </c>
      <c r="I5" s="336">
        <v>875</v>
      </c>
      <c r="J5" s="336">
        <v>100</v>
      </c>
      <c r="K5" s="336"/>
      <c r="L5" s="336">
        <f t="shared" si="0"/>
        <v>100</v>
      </c>
      <c r="M5" s="336">
        <v>900</v>
      </c>
      <c r="N5" s="336"/>
      <c r="O5" s="336"/>
      <c r="P5" s="336">
        <v>0</v>
      </c>
      <c r="Q5" s="336">
        <v>13750</v>
      </c>
      <c r="R5" s="7"/>
    </row>
    <row r="6" spans="1:18" ht="16" x14ac:dyDescent="0.2">
      <c r="A6" s="4">
        <v>42767</v>
      </c>
      <c r="B6" s="336">
        <v>5175</v>
      </c>
      <c r="C6" s="336">
        <v>7725</v>
      </c>
      <c r="D6" s="336"/>
      <c r="E6" s="336">
        <v>7725</v>
      </c>
      <c r="F6" s="336"/>
      <c r="G6" s="336">
        <v>2125</v>
      </c>
      <c r="H6" s="336">
        <v>875</v>
      </c>
      <c r="I6" s="336">
        <v>1925</v>
      </c>
      <c r="J6" s="336">
        <v>750</v>
      </c>
      <c r="K6" s="336"/>
      <c r="L6" s="336">
        <f t="shared" si="0"/>
        <v>750</v>
      </c>
      <c r="M6" s="336">
        <v>250</v>
      </c>
      <c r="N6" s="336"/>
      <c r="O6" s="336"/>
      <c r="P6" s="336">
        <v>0</v>
      </c>
      <c r="Q6" s="336">
        <v>18825</v>
      </c>
      <c r="R6" s="7"/>
    </row>
    <row r="7" spans="1:18" ht="16" x14ac:dyDescent="0.2">
      <c r="A7" s="4">
        <v>42795</v>
      </c>
      <c r="B7" s="336">
        <v>5850</v>
      </c>
      <c r="C7" s="336">
        <v>8200</v>
      </c>
      <c r="D7" s="336"/>
      <c r="E7" s="336">
        <v>8200</v>
      </c>
      <c r="F7" s="336"/>
      <c r="G7" s="336">
        <v>2500</v>
      </c>
      <c r="H7" s="336">
        <v>825</v>
      </c>
      <c r="I7" s="336">
        <v>3350</v>
      </c>
      <c r="J7" s="336">
        <v>825</v>
      </c>
      <c r="K7" s="336"/>
      <c r="L7" s="336">
        <f t="shared" si="0"/>
        <v>825</v>
      </c>
      <c r="M7" s="336">
        <v>100</v>
      </c>
      <c r="N7" s="336"/>
      <c r="O7" s="336">
        <v>325</v>
      </c>
      <c r="P7" s="336">
        <v>325</v>
      </c>
      <c r="Q7" s="336">
        <v>21975</v>
      </c>
      <c r="R7" s="7"/>
    </row>
    <row r="8" spans="1:18" ht="16" x14ac:dyDescent="0.2">
      <c r="A8" s="4">
        <v>42826</v>
      </c>
      <c r="B8" s="336">
        <v>4750</v>
      </c>
      <c r="C8" s="336">
        <v>6475</v>
      </c>
      <c r="D8" s="336"/>
      <c r="E8" s="336">
        <v>6475</v>
      </c>
      <c r="F8" s="336"/>
      <c r="G8" s="336">
        <v>1850</v>
      </c>
      <c r="H8" s="336">
        <v>1200</v>
      </c>
      <c r="I8" s="336">
        <v>2625</v>
      </c>
      <c r="J8" s="336">
        <v>975</v>
      </c>
      <c r="K8" s="336"/>
      <c r="L8" s="336">
        <f t="shared" si="0"/>
        <v>975</v>
      </c>
      <c r="M8" s="336">
        <v>25</v>
      </c>
      <c r="N8" s="336"/>
      <c r="O8" s="336">
        <v>950</v>
      </c>
      <c r="P8" s="336">
        <v>950</v>
      </c>
      <c r="Q8" s="336">
        <v>18850</v>
      </c>
      <c r="R8" s="7"/>
    </row>
    <row r="9" spans="1:18" ht="16" x14ac:dyDescent="0.2">
      <c r="A9" s="4">
        <v>42856</v>
      </c>
      <c r="B9" s="336">
        <v>7225</v>
      </c>
      <c r="C9" s="336">
        <v>6250</v>
      </c>
      <c r="D9" s="336"/>
      <c r="E9" s="336">
        <v>6250</v>
      </c>
      <c r="F9" s="336"/>
      <c r="G9" s="336">
        <v>1575</v>
      </c>
      <c r="H9" s="336">
        <v>850</v>
      </c>
      <c r="I9" s="336">
        <v>2675</v>
      </c>
      <c r="J9" s="336">
        <v>750</v>
      </c>
      <c r="K9" s="336"/>
      <c r="L9" s="336">
        <f t="shared" si="0"/>
        <v>750</v>
      </c>
      <c r="M9" s="336">
        <v>175</v>
      </c>
      <c r="N9" s="336"/>
      <c r="O9" s="336">
        <v>775</v>
      </c>
      <c r="P9" s="336">
        <v>775</v>
      </c>
      <c r="Q9" s="336">
        <v>20275</v>
      </c>
      <c r="R9" s="7"/>
    </row>
    <row r="10" spans="1:18" ht="16" x14ac:dyDescent="0.2">
      <c r="A10" s="4">
        <v>42887</v>
      </c>
      <c r="B10" s="336">
        <v>8300</v>
      </c>
      <c r="C10" s="336">
        <v>6200</v>
      </c>
      <c r="D10" s="336"/>
      <c r="E10" s="336">
        <v>6200</v>
      </c>
      <c r="F10" s="336"/>
      <c r="G10" s="336">
        <v>1375</v>
      </c>
      <c r="H10" s="336">
        <v>925</v>
      </c>
      <c r="I10" s="336">
        <v>2250</v>
      </c>
      <c r="J10" s="336">
        <v>300</v>
      </c>
      <c r="K10" s="336"/>
      <c r="L10" s="336">
        <f t="shared" si="0"/>
        <v>300</v>
      </c>
      <c r="M10" s="336">
        <v>950</v>
      </c>
      <c r="N10" s="336"/>
      <c r="O10" s="336">
        <v>725</v>
      </c>
      <c r="P10" s="336">
        <v>725</v>
      </c>
      <c r="Q10" s="336">
        <v>21025</v>
      </c>
      <c r="R10" s="7"/>
    </row>
    <row r="11" spans="1:18" ht="16" x14ac:dyDescent="0.2">
      <c r="A11" s="4">
        <v>42917</v>
      </c>
      <c r="B11" s="336">
        <v>0</v>
      </c>
      <c r="C11" s="336">
        <v>6425</v>
      </c>
      <c r="D11" s="336"/>
      <c r="E11" s="336">
        <v>6425</v>
      </c>
      <c r="F11" s="336"/>
      <c r="G11" s="336">
        <v>1625</v>
      </c>
      <c r="H11" s="336">
        <v>0</v>
      </c>
      <c r="I11" s="336">
        <v>2500</v>
      </c>
      <c r="J11" s="336">
        <v>200</v>
      </c>
      <c r="K11" s="336"/>
      <c r="L11" s="336">
        <f t="shared" si="0"/>
        <v>200</v>
      </c>
      <c r="M11" s="336">
        <v>1750</v>
      </c>
      <c r="N11" s="336"/>
      <c r="O11" s="336">
        <v>775</v>
      </c>
      <c r="P11" s="336">
        <v>775</v>
      </c>
      <c r="Q11" s="336">
        <v>13275</v>
      </c>
      <c r="R11" s="7"/>
    </row>
    <row r="12" spans="1:18" ht="16" x14ac:dyDescent="0.2">
      <c r="A12" s="4">
        <v>42948</v>
      </c>
      <c r="B12" s="336">
        <v>0</v>
      </c>
      <c r="C12" s="336">
        <v>7525</v>
      </c>
      <c r="D12" s="336"/>
      <c r="E12" s="336">
        <v>7525</v>
      </c>
      <c r="F12" s="336"/>
      <c r="G12" s="336">
        <v>1950</v>
      </c>
      <c r="H12" s="336">
        <v>0</v>
      </c>
      <c r="I12" s="336">
        <v>2600</v>
      </c>
      <c r="J12" s="336">
        <v>25</v>
      </c>
      <c r="K12" s="336"/>
      <c r="L12" s="336">
        <f t="shared" si="0"/>
        <v>25</v>
      </c>
      <c r="M12" s="336">
        <v>2450</v>
      </c>
      <c r="N12" s="336"/>
      <c r="O12" s="336">
        <v>975</v>
      </c>
      <c r="P12" s="336">
        <v>975</v>
      </c>
      <c r="Q12" s="336">
        <v>15525</v>
      </c>
      <c r="R12" s="7"/>
    </row>
    <row r="13" spans="1:18" ht="16" x14ac:dyDescent="0.2">
      <c r="A13" s="4">
        <v>42979</v>
      </c>
      <c r="B13" s="336">
        <v>0</v>
      </c>
      <c r="C13" s="336">
        <v>12775</v>
      </c>
      <c r="D13" s="336"/>
      <c r="E13" s="336">
        <v>12775</v>
      </c>
      <c r="F13" s="336"/>
      <c r="G13" s="336">
        <v>3975</v>
      </c>
      <c r="H13" s="336">
        <v>0</v>
      </c>
      <c r="I13" s="336">
        <v>3650</v>
      </c>
      <c r="J13" s="336">
        <v>950</v>
      </c>
      <c r="K13" s="336"/>
      <c r="L13" s="336">
        <f t="shared" si="0"/>
        <v>950</v>
      </c>
      <c r="M13" s="336">
        <v>2825</v>
      </c>
      <c r="N13" s="336"/>
      <c r="O13" s="336">
        <v>875</v>
      </c>
      <c r="P13" s="336">
        <v>875</v>
      </c>
      <c r="Q13" s="336">
        <v>25050</v>
      </c>
      <c r="R13" s="7"/>
    </row>
    <row r="14" spans="1:18" ht="16" x14ac:dyDescent="0.2">
      <c r="A14" s="4">
        <v>43009</v>
      </c>
      <c r="B14" s="336">
        <v>0</v>
      </c>
      <c r="C14" s="336">
        <v>13875</v>
      </c>
      <c r="D14" s="336"/>
      <c r="E14" s="336">
        <v>13875</v>
      </c>
      <c r="F14" s="336"/>
      <c r="G14" s="336">
        <v>3825</v>
      </c>
      <c r="H14" s="336">
        <v>0</v>
      </c>
      <c r="I14" s="336">
        <v>3000</v>
      </c>
      <c r="J14" s="336">
        <v>675</v>
      </c>
      <c r="K14" s="336"/>
      <c r="L14" s="336">
        <f t="shared" si="0"/>
        <v>675</v>
      </c>
      <c r="M14" s="336">
        <v>3025</v>
      </c>
      <c r="N14" s="336"/>
      <c r="O14" s="336">
        <v>775</v>
      </c>
      <c r="P14" s="336">
        <v>775</v>
      </c>
      <c r="Q14" s="336">
        <v>25175</v>
      </c>
      <c r="R14" s="7"/>
    </row>
    <row r="15" spans="1:18" ht="16" x14ac:dyDescent="0.2">
      <c r="A15" s="4">
        <v>43040</v>
      </c>
      <c r="B15" s="336">
        <v>0</v>
      </c>
      <c r="C15" s="336">
        <v>16550</v>
      </c>
      <c r="D15" s="336"/>
      <c r="E15" s="336">
        <v>16550</v>
      </c>
      <c r="F15" s="336"/>
      <c r="G15" s="336">
        <v>4600</v>
      </c>
      <c r="H15" s="336">
        <v>675</v>
      </c>
      <c r="I15" s="336">
        <v>3300</v>
      </c>
      <c r="J15" s="336">
        <v>875</v>
      </c>
      <c r="K15" s="336"/>
      <c r="L15" s="336">
        <f t="shared" si="0"/>
        <v>875</v>
      </c>
      <c r="M15" s="336">
        <v>3900</v>
      </c>
      <c r="N15" s="336"/>
      <c r="O15" s="336">
        <v>200</v>
      </c>
      <c r="P15" s="336">
        <v>200</v>
      </c>
      <c r="Q15" s="336">
        <v>30100</v>
      </c>
      <c r="R15" s="7"/>
    </row>
    <row r="16" spans="1:18" ht="16" x14ac:dyDescent="0.2">
      <c r="A16" s="4">
        <v>43070</v>
      </c>
      <c r="B16" s="336">
        <v>0</v>
      </c>
      <c r="C16" s="336">
        <v>17675</v>
      </c>
      <c r="D16" s="336"/>
      <c r="E16" s="336">
        <v>17675</v>
      </c>
      <c r="F16" s="336"/>
      <c r="G16" s="336">
        <v>3400</v>
      </c>
      <c r="H16" s="336">
        <v>675</v>
      </c>
      <c r="I16" s="336">
        <v>2500</v>
      </c>
      <c r="J16" s="336">
        <v>675</v>
      </c>
      <c r="K16" s="336"/>
      <c r="L16" s="336">
        <f t="shared" si="0"/>
        <v>675</v>
      </c>
      <c r="M16" s="336">
        <v>4525</v>
      </c>
      <c r="N16" s="336"/>
      <c r="O16" s="336">
        <v>750</v>
      </c>
      <c r="P16" s="336">
        <v>750</v>
      </c>
      <c r="Q16" s="336">
        <v>30200</v>
      </c>
      <c r="R16" s="7"/>
    </row>
    <row r="17" spans="1:18" ht="16" x14ac:dyDescent="0.2">
      <c r="A17" s="4">
        <v>43101</v>
      </c>
      <c r="B17" s="336">
        <v>2825</v>
      </c>
      <c r="C17" s="336">
        <v>15750</v>
      </c>
      <c r="D17" s="336"/>
      <c r="E17" s="336">
        <v>15750</v>
      </c>
      <c r="F17" s="336"/>
      <c r="G17" s="336">
        <v>1975</v>
      </c>
      <c r="H17" s="336">
        <v>1200</v>
      </c>
      <c r="I17" s="336">
        <v>2075</v>
      </c>
      <c r="J17" s="336">
        <v>875</v>
      </c>
      <c r="K17" s="336"/>
      <c r="L17" s="336">
        <f t="shared" si="0"/>
        <v>875</v>
      </c>
      <c r="M17" s="336">
        <v>2450</v>
      </c>
      <c r="N17" s="336"/>
      <c r="O17" s="336">
        <v>825</v>
      </c>
      <c r="P17" s="336">
        <v>825</v>
      </c>
      <c r="Q17" s="336">
        <v>27975</v>
      </c>
      <c r="R17" s="7"/>
    </row>
    <row r="18" spans="1:18" ht="16" x14ac:dyDescent="0.2">
      <c r="A18" s="4">
        <v>43132</v>
      </c>
      <c r="B18" s="336">
        <v>6300</v>
      </c>
      <c r="C18" s="336">
        <v>7950</v>
      </c>
      <c r="D18" s="336"/>
      <c r="E18" s="336">
        <v>7950</v>
      </c>
      <c r="F18" s="336"/>
      <c r="G18" s="336">
        <v>1900</v>
      </c>
      <c r="H18" s="336">
        <v>625</v>
      </c>
      <c r="I18" s="336">
        <v>1700</v>
      </c>
      <c r="J18" s="336">
        <v>525</v>
      </c>
      <c r="K18" s="336"/>
      <c r="L18" s="336">
        <f t="shared" si="0"/>
        <v>525</v>
      </c>
      <c r="M18" s="336">
        <v>2125</v>
      </c>
      <c r="N18" s="336"/>
      <c r="O18" s="336">
        <v>700</v>
      </c>
      <c r="P18" s="336">
        <v>700</v>
      </c>
      <c r="Q18" s="336">
        <v>21825</v>
      </c>
      <c r="R18" s="7"/>
    </row>
    <row r="19" spans="1:18" ht="16" x14ac:dyDescent="0.2">
      <c r="A19" s="4">
        <v>43160</v>
      </c>
      <c r="B19" s="336">
        <v>6100</v>
      </c>
      <c r="C19" s="336">
        <v>9275</v>
      </c>
      <c r="D19" s="336"/>
      <c r="E19" s="336">
        <v>9275</v>
      </c>
      <c r="F19" s="336"/>
      <c r="G19" s="336">
        <v>2150</v>
      </c>
      <c r="H19" s="336">
        <v>875</v>
      </c>
      <c r="I19" s="336">
        <v>2550</v>
      </c>
      <c r="J19" s="336">
        <v>900</v>
      </c>
      <c r="K19" s="336"/>
      <c r="L19" s="336">
        <f t="shared" si="0"/>
        <v>900</v>
      </c>
      <c r="M19" s="336">
        <v>2725</v>
      </c>
      <c r="N19" s="336"/>
      <c r="O19" s="336">
        <v>725</v>
      </c>
      <c r="P19" s="336">
        <v>725</v>
      </c>
      <c r="Q19" s="336">
        <v>25300</v>
      </c>
      <c r="R19" s="7"/>
    </row>
    <row r="20" spans="1:18" ht="16" x14ac:dyDescent="0.2">
      <c r="A20" s="4">
        <v>43191</v>
      </c>
      <c r="B20" s="336">
        <v>4950</v>
      </c>
      <c r="C20" s="336">
        <v>10850</v>
      </c>
      <c r="D20" s="336"/>
      <c r="E20" s="336">
        <v>10850</v>
      </c>
      <c r="F20" s="336"/>
      <c r="G20" s="336">
        <v>1875</v>
      </c>
      <c r="H20" s="336">
        <v>900</v>
      </c>
      <c r="I20" s="336">
        <v>2525</v>
      </c>
      <c r="J20" s="336">
        <v>900</v>
      </c>
      <c r="K20" s="336"/>
      <c r="L20" s="336">
        <f t="shared" si="0"/>
        <v>900</v>
      </c>
      <c r="M20" s="336">
        <v>2475</v>
      </c>
      <c r="N20" s="336"/>
      <c r="O20" s="336">
        <v>750</v>
      </c>
      <c r="P20" s="336">
        <v>750</v>
      </c>
      <c r="Q20" s="336">
        <v>25225</v>
      </c>
      <c r="R20" s="7"/>
    </row>
    <row r="21" spans="1:18" ht="16" x14ac:dyDescent="0.2">
      <c r="A21" s="4">
        <v>43221</v>
      </c>
      <c r="B21" s="336">
        <v>5850</v>
      </c>
      <c r="C21" s="336">
        <v>18650</v>
      </c>
      <c r="D21" s="336"/>
      <c r="E21" s="336">
        <v>18650</v>
      </c>
      <c r="F21" s="336"/>
      <c r="G21" s="336">
        <v>1350</v>
      </c>
      <c r="H21" s="336">
        <v>1625</v>
      </c>
      <c r="I21" s="336">
        <v>3000</v>
      </c>
      <c r="J21" s="336">
        <v>1025</v>
      </c>
      <c r="K21" s="336"/>
      <c r="L21" s="336">
        <f t="shared" si="0"/>
        <v>1025</v>
      </c>
      <c r="M21" s="336">
        <v>4875</v>
      </c>
      <c r="N21" s="336"/>
      <c r="O21" s="336">
        <v>825</v>
      </c>
      <c r="P21" s="336">
        <v>825</v>
      </c>
      <c r="Q21" s="336">
        <v>37200</v>
      </c>
      <c r="R21" s="7"/>
    </row>
    <row r="22" spans="1:18" ht="16" x14ac:dyDescent="0.2">
      <c r="A22" s="4">
        <v>43252</v>
      </c>
      <c r="B22" s="336">
        <v>6150</v>
      </c>
      <c r="C22" s="336">
        <v>13025</v>
      </c>
      <c r="D22" s="336"/>
      <c r="E22" s="336">
        <v>13025</v>
      </c>
      <c r="F22" s="336"/>
      <c r="G22" s="336">
        <v>0</v>
      </c>
      <c r="H22" s="336">
        <v>725</v>
      </c>
      <c r="I22" s="336">
        <v>1725</v>
      </c>
      <c r="J22" s="336">
        <v>725</v>
      </c>
      <c r="K22" s="336"/>
      <c r="L22" s="336">
        <f t="shared" si="0"/>
        <v>725</v>
      </c>
      <c r="M22" s="336">
        <v>4775</v>
      </c>
      <c r="N22" s="336"/>
      <c r="O22" s="336">
        <v>775</v>
      </c>
      <c r="P22" s="336">
        <v>775</v>
      </c>
      <c r="Q22" s="336">
        <v>27900</v>
      </c>
      <c r="R22" s="7"/>
    </row>
    <row r="23" spans="1:18" ht="16" x14ac:dyDescent="0.2">
      <c r="A23" s="4">
        <v>43282</v>
      </c>
      <c r="B23" s="337">
        <v>6675</v>
      </c>
      <c r="C23" s="337">
        <v>11525</v>
      </c>
      <c r="D23" s="337"/>
      <c r="E23" s="336">
        <v>11525</v>
      </c>
      <c r="F23" s="337"/>
      <c r="G23" s="337">
        <v>0</v>
      </c>
      <c r="H23" s="337">
        <v>825</v>
      </c>
      <c r="I23" s="337">
        <v>100</v>
      </c>
      <c r="J23" s="337">
        <v>800</v>
      </c>
      <c r="K23" s="337"/>
      <c r="L23" s="336">
        <f t="shared" si="0"/>
        <v>800</v>
      </c>
      <c r="M23" s="337">
        <v>4900</v>
      </c>
      <c r="N23" s="337"/>
      <c r="O23" s="337">
        <v>850</v>
      </c>
      <c r="P23" s="336">
        <v>850</v>
      </c>
      <c r="Q23" s="336">
        <v>25675</v>
      </c>
      <c r="R23" s="7"/>
    </row>
    <row r="24" spans="1:18" ht="16" x14ac:dyDescent="0.2">
      <c r="A24" s="4">
        <v>43313</v>
      </c>
      <c r="B24" s="337">
        <v>4449</v>
      </c>
      <c r="C24" s="337">
        <v>8041.3</v>
      </c>
      <c r="D24" s="337"/>
      <c r="E24" s="336">
        <v>8041.3</v>
      </c>
      <c r="F24" s="337">
        <v>106</v>
      </c>
      <c r="G24" s="337">
        <v>0</v>
      </c>
      <c r="H24" s="337">
        <v>402.3</v>
      </c>
      <c r="I24" s="337">
        <v>596.5</v>
      </c>
      <c r="J24" s="337">
        <v>1049.5</v>
      </c>
      <c r="K24" s="337">
        <v>79.5</v>
      </c>
      <c r="L24" s="336">
        <f t="shared" si="0"/>
        <v>1129</v>
      </c>
      <c r="M24" s="337">
        <v>698</v>
      </c>
      <c r="N24" s="337">
        <v>410</v>
      </c>
      <c r="O24" s="337">
        <v>801.8</v>
      </c>
      <c r="P24" s="336">
        <v>1211.8</v>
      </c>
      <c r="Q24" s="336">
        <v>16633.900000000001</v>
      </c>
      <c r="R24" s="7"/>
    </row>
    <row r="25" spans="1:18" ht="16" x14ac:dyDescent="0.2">
      <c r="A25" s="4">
        <v>43344</v>
      </c>
      <c r="B25" s="337">
        <v>4678</v>
      </c>
      <c r="C25" s="337">
        <v>7819.5</v>
      </c>
      <c r="D25" s="337"/>
      <c r="E25" s="336">
        <v>7819.5</v>
      </c>
      <c r="F25" s="337">
        <v>92</v>
      </c>
      <c r="G25" s="337">
        <v>0</v>
      </c>
      <c r="H25" s="337">
        <v>623</v>
      </c>
      <c r="I25" s="337">
        <v>1688.05</v>
      </c>
      <c r="J25" s="337">
        <v>542</v>
      </c>
      <c r="K25" s="337">
        <v>427</v>
      </c>
      <c r="L25" s="336">
        <f t="shared" si="0"/>
        <v>969</v>
      </c>
      <c r="M25" s="337">
        <v>1428.5</v>
      </c>
      <c r="N25" s="337">
        <v>464</v>
      </c>
      <c r="O25" s="337">
        <v>432</v>
      </c>
      <c r="P25" s="336">
        <v>896</v>
      </c>
      <c r="Q25" s="336">
        <v>18194.05</v>
      </c>
      <c r="R25" s="7"/>
    </row>
    <row r="26" spans="1:18" ht="16" x14ac:dyDescent="0.2">
      <c r="A26" s="4">
        <v>43374</v>
      </c>
      <c r="B26" s="337">
        <v>7165.5</v>
      </c>
      <c r="C26" s="337">
        <v>10113</v>
      </c>
      <c r="D26" s="337"/>
      <c r="E26" s="336">
        <v>10113</v>
      </c>
      <c r="F26" s="337">
        <v>147.5</v>
      </c>
      <c r="G26" s="337">
        <v>61.5</v>
      </c>
      <c r="H26" s="337">
        <v>993.5</v>
      </c>
      <c r="I26" s="337">
        <v>3076.5</v>
      </c>
      <c r="J26" s="337">
        <v>518.5</v>
      </c>
      <c r="K26" s="337">
        <v>866.5</v>
      </c>
      <c r="L26" s="336">
        <f t="shared" si="0"/>
        <v>1385</v>
      </c>
      <c r="M26" s="337">
        <v>1943</v>
      </c>
      <c r="N26" s="337">
        <v>771</v>
      </c>
      <c r="O26" s="337">
        <v>401.5</v>
      </c>
      <c r="P26" s="336">
        <v>1172.5</v>
      </c>
      <c r="Q26" s="336">
        <v>26058</v>
      </c>
      <c r="R26" s="7"/>
    </row>
    <row r="27" spans="1:18" ht="16" x14ac:dyDescent="0.2">
      <c r="A27" s="4">
        <v>43405</v>
      </c>
      <c r="B27" s="337">
        <v>9863.5</v>
      </c>
      <c r="C27" s="337">
        <v>10139</v>
      </c>
      <c r="D27" s="337"/>
      <c r="E27" s="336">
        <v>10139</v>
      </c>
      <c r="F27" s="337">
        <v>311</v>
      </c>
      <c r="G27" s="337">
        <v>757</v>
      </c>
      <c r="H27" s="337">
        <v>737</v>
      </c>
      <c r="I27" s="337">
        <v>3278</v>
      </c>
      <c r="J27" s="337">
        <v>148</v>
      </c>
      <c r="K27" s="337">
        <v>744</v>
      </c>
      <c r="L27" s="336">
        <f t="shared" si="0"/>
        <v>892</v>
      </c>
      <c r="M27" s="337">
        <v>1859</v>
      </c>
      <c r="N27" s="337">
        <v>701</v>
      </c>
      <c r="O27" s="337">
        <v>355</v>
      </c>
      <c r="P27" s="336">
        <v>1056</v>
      </c>
      <c r="Q27" s="336">
        <v>28892.5</v>
      </c>
      <c r="R27" s="7"/>
    </row>
    <row r="28" spans="1:18" ht="16" x14ac:dyDescent="0.2">
      <c r="A28" s="4">
        <v>43435</v>
      </c>
      <c r="B28" s="337">
        <v>6931</v>
      </c>
      <c r="C28" s="337">
        <v>7915</v>
      </c>
      <c r="D28" s="337"/>
      <c r="E28" s="336">
        <v>7915</v>
      </c>
      <c r="F28" s="337">
        <v>328.5</v>
      </c>
      <c r="G28" s="337">
        <v>877</v>
      </c>
      <c r="H28" s="337">
        <v>794.5</v>
      </c>
      <c r="I28" s="337">
        <v>2441</v>
      </c>
      <c r="J28" s="337">
        <v>384.5</v>
      </c>
      <c r="K28" s="337">
        <v>628.5</v>
      </c>
      <c r="L28" s="336">
        <f t="shared" si="0"/>
        <v>1013</v>
      </c>
      <c r="M28" s="337">
        <v>2771</v>
      </c>
      <c r="N28" s="337">
        <v>873</v>
      </c>
      <c r="O28" s="337">
        <v>590.5</v>
      </c>
      <c r="P28" s="336">
        <v>1463.5</v>
      </c>
      <c r="Q28" s="336">
        <v>24534.5</v>
      </c>
      <c r="R28" s="7"/>
    </row>
    <row r="29" spans="1:18" ht="16" x14ac:dyDescent="0.2">
      <c r="A29" s="4">
        <v>43466</v>
      </c>
      <c r="B29" s="337">
        <v>6138</v>
      </c>
      <c r="C29" s="337">
        <v>6203</v>
      </c>
      <c r="D29" s="337"/>
      <c r="E29" s="336">
        <v>6203</v>
      </c>
      <c r="F29" s="337">
        <v>519</v>
      </c>
      <c r="G29" s="337">
        <v>642</v>
      </c>
      <c r="H29" s="337">
        <v>702</v>
      </c>
      <c r="I29" s="337">
        <v>2362.5</v>
      </c>
      <c r="J29" s="337">
        <v>538.5</v>
      </c>
      <c r="K29" s="337">
        <v>464</v>
      </c>
      <c r="L29" s="336">
        <f t="shared" si="0"/>
        <v>1002.5</v>
      </c>
      <c r="M29" s="337">
        <v>2805</v>
      </c>
      <c r="N29" s="337">
        <v>722.5</v>
      </c>
      <c r="O29" s="337">
        <v>661</v>
      </c>
      <c r="P29" s="336">
        <v>1383.5</v>
      </c>
      <c r="Q29" s="336">
        <v>21757.5</v>
      </c>
      <c r="R29" s="7"/>
    </row>
    <row r="30" spans="1:18" ht="16" x14ac:dyDescent="0.2">
      <c r="A30" s="4">
        <v>43497</v>
      </c>
      <c r="B30" s="337">
        <v>8182.5</v>
      </c>
      <c r="C30" s="337">
        <v>7480</v>
      </c>
      <c r="D30" s="337"/>
      <c r="E30" s="336">
        <v>7480</v>
      </c>
      <c r="F30" s="337">
        <v>436</v>
      </c>
      <c r="G30" s="337">
        <v>550</v>
      </c>
      <c r="H30" s="337">
        <v>788</v>
      </c>
      <c r="I30" s="337">
        <v>2829</v>
      </c>
      <c r="J30" s="337">
        <v>573</v>
      </c>
      <c r="K30" s="337">
        <v>391</v>
      </c>
      <c r="L30" s="336">
        <f t="shared" si="0"/>
        <v>964</v>
      </c>
      <c r="M30" s="337">
        <v>2159.5</v>
      </c>
      <c r="N30" s="337">
        <v>572.5</v>
      </c>
      <c r="O30" s="337">
        <v>623</v>
      </c>
      <c r="P30" s="336">
        <v>1195.5</v>
      </c>
      <c r="Q30" s="336">
        <v>24584.5</v>
      </c>
      <c r="R30" s="7"/>
    </row>
    <row r="31" spans="1:18" ht="16" x14ac:dyDescent="0.2">
      <c r="A31" s="4">
        <v>43525</v>
      </c>
      <c r="B31" s="337">
        <v>10408</v>
      </c>
      <c r="C31" s="337">
        <v>8673.5</v>
      </c>
      <c r="D31" s="337"/>
      <c r="E31" s="336">
        <v>8673.5</v>
      </c>
      <c r="F31" s="337">
        <v>810</v>
      </c>
      <c r="G31" s="337">
        <v>797.5</v>
      </c>
      <c r="H31" s="337">
        <v>818.5</v>
      </c>
      <c r="I31" s="337">
        <v>3365.5</v>
      </c>
      <c r="J31" s="337">
        <v>1174</v>
      </c>
      <c r="K31" s="337">
        <v>720.5</v>
      </c>
      <c r="L31" s="336">
        <f t="shared" si="0"/>
        <v>1894.5</v>
      </c>
      <c r="M31" s="337">
        <v>2328.5</v>
      </c>
      <c r="N31" s="337">
        <v>1050</v>
      </c>
      <c r="O31" s="337">
        <v>784.5</v>
      </c>
      <c r="P31" s="336">
        <v>1834.5</v>
      </c>
      <c r="Q31" s="336">
        <v>30930.5</v>
      </c>
      <c r="R31" s="7"/>
    </row>
    <row r="32" spans="1:18" ht="16" x14ac:dyDescent="0.2">
      <c r="A32" s="4">
        <v>43556</v>
      </c>
      <c r="B32" s="337">
        <v>9209.5</v>
      </c>
      <c r="C32" s="337">
        <v>11363</v>
      </c>
      <c r="D32" s="337"/>
      <c r="E32" s="336">
        <v>11363</v>
      </c>
      <c r="F32" s="337">
        <v>329</v>
      </c>
      <c r="G32" s="337">
        <v>864</v>
      </c>
      <c r="H32" s="337">
        <v>815.5</v>
      </c>
      <c r="I32" s="337">
        <v>3463</v>
      </c>
      <c r="J32" s="337">
        <v>1044.5</v>
      </c>
      <c r="K32" s="337">
        <v>470.5</v>
      </c>
      <c r="L32" s="336">
        <f t="shared" si="0"/>
        <v>1515</v>
      </c>
      <c r="M32" s="337">
        <v>2543</v>
      </c>
      <c r="N32" s="337">
        <v>1346.5</v>
      </c>
      <c r="O32" s="337">
        <v>1086</v>
      </c>
      <c r="P32" s="336">
        <v>2432.5</v>
      </c>
      <c r="Q32" s="336">
        <v>32534.5</v>
      </c>
      <c r="R32" s="7"/>
    </row>
    <row r="33" spans="1:18" ht="16" x14ac:dyDescent="0.2">
      <c r="A33" s="4">
        <v>43586</v>
      </c>
      <c r="B33" s="337">
        <v>11016.5</v>
      </c>
      <c r="C33" s="337">
        <v>9187</v>
      </c>
      <c r="D33" s="337"/>
      <c r="E33" s="336">
        <v>9187</v>
      </c>
      <c r="F33" s="337">
        <v>0</v>
      </c>
      <c r="G33" s="337">
        <v>552.5</v>
      </c>
      <c r="H33" s="337">
        <v>919</v>
      </c>
      <c r="I33" s="337">
        <v>3833</v>
      </c>
      <c r="J33" s="337">
        <v>1153.5</v>
      </c>
      <c r="K33" s="337">
        <v>177</v>
      </c>
      <c r="L33" s="336">
        <f t="shared" si="0"/>
        <v>1330.5</v>
      </c>
      <c r="M33" s="337">
        <v>2498</v>
      </c>
      <c r="N33" s="337">
        <v>1177</v>
      </c>
      <c r="O33" s="337">
        <v>1150.5</v>
      </c>
      <c r="P33" s="336">
        <v>2327.5</v>
      </c>
      <c r="Q33" s="336">
        <v>31664</v>
      </c>
      <c r="R33" s="7"/>
    </row>
    <row r="34" spans="1:18" ht="16" x14ac:dyDescent="0.2">
      <c r="A34" s="4">
        <v>43617</v>
      </c>
      <c r="B34" s="337">
        <v>10993.5</v>
      </c>
      <c r="C34" s="337">
        <v>2631</v>
      </c>
      <c r="D34" s="337"/>
      <c r="E34" s="336">
        <v>2631</v>
      </c>
      <c r="F34" s="337">
        <v>155.5</v>
      </c>
      <c r="G34" s="337">
        <v>1099</v>
      </c>
      <c r="H34" s="337">
        <v>0</v>
      </c>
      <c r="I34" s="337">
        <v>3305.5</v>
      </c>
      <c r="J34" s="337">
        <v>650</v>
      </c>
      <c r="K34" s="337">
        <v>201.5</v>
      </c>
      <c r="L34" s="336">
        <f t="shared" si="0"/>
        <v>851.5</v>
      </c>
      <c r="M34" s="337">
        <v>2776.5</v>
      </c>
      <c r="N34" s="337">
        <v>522.5</v>
      </c>
      <c r="O34" s="337">
        <v>827.5</v>
      </c>
      <c r="P34" s="336">
        <v>1350</v>
      </c>
      <c r="Q34" s="336">
        <v>23162.5</v>
      </c>
      <c r="R34" s="7"/>
    </row>
    <row r="35" spans="1:18" ht="16" x14ac:dyDescent="0.2">
      <c r="A35" s="4">
        <v>43647</v>
      </c>
      <c r="B35" s="338">
        <v>10186</v>
      </c>
      <c r="C35" s="338">
        <v>1470.5</v>
      </c>
      <c r="D35" s="338"/>
      <c r="E35" s="336">
        <v>1470.5</v>
      </c>
      <c r="F35" s="338">
        <v>0</v>
      </c>
      <c r="G35" s="338">
        <v>1016</v>
      </c>
      <c r="H35" s="338">
        <v>44.5</v>
      </c>
      <c r="I35" s="338">
        <v>3162</v>
      </c>
      <c r="J35" s="338">
        <v>854</v>
      </c>
      <c r="K35" s="338">
        <v>26</v>
      </c>
      <c r="L35" s="336">
        <f t="shared" si="0"/>
        <v>880</v>
      </c>
      <c r="M35" s="338">
        <v>2117</v>
      </c>
      <c r="N35" s="338">
        <v>0</v>
      </c>
      <c r="O35" s="338">
        <v>690</v>
      </c>
      <c r="P35" s="336">
        <v>690</v>
      </c>
      <c r="Q35" s="336">
        <v>19566</v>
      </c>
      <c r="R35" s="7"/>
    </row>
    <row r="36" spans="1:18" ht="16" x14ac:dyDescent="0.2">
      <c r="A36" s="4">
        <v>43678</v>
      </c>
      <c r="B36" s="338">
        <v>10046.5</v>
      </c>
      <c r="C36" s="338">
        <v>2820.5</v>
      </c>
      <c r="D36" s="338"/>
      <c r="E36" s="336">
        <v>2820.5</v>
      </c>
      <c r="F36" s="338">
        <v>0</v>
      </c>
      <c r="G36" s="338">
        <v>1861</v>
      </c>
      <c r="H36" s="338">
        <v>0</v>
      </c>
      <c r="I36" s="338">
        <v>4044</v>
      </c>
      <c r="J36" s="338">
        <v>892.5</v>
      </c>
      <c r="K36" s="338">
        <v>115.5</v>
      </c>
      <c r="L36" s="336">
        <f t="shared" si="0"/>
        <v>1008</v>
      </c>
      <c r="M36" s="338">
        <v>3266</v>
      </c>
      <c r="N36" s="338">
        <v>570</v>
      </c>
      <c r="O36" s="338">
        <v>982</v>
      </c>
      <c r="P36" s="336">
        <v>1552</v>
      </c>
      <c r="Q36" s="336">
        <v>24598</v>
      </c>
      <c r="R36" s="7"/>
    </row>
    <row r="37" spans="1:18" ht="16" x14ac:dyDescent="0.2">
      <c r="A37" s="4">
        <v>43709</v>
      </c>
      <c r="B37" s="337">
        <v>10054.5</v>
      </c>
      <c r="C37" s="337">
        <v>12670</v>
      </c>
      <c r="D37" s="337"/>
      <c r="E37" s="336">
        <v>12670</v>
      </c>
      <c r="F37" s="337">
        <v>0</v>
      </c>
      <c r="G37" s="337">
        <v>2183</v>
      </c>
      <c r="H37" s="337">
        <v>661.5</v>
      </c>
      <c r="I37" s="337">
        <v>3391</v>
      </c>
      <c r="J37" s="337">
        <v>1247.5</v>
      </c>
      <c r="K37" s="337">
        <v>270</v>
      </c>
      <c r="L37" s="336">
        <f t="shared" si="0"/>
        <v>1517.5</v>
      </c>
      <c r="M37" s="337">
        <v>2346</v>
      </c>
      <c r="N37" s="337">
        <v>1577.5</v>
      </c>
      <c r="O37" s="337">
        <v>478.5</v>
      </c>
      <c r="P37" s="336">
        <v>2056</v>
      </c>
      <c r="Q37" s="336">
        <v>34879.5</v>
      </c>
      <c r="R37" s="7"/>
    </row>
    <row r="38" spans="1:18" ht="16" x14ac:dyDescent="0.2">
      <c r="A38" s="4">
        <v>43739</v>
      </c>
      <c r="B38" s="337">
        <v>9752</v>
      </c>
      <c r="C38" s="337">
        <v>15110</v>
      </c>
      <c r="D38" s="337"/>
      <c r="E38" s="336">
        <v>15110</v>
      </c>
      <c r="F38" s="337">
        <v>1132</v>
      </c>
      <c r="G38" s="337">
        <v>2105</v>
      </c>
      <c r="H38" s="337">
        <v>459</v>
      </c>
      <c r="I38" s="337">
        <v>3258</v>
      </c>
      <c r="J38" s="337">
        <v>742</v>
      </c>
      <c r="K38" s="337">
        <v>65</v>
      </c>
      <c r="L38" s="336">
        <f t="shared" si="0"/>
        <v>807</v>
      </c>
      <c r="M38" s="337">
        <v>3256</v>
      </c>
      <c r="N38" s="337">
        <v>1197</v>
      </c>
      <c r="O38" s="337">
        <v>648</v>
      </c>
      <c r="P38" s="336">
        <v>1845</v>
      </c>
      <c r="Q38" s="336">
        <v>37724</v>
      </c>
      <c r="R38" s="7"/>
    </row>
    <row r="39" spans="1:18" ht="16" x14ac:dyDescent="0.2">
      <c r="A39" s="4">
        <v>43770</v>
      </c>
      <c r="B39" s="337">
        <v>7072</v>
      </c>
      <c r="C39" s="337">
        <v>9635</v>
      </c>
      <c r="D39" s="337"/>
      <c r="E39" s="336">
        <v>9635</v>
      </c>
      <c r="F39" s="337">
        <v>1191</v>
      </c>
      <c r="G39" s="337">
        <v>1993.5</v>
      </c>
      <c r="H39" s="337">
        <v>727.5</v>
      </c>
      <c r="I39" s="337">
        <v>1252.5</v>
      </c>
      <c r="J39" s="337">
        <v>833.5</v>
      </c>
      <c r="K39" s="337">
        <v>200</v>
      </c>
      <c r="L39" s="336">
        <f t="shared" si="0"/>
        <v>1033.5</v>
      </c>
      <c r="M39" s="337">
        <v>2227</v>
      </c>
      <c r="N39" s="337">
        <v>1445</v>
      </c>
      <c r="O39" s="337">
        <v>688.5</v>
      </c>
      <c r="P39" s="336">
        <v>2133.5</v>
      </c>
      <c r="Q39" s="336">
        <v>27265.5</v>
      </c>
      <c r="R39" s="7"/>
    </row>
    <row r="40" spans="1:18" ht="16" x14ac:dyDescent="0.2">
      <c r="A40" s="4">
        <v>43800</v>
      </c>
      <c r="B40" s="337">
        <v>8786.5</v>
      </c>
      <c r="C40" s="337">
        <v>10543</v>
      </c>
      <c r="D40" s="337"/>
      <c r="E40" s="336">
        <v>10543</v>
      </c>
      <c r="F40" s="337">
        <v>169.5</v>
      </c>
      <c r="G40" s="337">
        <v>1681</v>
      </c>
      <c r="H40" s="337">
        <v>719.5</v>
      </c>
      <c r="I40" s="337">
        <v>0</v>
      </c>
      <c r="J40" s="337">
        <v>458</v>
      </c>
      <c r="K40" s="337">
        <v>0</v>
      </c>
      <c r="L40" s="336">
        <f t="shared" si="0"/>
        <v>458</v>
      </c>
      <c r="M40" s="337">
        <v>3077</v>
      </c>
      <c r="N40" s="337">
        <v>2081</v>
      </c>
      <c r="O40" s="337">
        <v>556</v>
      </c>
      <c r="P40" s="336">
        <v>2637</v>
      </c>
      <c r="Q40" s="336">
        <v>28071.5</v>
      </c>
      <c r="R40" s="7"/>
    </row>
    <row r="41" spans="1:18" ht="16" x14ac:dyDescent="0.2">
      <c r="A41" s="4">
        <v>43831</v>
      </c>
      <c r="B41" s="337">
        <v>7388</v>
      </c>
      <c r="C41" s="337">
        <v>9703.5</v>
      </c>
      <c r="D41" s="337"/>
      <c r="E41" s="336">
        <v>9703.5</v>
      </c>
      <c r="F41" s="337">
        <v>385</v>
      </c>
      <c r="G41" s="337">
        <v>666.5</v>
      </c>
      <c r="H41" s="337">
        <v>194.5</v>
      </c>
      <c r="I41" s="337">
        <v>2182</v>
      </c>
      <c r="J41" s="337">
        <v>178</v>
      </c>
      <c r="K41" s="337">
        <v>140.5</v>
      </c>
      <c r="L41" s="336">
        <f t="shared" si="0"/>
        <v>318.5</v>
      </c>
      <c r="M41" s="337">
        <v>2438</v>
      </c>
      <c r="N41" s="337">
        <v>331</v>
      </c>
      <c r="O41" s="337">
        <v>174.5</v>
      </c>
      <c r="P41" s="336">
        <v>505.5</v>
      </c>
      <c r="Q41" s="336">
        <v>23781.5</v>
      </c>
      <c r="R41" s="7"/>
    </row>
    <row r="42" spans="1:18" ht="16" x14ac:dyDescent="0.2">
      <c r="A42" s="4">
        <v>43862</v>
      </c>
      <c r="B42" s="337">
        <v>5697.5</v>
      </c>
      <c r="C42" s="337">
        <v>2906</v>
      </c>
      <c r="D42" s="337"/>
      <c r="E42" s="336">
        <v>2906</v>
      </c>
      <c r="F42" s="337">
        <v>379.5</v>
      </c>
      <c r="G42" s="337">
        <v>430.5</v>
      </c>
      <c r="H42" s="337">
        <v>489</v>
      </c>
      <c r="I42" s="337">
        <v>66.5</v>
      </c>
      <c r="J42" s="337">
        <v>171</v>
      </c>
      <c r="K42" s="337">
        <v>252.5</v>
      </c>
      <c r="L42" s="336">
        <f t="shared" si="0"/>
        <v>423.5</v>
      </c>
      <c r="M42" s="337">
        <v>163</v>
      </c>
      <c r="N42" s="337">
        <v>598</v>
      </c>
      <c r="O42" s="337">
        <v>480</v>
      </c>
      <c r="P42" s="336">
        <v>1078</v>
      </c>
      <c r="Q42" s="336">
        <v>11633.5</v>
      </c>
      <c r="R42" s="7"/>
    </row>
    <row r="43" spans="1:18" ht="16" x14ac:dyDescent="0.2">
      <c r="A43" s="4">
        <v>43891</v>
      </c>
      <c r="B43" s="337">
        <v>4929</v>
      </c>
      <c r="C43" s="337">
        <v>4687.5</v>
      </c>
      <c r="D43" s="337"/>
      <c r="E43" s="336">
        <v>4687.5</v>
      </c>
      <c r="F43" s="337">
        <v>704.5</v>
      </c>
      <c r="G43" s="337">
        <v>455.5</v>
      </c>
      <c r="H43" s="337">
        <v>436</v>
      </c>
      <c r="I43" s="337">
        <v>534</v>
      </c>
      <c r="J43" s="337">
        <v>597.5</v>
      </c>
      <c r="K43" s="337">
        <v>0</v>
      </c>
      <c r="L43" s="336">
        <f t="shared" si="0"/>
        <v>597.5</v>
      </c>
      <c r="M43" s="337">
        <v>239.5</v>
      </c>
      <c r="N43" s="337">
        <v>719</v>
      </c>
      <c r="O43" s="337">
        <v>480</v>
      </c>
      <c r="P43" s="336">
        <v>1199</v>
      </c>
      <c r="Q43" s="336">
        <v>13782.5</v>
      </c>
      <c r="R43" s="7"/>
    </row>
    <row r="44" spans="1:18" ht="16" x14ac:dyDescent="0.2">
      <c r="A44" s="4">
        <v>43922</v>
      </c>
      <c r="B44" s="337">
        <v>4545</v>
      </c>
      <c r="C44" s="337">
        <v>4585</v>
      </c>
      <c r="D44" s="337"/>
      <c r="E44" s="336">
        <v>4585</v>
      </c>
      <c r="F44" s="337">
        <v>570</v>
      </c>
      <c r="G44" s="337">
        <v>497</v>
      </c>
      <c r="H44" s="337">
        <v>191</v>
      </c>
      <c r="I44" s="337">
        <v>0</v>
      </c>
      <c r="J44" s="337">
        <v>290</v>
      </c>
      <c r="K44" s="337">
        <v>0</v>
      </c>
      <c r="L44" s="336">
        <f t="shared" si="0"/>
        <v>290</v>
      </c>
      <c r="M44" s="337">
        <v>0</v>
      </c>
      <c r="N44" s="337">
        <v>776</v>
      </c>
      <c r="O44" s="337">
        <v>325</v>
      </c>
      <c r="P44" s="336">
        <v>1101</v>
      </c>
      <c r="Q44" s="336">
        <v>11779</v>
      </c>
      <c r="R44" s="7"/>
    </row>
    <row r="45" spans="1:18" ht="16" x14ac:dyDescent="0.2">
      <c r="A45" s="4">
        <v>43952</v>
      </c>
      <c r="B45" s="337">
        <v>5970.5</v>
      </c>
      <c r="C45" s="337">
        <v>6634</v>
      </c>
      <c r="D45" s="337"/>
      <c r="E45" s="336">
        <v>6634</v>
      </c>
      <c r="F45" s="337">
        <v>672.5</v>
      </c>
      <c r="G45" s="337">
        <v>693.5</v>
      </c>
      <c r="H45" s="337">
        <v>378</v>
      </c>
      <c r="I45" s="337">
        <v>136.5</v>
      </c>
      <c r="J45" s="337">
        <v>377</v>
      </c>
      <c r="K45" s="337">
        <v>0</v>
      </c>
      <c r="L45" s="336">
        <f t="shared" si="0"/>
        <v>377</v>
      </c>
      <c r="M45" s="337">
        <v>0</v>
      </c>
      <c r="N45" s="337">
        <v>569.5</v>
      </c>
      <c r="O45" s="337">
        <v>333.5</v>
      </c>
      <c r="P45" s="336">
        <v>903</v>
      </c>
      <c r="Q45" s="336">
        <v>15765</v>
      </c>
      <c r="R45" s="7"/>
    </row>
    <row r="46" spans="1:18" ht="16" x14ac:dyDescent="0.2">
      <c r="A46" s="4">
        <v>43983</v>
      </c>
      <c r="B46" s="336">
        <v>6952.610878528385</v>
      </c>
      <c r="C46" s="336">
        <v>8682.2847446876003</v>
      </c>
      <c r="D46" s="336"/>
      <c r="E46" s="336">
        <v>8682.2847446876003</v>
      </c>
      <c r="F46" s="336">
        <v>1208.2591183000318</v>
      </c>
      <c r="G46" s="336">
        <v>1008.7913732952743</v>
      </c>
      <c r="H46" s="336">
        <v>679.08058991436724</v>
      </c>
      <c r="I46" s="336">
        <v>590.45965746907711</v>
      </c>
      <c r="J46" s="336">
        <v>436.1266730098319</v>
      </c>
      <c r="K46" s="336">
        <v>0</v>
      </c>
      <c r="L46" s="336">
        <f t="shared" si="0"/>
        <v>436.1266730098319</v>
      </c>
      <c r="M46" s="336">
        <v>0</v>
      </c>
      <c r="N46" s="336">
        <v>258.50567713288933</v>
      </c>
      <c r="O46" s="336">
        <v>185.8812876625436</v>
      </c>
      <c r="P46" s="336">
        <v>444.38696479543296</v>
      </c>
      <c r="Q46" s="336">
        <v>20002.000000000004</v>
      </c>
      <c r="R46" s="7"/>
    </row>
    <row r="47" spans="1:18" ht="16" x14ac:dyDescent="0.2">
      <c r="A47" s="4">
        <v>44013</v>
      </c>
      <c r="B47" s="336">
        <v>8829.4396130669193</v>
      </c>
      <c r="C47" s="336">
        <v>8887.7785601014912</v>
      </c>
      <c r="D47" s="336"/>
      <c r="E47" s="336">
        <v>8887.7785601014912</v>
      </c>
      <c r="F47" s="336">
        <v>1858.8371392324771</v>
      </c>
      <c r="G47" s="336">
        <v>1114.6662543609261</v>
      </c>
      <c r="H47" s="336">
        <v>499.92407231208369</v>
      </c>
      <c r="I47" s="336">
        <v>483.3892483349191</v>
      </c>
      <c r="J47" s="336">
        <v>739.31316206787187</v>
      </c>
      <c r="K47" s="336">
        <v>69</v>
      </c>
      <c r="L47" s="336">
        <f t="shared" si="0"/>
        <v>808.31316206787187</v>
      </c>
      <c r="M47" s="336">
        <v>890</v>
      </c>
      <c r="N47" s="336">
        <v>947.91338407865533</v>
      </c>
      <c r="O47" s="336">
        <v>488.73856644465587</v>
      </c>
      <c r="P47" s="336">
        <v>1436.6519505233111</v>
      </c>
      <c r="Q47" s="336">
        <v>24809</v>
      </c>
      <c r="R47" s="7"/>
    </row>
    <row r="48" spans="1:18" ht="16" x14ac:dyDescent="0.2">
      <c r="A48" s="4">
        <v>44044</v>
      </c>
      <c r="B48" s="336">
        <v>7495</v>
      </c>
      <c r="C48" s="336">
        <v>7263</v>
      </c>
      <c r="D48" s="336"/>
      <c r="E48" s="336">
        <v>7263</v>
      </c>
      <c r="F48" s="336">
        <v>2792</v>
      </c>
      <c r="G48" s="336">
        <v>1329</v>
      </c>
      <c r="H48" s="336">
        <v>544</v>
      </c>
      <c r="I48" s="336">
        <v>0</v>
      </c>
      <c r="J48" s="336">
        <v>205</v>
      </c>
      <c r="K48" s="336">
        <v>639</v>
      </c>
      <c r="L48" s="336">
        <f t="shared" si="0"/>
        <v>844</v>
      </c>
      <c r="M48" s="336">
        <v>939</v>
      </c>
      <c r="N48" s="336">
        <v>1200</v>
      </c>
      <c r="O48" s="336">
        <v>737</v>
      </c>
      <c r="P48" s="336">
        <v>1937</v>
      </c>
      <c r="Q48" s="336">
        <v>23143</v>
      </c>
      <c r="R48" s="7"/>
    </row>
    <row r="49" spans="1:18" ht="16" x14ac:dyDescent="0.2">
      <c r="A49" s="4">
        <v>44075</v>
      </c>
      <c r="B49" s="336">
        <v>8103</v>
      </c>
      <c r="C49" s="336">
        <v>10089</v>
      </c>
      <c r="D49" s="336"/>
      <c r="E49" s="336">
        <v>10089</v>
      </c>
      <c r="F49" s="336">
        <v>3099</v>
      </c>
      <c r="G49" s="336">
        <v>1187</v>
      </c>
      <c r="H49" s="336">
        <v>1248</v>
      </c>
      <c r="I49" s="336">
        <v>947</v>
      </c>
      <c r="J49" s="336">
        <v>586</v>
      </c>
      <c r="K49" s="336">
        <v>338</v>
      </c>
      <c r="L49" s="336">
        <f t="shared" si="0"/>
        <v>924</v>
      </c>
      <c r="M49" s="336">
        <v>1363</v>
      </c>
      <c r="N49" s="336">
        <v>917</v>
      </c>
      <c r="O49" s="336">
        <v>734</v>
      </c>
      <c r="P49" s="336">
        <v>1651</v>
      </c>
      <c r="Q49" s="336">
        <v>28611</v>
      </c>
      <c r="R49" s="7"/>
    </row>
    <row r="50" spans="1:18" ht="16" x14ac:dyDescent="0.2">
      <c r="A50" s="4">
        <v>44105</v>
      </c>
      <c r="B50" s="336">
        <v>9737</v>
      </c>
      <c r="C50" s="336">
        <v>10006</v>
      </c>
      <c r="D50" s="336"/>
      <c r="E50" s="336">
        <v>10006</v>
      </c>
      <c r="F50" s="336">
        <v>3012</v>
      </c>
      <c r="G50" s="336">
        <v>1173</v>
      </c>
      <c r="H50" s="336">
        <v>1175</v>
      </c>
      <c r="I50" s="336">
        <v>1215</v>
      </c>
      <c r="J50" s="336">
        <v>782</v>
      </c>
      <c r="K50" s="336">
        <v>40</v>
      </c>
      <c r="L50" s="336">
        <f t="shared" si="0"/>
        <v>822</v>
      </c>
      <c r="M50" s="336">
        <v>1157</v>
      </c>
      <c r="N50" s="336">
        <v>1958</v>
      </c>
      <c r="O50" s="336">
        <v>754</v>
      </c>
      <c r="P50" s="336">
        <v>2712</v>
      </c>
      <c r="Q50" s="336">
        <v>31009</v>
      </c>
      <c r="R50" s="7"/>
    </row>
    <row r="51" spans="1:18" ht="16" x14ac:dyDescent="0.2">
      <c r="A51" s="4">
        <v>44136</v>
      </c>
      <c r="B51" s="336">
        <v>10105</v>
      </c>
      <c r="C51" s="336">
        <v>10887</v>
      </c>
      <c r="D51" s="336"/>
      <c r="E51" s="336">
        <v>10887</v>
      </c>
      <c r="F51" s="336">
        <v>2985</v>
      </c>
      <c r="G51" s="336">
        <v>1480</v>
      </c>
      <c r="H51" s="336">
        <v>1564</v>
      </c>
      <c r="I51" s="336">
        <v>1514</v>
      </c>
      <c r="J51" s="336">
        <v>1480</v>
      </c>
      <c r="K51" s="336">
        <v>0</v>
      </c>
      <c r="L51" s="336">
        <f t="shared" si="0"/>
        <v>1480</v>
      </c>
      <c r="M51" s="336">
        <v>1802</v>
      </c>
      <c r="N51" s="336">
        <v>1465</v>
      </c>
      <c r="O51" s="336">
        <v>1007</v>
      </c>
      <c r="P51" s="336">
        <v>2472</v>
      </c>
      <c r="Q51" s="336">
        <v>34289</v>
      </c>
      <c r="R51" s="7"/>
    </row>
    <row r="52" spans="1:18" ht="16" x14ac:dyDescent="0.2">
      <c r="A52" s="4">
        <v>44166</v>
      </c>
      <c r="B52" s="337">
        <v>10767</v>
      </c>
      <c r="C52" s="337">
        <v>11802</v>
      </c>
      <c r="D52" s="337"/>
      <c r="E52" s="336">
        <v>11802</v>
      </c>
      <c r="F52" s="337">
        <v>3207</v>
      </c>
      <c r="G52" s="337">
        <v>1181</v>
      </c>
      <c r="H52" s="337">
        <v>1612</v>
      </c>
      <c r="I52" s="337">
        <v>415</v>
      </c>
      <c r="J52" s="337">
        <v>1224</v>
      </c>
      <c r="K52" s="337">
        <v>0</v>
      </c>
      <c r="L52" s="336">
        <f t="shared" si="0"/>
        <v>1224</v>
      </c>
      <c r="M52" s="337">
        <v>583</v>
      </c>
      <c r="N52" s="339">
        <v>1649</v>
      </c>
      <c r="O52" s="337">
        <v>920</v>
      </c>
      <c r="P52" s="336">
        <v>2569</v>
      </c>
      <c r="Q52" s="336">
        <v>33360</v>
      </c>
      <c r="R52" s="7"/>
    </row>
    <row r="53" spans="1:18" ht="16" x14ac:dyDescent="0.2">
      <c r="A53" s="4">
        <v>44197</v>
      </c>
      <c r="B53" s="337">
        <v>10921</v>
      </c>
      <c r="C53" s="338">
        <v>14669</v>
      </c>
      <c r="D53" s="337"/>
      <c r="E53" s="336">
        <v>14669</v>
      </c>
      <c r="F53" s="337">
        <v>3280</v>
      </c>
      <c r="G53" s="337">
        <v>1365</v>
      </c>
      <c r="H53" s="337">
        <v>1508</v>
      </c>
      <c r="I53" s="337">
        <v>0</v>
      </c>
      <c r="J53" s="337">
        <v>1338</v>
      </c>
      <c r="K53" s="337">
        <v>0</v>
      </c>
      <c r="L53" s="336">
        <f t="shared" si="0"/>
        <v>1338</v>
      </c>
      <c r="M53" s="340">
        <v>0</v>
      </c>
      <c r="N53" s="338">
        <v>152</v>
      </c>
      <c r="O53" s="341">
        <v>284</v>
      </c>
      <c r="P53" s="336">
        <v>436</v>
      </c>
      <c r="Q53" s="336">
        <v>33517</v>
      </c>
      <c r="R53" s="7"/>
    </row>
    <row r="54" spans="1:18" ht="16" x14ac:dyDescent="0.2">
      <c r="A54" s="4">
        <v>44228</v>
      </c>
      <c r="B54" s="336">
        <v>8722</v>
      </c>
      <c r="C54" s="336">
        <v>12242</v>
      </c>
      <c r="D54" s="336"/>
      <c r="E54" s="336">
        <v>12242</v>
      </c>
      <c r="F54" s="336">
        <v>3032</v>
      </c>
      <c r="G54" s="336">
        <v>1523</v>
      </c>
      <c r="H54" s="336">
        <v>1538</v>
      </c>
      <c r="I54" s="336">
        <v>0</v>
      </c>
      <c r="J54" s="336">
        <v>1268</v>
      </c>
      <c r="K54" s="336">
        <v>0</v>
      </c>
      <c r="L54" s="336">
        <f t="shared" si="0"/>
        <v>1268</v>
      </c>
      <c r="M54" s="336">
        <v>0</v>
      </c>
      <c r="N54" s="342">
        <v>471</v>
      </c>
      <c r="O54" s="336">
        <v>672</v>
      </c>
      <c r="P54" s="336">
        <v>1143</v>
      </c>
      <c r="Q54" s="336">
        <v>29468</v>
      </c>
      <c r="R54" s="7"/>
    </row>
    <row r="55" spans="1:18" ht="16" x14ac:dyDescent="0.2">
      <c r="A55" s="4">
        <v>44256</v>
      </c>
      <c r="B55" s="336">
        <v>10116</v>
      </c>
      <c r="C55" s="336">
        <v>14060</v>
      </c>
      <c r="D55" s="336"/>
      <c r="E55" s="336">
        <v>14060</v>
      </c>
      <c r="F55" s="336">
        <v>2985</v>
      </c>
      <c r="G55" s="336">
        <v>1571</v>
      </c>
      <c r="H55" s="336">
        <v>1700</v>
      </c>
      <c r="I55" s="336">
        <v>647</v>
      </c>
      <c r="J55" s="336">
        <v>1542</v>
      </c>
      <c r="K55" s="336">
        <v>42</v>
      </c>
      <c r="L55" s="336">
        <f t="shared" si="0"/>
        <v>1584</v>
      </c>
      <c r="M55" s="336">
        <v>120</v>
      </c>
      <c r="N55" s="336">
        <v>1367</v>
      </c>
      <c r="O55" s="336">
        <v>1297</v>
      </c>
      <c r="P55" s="336">
        <v>2664</v>
      </c>
      <c r="Q55" s="336">
        <v>35447</v>
      </c>
      <c r="R55" s="7"/>
    </row>
    <row r="56" spans="1:18" ht="16" x14ac:dyDescent="0.2">
      <c r="A56" s="4">
        <v>44287</v>
      </c>
      <c r="B56" s="336">
        <v>12627</v>
      </c>
      <c r="C56" s="336">
        <v>16149</v>
      </c>
      <c r="D56" s="336"/>
      <c r="E56" s="336">
        <v>16149</v>
      </c>
      <c r="F56" s="336">
        <v>5447</v>
      </c>
      <c r="G56" s="336">
        <v>3213</v>
      </c>
      <c r="H56" s="336">
        <v>1811</v>
      </c>
      <c r="I56" s="336">
        <v>890</v>
      </c>
      <c r="J56" s="336">
        <v>1467</v>
      </c>
      <c r="K56" s="336">
        <v>126</v>
      </c>
      <c r="L56" s="336">
        <f t="shared" si="0"/>
        <v>1593</v>
      </c>
      <c r="M56" s="336">
        <v>80</v>
      </c>
      <c r="N56" s="336">
        <v>1465</v>
      </c>
      <c r="O56" s="336">
        <v>222</v>
      </c>
      <c r="P56" s="336">
        <v>1687</v>
      </c>
      <c r="Q56" s="336">
        <v>43497</v>
      </c>
      <c r="R56" s="7"/>
    </row>
    <row r="57" spans="1:18" ht="16" x14ac:dyDescent="0.2">
      <c r="A57" s="4">
        <v>44317</v>
      </c>
      <c r="B57" s="336">
        <v>11557</v>
      </c>
      <c r="C57" s="336">
        <v>13985</v>
      </c>
      <c r="D57" s="336"/>
      <c r="E57" s="336">
        <v>13985</v>
      </c>
      <c r="F57" s="336">
        <v>4974</v>
      </c>
      <c r="G57" s="336">
        <v>2960</v>
      </c>
      <c r="H57" s="336">
        <v>1867</v>
      </c>
      <c r="I57" s="336">
        <v>1243</v>
      </c>
      <c r="J57" s="336">
        <v>1575</v>
      </c>
      <c r="K57" s="336">
        <v>0</v>
      </c>
      <c r="L57" s="336">
        <f t="shared" si="0"/>
        <v>1575</v>
      </c>
      <c r="M57" s="336">
        <v>566</v>
      </c>
      <c r="N57" s="336">
        <v>1138</v>
      </c>
      <c r="O57" s="336">
        <v>323</v>
      </c>
      <c r="P57" s="336">
        <v>1461</v>
      </c>
      <c r="Q57" s="336">
        <v>40188</v>
      </c>
      <c r="R57" s="7"/>
    </row>
    <row r="58" spans="1:18" ht="16" x14ac:dyDescent="0.2">
      <c r="A58" s="4">
        <v>44348</v>
      </c>
      <c r="B58" s="336">
        <v>9571</v>
      </c>
      <c r="C58" s="336">
        <v>11038</v>
      </c>
      <c r="D58" s="336"/>
      <c r="E58" s="336">
        <v>11038</v>
      </c>
      <c r="F58" s="336">
        <v>4383</v>
      </c>
      <c r="G58" s="336">
        <v>2001</v>
      </c>
      <c r="H58" s="336">
        <v>1774</v>
      </c>
      <c r="I58" s="336">
        <v>1457</v>
      </c>
      <c r="J58" s="336">
        <v>1542</v>
      </c>
      <c r="K58" s="336">
        <v>0</v>
      </c>
      <c r="L58" s="336">
        <f t="shared" si="0"/>
        <v>1542</v>
      </c>
      <c r="M58" s="336">
        <v>2054</v>
      </c>
      <c r="N58" s="336">
        <v>1580</v>
      </c>
      <c r="O58" s="336">
        <v>183</v>
      </c>
      <c r="P58" s="336">
        <v>1763</v>
      </c>
      <c r="Q58" s="336">
        <v>35583</v>
      </c>
      <c r="R58" s="7"/>
    </row>
    <row r="59" spans="1:18" ht="16" x14ac:dyDescent="0.2">
      <c r="A59" s="4">
        <v>44378</v>
      </c>
      <c r="B59" s="336">
        <v>9926</v>
      </c>
      <c r="C59" s="336">
        <v>12358</v>
      </c>
      <c r="D59" s="336"/>
      <c r="E59" s="336">
        <v>12358</v>
      </c>
      <c r="F59" s="336">
        <v>4424</v>
      </c>
      <c r="G59" s="336">
        <v>1477</v>
      </c>
      <c r="H59" s="336">
        <v>1523</v>
      </c>
      <c r="I59" s="336">
        <v>856</v>
      </c>
      <c r="J59" s="336">
        <v>1305</v>
      </c>
      <c r="K59" s="336">
        <v>0</v>
      </c>
      <c r="L59" s="336">
        <f t="shared" si="0"/>
        <v>1305</v>
      </c>
      <c r="M59" s="336">
        <v>1877</v>
      </c>
      <c r="N59" s="336">
        <v>1597</v>
      </c>
      <c r="O59" s="336">
        <v>1094</v>
      </c>
      <c r="P59" s="336">
        <v>2691</v>
      </c>
      <c r="Q59" s="336">
        <v>36437</v>
      </c>
      <c r="R59" s="7"/>
    </row>
    <row r="60" spans="1:18" ht="16" x14ac:dyDescent="0.2">
      <c r="A60" s="4">
        <v>44409</v>
      </c>
      <c r="B60" s="336">
        <v>10844</v>
      </c>
      <c r="C60" s="336">
        <v>9630</v>
      </c>
      <c r="D60" s="336"/>
      <c r="E60" s="336">
        <v>9630</v>
      </c>
      <c r="F60" s="336">
        <v>4518</v>
      </c>
      <c r="G60" s="336">
        <v>1308</v>
      </c>
      <c r="H60" s="336">
        <v>1272</v>
      </c>
      <c r="I60" s="336">
        <v>821</v>
      </c>
      <c r="J60" s="336">
        <v>1290</v>
      </c>
      <c r="K60" s="336">
        <v>0</v>
      </c>
      <c r="L60" s="336">
        <f t="shared" si="0"/>
        <v>1290</v>
      </c>
      <c r="M60" s="336">
        <v>1489</v>
      </c>
      <c r="N60" s="336">
        <v>1183</v>
      </c>
      <c r="O60" s="336">
        <v>1229</v>
      </c>
      <c r="P60" s="336">
        <v>2412</v>
      </c>
      <c r="Q60" s="336">
        <v>33584</v>
      </c>
      <c r="R60" s="7"/>
    </row>
    <row r="61" spans="1:18" ht="16" x14ac:dyDescent="0.2">
      <c r="A61" s="4">
        <v>44440</v>
      </c>
      <c r="B61" s="336">
        <v>10427</v>
      </c>
      <c r="C61" s="336">
        <v>12690</v>
      </c>
      <c r="D61" s="336"/>
      <c r="E61" s="336">
        <v>12690</v>
      </c>
      <c r="F61" s="336">
        <v>4807</v>
      </c>
      <c r="G61" s="336">
        <v>996</v>
      </c>
      <c r="H61" s="336">
        <v>912</v>
      </c>
      <c r="I61" s="336">
        <v>640</v>
      </c>
      <c r="J61" s="336">
        <v>1146</v>
      </c>
      <c r="K61" s="336">
        <v>121</v>
      </c>
      <c r="L61" s="336">
        <f t="shared" si="0"/>
        <v>1267</v>
      </c>
      <c r="M61" s="336">
        <v>1101</v>
      </c>
      <c r="N61" s="336">
        <v>1239</v>
      </c>
      <c r="O61" s="336">
        <v>1297</v>
      </c>
      <c r="P61" s="336">
        <v>2536</v>
      </c>
      <c r="Q61" s="336">
        <v>35376</v>
      </c>
      <c r="R61" s="7"/>
    </row>
    <row r="62" spans="1:18" ht="16" x14ac:dyDescent="0.2">
      <c r="A62" s="4">
        <v>44470</v>
      </c>
      <c r="B62" s="336">
        <v>13958</v>
      </c>
      <c r="C62" s="336">
        <v>13721</v>
      </c>
      <c r="D62" s="336">
        <v>708</v>
      </c>
      <c r="E62" s="336">
        <v>14429</v>
      </c>
      <c r="F62" s="336">
        <v>5212</v>
      </c>
      <c r="G62" s="336">
        <v>1328</v>
      </c>
      <c r="H62" s="336">
        <v>1773</v>
      </c>
      <c r="I62" s="336">
        <v>1648</v>
      </c>
      <c r="J62" s="336">
        <v>1407</v>
      </c>
      <c r="K62" s="336">
        <v>976</v>
      </c>
      <c r="L62" s="336">
        <f t="shared" si="0"/>
        <v>2383</v>
      </c>
      <c r="M62" s="336">
        <v>1707</v>
      </c>
      <c r="N62" s="336">
        <v>1651</v>
      </c>
      <c r="O62" s="336">
        <v>1311</v>
      </c>
      <c r="P62" s="336">
        <v>2962</v>
      </c>
      <c r="Q62" s="336">
        <v>45400</v>
      </c>
      <c r="R62" s="7"/>
    </row>
    <row r="63" spans="1:18" ht="16" x14ac:dyDescent="0.2">
      <c r="A63" s="4">
        <v>44501</v>
      </c>
      <c r="B63" s="336">
        <v>10607</v>
      </c>
      <c r="C63" s="336">
        <v>14354</v>
      </c>
      <c r="D63" s="336">
        <v>1740</v>
      </c>
      <c r="E63" s="336">
        <v>16094</v>
      </c>
      <c r="F63" s="336">
        <v>4468</v>
      </c>
      <c r="G63" s="336">
        <v>1566</v>
      </c>
      <c r="H63" s="336">
        <v>1457</v>
      </c>
      <c r="I63" s="336">
        <v>1563</v>
      </c>
      <c r="J63" s="336">
        <v>1156</v>
      </c>
      <c r="K63" s="336">
        <v>842</v>
      </c>
      <c r="L63" s="336">
        <f t="shared" si="0"/>
        <v>1998</v>
      </c>
      <c r="M63" s="336">
        <v>1660</v>
      </c>
      <c r="N63" s="336">
        <v>1535</v>
      </c>
      <c r="O63" s="336">
        <v>1717</v>
      </c>
      <c r="P63" s="336">
        <v>3252</v>
      </c>
      <c r="Q63" s="336">
        <v>42665</v>
      </c>
      <c r="R63" s="7"/>
    </row>
    <row r="64" spans="1:18" ht="16" x14ac:dyDescent="0.2">
      <c r="A64" s="4">
        <v>44531</v>
      </c>
      <c r="B64" s="336">
        <v>12824</v>
      </c>
      <c r="C64" s="336">
        <v>10146</v>
      </c>
      <c r="D64" s="336">
        <v>1844</v>
      </c>
      <c r="E64" s="336">
        <v>11990</v>
      </c>
      <c r="F64" s="336">
        <v>5198</v>
      </c>
      <c r="G64" s="336">
        <v>1227</v>
      </c>
      <c r="H64" s="336">
        <v>1641</v>
      </c>
      <c r="I64" s="336">
        <v>1634</v>
      </c>
      <c r="J64" s="336">
        <v>1187</v>
      </c>
      <c r="K64" s="336">
        <v>660</v>
      </c>
      <c r="L64" s="336">
        <f t="shared" si="0"/>
        <v>1847</v>
      </c>
      <c r="M64" s="336">
        <v>1949</v>
      </c>
      <c r="N64" s="336">
        <v>1298</v>
      </c>
      <c r="O64" s="336">
        <v>1730</v>
      </c>
      <c r="P64" s="336">
        <v>3028</v>
      </c>
      <c r="Q64" s="336">
        <v>41338</v>
      </c>
      <c r="R64" s="7"/>
    </row>
    <row r="65" spans="1:20" ht="16" x14ac:dyDescent="0.2">
      <c r="A65" s="4">
        <v>44562</v>
      </c>
      <c r="B65" s="336">
        <v>8566</v>
      </c>
      <c r="C65" s="336">
        <v>8810</v>
      </c>
      <c r="D65" s="336">
        <v>1919</v>
      </c>
      <c r="E65" s="336">
        <v>10729</v>
      </c>
      <c r="F65" s="336">
        <v>4794</v>
      </c>
      <c r="G65" s="336">
        <v>929</v>
      </c>
      <c r="H65" s="336">
        <v>1354</v>
      </c>
      <c r="I65" s="336">
        <v>874</v>
      </c>
      <c r="J65" s="336">
        <v>1034</v>
      </c>
      <c r="K65" s="336">
        <v>686</v>
      </c>
      <c r="L65" s="336">
        <f t="shared" si="0"/>
        <v>1720</v>
      </c>
      <c r="M65" s="336">
        <v>1449</v>
      </c>
      <c r="N65" s="336">
        <v>1243</v>
      </c>
      <c r="O65" s="336">
        <v>1413</v>
      </c>
      <c r="P65" s="336">
        <v>2656</v>
      </c>
      <c r="Q65" s="336">
        <v>33071</v>
      </c>
      <c r="R65" s="7"/>
    </row>
    <row r="66" spans="1:20" ht="16" x14ac:dyDescent="0.2">
      <c r="A66" s="4">
        <v>44593</v>
      </c>
      <c r="B66" s="336">
        <v>6686</v>
      </c>
      <c r="C66" s="336">
        <v>8256</v>
      </c>
      <c r="D66" s="336">
        <v>1206</v>
      </c>
      <c r="E66" s="336">
        <v>9462</v>
      </c>
      <c r="F66" s="336">
        <v>3189</v>
      </c>
      <c r="G66" s="336">
        <v>778</v>
      </c>
      <c r="H66" s="336">
        <v>751</v>
      </c>
      <c r="I66" s="336">
        <v>430</v>
      </c>
      <c r="J66" s="336">
        <v>952</v>
      </c>
      <c r="K66" s="336">
        <v>541</v>
      </c>
      <c r="L66" s="336">
        <f t="shared" si="0"/>
        <v>1493</v>
      </c>
      <c r="M66" s="336">
        <v>614</v>
      </c>
      <c r="N66" s="336">
        <v>715</v>
      </c>
      <c r="O66" s="336">
        <v>829</v>
      </c>
      <c r="P66" s="336">
        <v>1544</v>
      </c>
      <c r="Q66" s="336">
        <v>24947</v>
      </c>
      <c r="R66" s="7"/>
    </row>
    <row r="67" spans="1:20" ht="16" x14ac:dyDescent="0.2">
      <c r="A67" s="4">
        <v>44621</v>
      </c>
      <c r="B67" s="336">
        <v>4351</v>
      </c>
      <c r="C67" s="336">
        <v>5420</v>
      </c>
      <c r="D67" s="336">
        <v>1022</v>
      </c>
      <c r="E67" s="336">
        <v>6442</v>
      </c>
      <c r="F67" s="336">
        <v>5829</v>
      </c>
      <c r="G67" s="336">
        <v>774</v>
      </c>
      <c r="H67" s="336">
        <v>809</v>
      </c>
      <c r="I67" s="336">
        <v>579</v>
      </c>
      <c r="J67" s="336">
        <v>848</v>
      </c>
      <c r="K67" s="336">
        <v>492</v>
      </c>
      <c r="L67" s="336">
        <f t="shared" ref="L67:L82" si="1">J67+K67</f>
        <v>1340</v>
      </c>
      <c r="M67" s="336">
        <v>436</v>
      </c>
      <c r="N67" s="336">
        <v>719</v>
      </c>
      <c r="O67" s="336">
        <v>812</v>
      </c>
      <c r="P67" s="336">
        <v>1531</v>
      </c>
      <c r="Q67" s="336">
        <v>22091</v>
      </c>
      <c r="R67" s="7"/>
    </row>
    <row r="68" spans="1:20" ht="16" x14ac:dyDescent="0.2">
      <c r="A68" s="4">
        <v>44652</v>
      </c>
      <c r="B68" s="336">
        <v>6373.3</v>
      </c>
      <c r="C68" s="336">
        <v>5682</v>
      </c>
      <c r="D68" s="336">
        <v>1561</v>
      </c>
      <c r="E68" s="336">
        <v>7243</v>
      </c>
      <c r="F68" s="336">
        <v>4437.3</v>
      </c>
      <c r="G68" s="336">
        <v>965</v>
      </c>
      <c r="H68" s="336">
        <v>890</v>
      </c>
      <c r="I68" s="336">
        <v>224</v>
      </c>
      <c r="J68" s="336">
        <v>1273</v>
      </c>
      <c r="K68" s="336">
        <v>684</v>
      </c>
      <c r="L68" s="336">
        <f t="shared" si="1"/>
        <v>1957</v>
      </c>
      <c r="M68" s="336">
        <v>220</v>
      </c>
      <c r="N68" s="336">
        <v>1151</v>
      </c>
      <c r="O68" s="336">
        <v>1126</v>
      </c>
      <c r="P68" s="336">
        <v>2277</v>
      </c>
      <c r="Q68" s="336">
        <v>24586.6</v>
      </c>
      <c r="R68" s="7"/>
    </row>
    <row r="69" spans="1:20" ht="16" x14ac:dyDescent="0.2">
      <c r="A69" s="4">
        <v>44682</v>
      </c>
      <c r="B69" s="336">
        <v>6973</v>
      </c>
      <c r="C69" s="336">
        <v>7170</v>
      </c>
      <c r="D69" s="336">
        <v>1769</v>
      </c>
      <c r="E69" s="336">
        <v>8939</v>
      </c>
      <c r="F69" s="336">
        <v>4356</v>
      </c>
      <c r="G69" s="336">
        <v>1248</v>
      </c>
      <c r="H69" s="336">
        <v>1170</v>
      </c>
      <c r="I69" s="336">
        <v>476</v>
      </c>
      <c r="J69" s="336">
        <v>1026</v>
      </c>
      <c r="K69" s="336">
        <v>645</v>
      </c>
      <c r="L69" s="336">
        <f t="shared" si="1"/>
        <v>1671</v>
      </c>
      <c r="M69" s="336">
        <v>381</v>
      </c>
      <c r="N69" s="336">
        <v>1186</v>
      </c>
      <c r="O69" s="336">
        <v>1062</v>
      </c>
      <c r="P69" s="336">
        <v>2248</v>
      </c>
      <c r="Q69" s="336">
        <v>27462</v>
      </c>
      <c r="R69" s="7"/>
    </row>
    <row r="70" spans="1:20" ht="17" thickBot="1" x14ac:dyDescent="0.25">
      <c r="A70" s="502">
        <v>44713</v>
      </c>
      <c r="B70" s="504">
        <v>3331</v>
      </c>
      <c r="C70" s="504">
        <v>7588</v>
      </c>
      <c r="D70" s="504">
        <v>1395</v>
      </c>
      <c r="E70" s="504">
        <v>8983</v>
      </c>
      <c r="F70" s="504">
        <v>3488</v>
      </c>
      <c r="G70" s="504">
        <v>1308</v>
      </c>
      <c r="H70" s="504">
        <v>801</v>
      </c>
      <c r="I70" s="504">
        <v>582</v>
      </c>
      <c r="J70" s="504">
        <v>1023</v>
      </c>
      <c r="K70" s="504">
        <v>720</v>
      </c>
      <c r="L70" s="504">
        <f t="shared" si="1"/>
        <v>1743</v>
      </c>
      <c r="M70" s="504">
        <v>657</v>
      </c>
      <c r="N70" s="504">
        <v>1001</v>
      </c>
      <c r="O70" s="504">
        <v>972</v>
      </c>
      <c r="P70" s="504">
        <v>1973</v>
      </c>
      <c r="Q70" s="504">
        <v>22866</v>
      </c>
      <c r="R70" s="505">
        <v>389823.6</v>
      </c>
      <c r="S70" s="5">
        <f t="shared" ref="S70" si="2">R70/365</f>
        <v>1068.0098630136986</v>
      </c>
      <c r="T70" s="5">
        <f t="shared" ref="T70" si="3">S70*0.9</f>
        <v>961.20887671232879</v>
      </c>
    </row>
    <row r="71" spans="1:20" ht="16" x14ac:dyDescent="0.2">
      <c r="A71" s="500">
        <v>44743</v>
      </c>
      <c r="B71" s="342">
        <v>3449</v>
      </c>
      <c r="C71" s="342">
        <v>9430</v>
      </c>
      <c r="D71" s="342">
        <v>1463</v>
      </c>
      <c r="E71" s="342">
        <v>10893</v>
      </c>
      <c r="F71" s="342">
        <v>3526</v>
      </c>
      <c r="G71" s="342">
        <v>1270</v>
      </c>
      <c r="H71" s="342">
        <v>810</v>
      </c>
      <c r="I71" s="342">
        <v>804</v>
      </c>
      <c r="J71" s="342">
        <v>841</v>
      </c>
      <c r="K71" s="342">
        <v>716</v>
      </c>
      <c r="L71" s="342">
        <f t="shared" si="1"/>
        <v>1557</v>
      </c>
      <c r="M71" s="342">
        <v>936</v>
      </c>
      <c r="N71" s="342">
        <v>970</v>
      </c>
      <c r="O71" s="342">
        <v>961</v>
      </c>
      <c r="P71" s="342">
        <v>1931</v>
      </c>
      <c r="Q71" s="342">
        <v>25176</v>
      </c>
      <c r="R71" s="7"/>
    </row>
    <row r="72" spans="1:20" ht="16" x14ac:dyDescent="0.2">
      <c r="A72" s="4">
        <v>44774</v>
      </c>
      <c r="B72" s="336">
        <v>4836</v>
      </c>
      <c r="C72" s="336">
        <v>9262</v>
      </c>
      <c r="D72" s="336">
        <v>1815</v>
      </c>
      <c r="E72" s="336">
        <v>11077</v>
      </c>
      <c r="F72" s="336">
        <v>2985</v>
      </c>
      <c r="G72" s="336">
        <v>1248</v>
      </c>
      <c r="H72" s="336">
        <v>937</v>
      </c>
      <c r="I72" s="336">
        <v>827</v>
      </c>
      <c r="J72" s="336">
        <v>1025</v>
      </c>
      <c r="K72" s="336">
        <v>713</v>
      </c>
      <c r="L72" s="336">
        <f t="shared" si="1"/>
        <v>1738</v>
      </c>
      <c r="M72" s="336">
        <v>1091</v>
      </c>
      <c r="N72" s="336">
        <v>979</v>
      </c>
      <c r="O72" s="336">
        <v>942</v>
      </c>
      <c r="P72" s="336">
        <v>1921</v>
      </c>
      <c r="Q72" s="336">
        <v>26660</v>
      </c>
      <c r="R72" s="7"/>
    </row>
    <row r="73" spans="1:20" ht="16" x14ac:dyDescent="0.2">
      <c r="A73" s="4">
        <v>44805</v>
      </c>
      <c r="B73" s="336">
        <v>10816</v>
      </c>
      <c r="C73" s="336">
        <v>9754</v>
      </c>
      <c r="D73" s="336">
        <v>1769</v>
      </c>
      <c r="E73" s="336">
        <v>11523</v>
      </c>
      <c r="F73" s="336">
        <v>2506</v>
      </c>
      <c r="G73" s="336">
        <v>1224</v>
      </c>
      <c r="H73" s="336">
        <v>1034</v>
      </c>
      <c r="I73" s="336">
        <v>2337</v>
      </c>
      <c r="J73" s="336">
        <v>1118</v>
      </c>
      <c r="K73" s="336">
        <v>775</v>
      </c>
      <c r="L73" s="336">
        <f t="shared" si="1"/>
        <v>1893</v>
      </c>
      <c r="M73" s="336">
        <v>1322</v>
      </c>
      <c r="N73" s="336">
        <v>1760</v>
      </c>
      <c r="O73" s="336">
        <v>1204</v>
      </c>
      <c r="P73" s="336">
        <v>2964</v>
      </c>
      <c r="Q73" s="336">
        <v>35619</v>
      </c>
      <c r="R73" s="7"/>
    </row>
    <row r="74" spans="1:20" ht="16" x14ac:dyDescent="0.2">
      <c r="A74" s="4">
        <v>44835</v>
      </c>
      <c r="B74" s="336">
        <v>14257</v>
      </c>
      <c r="C74" s="336">
        <v>10807</v>
      </c>
      <c r="D74" s="336">
        <v>1792</v>
      </c>
      <c r="E74" s="336">
        <v>12599</v>
      </c>
      <c r="F74" s="336">
        <v>3218</v>
      </c>
      <c r="G74" s="336">
        <v>1091</v>
      </c>
      <c r="H74" s="336">
        <v>1106</v>
      </c>
      <c r="I74" s="336">
        <v>2337</v>
      </c>
      <c r="J74" s="336">
        <v>1136</v>
      </c>
      <c r="K74" s="336">
        <v>741</v>
      </c>
      <c r="L74" s="336">
        <f t="shared" si="1"/>
        <v>1877</v>
      </c>
      <c r="M74" s="336">
        <v>1089</v>
      </c>
      <c r="N74" s="336">
        <v>1227</v>
      </c>
      <c r="O74" s="336">
        <v>1050</v>
      </c>
      <c r="P74" s="336">
        <v>2277</v>
      </c>
      <c r="Q74" s="336">
        <v>39851</v>
      </c>
      <c r="R74" s="7"/>
    </row>
    <row r="75" spans="1:20" ht="16" x14ac:dyDescent="0.2">
      <c r="A75" s="4">
        <v>44866</v>
      </c>
      <c r="B75" s="336">
        <v>14456</v>
      </c>
      <c r="C75" s="336">
        <v>13505</v>
      </c>
      <c r="D75" s="336">
        <v>2002</v>
      </c>
      <c r="E75" s="336">
        <v>15507</v>
      </c>
      <c r="F75" s="336">
        <v>1953</v>
      </c>
      <c r="G75" s="336">
        <v>1076</v>
      </c>
      <c r="H75" s="336">
        <v>941</v>
      </c>
      <c r="I75" s="336">
        <v>3507</v>
      </c>
      <c r="J75" s="336">
        <v>808</v>
      </c>
      <c r="K75" s="336">
        <v>743</v>
      </c>
      <c r="L75" s="336">
        <f t="shared" si="1"/>
        <v>1551</v>
      </c>
      <c r="M75" s="336">
        <v>1116</v>
      </c>
      <c r="N75" s="336">
        <v>1166</v>
      </c>
      <c r="O75" s="336">
        <v>955</v>
      </c>
      <c r="P75" s="336">
        <v>2121</v>
      </c>
      <c r="Q75" s="336">
        <v>42228</v>
      </c>
      <c r="R75" s="7"/>
    </row>
    <row r="76" spans="1:20" ht="16" x14ac:dyDescent="0.2">
      <c r="A76" s="4">
        <v>44896</v>
      </c>
      <c r="B76" s="336">
        <v>15710</v>
      </c>
      <c r="C76" s="336">
        <v>13300</v>
      </c>
      <c r="D76" s="336">
        <v>2630</v>
      </c>
      <c r="E76" s="336">
        <v>15930</v>
      </c>
      <c r="F76" s="336">
        <v>1843</v>
      </c>
      <c r="G76" s="336">
        <v>1366</v>
      </c>
      <c r="H76" s="336">
        <v>1069</v>
      </c>
      <c r="I76" s="336">
        <v>2089</v>
      </c>
      <c r="J76" s="336">
        <v>1227</v>
      </c>
      <c r="K76" s="336">
        <v>827</v>
      </c>
      <c r="L76" s="336">
        <f t="shared" si="1"/>
        <v>2054</v>
      </c>
      <c r="M76" s="336">
        <v>1484</v>
      </c>
      <c r="N76" s="336">
        <v>1563</v>
      </c>
      <c r="O76" s="336">
        <v>1230</v>
      </c>
      <c r="P76" s="336">
        <v>2793</v>
      </c>
      <c r="Q76" s="336">
        <v>44338</v>
      </c>
      <c r="R76" s="7"/>
    </row>
    <row r="77" spans="1:20" ht="16" x14ac:dyDescent="0.2">
      <c r="A77" s="4">
        <v>44927</v>
      </c>
      <c r="B77" s="336">
        <v>13455</v>
      </c>
      <c r="C77" s="336">
        <v>7867</v>
      </c>
      <c r="D77" s="336">
        <v>1633</v>
      </c>
      <c r="E77" s="336">
        <v>9500</v>
      </c>
      <c r="F77" s="336">
        <v>2893</v>
      </c>
      <c r="G77" s="336">
        <v>1291</v>
      </c>
      <c r="H77" s="336">
        <v>993</v>
      </c>
      <c r="I77" s="336">
        <v>1108</v>
      </c>
      <c r="J77" s="336">
        <v>812</v>
      </c>
      <c r="K77" s="336">
        <v>774</v>
      </c>
      <c r="L77" s="336">
        <f t="shared" si="1"/>
        <v>1586</v>
      </c>
      <c r="M77" s="336">
        <v>1144</v>
      </c>
      <c r="N77" s="336">
        <v>1287</v>
      </c>
      <c r="O77" s="336">
        <v>1150</v>
      </c>
      <c r="P77" s="336">
        <v>2437</v>
      </c>
      <c r="Q77" s="336">
        <v>34407</v>
      </c>
      <c r="R77" s="7"/>
    </row>
    <row r="78" spans="1:20" ht="16" x14ac:dyDescent="0.2">
      <c r="A78" s="4">
        <v>44958</v>
      </c>
      <c r="B78" s="336">
        <v>8271</v>
      </c>
      <c r="C78" s="336">
        <v>6764</v>
      </c>
      <c r="D78" s="336">
        <v>2252</v>
      </c>
      <c r="E78" s="336">
        <v>9016</v>
      </c>
      <c r="F78" s="336">
        <v>3334</v>
      </c>
      <c r="G78" s="336">
        <v>1219</v>
      </c>
      <c r="H78" s="336">
        <v>779</v>
      </c>
      <c r="I78" s="336">
        <v>1223</v>
      </c>
      <c r="J78" s="336">
        <v>773</v>
      </c>
      <c r="K78" s="336">
        <v>698</v>
      </c>
      <c r="L78" s="336">
        <f t="shared" si="1"/>
        <v>1471</v>
      </c>
      <c r="M78" s="336">
        <v>1292</v>
      </c>
      <c r="N78" s="336">
        <v>1024</v>
      </c>
      <c r="O78" s="336">
        <v>924</v>
      </c>
      <c r="P78" s="336">
        <v>1948</v>
      </c>
      <c r="Q78" s="336">
        <v>28553</v>
      </c>
      <c r="R78" s="7"/>
    </row>
    <row r="79" spans="1:20" ht="16" x14ac:dyDescent="0.2">
      <c r="A79" s="4">
        <v>44986</v>
      </c>
      <c r="B79" s="336">
        <v>11401</v>
      </c>
      <c r="C79" s="336">
        <v>7565</v>
      </c>
      <c r="D79" s="336">
        <v>3044</v>
      </c>
      <c r="E79" s="336">
        <v>10609</v>
      </c>
      <c r="F79" s="336">
        <v>3640</v>
      </c>
      <c r="G79" s="336">
        <v>1310</v>
      </c>
      <c r="H79" s="336">
        <v>892</v>
      </c>
      <c r="I79" s="336">
        <v>1465</v>
      </c>
      <c r="J79" s="336">
        <v>898</v>
      </c>
      <c r="K79" s="336">
        <v>783</v>
      </c>
      <c r="L79" s="336">
        <f t="shared" si="1"/>
        <v>1681</v>
      </c>
      <c r="M79" s="336">
        <v>1366</v>
      </c>
      <c r="N79" s="336">
        <v>1764</v>
      </c>
      <c r="O79" s="336">
        <v>1059</v>
      </c>
      <c r="P79" s="336">
        <v>2823</v>
      </c>
      <c r="Q79" s="336">
        <v>35187</v>
      </c>
      <c r="R79" s="7"/>
    </row>
    <row r="80" spans="1:20" ht="16" x14ac:dyDescent="0.2">
      <c r="A80" s="4">
        <v>45017</v>
      </c>
      <c r="B80" s="336">
        <v>15479</v>
      </c>
      <c r="C80" s="336">
        <v>8123</v>
      </c>
      <c r="D80" s="336">
        <v>2949</v>
      </c>
      <c r="E80" s="336">
        <v>11072</v>
      </c>
      <c r="F80" s="336">
        <v>3492</v>
      </c>
      <c r="G80" s="336">
        <v>1411</v>
      </c>
      <c r="H80" s="336">
        <v>1048</v>
      </c>
      <c r="I80" s="336">
        <v>1577</v>
      </c>
      <c r="J80" s="336">
        <v>1103</v>
      </c>
      <c r="K80" s="336">
        <v>684</v>
      </c>
      <c r="L80" s="336">
        <f t="shared" si="1"/>
        <v>1787</v>
      </c>
      <c r="M80" s="336">
        <v>1342</v>
      </c>
      <c r="N80" s="336">
        <v>1648.5</v>
      </c>
      <c r="O80" s="336">
        <v>954</v>
      </c>
      <c r="P80" s="336">
        <v>2602.5</v>
      </c>
      <c r="Q80" s="336">
        <v>39810.5</v>
      </c>
      <c r="R80" s="7"/>
    </row>
    <row r="81" spans="1:19" ht="16" x14ac:dyDescent="0.2">
      <c r="A81" s="4">
        <v>45047</v>
      </c>
      <c r="B81" s="336">
        <v>14653</v>
      </c>
      <c r="C81" s="15">
        <v>8999</v>
      </c>
      <c r="D81" s="15">
        <v>2871</v>
      </c>
      <c r="E81" s="336">
        <v>11870</v>
      </c>
      <c r="F81" s="336">
        <v>2166</v>
      </c>
      <c r="G81" s="336">
        <v>1636</v>
      </c>
      <c r="H81" s="336">
        <v>1127</v>
      </c>
      <c r="I81" s="336">
        <v>2063</v>
      </c>
      <c r="J81" s="336">
        <v>1068</v>
      </c>
      <c r="K81" s="336">
        <v>616</v>
      </c>
      <c r="L81" s="336">
        <f t="shared" si="1"/>
        <v>1684</v>
      </c>
      <c r="M81" s="336">
        <v>1642</v>
      </c>
      <c r="N81" s="336">
        <v>2110</v>
      </c>
      <c r="O81" s="336">
        <v>833</v>
      </c>
      <c r="P81" s="336">
        <v>2943</v>
      </c>
      <c r="Q81" s="336">
        <v>39784</v>
      </c>
      <c r="R81" s="7"/>
    </row>
    <row r="82" spans="1:19" ht="17" thickBot="1" x14ac:dyDescent="0.25">
      <c r="A82" s="502">
        <v>45078</v>
      </c>
      <c r="B82" s="503">
        <f>4156+9925</f>
        <v>14081</v>
      </c>
      <c r="C82" s="503">
        <v>8465</v>
      </c>
      <c r="D82" s="503">
        <v>2788</v>
      </c>
      <c r="E82" s="504">
        <v>11253</v>
      </c>
      <c r="F82" s="503">
        <v>2130</v>
      </c>
      <c r="G82" s="503">
        <v>1685</v>
      </c>
      <c r="H82" s="503">
        <v>1303</v>
      </c>
      <c r="I82" s="503">
        <v>2420</v>
      </c>
      <c r="J82" s="503">
        <v>1158</v>
      </c>
      <c r="K82" s="503">
        <v>591</v>
      </c>
      <c r="L82" s="504">
        <f t="shared" si="1"/>
        <v>1749</v>
      </c>
      <c r="M82" s="503">
        <v>1746</v>
      </c>
      <c r="N82" s="503">
        <v>2087.6</v>
      </c>
      <c r="O82" s="503">
        <f>798+897</f>
        <v>1695</v>
      </c>
      <c r="P82" s="504">
        <v>3782.6</v>
      </c>
      <c r="Q82" s="504">
        <v>40149.599999999999</v>
      </c>
      <c r="R82" s="505">
        <v>431763.1</v>
      </c>
    </row>
    <row r="83" spans="1:19" ht="16" x14ac:dyDescent="0.2">
      <c r="A83" s="500">
        <v>45108</v>
      </c>
      <c r="B83" s="501">
        <v>7456</v>
      </c>
      <c r="C83" s="501"/>
      <c r="D83" s="501"/>
      <c r="E83" s="457">
        <v>7333.6</v>
      </c>
      <c r="F83" s="501">
        <v>1940.5</v>
      </c>
      <c r="G83" s="501">
        <v>1322.5</v>
      </c>
      <c r="H83" s="501">
        <v>427.5</v>
      </c>
      <c r="I83" s="501">
        <v>1793.5</v>
      </c>
      <c r="J83" s="501"/>
      <c r="K83" s="501"/>
      <c r="L83" s="346">
        <v>0</v>
      </c>
      <c r="M83" s="501">
        <v>738.5</v>
      </c>
      <c r="N83" s="501">
        <v>2185.4</v>
      </c>
      <c r="O83" s="501"/>
      <c r="P83" s="342">
        <v>2284.4</v>
      </c>
      <c r="Q83" s="342">
        <v>23296.5</v>
      </c>
      <c r="R83" s="7"/>
    </row>
    <row r="84" spans="1:19" ht="16" x14ac:dyDescent="0.2">
      <c r="A84" s="4">
        <v>45139</v>
      </c>
      <c r="B84" s="343">
        <f>10135</f>
        <v>10135</v>
      </c>
      <c r="C84" s="343"/>
      <c r="D84" s="343"/>
      <c r="E84" s="344">
        <v>10227.799999999999</v>
      </c>
      <c r="F84" s="343">
        <v>1272</v>
      </c>
      <c r="G84" s="343">
        <v>1102</v>
      </c>
      <c r="H84" s="343">
        <v>456</v>
      </c>
      <c r="I84" s="343">
        <v>2079</v>
      </c>
      <c r="J84" s="343"/>
      <c r="K84" s="343"/>
      <c r="L84" s="344">
        <v>123</v>
      </c>
      <c r="M84" s="343">
        <v>589.6</v>
      </c>
      <c r="N84" s="343">
        <v>2150.1</v>
      </c>
      <c r="O84" s="343"/>
      <c r="P84" s="336">
        <v>2206.1</v>
      </c>
      <c r="Q84" s="336">
        <v>28190.499999999996</v>
      </c>
      <c r="R84" s="7"/>
    </row>
    <row r="85" spans="1:19" ht="16" x14ac:dyDescent="0.2">
      <c r="A85" s="4">
        <v>45192</v>
      </c>
      <c r="B85" s="343">
        <v>10338</v>
      </c>
      <c r="C85" s="343"/>
      <c r="D85" s="343"/>
      <c r="E85" s="344">
        <v>11338.2</v>
      </c>
      <c r="F85" s="343">
        <v>464.9</v>
      </c>
      <c r="G85" s="343">
        <v>1964.4</v>
      </c>
      <c r="H85" s="343">
        <v>628</v>
      </c>
      <c r="I85" s="343">
        <v>2438.6999999999998</v>
      </c>
      <c r="J85" s="343"/>
      <c r="K85" s="343"/>
      <c r="L85" s="344">
        <v>525.9</v>
      </c>
      <c r="M85" s="343">
        <v>530.6</v>
      </c>
      <c r="N85" s="343">
        <v>2013.8</v>
      </c>
      <c r="O85" s="343"/>
      <c r="P85" s="336">
        <v>2158.3000000000002</v>
      </c>
      <c r="Q85" s="336">
        <v>30387</v>
      </c>
      <c r="R85" s="7"/>
    </row>
    <row r="86" spans="1:19" ht="16" x14ac:dyDescent="0.2">
      <c r="A86" s="4">
        <v>45222</v>
      </c>
      <c r="B86" s="344">
        <v>10324.6</v>
      </c>
      <c r="C86" s="343"/>
      <c r="D86" s="343"/>
      <c r="E86" s="344">
        <v>10794.8</v>
      </c>
      <c r="F86" s="344">
        <v>1523</v>
      </c>
      <c r="G86" s="344">
        <v>1648.9</v>
      </c>
      <c r="H86" s="343">
        <v>410.9</v>
      </c>
      <c r="I86" s="343">
        <v>2014.9</v>
      </c>
      <c r="J86" s="343"/>
      <c r="K86" s="343"/>
      <c r="L86" s="343">
        <f>435.4+41.4</f>
        <v>476.79999999999995</v>
      </c>
      <c r="M86" s="343">
        <v>564</v>
      </c>
      <c r="N86" s="343">
        <v>2241.6</v>
      </c>
      <c r="O86" s="343"/>
      <c r="P86" s="336">
        <v>2398.6</v>
      </c>
      <c r="Q86" s="336">
        <v>30156.499999999996</v>
      </c>
      <c r="R86" s="7"/>
    </row>
    <row r="87" spans="1:19" ht="15" customHeight="1" x14ac:dyDescent="0.2">
      <c r="A87" s="4">
        <v>45253</v>
      </c>
      <c r="B87" s="344">
        <v>14389.8</v>
      </c>
      <c r="C87" s="344"/>
      <c r="D87" s="344"/>
      <c r="E87" s="344">
        <v>17059.3</v>
      </c>
      <c r="F87" s="344">
        <v>797.5</v>
      </c>
      <c r="G87" s="344">
        <v>2422</v>
      </c>
      <c r="H87" s="344">
        <v>545.79999999999995</v>
      </c>
      <c r="I87" s="344">
        <v>3703.9</v>
      </c>
      <c r="J87" s="344"/>
      <c r="K87" s="344"/>
      <c r="L87" s="344">
        <v>770.6</v>
      </c>
      <c r="M87" s="344">
        <v>650.6</v>
      </c>
      <c r="N87" s="344">
        <v>2147.6</v>
      </c>
      <c r="O87" s="344"/>
      <c r="P87" s="344">
        <v>2276.4</v>
      </c>
      <c r="Q87" s="336">
        <v>42615.9</v>
      </c>
      <c r="R87" s="7"/>
    </row>
    <row r="88" spans="1:19" ht="15" customHeight="1" x14ac:dyDescent="0.2">
      <c r="A88" s="4">
        <v>45283</v>
      </c>
      <c r="B88" s="344">
        <v>13139.5</v>
      </c>
      <c r="C88" s="344"/>
      <c r="D88" s="344"/>
      <c r="E88" s="344">
        <v>12822.3</v>
      </c>
      <c r="F88" s="344">
        <v>714.5</v>
      </c>
      <c r="G88" s="344">
        <v>1756.1</v>
      </c>
      <c r="H88" s="344">
        <v>746.4</v>
      </c>
      <c r="I88" s="344">
        <v>2987.4</v>
      </c>
      <c r="J88" s="344"/>
      <c r="K88" s="344"/>
      <c r="L88" s="344">
        <v>490.1</v>
      </c>
      <c r="M88" s="344">
        <v>796.8</v>
      </c>
      <c r="N88" s="344">
        <v>2069.9</v>
      </c>
      <c r="O88" s="344"/>
      <c r="P88" s="344">
        <v>2240.1999999999998</v>
      </c>
      <c r="Q88" s="336">
        <v>35693.299999999996</v>
      </c>
      <c r="R88" s="7"/>
    </row>
    <row r="89" spans="1:19" ht="15" customHeight="1" x14ac:dyDescent="0.2">
      <c r="A89" s="4">
        <v>45314</v>
      </c>
      <c r="B89" s="344">
        <v>10440.200000000001</v>
      </c>
      <c r="C89" s="344"/>
      <c r="D89" s="344"/>
      <c r="E89" s="344">
        <v>10518.7</v>
      </c>
      <c r="F89" s="344">
        <v>549.9</v>
      </c>
      <c r="G89" s="344">
        <v>1402.4</v>
      </c>
      <c r="H89" s="344">
        <v>413.5</v>
      </c>
      <c r="I89" s="344">
        <v>2540.4</v>
      </c>
      <c r="J89" s="344"/>
      <c r="K89" s="344"/>
      <c r="L89" s="344">
        <v>221.8</v>
      </c>
      <c r="M89" s="344">
        <v>870.1</v>
      </c>
      <c r="N89" s="344"/>
      <c r="O89" s="344"/>
      <c r="P89" s="344">
        <v>2420.9</v>
      </c>
      <c r="Q89" s="336">
        <v>29377.9</v>
      </c>
      <c r="R89" s="7"/>
    </row>
    <row r="90" spans="1:19" ht="15" customHeight="1" x14ac:dyDescent="0.2">
      <c r="A90" s="4">
        <v>45345</v>
      </c>
      <c r="B90" s="344">
        <v>13343</v>
      </c>
      <c r="C90" s="344"/>
      <c r="D90" s="344"/>
      <c r="E90" s="344">
        <v>12271.5</v>
      </c>
      <c r="F90" s="344">
        <v>372.5</v>
      </c>
      <c r="G90" s="344">
        <v>2301.4</v>
      </c>
      <c r="H90" s="344">
        <v>438.2</v>
      </c>
      <c r="I90" s="344">
        <v>2848.4</v>
      </c>
      <c r="J90" s="344"/>
      <c r="K90" s="344"/>
      <c r="L90" s="344">
        <v>612</v>
      </c>
      <c r="M90" s="344">
        <v>790.2</v>
      </c>
      <c r="N90" s="344"/>
      <c r="O90" s="344"/>
      <c r="P90" s="344">
        <v>2675.4</v>
      </c>
      <c r="Q90" s="336">
        <v>35652.6</v>
      </c>
      <c r="R90" s="7"/>
    </row>
    <row r="91" spans="1:19" ht="15" customHeight="1" x14ac:dyDescent="0.2">
      <c r="A91" s="4">
        <v>45374</v>
      </c>
      <c r="B91" s="344">
        <v>16211.6</v>
      </c>
      <c r="C91" s="344"/>
      <c r="D91" s="344"/>
      <c r="E91" s="344">
        <v>15475.8</v>
      </c>
      <c r="F91" s="344">
        <v>384.1</v>
      </c>
      <c r="G91" s="344">
        <v>2645.1</v>
      </c>
      <c r="H91" s="344">
        <v>504.3</v>
      </c>
      <c r="I91" s="344">
        <v>3490.9</v>
      </c>
      <c r="J91" s="344"/>
      <c r="K91" s="344"/>
      <c r="L91" s="344">
        <v>733.1</v>
      </c>
      <c r="M91" s="344">
        <v>947</v>
      </c>
      <c r="N91" s="344"/>
      <c r="O91" s="344"/>
      <c r="P91" s="344">
        <v>3118.9</v>
      </c>
      <c r="Q91" s="336">
        <v>43510.8</v>
      </c>
      <c r="R91" s="7"/>
    </row>
    <row r="92" spans="1:19" ht="15" customHeight="1" x14ac:dyDescent="0.2">
      <c r="A92" s="4">
        <v>45405</v>
      </c>
      <c r="B92" s="344">
        <v>14442.9</v>
      </c>
      <c r="C92" s="344"/>
      <c r="D92" s="344"/>
      <c r="E92" s="344">
        <v>14528.1</v>
      </c>
      <c r="F92" s="344">
        <v>462.4</v>
      </c>
      <c r="G92" s="344">
        <v>2136.4</v>
      </c>
      <c r="H92" s="344">
        <v>361.5</v>
      </c>
      <c r="I92" s="344">
        <v>3084.1</v>
      </c>
      <c r="J92" s="344"/>
      <c r="K92" s="344"/>
      <c r="L92" s="344">
        <v>601.20000000000005</v>
      </c>
      <c r="M92" s="344">
        <v>744.9</v>
      </c>
      <c r="N92" s="344"/>
      <c r="O92" s="344"/>
      <c r="P92" s="344">
        <v>3239.5</v>
      </c>
      <c r="Q92" s="336">
        <v>39601</v>
      </c>
      <c r="R92" s="7"/>
    </row>
    <row r="93" spans="1:19" ht="15" customHeight="1" x14ac:dyDescent="0.2">
      <c r="A93" s="4">
        <v>45435</v>
      </c>
      <c r="B93" s="344">
        <v>15427.9</v>
      </c>
      <c r="C93" s="344"/>
      <c r="D93" s="344"/>
      <c r="E93" s="344">
        <v>14693.7</v>
      </c>
      <c r="F93" s="344">
        <v>495.5</v>
      </c>
      <c r="G93" s="344">
        <v>2215.9</v>
      </c>
      <c r="H93" s="344">
        <v>576.4</v>
      </c>
      <c r="I93" s="344">
        <v>2978.3</v>
      </c>
      <c r="J93" s="344"/>
      <c r="K93" s="344"/>
      <c r="L93" s="344">
        <v>590</v>
      </c>
      <c r="M93" s="344">
        <v>894</v>
      </c>
      <c r="N93" s="344"/>
      <c r="O93" s="344"/>
      <c r="P93" s="344">
        <v>3033.6</v>
      </c>
      <c r="Q93" s="336">
        <v>40905.300000000003</v>
      </c>
      <c r="R93" s="7"/>
    </row>
    <row r="94" spans="1:19" ht="15" customHeight="1" thickBot="1" x14ac:dyDescent="0.25">
      <c r="A94" s="502">
        <v>45466</v>
      </c>
      <c r="B94" s="506">
        <v>11557.2</v>
      </c>
      <c r="C94" s="506"/>
      <c r="D94" s="506"/>
      <c r="E94" s="506">
        <v>9417.7000000000007</v>
      </c>
      <c r="F94" s="506">
        <v>586</v>
      </c>
      <c r="G94" s="506">
        <v>1702.6</v>
      </c>
      <c r="H94" s="506">
        <v>503.8</v>
      </c>
      <c r="I94" s="506">
        <v>2130.4</v>
      </c>
      <c r="J94" s="506"/>
      <c r="K94" s="506"/>
      <c r="L94" s="506">
        <v>208.2</v>
      </c>
      <c r="M94" s="506">
        <v>920</v>
      </c>
      <c r="N94" s="506"/>
      <c r="O94" s="506"/>
      <c r="P94" s="506">
        <v>3034.1</v>
      </c>
      <c r="Q94" s="504">
        <v>30060</v>
      </c>
      <c r="R94" s="505">
        <v>409447.3</v>
      </c>
    </row>
    <row r="95" spans="1:19" ht="15" customHeight="1" x14ac:dyDescent="0.2">
      <c r="A95" s="500">
        <v>45496</v>
      </c>
      <c r="B95" s="457">
        <v>12616.3</v>
      </c>
      <c r="C95" s="457"/>
      <c r="D95" s="457"/>
      <c r="E95" s="457">
        <v>12850.5</v>
      </c>
      <c r="F95" s="457">
        <v>644.6</v>
      </c>
      <c r="G95" s="457">
        <v>1284.7</v>
      </c>
      <c r="H95" s="457">
        <v>425.3</v>
      </c>
      <c r="I95" s="457">
        <v>2178.1999999999998</v>
      </c>
      <c r="J95" s="457"/>
      <c r="K95" s="457"/>
      <c r="L95" s="457">
        <v>239.8</v>
      </c>
      <c r="M95" s="457">
        <v>734.1</v>
      </c>
      <c r="N95" s="457"/>
      <c r="O95" s="457"/>
      <c r="P95" s="457">
        <v>3135.2999999999997</v>
      </c>
      <c r="Q95" s="457">
        <v>34108.800000000003</v>
      </c>
      <c r="R95" s="7"/>
      <c r="S95" s="57"/>
    </row>
    <row r="96" spans="1:19" ht="15" customHeight="1" x14ac:dyDescent="0.2">
      <c r="A96" s="4">
        <v>45527</v>
      </c>
      <c r="B96" s="15">
        <v>13470.8</v>
      </c>
      <c r="C96" s="345"/>
      <c r="D96" s="345"/>
      <c r="E96" s="15">
        <v>13539.6</v>
      </c>
      <c r="F96" s="15">
        <v>406.6</v>
      </c>
      <c r="G96" s="15">
        <v>1969.5</v>
      </c>
      <c r="H96" s="15">
        <v>430.9</v>
      </c>
      <c r="I96" s="15">
        <v>2499.5</v>
      </c>
      <c r="J96" s="345"/>
      <c r="K96" s="345"/>
      <c r="L96" s="15">
        <v>309.3</v>
      </c>
      <c r="M96" s="15">
        <v>749.4</v>
      </c>
      <c r="N96" s="345"/>
      <c r="O96" s="345"/>
      <c r="P96" s="344">
        <v>3219.9</v>
      </c>
      <c r="Q96" s="344">
        <v>36595.5</v>
      </c>
      <c r="R96" s="7"/>
    </row>
    <row r="97" spans="1:18" ht="15" customHeight="1" x14ac:dyDescent="0.2">
      <c r="A97" s="4">
        <v>45558</v>
      </c>
      <c r="B97" s="344">
        <v>15432.9</v>
      </c>
      <c r="C97" s="344"/>
      <c r="D97" s="344"/>
      <c r="E97" s="344">
        <v>19435.400000000001</v>
      </c>
      <c r="F97" s="344">
        <v>414.7</v>
      </c>
      <c r="G97" s="344">
        <v>2528.6</v>
      </c>
      <c r="H97" s="344">
        <v>437.8</v>
      </c>
      <c r="I97" s="344">
        <v>3537.8</v>
      </c>
      <c r="J97" s="344"/>
      <c r="K97" s="344"/>
      <c r="L97" s="344">
        <v>568.1</v>
      </c>
      <c r="M97" s="344">
        <v>843.4</v>
      </c>
      <c r="N97" s="344"/>
      <c r="O97" s="344"/>
      <c r="P97" s="344">
        <v>2913</v>
      </c>
      <c r="Q97" s="344">
        <v>46111.7</v>
      </c>
      <c r="R97" s="7"/>
    </row>
    <row r="98" spans="1:18" ht="15" customHeight="1" x14ac:dyDescent="0.2">
      <c r="A98" s="4">
        <v>45588</v>
      </c>
      <c r="B98" s="344">
        <v>17066.900000000001</v>
      </c>
      <c r="C98" s="344"/>
      <c r="D98" s="344"/>
      <c r="E98" s="344">
        <v>21511.200000000001</v>
      </c>
      <c r="F98" s="344">
        <v>340.3</v>
      </c>
      <c r="G98" s="344">
        <v>3013.3</v>
      </c>
      <c r="H98" s="344">
        <v>339.2</v>
      </c>
      <c r="I98" s="344">
        <v>3904.1</v>
      </c>
      <c r="J98" s="344"/>
      <c r="K98" s="344"/>
      <c r="L98" s="344">
        <v>672.3</v>
      </c>
      <c r="M98" s="344">
        <v>996.4</v>
      </c>
      <c r="N98" s="344"/>
      <c r="O98" s="344"/>
      <c r="P98" s="344">
        <v>2698.5</v>
      </c>
      <c r="Q98" s="344">
        <v>50542.2</v>
      </c>
    </row>
    <row r="99" spans="1:18" ht="15" customHeight="1" x14ac:dyDescent="0.2">
      <c r="A99" s="4">
        <v>45619</v>
      </c>
      <c r="B99" s="344">
        <v>17036.900000000001</v>
      </c>
      <c r="C99" s="344"/>
      <c r="D99" s="344"/>
      <c r="E99" s="344">
        <v>21337.200000000001</v>
      </c>
      <c r="F99" s="344">
        <v>276.39999999999998</v>
      </c>
      <c r="G99" s="344">
        <v>3075.9</v>
      </c>
      <c r="H99" s="344">
        <v>597.29999999999995</v>
      </c>
      <c r="I99" s="344">
        <v>3829.2</v>
      </c>
      <c r="J99" s="344"/>
      <c r="K99" s="344"/>
      <c r="L99" s="344">
        <v>640</v>
      </c>
      <c r="M99" s="344">
        <v>1211.5</v>
      </c>
      <c r="N99" s="344"/>
      <c r="O99" s="344"/>
      <c r="P99" s="344">
        <v>2738</v>
      </c>
      <c r="Q99" s="344">
        <v>50742.400000000009</v>
      </c>
    </row>
    <row r="100" spans="1:18" ht="15" customHeight="1" x14ac:dyDescent="0.2">
      <c r="A100" s="4">
        <v>45649</v>
      </c>
      <c r="B100" s="344">
        <v>14307.6</v>
      </c>
      <c r="C100" s="344"/>
      <c r="D100" s="344"/>
      <c r="E100" s="344">
        <v>18821.3</v>
      </c>
      <c r="F100" s="344">
        <v>409.8</v>
      </c>
      <c r="G100" s="344">
        <v>1746.9</v>
      </c>
      <c r="H100" s="344">
        <v>558.5</v>
      </c>
      <c r="I100" s="344">
        <v>2897</v>
      </c>
      <c r="J100" s="344"/>
      <c r="K100" s="344"/>
      <c r="L100" s="7">
        <v>435.6</v>
      </c>
      <c r="M100" s="344">
        <v>1199.3</v>
      </c>
      <c r="N100" s="344"/>
      <c r="O100" s="344"/>
      <c r="P100" s="344">
        <v>2401</v>
      </c>
      <c r="Q100" s="344">
        <v>42777</v>
      </c>
    </row>
    <row r="101" spans="1:18" ht="15" customHeight="1" x14ac:dyDescent="0.2">
      <c r="A101" s="4">
        <v>45680</v>
      </c>
      <c r="B101" s="344">
        <v>11380</v>
      </c>
      <c r="C101" s="344"/>
      <c r="D101" s="344"/>
      <c r="E101" s="344">
        <v>12982.1</v>
      </c>
      <c r="F101" s="344">
        <v>422.8</v>
      </c>
      <c r="G101" s="344">
        <v>1253</v>
      </c>
      <c r="H101" s="344">
        <v>292.3</v>
      </c>
      <c r="I101" s="344">
        <v>2142.1</v>
      </c>
      <c r="J101" s="344"/>
      <c r="K101" s="344"/>
      <c r="L101" s="344">
        <v>193.4</v>
      </c>
      <c r="M101" s="344">
        <v>871.4</v>
      </c>
      <c r="N101" s="344"/>
      <c r="O101" s="344"/>
      <c r="P101" s="344">
        <v>2517.9</v>
      </c>
      <c r="Q101" s="344">
        <v>32055</v>
      </c>
    </row>
    <row r="102" spans="1:18" ht="15" customHeight="1" x14ac:dyDescent="0.2">
      <c r="A102" s="4">
        <v>45711</v>
      </c>
      <c r="B102" s="344">
        <v>14291.7</v>
      </c>
      <c r="C102" s="344"/>
      <c r="D102" s="344"/>
      <c r="E102" s="344">
        <v>17364</v>
      </c>
      <c r="F102" s="344">
        <v>291</v>
      </c>
      <c r="G102" s="344">
        <v>2200.1</v>
      </c>
      <c r="H102" s="344">
        <v>521.29999999999995</v>
      </c>
      <c r="I102" s="344">
        <v>3128.6</v>
      </c>
      <c r="J102" s="344"/>
      <c r="K102" s="344"/>
      <c r="L102" s="344">
        <v>533.9</v>
      </c>
      <c r="M102" s="344">
        <v>820.9</v>
      </c>
      <c r="N102" s="344"/>
      <c r="O102" s="344"/>
      <c r="P102" s="344">
        <v>2421.8000000000002</v>
      </c>
      <c r="Q102" s="344">
        <v>41573.300000000003</v>
      </c>
    </row>
    <row r="103" spans="1:18" ht="15" customHeight="1" x14ac:dyDescent="0.2">
      <c r="A103" s="4">
        <v>45739</v>
      </c>
      <c r="B103" s="344">
        <v>16689.5</v>
      </c>
      <c r="C103" s="344"/>
      <c r="D103" s="344"/>
      <c r="E103" s="344">
        <v>20873.5</v>
      </c>
      <c r="F103" s="344">
        <v>217.9</v>
      </c>
      <c r="G103" s="344">
        <v>3040.7</v>
      </c>
      <c r="H103" s="344">
        <v>543.6</v>
      </c>
      <c r="I103" s="344">
        <v>4006.5</v>
      </c>
      <c r="J103" s="344"/>
      <c r="K103" s="344"/>
      <c r="L103" s="344">
        <v>707.7</v>
      </c>
      <c r="M103" s="344">
        <v>839.6</v>
      </c>
      <c r="N103" s="344"/>
      <c r="O103" s="344"/>
      <c r="P103" s="344">
        <v>2500.1</v>
      </c>
      <c r="Q103" s="344">
        <v>49419.1</v>
      </c>
    </row>
    <row r="104" spans="1:18" ht="15" customHeight="1" x14ac:dyDescent="0.2">
      <c r="A104" s="4">
        <v>45770</v>
      </c>
      <c r="B104" s="344">
        <v>14808.3</v>
      </c>
      <c r="C104" s="344"/>
      <c r="D104" s="344"/>
      <c r="E104" s="344">
        <v>17587.2</v>
      </c>
      <c r="F104" s="344">
        <v>180.9</v>
      </c>
      <c r="G104" s="344">
        <v>2598.6</v>
      </c>
      <c r="H104" s="344">
        <v>395.5</v>
      </c>
      <c r="I104" s="344">
        <v>3247.9</v>
      </c>
      <c r="J104" s="344"/>
      <c r="K104" s="344"/>
      <c r="L104" s="344">
        <v>543.1</v>
      </c>
      <c r="M104" s="344">
        <v>904.8</v>
      </c>
      <c r="N104" s="344"/>
      <c r="O104" s="344"/>
      <c r="P104" s="344">
        <v>2026.8</v>
      </c>
      <c r="Q104" s="344">
        <v>42293.100000000006</v>
      </c>
    </row>
    <row r="105" spans="1:18" ht="15" customHeight="1" x14ac:dyDescent="0.2">
      <c r="A105" s="4">
        <v>45800</v>
      </c>
      <c r="B105" s="344">
        <v>14697.1</v>
      </c>
      <c r="C105" s="344"/>
      <c r="D105" s="344"/>
      <c r="E105" s="344">
        <v>19797.900000000001</v>
      </c>
      <c r="F105" s="344">
        <v>201.9</v>
      </c>
      <c r="G105" s="344">
        <v>2501</v>
      </c>
      <c r="H105" s="344">
        <v>563</v>
      </c>
      <c r="I105" s="344">
        <v>3505.2</v>
      </c>
      <c r="J105" s="344"/>
      <c r="K105" s="344"/>
      <c r="L105" s="344">
        <v>486.6</v>
      </c>
      <c r="M105" s="344">
        <v>923.2</v>
      </c>
      <c r="N105" s="344"/>
      <c r="O105" s="344"/>
      <c r="P105" s="344">
        <v>2102.5</v>
      </c>
      <c r="Q105" s="344">
        <v>44778.400000000009</v>
      </c>
    </row>
    <row r="106" spans="1:18" ht="15" customHeight="1" thickBot="1" x14ac:dyDescent="0.25">
      <c r="A106" s="502">
        <v>45831</v>
      </c>
      <c r="B106" s="506">
        <v>11953.9</v>
      </c>
      <c r="C106" s="506"/>
      <c r="D106" s="506"/>
      <c r="E106" s="506">
        <v>12025.4</v>
      </c>
      <c r="F106" s="506">
        <v>275.8</v>
      </c>
      <c r="G106" s="506">
        <v>1250.5999999999999</v>
      </c>
      <c r="H106" s="506">
        <v>445.6</v>
      </c>
      <c r="I106" s="506">
        <v>2717.6</v>
      </c>
      <c r="J106" s="506"/>
      <c r="K106" s="506"/>
      <c r="L106" s="506">
        <v>195.1</v>
      </c>
      <c r="M106" s="506">
        <v>718.4</v>
      </c>
      <c r="N106" s="506"/>
      <c r="O106" s="506"/>
      <c r="P106" s="506">
        <v>1952</v>
      </c>
      <c r="Q106" s="506">
        <v>31534.400000000001</v>
      </c>
      <c r="R106" s="537">
        <v>502530.9</v>
      </c>
    </row>
    <row r="107" spans="1:18" ht="15" customHeight="1" x14ac:dyDescent="0.2">
      <c r="A107" s="500">
        <v>45861</v>
      </c>
      <c r="B107" s="457">
        <v>12164</v>
      </c>
      <c r="C107" s="457"/>
      <c r="D107" s="457"/>
      <c r="E107" s="457">
        <v>12435.9</v>
      </c>
      <c r="F107" s="457">
        <v>245.8</v>
      </c>
      <c r="G107" s="457">
        <v>1259.9000000000001</v>
      </c>
      <c r="H107" s="457">
        <v>377.9</v>
      </c>
      <c r="I107" s="457">
        <v>3060.2</v>
      </c>
      <c r="J107" s="457"/>
      <c r="K107" s="457"/>
      <c r="L107" s="457">
        <v>199.8</v>
      </c>
      <c r="M107" s="457">
        <v>658.3</v>
      </c>
      <c r="N107" s="457"/>
      <c r="O107" s="457"/>
      <c r="P107" s="457">
        <v>358</v>
      </c>
      <c r="Q107" s="457">
        <v>30759.799999999996</v>
      </c>
      <c r="R107" s="62"/>
    </row>
    <row r="108" spans="1:18" ht="15" customHeight="1" x14ac:dyDescent="0.2">
      <c r="A108" s="4">
        <v>45892</v>
      </c>
      <c r="B108" s="344">
        <v>11616.2</v>
      </c>
      <c r="C108" s="344"/>
      <c r="D108" s="344"/>
      <c r="E108" s="344">
        <v>13524.2</v>
      </c>
      <c r="F108" s="344">
        <v>337</v>
      </c>
      <c r="G108" s="344">
        <v>1333.9</v>
      </c>
      <c r="H108" s="344">
        <v>438.9</v>
      </c>
      <c r="I108" s="344">
        <v>3236.6</v>
      </c>
      <c r="J108" s="344"/>
      <c r="K108" s="344"/>
      <c r="L108" s="344">
        <v>303.5</v>
      </c>
      <c r="M108" s="344">
        <v>869</v>
      </c>
      <c r="N108" s="344"/>
      <c r="O108" s="344"/>
      <c r="P108" s="344">
        <v>334.9</v>
      </c>
      <c r="Q108" s="344">
        <v>31994.2</v>
      </c>
      <c r="R108" s="62"/>
    </row>
    <row r="109" spans="1:18" ht="15" customHeight="1" x14ac:dyDescent="0.2">
      <c r="A109" s="4">
        <v>45923</v>
      </c>
      <c r="B109" s="344">
        <v>15126.3</v>
      </c>
      <c r="C109" s="344"/>
      <c r="D109" s="344"/>
      <c r="E109" s="344">
        <v>18651.7</v>
      </c>
      <c r="F109" s="344">
        <v>164.2</v>
      </c>
      <c r="G109" s="344">
        <v>2538.5</v>
      </c>
      <c r="H109" s="344">
        <v>431.2</v>
      </c>
      <c r="I109" s="344">
        <v>3636.8</v>
      </c>
      <c r="J109" s="344"/>
      <c r="K109" s="344"/>
      <c r="L109" s="344">
        <v>547.6</v>
      </c>
      <c r="M109" s="344">
        <v>991.9</v>
      </c>
      <c r="N109" s="344"/>
      <c r="O109" s="344"/>
      <c r="P109" s="344">
        <v>315.2</v>
      </c>
      <c r="Q109" s="344">
        <v>42403.399999999994</v>
      </c>
      <c r="R109" s="62"/>
    </row>
    <row r="110" spans="1:18" ht="15" customHeight="1" x14ac:dyDescent="0.2">
      <c r="A110" s="4">
        <v>45953</v>
      </c>
      <c r="B110" s="344">
        <v>17448.3</v>
      </c>
      <c r="C110" s="344"/>
      <c r="D110" s="344"/>
      <c r="E110" s="344">
        <v>19123.099999999999</v>
      </c>
      <c r="F110" s="344">
        <v>522.6</v>
      </c>
      <c r="G110" s="344">
        <v>2591</v>
      </c>
      <c r="H110" s="344">
        <v>822.7</v>
      </c>
      <c r="I110" s="344">
        <v>3797.6</v>
      </c>
      <c r="J110" s="344"/>
      <c r="K110" s="344"/>
      <c r="L110" s="344">
        <v>819.4</v>
      </c>
      <c r="M110" s="344">
        <v>1389.2</v>
      </c>
      <c r="N110" s="344"/>
      <c r="O110" s="344"/>
      <c r="P110" s="344">
        <v>541.9</v>
      </c>
      <c r="Q110" s="344">
        <v>47055.799999999996</v>
      </c>
      <c r="R110" s="62"/>
    </row>
    <row r="111" spans="1:18" ht="15" customHeight="1" x14ac:dyDescent="0.2">
      <c r="A111" s="4">
        <v>45984</v>
      </c>
      <c r="B111" s="344">
        <v>15747.5</v>
      </c>
      <c r="C111" s="344"/>
      <c r="D111" s="344"/>
      <c r="E111" s="344">
        <v>21167.5</v>
      </c>
      <c r="F111" s="344">
        <v>831.4</v>
      </c>
      <c r="G111" s="344">
        <v>3449.9</v>
      </c>
      <c r="H111" s="344">
        <v>1225.2</v>
      </c>
      <c r="I111" s="344">
        <v>4746.5</v>
      </c>
      <c r="J111" s="344"/>
      <c r="K111" s="344"/>
      <c r="L111" s="344">
        <f>1119.8+21.3</f>
        <v>1141.0999999999999</v>
      </c>
      <c r="M111" s="344">
        <v>1982.6</v>
      </c>
      <c r="N111" s="344"/>
      <c r="O111" s="344"/>
      <c r="P111" s="344">
        <v>1228.7</v>
      </c>
      <c r="Q111" s="344">
        <v>51520.399999999994</v>
      </c>
      <c r="R111" s="62"/>
    </row>
    <row r="112" spans="1:18" ht="15" customHeight="1" x14ac:dyDescent="0.2">
      <c r="A112" s="4">
        <v>46014</v>
      </c>
      <c r="B112" s="344">
        <v>13671.4</v>
      </c>
      <c r="C112" s="344"/>
      <c r="D112" s="344"/>
      <c r="E112" s="344">
        <v>15857.9</v>
      </c>
      <c r="F112" s="344">
        <v>860.3</v>
      </c>
      <c r="G112" s="344">
        <v>2087.9</v>
      </c>
      <c r="H112" s="344">
        <v>1071.5999999999999</v>
      </c>
      <c r="I112" s="344">
        <v>3241.6</v>
      </c>
      <c r="J112" s="344"/>
      <c r="K112" s="344"/>
      <c r="L112" s="344">
        <f>985.2+47.4</f>
        <v>1032.6000000000001</v>
      </c>
      <c r="M112" s="344">
        <v>1551.3</v>
      </c>
      <c r="N112" s="344"/>
      <c r="O112" s="344"/>
      <c r="P112" s="344">
        <v>730.5</v>
      </c>
      <c r="Q112" s="344">
        <v>40105.1</v>
      </c>
      <c r="R112" s="62"/>
    </row>
    <row r="113" spans="1:19" ht="15" customHeight="1" x14ac:dyDescent="0.2">
      <c r="A113" s="4">
        <v>46045</v>
      </c>
      <c r="B113" s="344">
        <v>9607.6</v>
      </c>
      <c r="C113" s="344"/>
      <c r="D113" s="344"/>
      <c r="E113" s="344">
        <v>12785.8</v>
      </c>
      <c r="F113" s="344">
        <v>668.9</v>
      </c>
      <c r="G113" s="344">
        <v>1340.2</v>
      </c>
      <c r="H113" s="344">
        <v>579.79999999999995</v>
      </c>
      <c r="I113" s="344">
        <v>3706</v>
      </c>
      <c r="J113" s="344"/>
      <c r="K113" s="344"/>
      <c r="L113" s="344">
        <v>371.9</v>
      </c>
      <c r="M113" s="344">
        <v>895.6</v>
      </c>
      <c r="N113" s="344"/>
      <c r="O113" s="344"/>
      <c r="P113" s="344">
        <v>533.20000000000005</v>
      </c>
      <c r="Q113" s="344">
        <v>30488.999999999996</v>
      </c>
      <c r="R113" s="62"/>
    </row>
    <row r="114" spans="1:19" ht="15" customHeight="1" x14ac:dyDescent="0.2">
      <c r="A114" s="4">
        <v>46076</v>
      </c>
      <c r="B114" s="344">
        <v>8779.2000000000007</v>
      </c>
      <c r="C114" s="344"/>
      <c r="D114" s="344"/>
      <c r="E114" s="344">
        <v>10947</v>
      </c>
      <c r="F114" s="344">
        <v>986.1</v>
      </c>
      <c r="G114" s="344">
        <v>1427.9</v>
      </c>
      <c r="H114" s="344">
        <v>627.29999999999995</v>
      </c>
      <c r="I114" s="344">
        <v>2677.2</v>
      </c>
      <c r="J114" s="344"/>
      <c r="K114" s="344"/>
      <c r="L114" s="344">
        <f>531.5+22.8</f>
        <v>554.29999999999995</v>
      </c>
      <c r="M114" s="344">
        <v>1019.6</v>
      </c>
      <c r="N114" s="344"/>
      <c r="O114" s="344"/>
      <c r="P114" s="344">
        <v>470.4</v>
      </c>
      <c r="Q114" s="344">
        <v>27489.000000000004</v>
      </c>
      <c r="S114" s="5" t="s">
        <v>86</v>
      </c>
    </row>
    <row r="115" spans="1:19" ht="15" customHeight="1" x14ac:dyDescent="0.2">
      <c r="A115" s="4">
        <v>46104</v>
      </c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</row>
    <row r="116" spans="1:19" ht="15" customHeight="1" x14ac:dyDescent="0.2">
      <c r="A116" s="4">
        <v>46135</v>
      </c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</row>
    <row r="117" spans="1:19" ht="15" customHeight="1" x14ac:dyDescent="0.2">
      <c r="A117" s="4">
        <v>46165</v>
      </c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</row>
    <row r="118" spans="1:19" ht="15" customHeight="1" x14ac:dyDescent="0.2">
      <c r="A118" s="4">
        <v>46196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5BD2-3F65-7A46-9CE8-2620C993AEA6}">
  <dimension ref="A1:M14"/>
  <sheetViews>
    <sheetView workbookViewId="0">
      <selection activeCell="C27" sqref="C27"/>
    </sheetView>
  </sheetViews>
  <sheetFormatPr baseColWidth="10" defaultColWidth="10.6640625" defaultRowHeight="16" x14ac:dyDescent="0.2"/>
  <cols>
    <col min="1" max="1" width="13.33203125" style="55" customWidth="1"/>
    <col min="2" max="11" width="15.6640625" style="55" customWidth="1"/>
    <col min="12" max="12" width="14.5" style="55" bestFit="1" customWidth="1"/>
    <col min="13" max="13" width="13.33203125" style="55" customWidth="1"/>
    <col min="14" max="16384" width="10.6640625" style="55"/>
  </cols>
  <sheetData>
    <row r="1" spans="1:13" ht="51" x14ac:dyDescent="0.2">
      <c r="A1" s="367" t="s">
        <v>28</v>
      </c>
      <c r="B1" s="368" t="s">
        <v>501</v>
      </c>
      <c r="C1" s="368" t="s">
        <v>502</v>
      </c>
      <c r="D1" s="368" t="s">
        <v>503</v>
      </c>
      <c r="E1" s="368" t="s">
        <v>504</v>
      </c>
      <c r="F1" s="368" t="s">
        <v>505</v>
      </c>
      <c r="G1" s="368" t="s">
        <v>273</v>
      </c>
      <c r="H1" s="368" t="s">
        <v>591</v>
      </c>
      <c r="I1" s="368" t="s">
        <v>45</v>
      </c>
      <c r="J1" s="368" t="s">
        <v>507</v>
      </c>
      <c r="K1" s="368" t="s">
        <v>589</v>
      </c>
      <c r="L1" s="368" t="s">
        <v>592</v>
      </c>
    </row>
    <row r="2" spans="1:13" ht="17" x14ac:dyDescent="0.2">
      <c r="A2" s="18" t="s">
        <v>63</v>
      </c>
      <c r="B2" s="244">
        <v>49025</v>
      </c>
      <c r="C2" s="244">
        <v>69525</v>
      </c>
      <c r="D2" s="55">
        <v>0</v>
      </c>
      <c r="E2" s="244">
        <v>16775</v>
      </c>
      <c r="F2" s="244">
        <v>8325</v>
      </c>
      <c r="G2" s="244">
        <v>15025</v>
      </c>
      <c r="H2" s="244">
        <v>6175</v>
      </c>
      <c r="I2" s="244">
        <v>5025</v>
      </c>
      <c r="J2" s="244">
        <v>2775</v>
      </c>
      <c r="K2" s="244">
        <v>251125</v>
      </c>
      <c r="L2" s="476">
        <f>K2/365</f>
        <v>688.01369863013701</v>
      </c>
      <c r="M2" s="244"/>
    </row>
    <row r="3" spans="1:13" ht="17" x14ac:dyDescent="0.2">
      <c r="A3" s="18" t="s">
        <v>64</v>
      </c>
      <c r="B3" s="244">
        <v>32175</v>
      </c>
      <c r="C3" s="244">
        <v>150325</v>
      </c>
      <c r="D3" s="55">
        <v>0</v>
      </c>
      <c r="E3" s="244">
        <v>28625</v>
      </c>
      <c r="F3" s="244">
        <v>7300</v>
      </c>
      <c r="G3" s="244">
        <v>31125</v>
      </c>
      <c r="H3" s="244">
        <v>8350</v>
      </c>
      <c r="I3" s="244">
        <v>37900</v>
      </c>
      <c r="J3" s="244">
        <v>8950</v>
      </c>
      <c r="K3" s="244">
        <v>472375</v>
      </c>
      <c r="L3" s="476">
        <f t="shared" ref="L3:L10" si="0">K3/365</f>
        <v>1294.1780821917807</v>
      </c>
      <c r="M3" s="244"/>
    </row>
    <row r="4" spans="1:13" ht="17" x14ac:dyDescent="0.2">
      <c r="A4" s="18" t="s">
        <v>65</v>
      </c>
      <c r="B4" s="244">
        <v>95710</v>
      </c>
      <c r="C4" s="244">
        <v>101090.3</v>
      </c>
      <c r="D4" s="244">
        <v>3234.5</v>
      </c>
      <c r="E4" s="244">
        <v>6200.5</v>
      </c>
      <c r="F4" s="244">
        <v>8418.2999999999993</v>
      </c>
      <c r="G4" s="244">
        <v>30338.6</v>
      </c>
      <c r="H4" s="244">
        <v>13746</v>
      </c>
      <c r="I4" s="244">
        <v>28710</v>
      </c>
      <c r="J4" s="244">
        <v>17173.3</v>
      </c>
      <c r="K4" s="244">
        <v>436631.1</v>
      </c>
      <c r="L4" s="476">
        <f t="shared" si="0"/>
        <v>1196.2495890410958</v>
      </c>
      <c r="M4" s="244"/>
    </row>
    <row r="5" spans="1:13" ht="17" x14ac:dyDescent="0.2">
      <c r="A5" s="18" t="s">
        <v>66</v>
      </c>
      <c r="B5" s="244">
        <v>91380.1</v>
      </c>
      <c r="C5" s="244">
        <v>89447.3</v>
      </c>
      <c r="D5" s="244">
        <v>6412.3</v>
      </c>
      <c r="E5" s="244">
        <v>14591.3</v>
      </c>
      <c r="F5" s="244">
        <v>4979.6000000000004</v>
      </c>
      <c r="G5" s="244">
        <v>18617</v>
      </c>
      <c r="H5" s="244">
        <v>8146.6</v>
      </c>
      <c r="I5" s="244">
        <v>19129.5</v>
      </c>
      <c r="J5" s="244">
        <v>16144.4</v>
      </c>
      <c r="K5" s="244">
        <v>382586.3</v>
      </c>
      <c r="L5" s="476">
        <f t="shared" si="0"/>
        <v>1048.1816438356163</v>
      </c>
      <c r="M5" s="244"/>
    </row>
    <row r="6" spans="1:13" ht="17" x14ac:dyDescent="0.2">
      <c r="A6" s="18" t="s">
        <v>68</v>
      </c>
      <c r="B6" s="244">
        <v>118550.39999999999</v>
      </c>
      <c r="C6" s="244">
        <v>140078</v>
      </c>
      <c r="D6" s="244">
        <v>41054.800000000003</v>
      </c>
      <c r="E6" s="244">
        <v>20097.7</v>
      </c>
      <c r="F6" s="244">
        <v>16840.900000000001</v>
      </c>
      <c r="G6" s="244">
        <v>8811.4</v>
      </c>
      <c r="H6" s="244">
        <v>15002.3</v>
      </c>
      <c r="I6" s="244">
        <v>9554</v>
      </c>
      <c r="J6" s="244">
        <v>21931.7</v>
      </c>
      <c r="K6" s="244">
        <v>568933.19999999995</v>
      </c>
      <c r="L6" s="476">
        <f t="shared" si="0"/>
        <v>1558.7210958904109</v>
      </c>
      <c r="M6" s="244"/>
    </row>
    <row r="7" spans="1:13" ht="17" x14ac:dyDescent="0.2">
      <c r="A7" s="18" t="s">
        <v>70</v>
      </c>
      <c r="B7" s="244">
        <v>104866.3</v>
      </c>
      <c r="C7" s="244">
        <v>128989</v>
      </c>
      <c r="D7" s="244">
        <v>54720.3</v>
      </c>
      <c r="E7" s="244">
        <v>13904</v>
      </c>
      <c r="F7" s="244">
        <v>14353</v>
      </c>
      <c r="G7" s="244">
        <v>10327</v>
      </c>
      <c r="H7" s="244">
        <v>20014</v>
      </c>
      <c r="I7" s="244">
        <v>13540</v>
      </c>
      <c r="J7" s="244">
        <v>29110</v>
      </c>
      <c r="K7" s="244">
        <v>567936.6</v>
      </c>
      <c r="L7" s="476">
        <f t="shared" si="0"/>
        <v>1555.9906849315068</v>
      </c>
      <c r="M7" s="244"/>
    </row>
    <row r="8" spans="1:13" ht="17" x14ac:dyDescent="0.2">
      <c r="A8" s="18" t="s">
        <v>72</v>
      </c>
      <c r="B8" s="244">
        <v>140864</v>
      </c>
      <c r="C8" s="244">
        <v>140849</v>
      </c>
      <c r="D8" s="244">
        <v>33686</v>
      </c>
      <c r="E8" s="244">
        <v>15827</v>
      </c>
      <c r="F8" s="244">
        <v>12039</v>
      </c>
      <c r="G8" s="244">
        <v>21757</v>
      </c>
      <c r="H8" s="244">
        <v>20628</v>
      </c>
      <c r="I8" s="244">
        <v>15570</v>
      </c>
      <c r="J8" s="244">
        <v>30543.1</v>
      </c>
      <c r="K8" s="244">
        <v>623783.19999999995</v>
      </c>
      <c r="L8" s="476">
        <f t="shared" si="0"/>
        <v>1708.9950684931505</v>
      </c>
      <c r="M8" s="244"/>
    </row>
    <row r="9" spans="1:13" ht="17" x14ac:dyDescent="0.2">
      <c r="A9" s="18" t="s">
        <v>74</v>
      </c>
      <c r="B9" s="244">
        <f>SUM('Raw Food Data (KG)'!B83:B94)</f>
        <v>147205.70000000001</v>
      </c>
      <c r="C9" s="244">
        <f>SUM('Raw Food Data (KG)'!E83:E94)</f>
        <v>146481.50000000003</v>
      </c>
      <c r="D9" s="244">
        <f>SUM('Raw Food Data (KG)'!F83:F94)</f>
        <v>9562.7999999999993</v>
      </c>
      <c r="E9" s="244">
        <f>SUM('Raw Food Data (KG)'!G83:G94)</f>
        <v>22619.7</v>
      </c>
      <c r="F9" s="244">
        <f>SUM('Raw Food Data (KG)'!H83:H94)</f>
        <v>6012.2999999999993</v>
      </c>
      <c r="G9" s="244">
        <f>SUM('Raw Food Data (KG)'!I83:I94)</f>
        <v>32089.9</v>
      </c>
      <c r="H9" s="244">
        <f>SUM('Raw Food Data (KG)'!L83:L94)</f>
        <v>5352.7</v>
      </c>
      <c r="I9" s="244">
        <f>SUM('Raw Food Data (KG)'!M83:M94)</f>
        <v>9036.2999999999993</v>
      </c>
      <c r="J9" s="497">
        <f>SUM('Raw Food Data (KG)'!P83:P94)</f>
        <v>31086.399999999998</v>
      </c>
      <c r="K9" s="497">
        <f>B9+SUM(C9:G9)+SUM(H9:I9)+J9</f>
        <v>409447.30000000005</v>
      </c>
      <c r="L9" s="476">
        <f t="shared" si="0"/>
        <v>1121.7734246575344</v>
      </c>
    </row>
    <row r="10" spans="1:13" ht="17" x14ac:dyDescent="0.2">
      <c r="A10" s="18" t="s">
        <v>76</v>
      </c>
      <c r="B10" s="244">
        <f>SUM('Raw Food Data (KG)'!B95:B106)</f>
        <v>173751.9</v>
      </c>
      <c r="C10" s="244">
        <f>SUM('Raw Food Data (KG)'!E95:E106)</f>
        <v>208125.3</v>
      </c>
      <c r="D10" s="244">
        <f>SUM('Raw Food Data (KG)'!F95:F106)</f>
        <v>4082.7000000000007</v>
      </c>
      <c r="E10" s="244">
        <f>SUM('Raw Food Data (KG)'!G95:G106)</f>
        <v>26462.899999999994</v>
      </c>
      <c r="F10" s="244">
        <f>SUM('Raw Food Data (KG)'!H95:H106)</f>
        <v>5550.3000000000011</v>
      </c>
      <c r="G10" s="244">
        <f>SUM('Raw Food Data (KG)'!I95:I106)</f>
        <v>37593.699999999997</v>
      </c>
      <c r="H10" s="244">
        <f>SUM('Raw Food Data (KG)'!L95:L106)</f>
        <v>5524.9000000000015</v>
      </c>
      <c r="I10" s="244">
        <f>SUM('Raw Food Data (KG)'!M95:M106)</f>
        <v>10812.4</v>
      </c>
      <c r="J10" s="244">
        <f>SUM('Raw Food Data (KG)'!P95:P106)</f>
        <v>30626.799999999999</v>
      </c>
      <c r="K10" s="244">
        <f>SUM(B10:J10)</f>
        <v>502530.89999999997</v>
      </c>
      <c r="L10" s="476">
        <f t="shared" si="0"/>
        <v>1376.7969863013698</v>
      </c>
    </row>
    <row r="12" spans="1:13" x14ac:dyDescent="0.2">
      <c r="K12" s="244">
        <f>(K10-K2)/K2</f>
        <v>1.0011185664509705</v>
      </c>
    </row>
    <row r="13" spans="1:13" x14ac:dyDescent="0.2">
      <c r="B13" s="53" t="s">
        <v>593</v>
      </c>
    </row>
    <row r="14" spans="1:13" x14ac:dyDescent="0.2">
      <c r="B14" s="53" t="s">
        <v>594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C7B5-D064-9F47-BAC3-2690504FA088}">
  <dimension ref="A1:O151"/>
  <sheetViews>
    <sheetView topLeftCell="A124" workbookViewId="0"/>
  </sheetViews>
  <sheetFormatPr baseColWidth="10" defaultColWidth="11.5" defaultRowHeight="16" x14ac:dyDescent="0.2"/>
  <cols>
    <col min="1" max="1" width="11.1640625" style="328" bestFit="1" customWidth="1"/>
    <col min="2" max="7" width="15.6640625" style="1" customWidth="1"/>
    <col min="8" max="8" width="15.1640625" style="1" bestFit="1" customWidth="1"/>
    <col min="9" max="9" width="15.6640625" style="328" customWidth="1"/>
    <col min="10" max="15" width="15.6640625" style="1" customWidth="1"/>
    <col min="16" max="16384" width="11.5" style="1"/>
  </cols>
  <sheetData>
    <row r="1" spans="1:15" x14ac:dyDescent="0.2">
      <c r="A1" s="221" t="s">
        <v>28</v>
      </c>
      <c r="B1" s="221" t="s">
        <v>489</v>
      </c>
      <c r="C1" s="221" t="s">
        <v>492</v>
      </c>
      <c r="D1" s="221" t="s">
        <v>493</v>
      </c>
      <c r="E1" s="221" t="s">
        <v>494</v>
      </c>
      <c r="F1" s="221" t="s">
        <v>26</v>
      </c>
      <c r="G1" s="221" t="s">
        <v>495</v>
      </c>
      <c r="I1" s="221" t="s">
        <v>595</v>
      </c>
      <c r="J1" s="221" t="s">
        <v>489</v>
      </c>
      <c r="K1" s="221" t="s">
        <v>492</v>
      </c>
      <c r="L1" s="221" t="s">
        <v>493</v>
      </c>
      <c r="M1" s="221" t="s">
        <v>494</v>
      </c>
      <c r="N1" s="221" t="s">
        <v>26</v>
      </c>
      <c r="O1" s="221" t="s">
        <v>495</v>
      </c>
    </row>
    <row r="2" spans="1:15" x14ac:dyDescent="0.2">
      <c r="A2" s="222">
        <v>41456</v>
      </c>
      <c r="B2" s="15">
        <v>282100</v>
      </c>
      <c r="C2" s="14">
        <v>7478</v>
      </c>
      <c r="D2" s="1">
        <v>348</v>
      </c>
      <c r="E2" s="1">
        <v>0</v>
      </c>
      <c r="G2" s="14">
        <v>0</v>
      </c>
      <c r="I2" s="221" t="s">
        <v>596</v>
      </c>
      <c r="J2" s="15">
        <v>837200</v>
      </c>
      <c r="K2" s="14">
        <v>21307</v>
      </c>
      <c r="L2" s="14">
        <v>1440</v>
      </c>
      <c r="M2" s="1">
        <v>0</v>
      </c>
      <c r="N2" s="1">
        <v>0</v>
      </c>
      <c r="O2" s="1">
        <v>0</v>
      </c>
    </row>
    <row r="3" spans="1:15" x14ac:dyDescent="0.2">
      <c r="A3" s="222">
        <v>41487</v>
      </c>
      <c r="B3" s="15">
        <v>282100</v>
      </c>
      <c r="C3" s="14">
        <v>6470</v>
      </c>
      <c r="D3" s="1">
        <v>525</v>
      </c>
      <c r="E3" s="1">
        <v>0</v>
      </c>
      <c r="G3" s="14">
        <v>0</v>
      </c>
      <c r="I3" s="322" t="s">
        <v>597</v>
      </c>
      <c r="J3" s="323">
        <v>837200</v>
      </c>
      <c r="K3" s="314">
        <v>21287</v>
      </c>
      <c r="L3" s="314">
        <v>3051</v>
      </c>
      <c r="M3" s="324">
        <v>3</v>
      </c>
      <c r="N3" s="324">
        <v>0</v>
      </c>
      <c r="O3" s="324">
        <v>0</v>
      </c>
    </row>
    <row r="4" spans="1:15" x14ac:dyDescent="0.2">
      <c r="A4" s="222">
        <v>41518</v>
      </c>
      <c r="B4" s="15">
        <v>273000</v>
      </c>
      <c r="C4" s="14">
        <v>7358</v>
      </c>
      <c r="D4" s="1">
        <v>567</v>
      </c>
      <c r="E4" s="1">
        <v>0</v>
      </c>
      <c r="G4" s="14">
        <v>0</v>
      </c>
      <c r="I4" s="221" t="s">
        <v>598</v>
      </c>
      <c r="J4" s="15">
        <v>819000</v>
      </c>
      <c r="K4" s="14">
        <v>21166</v>
      </c>
      <c r="L4" s="14">
        <v>3420</v>
      </c>
      <c r="M4" s="1">
        <v>0</v>
      </c>
      <c r="N4" s="1">
        <v>0</v>
      </c>
      <c r="O4" s="1">
        <v>0</v>
      </c>
    </row>
    <row r="5" spans="1:15" x14ac:dyDescent="0.2">
      <c r="A5" s="222">
        <v>41548</v>
      </c>
      <c r="B5" s="15">
        <v>282100</v>
      </c>
      <c r="C5" s="14">
        <v>7288</v>
      </c>
      <c r="D5" s="1">
        <v>750</v>
      </c>
      <c r="E5" s="1">
        <v>0</v>
      </c>
      <c r="G5" s="14">
        <v>0</v>
      </c>
      <c r="I5" s="221" t="s">
        <v>599</v>
      </c>
      <c r="J5" s="15">
        <v>828100</v>
      </c>
      <c r="K5" s="14">
        <v>21948</v>
      </c>
      <c r="L5" s="14">
        <v>4510</v>
      </c>
      <c r="M5" s="1">
        <v>0</v>
      </c>
      <c r="N5" s="1">
        <v>0</v>
      </c>
      <c r="O5" s="1">
        <v>0</v>
      </c>
    </row>
    <row r="6" spans="1:15" x14ac:dyDescent="0.2">
      <c r="A6" s="222">
        <v>41579</v>
      </c>
      <c r="B6" s="15">
        <v>273000</v>
      </c>
      <c r="C6" s="14">
        <v>7126</v>
      </c>
      <c r="D6" s="14">
        <v>1211</v>
      </c>
      <c r="E6" s="1">
        <v>0</v>
      </c>
      <c r="G6" s="14">
        <v>0</v>
      </c>
      <c r="I6" s="221" t="s">
        <v>600</v>
      </c>
      <c r="J6" s="15">
        <v>837200</v>
      </c>
      <c r="K6" s="14">
        <v>21064</v>
      </c>
      <c r="L6" s="14">
        <v>4640</v>
      </c>
      <c r="M6" s="14">
        <v>1453</v>
      </c>
      <c r="N6" s="1">
        <v>0</v>
      </c>
      <c r="O6" s="1">
        <v>0</v>
      </c>
    </row>
    <row r="7" spans="1:15" x14ac:dyDescent="0.2">
      <c r="A7" s="222">
        <v>41609</v>
      </c>
      <c r="B7" s="15">
        <v>282100</v>
      </c>
      <c r="C7" s="14">
        <v>6873</v>
      </c>
      <c r="D7" s="14">
        <v>1090</v>
      </c>
      <c r="E7" s="1">
        <v>3</v>
      </c>
      <c r="G7" s="14">
        <v>0</v>
      </c>
      <c r="I7" s="322" t="s">
        <v>601</v>
      </c>
      <c r="J7" s="323">
        <v>837200</v>
      </c>
      <c r="K7" s="314">
        <v>21207</v>
      </c>
      <c r="L7" s="314">
        <v>4100</v>
      </c>
      <c r="M7" s="314">
        <v>3422</v>
      </c>
      <c r="N7" s="324">
        <v>0</v>
      </c>
      <c r="O7" s="324">
        <v>0</v>
      </c>
    </row>
    <row r="8" spans="1:15" x14ac:dyDescent="0.2">
      <c r="A8" s="222">
        <v>41640</v>
      </c>
      <c r="B8" s="15">
        <v>282100</v>
      </c>
      <c r="C8" s="14">
        <v>6945</v>
      </c>
      <c r="D8" s="1">
        <v>870</v>
      </c>
      <c r="E8" s="1">
        <v>0</v>
      </c>
      <c r="G8" s="14">
        <v>0</v>
      </c>
      <c r="I8" s="221" t="s">
        <v>602</v>
      </c>
      <c r="J8" s="15">
        <v>819000</v>
      </c>
      <c r="K8" s="14">
        <v>20793</v>
      </c>
      <c r="L8" s="14">
        <v>4220</v>
      </c>
      <c r="M8" s="14">
        <v>3749</v>
      </c>
      <c r="N8" s="1">
        <v>0</v>
      </c>
      <c r="O8" s="1">
        <v>0</v>
      </c>
    </row>
    <row r="9" spans="1:15" x14ac:dyDescent="0.2">
      <c r="A9" s="222">
        <v>41671</v>
      </c>
      <c r="B9" s="15">
        <v>254800</v>
      </c>
      <c r="C9" s="14">
        <v>6917</v>
      </c>
      <c r="D9" s="14">
        <v>1200</v>
      </c>
      <c r="E9" s="1">
        <v>0</v>
      </c>
      <c r="G9" s="14">
        <v>0</v>
      </c>
      <c r="I9" s="221" t="s">
        <v>603</v>
      </c>
      <c r="J9" s="15">
        <v>828100</v>
      </c>
      <c r="K9" s="14">
        <v>19734</v>
      </c>
      <c r="L9" s="14">
        <v>4610</v>
      </c>
      <c r="M9" s="14">
        <v>4089</v>
      </c>
      <c r="N9" s="1">
        <v>0</v>
      </c>
      <c r="O9" s="1">
        <v>0</v>
      </c>
    </row>
    <row r="10" spans="1:15" x14ac:dyDescent="0.2">
      <c r="A10" s="222">
        <v>41699</v>
      </c>
      <c r="B10" s="15">
        <v>282100</v>
      </c>
      <c r="C10" s="14">
        <v>7304</v>
      </c>
      <c r="D10" s="14">
        <v>1350</v>
      </c>
      <c r="E10" s="1">
        <v>0</v>
      </c>
      <c r="G10" s="14">
        <v>0</v>
      </c>
      <c r="I10" s="221" t="s">
        <v>604</v>
      </c>
      <c r="J10" s="15">
        <v>785810</v>
      </c>
      <c r="K10" s="14">
        <v>19627</v>
      </c>
      <c r="L10" s="14">
        <v>4540</v>
      </c>
      <c r="M10" s="14">
        <v>4130</v>
      </c>
      <c r="N10" s="1">
        <v>0</v>
      </c>
      <c r="O10" s="1">
        <v>0</v>
      </c>
    </row>
    <row r="11" spans="1:15" x14ac:dyDescent="0.2">
      <c r="A11" s="222">
        <v>41730</v>
      </c>
      <c r="B11" s="15">
        <v>273000</v>
      </c>
      <c r="C11" s="14">
        <v>7255</v>
      </c>
      <c r="D11" s="14">
        <v>1310</v>
      </c>
      <c r="E11" s="1">
        <v>0</v>
      </c>
      <c r="G11" s="14">
        <v>0</v>
      </c>
      <c r="I11" s="322" t="s">
        <v>605</v>
      </c>
      <c r="J11" s="323">
        <v>823170</v>
      </c>
      <c r="K11" s="314">
        <v>19227</v>
      </c>
      <c r="L11" s="314">
        <v>5240</v>
      </c>
      <c r="M11" s="314">
        <v>6947</v>
      </c>
      <c r="N11" s="324">
        <v>0</v>
      </c>
      <c r="O11" s="324">
        <v>0</v>
      </c>
    </row>
    <row r="12" spans="1:15" x14ac:dyDescent="0.2">
      <c r="A12" s="222">
        <v>41760</v>
      </c>
      <c r="B12" s="15">
        <v>282100</v>
      </c>
      <c r="C12" s="14">
        <v>7503</v>
      </c>
      <c r="D12" s="14">
        <v>1550</v>
      </c>
      <c r="E12" s="1">
        <v>0</v>
      </c>
      <c r="G12" s="14">
        <v>0</v>
      </c>
      <c r="I12" s="221" t="s">
        <v>606</v>
      </c>
      <c r="J12" s="15">
        <v>773590</v>
      </c>
      <c r="K12" s="14">
        <v>20602</v>
      </c>
      <c r="L12" s="14">
        <v>4520</v>
      </c>
      <c r="M12" s="14">
        <v>6120</v>
      </c>
      <c r="N12" s="1">
        <v>0</v>
      </c>
      <c r="O12" s="1">
        <v>0</v>
      </c>
    </row>
    <row r="13" spans="1:15" x14ac:dyDescent="0.2">
      <c r="A13" s="222">
        <v>41791</v>
      </c>
      <c r="B13" s="15">
        <v>273000</v>
      </c>
      <c r="C13" s="14">
        <v>7190</v>
      </c>
      <c r="D13" s="14">
        <v>1650</v>
      </c>
      <c r="E13" s="1">
        <v>0</v>
      </c>
      <c r="G13" s="14">
        <v>0</v>
      </c>
      <c r="I13" s="221" t="s">
        <v>607</v>
      </c>
      <c r="J13" s="15">
        <v>804680</v>
      </c>
      <c r="K13" s="14">
        <v>20283</v>
      </c>
      <c r="L13" s="14">
        <v>4120</v>
      </c>
      <c r="M13" s="14">
        <v>5483</v>
      </c>
      <c r="N13" s="1">
        <v>0</v>
      </c>
      <c r="O13" s="1">
        <v>0</v>
      </c>
    </row>
    <row r="14" spans="1:15" x14ac:dyDescent="0.2">
      <c r="A14" s="222">
        <v>41821</v>
      </c>
      <c r="B14" s="15">
        <v>282100</v>
      </c>
      <c r="C14" s="14">
        <v>6993</v>
      </c>
      <c r="D14" s="14">
        <v>1750</v>
      </c>
      <c r="E14" s="1">
        <v>0</v>
      </c>
      <c r="G14" s="14">
        <v>0</v>
      </c>
      <c r="I14" s="221" t="s">
        <v>608</v>
      </c>
      <c r="J14" s="15">
        <v>741730</v>
      </c>
      <c r="K14" s="14">
        <v>28760</v>
      </c>
      <c r="L14" s="14">
        <v>7310</v>
      </c>
      <c r="M14" s="14">
        <v>6261</v>
      </c>
      <c r="N14" s="14">
        <v>11950</v>
      </c>
      <c r="O14" s="1">
        <v>0</v>
      </c>
    </row>
    <row r="15" spans="1:15" x14ac:dyDescent="0.2">
      <c r="A15" s="222">
        <v>41852</v>
      </c>
      <c r="B15" s="15">
        <v>282100</v>
      </c>
      <c r="C15" s="14">
        <v>7084</v>
      </c>
      <c r="D15" s="14">
        <v>1340</v>
      </c>
      <c r="E15" s="1">
        <v>626</v>
      </c>
      <c r="G15" s="14">
        <v>0</v>
      </c>
      <c r="I15" s="322" t="s">
        <v>609</v>
      </c>
      <c r="J15" s="323">
        <v>768960</v>
      </c>
      <c r="K15" s="314">
        <v>35755</v>
      </c>
      <c r="L15" s="314">
        <v>6330</v>
      </c>
      <c r="M15" s="314">
        <v>6632</v>
      </c>
      <c r="N15" s="314">
        <v>57950</v>
      </c>
      <c r="O15" s="324">
        <v>129</v>
      </c>
    </row>
    <row r="16" spans="1:15" x14ac:dyDescent="0.2">
      <c r="A16" s="222">
        <v>41883</v>
      </c>
      <c r="B16" s="15">
        <v>273000</v>
      </c>
      <c r="C16" s="14">
        <v>6987</v>
      </c>
      <c r="D16" s="14">
        <v>1550</v>
      </c>
      <c r="E16" s="1">
        <v>827</v>
      </c>
      <c r="G16" s="14">
        <v>0</v>
      </c>
      <c r="I16" s="221" t="s">
        <v>610</v>
      </c>
      <c r="J16" s="15">
        <v>722770</v>
      </c>
      <c r="K16" s="14">
        <v>41137</v>
      </c>
      <c r="L16" s="14">
        <v>7300</v>
      </c>
      <c r="M16" s="14">
        <v>5137</v>
      </c>
      <c r="N16" s="14">
        <v>54550</v>
      </c>
      <c r="O16" s="1">
        <v>0</v>
      </c>
    </row>
    <row r="17" spans="1:15" x14ac:dyDescent="0.2">
      <c r="A17" s="222">
        <v>41913</v>
      </c>
      <c r="B17" s="15">
        <v>282100</v>
      </c>
      <c r="C17" s="14">
        <v>6613</v>
      </c>
      <c r="D17" s="14">
        <v>1290</v>
      </c>
      <c r="E17" s="1">
        <v>728</v>
      </c>
      <c r="G17" s="14">
        <v>0</v>
      </c>
      <c r="I17" s="221" t="s">
        <v>611</v>
      </c>
      <c r="J17" s="15">
        <v>727860</v>
      </c>
      <c r="K17" s="14">
        <v>42187</v>
      </c>
      <c r="L17" s="14">
        <v>7750</v>
      </c>
      <c r="M17" s="14">
        <v>6088</v>
      </c>
      <c r="N17" s="14">
        <v>60150</v>
      </c>
      <c r="O17" s="1">
        <v>0</v>
      </c>
    </row>
    <row r="18" spans="1:15" x14ac:dyDescent="0.2">
      <c r="A18" s="222">
        <v>41944</v>
      </c>
      <c r="B18" s="15">
        <v>273000</v>
      </c>
      <c r="C18" s="14">
        <v>7359</v>
      </c>
      <c r="D18" s="14">
        <v>1310</v>
      </c>
      <c r="E18" s="14">
        <v>1653</v>
      </c>
      <c r="G18" s="14">
        <v>0</v>
      </c>
      <c r="I18" s="221" t="s">
        <v>612</v>
      </c>
      <c r="J18" s="15">
        <v>739790</v>
      </c>
      <c r="K18" s="14">
        <v>37620</v>
      </c>
      <c r="L18" s="14">
        <v>6280</v>
      </c>
      <c r="M18" s="14">
        <v>7264</v>
      </c>
      <c r="N18" s="14">
        <v>53850</v>
      </c>
      <c r="O18" s="1">
        <v>0</v>
      </c>
    </row>
    <row r="19" spans="1:15" x14ac:dyDescent="0.2">
      <c r="A19" s="222">
        <v>41974</v>
      </c>
      <c r="B19" s="15">
        <v>282100</v>
      </c>
      <c r="C19" s="14">
        <v>7235</v>
      </c>
      <c r="D19" s="14">
        <v>1500</v>
      </c>
      <c r="E19" s="14">
        <v>1041</v>
      </c>
      <c r="G19" s="14">
        <v>0</v>
      </c>
      <c r="I19" s="322" t="s">
        <v>613</v>
      </c>
      <c r="J19" s="323">
        <v>800320</v>
      </c>
      <c r="K19" s="314">
        <v>36172</v>
      </c>
      <c r="L19" s="314">
        <v>5760</v>
      </c>
      <c r="M19" s="314">
        <v>9089</v>
      </c>
      <c r="N19" s="314">
        <v>85475</v>
      </c>
      <c r="O19" s="324">
        <v>0</v>
      </c>
    </row>
    <row r="20" spans="1:15" x14ac:dyDescent="0.2">
      <c r="A20" s="222">
        <v>42005</v>
      </c>
      <c r="B20" s="15">
        <v>282100</v>
      </c>
      <c r="C20" s="14">
        <v>7133</v>
      </c>
      <c r="D20" s="14">
        <v>1570</v>
      </c>
      <c r="E20" s="1">
        <v>940</v>
      </c>
      <c r="G20" s="14">
        <v>0</v>
      </c>
      <c r="I20" s="221" t="s">
        <v>614</v>
      </c>
      <c r="J20" s="15">
        <v>737080</v>
      </c>
      <c r="K20" s="14">
        <v>29393</v>
      </c>
      <c r="L20" s="14">
        <v>9060</v>
      </c>
      <c r="M20" s="14">
        <v>4010</v>
      </c>
      <c r="N20" s="14">
        <v>75100</v>
      </c>
      <c r="O20" s="1">
        <v>0</v>
      </c>
    </row>
    <row r="21" spans="1:15" x14ac:dyDescent="0.2">
      <c r="A21" s="222">
        <v>42036</v>
      </c>
      <c r="B21" s="15">
        <v>254800</v>
      </c>
      <c r="C21" s="14">
        <v>7021</v>
      </c>
      <c r="D21" s="14">
        <v>1310</v>
      </c>
      <c r="E21" s="1">
        <v>856</v>
      </c>
      <c r="G21" s="14">
        <v>0</v>
      </c>
      <c r="I21" s="221" t="s">
        <v>615</v>
      </c>
      <c r="J21" s="15">
        <v>625480</v>
      </c>
      <c r="K21" s="14">
        <v>37392</v>
      </c>
      <c r="L21" s="14">
        <v>55020</v>
      </c>
      <c r="M21" s="14">
        <v>5590</v>
      </c>
      <c r="N21" s="14">
        <v>90325</v>
      </c>
      <c r="O21" s="14">
        <v>21000</v>
      </c>
    </row>
    <row r="22" spans="1:15" x14ac:dyDescent="0.2">
      <c r="A22" s="222">
        <v>42064</v>
      </c>
      <c r="B22" s="15">
        <v>282100</v>
      </c>
      <c r="C22" s="14">
        <v>6639</v>
      </c>
      <c r="D22" s="14">
        <v>1340</v>
      </c>
      <c r="E22" s="14">
        <v>1953</v>
      </c>
      <c r="G22" s="14">
        <v>0</v>
      </c>
      <c r="I22" s="221" t="s">
        <v>616</v>
      </c>
      <c r="J22" s="15">
        <v>618440</v>
      </c>
      <c r="K22" s="14">
        <v>33230</v>
      </c>
      <c r="L22" s="14">
        <v>15440</v>
      </c>
      <c r="M22" s="14">
        <v>4437</v>
      </c>
      <c r="N22" s="14">
        <v>60503</v>
      </c>
      <c r="O22" s="14">
        <v>61680</v>
      </c>
    </row>
    <row r="23" spans="1:15" x14ac:dyDescent="0.2">
      <c r="A23" s="222">
        <v>42095</v>
      </c>
      <c r="B23" s="15">
        <v>273000</v>
      </c>
      <c r="C23" s="14">
        <v>6600</v>
      </c>
      <c r="D23" s="14">
        <v>1510</v>
      </c>
      <c r="E23" s="14">
        <v>1307</v>
      </c>
      <c r="G23" s="14">
        <v>0</v>
      </c>
      <c r="I23" s="322" t="s">
        <v>617</v>
      </c>
      <c r="J23" s="323">
        <v>673610</v>
      </c>
      <c r="K23" s="314">
        <v>27220</v>
      </c>
      <c r="L23" s="314">
        <v>44380</v>
      </c>
      <c r="M23" s="314">
        <v>6316</v>
      </c>
      <c r="N23" s="323">
        <v>79485</v>
      </c>
      <c r="O23" s="314">
        <v>72040</v>
      </c>
    </row>
    <row r="24" spans="1:15" x14ac:dyDescent="0.2">
      <c r="A24" s="222">
        <v>42125</v>
      </c>
      <c r="B24" s="15">
        <v>282100</v>
      </c>
      <c r="C24" s="14">
        <v>6630</v>
      </c>
      <c r="D24" s="14">
        <v>1750</v>
      </c>
      <c r="E24" s="14">
        <v>1474</v>
      </c>
      <c r="G24" s="14">
        <v>0</v>
      </c>
      <c r="I24" s="221" t="s">
        <v>618</v>
      </c>
      <c r="J24" s="15">
        <v>505537.33</v>
      </c>
      <c r="K24" s="14">
        <v>29169</v>
      </c>
      <c r="L24" s="14">
        <v>20989</v>
      </c>
      <c r="M24" s="14">
        <v>5503</v>
      </c>
      <c r="N24" s="15">
        <v>77272.5</v>
      </c>
      <c r="O24" s="14">
        <v>57360</v>
      </c>
    </row>
    <row r="25" spans="1:15" x14ac:dyDescent="0.2">
      <c r="A25" s="222">
        <v>42156</v>
      </c>
      <c r="B25" s="15">
        <v>273000</v>
      </c>
      <c r="C25" s="14">
        <v>6504</v>
      </c>
      <c r="D25" s="14">
        <v>1350</v>
      </c>
      <c r="E25" s="14">
        <v>1308</v>
      </c>
      <c r="G25" s="14">
        <v>0</v>
      </c>
      <c r="I25" s="221" t="s">
        <v>619</v>
      </c>
      <c r="J25" s="15">
        <v>525659.37</v>
      </c>
      <c r="K25" s="14">
        <v>37805</v>
      </c>
      <c r="L25" s="14">
        <v>34070</v>
      </c>
      <c r="M25" s="14">
        <v>7699</v>
      </c>
      <c r="N25" s="15">
        <v>87361</v>
      </c>
      <c r="O25" s="1">
        <v>0</v>
      </c>
    </row>
    <row r="26" spans="1:15" x14ac:dyDescent="0.2">
      <c r="A26" s="222">
        <v>42186</v>
      </c>
      <c r="B26" s="15">
        <v>231390</v>
      </c>
      <c r="C26" s="14">
        <v>6764</v>
      </c>
      <c r="D26" s="14">
        <v>1710</v>
      </c>
      <c r="E26" s="1">
        <v>957</v>
      </c>
      <c r="G26" s="14">
        <v>0</v>
      </c>
      <c r="I26" s="221" t="s">
        <v>620</v>
      </c>
      <c r="J26" s="15">
        <v>583760</v>
      </c>
      <c r="K26" s="14">
        <v>45177</v>
      </c>
      <c r="L26" s="14">
        <v>73193</v>
      </c>
      <c r="M26" s="14">
        <v>7223</v>
      </c>
      <c r="N26" s="15">
        <v>79043.5</v>
      </c>
      <c r="O26" s="14">
        <v>28060</v>
      </c>
    </row>
    <row r="27" spans="1:15" x14ac:dyDescent="0.2">
      <c r="A27" s="222">
        <v>42217</v>
      </c>
      <c r="B27" s="15">
        <v>281540</v>
      </c>
      <c r="C27" s="14">
        <v>6575</v>
      </c>
      <c r="D27" s="14">
        <v>1330</v>
      </c>
      <c r="E27" s="14">
        <v>1097</v>
      </c>
      <c r="G27" s="14">
        <v>0</v>
      </c>
      <c r="I27" s="322" t="s">
        <v>621</v>
      </c>
      <c r="J27" s="323">
        <v>519670</v>
      </c>
      <c r="K27" s="314">
        <v>45812</v>
      </c>
      <c r="L27" s="314">
        <v>39104</v>
      </c>
      <c r="M27" s="314">
        <v>5542</v>
      </c>
      <c r="N27" s="323">
        <v>93058.5</v>
      </c>
      <c r="O27" s="314">
        <v>80040</v>
      </c>
    </row>
    <row r="28" spans="1:15" x14ac:dyDescent="0.2">
      <c r="A28" s="222">
        <v>42248</v>
      </c>
      <c r="B28" s="15">
        <v>272880</v>
      </c>
      <c r="C28" s="14">
        <v>6287</v>
      </c>
      <c r="D28" s="14">
        <v>1500</v>
      </c>
      <c r="E28" s="14">
        <v>2076</v>
      </c>
      <c r="G28" s="14">
        <v>0</v>
      </c>
      <c r="I28" s="221" t="s">
        <v>622</v>
      </c>
      <c r="J28" s="15">
        <v>297580</v>
      </c>
      <c r="K28" s="14">
        <v>32552</v>
      </c>
      <c r="L28" s="14">
        <v>31702</v>
      </c>
      <c r="M28" s="14">
        <v>1100</v>
      </c>
      <c r="N28" s="15">
        <v>49197.5</v>
      </c>
      <c r="O28" s="14">
        <v>79320</v>
      </c>
    </row>
    <row r="29" spans="1:15" x14ac:dyDescent="0.2">
      <c r="A29" s="222">
        <v>42278</v>
      </c>
      <c r="B29" s="15">
        <v>281000</v>
      </c>
      <c r="C29" s="14">
        <v>6521</v>
      </c>
      <c r="D29" s="14">
        <v>1090</v>
      </c>
      <c r="E29" s="14">
        <v>3457</v>
      </c>
      <c r="G29" s="14">
        <v>0</v>
      </c>
      <c r="I29" s="221" t="s">
        <v>623</v>
      </c>
      <c r="J29" s="15">
        <v>389030</v>
      </c>
      <c r="K29" s="14">
        <v>34901</v>
      </c>
      <c r="L29" s="14">
        <v>32152</v>
      </c>
      <c r="M29" s="14">
        <v>3800</v>
      </c>
      <c r="N29" s="15">
        <v>47546</v>
      </c>
      <c r="O29" s="14">
        <v>98100</v>
      </c>
    </row>
    <row r="30" spans="1:15" x14ac:dyDescent="0.2">
      <c r="A30" s="222">
        <v>42309</v>
      </c>
      <c r="B30" s="15">
        <v>274290</v>
      </c>
      <c r="C30" s="14">
        <v>6436</v>
      </c>
      <c r="D30" s="14">
        <v>1500</v>
      </c>
      <c r="E30" s="14">
        <v>1835</v>
      </c>
      <c r="G30" s="14">
        <v>0</v>
      </c>
      <c r="I30" s="221" t="s">
        <v>624</v>
      </c>
      <c r="J30" s="15">
        <v>378210</v>
      </c>
      <c r="K30" s="14">
        <v>41390</v>
      </c>
      <c r="L30" s="14">
        <v>42618</v>
      </c>
      <c r="M30" s="15">
        <v>2627</v>
      </c>
      <c r="N30" s="15">
        <v>76563</v>
      </c>
      <c r="O30" s="14">
        <v>78500</v>
      </c>
    </row>
    <row r="31" spans="1:15" x14ac:dyDescent="0.2">
      <c r="A31" s="222">
        <v>42339</v>
      </c>
      <c r="B31" s="15">
        <v>267880</v>
      </c>
      <c r="C31" s="14">
        <v>6270</v>
      </c>
      <c r="D31" s="14">
        <v>2650</v>
      </c>
      <c r="E31" s="14">
        <v>1655</v>
      </c>
      <c r="G31" s="14">
        <v>0</v>
      </c>
      <c r="I31" s="322" t="s">
        <v>625</v>
      </c>
      <c r="J31" s="323">
        <v>351580</v>
      </c>
      <c r="K31" s="314">
        <v>40966</v>
      </c>
      <c r="L31" s="314">
        <v>44273</v>
      </c>
      <c r="M31" s="314">
        <v>4942</v>
      </c>
      <c r="N31" s="323">
        <v>98658</v>
      </c>
      <c r="O31" s="314">
        <v>67200</v>
      </c>
    </row>
    <row r="32" spans="1:15" x14ac:dyDescent="0.2">
      <c r="A32" s="222">
        <v>42370</v>
      </c>
      <c r="B32" s="15">
        <v>269800</v>
      </c>
      <c r="C32" s="14">
        <v>6940</v>
      </c>
      <c r="D32" s="14">
        <v>1900</v>
      </c>
      <c r="E32" s="14">
        <v>1747</v>
      </c>
      <c r="G32" s="14">
        <v>0</v>
      </c>
      <c r="I32" s="221" t="s">
        <v>626</v>
      </c>
      <c r="J32" s="15">
        <v>338360</v>
      </c>
      <c r="K32" s="14">
        <v>41232</v>
      </c>
      <c r="L32" s="14">
        <v>44075</v>
      </c>
      <c r="M32" s="14">
        <v>2985</v>
      </c>
      <c r="N32" s="15">
        <v>98432</v>
      </c>
      <c r="O32" s="14">
        <v>72000</v>
      </c>
    </row>
    <row r="33" spans="1:15" x14ac:dyDescent="0.2">
      <c r="A33" s="222">
        <v>42401</v>
      </c>
      <c r="B33" s="15">
        <v>240500</v>
      </c>
      <c r="C33" s="14">
        <v>6776</v>
      </c>
      <c r="D33" s="14">
        <v>1050</v>
      </c>
      <c r="E33" s="14">
        <v>3175</v>
      </c>
      <c r="G33" s="14">
        <v>0</v>
      </c>
      <c r="I33" s="221" t="s">
        <v>627</v>
      </c>
      <c r="J33" s="15">
        <v>371470</v>
      </c>
      <c r="K33" s="14">
        <v>42557</v>
      </c>
      <c r="L33" s="14">
        <v>47462</v>
      </c>
      <c r="M33" s="15">
        <v>2978</v>
      </c>
      <c r="N33" s="15">
        <v>119268</v>
      </c>
      <c r="O33" s="14">
        <v>72000</v>
      </c>
    </row>
    <row r="34" spans="1:15" x14ac:dyDescent="0.2">
      <c r="A34" s="222">
        <v>42430</v>
      </c>
      <c r="B34" s="15">
        <v>263290</v>
      </c>
      <c r="C34" s="14">
        <v>6886</v>
      </c>
      <c r="D34" s="14">
        <v>1570</v>
      </c>
      <c r="E34" s="14">
        <v>1198</v>
      </c>
      <c r="G34" s="14">
        <v>0</v>
      </c>
      <c r="I34" s="221" t="s">
        <v>628</v>
      </c>
      <c r="J34" s="15">
        <v>404440</v>
      </c>
      <c r="K34" s="14">
        <v>46174</v>
      </c>
      <c r="L34" s="14">
        <v>45906</v>
      </c>
      <c r="M34" s="14">
        <v>2409</v>
      </c>
      <c r="N34" s="15">
        <v>105397</v>
      </c>
      <c r="O34" s="14">
        <v>104800</v>
      </c>
    </row>
    <row r="35" spans="1:15" x14ac:dyDescent="0.2">
      <c r="A35" s="222">
        <v>42461</v>
      </c>
      <c r="B35" s="15">
        <v>260100</v>
      </c>
      <c r="C35" s="14">
        <v>6694</v>
      </c>
      <c r="D35" s="14">
        <v>1140</v>
      </c>
      <c r="E35" s="14">
        <v>1497</v>
      </c>
      <c r="G35" s="14">
        <v>0</v>
      </c>
      <c r="I35" s="322" t="s">
        <v>629</v>
      </c>
      <c r="J35" s="323">
        <v>432067</v>
      </c>
      <c r="K35" s="314">
        <v>43285</v>
      </c>
      <c r="L35" s="314">
        <v>29843</v>
      </c>
      <c r="M35" s="314">
        <v>4093</v>
      </c>
      <c r="N35" s="323">
        <v>129403</v>
      </c>
      <c r="O35" s="314">
        <v>120700</v>
      </c>
    </row>
    <row r="36" spans="1:15" x14ac:dyDescent="0.2">
      <c r="A36" s="222">
        <v>42491</v>
      </c>
      <c r="B36" s="15">
        <v>279280</v>
      </c>
      <c r="C36" s="14">
        <v>6802</v>
      </c>
      <c r="D36" s="14">
        <v>1510</v>
      </c>
      <c r="E36" s="14">
        <v>1974</v>
      </c>
      <c r="G36" s="14">
        <v>0</v>
      </c>
      <c r="I36" s="221" t="s">
        <v>630</v>
      </c>
      <c r="J36" s="15">
        <v>366660</v>
      </c>
      <c r="K36" s="14">
        <v>37112</v>
      </c>
      <c r="L36" s="14">
        <v>41672</v>
      </c>
      <c r="M36" s="14">
        <v>1326</v>
      </c>
      <c r="N36" s="15">
        <v>80109</v>
      </c>
      <c r="O36" s="14">
        <v>84100</v>
      </c>
    </row>
    <row r="37" spans="1:15" x14ac:dyDescent="0.2">
      <c r="A37" s="222">
        <v>42522</v>
      </c>
      <c r="B37" s="15">
        <v>265300</v>
      </c>
      <c r="C37" s="14">
        <v>6788</v>
      </c>
      <c r="D37" s="14">
        <v>1470</v>
      </c>
      <c r="E37" s="14">
        <v>2012</v>
      </c>
      <c r="G37" s="14">
        <v>0</v>
      </c>
      <c r="I37" s="221" t="s">
        <v>631</v>
      </c>
      <c r="J37" s="15">
        <v>371620</v>
      </c>
      <c r="K37" s="14">
        <v>32008</v>
      </c>
      <c r="L37" s="14">
        <v>36741</v>
      </c>
      <c r="M37" s="14">
        <v>5564</v>
      </c>
      <c r="N37" s="15">
        <v>74915</v>
      </c>
      <c r="O37" s="14">
        <v>111800</v>
      </c>
    </row>
    <row r="38" spans="1:15" x14ac:dyDescent="0.2">
      <c r="A38" s="222">
        <v>42552</v>
      </c>
      <c r="B38" s="15">
        <v>230700</v>
      </c>
      <c r="C38" s="14">
        <v>6148</v>
      </c>
      <c r="D38" s="14">
        <v>1860</v>
      </c>
      <c r="E38" s="14">
        <v>2495</v>
      </c>
      <c r="G38" s="14">
        <v>0</v>
      </c>
      <c r="I38" s="221" t="s">
        <v>632</v>
      </c>
      <c r="J38" s="15">
        <v>449590</v>
      </c>
      <c r="K38" s="14">
        <v>36556</v>
      </c>
      <c r="L38" s="14">
        <v>45344</v>
      </c>
      <c r="M38" s="14">
        <v>3480</v>
      </c>
      <c r="N38" s="15">
        <v>87283</v>
      </c>
      <c r="O38" s="14">
        <v>108300</v>
      </c>
    </row>
    <row r="39" spans="1:15" x14ac:dyDescent="0.2">
      <c r="A39" s="222">
        <v>42583</v>
      </c>
      <c r="B39" s="15">
        <v>249380</v>
      </c>
      <c r="C39" s="14">
        <v>10495</v>
      </c>
      <c r="D39" s="14">
        <v>3000</v>
      </c>
      <c r="E39" s="14">
        <v>1342</v>
      </c>
      <c r="G39" s="14">
        <v>0</v>
      </c>
      <c r="I39" s="322" t="s">
        <v>633</v>
      </c>
      <c r="J39" s="323">
        <v>488950</v>
      </c>
      <c r="K39" s="314">
        <v>38469</v>
      </c>
      <c r="L39" s="314">
        <v>48695</v>
      </c>
      <c r="M39" s="314">
        <v>4138</v>
      </c>
      <c r="N39" s="323">
        <v>126417</v>
      </c>
      <c r="O39" s="314">
        <v>106700</v>
      </c>
    </row>
    <row r="40" spans="1:15" x14ac:dyDescent="0.2">
      <c r="A40" s="222">
        <v>42614</v>
      </c>
      <c r="B40" s="15">
        <v>261650</v>
      </c>
      <c r="C40" s="14">
        <v>12117</v>
      </c>
      <c r="D40" s="14">
        <v>2450</v>
      </c>
      <c r="E40" s="14">
        <v>2424</v>
      </c>
      <c r="F40" s="14">
        <v>11950</v>
      </c>
      <c r="G40" s="14">
        <v>0</v>
      </c>
      <c r="I40" s="221" t="s">
        <v>634</v>
      </c>
      <c r="J40" s="15">
        <v>446100</v>
      </c>
      <c r="K40" s="14">
        <v>31912</v>
      </c>
      <c r="L40" s="14">
        <v>48456</v>
      </c>
      <c r="M40" s="14">
        <v>3671</v>
      </c>
      <c r="N40" s="15">
        <v>98147</v>
      </c>
      <c r="O40" s="14">
        <v>97800</v>
      </c>
    </row>
    <row r="41" spans="1:15" x14ac:dyDescent="0.2">
      <c r="A41" s="222">
        <v>42644</v>
      </c>
      <c r="B41" s="15">
        <v>258900</v>
      </c>
      <c r="C41" s="14">
        <v>11801</v>
      </c>
      <c r="D41" s="14">
        <v>2350</v>
      </c>
      <c r="E41" s="14">
        <v>1653</v>
      </c>
      <c r="F41" s="14">
        <v>21800</v>
      </c>
      <c r="G41" s="14">
        <v>0</v>
      </c>
      <c r="I41" s="221" t="s">
        <v>635</v>
      </c>
      <c r="J41" s="15">
        <v>443670</v>
      </c>
      <c r="K41" s="14">
        <v>32801</v>
      </c>
      <c r="L41" s="14">
        <v>44062</v>
      </c>
      <c r="M41" s="14">
        <v>3145</v>
      </c>
      <c r="N41" s="15">
        <v>112146.4</v>
      </c>
      <c r="O41" s="14">
        <v>85700</v>
      </c>
    </row>
    <row r="42" spans="1:15" x14ac:dyDescent="0.2">
      <c r="A42" s="222">
        <v>42675</v>
      </c>
      <c r="B42" s="15">
        <v>262650</v>
      </c>
      <c r="C42" s="14">
        <v>12853</v>
      </c>
      <c r="D42" s="14">
        <v>2110</v>
      </c>
      <c r="E42" s="14">
        <v>3458</v>
      </c>
      <c r="F42" s="14">
        <v>19250</v>
      </c>
      <c r="G42" s="14">
        <v>66</v>
      </c>
      <c r="I42" s="221" t="s">
        <v>636</v>
      </c>
      <c r="J42" s="15">
        <v>447660</v>
      </c>
      <c r="K42" s="14">
        <v>33382</v>
      </c>
      <c r="L42" s="14">
        <v>52388</v>
      </c>
      <c r="M42" s="14">
        <v>3861</v>
      </c>
      <c r="N42" s="15">
        <v>81761.899999999994</v>
      </c>
      <c r="O42" s="14">
        <v>97925</v>
      </c>
    </row>
    <row r="43" spans="1:15" x14ac:dyDescent="0.2">
      <c r="A43" s="222">
        <v>42705</v>
      </c>
      <c r="B43" s="15">
        <v>247410</v>
      </c>
      <c r="C43" s="14">
        <v>11100</v>
      </c>
      <c r="D43" s="14">
        <v>1870</v>
      </c>
      <c r="E43" s="14">
        <v>1521</v>
      </c>
      <c r="F43" s="14">
        <v>16900</v>
      </c>
      <c r="G43" s="14">
        <v>63</v>
      </c>
      <c r="I43" s="322" t="s">
        <v>637</v>
      </c>
      <c r="J43" s="323">
        <v>458660</v>
      </c>
      <c r="K43" s="314">
        <v>39307</v>
      </c>
      <c r="L43" s="314">
        <v>46227</v>
      </c>
      <c r="M43" s="314">
        <v>6274</v>
      </c>
      <c r="N43" s="323">
        <v>108466.2</v>
      </c>
      <c r="O43" s="314">
        <v>81943</v>
      </c>
    </row>
    <row r="44" spans="1:15" x14ac:dyDescent="0.2">
      <c r="A44" s="222">
        <v>42736</v>
      </c>
      <c r="B44" s="15">
        <v>227540</v>
      </c>
      <c r="C44" s="14">
        <v>14122</v>
      </c>
      <c r="D44" s="14">
        <v>1580</v>
      </c>
      <c r="E44" s="14">
        <v>1726</v>
      </c>
      <c r="F44" s="14">
        <v>13750</v>
      </c>
      <c r="G44" s="14">
        <v>0</v>
      </c>
      <c r="I44" s="221" t="s">
        <v>638</v>
      </c>
      <c r="J44" s="15">
        <v>395000</v>
      </c>
      <c r="K44" s="14">
        <v>40702</v>
      </c>
      <c r="L44" s="14">
        <v>52386</v>
      </c>
      <c r="M44" s="14">
        <v>4456</v>
      </c>
      <c r="N44" s="15">
        <v>108316.4</v>
      </c>
      <c r="O44" s="14">
        <v>75315</v>
      </c>
    </row>
    <row r="45" spans="1:15" x14ac:dyDescent="0.2">
      <c r="A45" s="222">
        <v>42767</v>
      </c>
      <c r="B45" s="15">
        <v>244060</v>
      </c>
      <c r="C45" s="14">
        <v>13009</v>
      </c>
      <c r="D45" s="14">
        <v>3410</v>
      </c>
      <c r="E45" s="14">
        <v>1595</v>
      </c>
      <c r="F45" s="14">
        <v>18825</v>
      </c>
      <c r="G45" s="14">
        <v>0</v>
      </c>
      <c r="I45" s="221" t="s">
        <v>639</v>
      </c>
      <c r="J45" s="325">
        <v>401048.6</v>
      </c>
      <c r="K45" s="326">
        <v>39896</v>
      </c>
      <c r="L45" s="326">
        <v>48990</v>
      </c>
      <c r="M45" s="326">
        <v>4581</v>
      </c>
      <c r="N45" s="327">
        <v>115595</v>
      </c>
      <c r="O45" s="327">
        <v>65430</v>
      </c>
    </row>
    <row r="46" spans="1:15" x14ac:dyDescent="0.2">
      <c r="A46" s="222">
        <v>42795</v>
      </c>
      <c r="B46" s="15">
        <v>251170</v>
      </c>
      <c r="C46" s="14">
        <v>14006</v>
      </c>
      <c r="D46" s="14">
        <v>2310</v>
      </c>
      <c r="E46" s="14">
        <v>1816</v>
      </c>
      <c r="F46" s="14">
        <v>21975</v>
      </c>
      <c r="G46" s="14">
        <v>0</v>
      </c>
      <c r="I46" s="221" t="s">
        <v>640</v>
      </c>
      <c r="J46" s="15">
        <f t="shared" ref="J46:O46" si="0">SUM(B134:B136)</f>
        <v>454687.6</v>
      </c>
      <c r="K46" s="15">
        <f t="shared" si="0"/>
        <v>720293.3</v>
      </c>
      <c r="L46" s="15">
        <f t="shared" si="0"/>
        <v>181205</v>
      </c>
      <c r="M46" s="15">
        <f t="shared" si="0"/>
        <v>246178.5</v>
      </c>
      <c r="N46" s="15">
        <f t="shared" si="0"/>
        <v>116816</v>
      </c>
      <c r="O46" s="15">
        <f t="shared" si="0"/>
        <v>67765</v>
      </c>
    </row>
    <row r="47" spans="1:15" x14ac:dyDescent="0.2">
      <c r="A47" s="222">
        <v>42826</v>
      </c>
      <c r="B47" s="15">
        <v>236000</v>
      </c>
      <c r="C47" s="14">
        <v>14584</v>
      </c>
      <c r="D47" s="14">
        <v>2090</v>
      </c>
      <c r="E47" s="14">
        <v>2044</v>
      </c>
      <c r="F47" s="14">
        <v>18850</v>
      </c>
      <c r="G47" s="14">
        <v>0</v>
      </c>
      <c r="I47" s="322" t="s">
        <v>641</v>
      </c>
      <c r="J47" s="323">
        <f t="shared" ref="J47:O47" si="1">SUM(B137:B139)</f>
        <v>457600</v>
      </c>
      <c r="K47" s="323">
        <f t="shared" si="1"/>
        <v>803185.3</v>
      </c>
      <c r="L47" s="323">
        <f t="shared" si="1"/>
        <v>151575.29999999999</v>
      </c>
      <c r="M47" s="323">
        <f t="shared" si="1"/>
        <v>249196.90000000002</v>
      </c>
      <c r="N47" s="323">
        <f t="shared" si="1"/>
        <v>144061.6</v>
      </c>
      <c r="O47" s="323">
        <f t="shared" si="1"/>
        <v>57585</v>
      </c>
    </row>
    <row r="48" spans="1:15" x14ac:dyDescent="0.2">
      <c r="A48" s="222">
        <v>42856</v>
      </c>
      <c r="B48" s="15">
        <v>235740</v>
      </c>
      <c r="C48" s="14">
        <v>15338</v>
      </c>
      <c r="D48" s="14">
        <v>4060</v>
      </c>
      <c r="E48" s="14">
        <v>1813</v>
      </c>
      <c r="F48" s="14">
        <v>20275</v>
      </c>
      <c r="G48" s="14">
        <v>0</v>
      </c>
      <c r="I48" s="221" t="s">
        <v>642</v>
      </c>
      <c r="J48" s="15">
        <f t="shared" ref="J48:O48" si="2">SUM(B140:B142)</f>
        <v>423020</v>
      </c>
      <c r="K48" s="15">
        <f t="shared" si="2"/>
        <v>705336.6</v>
      </c>
      <c r="L48" s="15">
        <f t="shared" si="2"/>
        <v>153675.20000000001</v>
      </c>
      <c r="M48" s="15">
        <f t="shared" si="2"/>
        <v>229393.1</v>
      </c>
      <c r="N48" s="15">
        <f t="shared" si="2"/>
        <v>123047.4</v>
      </c>
      <c r="O48" s="15">
        <f t="shared" si="2"/>
        <v>54594</v>
      </c>
    </row>
    <row r="49" spans="1:15" x14ac:dyDescent="0.2">
      <c r="A49" s="222">
        <v>42887</v>
      </c>
      <c r="B49" s="15">
        <v>256120</v>
      </c>
      <c r="C49" s="14">
        <v>12265</v>
      </c>
      <c r="D49" s="14">
        <v>1600</v>
      </c>
      <c r="E49" s="14">
        <v>2231</v>
      </c>
      <c r="F49" s="14">
        <v>21025</v>
      </c>
      <c r="G49" s="14">
        <v>0</v>
      </c>
      <c r="I49" s="221" t="s">
        <v>643</v>
      </c>
      <c r="J49" s="15">
        <f t="shared" ref="J49:O49" si="3">SUM(B143:B145)</f>
        <v>458690</v>
      </c>
      <c r="K49" s="15">
        <f t="shared" si="3"/>
        <v>747958</v>
      </c>
      <c r="L49" s="15">
        <f t="shared" si="3"/>
        <v>171044.4</v>
      </c>
      <c r="M49" s="15">
        <f t="shared" si="3"/>
        <v>233217.8</v>
      </c>
      <c r="N49" s="15">
        <f t="shared" si="3"/>
        <v>118605.90000000002</v>
      </c>
      <c r="O49" s="15">
        <f t="shared" si="3"/>
        <v>58320</v>
      </c>
    </row>
    <row r="50" spans="1:15" x14ac:dyDescent="0.2">
      <c r="A50" s="222">
        <v>42917</v>
      </c>
      <c r="B50" s="15">
        <v>225570</v>
      </c>
      <c r="C50" s="14">
        <v>14992</v>
      </c>
      <c r="D50" s="14">
        <v>3870</v>
      </c>
      <c r="E50" s="14">
        <v>2048</v>
      </c>
      <c r="F50" s="14">
        <v>13275</v>
      </c>
      <c r="G50" s="14">
        <v>0</v>
      </c>
      <c r="I50" s="221" t="s">
        <v>644</v>
      </c>
    </row>
    <row r="51" spans="1:15" x14ac:dyDescent="0.2">
      <c r="A51" s="222">
        <v>42948</v>
      </c>
      <c r="B51" s="15">
        <v>254230</v>
      </c>
      <c r="C51" s="14">
        <v>13769</v>
      </c>
      <c r="D51" s="1">
        <v>810</v>
      </c>
      <c r="E51" s="14">
        <v>1726</v>
      </c>
      <c r="F51" s="14">
        <v>15525</v>
      </c>
      <c r="G51" s="14">
        <v>0</v>
      </c>
      <c r="I51" s="322" t="s">
        <v>645</v>
      </c>
      <c r="J51" s="324"/>
      <c r="K51" s="324"/>
      <c r="L51" s="324"/>
      <c r="M51" s="324"/>
      <c r="N51" s="324"/>
      <c r="O51" s="324"/>
    </row>
    <row r="52" spans="1:15" x14ac:dyDescent="0.2">
      <c r="A52" s="222">
        <v>42979</v>
      </c>
      <c r="B52" s="15">
        <v>259990</v>
      </c>
      <c r="C52" s="14">
        <v>8859</v>
      </c>
      <c r="D52" s="14">
        <v>1600</v>
      </c>
      <c r="E52" s="14">
        <v>3490</v>
      </c>
      <c r="F52" s="14">
        <v>25050</v>
      </c>
      <c r="G52" s="14">
        <v>0</v>
      </c>
    </row>
    <row r="53" spans="1:15" x14ac:dyDescent="0.2">
      <c r="A53" s="222">
        <v>43009</v>
      </c>
      <c r="B53" s="15">
        <v>271240</v>
      </c>
      <c r="C53" s="14">
        <v>12160</v>
      </c>
      <c r="D53" s="14">
        <v>1400</v>
      </c>
      <c r="E53" s="1">
        <v>70</v>
      </c>
      <c r="F53" s="14">
        <v>25175</v>
      </c>
      <c r="G53" s="14">
        <v>0</v>
      </c>
    </row>
    <row r="54" spans="1:15" x14ac:dyDescent="0.2">
      <c r="A54" s="222">
        <v>43040</v>
      </c>
      <c r="B54" s="15">
        <v>292110</v>
      </c>
      <c r="C54" s="14">
        <v>11545</v>
      </c>
      <c r="D54" s="14">
        <v>2010</v>
      </c>
      <c r="E54" s="14">
        <v>4056</v>
      </c>
      <c r="F54" s="14">
        <v>30100</v>
      </c>
      <c r="G54" s="14">
        <v>0</v>
      </c>
    </row>
    <row r="55" spans="1:15" x14ac:dyDescent="0.2">
      <c r="A55" s="222">
        <v>43070</v>
      </c>
      <c r="B55" s="15">
        <v>236970</v>
      </c>
      <c r="C55" s="14">
        <v>12466</v>
      </c>
      <c r="D55" s="14">
        <v>2350</v>
      </c>
      <c r="E55" s="14">
        <v>4963</v>
      </c>
      <c r="F55" s="14">
        <v>30200</v>
      </c>
      <c r="G55" s="14">
        <v>0</v>
      </c>
    </row>
    <row r="56" spans="1:15" x14ac:dyDescent="0.2">
      <c r="A56" s="222">
        <v>43101</v>
      </c>
      <c r="B56" s="15">
        <v>279330</v>
      </c>
      <c r="C56" s="14">
        <v>10969</v>
      </c>
      <c r="D56" s="14">
        <v>2210</v>
      </c>
      <c r="E56" s="1">
        <v>150</v>
      </c>
      <c r="F56" s="14">
        <v>27975</v>
      </c>
      <c r="G56" s="14">
        <v>0</v>
      </c>
    </row>
    <row r="57" spans="1:15" x14ac:dyDescent="0.2">
      <c r="A57" s="222">
        <v>43132</v>
      </c>
      <c r="B57" s="15">
        <v>221040</v>
      </c>
      <c r="C57" s="14">
        <v>8043</v>
      </c>
      <c r="D57" s="14">
        <v>2850</v>
      </c>
      <c r="E57" s="14">
        <v>2040</v>
      </c>
      <c r="F57" s="14">
        <v>21825</v>
      </c>
      <c r="G57" s="14">
        <v>0</v>
      </c>
    </row>
    <row r="58" spans="1:15" x14ac:dyDescent="0.2">
      <c r="A58" s="222">
        <v>43160</v>
      </c>
      <c r="B58" s="15">
        <v>236710</v>
      </c>
      <c r="C58" s="14">
        <v>10381</v>
      </c>
      <c r="D58" s="14">
        <v>4000</v>
      </c>
      <c r="E58" s="14">
        <v>1820</v>
      </c>
      <c r="F58" s="14">
        <v>25300</v>
      </c>
      <c r="G58" s="14">
        <v>0</v>
      </c>
    </row>
    <row r="59" spans="1:15" x14ac:dyDescent="0.2">
      <c r="A59" s="222">
        <v>43191</v>
      </c>
      <c r="B59" s="15">
        <v>202920</v>
      </c>
      <c r="C59" s="14">
        <v>10318</v>
      </c>
      <c r="D59" s="14">
        <v>6470</v>
      </c>
      <c r="E59" s="14">
        <v>1670</v>
      </c>
      <c r="F59" s="14">
        <v>25225</v>
      </c>
      <c r="G59" s="14">
        <v>3000</v>
      </c>
    </row>
    <row r="60" spans="1:15" x14ac:dyDescent="0.2">
      <c r="A60" s="222">
        <v>43221</v>
      </c>
      <c r="B60" s="15">
        <v>209670</v>
      </c>
      <c r="C60" s="14">
        <v>12380</v>
      </c>
      <c r="D60" s="14">
        <v>6770</v>
      </c>
      <c r="E60" s="1">
        <v>170</v>
      </c>
      <c r="F60" s="14">
        <v>37200</v>
      </c>
      <c r="G60" s="14">
        <v>12000</v>
      </c>
    </row>
    <row r="61" spans="1:15" x14ac:dyDescent="0.2">
      <c r="A61" s="222">
        <v>43252</v>
      </c>
      <c r="B61" s="15">
        <v>212890</v>
      </c>
      <c r="C61" s="14">
        <v>14694</v>
      </c>
      <c r="D61" s="14">
        <v>41780</v>
      </c>
      <c r="E61" s="14">
        <v>3750</v>
      </c>
      <c r="F61" s="14">
        <v>27900</v>
      </c>
      <c r="G61" s="14">
        <v>6000</v>
      </c>
    </row>
    <row r="62" spans="1:15" x14ac:dyDescent="0.2">
      <c r="A62" s="222">
        <v>43282</v>
      </c>
      <c r="B62" s="15">
        <v>215660</v>
      </c>
      <c r="C62" s="14">
        <v>11892</v>
      </c>
      <c r="D62" s="14">
        <v>1460</v>
      </c>
      <c r="E62" s="1">
        <v>130</v>
      </c>
      <c r="F62" s="14">
        <v>25675</v>
      </c>
      <c r="G62" s="14">
        <v>5000</v>
      </c>
    </row>
    <row r="63" spans="1:15" x14ac:dyDescent="0.2">
      <c r="A63" s="222">
        <v>43313</v>
      </c>
      <c r="B63" s="15">
        <v>206030</v>
      </c>
      <c r="C63" s="14">
        <v>10806</v>
      </c>
      <c r="D63" s="14">
        <v>8710</v>
      </c>
      <c r="E63" s="14">
        <v>3202</v>
      </c>
      <c r="F63" s="15">
        <v>16633.900000000001</v>
      </c>
      <c r="G63" s="14">
        <v>3500</v>
      </c>
    </row>
    <row r="64" spans="1:15" x14ac:dyDescent="0.2">
      <c r="A64" s="222">
        <v>43344</v>
      </c>
      <c r="B64" s="15">
        <v>196750</v>
      </c>
      <c r="C64" s="14">
        <v>10533</v>
      </c>
      <c r="D64" s="14">
        <v>5270</v>
      </c>
      <c r="E64" s="14">
        <v>1105</v>
      </c>
      <c r="F64" s="15">
        <v>18194.05</v>
      </c>
      <c r="G64" s="14">
        <v>53180</v>
      </c>
    </row>
    <row r="65" spans="1:7" x14ac:dyDescent="0.2">
      <c r="A65" s="222">
        <v>43374</v>
      </c>
      <c r="B65" s="15">
        <v>205700</v>
      </c>
      <c r="C65" s="14">
        <v>9158</v>
      </c>
      <c r="D65" s="14">
        <v>3490</v>
      </c>
      <c r="E65" s="14">
        <v>2034</v>
      </c>
      <c r="F65" s="15">
        <v>26058</v>
      </c>
      <c r="G65" s="14">
        <v>7680</v>
      </c>
    </row>
    <row r="66" spans="1:7" x14ac:dyDescent="0.2">
      <c r="A66" s="222">
        <v>43405</v>
      </c>
      <c r="B66" s="15">
        <v>233760</v>
      </c>
      <c r="C66" s="14">
        <v>9066</v>
      </c>
      <c r="D66" s="14">
        <v>5870</v>
      </c>
      <c r="E66" s="14">
        <v>1991</v>
      </c>
      <c r="F66" s="15">
        <v>28892.5</v>
      </c>
      <c r="G66" s="14">
        <v>28680</v>
      </c>
    </row>
    <row r="67" spans="1:7" x14ac:dyDescent="0.2">
      <c r="A67" s="222">
        <v>43435</v>
      </c>
      <c r="B67" s="15">
        <v>234150</v>
      </c>
      <c r="C67" s="14">
        <v>8995</v>
      </c>
      <c r="D67" s="14">
        <v>35020</v>
      </c>
      <c r="E67" s="14">
        <v>2291</v>
      </c>
      <c r="F67" s="15">
        <v>24534.5</v>
      </c>
      <c r="G67" s="14">
        <v>35680</v>
      </c>
    </row>
    <row r="68" spans="1:7" x14ac:dyDescent="0.2">
      <c r="A68" s="222">
        <v>43466</v>
      </c>
      <c r="B68" s="15">
        <v>169610.26</v>
      </c>
      <c r="C68" s="14">
        <v>10570</v>
      </c>
      <c r="D68" s="14">
        <v>13449</v>
      </c>
      <c r="E68" s="14">
        <v>2418</v>
      </c>
      <c r="F68" s="15">
        <v>21757.5</v>
      </c>
      <c r="G68" s="14">
        <v>46180</v>
      </c>
    </row>
    <row r="69" spans="1:7" x14ac:dyDescent="0.2">
      <c r="A69" s="222">
        <v>43497</v>
      </c>
      <c r="B69" s="15">
        <v>159243.92000000001</v>
      </c>
      <c r="C69" s="14">
        <v>7775</v>
      </c>
      <c r="D69" s="14">
        <v>4060</v>
      </c>
      <c r="E69" s="14">
        <v>1172</v>
      </c>
      <c r="F69" s="15">
        <v>24584.5</v>
      </c>
      <c r="G69" s="14">
        <v>7680</v>
      </c>
    </row>
    <row r="70" spans="1:7" x14ac:dyDescent="0.2">
      <c r="A70" s="222">
        <v>43525</v>
      </c>
      <c r="B70" s="15">
        <v>176683.14</v>
      </c>
      <c r="C70" s="14">
        <v>10825</v>
      </c>
      <c r="D70" s="14">
        <v>3480</v>
      </c>
      <c r="E70" s="14">
        <v>1913</v>
      </c>
      <c r="F70" s="15">
        <v>30930.5</v>
      </c>
      <c r="G70" s="14">
        <v>3500</v>
      </c>
    </row>
    <row r="71" spans="1:7" x14ac:dyDescent="0.2">
      <c r="A71" s="222">
        <v>43556</v>
      </c>
      <c r="B71" s="15">
        <v>148317.64000000001</v>
      </c>
      <c r="C71" s="14">
        <v>9736</v>
      </c>
      <c r="D71" s="14">
        <v>10360</v>
      </c>
      <c r="E71" s="14">
        <v>1945</v>
      </c>
      <c r="F71" s="15">
        <v>32534.5</v>
      </c>
      <c r="G71" s="14">
        <v>0</v>
      </c>
    </row>
    <row r="72" spans="1:7" x14ac:dyDescent="0.2">
      <c r="A72" s="222">
        <v>43586</v>
      </c>
      <c r="B72" s="15">
        <v>184003.38</v>
      </c>
      <c r="C72" s="14">
        <v>19460</v>
      </c>
      <c r="D72" s="14">
        <v>11140</v>
      </c>
      <c r="E72" s="14">
        <v>2991</v>
      </c>
      <c r="F72" s="15">
        <v>31664</v>
      </c>
      <c r="G72" s="14">
        <v>0</v>
      </c>
    </row>
    <row r="73" spans="1:7" x14ac:dyDescent="0.2">
      <c r="A73" s="222">
        <v>43617</v>
      </c>
      <c r="B73" s="15">
        <v>193338.34</v>
      </c>
      <c r="C73" s="14">
        <v>8609</v>
      </c>
      <c r="D73" s="14">
        <v>12570</v>
      </c>
      <c r="E73" s="14">
        <v>2763</v>
      </c>
      <c r="F73" s="15">
        <v>23162.5</v>
      </c>
      <c r="G73" s="14">
        <v>0</v>
      </c>
    </row>
    <row r="74" spans="1:7" x14ac:dyDescent="0.2">
      <c r="A74" s="222">
        <v>43647</v>
      </c>
      <c r="B74" s="15">
        <v>180020</v>
      </c>
      <c r="C74" s="14">
        <v>15743</v>
      </c>
      <c r="D74" s="14">
        <v>20723</v>
      </c>
      <c r="E74" s="14">
        <v>1498</v>
      </c>
      <c r="F74" s="15">
        <v>19566</v>
      </c>
      <c r="G74" s="14">
        <v>0</v>
      </c>
    </row>
    <row r="75" spans="1:7" x14ac:dyDescent="0.2">
      <c r="A75" s="222">
        <v>43678</v>
      </c>
      <c r="B75" s="15">
        <v>202320</v>
      </c>
      <c r="C75" s="14">
        <v>10114</v>
      </c>
      <c r="D75" s="14">
        <v>26718</v>
      </c>
      <c r="E75" s="14">
        <v>2481</v>
      </c>
      <c r="F75" s="15">
        <v>24598</v>
      </c>
      <c r="G75" s="14">
        <v>0</v>
      </c>
    </row>
    <row r="76" spans="1:7" x14ac:dyDescent="0.2">
      <c r="A76" s="222">
        <v>43709</v>
      </c>
      <c r="B76" s="15">
        <v>201420</v>
      </c>
      <c r="C76" s="14">
        <v>19320</v>
      </c>
      <c r="D76" s="14">
        <v>25752</v>
      </c>
      <c r="E76" s="14">
        <v>3244</v>
      </c>
      <c r="F76" s="15">
        <v>34879.5</v>
      </c>
      <c r="G76" s="14">
        <v>28060</v>
      </c>
    </row>
    <row r="77" spans="1:7" x14ac:dyDescent="0.2">
      <c r="A77" s="222">
        <v>43739</v>
      </c>
      <c r="B77" s="15">
        <v>193050</v>
      </c>
      <c r="C77" s="14">
        <v>15600</v>
      </c>
      <c r="D77" s="14">
        <v>15486</v>
      </c>
      <c r="E77" s="14">
        <v>2299</v>
      </c>
      <c r="F77" s="15">
        <v>37721.5</v>
      </c>
      <c r="G77" s="14">
        <v>21060</v>
      </c>
    </row>
    <row r="78" spans="1:7" x14ac:dyDescent="0.2">
      <c r="A78" s="222">
        <v>43770</v>
      </c>
      <c r="B78" s="15">
        <v>155710</v>
      </c>
      <c r="C78" s="14">
        <v>15110</v>
      </c>
      <c r="D78" s="14">
        <v>12027</v>
      </c>
      <c r="E78" s="1">
        <v>572</v>
      </c>
      <c r="F78" s="15">
        <v>27265.5</v>
      </c>
      <c r="G78" s="14">
        <v>24240</v>
      </c>
    </row>
    <row r="79" spans="1:7" x14ac:dyDescent="0.2">
      <c r="A79" s="222">
        <v>43800</v>
      </c>
      <c r="B79" s="15">
        <v>170910</v>
      </c>
      <c r="C79" s="14">
        <v>15103</v>
      </c>
      <c r="D79" s="14">
        <v>11591</v>
      </c>
      <c r="E79" s="14">
        <v>2671</v>
      </c>
      <c r="F79" s="15">
        <v>28071.5</v>
      </c>
      <c r="G79" s="14">
        <v>34740</v>
      </c>
    </row>
    <row r="80" spans="1:7" x14ac:dyDescent="0.2">
      <c r="A80" s="222">
        <v>43831</v>
      </c>
      <c r="B80" s="15">
        <v>114570</v>
      </c>
      <c r="C80" s="14">
        <v>14121</v>
      </c>
      <c r="D80" s="14">
        <v>12094</v>
      </c>
      <c r="E80" s="1">
        <v>80</v>
      </c>
      <c r="F80" s="15">
        <v>23781.5</v>
      </c>
      <c r="G80" s="14">
        <v>26120</v>
      </c>
    </row>
    <row r="81" spans="1:7" x14ac:dyDescent="0.2">
      <c r="A81" s="222">
        <v>43862</v>
      </c>
      <c r="B81" s="15">
        <v>84920</v>
      </c>
      <c r="C81" s="14">
        <v>7732</v>
      </c>
      <c r="D81" s="14">
        <v>8720</v>
      </c>
      <c r="E81" s="1" t="s">
        <v>549</v>
      </c>
      <c r="F81" s="15">
        <v>11633.5</v>
      </c>
      <c r="G81" s="14">
        <v>27400</v>
      </c>
    </row>
    <row r="82" spans="1:7" x14ac:dyDescent="0.2">
      <c r="A82" s="222">
        <v>43891</v>
      </c>
      <c r="B82" s="15">
        <v>98090</v>
      </c>
      <c r="C82" s="14">
        <v>10699</v>
      </c>
      <c r="D82" s="14">
        <v>10888</v>
      </c>
      <c r="E82" s="14">
        <v>1020</v>
      </c>
      <c r="F82" s="15">
        <v>13782.5</v>
      </c>
      <c r="G82" s="14">
        <v>25800</v>
      </c>
    </row>
    <row r="83" spans="1:7" x14ac:dyDescent="0.2">
      <c r="A83" s="222">
        <v>43922</v>
      </c>
      <c r="B83" s="15">
        <v>102580</v>
      </c>
      <c r="C83" s="14">
        <v>9575</v>
      </c>
      <c r="D83" s="14">
        <v>6081</v>
      </c>
      <c r="E83" s="1" t="s">
        <v>549</v>
      </c>
      <c r="F83" s="15">
        <v>11779</v>
      </c>
      <c r="G83" s="14">
        <v>29300</v>
      </c>
    </row>
    <row r="84" spans="1:7" x14ac:dyDescent="0.2">
      <c r="A84" s="222">
        <v>43952</v>
      </c>
      <c r="B84" s="15">
        <v>142320</v>
      </c>
      <c r="C84" s="14">
        <v>11404</v>
      </c>
      <c r="D84" s="14">
        <v>14519</v>
      </c>
      <c r="E84" s="14">
        <v>1592</v>
      </c>
      <c r="F84" s="15">
        <v>15765</v>
      </c>
      <c r="G84" s="14">
        <v>34400</v>
      </c>
    </row>
    <row r="85" spans="1:7" x14ac:dyDescent="0.2">
      <c r="A85" s="222">
        <v>43983</v>
      </c>
      <c r="B85" s="15">
        <v>144130</v>
      </c>
      <c r="C85" s="14">
        <v>13922</v>
      </c>
      <c r="D85" s="14">
        <v>11552</v>
      </c>
      <c r="E85" s="14">
        <v>2208</v>
      </c>
      <c r="F85" s="15">
        <v>20002</v>
      </c>
      <c r="G85" s="14">
        <v>34400</v>
      </c>
    </row>
    <row r="86" spans="1:7" x14ac:dyDescent="0.2">
      <c r="A86" s="222">
        <v>44013</v>
      </c>
      <c r="B86" s="15">
        <v>124990</v>
      </c>
      <c r="C86" s="14">
        <v>13433</v>
      </c>
      <c r="D86" s="14">
        <v>14466</v>
      </c>
      <c r="E86" s="1">
        <v>70</v>
      </c>
      <c r="F86" s="15">
        <v>24809</v>
      </c>
      <c r="G86" s="14">
        <v>22300</v>
      </c>
    </row>
    <row r="87" spans="1:7" x14ac:dyDescent="0.2">
      <c r="A87" s="222">
        <v>44044</v>
      </c>
      <c r="B87" s="15">
        <v>123290</v>
      </c>
      <c r="C87" s="14">
        <v>12979</v>
      </c>
      <c r="D87" s="14">
        <v>16181</v>
      </c>
      <c r="E87" s="14">
        <v>1914</v>
      </c>
      <c r="F87" s="15">
        <v>23143</v>
      </c>
      <c r="G87" s="14">
        <v>28800</v>
      </c>
    </row>
    <row r="88" spans="1:7" x14ac:dyDescent="0.2">
      <c r="A88" s="222">
        <v>44075</v>
      </c>
      <c r="B88" s="15">
        <v>129930</v>
      </c>
      <c r="C88" s="14">
        <v>14978</v>
      </c>
      <c r="D88" s="14">
        <v>11971</v>
      </c>
      <c r="E88" s="1">
        <v>643</v>
      </c>
      <c r="F88" s="15">
        <v>28611</v>
      </c>
      <c r="G88" s="14">
        <v>27400</v>
      </c>
    </row>
    <row r="89" spans="1:7" x14ac:dyDescent="0.2">
      <c r="A89" s="222">
        <v>44105</v>
      </c>
      <c r="B89" s="15">
        <v>118440</v>
      </c>
      <c r="C89" s="14">
        <v>14577</v>
      </c>
      <c r="D89" s="14">
        <v>13345</v>
      </c>
      <c r="E89" s="14">
        <v>1763</v>
      </c>
      <c r="F89" s="15">
        <v>31009</v>
      </c>
      <c r="G89" s="14">
        <v>29300</v>
      </c>
    </row>
    <row r="90" spans="1:7" x14ac:dyDescent="0.2">
      <c r="A90" s="222">
        <v>44136</v>
      </c>
      <c r="B90" s="15">
        <v>121180</v>
      </c>
      <c r="C90" s="14">
        <v>13654</v>
      </c>
      <c r="D90" s="14">
        <v>15121</v>
      </c>
      <c r="E90" s="14">
        <v>2208</v>
      </c>
      <c r="F90" s="15">
        <v>34289</v>
      </c>
      <c r="G90" s="14">
        <v>24200</v>
      </c>
    </row>
    <row r="91" spans="1:7" x14ac:dyDescent="0.2">
      <c r="A91" s="222">
        <v>44166</v>
      </c>
      <c r="B91" s="15">
        <v>111960</v>
      </c>
      <c r="C91" s="14">
        <v>12734</v>
      </c>
      <c r="D91" s="14">
        <v>15807</v>
      </c>
      <c r="E91" s="1">
        <v>971</v>
      </c>
      <c r="F91" s="15">
        <v>33360</v>
      </c>
      <c r="G91" s="14">
        <v>13700</v>
      </c>
    </row>
    <row r="92" spans="1:7" x14ac:dyDescent="0.2">
      <c r="A92" s="222">
        <v>44197</v>
      </c>
      <c r="B92" s="15">
        <v>101870</v>
      </c>
      <c r="C92" s="14">
        <v>13316</v>
      </c>
      <c r="D92" s="14">
        <v>19644</v>
      </c>
      <c r="E92" s="14">
        <v>1544</v>
      </c>
      <c r="F92" s="15">
        <v>33517</v>
      </c>
      <c r="G92" s="14">
        <v>27700</v>
      </c>
    </row>
    <row r="93" spans="1:7" x14ac:dyDescent="0.2">
      <c r="A93" s="222">
        <v>44228</v>
      </c>
      <c r="B93" s="15">
        <v>108030</v>
      </c>
      <c r="C93" s="14">
        <v>12483</v>
      </c>
      <c r="D93" s="14">
        <v>8790</v>
      </c>
      <c r="E93" s="1">
        <v>652.5</v>
      </c>
      <c r="F93" s="15">
        <v>29468</v>
      </c>
      <c r="G93" s="14">
        <v>18800</v>
      </c>
    </row>
    <row r="94" spans="1:7" x14ac:dyDescent="0.2">
      <c r="A94" s="222">
        <v>44256</v>
      </c>
      <c r="B94" s="15">
        <v>128460</v>
      </c>
      <c r="C94" s="14">
        <v>15433</v>
      </c>
      <c r="D94" s="14">
        <v>15641</v>
      </c>
      <c r="E94" s="1">
        <v>788</v>
      </c>
      <c r="F94" s="15">
        <v>35447</v>
      </c>
      <c r="G94" s="14">
        <v>25500</v>
      </c>
    </row>
    <row r="95" spans="1:7" x14ac:dyDescent="0.2">
      <c r="A95" s="222">
        <v>44287</v>
      </c>
      <c r="B95" s="15">
        <v>123420</v>
      </c>
      <c r="C95" s="14">
        <v>13695</v>
      </c>
      <c r="D95" s="14">
        <v>23051</v>
      </c>
      <c r="E95" s="1">
        <v>130</v>
      </c>
      <c r="F95" s="15">
        <v>43497</v>
      </c>
      <c r="G95" s="14">
        <v>18800</v>
      </c>
    </row>
    <row r="96" spans="1:7" x14ac:dyDescent="0.2">
      <c r="A96" s="222">
        <v>44317</v>
      </c>
      <c r="B96" s="15">
        <v>136860</v>
      </c>
      <c r="C96" s="14">
        <v>13830</v>
      </c>
      <c r="D96" s="14">
        <v>12479</v>
      </c>
      <c r="E96" s="14">
        <v>1810</v>
      </c>
      <c r="F96" s="15">
        <v>40188</v>
      </c>
      <c r="G96" s="14">
        <v>23900</v>
      </c>
    </row>
    <row r="97" spans="1:7" x14ac:dyDescent="0.2">
      <c r="A97" s="222">
        <v>44348</v>
      </c>
      <c r="B97" s="15">
        <v>111190</v>
      </c>
      <c r="C97" s="14">
        <v>15033</v>
      </c>
      <c r="D97" s="14">
        <v>11932</v>
      </c>
      <c r="E97" s="14">
        <v>1038</v>
      </c>
      <c r="F97" s="15">
        <v>35583</v>
      </c>
      <c r="G97" s="14">
        <v>29300</v>
      </c>
    </row>
    <row r="98" spans="1:7" x14ac:dyDescent="0.2">
      <c r="A98" s="222">
        <v>44378</v>
      </c>
      <c r="B98" s="15">
        <v>117730</v>
      </c>
      <c r="C98" s="14">
        <v>14129</v>
      </c>
      <c r="D98" s="14">
        <v>19028</v>
      </c>
      <c r="E98" s="14">
        <v>1193</v>
      </c>
      <c r="F98" s="15">
        <v>36437</v>
      </c>
      <c r="G98" s="14">
        <v>29000</v>
      </c>
    </row>
    <row r="99" spans="1:7" x14ac:dyDescent="0.2">
      <c r="A99" s="222">
        <v>44409</v>
      </c>
      <c r="B99" s="15">
        <v>132220</v>
      </c>
      <c r="C99" s="14">
        <v>15918</v>
      </c>
      <c r="D99" s="14">
        <v>15276</v>
      </c>
      <c r="E99" s="1">
        <v>130</v>
      </c>
      <c r="F99" s="15">
        <v>33584</v>
      </c>
      <c r="G99" s="14">
        <v>41400</v>
      </c>
    </row>
    <row r="100" spans="1:7" x14ac:dyDescent="0.2">
      <c r="A100" s="222">
        <v>44440</v>
      </c>
      <c r="B100" s="15">
        <v>154490</v>
      </c>
      <c r="C100" s="14">
        <v>16127</v>
      </c>
      <c r="D100" s="14">
        <v>11602</v>
      </c>
      <c r="E100" s="14">
        <v>1086</v>
      </c>
      <c r="F100" s="15">
        <v>35376</v>
      </c>
      <c r="G100" s="14">
        <v>34400</v>
      </c>
    </row>
    <row r="101" spans="1:7" x14ac:dyDescent="0.2">
      <c r="A101" s="222">
        <v>44470</v>
      </c>
      <c r="B101" s="15">
        <v>143570</v>
      </c>
      <c r="C101" s="14">
        <v>13689</v>
      </c>
      <c r="D101" s="14">
        <v>10022</v>
      </c>
      <c r="E101" s="14">
        <v>1041</v>
      </c>
      <c r="F101" s="15">
        <v>45400</v>
      </c>
      <c r="G101" s="14">
        <v>41400</v>
      </c>
    </row>
    <row r="102" spans="1:7" x14ac:dyDescent="0.2">
      <c r="A102" s="222">
        <v>44501</v>
      </c>
      <c r="B102" s="15">
        <v>144810</v>
      </c>
      <c r="C102" s="14">
        <v>14972</v>
      </c>
      <c r="D102" s="14">
        <v>7370</v>
      </c>
      <c r="E102" s="14">
        <v>2626</v>
      </c>
      <c r="F102" s="15">
        <v>42665</v>
      </c>
      <c r="G102" s="14">
        <v>39800</v>
      </c>
    </row>
    <row r="103" spans="1:7" x14ac:dyDescent="0.2">
      <c r="A103" s="222">
        <v>44531</v>
      </c>
      <c r="B103" s="15">
        <v>143687</v>
      </c>
      <c r="C103" s="14">
        <v>14624</v>
      </c>
      <c r="D103" s="14">
        <v>12451</v>
      </c>
      <c r="E103" s="1">
        <v>426</v>
      </c>
      <c r="F103" s="15">
        <v>41338</v>
      </c>
      <c r="G103" s="14">
        <v>39500</v>
      </c>
    </row>
    <row r="104" spans="1:7" x14ac:dyDescent="0.2">
      <c r="A104" s="222">
        <v>44562</v>
      </c>
      <c r="B104" s="15">
        <v>144020</v>
      </c>
      <c r="C104" s="14">
        <v>15254</v>
      </c>
      <c r="D104" s="14">
        <v>22250</v>
      </c>
      <c r="E104" s="1">
        <v>200</v>
      </c>
      <c r="F104" s="15">
        <v>33071</v>
      </c>
      <c r="G104" s="14">
        <v>34400</v>
      </c>
    </row>
    <row r="105" spans="1:7" x14ac:dyDescent="0.2">
      <c r="A105" s="222">
        <v>44593</v>
      </c>
      <c r="B105" s="15">
        <v>110360</v>
      </c>
      <c r="C105" s="14">
        <v>11431</v>
      </c>
      <c r="D105" s="14">
        <v>8933</v>
      </c>
      <c r="E105" s="14">
        <v>1126</v>
      </c>
      <c r="F105" s="15">
        <v>24947</v>
      </c>
      <c r="G105" s="14">
        <v>18800</v>
      </c>
    </row>
    <row r="106" spans="1:7" x14ac:dyDescent="0.2">
      <c r="A106" s="222">
        <v>44621</v>
      </c>
      <c r="B106" s="15">
        <v>112280</v>
      </c>
      <c r="C106" s="14">
        <v>10427</v>
      </c>
      <c r="D106" s="14">
        <v>10489</v>
      </c>
      <c r="E106" s="1" t="s">
        <v>549</v>
      </c>
      <c r="F106" s="15">
        <v>22091</v>
      </c>
      <c r="G106" s="14">
        <v>30900</v>
      </c>
    </row>
    <row r="107" spans="1:7" x14ac:dyDescent="0.2">
      <c r="A107" s="222">
        <v>44652</v>
      </c>
      <c r="B107" s="15">
        <v>109680</v>
      </c>
      <c r="C107" s="14">
        <v>9846</v>
      </c>
      <c r="D107" s="14">
        <v>12721</v>
      </c>
      <c r="E107" s="14">
        <v>2678</v>
      </c>
      <c r="F107" s="15">
        <v>24587</v>
      </c>
      <c r="G107" s="14">
        <v>30900</v>
      </c>
    </row>
    <row r="108" spans="1:7" x14ac:dyDescent="0.2">
      <c r="A108" s="222">
        <v>44682</v>
      </c>
      <c r="B108" s="15">
        <v>128780</v>
      </c>
      <c r="C108" s="14">
        <v>11059</v>
      </c>
      <c r="D108" s="14">
        <v>13516</v>
      </c>
      <c r="E108" s="1">
        <v>816</v>
      </c>
      <c r="F108" s="15">
        <v>27462</v>
      </c>
      <c r="G108" s="14">
        <v>37900</v>
      </c>
    </row>
    <row r="109" spans="1:7" x14ac:dyDescent="0.2">
      <c r="A109" s="222">
        <v>44713</v>
      </c>
      <c r="B109" s="15">
        <v>133160</v>
      </c>
      <c r="C109" s="14">
        <v>11103</v>
      </c>
      <c r="D109" s="14">
        <v>10504</v>
      </c>
      <c r="E109" s="14">
        <v>2070</v>
      </c>
      <c r="F109" s="15">
        <v>22866</v>
      </c>
      <c r="G109" s="14">
        <v>43000</v>
      </c>
    </row>
    <row r="110" spans="1:7" x14ac:dyDescent="0.2">
      <c r="A110" s="222">
        <v>44743</v>
      </c>
      <c r="B110" s="15">
        <v>133830</v>
      </c>
      <c r="C110" s="14">
        <v>11033</v>
      </c>
      <c r="D110" s="14">
        <v>14010</v>
      </c>
      <c r="E110" s="1">
        <v>541</v>
      </c>
      <c r="F110" s="15">
        <v>25004</v>
      </c>
      <c r="G110" s="14">
        <v>30900</v>
      </c>
    </row>
    <row r="111" spans="1:7" x14ac:dyDescent="0.2">
      <c r="A111" s="222">
        <v>44774</v>
      </c>
      <c r="B111" s="15">
        <v>142600</v>
      </c>
      <c r="C111" s="14">
        <v>12033</v>
      </c>
      <c r="D111" s="14">
        <v>17503</v>
      </c>
      <c r="E111" s="14">
        <v>2816</v>
      </c>
      <c r="F111" s="15">
        <v>26660</v>
      </c>
      <c r="G111" s="14">
        <v>37900</v>
      </c>
    </row>
    <row r="112" spans="1:7" x14ac:dyDescent="0.2">
      <c r="A112" s="222">
        <v>44805</v>
      </c>
      <c r="B112" s="15">
        <v>173160</v>
      </c>
      <c r="C112" s="14">
        <v>13490</v>
      </c>
      <c r="D112" s="14">
        <v>13831</v>
      </c>
      <c r="E112" s="1">
        <v>123</v>
      </c>
      <c r="F112" s="15">
        <v>35619</v>
      </c>
      <c r="G112" s="14">
        <v>39500</v>
      </c>
    </row>
    <row r="113" spans="1:7" x14ac:dyDescent="0.2">
      <c r="A113" s="222">
        <v>44835</v>
      </c>
      <c r="B113" s="15">
        <v>168060</v>
      </c>
      <c r="C113" s="14">
        <v>13466</v>
      </c>
      <c r="D113" s="14">
        <v>16926</v>
      </c>
      <c r="E113" s="14">
        <v>1818</v>
      </c>
      <c r="F113" s="15">
        <v>39851</v>
      </c>
      <c r="G113" s="14">
        <v>34400</v>
      </c>
    </row>
    <row r="114" spans="1:7" x14ac:dyDescent="0.2">
      <c r="A114" s="222">
        <v>44866</v>
      </c>
      <c r="B114" s="15">
        <v>166850</v>
      </c>
      <c r="C114" s="14">
        <v>12498</v>
      </c>
      <c r="D114" s="14">
        <v>13936</v>
      </c>
      <c r="E114" s="14">
        <v>1227</v>
      </c>
      <c r="F114" s="15">
        <v>42228</v>
      </c>
      <c r="G114" s="14">
        <v>37900</v>
      </c>
    </row>
    <row r="115" spans="1:7" x14ac:dyDescent="0.2">
      <c r="A115" s="222">
        <v>44896</v>
      </c>
      <c r="B115" s="15">
        <v>154040</v>
      </c>
      <c r="C115" s="14">
        <v>12505</v>
      </c>
      <c r="D115" s="14">
        <v>17833</v>
      </c>
      <c r="E115" s="14">
        <v>1093</v>
      </c>
      <c r="F115" s="15">
        <v>44338</v>
      </c>
      <c r="G115" s="14">
        <v>34400</v>
      </c>
    </row>
    <row r="116" spans="1:7" x14ac:dyDescent="0.2">
      <c r="A116" s="222">
        <v>44927</v>
      </c>
      <c r="B116" s="15">
        <v>124160</v>
      </c>
      <c r="C116" s="14">
        <v>9653</v>
      </c>
      <c r="D116" s="14">
        <v>16972</v>
      </c>
      <c r="E116" s="14">
        <v>1966</v>
      </c>
      <c r="F116" s="15">
        <v>34407</v>
      </c>
      <c r="G116" s="14">
        <v>37900</v>
      </c>
    </row>
    <row r="117" spans="1:7" x14ac:dyDescent="0.2">
      <c r="A117" s="222">
        <v>44958</v>
      </c>
      <c r="B117" s="15">
        <v>152050</v>
      </c>
      <c r="C117" s="14">
        <v>10668</v>
      </c>
      <c r="D117" s="14">
        <v>14310</v>
      </c>
      <c r="E117" s="1">
        <v>847</v>
      </c>
      <c r="F117" s="15">
        <v>28553</v>
      </c>
      <c r="G117" s="14">
        <v>27400</v>
      </c>
    </row>
    <row r="118" spans="1:7" x14ac:dyDescent="0.2">
      <c r="A118" s="222">
        <v>44986</v>
      </c>
      <c r="B118" s="15">
        <v>169890</v>
      </c>
      <c r="C118" s="14">
        <v>11592</v>
      </c>
      <c r="D118" s="14">
        <v>17174</v>
      </c>
      <c r="E118" s="1">
        <v>859</v>
      </c>
      <c r="F118" s="15">
        <v>35187</v>
      </c>
      <c r="G118" s="14">
        <v>32500</v>
      </c>
    </row>
    <row r="119" spans="1:7" x14ac:dyDescent="0.2">
      <c r="A119" s="222">
        <v>45017</v>
      </c>
      <c r="B119" s="15">
        <v>149490</v>
      </c>
      <c r="C119" s="14">
        <v>11175</v>
      </c>
      <c r="D119" s="14">
        <v>16927</v>
      </c>
      <c r="E119" s="14">
        <v>2194</v>
      </c>
      <c r="F119" s="15">
        <v>39810.5</v>
      </c>
      <c r="G119" s="14">
        <v>22300</v>
      </c>
    </row>
    <row r="120" spans="1:7" x14ac:dyDescent="0.2">
      <c r="A120" s="222">
        <v>45047</v>
      </c>
      <c r="B120" s="15">
        <v>151970</v>
      </c>
      <c r="C120" s="14">
        <v>10927</v>
      </c>
      <c r="D120" s="14">
        <v>12838</v>
      </c>
      <c r="E120" s="1">
        <v>120</v>
      </c>
      <c r="F120" s="15">
        <v>32186.3</v>
      </c>
      <c r="G120" s="14">
        <v>30900</v>
      </c>
    </row>
    <row r="121" spans="1:7" x14ac:dyDescent="0.2">
      <c r="A121" s="222">
        <v>45078</v>
      </c>
      <c r="B121" s="15">
        <v>142210</v>
      </c>
      <c r="C121" s="14">
        <v>10699</v>
      </c>
      <c r="D121" s="14">
        <v>14297</v>
      </c>
      <c r="E121" s="1">
        <v>831</v>
      </c>
      <c r="F121" s="15">
        <v>40149.599999999999</v>
      </c>
      <c r="G121" s="14">
        <v>32500</v>
      </c>
    </row>
    <row r="122" spans="1:7" x14ac:dyDescent="0.2">
      <c r="A122" s="222">
        <v>45108</v>
      </c>
      <c r="B122" s="15">
        <v>136680</v>
      </c>
      <c r="C122" s="14">
        <v>10930</v>
      </c>
      <c r="D122" s="14">
        <v>18915</v>
      </c>
      <c r="E122" s="14">
        <v>1356</v>
      </c>
      <c r="F122" s="15">
        <v>23184.400000000001</v>
      </c>
      <c r="G122" s="14">
        <v>21670</v>
      </c>
    </row>
    <row r="123" spans="1:7" x14ac:dyDescent="0.2">
      <c r="A123" s="222">
        <v>45139</v>
      </c>
      <c r="B123" s="15">
        <v>153100</v>
      </c>
      <c r="C123" s="14">
        <v>11013</v>
      </c>
      <c r="D123" s="14">
        <v>16472</v>
      </c>
      <c r="E123" s="14">
        <v>1702</v>
      </c>
      <c r="F123" s="15">
        <v>28190.5</v>
      </c>
      <c r="G123" s="14">
        <v>27270</v>
      </c>
    </row>
    <row r="124" spans="1:7" x14ac:dyDescent="0.2">
      <c r="A124" s="222">
        <v>45170</v>
      </c>
      <c r="B124" s="15">
        <v>157880</v>
      </c>
      <c r="C124" s="14">
        <v>11440</v>
      </c>
      <c r="D124" s="14">
        <v>17001</v>
      </c>
      <c r="E124" s="1">
        <v>803</v>
      </c>
      <c r="F124" s="15">
        <v>30387</v>
      </c>
      <c r="G124" s="14">
        <v>48985</v>
      </c>
    </row>
    <row r="125" spans="1:7" x14ac:dyDescent="0.2">
      <c r="A125" s="222">
        <v>45200</v>
      </c>
      <c r="B125" s="15">
        <v>151690</v>
      </c>
      <c r="C125" s="14">
        <v>11627</v>
      </c>
      <c r="D125" s="14">
        <v>16333</v>
      </c>
      <c r="E125" s="14">
        <v>2024</v>
      </c>
      <c r="F125" s="15">
        <v>30156.5</v>
      </c>
      <c r="G125" s="14">
        <v>30475</v>
      </c>
    </row>
    <row r="126" spans="1:7" x14ac:dyDescent="0.2">
      <c r="A126" s="222">
        <v>45231</v>
      </c>
      <c r="B126" s="15">
        <v>158262</v>
      </c>
      <c r="C126" s="14">
        <v>13859</v>
      </c>
      <c r="D126" s="14">
        <v>13952</v>
      </c>
      <c r="E126" s="14">
        <v>1930</v>
      </c>
      <c r="F126" s="15">
        <v>42616.3</v>
      </c>
      <c r="G126" s="14">
        <v>23750</v>
      </c>
    </row>
    <row r="127" spans="1:7" x14ac:dyDescent="0.2">
      <c r="A127" s="222">
        <v>45261</v>
      </c>
      <c r="B127" s="15">
        <v>148708</v>
      </c>
      <c r="C127" s="14">
        <v>13821</v>
      </c>
      <c r="D127" s="14">
        <v>15942</v>
      </c>
      <c r="E127" s="14">
        <v>2321</v>
      </c>
      <c r="F127" s="15">
        <v>35693.4</v>
      </c>
      <c r="G127" s="14">
        <v>6</v>
      </c>
    </row>
    <row r="128" spans="1:7" x14ac:dyDescent="0.2">
      <c r="A128" s="222">
        <v>45292</v>
      </c>
      <c r="B128" s="15">
        <v>130290</v>
      </c>
      <c r="C128" s="14">
        <v>13903</v>
      </c>
      <c r="D128" s="14">
        <v>19935</v>
      </c>
      <c r="E128" s="14">
        <v>1495</v>
      </c>
      <c r="F128" s="15">
        <v>29377.9</v>
      </c>
      <c r="G128" s="14">
        <v>29300</v>
      </c>
    </row>
    <row r="129" spans="1:8" x14ac:dyDescent="0.2">
      <c r="A129" s="222">
        <v>45323</v>
      </c>
      <c r="B129" s="15">
        <v>123010</v>
      </c>
      <c r="C129" s="14">
        <v>13060</v>
      </c>
      <c r="D129" s="14">
        <v>16518</v>
      </c>
      <c r="E129" s="14">
        <v>1417</v>
      </c>
      <c r="F129" s="15">
        <v>35433.199999999997</v>
      </c>
      <c r="G129" s="14">
        <v>21810</v>
      </c>
    </row>
    <row r="130" spans="1:8" x14ac:dyDescent="0.2">
      <c r="A130" s="222">
        <v>45352</v>
      </c>
      <c r="B130" s="15">
        <v>141700</v>
      </c>
      <c r="C130" s="14">
        <v>13739</v>
      </c>
      <c r="D130" s="14">
        <v>15933</v>
      </c>
      <c r="E130" s="14">
        <v>1545</v>
      </c>
      <c r="F130" s="15">
        <v>43511.3</v>
      </c>
      <c r="G130" s="14">
        <v>24205</v>
      </c>
    </row>
    <row r="131" spans="1:8" x14ac:dyDescent="0.2">
      <c r="A131" s="222">
        <v>45383</v>
      </c>
      <c r="B131" s="15">
        <f>SUM('Raw Data (KG)'!B131:C131)</f>
        <v>136279</v>
      </c>
      <c r="C131" s="14">
        <f>SUM('Raw Data (KG)'!D131)+SUM('Raw Data (KG)'!G131:V131)+SUM('Raw Data (KG)'!H131)+SUM('Raw Data (KG)'!K131:L131)</f>
        <v>87787.6</v>
      </c>
      <c r="D131" s="14">
        <f>SUM('Raw Data (KG)'!E131:F131)+SUM('Raw Data (KG)'!J131:Z131)+SUM('Raw Data (KG)'!Q131)</f>
        <v>52848.600000000006</v>
      </c>
      <c r="E131" s="14">
        <f>SUM('Raw Data (KG)'!I131:X131)+SUM('Raw Data (KG)'!J131)+SUM('Raw Data (KG)'!P131)</f>
        <v>76390.600000000006</v>
      </c>
      <c r="F131" s="15">
        <f>SUM('Raw Food Data (KG)'!Q92)</f>
        <v>39601</v>
      </c>
      <c r="G131" s="14">
        <f>SUM('Raw Data (KG)'!R131:S131)</f>
        <v>19415</v>
      </c>
    </row>
    <row r="132" spans="1:8" x14ac:dyDescent="0.2">
      <c r="A132" s="222">
        <v>45413</v>
      </c>
      <c r="B132" s="15">
        <f>SUM('Raw Data (KG)'!B132:C132)</f>
        <v>168240</v>
      </c>
      <c r="C132" s="14">
        <f>SUM('Raw Data (KG)'!D132)+SUM('Raw Data (KG)'!G132:V132)+SUM('Raw Data (KG)'!H132)+SUM('Raw Data (KG)'!K132:L132)</f>
        <v>86659.199999999997</v>
      </c>
      <c r="D132" s="14">
        <f>SUM('Raw Data (KG)'!E132:F132)+SUM('Raw Data (KG)'!J132:Z132)+SUM('Raw Data (KG)'!Q132)</f>
        <v>46277.9</v>
      </c>
      <c r="E132" s="14">
        <f>SUM('Raw Data (KG)'!I132:X132)+SUM('Raw Data (KG)'!J132)+SUM('Raw Data (KG)'!P132)</f>
        <v>73626.2</v>
      </c>
      <c r="F132" s="15">
        <f>SUM('Raw Food Data (KG)'!Q93)</f>
        <v>40905.300000000003</v>
      </c>
      <c r="G132" s="14">
        <f>SUM('Raw Data (KG)'!R132:S132)</f>
        <v>19270</v>
      </c>
    </row>
    <row r="133" spans="1:8" x14ac:dyDescent="0.2">
      <c r="A133" s="222">
        <v>45444</v>
      </c>
      <c r="B133" s="15">
        <f>SUM('Raw Data (KG)'!B133:C133)</f>
        <v>146382</v>
      </c>
      <c r="C133" s="14">
        <f>SUM('Raw Data (KG)'!D133)+SUM('Raw Data (KG)'!G131:V133)+SUM('Raw Data (KG)'!H133)+SUM('Raw Data (KG)'!K133:L133)</f>
        <v>229184.00000000006</v>
      </c>
      <c r="D133" s="14">
        <f>SUM('Raw Data (KG)'!E133:F133)+SUM('Raw Data (KG)'!J133:Z133)+SUM('Raw Data (KG)'!Q133)</f>
        <v>58071.199999999997</v>
      </c>
      <c r="E133" s="14">
        <f>SUM('Raw Data (KG)'!I133:X133)+SUM('Raw Data (KG)'!J133)+SUM('Raw Data (KG)'!P133)</f>
        <v>68816.7</v>
      </c>
      <c r="F133" s="15">
        <f>SUM('Raw Food Data (KG)'!Q94)</f>
        <v>30060</v>
      </c>
      <c r="G133" s="14">
        <f>SUM('Raw Data (KG)'!R133:S133)</f>
        <v>19135</v>
      </c>
    </row>
    <row r="134" spans="1:8" x14ac:dyDescent="0.2">
      <c r="A134" s="222">
        <v>45474</v>
      </c>
      <c r="B134" s="15">
        <f>SUM('Raw Data (KG)'!B134:C134)</f>
        <v>160720.6</v>
      </c>
      <c r="C134" s="14">
        <f>SUM('Raw Data (KG)'!D134)+SUM('Raw Data (KG)'!G132:V134)+SUM('Raw Data (KG)'!H134)+SUM('Raw Data (KG)'!K134:L134)</f>
        <v>227384.40000000002</v>
      </c>
      <c r="D134" s="14">
        <f>SUM('Raw Data (KG)'!E134:F134)+SUM('Raw Data (KG)'!J134:Z134)+SUM('Raw Data (KG)'!Q134)</f>
        <v>60311.199999999997</v>
      </c>
      <c r="E134" s="14">
        <f>SUM('Raw Data (KG)'!I134:X134)+SUM('Raw Data (KG)'!J134)+SUM('Raw Data (KG)'!P134)</f>
        <v>75785.5</v>
      </c>
      <c r="F134" s="15">
        <f>SUM('Raw Food Data (KG)'!Q95)</f>
        <v>34108.800000000003</v>
      </c>
      <c r="G134" s="14">
        <f>SUM('Raw Data (KG)'!R134:S134)</f>
        <v>19770</v>
      </c>
      <c r="H134" s="15"/>
    </row>
    <row r="135" spans="1:8" x14ac:dyDescent="0.2">
      <c r="A135" s="222">
        <v>45505</v>
      </c>
      <c r="B135" s="15">
        <f>SUM('Raw Data (KG)'!B135:C135)</f>
        <v>140037</v>
      </c>
      <c r="C135" s="14">
        <f>SUM('Raw Data (KG)'!D135)+SUM('Raw Data (KG)'!G133:V135)+SUM('Raw Data (KG)'!H135)+SUM('Raw Data (KG)'!K135:L135)</f>
        <v>238403.90000000002</v>
      </c>
      <c r="D135" s="14">
        <f>SUM('Raw Data (KG)'!E135:F135)+SUM('Raw Data (KG)'!J135:Z135)+SUM('Raw Data (KG)'!Q135)</f>
        <v>69196.2</v>
      </c>
      <c r="E135" s="14">
        <f>SUM('Raw Data (KG)'!I135:X135)+SUM('Raw Data (KG)'!J135)+SUM('Raw Data (KG)'!P135)</f>
        <v>83804.7</v>
      </c>
      <c r="F135" s="15">
        <f>SUM('Raw Food Data (KG)'!Q96)</f>
        <v>36595.5</v>
      </c>
      <c r="G135" s="14">
        <f>SUM('Raw Data (KG)'!R135:S135)</f>
        <v>24215</v>
      </c>
      <c r="H135" s="153"/>
    </row>
    <row r="136" spans="1:8" x14ac:dyDescent="0.2">
      <c r="A136" s="222">
        <v>45536</v>
      </c>
      <c r="B136" s="15">
        <f>SUM('Raw Data (KG)'!B136:C136)</f>
        <v>153930</v>
      </c>
      <c r="C136" s="14">
        <f>SUM('Raw Data (KG)'!D136)+SUM('Raw Data (KG)'!G134:V136)+SUM('Raw Data (KG)'!H136)+SUM('Raw Data (KG)'!K136:L136)</f>
        <v>254505.00000000003</v>
      </c>
      <c r="D136" s="14">
        <f>SUM('Raw Data (KG)'!E136:F136)+SUM('Raw Data (KG)'!J136:Z136)+SUM('Raw Data (KG)'!Q136)</f>
        <v>51697.599999999999</v>
      </c>
      <c r="E136" s="14">
        <f>SUM('Raw Data (KG)'!I136:X136)+SUM('Raw Data (KG)'!J136)+SUM('Raw Data (KG)'!P136)</f>
        <v>86588.3</v>
      </c>
      <c r="F136" s="15">
        <f>SUM('Raw Food Data (KG)'!Q97)</f>
        <v>46111.7</v>
      </c>
      <c r="G136" s="14">
        <f>SUM('Raw Data (KG)'!R136:S136)</f>
        <v>23780</v>
      </c>
      <c r="H136" s="15"/>
    </row>
    <row r="137" spans="1:8" x14ac:dyDescent="0.2">
      <c r="A137" s="222">
        <v>45566</v>
      </c>
      <c r="B137" s="15">
        <f>SUM('Raw Data (KG)'!B137:C137)</f>
        <v>156680</v>
      </c>
      <c r="C137" s="14">
        <f>SUM('Raw Data (KG)'!D137)+SUM('Raw Data (KG)'!G135:V137)+SUM('Raw Data (KG)'!H137)+SUM('Raw Data (KG)'!K137:L137)</f>
        <v>269095.80000000005</v>
      </c>
      <c r="D137" s="14">
        <f>SUM('Raw Data (KG)'!E137:F137)+SUM('Raw Data (KG)'!J137:Z137)+SUM('Raw Data (KG)'!Q137)</f>
        <v>50958.9</v>
      </c>
      <c r="E137" s="14">
        <f>SUM('Raw Data (KG)'!I137:X137)+SUM('Raw Data (KG)'!J137)+SUM('Raw Data (KG)'!P137)</f>
        <v>88614.1</v>
      </c>
      <c r="F137" s="15">
        <f>SUM('Raw Food Data (KG)'!Q98)</f>
        <v>50542.2</v>
      </c>
      <c r="G137" s="14">
        <f>SUM('Raw Data (KG)'!R137:S137)</f>
        <v>23225</v>
      </c>
      <c r="H137" s="15"/>
    </row>
    <row r="138" spans="1:8" x14ac:dyDescent="0.2">
      <c r="A138" s="222">
        <v>45597</v>
      </c>
      <c r="B138" s="15">
        <f>SUM('Raw Data (KG)'!B138:C138)</f>
        <v>157420</v>
      </c>
      <c r="C138" s="14">
        <f>SUM('Raw Data (KG)'!D138)+SUM('Raw Data (KG)'!G136:V138)+SUM('Raw Data (KG)'!H138)+SUM('Raw Data (KG)'!K138:L138)</f>
        <v>274142.2</v>
      </c>
      <c r="D138" s="14">
        <f>SUM('Raw Data (KG)'!E138:F138)+SUM('Raw Data (KG)'!J138:Z138)+SUM('Raw Data (KG)'!Q138)</f>
        <v>57973.7</v>
      </c>
      <c r="E138" s="14">
        <f>SUM('Raw Data (KG)'!I138:X138)+SUM('Raw Data (KG)'!J138)+SUM('Raw Data (KG)'!P138)</f>
        <v>88899.1</v>
      </c>
      <c r="F138" s="15">
        <f>SUM('Raw Food Data (KG)'!Q99)</f>
        <v>50742.400000000009</v>
      </c>
      <c r="G138" s="14">
        <f>SUM('Raw Data (KG)'!R138:S138)</f>
        <v>18920</v>
      </c>
      <c r="H138" s="15"/>
    </row>
    <row r="139" spans="1:8" x14ac:dyDescent="0.2">
      <c r="A139" s="222">
        <v>45627</v>
      </c>
      <c r="B139" s="15">
        <f>SUM('Raw Data (KG)'!B139:C139)</f>
        <v>143500</v>
      </c>
      <c r="C139" s="14">
        <f>SUM('Raw Data (KG)'!D139)+SUM('Raw Data (KG)'!G137:V139)+SUM('Raw Data (KG)'!H139)+SUM('Raw Data (KG)'!K139:L139)</f>
        <v>259947.30000000002</v>
      </c>
      <c r="D139" s="14">
        <f>SUM('Raw Data (KG)'!E139:F139)+SUM('Raw Data (KG)'!J139:Z139)+SUM('Raw Data (KG)'!Q139)</f>
        <v>42642.7</v>
      </c>
      <c r="E139" s="14">
        <f>SUM('Raw Data (KG)'!I139:X139)+SUM('Raw Data (KG)'!J139)+SUM('Raw Data (KG)'!P139)</f>
        <v>71683.7</v>
      </c>
      <c r="F139" s="15">
        <f>SUM('Raw Food Data (KG)'!Q100)</f>
        <v>42777</v>
      </c>
      <c r="G139" s="14">
        <f>SUM('Raw Data (KG)'!R139:S139)</f>
        <v>15440</v>
      </c>
      <c r="H139" s="15"/>
    </row>
    <row r="140" spans="1:8" x14ac:dyDescent="0.2">
      <c r="A140" s="222">
        <v>45658</v>
      </c>
      <c r="B140" s="15">
        <f>SUM('Raw Data (KG)'!B140:C140)</f>
        <v>123900</v>
      </c>
      <c r="C140" s="14">
        <f>SUM('Raw Data (KG)'!D140)+SUM('Raw Data (KG)'!G138:V140)+SUM('Raw Data (KG)'!H140)+SUM('Raw Data (KG)'!K140:L140)</f>
        <v>240576</v>
      </c>
      <c r="D140" s="14">
        <f>SUM('Raw Data (KG)'!E140:F140)+SUM('Raw Data (KG)'!J140:Z140)+SUM('Raw Data (KG)'!Q140)</f>
        <v>53193.2</v>
      </c>
      <c r="E140" s="14">
        <f>SUM('Raw Data (KG)'!I140:X140)+SUM('Raw Data (KG)'!J140)+SUM('Raw Data (KG)'!P140)</f>
        <v>70013.2</v>
      </c>
      <c r="F140" s="15">
        <f>SUM('Raw Food Data (KG)'!Q101)</f>
        <v>32055</v>
      </c>
      <c r="G140" s="14">
        <f>SUM('Raw Data (KG)'!R140:S140)</f>
        <v>20788</v>
      </c>
      <c r="H140" s="15"/>
    </row>
    <row r="141" spans="1:8" x14ac:dyDescent="0.2">
      <c r="A141" s="222">
        <v>45689</v>
      </c>
      <c r="B141" s="15">
        <f>SUM('Raw Data (KG)'!B141:C141)</f>
        <v>139910</v>
      </c>
      <c r="C141" s="14">
        <f>SUM('Raw Data (KG)'!D141)+SUM('Raw Data (KG)'!G139:V141)+SUM('Raw Data (KG)'!H141)+SUM('Raw Data (KG)'!K141:L141)</f>
        <v>224609.2</v>
      </c>
      <c r="D141" s="14">
        <f>SUM('Raw Data (KG)'!E141:F141)+SUM('Raw Data (KG)'!J141:Z141)+SUM('Raw Data (KG)'!Q141)</f>
        <v>43552.5</v>
      </c>
      <c r="E141" s="14">
        <f>SUM('Raw Data (KG)'!I141:X141)+SUM('Raw Data (KG)'!J141)+SUM('Raw Data (KG)'!P141)</f>
        <v>72344.800000000003</v>
      </c>
      <c r="F141" s="15">
        <f>SUM('Raw Food Data (KG)'!Q102)</f>
        <v>41573.300000000003</v>
      </c>
      <c r="G141" s="14">
        <f>SUM('Raw Data (KG)'!R141:S141)</f>
        <v>17196</v>
      </c>
      <c r="H141" s="15"/>
    </row>
    <row r="142" spans="1:8" x14ac:dyDescent="0.2">
      <c r="A142" s="222">
        <v>45717</v>
      </c>
      <c r="B142" s="15">
        <f>SUM('Raw Data (KG)'!B142:C142)</f>
        <v>159210</v>
      </c>
      <c r="C142" s="14">
        <f>SUM('Raw Data (KG)'!D142)+SUM('Raw Data (KG)'!G140:V142)+SUM('Raw Data (KG)'!H142)+SUM('Raw Data (KG)'!K142:L142)</f>
        <v>240151.4</v>
      </c>
      <c r="D142" s="14">
        <f>SUM('Raw Data (KG)'!E142:F142)+SUM('Raw Data (KG)'!J142:Z142)+SUM('Raw Data (KG)'!Q142)</f>
        <v>56929.5</v>
      </c>
      <c r="E142" s="14">
        <f>SUM('Raw Data (KG)'!I142:X142)+SUM('Raw Data (KG)'!J142)+SUM('Raw Data (KG)'!P142)</f>
        <v>87035.1</v>
      </c>
      <c r="F142" s="15">
        <f>SUM('Raw Food Data (KG)'!Q103)</f>
        <v>49419.1</v>
      </c>
      <c r="G142" s="14">
        <f>SUM('Raw Data (KG)'!R142:S142)</f>
        <v>16610</v>
      </c>
      <c r="H142" s="15"/>
    </row>
    <row r="143" spans="1:8" x14ac:dyDescent="0.2">
      <c r="A143" s="222">
        <v>45748</v>
      </c>
      <c r="B143" s="15">
        <f>SUM('Raw Data (KG)'!B143:C143)</f>
        <v>146360</v>
      </c>
      <c r="C143" s="14">
        <f>SUM('Raw Data (KG)'!D143)+SUM('Raw Data (KG)'!G141:V143)+SUM('Raw Data (KG)'!H143)+SUM('Raw Data (KG)'!K143:L143)</f>
        <v>248094.5</v>
      </c>
      <c r="D143" s="14">
        <f>SUM('Raw Data (KG)'!E143:F143)+SUM('Raw Data (KG)'!J143:Z143)+SUM('Raw Data (KG)'!Q143)</f>
        <v>51871.5</v>
      </c>
      <c r="E143" s="14">
        <f>SUM('Raw Data (KG)'!I143:X143)+SUM('Raw Data (KG)'!J143)+SUM('Raw Data (KG)'!P143)</f>
        <v>76868.100000000006</v>
      </c>
      <c r="F143" s="15">
        <f>SUM('Raw Food Data (KG)'!Q104)</f>
        <v>42293.100000000006</v>
      </c>
      <c r="G143" s="14">
        <f>SUM('Raw Data (KG)'!R143:S143)</f>
        <v>18785</v>
      </c>
      <c r="H143" s="15"/>
    </row>
    <row r="144" spans="1:8" x14ac:dyDescent="0.2">
      <c r="A144" s="222">
        <v>45778</v>
      </c>
      <c r="B144" s="15">
        <f>SUM('Raw Data (KG)'!B144:C144)</f>
        <v>160120</v>
      </c>
      <c r="C144" s="14">
        <f>SUM('Raw Data (KG)'!D144)+SUM('Raw Data (KG)'!G142:V144)+SUM('Raw Data (KG)'!H144)+SUM('Raw Data (KG)'!K144:L144)</f>
        <v>255666.20000000004</v>
      </c>
      <c r="D144" s="14">
        <f>SUM('Raw Data (KG)'!E144:F144)+SUM('Raw Data (KG)'!J144:Z144)+SUM('Raw Data (KG)'!Q144)</f>
        <v>55606</v>
      </c>
      <c r="E144" s="14">
        <f>SUM('Raw Data (KG)'!I144:X144)+SUM('Raw Data (KG)'!J144)+SUM('Raw Data (KG)'!P144)</f>
        <v>80592.900000000009</v>
      </c>
      <c r="F144" s="15">
        <f>SUM('Raw Food Data (KG)'!Q105)</f>
        <v>44778.400000000009</v>
      </c>
      <c r="G144" s="14">
        <f>SUM('Raw Data (KG)'!R144:S144)</f>
        <v>15520</v>
      </c>
      <c r="H144" s="15"/>
    </row>
    <row r="145" spans="1:8" x14ac:dyDescent="0.2">
      <c r="A145" s="222">
        <v>45809</v>
      </c>
      <c r="B145" s="15">
        <f>SUM('Raw Data (KG)'!B145:C145)</f>
        <v>152210</v>
      </c>
      <c r="C145" s="14">
        <f>SUM('Raw Data (KG)'!D145)+SUM('Raw Data (KG)'!G143:V145)+SUM('Raw Data (KG)'!H145)+SUM('Raw Data (KG)'!K145:L145)</f>
        <v>244197.3</v>
      </c>
      <c r="D145" s="14">
        <f>SUM('Raw Data (KG)'!E145:F145)+SUM('Raw Data (KG)'!J145:Z145)+SUM('Raw Data (KG)'!Q145)</f>
        <v>63566.9</v>
      </c>
      <c r="E145" s="14">
        <f>SUM('Raw Data (KG)'!I145:X145)+SUM('Raw Data (KG)'!J145)+SUM('Raw Data (KG)'!P145)</f>
        <v>75756.800000000003</v>
      </c>
      <c r="F145" s="15">
        <f>SUM('Raw Food Data (KG)'!Q106)</f>
        <v>31534.400000000001</v>
      </c>
      <c r="G145" s="14">
        <f>SUM('Raw Data (KG)'!R145:S145)</f>
        <v>24015</v>
      </c>
      <c r="H145" s="15"/>
    </row>
    <row r="146" spans="1:8" x14ac:dyDescent="0.2">
      <c r="A146" s="222"/>
      <c r="B146" s="15"/>
      <c r="C146" s="14"/>
      <c r="D146" s="14"/>
      <c r="E146" s="14"/>
      <c r="F146" s="15"/>
      <c r="G146" s="14"/>
      <c r="H146" s="15"/>
    </row>
    <row r="147" spans="1:8" x14ac:dyDescent="0.2">
      <c r="B147" s="153"/>
      <c r="C147" s="153"/>
      <c r="D147" s="153"/>
      <c r="E147" s="153"/>
      <c r="F147" s="153"/>
      <c r="G147" s="14"/>
      <c r="H147" s="153"/>
    </row>
    <row r="148" spans="1:8" x14ac:dyDescent="0.2">
      <c r="A148" s="328" t="s">
        <v>171</v>
      </c>
      <c r="B148" s="15">
        <f t="shared" ref="B148:G148" si="4">SUM(B134:B145)</f>
        <v>1793997.6</v>
      </c>
      <c r="C148" s="15">
        <f t="shared" si="4"/>
        <v>2976773.2</v>
      </c>
      <c r="D148" s="15">
        <f t="shared" si="4"/>
        <v>657499.9</v>
      </c>
      <c r="E148" s="15">
        <f t="shared" si="4"/>
        <v>957986.3</v>
      </c>
      <c r="F148" s="15">
        <f t="shared" si="4"/>
        <v>502530.9</v>
      </c>
      <c r="G148" s="15">
        <f t="shared" si="4"/>
        <v>238264</v>
      </c>
      <c r="H148" s="15">
        <f>SUM(B148:G148)</f>
        <v>7127051.9000000013</v>
      </c>
    </row>
    <row r="149" spans="1:8" x14ac:dyDescent="0.2">
      <c r="B149" s="202">
        <f>B148/H148</f>
        <v>0.25171664598092791</v>
      </c>
      <c r="C149" s="202">
        <f>C148/$H$148</f>
        <v>0.4176724460221764</v>
      </c>
      <c r="D149" s="202">
        <f t="shared" ref="D149:G149" si="5">D148/$H$148</f>
        <v>9.2254119827582554E-2</v>
      </c>
      <c r="E149" s="202">
        <f t="shared" si="5"/>
        <v>0.13441550776415701</v>
      </c>
      <c r="F149" s="202">
        <f t="shared" si="5"/>
        <v>7.0510346641365129E-2</v>
      </c>
      <c r="G149" s="202">
        <f t="shared" si="5"/>
        <v>3.3430933763790881E-2</v>
      </c>
    </row>
    <row r="150" spans="1:8" x14ac:dyDescent="0.2">
      <c r="A150" s="328" t="s">
        <v>170</v>
      </c>
      <c r="B150" s="15">
        <f t="shared" ref="B150:G150" si="6">SUM(B122:B133)</f>
        <v>1752221</v>
      </c>
      <c r="C150" s="15">
        <f t="shared" si="6"/>
        <v>517022.80000000005</v>
      </c>
      <c r="D150" s="15">
        <f t="shared" si="6"/>
        <v>308198.7</v>
      </c>
      <c r="E150" s="15">
        <f t="shared" si="6"/>
        <v>233426.5</v>
      </c>
      <c r="F150" s="15">
        <f t="shared" si="6"/>
        <v>409116.8</v>
      </c>
      <c r="G150" s="15">
        <f t="shared" si="6"/>
        <v>285291</v>
      </c>
      <c r="H150" s="15">
        <f>SUM(B150:G150)</f>
        <v>3505276.8</v>
      </c>
    </row>
    <row r="151" spans="1:8" x14ac:dyDescent="0.2">
      <c r="B151" s="202">
        <f t="shared" ref="B151:G151" si="7">B150/$H$150</f>
        <v>0.49988092238535914</v>
      </c>
      <c r="C151" s="202">
        <f t="shared" si="7"/>
        <v>0.14749842294908067</v>
      </c>
      <c r="D151" s="202">
        <f t="shared" si="7"/>
        <v>8.7924211862526816E-2</v>
      </c>
      <c r="E151" s="202">
        <f t="shared" si="7"/>
        <v>6.6592886473330726E-2</v>
      </c>
      <c r="F151" s="202">
        <f t="shared" si="7"/>
        <v>0.11671454876259701</v>
      </c>
      <c r="G151" s="202">
        <f t="shared" si="7"/>
        <v>8.1389007567105695E-2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7AD9-29EC-4F39-8A15-D9AC95EF204C}">
  <dimension ref="A1:P159"/>
  <sheetViews>
    <sheetView workbookViewId="0">
      <pane xSplit="1" ySplit="1" topLeftCell="B148" activePane="bottomRight" state="frozen"/>
      <selection pane="topRight" activeCell="B1" sqref="B1"/>
      <selection pane="bottomLeft" activeCell="A2" sqref="A2"/>
      <selection pane="bottomRight" activeCell="B157" sqref="B157"/>
    </sheetView>
  </sheetViews>
  <sheetFormatPr baseColWidth="10" defaultColWidth="8.6640625" defaultRowHeight="16" x14ac:dyDescent="0.2"/>
  <cols>
    <col min="1" max="1" width="10.6640625" style="370" customWidth="1"/>
    <col min="2" max="5" width="13.33203125" style="1" customWidth="1"/>
    <col min="6" max="8" width="15.6640625" style="1" customWidth="1"/>
    <col min="9" max="9" width="13.33203125" style="1" customWidth="1"/>
    <col min="10" max="10" width="15.6640625" style="1" customWidth="1"/>
    <col min="11" max="11" width="13.33203125" style="1" customWidth="1"/>
    <col min="12" max="12" width="18.33203125" style="1" customWidth="1"/>
    <col min="13" max="13" width="14" style="1" bestFit="1" customWidth="1"/>
    <col min="14" max="16384" width="8.6640625" style="1"/>
  </cols>
  <sheetData>
    <row r="1" spans="1:16" s="13" customFormat="1" ht="34" x14ac:dyDescent="0.2">
      <c r="A1" s="64" t="s">
        <v>28</v>
      </c>
      <c r="B1" s="65" t="s">
        <v>475</v>
      </c>
      <c r="C1" s="65" t="s">
        <v>476</v>
      </c>
      <c r="D1" s="65" t="s">
        <v>477</v>
      </c>
      <c r="E1" s="65" t="s">
        <v>478</v>
      </c>
      <c r="F1" s="65" t="s">
        <v>26</v>
      </c>
      <c r="G1" s="65" t="s">
        <v>479</v>
      </c>
      <c r="H1" s="65" t="s">
        <v>480</v>
      </c>
      <c r="I1" s="65" t="s">
        <v>481</v>
      </c>
      <c r="J1" s="66" t="str">
        <f>'Raw Data (KG)'!P1</f>
        <v>Electrical Appliance</v>
      </c>
      <c r="K1" s="66" t="s">
        <v>27</v>
      </c>
      <c r="L1" s="67" t="s">
        <v>646</v>
      </c>
      <c r="M1" s="91"/>
      <c r="N1" s="12"/>
      <c r="O1" s="674" t="s">
        <v>647</v>
      </c>
      <c r="P1" s="674"/>
    </row>
    <row r="2" spans="1:16" s="13" customFormat="1" x14ac:dyDescent="0.2">
      <c r="A2" s="68">
        <v>41456</v>
      </c>
      <c r="B2" s="75">
        <f>SUM('Raw Data (KG)'!D2:D2)</f>
        <v>5120</v>
      </c>
      <c r="C2" s="70">
        <f>SUM('Raw Data (KG)'!E2:F2)</f>
        <v>108</v>
      </c>
      <c r="D2" s="73">
        <f>SUM('Raw Data (KG)'!G2:V2)</f>
        <v>2358.4899999999998</v>
      </c>
      <c r="E2" s="70">
        <f>'Raw Data (KG)'!W2</f>
        <v>0</v>
      </c>
      <c r="F2" s="76"/>
      <c r="G2" s="70">
        <f>'Raw Data (KG)'!R2</f>
        <v>0</v>
      </c>
      <c r="H2" s="75">
        <f>'Raw Data (KG)'!S2</f>
        <v>0</v>
      </c>
      <c r="I2" s="77">
        <f>'Raw Data (KG)'!Q2</f>
        <v>0</v>
      </c>
      <c r="J2" s="75">
        <f>'Raw Data (KG)'!P2</f>
        <v>0</v>
      </c>
      <c r="K2" s="74">
        <f>'Raw Data (KG)'!H2+SUM('Raw Data (KG)'!J2:K2)+SUM('Raw Data (KG)'!M2:O2)+'Raw Data (KG)'!T2</f>
        <v>118.49000000000001</v>
      </c>
      <c r="L2" s="71">
        <f t="shared" ref="L2:L33" si="0">SUM(B2:K2)</f>
        <v>7704.98</v>
      </c>
      <c r="M2" s="91"/>
      <c r="N2" s="12"/>
      <c r="O2" s="12"/>
      <c r="P2" s="12"/>
    </row>
    <row r="3" spans="1:16" s="13" customFormat="1" x14ac:dyDescent="0.2">
      <c r="A3" s="68">
        <v>41487</v>
      </c>
      <c r="B3" s="75">
        <f>SUM('Raw Data (KG)'!D3:D3)</f>
        <v>4100</v>
      </c>
      <c r="C3" s="70">
        <f>SUM('Raw Data (KG)'!E3:F3)</f>
        <v>300</v>
      </c>
      <c r="D3" s="73">
        <f>SUM('Raw Data (KG)'!G3:V3)</f>
        <v>2369.75</v>
      </c>
      <c r="E3" s="70">
        <f>'Raw Data (KG)'!W3</f>
        <v>0</v>
      </c>
      <c r="F3" s="76"/>
      <c r="G3" s="70">
        <f>'Raw Data (KG)'!R3</f>
        <v>0</v>
      </c>
      <c r="H3" s="75">
        <f>'Raw Data (KG)'!S3</f>
        <v>0</v>
      </c>
      <c r="I3" s="77">
        <f>'Raw Data (KG)'!Q3</f>
        <v>0</v>
      </c>
      <c r="J3" s="75">
        <f>'Raw Data (KG)'!P3</f>
        <v>0</v>
      </c>
      <c r="K3" s="74">
        <f>'Raw Data (KG)'!H3+SUM('Raw Data (KG)'!J3:K3)+SUM('Raw Data (KG)'!M3:O3)+'Raw Data (KG)'!T3</f>
        <v>119.75</v>
      </c>
      <c r="L3" s="71">
        <f t="shared" si="0"/>
        <v>6889.5</v>
      </c>
      <c r="M3" s="91"/>
      <c r="N3" s="12"/>
      <c r="O3" s="12"/>
      <c r="P3" s="12"/>
    </row>
    <row r="4" spans="1:16" s="13" customFormat="1" x14ac:dyDescent="0.2">
      <c r="A4" s="68">
        <v>41518</v>
      </c>
      <c r="B4" s="75">
        <f>SUM('Raw Data (KG)'!D4:D4)</f>
        <v>4900</v>
      </c>
      <c r="C4" s="75">
        <f>SUM('Raw Data (KG)'!E4:F4)</f>
        <v>320</v>
      </c>
      <c r="D4" s="73">
        <f>SUM('Raw Data (KG)'!G4:V4)</f>
        <v>2458.4760000000001</v>
      </c>
      <c r="E4" s="75">
        <f>'Raw Data (KG)'!W4</f>
        <v>0</v>
      </c>
      <c r="F4" s="76"/>
      <c r="G4" s="70">
        <f>'Raw Data (KG)'!R4</f>
        <v>0</v>
      </c>
      <c r="H4" s="75">
        <f>'Raw Data (KG)'!S4</f>
        <v>0</v>
      </c>
      <c r="I4" s="77">
        <f>'Raw Data (KG)'!Q4</f>
        <v>0</v>
      </c>
      <c r="J4" s="75">
        <f>'Raw Data (KG)'!P4</f>
        <v>0</v>
      </c>
      <c r="K4" s="74">
        <f>'Raw Data (KG)'!H4+SUM('Raw Data (KG)'!J4:K4)+SUM('Raw Data (KG)'!M4:O4)+'Raw Data (KG)'!T4</f>
        <v>90.475999999999999</v>
      </c>
      <c r="L4" s="71">
        <f t="shared" si="0"/>
        <v>7768.9520000000002</v>
      </c>
      <c r="M4" s="91"/>
      <c r="N4" s="12"/>
      <c r="O4" s="12"/>
      <c r="P4" s="12"/>
    </row>
    <row r="5" spans="1:16" s="13" customFormat="1" x14ac:dyDescent="0.2">
      <c r="A5" s="68">
        <v>41548</v>
      </c>
      <c r="B5" s="75">
        <f>SUM('Raw Data (KG)'!D5:D5)</f>
        <v>4700</v>
      </c>
      <c r="C5" s="75">
        <f>SUM('Raw Data (KG)'!E5:F5)</f>
        <v>150</v>
      </c>
      <c r="D5" s="73">
        <f>SUM('Raw Data (KG)'!G5:V5)</f>
        <v>2588.2249999999999</v>
      </c>
      <c r="E5" s="75">
        <f>'Raw Data (KG)'!W5</f>
        <v>0</v>
      </c>
      <c r="F5" s="76"/>
      <c r="G5" s="75">
        <f>'Raw Data (KG)'!R5</f>
        <v>0</v>
      </c>
      <c r="H5" s="75">
        <f>'Raw Data (KG)'!S5</f>
        <v>0</v>
      </c>
      <c r="I5" s="77">
        <f>'Raw Data (KG)'!Q5</f>
        <v>0</v>
      </c>
      <c r="J5" s="75">
        <f>'Raw Data (KG)'!P5</f>
        <v>0</v>
      </c>
      <c r="K5" s="74">
        <f>'Raw Data (KG)'!H5+SUM('Raw Data (KG)'!J5:K5)+SUM('Raw Data (KG)'!M5:O5)+'Raw Data (KG)'!T5</f>
        <v>148.22500000000002</v>
      </c>
      <c r="L5" s="71">
        <f t="shared" si="0"/>
        <v>7586.4500000000007</v>
      </c>
      <c r="M5" s="91"/>
      <c r="N5" s="12"/>
      <c r="O5" s="12"/>
      <c r="P5" s="12"/>
    </row>
    <row r="6" spans="1:16" s="13" customFormat="1" x14ac:dyDescent="0.2">
      <c r="A6" s="68">
        <v>41579</v>
      </c>
      <c r="B6" s="75">
        <f>SUM('Raw Data (KG)'!D6:D6)</f>
        <v>4450</v>
      </c>
      <c r="C6" s="75">
        <f>SUM('Raw Data (KG)'!E6:F6)</f>
        <v>11</v>
      </c>
      <c r="D6" s="73">
        <f>SUM('Raw Data (KG)'!G6:V6)</f>
        <v>2675.5529999999999</v>
      </c>
      <c r="E6" s="75">
        <f>'Raw Data (KG)'!W6</f>
        <v>0</v>
      </c>
      <c r="F6" s="76"/>
      <c r="G6" s="75">
        <f>'Raw Data (KG)'!R6</f>
        <v>0</v>
      </c>
      <c r="H6" s="75">
        <f>'Raw Data (KG)'!S6</f>
        <v>0</v>
      </c>
      <c r="I6" s="77">
        <f>'Raw Data (KG)'!Q6</f>
        <v>0</v>
      </c>
      <c r="J6" s="75">
        <f>'Raw Data (KG)'!P6</f>
        <v>0</v>
      </c>
      <c r="K6" s="74">
        <f>'Raw Data (KG)'!H6+SUM('Raw Data (KG)'!J6:K6)+SUM('Raw Data (KG)'!M6:O6)+'Raw Data (KG)'!T6</f>
        <v>97.552999999999997</v>
      </c>
      <c r="L6" s="71">
        <f t="shared" si="0"/>
        <v>7234.1059999999998</v>
      </c>
      <c r="M6" s="91"/>
      <c r="N6" s="12"/>
      <c r="O6" s="12"/>
      <c r="P6" s="12"/>
    </row>
    <row r="7" spans="1:16" s="13" customFormat="1" x14ac:dyDescent="0.2">
      <c r="A7" s="68">
        <v>41609</v>
      </c>
      <c r="B7" s="75">
        <f>SUM('Raw Data (KG)'!D7:D7)</f>
        <v>4150</v>
      </c>
      <c r="C7" s="75">
        <f>SUM('Raw Data (KG)'!E7:F7)</f>
        <v>90</v>
      </c>
      <c r="D7" s="73">
        <f>SUM('Raw Data (KG)'!G7:V7)</f>
        <v>2726.1880000000001</v>
      </c>
      <c r="E7" s="75">
        <f>'Raw Data (KG)'!W7</f>
        <v>0</v>
      </c>
      <c r="F7" s="76"/>
      <c r="G7" s="75">
        <f>'Raw Data (KG)'!R7</f>
        <v>0</v>
      </c>
      <c r="H7" s="75">
        <f>'Raw Data (KG)'!S7</f>
        <v>0</v>
      </c>
      <c r="I7" s="77">
        <f>'Raw Data (KG)'!Q7</f>
        <v>0</v>
      </c>
      <c r="J7" s="75">
        <f>'Raw Data (KG)'!P7</f>
        <v>0</v>
      </c>
      <c r="K7" s="74">
        <f>'Raw Data (KG)'!H7+SUM('Raw Data (KG)'!J7:K7)+SUM('Raw Data (KG)'!M7:O7)+'Raw Data (KG)'!T7</f>
        <v>80.188000000000017</v>
      </c>
      <c r="L7" s="71">
        <f t="shared" si="0"/>
        <v>7046.3760000000002</v>
      </c>
      <c r="M7" s="91"/>
      <c r="N7" s="12"/>
      <c r="O7" s="12"/>
      <c r="P7" s="12"/>
    </row>
    <row r="8" spans="1:16" s="13" customFormat="1" x14ac:dyDescent="0.2">
      <c r="A8" s="68">
        <v>41640</v>
      </c>
      <c r="B8" s="75">
        <f>SUM('Raw Data (KG)'!D8:D8)</f>
        <v>4360</v>
      </c>
      <c r="C8" s="75">
        <f>SUM('Raw Data (KG)'!E8:F8)</f>
        <v>70</v>
      </c>
      <c r="D8" s="73">
        <f>SUM('Raw Data (KG)'!G8:V8)</f>
        <v>2585.4290000000001</v>
      </c>
      <c r="E8" s="75">
        <f>'Raw Data (KG)'!W8</f>
        <v>0</v>
      </c>
      <c r="F8" s="76"/>
      <c r="G8" s="75">
        <f>'Raw Data (KG)'!R8</f>
        <v>0</v>
      </c>
      <c r="H8" s="75">
        <f>'Raw Data (KG)'!S8</f>
        <v>0</v>
      </c>
      <c r="I8" s="77">
        <f>'Raw Data (KG)'!Q8</f>
        <v>0</v>
      </c>
      <c r="J8" s="75">
        <f>'Raw Data (KG)'!P8</f>
        <v>0</v>
      </c>
      <c r="K8" s="74">
        <f>'Raw Data (KG)'!H8+SUM('Raw Data (KG)'!J8:K8)+SUM('Raw Data (KG)'!M8:O8)+'Raw Data (KG)'!T8</f>
        <v>65.429000000000002</v>
      </c>
      <c r="L8" s="71">
        <f t="shared" si="0"/>
        <v>7080.8580000000002</v>
      </c>
      <c r="M8" s="91"/>
      <c r="N8" s="12"/>
      <c r="O8" s="12"/>
      <c r="P8" s="12"/>
    </row>
    <row r="9" spans="1:16" s="13" customFormat="1" x14ac:dyDescent="0.2">
      <c r="A9" s="68">
        <v>41671</v>
      </c>
      <c r="B9" s="75">
        <f>SUM('Raw Data (KG)'!D9:D9)</f>
        <v>4400</v>
      </c>
      <c r="C9" s="75">
        <f>SUM('Raw Data (KG)'!E9:F9)</f>
        <v>200</v>
      </c>
      <c r="D9" s="73">
        <f>SUM('Raw Data (KG)'!G9:V9)</f>
        <v>2516.7840000000001</v>
      </c>
      <c r="E9" s="75">
        <f>'Raw Data (KG)'!W9</f>
        <v>0</v>
      </c>
      <c r="F9" s="76"/>
      <c r="G9" s="75">
        <f>'Raw Data (KG)'!R9</f>
        <v>0</v>
      </c>
      <c r="H9" s="75">
        <f>'Raw Data (KG)'!S9</f>
        <v>0</v>
      </c>
      <c r="I9" s="77">
        <f>'Raw Data (KG)'!Q9</f>
        <v>0</v>
      </c>
      <c r="J9" s="75">
        <f>'Raw Data (KG)'!P9</f>
        <v>0</v>
      </c>
      <c r="K9" s="74">
        <f>'Raw Data (KG)'!H9+SUM('Raw Data (KG)'!J9:K9)+SUM('Raw Data (KG)'!M9:O9)+'Raw Data (KG)'!T9</f>
        <v>106.78400000000001</v>
      </c>
      <c r="L9" s="71">
        <f t="shared" si="0"/>
        <v>7223.5679999999993</v>
      </c>
      <c r="M9" s="91"/>
      <c r="N9" s="12"/>
      <c r="O9" s="12"/>
      <c r="P9" s="12"/>
    </row>
    <row r="10" spans="1:16" s="13" customFormat="1" x14ac:dyDescent="0.2">
      <c r="A10" s="68">
        <v>41699</v>
      </c>
      <c r="B10" s="75">
        <f>SUM('Raw Data (KG)'!D10:D10)</f>
        <v>4800</v>
      </c>
      <c r="C10" s="75">
        <f>SUM('Raw Data (KG)'!E10:F10)</f>
        <v>150</v>
      </c>
      <c r="D10" s="73">
        <f>SUM('Raw Data (KG)'!G10:V10)</f>
        <v>2504.163</v>
      </c>
      <c r="E10" s="75">
        <f>'Raw Data (KG)'!W10</f>
        <v>0</v>
      </c>
      <c r="F10" s="76"/>
      <c r="G10" s="75">
        <f>'Raw Data (KG)'!R10</f>
        <v>0</v>
      </c>
      <c r="H10" s="75">
        <f>'Raw Data (KG)'!S10</f>
        <v>0</v>
      </c>
      <c r="I10" s="77">
        <f>'Raw Data (KG)'!Q10</f>
        <v>0</v>
      </c>
      <c r="J10" s="75">
        <f>'Raw Data (KG)'!P10</f>
        <v>0</v>
      </c>
      <c r="K10" s="74">
        <f>'Raw Data (KG)'!H10+SUM('Raw Data (KG)'!J10:K10)+SUM('Raw Data (KG)'!M10:O10)+'Raw Data (KG)'!T10</f>
        <v>114.16300000000001</v>
      </c>
      <c r="L10" s="71">
        <f t="shared" si="0"/>
        <v>7568.3260000000009</v>
      </c>
      <c r="M10" s="91"/>
      <c r="N10" s="12"/>
      <c r="O10" s="12"/>
      <c r="P10" s="12"/>
    </row>
    <row r="11" spans="1:16" s="13" customFormat="1" x14ac:dyDescent="0.2">
      <c r="A11" s="68">
        <v>41730</v>
      </c>
      <c r="B11" s="75">
        <f>SUM('Raw Data (KG)'!D11:D11)</f>
        <v>4620</v>
      </c>
      <c r="C11" s="75">
        <f>SUM('Raw Data (KG)'!E11:F11)</f>
        <v>110</v>
      </c>
      <c r="D11" s="73">
        <f>SUM('Raw Data (KG)'!G11:V11)</f>
        <v>2634.9790000000003</v>
      </c>
      <c r="E11" s="75">
        <f>'Raw Data (KG)'!W11</f>
        <v>0</v>
      </c>
      <c r="F11" s="76"/>
      <c r="G11" s="75">
        <f>'Raw Data (KG)'!R11</f>
        <v>0</v>
      </c>
      <c r="H11" s="75">
        <f>'Raw Data (KG)'!S11</f>
        <v>0</v>
      </c>
      <c r="I11" s="77">
        <f>'Raw Data (KG)'!Q11</f>
        <v>0</v>
      </c>
      <c r="J11" s="75">
        <f>'Raw Data (KG)'!P11</f>
        <v>0</v>
      </c>
      <c r="K11" s="74">
        <f>'Raw Data (KG)'!H11+SUM('Raw Data (KG)'!J11:K11)+SUM('Raw Data (KG)'!M11:O11)+'Raw Data (KG)'!T11</f>
        <v>124.97900000000001</v>
      </c>
      <c r="L11" s="71">
        <f t="shared" si="0"/>
        <v>7489.9580000000005</v>
      </c>
      <c r="M11" s="91"/>
      <c r="N11" s="12"/>
      <c r="O11" s="12"/>
      <c r="P11" s="12"/>
    </row>
    <row r="12" spans="1:16" s="13" customFormat="1" x14ac:dyDescent="0.2">
      <c r="A12" s="68">
        <v>41760</v>
      </c>
      <c r="B12" s="75">
        <f>SUM('Raw Data (KG)'!D12:D12)</f>
        <v>4900</v>
      </c>
      <c r="C12" s="75">
        <f>SUM('Raw Data (KG)'!E12:F12)</f>
        <v>350</v>
      </c>
      <c r="D12" s="73">
        <f>SUM('Raw Data (KG)'!G12:V12)</f>
        <v>2602.7350000000001</v>
      </c>
      <c r="E12" s="75">
        <f>'Raw Data (KG)'!W12</f>
        <v>0</v>
      </c>
      <c r="F12" s="76"/>
      <c r="G12" s="75">
        <f>'Raw Data (KG)'!R12</f>
        <v>0</v>
      </c>
      <c r="H12" s="75">
        <f>'Raw Data (KG)'!S12</f>
        <v>0</v>
      </c>
      <c r="I12" s="77">
        <f>'Raw Data (KG)'!Q12</f>
        <v>0</v>
      </c>
      <c r="J12" s="75">
        <f>'Raw Data (KG)'!P12</f>
        <v>0</v>
      </c>
      <c r="K12" s="74">
        <f>'Raw Data (KG)'!H12+SUM('Raw Data (KG)'!J12:K12)+SUM('Raw Data (KG)'!M12:O12)+'Raw Data (KG)'!T12</f>
        <v>102.73500000000001</v>
      </c>
      <c r="L12" s="71">
        <f t="shared" si="0"/>
        <v>7955.47</v>
      </c>
      <c r="M12" s="91"/>
      <c r="N12" s="12"/>
      <c r="O12" s="12"/>
      <c r="P12" s="12"/>
    </row>
    <row r="13" spans="1:16" s="13" customFormat="1" x14ac:dyDescent="0.2">
      <c r="A13" s="68">
        <v>41791</v>
      </c>
      <c r="B13" s="75">
        <f>SUM('Raw Data (KG)'!D13:D13)</f>
        <v>4700</v>
      </c>
      <c r="C13" s="75">
        <f>SUM('Raw Data (KG)'!E13:F13)</f>
        <v>450</v>
      </c>
      <c r="D13" s="73">
        <f>SUM('Raw Data (KG)'!G13:V13)</f>
        <v>2489.8760000000002</v>
      </c>
      <c r="E13" s="75">
        <f>'Raw Data (KG)'!W13</f>
        <v>0</v>
      </c>
      <c r="F13" s="76"/>
      <c r="G13" s="75">
        <f>'Raw Data (KG)'!R13</f>
        <v>0</v>
      </c>
      <c r="H13" s="75">
        <f>'Raw Data (KG)'!S13</f>
        <v>0</v>
      </c>
      <c r="I13" s="77">
        <f>'Raw Data (KG)'!Q13</f>
        <v>0</v>
      </c>
      <c r="J13" s="75">
        <f>'Raw Data (KG)'!P13</f>
        <v>0</v>
      </c>
      <c r="K13" s="74">
        <f>'Raw Data (KG)'!H13+SUM('Raw Data (KG)'!J13:K13)+SUM('Raw Data (KG)'!M13:O13)+'Raw Data (KG)'!T13</f>
        <v>89.876000000000005</v>
      </c>
      <c r="L13" s="71">
        <f t="shared" si="0"/>
        <v>7729.7520000000004</v>
      </c>
      <c r="M13" s="150">
        <f>SUM(L2:L13)</f>
        <v>89278.296000000002</v>
      </c>
      <c r="N13" s="12"/>
      <c r="O13" s="12"/>
      <c r="P13" s="12"/>
    </row>
    <row r="14" spans="1:16" s="13" customFormat="1" x14ac:dyDescent="0.2">
      <c r="A14" s="68">
        <v>41821</v>
      </c>
      <c r="B14" s="9">
        <f>SUM('Raw Data (KG)'!D14:D14)</f>
        <v>4520</v>
      </c>
      <c r="C14" s="9">
        <f>SUM('Raw Data (KG)'!E14:F14)</f>
        <v>150</v>
      </c>
      <c r="D14" s="8">
        <f>SUM('Raw Data (KG)'!G14:V14)</f>
        <v>2473.4670000000001</v>
      </c>
      <c r="E14" s="9">
        <f>'Raw Data (KG)'!W14</f>
        <v>0</v>
      </c>
      <c r="F14" s="7"/>
      <c r="G14" s="9">
        <f>'Raw Data (KG)'!R14</f>
        <v>0</v>
      </c>
      <c r="H14" s="9">
        <f>'Raw Data (KG)'!S14</f>
        <v>0</v>
      </c>
      <c r="I14" s="352">
        <f>'Raw Data (KG)'!Q14</f>
        <v>0</v>
      </c>
      <c r="J14" s="9">
        <f>'Raw Data (KG)'!P14</f>
        <v>0</v>
      </c>
      <c r="K14" s="62">
        <f>'Raw Data (KG)'!H14+SUM('Raw Data (KG)'!J14:K14)+SUM('Raw Data (KG)'!M14:O14)+'Raw Data (KG)'!T14</f>
        <v>103.46700000000001</v>
      </c>
      <c r="L14" s="353">
        <f t="shared" si="0"/>
        <v>7246.9340000000002</v>
      </c>
      <c r="M14" s="91"/>
      <c r="N14" s="12"/>
      <c r="O14" s="12"/>
      <c r="P14" s="12"/>
    </row>
    <row r="15" spans="1:16" s="13" customFormat="1" x14ac:dyDescent="0.2">
      <c r="A15" s="68">
        <v>41852</v>
      </c>
      <c r="B15" s="9">
        <f>SUM('Raw Data (KG)'!D15:D15)</f>
        <v>4610</v>
      </c>
      <c r="C15" s="9">
        <f>SUM('Raw Data (KG)'!E15:F15)</f>
        <v>140</v>
      </c>
      <c r="D15" s="8">
        <f>SUM('Raw Data (KG)'!G15:V15)</f>
        <v>2473.7170000000001</v>
      </c>
      <c r="E15" s="9">
        <f>'Raw Data (KG)'!W15</f>
        <v>626</v>
      </c>
      <c r="F15" s="7"/>
      <c r="G15" s="9">
        <f>'Raw Data (KG)'!R15</f>
        <v>0</v>
      </c>
      <c r="H15" s="9">
        <f>'Raw Data (KG)'!S15</f>
        <v>0</v>
      </c>
      <c r="I15" s="352">
        <f>'Raw Data (KG)'!Q15</f>
        <v>0</v>
      </c>
      <c r="J15" s="9">
        <f>'Raw Data (KG)'!P15</f>
        <v>0</v>
      </c>
      <c r="K15" s="62">
        <f>'Raw Data (KG)'!H15+SUM('Raw Data (KG)'!J15:K15)+SUM('Raw Data (KG)'!M15:O15)+'Raw Data (KG)'!T15</f>
        <v>73.717000000000013</v>
      </c>
      <c r="L15" s="353">
        <f t="shared" si="0"/>
        <v>7923.4340000000002</v>
      </c>
      <c r="M15" s="91"/>
      <c r="N15" s="12"/>
      <c r="O15" s="12"/>
      <c r="P15" s="12"/>
    </row>
    <row r="16" spans="1:16" s="13" customFormat="1" x14ac:dyDescent="0.2">
      <c r="A16" s="68">
        <v>41883</v>
      </c>
      <c r="B16" s="9">
        <f>SUM('Raw Data (KG)'!D16:D16)</f>
        <v>4500</v>
      </c>
      <c r="C16" s="9">
        <f>SUM('Raw Data (KG)'!E16:F16)</f>
        <v>350</v>
      </c>
      <c r="D16" s="8">
        <f>SUM('Raw Data (KG)'!G16:V16)</f>
        <v>2487.152</v>
      </c>
      <c r="E16" s="9">
        <f>'Raw Data (KG)'!W16</f>
        <v>827</v>
      </c>
      <c r="F16" s="7"/>
      <c r="G16" s="9">
        <f>'Raw Data (KG)'!R16</f>
        <v>0</v>
      </c>
      <c r="H16" s="9">
        <f>'Raw Data (KG)'!S16</f>
        <v>0</v>
      </c>
      <c r="I16" s="352">
        <f>'Raw Data (KG)'!Q16</f>
        <v>0</v>
      </c>
      <c r="J16" s="9">
        <f>'Raw Data (KG)'!P16</f>
        <v>0</v>
      </c>
      <c r="K16" s="62">
        <f>'Raw Data (KG)'!H16+SUM('Raw Data (KG)'!J16:K16)+SUM('Raw Data (KG)'!M16:O16)+'Raw Data (KG)'!T16</f>
        <v>97.152000000000015</v>
      </c>
      <c r="L16" s="353">
        <f t="shared" si="0"/>
        <v>8261.3040000000001</v>
      </c>
      <c r="M16" s="91"/>
      <c r="N16" s="12"/>
      <c r="O16" s="12"/>
      <c r="P16" s="12"/>
    </row>
    <row r="17" spans="1:16" s="13" customFormat="1" x14ac:dyDescent="0.2">
      <c r="A17" s="68">
        <v>41913</v>
      </c>
      <c r="B17" s="9">
        <f>SUM('Raw Data (KG)'!D17:D17)</f>
        <v>4100</v>
      </c>
      <c r="C17" s="9">
        <f>SUM('Raw Data (KG)'!E17:F17)</f>
        <v>90</v>
      </c>
      <c r="D17" s="8">
        <f>SUM('Raw Data (KG)'!G17:V17)</f>
        <v>2512.5259999999998</v>
      </c>
      <c r="E17" s="9">
        <f>'Raw Data (KG)'!W17</f>
        <v>728</v>
      </c>
      <c r="F17" s="7"/>
      <c r="G17" s="9">
        <f>'Raw Data (KG)'!R17</f>
        <v>0</v>
      </c>
      <c r="H17" s="9">
        <f>'Raw Data (KG)'!S17</f>
        <v>0</v>
      </c>
      <c r="I17" s="352">
        <f>'Raw Data (KG)'!Q17</f>
        <v>0</v>
      </c>
      <c r="J17" s="9">
        <f>'Raw Data (KG)'!P17</f>
        <v>0</v>
      </c>
      <c r="K17" s="62">
        <f>'Raw Data (KG)'!H17+SUM('Raw Data (KG)'!J17:K17)+SUM('Raw Data (KG)'!M17:O17)+'Raw Data (KG)'!T17</f>
        <v>67.525999999999996</v>
      </c>
      <c r="L17" s="353">
        <f t="shared" si="0"/>
        <v>7498.0519999999997</v>
      </c>
      <c r="M17" s="91"/>
      <c r="N17" s="12"/>
      <c r="O17" s="12"/>
      <c r="P17" s="12"/>
    </row>
    <row r="18" spans="1:16" s="13" customFormat="1" x14ac:dyDescent="0.2">
      <c r="A18" s="68">
        <v>41944</v>
      </c>
      <c r="B18" s="9">
        <f>SUM('Raw Data (KG)'!D18:D18)</f>
        <v>4900</v>
      </c>
      <c r="C18" s="9">
        <f>SUM('Raw Data (KG)'!E18:F18)</f>
        <v>110</v>
      </c>
      <c r="D18" s="8">
        <f>SUM('Raw Data (KG)'!G18:V18)</f>
        <v>2459.4749999999999</v>
      </c>
      <c r="E18" s="9">
        <f>'Raw Data (KG)'!W18</f>
        <v>1653</v>
      </c>
      <c r="F18" s="7"/>
      <c r="G18" s="9">
        <f>'Raw Data (KG)'!R18</f>
        <v>0</v>
      </c>
      <c r="H18" s="9">
        <f>'Raw Data (KG)'!S18</f>
        <v>0</v>
      </c>
      <c r="I18" s="352">
        <f>'Raw Data (KG)'!Q18</f>
        <v>0</v>
      </c>
      <c r="J18" s="9">
        <f>'Raw Data (KG)'!P18</f>
        <v>0</v>
      </c>
      <c r="K18" s="62">
        <f>'Raw Data (KG)'!H18+SUM('Raw Data (KG)'!J18:K18)+SUM('Raw Data (KG)'!M18:O18)+'Raw Data (KG)'!T18</f>
        <v>69.474999999999994</v>
      </c>
      <c r="L18" s="353">
        <f t="shared" si="0"/>
        <v>9191.9500000000007</v>
      </c>
      <c r="M18" s="91"/>
      <c r="N18" s="12"/>
      <c r="O18" s="12"/>
      <c r="P18" s="12"/>
    </row>
    <row r="19" spans="1:16" s="13" customFormat="1" x14ac:dyDescent="0.2">
      <c r="A19" s="68">
        <v>41974</v>
      </c>
      <c r="B19" s="9">
        <f>SUM('Raw Data (KG)'!D19:D19)</f>
        <v>4750</v>
      </c>
      <c r="C19" s="9">
        <f>SUM('Raw Data (KG)'!E19:F19)</f>
        <v>100</v>
      </c>
      <c r="D19" s="8">
        <f>SUM('Raw Data (KG)'!G19:V19)</f>
        <v>2490.681</v>
      </c>
      <c r="E19" s="9">
        <f>'Raw Data (KG)'!W19</f>
        <v>875</v>
      </c>
      <c r="F19" s="7"/>
      <c r="G19" s="9">
        <f>'Raw Data (KG)'!R19</f>
        <v>0</v>
      </c>
      <c r="H19" s="9">
        <f>'Raw Data (KG)'!S19</f>
        <v>0</v>
      </c>
      <c r="I19" s="352">
        <f>'Raw Data (KG)'!Q19</f>
        <v>0</v>
      </c>
      <c r="J19" s="9">
        <f>'Raw Data (KG)'!P19</f>
        <v>0</v>
      </c>
      <c r="K19" s="62">
        <f>'Raw Data (KG)'!H19+SUM('Raw Data (KG)'!J19:K19)+SUM('Raw Data (KG)'!M19:O19)+'Raw Data (KG)'!T19</f>
        <v>70.680999999999997</v>
      </c>
      <c r="L19" s="15">
        <f t="shared" si="0"/>
        <v>8286.362000000001</v>
      </c>
      <c r="M19" s="91"/>
      <c r="N19" s="12"/>
      <c r="O19" s="12"/>
      <c r="P19" s="12"/>
    </row>
    <row r="20" spans="1:16" s="13" customFormat="1" x14ac:dyDescent="0.2">
      <c r="A20" s="68">
        <v>42005</v>
      </c>
      <c r="B20" s="9">
        <f>SUM('Raw Data (KG)'!D20:D20)</f>
        <v>4640</v>
      </c>
      <c r="C20" s="9">
        <f>SUM('Raw Data (KG)'!E20:F20)</f>
        <v>370</v>
      </c>
      <c r="D20" s="8">
        <f>SUM('Raw Data (KG)'!G20:V20)</f>
        <v>2492.5070000000001</v>
      </c>
      <c r="E20" s="9">
        <f>'Raw Data (KG)'!W20</f>
        <v>870</v>
      </c>
      <c r="F20" s="7"/>
      <c r="G20" s="9">
        <f>'Raw Data (KG)'!R20</f>
        <v>0</v>
      </c>
      <c r="H20" s="9">
        <f>'Raw Data (KG)'!S20</f>
        <v>0</v>
      </c>
      <c r="I20" s="352">
        <f>'Raw Data (KG)'!Q20</f>
        <v>0</v>
      </c>
      <c r="J20" s="9">
        <f>'Raw Data (KG)'!P20</f>
        <v>0</v>
      </c>
      <c r="K20" s="62">
        <f>'Raw Data (KG)'!H20+SUM('Raw Data (KG)'!J20:K20)+SUM('Raw Data (KG)'!M20:O20)+'Raw Data (KG)'!T20</f>
        <v>102.50700000000001</v>
      </c>
      <c r="L20" s="15">
        <f t="shared" si="0"/>
        <v>8475.0139999999992</v>
      </c>
      <c r="M20" s="91"/>
      <c r="N20" s="12"/>
      <c r="O20" s="12"/>
      <c r="P20" s="12"/>
    </row>
    <row r="21" spans="1:16" s="13" customFormat="1" x14ac:dyDescent="0.2">
      <c r="A21" s="68">
        <v>42036</v>
      </c>
      <c r="B21" s="9">
        <f>SUM('Raw Data (KG)'!D21:D21)</f>
        <v>4540</v>
      </c>
      <c r="C21" s="9">
        <f>SUM('Raw Data (KG)'!E21:F21)</f>
        <v>110</v>
      </c>
      <c r="D21" s="8">
        <f>SUM('Raw Data (KG)'!G21:V21)</f>
        <v>2480.607</v>
      </c>
      <c r="E21" s="9">
        <f>'Raw Data (KG)'!W21</f>
        <v>856</v>
      </c>
      <c r="F21" s="7"/>
      <c r="G21" s="9">
        <f>'Raw Data (KG)'!R21</f>
        <v>0</v>
      </c>
      <c r="H21" s="9">
        <f>'Raw Data (KG)'!S21</f>
        <v>0</v>
      </c>
      <c r="I21" s="352">
        <f>'Raw Data (KG)'!Q21</f>
        <v>0</v>
      </c>
      <c r="J21" s="9">
        <f>'Raw Data (KG)'!P21</f>
        <v>0</v>
      </c>
      <c r="K21" s="62">
        <f>'Raw Data (KG)'!H21+SUM('Raw Data (KG)'!J21:K21)+SUM('Raw Data (KG)'!M21:O21)+'Raw Data (KG)'!T21</f>
        <v>79.607000000000014</v>
      </c>
      <c r="L21" s="15">
        <f t="shared" si="0"/>
        <v>8066.2139999999999</v>
      </c>
      <c r="M21" s="91"/>
      <c r="N21" s="12"/>
      <c r="O21" s="12"/>
      <c r="P21" s="12"/>
    </row>
    <row r="22" spans="1:16" s="13" customFormat="1" x14ac:dyDescent="0.2">
      <c r="A22" s="68">
        <v>42064</v>
      </c>
      <c r="B22" s="9">
        <f>SUM('Raw Data (KG)'!D22:D22)</f>
        <v>4140</v>
      </c>
      <c r="C22" s="9">
        <f>SUM('Raw Data (KG)'!E22:F22)</f>
        <v>140</v>
      </c>
      <c r="D22" s="8">
        <f>SUM('Raw Data (KG)'!G22:V22)</f>
        <v>2499.4679999999998</v>
      </c>
      <c r="E22" s="9">
        <f>'Raw Data (KG)'!W22</f>
        <v>1953</v>
      </c>
      <c r="F22" s="7"/>
      <c r="G22" s="9">
        <f>'Raw Data (KG)'!R22</f>
        <v>0</v>
      </c>
      <c r="H22" s="9">
        <f>'Raw Data (KG)'!S22</f>
        <v>0</v>
      </c>
      <c r="I22" s="352">
        <f>'Raw Data (KG)'!Q22</f>
        <v>0</v>
      </c>
      <c r="J22" s="9">
        <f>'Raw Data (KG)'!P22</f>
        <v>0</v>
      </c>
      <c r="K22" s="62">
        <f>'Raw Data (KG)'!H22+SUM('Raw Data (KG)'!J22:K22)+SUM('Raw Data (KG)'!M22:O22)+'Raw Data (KG)'!T22</f>
        <v>89.468000000000004</v>
      </c>
      <c r="L22" s="15">
        <f t="shared" si="0"/>
        <v>8821.9360000000015</v>
      </c>
      <c r="M22" s="91"/>
      <c r="N22" s="12"/>
      <c r="O22" s="12"/>
      <c r="P22" s="12"/>
    </row>
    <row r="23" spans="1:16" s="13" customFormat="1" x14ac:dyDescent="0.2">
      <c r="A23" s="68">
        <v>42095</v>
      </c>
      <c r="B23" s="9">
        <f>SUM('Raw Data (KG)'!D23:D23)</f>
        <v>4040</v>
      </c>
      <c r="C23" s="9">
        <f>SUM('Raw Data (KG)'!E23:F23)</f>
        <v>110</v>
      </c>
      <c r="D23" s="8">
        <f>SUM('Raw Data (KG)'!G23:V23)</f>
        <v>2559.61</v>
      </c>
      <c r="E23" s="9">
        <f>'Raw Data (KG)'!W23</f>
        <v>1067</v>
      </c>
      <c r="F23" s="7"/>
      <c r="G23" s="9">
        <f>'Raw Data (KG)'!R23</f>
        <v>0</v>
      </c>
      <c r="H23" s="9">
        <f>'Raw Data (KG)'!S23</f>
        <v>0</v>
      </c>
      <c r="I23" s="352">
        <f>'Raw Data (KG)'!Q23</f>
        <v>0</v>
      </c>
      <c r="J23" s="9">
        <f>'Raw Data (KG)'!P23</f>
        <v>0</v>
      </c>
      <c r="K23" s="62">
        <f>'Raw Data (KG)'!H23+SUM('Raw Data (KG)'!J23:K23)+SUM('Raw Data (KG)'!M23:O23)+'Raw Data (KG)'!T23</f>
        <v>59.61</v>
      </c>
      <c r="L23" s="15">
        <f t="shared" si="0"/>
        <v>7836.22</v>
      </c>
      <c r="M23" s="91"/>
      <c r="N23" s="12"/>
      <c r="O23" s="12"/>
      <c r="P23" s="12"/>
    </row>
    <row r="24" spans="1:16" s="13" customFormat="1" x14ac:dyDescent="0.2">
      <c r="A24" s="68">
        <v>42125</v>
      </c>
      <c r="B24" s="9">
        <f>SUM('Raw Data (KG)'!D24:D24)</f>
        <v>4090</v>
      </c>
      <c r="C24" s="9">
        <f>SUM('Raw Data (KG)'!E24:F24)</f>
        <v>550</v>
      </c>
      <c r="D24" s="8">
        <f>SUM('Raw Data (KG)'!G24:V24)</f>
        <v>2540.4070000000002</v>
      </c>
      <c r="E24" s="9">
        <f>'Raw Data (KG)'!W24</f>
        <v>1074</v>
      </c>
      <c r="F24" s="7"/>
      <c r="G24" s="9">
        <f>'Raw Data (KG)'!R24</f>
        <v>0</v>
      </c>
      <c r="H24" s="9">
        <f>'Raw Data (KG)'!S24</f>
        <v>0</v>
      </c>
      <c r="I24" s="352">
        <f>'Raw Data (KG)'!Q24</f>
        <v>0</v>
      </c>
      <c r="J24" s="9">
        <f>'Raw Data (KG)'!P24</f>
        <v>0</v>
      </c>
      <c r="K24" s="62">
        <f>'Raw Data (KG)'!H24+SUM('Raw Data (KG)'!J24:K24)+SUM('Raw Data (KG)'!M24:O24)+'Raw Data (KG)'!T24</f>
        <v>80.407000000000011</v>
      </c>
      <c r="L24" s="15">
        <f t="shared" si="0"/>
        <v>8334.8139999999985</v>
      </c>
      <c r="M24" s="91"/>
      <c r="N24" s="12"/>
      <c r="O24" s="12"/>
      <c r="P24" s="12"/>
    </row>
    <row r="25" spans="1:16" s="13" customFormat="1" x14ac:dyDescent="0.2">
      <c r="A25" s="68">
        <v>42156</v>
      </c>
      <c r="B25" s="9">
        <f>SUM('Raw Data (KG)'!D25:D25)</f>
        <v>4000</v>
      </c>
      <c r="C25" s="9">
        <f>SUM('Raw Data (KG)'!E25:F25)</f>
        <v>150</v>
      </c>
      <c r="D25" s="8">
        <f>SUM('Raw Data (KG)'!G25:V25)</f>
        <v>2504.2240000000002</v>
      </c>
      <c r="E25" s="9">
        <f>'Raw Data (KG)'!W25</f>
        <v>1038</v>
      </c>
      <c r="F25" s="7"/>
      <c r="G25" s="9">
        <f>'Raw Data (KG)'!R25</f>
        <v>0</v>
      </c>
      <c r="H25" s="9">
        <f>'Raw Data (KG)'!S25</f>
        <v>0</v>
      </c>
      <c r="I25" s="352">
        <f>'Raw Data (KG)'!Q25</f>
        <v>0</v>
      </c>
      <c r="J25" s="9">
        <f>'Raw Data (KG)'!P25</f>
        <v>0</v>
      </c>
      <c r="K25" s="62">
        <f>'Raw Data (KG)'!H25+SUM('Raw Data (KG)'!J25:K25)+SUM('Raw Data (KG)'!M25:O25)+'Raw Data (KG)'!T25</f>
        <v>94.224000000000004</v>
      </c>
      <c r="L25" s="15">
        <f t="shared" si="0"/>
        <v>7786.4480000000003</v>
      </c>
      <c r="M25" s="150">
        <f>SUM(L14:L25)</f>
        <v>97728.682000000015</v>
      </c>
      <c r="N25" s="12"/>
      <c r="O25" s="12"/>
      <c r="P25" s="12"/>
    </row>
    <row r="26" spans="1:16" s="13" customFormat="1" x14ac:dyDescent="0.2">
      <c r="A26" s="68">
        <v>42186</v>
      </c>
      <c r="B26" s="75">
        <f>SUM('Raw Data (KG)'!D26:D26)</f>
        <v>4150</v>
      </c>
      <c r="C26" s="75">
        <f>SUM('Raw Data (KG)'!E26:F26)</f>
        <v>110</v>
      </c>
      <c r="D26" s="73">
        <f>SUM('Raw Data (KG)'!G26:V26)</f>
        <v>2613.9120000000003</v>
      </c>
      <c r="E26" s="75">
        <f>'Raw Data (KG)'!W26</f>
        <v>957</v>
      </c>
      <c r="F26" s="76"/>
      <c r="G26" s="75">
        <f>'Raw Data (KG)'!R26</f>
        <v>0</v>
      </c>
      <c r="H26" s="75">
        <f>'Raw Data (KG)'!S26</f>
        <v>0</v>
      </c>
      <c r="I26" s="77">
        <f>'Raw Data (KG)'!Q26</f>
        <v>0</v>
      </c>
      <c r="J26" s="75">
        <f>'Raw Data (KG)'!P26</f>
        <v>0</v>
      </c>
      <c r="K26" s="74">
        <f>'Raw Data (KG)'!H26+SUM('Raw Data (KG)'!J26:K26)+SUM('Raw Data (KG)'!M26:O26)+'Raw Data (KG)'!T26</f>
        <v>103.91200000000001</v>
      </c>
      <c r="L26" s="72">
        <f t="shared" si="0"/>
        <v>7934.8240000000005</v>
      </c>
      <c r="M26" s="91"/>
      <c r="N26" s="12"/>
      <c r="O26" s="12"/>
      <c r="P26" s="12"/>
    </row>
    <row r="27" spans="1:16" s="13" customFormat="1" x14ac:dyDescent="0.2">
      <c r="A27" s="68">
        <v>42217</v>
      </c>
      <c r="B27" s="75">
        <f>SUM('Raw Data (KG)'!D27:D27)</f>
        <v>4020</v>
      </c>
      <c r="C27" s="75">
        <f>SUM('Raw Data (KG)'!E27:F27)</f>
        <v>130</v>
      </c>
      <c r="D27" s="73">
        <f>SUM('Raw Data (KG)'!G27:V27)</f>
        <v>2555.3559999999998</v>
      </c>
      <c r="E27" s="75">
        <f>'Raw Data (KG)'!W27</f>
        <v>827</v>
      </c>
      <c r="F27" s="76"/>
      <c r="G27" s="75">
        <f>'Raw Data (KG)'!R27</f>
        <v>0</v>
      </c>
      <c r="H27" s="75">
        <f>'Raw Data (KG)'!S27</f>
        <v>0</v>
      </c>
      <c r="I27" s="77">
        <f>'Raw Data (KG)'!Q27</f>
        <v>0</v>
      </c>
      <c r="J27" s="75">
        <f>'Raw Data (KG)'!P27</f>
        <v>0</v>
      </c>
      <c r="K27" s="74">
        <f>'Raw Data (KG)'!H27+SUM('Raw Data (KG)'!J27:K27)+SUM('Raw Data (KG)'!M27:O27)+'Raw Data (KG)'!T27</f>
        <v>75.356000000000009</v>
      </c>
      <c r="L27" s="72">
        <f t="shared" si="0"/>
        <v>7607.7119999999995</v>
      </c>
      <c r="M27" s="91"/>
      <c r="N27" s="12"/>
      <c r="O27" s="12"/>
      <c r="P27" s="12"/>
    </row>
    <row r="28" spans="1:16" s="13" customFormat="1" x14ac:dyDescent="0.2">
      <c r="A28" s="68">
        <v>42248</v>
      </c>
      <c r="B28" s="75">
        <f>SUM('Raw Data (KG)'!D28:D28)</f>
        <v>3810</v>
      </c>
      <c r="C28" s="75">
        <f>SUM('Raw Data (KG)'!E28:F28)</f>
        <v>100</v>
      </c>
      <c r="D28" s="73">
        <f>SUM('Raw Data (KG)'!G28:V28)</f>
        <v>2477.3379999999997</v>
      </c>
      <c r="E28" s="75">
        <f>'Raw Data (KG)'!W28</f>
        <v>1956</v>
      </c>
      <c r="F28" s="76"/>
      <c r="G28" s="75">
        <f>'Raw Data (KG)'!R28</f>
        <v>0</v>
      </c>
      <c r="H28" s="75">
        <f>'Raw Data (KG)'!S28</f>
        <v>0</v>
      </c>
      <c r="I28" s="77">
        <f>'Raw Data (KG)'!Q28</f>
        <v>0</v>
      </c>
      <c r="J28" s="75">
        <f>'Raw Data (KG)'!P28</f>
        <v>0</v>
      </c>
      <c r="K28" s="74">
        <f>'Raw Data (KG)'!H28+SUM('Raw Data (KG)'!J28:K28)+SUM('Raw Data (KG)'!M28:O28)+'Raw Data (KG)'!T28</f>
        <v>87.338000000000008</v>
      </c>
      <c r="L28" s="72">
        <f t="shared" si="0"/>
        <v>8430.6759999999995</v>
      </c>
      <c r="M28" s="91"/>
      <c r="N28" s="12"/>
      <c r="O28" s="12"/>
      <c r="P28" s="12"/>
    </row>
    <row r="29" spans="1:16" s="13" customFormat="1" x14ac:dyDescent="0.2">
      <c r="A29" s="68">
        <v>42278</v>
      </c>
      <c r="B29" s="75">
        <f>SUM('Raw Data (KG)'!D29:D29)</f>
        <v>3970</v>
      </c>
      <c r="C29" s="75">
        <f>SUM('Raw Data (KG)'!E29:F29)</f>
        <v>90</v>
      </c>
      <c r="D29" s="73">
        <f>SUM('Raw Data (KG)'!G29:V29)</f>
        <v>2551.0520000000001</v>
      </c>
      <c r="E29" s="75">
        <f>'Raw Data (KG)'!W29</f>
        <v>3297</v>
      </c>
      <c r="F29" s="76"/>
      <c r="G29" s="75">
        <f>'Raw Data (KG)'!R29</f>
        <v>0</v>
      </c>
      <c r="H29" s="75">
        <f>'Raw Data (KG)'!S29</f>
        <v>0</v>
      </c>
      <c r="I29" s="77">
        <f>'Raw Data (KG)'!Q29</f>
        <v>0</v>
      </c>
      <c r="J29" s="75">
        <f>'Raw Data (KG)'!P29</f>
        <v>0</v>
      </c>
      <c r="K29" s="74">
        <f>'Raw Data (KG)'!H29+SUM('Raw Data (KG)'!J29:K29)+SUM('Raw Data (KG)'!M29:O29)+'Raw Data (KG)'!T29</f>
        <v>71.052000000000007</v>
      </c>
      <c r="L29" s="72">
        <f t="shared" si="0"/>
        <v>9979.1039999999994</v>
      </c>
      <c r="M29" s="91"/>
      <c r="N29" s="12"/>
      <c r="O29" s="12"/>
      <c r="P29" s="12"/>
    </row>
    <row r="30" spans="1:16" s="13" customFormat="1" x14ac:dyDescent="0.2">
      <c r="A30" s="68">
        <v>42309</v>
      </c>
      <c r="B30" s="75">
        <f>SUM('Raw Data (KG)'!D30:D30)</f>
        <v>3890</v>
      </c>
      <c r="C30" s="75">
        <f>SUM('Raw Data (KG)'!E30:F30)</f>
        <v>100</v>
      </c>
      <c r="D30" s="73">
        <f>SUM('Raw Data (KG)'!G30:V30)</f>
        <v>2545.8720000000003</v>
      </c>
      <c r="E30" s="75">
        <f>'Raw Data (KG)'!W30</f>
        <v>1785</v>
      </c>
      <c r="F30" s="76"/>
      <c r="G30" s="75">
        <f>'Raw Data (KG)'!R30</f>
        <v>0</v>
      </c>
      <c r="H30" s="75">
        <f>'Raw Data (KG)'!S30</f>
        <v>0</v>
      </c>
      <c r="I30" s="77">
        <f>'Raw Data (KG)'!Q30</f>
        <v>0</v>
      </c>
      <c r="J30" s="75">
        <f>'Raw Data (KG)'!P30</f>
        <v>0</v>
      </c>
      <c r="K30" s="74">
        <f>'Raw Data (KG)'!H30+SUM('Raw Data (KG)'!J30:K30)+SUM('Raw Data (KG)'!M30:O30)+'Raw Data (KG)'!T30</f>
        <v>95.872</v>
      </c>
      <c r="L30" s="72">
        <f t="shared" si="0"/>
        <v>8416.7439999999988</v>
      </c>
      <c r="M30" s="91"/>
      <c r="N30" s="12"/>
      <c r="O30" s="12"/>
      <c r="P30" s="12"/>
    </row>
    <row r="31" spans="1:16" s="13" customFormat="1" x14ac:dyDescent="0.2">
      <c r="A31" s="68">
        <v>42339</v>
      </c>
      <c r="B31" s="75">
        <f>SUM('Raw Data (KG)'!D31:D31)</f>
        <v>3810</v>
      </c>
      <c r="C31" s="75">
        <f>SUM('Raw Data (KG)'!E31:F31)</f>
        <v>250</v>
      </c>
      <c r="D31" s="73">
        <f>SUM('Raw Data (KG)'!G31:V31)</f>
        <v>2465.174</v>
      </c>
      <c r="E31" s="75">
        <f>'Raw Data (KG)'!W31</f>
        <v>1400</v>
      </c>
      <c r="F31" s="76"/>
      <c r="G31" s="75">
        <f>'Raw Data (KG)'!R31</f>
        <v>0</v>
      </c>
      <c r="H31" s="75">
        <f>'Raw Data (KG)'!S31</f>
        <v>0</v>
      </c>
      <c r="I31" s="77">
        <f>'Raw Data (KG)'!Q31</f>
        <v>0</v>
      </c>
      <c r="J31" s="75">
        <f>'Raw Data (KG)'!P31</f>
        <v>0</v>
      </c>
      <c r="K31" s="74">
        <f>'Raw Data (KG)'!H31+SUM('Raw Data (KG)'!J31:K31)+SUM('Raw Data (KG)'!M31:O31)+'Raw Data (KG)'!T31</f>
        <v>95.174000000000007</v>
      </c>
      <c r="L31" s="72">
        <f t="shared" si="0"/>
        <v>8020.348</v>
      </c>
      <c r="M31" s="91"/>
      <c r="N31" s="12"/>
      <c r="O31" s="12"/>
      <c r="P31" s="12"/>
    </row>
    <row r="32" spans="1:16" s="13" customFormat="1" x14ac:dyDescent="0.2">
      <c r="A32" s="68">
        <v>42370</v>
      </c>
      <c r="B32" s="75">
        <f>SUM('Raw Data (KG)'!D32:D32)</f>
        <v>4230</v>
      </c>
      <c r="C32" s="75">
        <f>SUM('Raw Data (KG)'!E32:F32)</f>
        <v>300</v>
      </c>
      <c r="D32" s="73">
        <f>SUM('Raw Data (KG)'!G32:V32)</f>
        <v>2709.5683330000002</v>
      </c>
      <c r="E32" s="75">
        <f>'Raw Data (KG)'!W32</f>
        <v>1647</v>
      </c>
      <c r="F32" s="76"/>
      <c r="G32" s="75">
        <f>'Raw Data (KG)'!R32</f>
        <v>0</v>
      </c>
      <c r="H32" s="75">
        <f>'Raw Data (KG)'!S32</f>
        <v>0</v>
      </c>
      <c r="I32" s="77">
        <f>'Raw Data (KG)'!Q32</f>
        <v>0</v>
      </c>
      <c r="J32" s="75">
        <f>'Raw Data (KG)'!P32</f>
        <v>0</v>
      </c>
      <c r="K32" s="74">
        <f>'Raw Data (KG)'!H32+SUM('Raw Data (KG)'!J32:K32)+SUM('Raw Data (KG)'!M32:O32)+'Raw Data (KG)'!T32</f>
        <v>51.760000000000005</v>
      </c>
      <c r="L32" s="72">
        <f t="shared" si="0"/>
        <v>8938.3283329999995</v>
      </c>
      <c r="M32" s="91"/>
      <c r="N32" s="12"/>
      <c r="O32" s="12"/>
      <c r="P32" s="12"/>
    </row>
    <row r="33" spans="1:16" s="13" customFormat="1" x14ac:dyDescent="0.2">
      <c r="A33" s="68">
        <v>42401</v>
      </c>
      <c r="B33" s="75">
        <f>SUM('Raw Data (KG)'!D33:D33)</f>
        <v>4070</v>
      </c>
      <c r="C33" s="75">
        <f>SUM('Raw Data (KG)'!E33:F33)</f>
        <v>250</v>
      </c>
      <c r="D33" s="73">
        <f>SUM('Raw Data (KG)'!G33:V33)</f>
        <v>2706.1063329999997</v>
      </c>
      <c r="E33" s="75">
        <f>'Raw Data (KG)'!W33</f>
        <v>3015</v>
      </c>
      <c r="F33" s="76"/>
      <c r="G33" s="75">
        <f>'Raw Data (KG)'!R33</f>
        <v>0</v>
      </c>
      <c r="H33" s="75">
        <f>'Raw Data (KG)'!S33</f>
        <v>0</v>
      </c>
      <c r="I33" s="77">
        <f>'Raw Data (KG)'!Q33</f>
        <v>0</v>
      </c>
      <c r="J33" s="75">
        <f>'Raw Data (KG)'!P33</f>
        <v>0</v>
      </c>
      <c r="K33" s="74">
        <f>'Raw Data (KG)'!H33+SUM('Raw Data (KG)'!J33:K33)+SUM('Raw Data (KG)'!M33:O33)+'Raw Data (KG)'!T33</f>
        <v>38.298000000000002</v>
      </c>
      <c r="L33" s="72">
        <f t="shared" si="0"/>
        <v>10079.404333</v>
      </c>
      <c r="M33" s="91"/>
      <c r="N33" s="12"/>
      <c r="O33" s="12"/>
      <c r="P33" s="12"/>
    </row>
    <row r="34" spans="1:16" s="13" customFormat="1" x14ac:dyDescent="0.2">
      <c r="A34" s="68">
        <v>42430</v>
      </c>
      <c r="B34" s="75">
        <f>SUM('Raw Data (KG)'!D34:D34)</f>
        <v>4120</v>
      </c>
      <c r="C34" s="75">
        <f>SUM('Raw Data (KG)'!E34:F34)</f>
        <v>170</v>
      </c>
      <c r="D34" s="73">
        <f>SUM('Raw Data (KG)'!G34:V34)</f>
        <v>2766.344333</v>
      </c>
      <c r="E34" s="75">
        <f>'Raw Data (KG)'!W34</f>
        <v>1168</v>
      </c>
      <c r="F34" s="76"/>
      <c r="G34" s="75">
        <f>'Raw Data (KG)'!R34</f>
        <v>0</v>
      </c>
      <c r="H34" s="75">
        <f>'Raw Data (KG)'!S34</f>
        <v>0</v>
      </c>
      <c r="I34" s="77">
        <f>'Raw Data (KG)'!Q34</f>
        <v>0</v>
      </c>
      <c r="J34" s="75">
        <f>'Raw Data (KG)'!P34</f>
        <v>0</v>
      </c>
      <c r="K34" s="74">
        <f>'Raw Data (KG)'!H34+SUM('Raw Data (KG)'!J34:K34)+SUM('Raw Data (KG)'!M34:O34)+'Raw Data (KG)'!T34</f>
        <v>88.536000000000001</v>
      </c>
      <c r="L34" s="72">
        <f t="shared" ref="L34:L65" si="1">SUM(B34:K34)</f>
        <v>8312.880333000001</v>
      </c>
      <c r="M34" s="91"/>
      <c r="N34" s="12"/>
      <c r="O34" s="12"/>
      <c r="P34" s="12"/>
    </row>
    <row r="35" spans="1:16" s="13" customFormat="1" x14ac:dyDescent="0.2">
      <c r="A35" s="68">
        <v>42461</v>
      </c>
      <c r="B35" s="75">
        <f>SUM('Raw Data (KG)'!D35:D35)</f>
        <v>4050</v>
      </c>
      <c r="C35" s="75">
        <f>SUM('Raw Data (KG)'!E35:F35)</f>
        <v>140</v>
      </c>
      <c r="D35" s="73">
        <f>SUM('Raw Data (KG)'!G35:V35)</f>
        <v>2643.8423330000001</v>
      </c>
      <c r="E35" s="75">
        <f>'Raw Data (KG)'!W35</f>
        <v>1397</v>
      </c>
      <c r="F35" s="76"/>
      <c r="G35" s="75">
        <f>'Raw Data (KG)'!R35</f>
        <v>0</v>
      </c>
      <c r="H35" s="75">
        <f>'Raw Data (KG)'!S35</f>
        <v>0</v>
      </c>
      <c r="I35" s="77">
        <f>'Raw Data (KG)'!Q35</f>
        <v>0</v>
      </c>
      <c r="J35" s="75">
        <f>'Raw Data (KG)'!P35</f>
        <v>0</v>
      </c>
      <c r="K35" s="74">
        <f>'Raw Data (KG)'!H35+SUM('Raw Data (KG)'!J35:K35)+SUM('Raw Data (KG)'!M35:O35)+'Raw Data (KG)'!T35</f>
        <v>56.034000000000006</v>
      </c>
      <c r="L35" s="72">
        <f t="shared" si="1"/>
        <v>8286.8763330000002</v>
      </c>
      <c r="M35" s="91"/>
      <c r="N35" s="12"/>
      <c r="O35" s="12"/>
      <c r="P35" s="12"/>
    </row>
    <row r="36" spans="1:16" s="13" customFormat="1" x14ac:dyDescent="0.2">
      <c r="A36" s="68">
        <v>42491</v>
      </c>
      <c r="B36" s="75">
        <f>SUM('Raw Data (KG)'!D36:D36)</f>
        <v>4080</v>
      </c>
      <c r="C36" s="75">
        <f>SUM('Raw Data (KG)'!E36:F36)</f>
        <v>110</v>
      </c>
      <c r="D36" s="73">
        <f>SUM('Raw Data (KG)'!G36:V36)</f>
        <v>2721.6483330000001</v>
      </c>
      <c r="E36" s="75">
        <f>'Raw Data (KG)'!W36</f>
        <v>1824</v>
      </c>
      <c r="F36" s="76"/>
      <c r="G36" s="75">
        <f>'Raw Data (KG)'!R36</f>
        <v>0</v>
      </c>
      <c r="H36" s="75">
        <f>'Raw Data (KG)'!S36</f>
        <v>0</v>
      </c>
      <c r="I36" s="77">
        <f>'Raw Data (KG)'!Q36</f>
        <v>0</v>
      </c>
      <c r="J36" s="75">
        <f>'Raw Data (KG)'!P36</f>
        <v>0</v>
      </c>
      <c r="K36" s="74">
        <f>'Raw Data (KG)'!H36+SUM('Raw Data (KG)'!J36:K36)+SUM('Raw Data (KG)'!M36:O36)+'Raw Data (KG)'!T36</f>
        <v>34.840000000000003</v>
      </c>
      <c r="L36" s="72">
        <f t="shared" si="1"/>
        <v>8770.4883330000011</v>
      </c>
      <c r="M36" s="91"/>
      <c r="N36" s="12"/>
      <c r="O36" s="12"/>
      <c r="P36" s="12"/>
    </row>
    <row r="37" spans="1:16" s="13" customFormat="1" x14ac:dyDescent="0.2">
      <c r="A37" s="68">
        <v>42522</v>
      </c>
      <c r="B37" s="75">
        <f>SUM('Raw Data (KG)'!D37:D37)</f>
        <v>4120</v>
      </c>
      <c r="C37" s="75">
        <f>SUM('Raw Data (KG)'!E37:F37)</f>
        <v>270</v>
      </c>
      <c r="D37" s="73">
        <f>SUM('Raw Data (KG)'!G37:V37)</f>
        <v>2667.8083329999999</v>
      </c>
      <c r="E37" s="75">
        <f>'Raw Data (KG)'!W37</f>
        <v>1672</v>
      </c>
      <c r="F37" s="76"/>
      <c r="G37" s="75">
        <f>'Raw Data (KG)'!R37</f>
        <v>0</v>
      </c>
      <c r="H37" s="75">
        <f>'Raw Data (KG)'!S37</f>
        <v>0</v>
      </c>
      <c r="I37" s="77">
        <f>'Raw Data (KG)'!Q37</f>
        <v>0</v>
      </c>
      <c r="J37" s="75">
        <f>'Raw Data (KG)'!P37</f>
        <v>0</v>
      </c>
      <c r="K37" s="74">
        <f>'Raw Data (KG)'!H37+SUM('Raw Data (KG)'!J37:K37)+SUM('Raw Data (KG)'!M37:O37)+'Raw Data (KG)'!T37</f>
        <v>0</v>
      </c>
      <c r="L37" s="72">
        <f t="shared" si="1"/>
        <v>8729.8083330000009</v>
      </c>
      <c r="M37" s="150">
        <f>SUM(L26:L37)</f>
        <v>103507.193998</v>
      </c>
      <c r="N37" s="12"/>
      <c r="O37" s="12"/>
      <c r="P37" s="12"/>
    </row>
    <row r="38" spans="1:16" s="13" customFormat="1" x14ac:dyDescent="0.2">
      <c r="A38" s="68">
        <v>42552</v>
      </c>
      <c r="B38" s="9">
        <f>SUM('Raw Data (KG)'!D38:D38)</f>
        <v>2980</v>
      </c>
      <c r="C38" s="9">
        <f>SUM('Raw Data (KG)'!E38:F38)</f>
        <v>260</v>
      </c>
      <c r="D38" s="8">
        <f>SUM('Raw Data (KG)'!G38:V38)</f>
        <v>3167.8083329999999</v>
      </c>
      <c r="E38" s="9">
        <f>'Raw Data (KG)'!W38</f>
        <v>2495</v>
      </c>
      <c r="F38" s="7"/>
      <c r="G38" s="9">
        <f>'Raw Data (KG)'!R38</f>
        <v>0</v>
      </c>
      <c r="H38" s="9">
        <f>'Raw Data (KG)'!S38</f>
        <v>0</v>
      </c>
      <c r="I38" s="352">
        <f>'Raw Data (KG)'!Q38</f>
        <v>0</v>
      </c>
      <c r="J38" s="9">
        <f>'Raw Data (KG)'!P38</f>
        <v>0</v>
      </c>
      <c r="K38" s="62">
        <f>'Raw Data (KG)'!H38+SUM('Raw Data (KG)'!J38:K38)+SUM('Raw Data (KG)'!M38:O38)+'Raw Data (KG)'!T38</f>
        <v>0</v>
      </c>
      <c r="L38" s="15">
        <f t="shared" si="1"/>
        <v>8902.8083330000009</v>
      </c>
      <c r="M38" s="91"/>
      <c r="N38" s="12"/>
      <c r="O38" s="12"/>
      <c r="P38" s="12"/>
    </row>
    <row r="39" spans="1:16" s="13" customFormat="1" x14ac:dyDescent="0.2">
      <c r="A39" s="68">
        <v>42583</v>
      </c>
      <c r="B39" s="9">
        <f>SUM('Raw Data (KG)'!D39:D39)</f>
        <v>7160</v>
      </c>
      <c r="C39" s="9">
        <f>SUM('Raw Data (KG)'!E39:F39)</f>
        <v>400</v>
      </c>
      <c r="D39" s="8">
        <f>SUM('Raw Data (KG)'!G39:V39)</f>
        <v>3335.3083329999999</v>
      </c>
      <c r="E39" s="9">
        <f>'Raw Data (KG)'!W39</f>
        <v>1142</v>
      </c>
      <c r="F39" s="7"/>
      <c r="G39" s="9">
        <f>'Raw Data (KG)'!R39</f>
        <v>0</v>
      </c>
      <c r="H39" s="9">
        <f>'Raw Data (KG)'!S39</f>
        <v>0</v>
      </c>
      <c r="I39" s="352">
        <f>'Raw Data (KG)'!Q39</f>
        <v>0</v>
      </c>
      <c r="J39" s="9">
        <f>'Raw Data (KG)'!P39</f>
        <v>0</v>
      </c>
      <c r="K39" s="62">
        <f>'Raw Data (KG)'!H39+SUM('Raw Data (KG)'!J39:K39)+SUM('Raw Data (KG)'!M39:O39)+'Raw Data (KG)'!T39</f>
        <v>0</v>
      </c>
      <c r="L39" s="15">
        <f t="shared" si="1"/>
        <v>12037.308333000001</v>
      </c>
      <c r="M39" s="91"/>
      <c r="N39" s="12"/>
      <c r="O39" s="12"/>
      <c r="P39" s="12"/>
    </row>
    <row r="40" spans="1:16" s="13" customFormat="1" x14ac:dyDescent="0.2">
      <c r="A40" s="68">
        <v>42614</v>
      </c>
      <c r="B40" s="9">
        <f>SUM('Raw Data (KG)'!D40:D40)</f>
        <v>7820</v>
      </c>
      <c r="C40" s="9">
        <f>SUM('Raw Data (KG)'!E40:F40)</f>
        <v>250</v>
      </c>
      <c r="D40" s="8">
        <f>SUM('Raw Data (KG)'!G40:V40)</f>
        <v>4297.1183330000003</v>
      </c>
      <c r="E40" s="9">
        <f>'Raw Data (KG)'!W40</f>
        <v>2204</v>
      </c>
      <c r="F40" s="348">
        <v>11950</v>
      </c>
      <c r="G40" s="9">
        <f>'Raw Data (KG)'!R40</f>
        <v>0</v>
      </c>
      <c r="H40" s="9">
        <f>'Raw Data (KG)'!S40</f>
        <v>0</v>
      </c>
      <c r="I40" s="352">
        <f>'Raw Data (KG)'!Q40</f>
        <v>0</v>
      </c>
      <c r="J40" s="9">
        <f>'Raw Data (KG)'!P40</f>
        <v>0</v>
      </c>
      <c r="K40" s="62">
        <f>'Raw Data (KG)'!H40+SUM('Raw Data (KG)'!J40:K40)+SUM('Raw Data (KG)'!M40:O40)+'Raw Data (KG)'!T40</f>
        <v>169.51000000000002</v>
      </c>
      <c r="L40" s="15">
        <f t="shared" si="1"/>
        <v>26690.628332999997</v>
      </c>
      <c r="M40" s="91"/>
      <c r="N40" s="12"/>
      <c r="O40" s="12"/>
      <c r="P40" s="12"/>
    </row>
    <row r="41" spans="1:16" s="13" customFormat="1" x14ac:dyDescent="0.2">
      <c r="A41" s="68">
        <v>42644</v>
      </c>
      <c r="B41" s="9">
        <f>SUM('Raw Data (KG)'!D41:D41)</f>
        <v>9300</v>
      </c>
      <c r="C41" s="9">
        <f>SUM('Raw Data (KG)'!E41:F41)</f>
        <v>150</v>
      </c>
      <c r="D41" s="8">
        <f>SUM('Raw Data (KG)'!G41:V41)</f>
        <v>24301.270333333334</v>
      </c>
      <c r="E41" s="9">
        <f>'Raw Data (KG)'!W41</f>
        <v>1653</v>
      </c>
      <c r="F41" s="7">
        <f>'Raw Food Data (KG)'!Q2</f>
        <v>21800</v>
      </c>
      <c r="G41" s="9">
        <f>'Raw Data (KG)'!R41</f>
        <v>0</v>
      </c>
      <c r="H41" s="9">
        <f>'Raw Data (KG)'!S41</f>
        <v>0</v>
      </c>
      <c r="I41" s="352">
        <f>'Raw Data (KG)'!Q41</f>
        <v>0</v>
      </c>
      <c r="J41" s="9">
        <f>'Raw Data (KG)'!P41</f>
        <v>0</v>
      </c>
      <c r="K41" s="62">
        <f>'Raw Data (KG)'!H41+SUM('Raw Data (KG)'!J41:K41)+SUM('Raw Data (KG)'!M41:O41)+'Raw Data (KG)'!T41</f>
        <v>13.462</v>
      </c>
      <c r="L41" s="15">
        <f t="shared" si="1"/>
        <v>57217.732333333333</v>
      </c>
      <c r="M41" s="91"/>
      <c r="N41" s="12"/>
      <c r="O41" s="12"/>
      <c r="P41" s="12"/>
    </row>
    <row r="42" spans="1:16" s="13" customFormat="1" x14ac:dyDescent="0.2">
      <c r="A42" s="68">
        <v>42675</v>
      </c>
      <c r="B42" s="9">
        <f>SUM('Raw Data (KG)'!D42:D42)</f>
        <v>9900</v>
      </c>
      <c r="C42" s="9">
        <f>SUM('Raw Data (KG)'!E42:F42)</f>
        <v>110</v>
      </c>
      <c r="D42" s="8">
        <f>SUM('Raw Data (KG)'!G42:V42)</f>
        <v>22269.378333333334</v>
      </c>
      <c r="E42" s="9">
        <f>'Raw Data (KG)'!W42</f>
        <v>3458</v>
      </c>
      <c r="F42" s="7">
        <f>'Raw Food Data (KG)'!Q3</f>
        <v>19250</v>
      </c>
      <c r="G42" s="9">
        <f>'Raw Data (KG)'!R42</f>
        <v>66</v>
      </c>
      <c r="H42" s="9">
        <f>'Raw Data (KG)'!S42</f>
        <v>0</v>
      </c>
      <c r="I42" s="352">
        <f>'Raw Data (KG)'!Q42</f>
        <v>0</v>
      </c>
      <c r="J42" s="9">
        <f>'Raw Data (KG)'!P42</f>
        <v>0</v>
      </c>
      <c r="K42" s="62">
        <f>'Raw Data (KG)'!H42+SUM('Raw Data (KG)'!J42:K42)+SUM('Raw Data (KG)'!M42:O42)+'Raw Data (KG)'!T42</f>
        <v>148.07000000000002</v>
      </c>
      <c r="L42" s="15">
        <f t="shared" si="1"/>
        <v>55201.448333333334</v>
      </c>
      <c r="M42" s="91"/>
      <c r="N42" s="12"/>
      <c r="O42" s="12"/>
      <c r="P42" s="12"/>
    </row>
    <row r="43" spans="1:16" s="13" customFormat="1" x14ac:dyDescent="0.2">
      <c r="A43" s="68">
        <v>42705</v>
      </c>
      <c r="B43" s="9">
        <f>SUM('Raw Data (KG)'!D43:D43)</f>
        <v>9450</v>
      </c>
      <c r="C43" s="9">
        <f>SUM('Raw Data (KG)'!E43:F43)</f>
        <v>270</v>
      </c>
      <c r="D43" s="8">
        <f>SUM('Raw Data (KG)'!G43:V43)</f>
        <v>18618.458333333336</v>
      </c>
      <c r="E43" s="9">
        <f>'Raw Data (KG)'!W43</f>
        <v>1465</v>
      </c>
      <c r="F43" s="7">
        <f>'Raw Food Data (KG)'!Q4</f>
        <v>16900</v>
      </c>
      <c r="G43" s="9">
        <f>'Raw Data (KG)'!R43</f>
        <v>62.5</v>
      </c>
      <c r="H43" s="9">
        <f>'Raw Data (KG)'!S43</f>
        <v>0</v>
      </c>
      <c r="I43" s="352">
        <f>'Raw Data (KG)'!Q43</f>
        <v>0</v>
      </c>
      <c r="J43" s="9">
        <f>'Raw Data (KG)'!P43</f>
        <v>0</v>
      </c>
      <c r="K43" s="62">
        <f>'Raw Data (KG)'!H43+SUM('Raw Data (KG)'!J43:K43)+SUM('Raw Data (KG)'!M43:O43)+'Raw Data (KG)'!T43</f>
        <v>5.65</v>
      </c>
      <c r="L43" s="15">
        <f t="shared" si="1"/>
        <v>46771.608333333337</v>
      </c>
      <c r="M43" s="91"/>
      <c r="N43" s="12"/>
      <c r="O43" s="12"/>
      <c r="P43" s="12"/>
    </row>
    <row r="44" spans="1:16" s="13" customFormat="1" x14ac:dyDescent="0.2">
      <c r="A44" s="68">
        <v>42736</v>
      </c>
      <c r="B44" s="9">
        <f>SUM('Raw Data (KG)'!D44:D44)</f>
        <v>10200</v>
      </c>
      <c r="C44" s="9">
        <f>SUM('Raw Data (KG)'!E44:F44)</f>
        <v>180</v>
      </c>
      <c r="D44" s="8">
        <f>SUM('Raw Data (KG)'!G44:V44)</f>
        <v>17672.126</v>
      </c>
      <c r="E44" s="9">
        <f>'Raw Data (KG)'!W44</f>
        <v>1726</v>
      </c>
      <c r="F44" s="7">
        <f>'Raw Food Data (KG)'!Q5</f>
        <v>13750</v>
      </c>
      <c r="G44" s="9">
        <f>'Raw Data (KG)'!R44</f>
        <v>0</v>
      </c>
      <c r="H44" s="9">
        <f>'Raw Data (KG)'!S44</f>
        <v>0</v>
      </c>
      <c r="I44" s="352">
        <f>'Raw Data (KG)'!Q44</f>
        <v>0</v>
      </c>
      <c r="J44" s="9">
        <f>'Raw Data (KG)'!P44</f>
        <v>0</v>
      </c>
      <c r="K44" s="62">
        <f>'Raw Data (KG)'!H44+SUM('Raw Data (KG)'!J44:K44)+SUM('Raw Data (KG)'!M44:O44)+'Raw Data (KG)'!T44</f>
        <v>146.251</v>
      </c>
      <c r="L44" s="15">
        <f t="shared" si="1"/>
        <v>43674.377</v>
      </c>
      <c r="M44" s="91"/>
      <c r="N44" s="12"/>
      <c r="O44" s="12"/>
      <c r="P44" s="12"/>
    </row>
    <row r="45" spans="1:16" s="13" customFormat="1" x14ac:dyDescent="0.2">
      <c r="A45" s="68">
        <v>42767</v>
      </c>
      <c r="B45" s="9">
        <f>SUM('Raw Data (KG)'!D45:D45)</f>
        <v>9070</v>
      </c>
      <c r="C45" s="9">
        <f>SUM('Raw Data (KG)'!E45:F45)</f>
        <v>210</v>
      </c>
      <c r="D45" s="8">
        <f>SUM('Raw Data (KG)'!G45:V45)</f>
        <v>22764.375</v>
      </c>
      <c r="E45" s="9">
        <f>'Raw Data (KG)'!W45</f>
        <v>1475</v>
      </c>
      <c r="F45" s="7">
        <f>'Raw Food Data (KG)'!Q6</f>
        <v>18825</v>
      </c>
      <c r="G45" s="9">
        <f>'Raw Data (KG)'!R45</f>
        <v>0</v>
      </c>
      <c r="H45" s="9">
        <f>'Raw Data (KG)'!S45</f>
        <v>0</v>
      </c>
      <c r="I45" s="352">
        <f>'Raw Data (KG)'!Q45</f>
        <v>0</v>
      </c>
      <c r="J45" s="9">
        <f>'Raw Data (KG)'!P45</f>
        <v>0</v>
      </c>
      <c r="K45" s="62">
        <f>'Raw Data (KG)'!H45+SUM('Raw Data (KG)'!J45:K45)+SUM('Raw Data (KG)'!M45:O45)+'Raw Data (KG)'!T45</f>
        <v>0</v>
      </c>
      <c r="L45" s="15">
        <f t="shared" si="1"/>
        <v>52344.375</v>
      </c>
      <c r="M45" s="91"/>
      <c r="N45" s="12"/>
      <c r="O45" s="12"/>
      <c r="P45" s="12"/>
    </row>
    <row r="46" spans="1:16" s="13" customFormat="1" x14ac:dyDescent="0.2">
      <c r="A46" s="68">
        <v>42795</v>
      </c>
      <c r="B46" s="9">
        <f>SUM('Raw Data (KG)'!D46:D46)</f>
        <v>9840</v>
      </c>
      <c r="C46" s="9">
        <f>SUM('Raw Data (KG)'!E46:F46)</f>
        <v>210</v>
      </c>
      <c r="D46" s="8">
        <f>SUM('Raw Data (KG)'!G46:V46)</f>
        <v>26140.945</v>
      </c>
      <c r="E46" s="9">
        <f>'Raw Data (KG)'!W46</f>
        <v>1816</v>
      </c>
      <c r="F46" s="7">
        <f>'Raw Food Data (KG)'!Q7</f>
        <v>21975</v>
      </c>
      <c r="G46" s="9">
        <f>'Raw Data (KG)'!R46</f>
        <v>0</v>
      </c>
      <c r="H46" s="9">
        <f>'Raw Data (KG)'!S46</f>
        <v>0</v>
      </c>
      <c r="I46" s="352">
        <f>'Raw Data (KG)'!Q46</f>
        <v>0</v>
      </c>
      <c r="J46" s="9">
        <f>'Raw Data (KG)'!P46</f>
        <v>0</v>
      </c>
      <c r="K46" s="62">
        <f>'Raw Data (KG)'!H46+SUM('Raw Data (KG)'!J46:K46)+SUM('Raw Data (KG)'!M46:O46)+'Raw Data (KG)'!T46</f>
        <v>81.070000000000007</v>
      </c>
      <c r="L46" s="15">
        <f t="shared" si="1"/>
        <v>60063.014999999999</v>
      </c>
      <c r="M46" s="91"/>
      <c r="N46" s="12"/>
      <c r="O46" s="12"/>
      <c r="P46" s="12"/>
    </row>
    <row r="47" spans="1:16" s="13" customFormat="1" x14ac:dyDescent="0.2">
      <c r="A47" s="68">
        <v>42826</v>
      </c>
      <c r="B47" s="9">
        <f>SUM('Raw Data (KG)'!D47:D47)</f>
        <v>10420</v>
      </c>
      <c r="C47" s="9">
        <f>SUM('Raw Data (KG)'!E47:F47)</f>
        <v>290</v>
      </c>
      <c r="D47" s="8">
        <f>SUM('Raw Data (KG)'!G47:V47)</f>
        <v>23674.275000000001</v>
      </c>
      <c r="E47" s="9">
        <f>'Raw Data (KG)'!W47</f>
        <v>1894</v>
      </c>
      <c r="F47" s="7">
        <f>'Raw Food Data (KG)'!Q8</f>
        <v>18850</v>
      </c>
      <c r="G47" s="9">
        <f>'Raw Data (KG)'!R47</f>
        <v>0</v>
      </c>
      <c r="H47" s="9">
        <f>'Raw Data (KG)'!S47</f>
        <v>0</v>
      </c>
      <c r="I47" s="352">
        <f>'Raw Data (KG)'!Q47</f>
        <v>0</v>
      </c>
      <c r="J47" s="9">
        <f>'Raw Data (KG)'!P47</f>
        <v>0</v>
      </c>
      <c r="K47" s="62">
        <f>'Raw Data (KG)'!H47+SUM('Raw Data (KG)'!J47:K47)+SUM('Raw Data (KG)'!M47:O47)+'Raw Data (KG)'!T47</f>
        <v>660.2</v>
      </c>
      <c r="L47" s="15">
        <f t="shared" si="1"/>
        <v>55788.474999999999</v>
      </c>
      <c r="M47" s="91"/>
      <c r="N47" s="12"/>
      <c r="O47" s="12"/>
      <c r="P47" s="12"/>
    </row>
    <row r="48" spans="1:16" s="13" customFormat="1" x14ac:dyDescent="0.2">
      <c r="A48" s="68">
        <v>42856</v>
      </c>
      <c r="B48" s="9">
        <f>SUM('Raw Data (KG)'!D48:D48)</f>
        <v>11250</v>
      </c>
      <c r="C48" s="9">
        <f>SUM('Raw Data (KG)'!E48:F48)</f>
        <v>260</v>
      </c>
      <c r="D48" s="8">
        <f>SUM('Raw Data (KG)'!G48:V48)</f>
        <v>24363.305</v>
      </c>
      <c r="E48" s="9">
        <f>'Raw Data (KG)'!W48</f>
        <v>1563</v>
      </c>
      <c r="F48" s="7">
        <f>'Raw Food Data (KG)'!Q9</f>
        <v>20275</v>
      </c>
      <c r="G48" s="9">
        <f>'Raw Data (KG)'!R48</f>
        <v>0</v>
      </c>
      <c r="H48" s="9">
        <f>'Raw Data (KG)'!S48</f>
        <v>0</v>
      </c>
      <c r="I48" s="352">
        <f>'Raw Data (KG)'!Q48</f>
        <v>0</v>
      </c>
      <c r="J48" s="9">
        <f>'Raw Data (KG)'!P48</f>
        <v>0</v>
      </c>
      <c r="K48" s="62">
        <f>'Raw Data (KG)'!H48+SUM('Raw Data (KG)'!J48:K48)+SUM('Raw Data (KG)'!M48:O48)+'Raw Data (KG)'!T48</f>
        <v>94.43</v>
      </c>
      <c r="L48" s="15">
        <f t="shared" si="1"/>
        <v>57805.735000000001</v>
      </c>
      <c r="M48" s="91"/>
      <c r="N48" s="12"/>
      <c r="O48" s="12"/>
      <c r="P48" s="12"/>
    </row>
    <row r="49" spans="1:16" s="13" customFormat="1" x14ac:dyDescent="0.2">
      <c r="A49" s="68">
        <v>42887</v>
      </c>
      <c r="B49" s="9">
        <f>SUM('Raw Data (KG)'!D49:D49)</f>
        <v>7160</v>
      </c>
      <c r="C49" s="9">
        <f>SUM('Raw Data (KG)'!E49:F49)</f>
        <v>400</v>
      </c>
      <c r="D49" s="8">
        <f>SUM('Raw Data (KG)'!G49:V49)</f>
        <v>26469.875</v>
      </c>
      <c r="E49" s="9">
        <f>'Raw Data (KG)'!W49</f>
        <v>1981</v>
      </c>
      <c r="F49" s="7">
        <f>'Raw Food Data (KG)'!Q10</f>
        <v>21025</v>
      </c>
      <c r="G49" s="9">
        <f>'Raw Data (KG)'!R49</f>
        <v>0</v>
      </c>
      <c r="H49" s="9">
        <f>'Raw Data (KG)'!S49</f>
        <v>0</v>
      </c>
      <c r="I49" s="352">
        <f>'Raw Data (KG)'!Q49</f>
        <v>0</v>
      </c>
      <c r="J49" s="9">
        <f>'Raw Data (KG)'!P49</f>
        <v>0</v>
      </c>
      <c r="K49" s="62">
        <f>'Raw Data (KG)'!H49+SUM('Raw Data (KG)'!J49:K49)+SUM('Raw Data (KG)'!M49:O49)+'Raw Data (KG)'!T49</f>
        <v>340</v>
      </c>
      <c r="L49" s="15">
        <f t="shared" si="1"/>
        <v>57375.875</v>
      </c>
      <c r="M49" s="150">
        <f>SUM(L38:L49)</f>
        <v>533873.38599899993</v>
      </c>
      <c r="N49" s="12"/>
      <c r="O49" s="12"/>
      <c r="P49" s="12"/>
    </row>
    <row r="50" spans="1:16" s="13" customFormat="1" x14ac:dyDescent="0.2">
      <c r="A50" s="68">
        <v>42917</v>
      </c>
      <c r="B50" s="75">
        <f>SUM('Raw Data (KG)'!D50:D50)</f>
        <v>10930</v>
      </c>
      <c r="C50" s="75">
        <f>SUM('Raw Data (KG)'!E50:F50)</f>
        <v>270</v>
      </c>
      <c r="D50" s="73">
        <f>SUM('Raw Data (KG)'!G50:V50)</f>
        <v>17337.102999999999</v>
      </c>
      <c r="E50" s="75">
        <f>'Raw Data (KG)'!W50</f>
        <v>1948</v>
      </c>
      <c r="F50" s="76">
        <f>'Raw Food Data (KG)'!Q11</f>
        <v>13275</v>
      </c>
      <c r="G50" s="75">
        <f>'Raw Data (KG)'!R50</f>
        <v>0</v>
      </c>
      <c r="H50" s="75">
        <f>'Raw Data (KG)'!S50</f>
        <v>0</v>
      </c>
      <c r="I50" s="77">
        <f>'Raw Data (KG)'!Q50</f>
        <v>0</v>
      </c>
      <c r="J50" s="75">
        <f>'Raw Data (KG)'!P50</f>
        <v>0</v>
      </c>
      <c r="K50" s="74">
        <f>'Raw Data (KG)'!H50+SUM('Raw Data (KG)'!J50:K50)+SUM('Raw Data (KG)'!M50:O50)+'Raw Data (KG)'!T50</f>
        <v>101.72800000000001</v>
      </c>
      <c r="L50" s="72">
        <f t="shared" si="1"/>
        <v>43861.831000000006</v>
      </c>
      <c r="M50" s="91"/>
      <c r="N50" s="12"/>
      <c r="O50" s="12"/>
      <c r="P50" s="12"/>
    </row>
    <row r="51" spans="1:16" s="13" customFormat="1" x14ac:dyDescent="0.2">
      <c r="A51" s="68">
        <v>42948</v>
      </c>
      <c r="B51" s="75">
        <f>SUM('Raw Data (KG)'!D51:D51)</f>
        <v>10700</v>
      </c>
      <c r="C51" s="75">
        <f>SUM('Raw Data (KG)'!E51:F51)</f>
        <v>210</v>
      </c>
      <c r="D51" s="73">
        <f>SUM('Raw Data (KG)'!G51:V51)</f>
        <v>18870.875</v>
      </c>
      <c r="E51" s="75">
        <f>'Raw Data (KG)'!W51</f>
        <v>1726</v>
      </c>
      <c r="F51" s="76">
        <f>'Raw Food Data (KG)'!Q12</f>
        <v>15525</v>
      </c>
      <c r="G51" s="75">
        <f>'Raw Data (KG)'!R51</f>
        <v>0</v>
      </c>
      <c r="H51" s="75">
        <f>'Raw Data (KG)'!S51</f>
        <v>0</v>
      </c>
      <c r="I51" s="77">
        <f>'Raw Data (KG)'!Q51</f>
        <v>0</v>
      </c>
      <c r="J51" s="75">
        <f>'Raw Data (KG)'!P51</f>
        <v>0</v>
      </c>
      <c r="K51" s="74">
        <f>'Raw Data (KG)'!H51+SUM('Raw Data (KG)'!J51:K51)+SUM('Raw Data (KG)'!M51:O51)+'Raw Data (KG)'!T51</f>
        <v>277</v>
      </c>
      <c r="L51" s="72">
        <f t="shared" si="1"/>
        <v>47308.875</v>
      </c>
      <c r="M51" s="91"/>
      <c r="N51" s="12"/>
      <c r="O51" s="12"/>
      <c r="P51" s="12"/>
    </row>
    <row r="52" spans="1:16" s="13" customFormat="1" x14ac:dyDescent="0.2">
      <c r="A52" s="68">
        <v>42979</v>
      </c>
      <c r="B52" s="75">
        <f>SUM('Raw Data (KG)'!D52:D52)</f>
        <v>7160</v>
      </c>
      <c r="C52" s="75">
        <f>SUM('Raw Data (KG)'!E52:F52)</f>
        <v>400</v>
      </c>
      <c r="D52" s="73">
        <f>SUM('Raw Data (KG)'!G52:V52)</f>
        <v>26749.434000000001</v>
      </c>
      <c r="E52" s="75">
        <f>'Raw Data (KG)'!W52</f>
        <v>3290</v>
      </c>
      <c r="F52" s="76">
        <f>'Raw Food Data (KG)'!Q13</f>
        <v>25050</v>
      </c>
      <c r="G52" s="75">
        <f>'Raw Data (KG)'!R52</f>
        <v>0</v>
      </c>
      <c r="H52" s="75">
        <f>'Raw Data (KG)'!S52</f>
        <v>0</v>
      </c>
      <c r="I52" s="77">
        <f>'Raw Data (KG)'!Q52</f>
        <v>0</v>
      </c>
      <c r="J52" s="75">
        <f>'Raw Data (KG)'!P52</f>
        <v>0</v>
      </c>
      <c r="K52" s="74">
        <f>'Raw Data (KG)'!H52+SUM('Raw Data (KG)'!J52:K52)+SUM('Raw Data (KG)'!M52:O52)+'Raw Data (KG)'!T52</f>
        <v>3.4340000000000002</v>
      </c>
      <c r="L52" s="72">
        <f t="shared" si="1"/>
        <v>62652.868000000002</v>
      </c>
      <c r="M52" s="91"/>
      <c r="N52" s="12"/>
      <c r="O52" s="12"/>
      <c r="P52" s="12"/>
    </row>
    <row r="53" spans="1:16" s="13" customFormat="1" x14ac:dyDescent="0.2">
      <c r="A53" s="68">
        <v>43009</v>
      </c>
      <c r="B53" s="75">
        <f>SUM('Raw Data (KG)'!D53:D53)</f>
        <v>9910</v>
      </c>
      <c r="C53" s="75">
        <f>SUM('Raw Data (KG)'!E53:F53)</f>
        <v>200</v>
      </c>
      <c r="D53" s="73">
        <f>SUM('Raw Data (KG)'!G53:V53)</f>
        <v>27425.31</v>
      </c>
      <c r="E53" s="75">
        <f>'Raw Data (KG)'!W53</f>
        <v>0</v>
      </c>
      <c r="F53" s="76">
        <f>'Raw Food Data (KG)'!Q14</f>
        <v>25175</v>
      </c>
      <c r="G53" s="75">
        <f>'Raw Data (KG)'!R53</f>
        <v>0</v>
      </c>
      <c r="H53" s="75">
        <f>'Raw Data (KG)'!S53</f>
        <v>0</v>
      </c>
      <c r="I53" s="77">
        <f>'Raw Data (KG)'!Q53</f>
        <v>0</v>
      </c>
      <c r="J53" s="75">
        <f>'Raw Data (KG)'!P53</f>
        <v>0</v>
      </c>
      <c r="K53" s="74">
        <f>'Raw Data (KG)'!H53+SUM('Raw Data (KG)'!J53:K53)+SUM('Raw Data (KG)'!M53:O53)+'Raw Data (KG)'!T53</f>
        <v>129.31</v>
      </c>
      <c r="L53" s="72">
        <f t="shared" si="1"/>
        <v>62839.619999999995</v>
      </c>
      <c r="M53" s="91"/>
      <c r="N53" s="12"/>
      <c r="O53" s="12"/>
      <c r="P53" s="12"/>
    </row>
    <row r="54" spans="1:16" s="13" customFormat="1" x14ac:dyDescent="0.2">
      <c r="A54" s="68">
        <v>43040</v>
      </c>
      <c r="B54" s="75">
        <f>SUM('Raw Data (KG)'!D54:D54)</f>
        <v>9740</v>
      </c>
      <c r="C54" s="75">
        <f>SUM('Raw Data (KG)'!E54:F54)</f>
        <v>210</v>
      </c>
      <c r="D54" s="73">
        <f>SUM('Raw Data (KG)'!G54:V54)</f>
        <v>32182.010999999999</v>
      </c>
      <c r="E54" s="75">
        <f>'Raw Data (KG)'!W54</f>
        <v>3956</v>
      </c>
      <c r="F54" s="76">
        <f>'Raw Food Data (KG)'!Q15</f>
        <v>30100</v>
      </c>
      <c r="G54" s="75">
        <f>'Raw Data (KG)'!R54</f>
        <v>0</v>
      </c>
      <c r="H54" s="75">
        <f>'Raw Data (KG)'!S54</f>
        <v>0</v>
      </c>
      <c r="I54" s="77">
        <f>'Raw Data (KG)'!Q54</f>
        <v>0</v>
      </c>
      <c r="J54" s="75">
        <f>'Raw Data (KG)'!P54</f>
        <v>0</v>
      </c>
      <c r="K54" s="74">
        <f>'Raw Data (KG)'!H54+SUM('Raw Data (KG)'!J54:K54)+SUM('Raw Data (KG)'!M54:O54)+'Raw Data (KG)'!T54</f>
        <v>279.01100000000002</v>
      </c>
      <c r="L54" s="72">
        <f t="shared" si="1"/>
        <v>76467.021999999997</v>
      </c>
      <c r="M54" s="91"/>
      <c r="N54" s="12"/>
      <c r="O54" s="12"/>
      <c r="P54" s="12"/>
    </row>
    <row r="55" spans="1:16" s="13" customFormat="1" x14ac:dyDescent="0.2">
      <c r="A55" s="68">
        <v>43070</v>
      </c>
      <c r="B55" s="75">
        <f>SUM('Raw Data (KG)'!D55:D55)</f>
        <v>8410</v>
      </c>
      <c r="C55" s="75">
        <f>SUM('Raw Data (KG)'!E55:F55)</f>
        <v>150</v>
      </c>
      <c r="D55" s="73">
        <f>SUM('Raw Data (KG)'!G55:V55)</f>
        <v>34505.960000000006</v>
      </c>
      <c r="E55" s="75">
        <f>'Raw Data (KG)'!W55</f>
        <v>4858</v>
      </c>
      <c r="F55" s="76">
        <f>'Raw Food Data (KG)'!Q16</f>
        <v>30200</v>
      </c>
      <c r="G55" s="75">
        <f>'Raw Data (KG)'!R55</f>
        <v>0</v>
      </c>
      <c r="H55" s="75">
        <f>'Raw Data (KG)'!S55</f>
        <v>0</v>
      </c>
      <c r="I55" s="77">
        <f>'Raw Data (KG)'!Q55</f>
        <v>0</v>
      </c>
      <c r="J55" s="75">
        <f>'Raw Data (KG)'!P55</f>
        <v>0</v>
      </c>
      <c r="K55" s="74">
        <f>'Raw Data (KG)'!H55+SUM('Raw Data (KG)'!J55:K55)+SUM('Raw Data (KG)'!M55:O55)+'Raw Data (KG)'!T55</f>
        <v>378.90999999999997</v>
      </c>
      <c r="L55" s="72">
        <f t="shared" si="1"/>
        <v>78502.87000000001</v>
      </c>
      <c r="M55" s="91"/>
      <c r="N55" s="12"/>
      <c r="O55" s="12"/>
      <c r="P55" s="12"/>
    </row>
    <row r="56" spans="1:16" s="13" customFormat="1" x14ac:dyDescent="0.2">
      <c r="A56" s="68">
        <v>43101</v>
      </c>
      <c r="B56" s="75">
        <f>SUM('Raw Data (KG)'!D56:D56)</f>
        <v>9740</v>
      </c>
      <c r="C56" s="75">
        <f>SUM('Raw Data (KG)'!E56:F56)</f>
        <v>210</v>
      </c>
      <c r="D56" s="73">
        <f>SUM('Raw Data (KG)'!G56:V56)</f>
        <v>29204.3</v>
      </c>
      <c r="E56" s="75">
        <f>'Raw Data (KG)'!W56</f>
        <v>0</v>
      </c>
      <c r="F56" s="76">
        <f>'Raw Food Data (KG)'!Q17</f>
        <v>27975</v>
      </c>
      <c r="G56" s="75">
        <f>'Raw Data (KG)'!R56</f>
        <v>0</v>
      </c>
      <c r="H56" s="75">
        <f>'Raw Data (KG)'!S56</f>
        <v>0</v>
      </c>
      <c r="I56" s="77">
        <f>'Raw Data (KG)'!Q56</f>
        <v>0</v>
      </c>
      <c r="J56" s="75">
        <f>'Raw Data (KG)'!P56</f>
        <v>0</v>
      </c>
      <c r="K56" s="74">
        <f>'Raw Data (KG)'!H56+SUM('Raw Data (KG)'!J56:K56)+SUM('Raw Data (KG)'!M56:O56)+'Raw Data (KG)'!T56</f>
        <v>0</v>
      </c>
      <c r="L56" s="72">
        <f t="shared" si="1"/>
        <v>67129.3</v>
      </c>
      <c r="M56" s="91"/>
      <c r="N56" s="12"/>
      <c r="O56" s="12"/>
      <c r="P56" s="12"/>
    </row>
    <row r="57" spans="1:16" s="13" customFormat="1" x14ac:dyDescent="0.2">
      <c r="A57" s="68">
        <v>43132</v>
      </c>
      <c r="B57" s="75">
        <f>SUM('Raw Data (KG)'!D57:D57)</f>
        <v>7530</v>
      </c>
      <c r="C57" s="75">
        <f>SUM('Raw Data (KG)'!E57:F57)</f>
        <v>150</v>
      </c>
      <c r="D57" s="73">
        <f>SUM('Raw Data (KG)'!G57:V57)</f>
        <v>23638.3</v>
      </c>
      <c r="E57" s="75">
        <f>'Raw Data (KG)'!W57</f>
        <v>2040</v>
      </c>
      <c r="F57" s="76">
        <f>'Raw Food Data (KG)'!Q18</f>
        <v>21825</v>
      </c>
      <c r="G57" s="75">
        <f>'Raw Data (KG)'!R57</f>
        <v>0</v>
      </c>
      <c r="H57" s="75">
        <f>'Raw Data (KG)'!S57</f>
        <v>0</v>
      </c>
      <c r="I57" s="77">
        <f>'Raw Data (KG)'!Q57</f>
        <v>1300</v>
      </c>
      <c r="J57" s="75">
        <f>'Raw Data (KG)'!P57</f>
        <v>0</v>
      </c>
      <c r="K57" s="74">
        <f>'Raw Data (KG)'!H57+SUM('Raw Data (KG)'!J57:K57)+SUM('Raw Data (KG)'!M57:O57)+'Raw Data (KG)'!T57</f>
        <v>0</v>
      </c>
      <c r="L57" s="72">
        <f t="shared" si="1"/>
        <v>56483.3</v>
      </c>
      <c r="M57" s="91"/>
      <c r="N57" s="12"/>
      <c r="O57" s="12"/>
      <c r="P57" s="12"/>
    </row>
    <row r="58" spans="1:16" s="13" customFormat="1" x14ac:dyDescent="0.2">
      <c r="A58" s="68">
        <v>43160</v>
      </c>
      <c r="B58" s="75">
        <f>SUM('Raw Data (KG)'!D58:D58)</f>
        <v>9500</v>
      </c>
      <c r="C58" s="75">
        <f>SUM('Raw Data (KG)'!E58:F58)</f>
        <v>500</v>
      </c>
      <c r="D58" s="73">
        <f>SUM('Raw Data (KG)'!G58:V58)</f>
        <v>27680.7</v>
      </c>
      <c r="E58" s="75">
        <f>'Raw Data (KG)'!W58</f>
        <v>1740</v>
      </c>
      <c r="F58" s="76">
        <f>'Raw Food Data (KG)'!Q19</f>
        <v>25300</v>
      </c>
      <c r="G58" s="75">
        <f>'Raw Data (KG)'!R58</f>
        <v>0</v>
      </c>
      <c r="H58" s="75">
        <f>'Raw Data (KG)'!S58</f>
        <v>0</v>
      </c>
      <c r="I58" s="77">
        <f>'Raw Data (KG)'!Q58</f>
        <v>1500</v>
      </c>
      <c r="J58" s="75">
        <f>'Raw Data (KG)'!P58</f>
        <v>0</v>
      </c>
      <c r="K58" s="74">
        <f>'Raw Data (KG)'!H58+SUM('Raw Data (KG)'!J58:K58)+SUM('Raw Data (KG)'!M58:O58)+'Raw Data (KG)'!T58</f>
        <v>174.20000000000002</v>
      </c>
      <c r="L58" s="72">
        <f t="shared" si="1"/>
        <v>66394.899999999994</v>
      </c>
      <c r="M58" s="91"/>
      <c r="N58" s="12"/>
      <c r="O58" s="12"/>
      <c r="P58" s="12"/>
    </row>
    <row r="59" spans="1:16" s="13" customFormat="1" x14ac:dyDescent="0.2">
      <c r="A59" s="68">
        <v>43191</v>
      </c>
      <c r="B59" s="75">
        <f>SUM('Raw Data (KG)'!D59:D59)</f>
        <v>9790</v>
      </c>
      <c r="C59" s="75">
        <f>SUM('Raw Data (KG)'!E59:F59)</f>
        <v>170</v>
      </c>
      <c r="D59" s="73">
        <f>SUM('Raw Data (KG)'!G59:V59)</f>
        <v>30600.911</v>
      </c>
      <c r="E59" s="75">
        <f>'Raw Data (KG)'!W59</f>
        <v>1490</v>
      </c>
      <c r="F59" s="76">
        <f>'Raw Food Data (KG)'!Q20</f>
        <v>25225</v>
      </c>
      <c r="G59" s="75">
        <f>'Raw Data (KG)'!R59</f>
        <v>0</v>
      </c>
      <c r="H59" s="75">
        <f>'Raw Data (KG)'!S59</f>
        <v>3000</v>
      </c>
      <c r="I59" s="77">
        <f>'Raw Data (KG)'!Q59</f>
        <v>1300</v>
      </c>
      <c r="J59" s="75">
        <f>'Raw Data (KG)'!P59</f>
        <v>0</v>
      </c>
      <c r="K59" s="74">
        <f>'Raw Data (KG)'!H59+SUM('Raw Data (KG)'!J59:K59)+SUM('Raw Data (KG)'!M59:O59)+'Raw Data (KG)'!T59</f>
        <v>559.51099999999997</v>
      </c>
      <c r="L59" s="72">
        <f t="shared" si="1"/>
        <v>72135.421999999991</v>
      </c>
      <c r="M59" s="91"/>
      <c r="N59" s="12"/>
      <c r="O59" s="12"/>
      <c r="P59" s="12"/>
    </row>
    <row r="60" spans="1:16" s="13" customFormat="1" x14ac:dyDescent="0.2">
      <c r="A60" s="68">
        <v>43221</v>
      </c>
      <c r="B60" s="75">
        <f>SUM('Raw Data (KG)'!D60:D60)</f>
        <v>11580</v>
      </c>
      <c r="C60" s="75">
        <f>SUM('Raw Data (KG)'!E60:F60)</f>
        <v>170</v>
      </c>
      <c r="D60" s="73">
        <f>SUM('Raw Data (KG)'!G60:V60)</f>
        <v>53400</v>
      </c>
      <c r="E60" s="75">
        <f>'Raw Data (KG)'!W60</f>
        <v>0</v>
      </c>
      <c r="F60" s="76">
        <f>'Raw Food Data (KG)'!Q21</f>
        <v>37200</v>
      </c>
      <c r="G60" s="75">
        <f>'Raw Data (KG)'!R60</f>
        <v>0</v>
      </c>
      <c r="H60" s="75">
        <f>'Raw Data (KG)'!S60</f>
        <v>12000</v>
      </c>
      <c r="I60" s="77">
        <f>'Raw Data (KG)'!Q60</f>
        <v>3400.0000000000005</v>
      </c>
      <c r="J60" s="75">
        <f>'Raw Data (KG)'!P60</f>
        <v>0</v>
      </c>
      <c r="K60" s="74">
        <f>'Raw Data (KG)'!H60+SUM('Raw Data (KG)'!J60:K60)+SUM('Raw Data (KG)'!M60:O60)+'Raw Data (KG)'!T60</f>
        <v>0</v>
      </c>
      <c r="L60" s="72">
        <f t="shared" si="1"/>
        <v>117750</v>
      </c>
      <c r="M60" s="91"/>
      <c r="N60" s="12"/>
      <c r="O60" s="12"/>
      <c r="P60" s="12"/>
    </row>
    <row r="61" spans="1:16" s="13" customFormat="1" x14ac:dyDescent="0.2">
      <c r="A61" s="68">
        <v>43252</v>
      </c>
      <c r="B61" s="75">
        <f>SUM('Raw Data (KG)'!D61:D61)</f>
        <v>10110</v>
      </c>
      <c r="C61" s="75">
        <f>SUM('Raw Data (KG)'!E61:F61)</f>
        <v>210</v>
      </c>
      <c r="D61" s="73">
        <f>SUM('Raw Data (KG)'!G61:V61)</f>
        <v>78853.649999999994</v>
      </c>
      <c r="E61" s="75">
        <f>'Raw Data (KG)'!W61</f>
        <v>3470</v>
      </c>
      <c r="F61" s="76">
        <f>'Raw Food Data (KG)'!Q22</f>
        <v>27900</v>
      </c>
      <c r="G61" s="75">
        <f>'Raw Data (KG)'!R61</f>
        <v>0</v>
      </c>
      <c r="H61" s="75">
        <f>'Raw Data (KG)'!S61</f>
        <v>6000</v>
      </c>
      <c r="I61" s="77">
        <f>'Raw Data (KG)'!Q61</f>
        <v>40370</v>
      </c>
      <c r="J61" s="75">
        <f>'Raw Data (KG)'!P61</f>
        <v>0</v>
      </c>
      <c r="K61" s="74">
        <f>'Raw Data (KG)'!H61+SUM('Raw Data (KG)'!J61:K61)+SUM('Raw Data (KG)'!M61:O61)+'Raw Data (KG)'!T61</f>
        <v>0</v>
      </c>
      <c r="L61" s="72">
        <f t="shared" si="1"/>
        <v>166913.65</v>
      </c>
      <c r="M61" s="150">
        <f>SUM(L50:L61)</f>
        <v>918439.65800000005</v>
      </c>
      <c r="N61" s="12"/>
      <c r="O61" s="12"/>
      <c r="P61" s="12"/>
    </row>
    <row r="62" spans="1:16" s="13" customFormat="1" x14ac:dyDescent="0.2">
      <c r="A62" s="68">
        <v>43282</v>
      </c>
      <c r="B62" s="9">
        <f>SUM('Raw Data (KG)'!D62:D62)</f>
        <v>11130</v>
      </c>
      <c r="C62" s="9">
        <f>SUM('Raw Data (KG)'!E62:F62)</f>
        <v>260</v>
      </c>
      <c r="D62" s="8">
        <f>SUM('Raw Data (KG)'!G62:V62)</f>
        <v>31570.799999999999</v>
      </c>
      <c r="E62" s="9">
        <f>'Raw Data (KG)'!W62</f>
        <v>0</v>
      </c>
      <c r="F62" s="7">
        <f>'Raw Food Data (KG)'!Q23</f>
        <v>25675</v>
      </c>
      <c r="G62" s="9">
        <f>'Raw Data (KG)'!R62</f>
        <v>0</v>
      </c>
      <c r="H62" s="9">
        <f>'Raw Data (KG)'!S62</f>
        <v>5000</v>
      </c>
      <c r="I62" s="352">
        <f>'Raw Data (KG)'!Q62</f>
        <v>0</v>
      </c>
      <c r="J62" s="9">
        <f>'Raw Data (KG)'!P62</f>
        <v>0</v>
      </c>
      <c r="K62" s="62">
        <f>'Raw Data (KG)'!H62+SUM('Raw Data (KG)'!J62:K62)+SUM('Raw Data (KG)'!M62:O62)+'Raw Data (KG)'!T62</f>
        <v>134</v>
      </c>
      <c r="L62" s="15">
        <f t="shared" si="1"/>
        <v>73769.8</v>
      </c>
      <c r="M62" s="91"/>
      <c r="N62" s="12"/>
      <c r="O62" s="12"/>
      <c r="P62" s="12"/>
    </row>
    <row r="63" spans="1:16" s="13" customFormat="1" x14ac:dyDescent="0.2">
      <c r="A63" s="68">
        <v>43313</v>
      </c>
      <c r="B63" s="9">
        <f>SUM('Raw Data (KG)'!D63:D63)</f>
        <v>10170</v>
      </c>
      <c r="C63" s="9">
        <f>SUM('Raw Data (KG)'!E63:F63)</f>
        <v>310</v>
      </c>
      <c r="D63" s="8">
        <f>SUM('Raw Data (KG)'!G63:V63)</f>
        <v>28551.4</v>
      </c>
      <c r="E63" s="9">
        <f>'Raw Data (KG)'!W63</f>
        <v>2620</v>
      </c>
      <c r="F63" s="7">
        <f>'Raw Food Data (KG)'!Q24</f>
        <v>16633.900000000001</v>
      </c>
      <c r="G63" s="9">
        <f>'Raw Data (KG)'!R63</f>
        <v>0</v>
      </c>
      <c r="H63" s="9">
        <f>'Raw Data (KG)'!S63</f>
        <v>3500</v>
      </c>
      <c r="I63" s="352">
        <f>'Raw Data (KG)'!Q63</f>
        <v>7200</v>
      </c>
      <c r="J63" s="9">
        <f>'Raw Data (KG)'!P63</f>
        <v>582</v>
      </c>
      <c r="K63" s="62">
        <f>'Raw Data (KG)'!H63+SUM('Raw Data (KG)'!J63:K63)+SUM('Raw Data (KG)'!M63:O63)+'Raw Data (KG)'!T63</f>
        <v>0</v>
      </c>
      <c r="L63" s="15">
        <f t="shared" si="1"/>
        <v>69567.3</v>
      </c>
      <c r="M63" s="91"/>
      <c r="N63" s="12"/>
      <c r="O63" s="12"/>
      <c r="P63" s="12"/>
    </row>
    <row r="64" spans="1:16" s="13" customFormat="1" x14ac:dyDescent="0.2">
      <c r="A64" s="68">
        <v>43344</v>
      </c>
      <c r="B64" s="9">
        <f>SUM('Raw Data (KG)'!D64:D64)</f>
        <v>9110</v>
      </c>
      <c r="C64" s="9">
        <f>SUM('Raw Data (KG)'!E64:F64)</f>
        <v>270</v>
      </c>
      <c r="D64" s="8">
        <f>SUM('Raw Data (KG)'!G64:V64)</f>
        <v>76596.695999999996</v>
      </c>
      <c r="E64" s="9">
        <f>'Raw Data (KG)'!W64</f>
        <v>845</v>
      </c>
      <c r="F64" s="7">
        <f>'Raw Food Data (KG)'!Q25</f>
        <v>18194.05</v>
      </c>
      <c r="G64" s="9">
        <f>'Raw Data (KG)'!R64</f>
        <v>7680</v>
      </c>
      <c r="H64" s="9">
        <f>'Raw Data (KG)'!S64</f>
        <v>45500</v>
      </c>
      <c r="I64" s="352">
        <f>'Raw Data (KG)'!Q64</f>
        <v>3800</v>
      </c>
      <c r="J64" s="9">
        <f>'Raw Data (KG)'!P64</f>
        <v>0</v>
      </c>
      <c r="K64" s="62">
        <f>'Raw Data (KG)'!H64+SUM('Raw Data (KG)'!J64:K64)+SUM('Raw Data (KG)'!M64:O64)+'Raw Data (KG)'!T64</f>
        <v>159.64600000000002</v>
      </c>
      <c r="L64" s="15">
        <f t="shared" si="1"/>
        <v>162155.39199999999</v>
      </c>
      <c r="M64" s="91"/>
      <c r="N64" s="12"/>
      <c r="O64" s="12"/>
      <c r="P64" s="12"/>
    </row>
    <row r="65" spans="1:16" s="13" customFormat="1" x14ac:dyDescent="0.2">
      <c r="A65" s="68">
        <v>43374</v>
      </c>
      <c r="B65" s="9">
        <f>SUM('Raw Data (KG)'!D65:D65)</f>
        <v>7540</v>
      </c>
      <c r="C65" s="9">
        <f>SUM('Raw Data (KG)'!E65:F65)</f>
        <v>190</v>
      </c>
      <c r="D65" s="8">
        <f>SUM('Raw Data (KG)'!G65:V65)</f>
        <v>38396.949999999997</v>
      </c>
      <c r="E65" s="9">
        <f>'Raw Data (KG)'!W65</f>
        <v>1663</v>
      </c>
      <c r="F65" s="7">
        <f>'Raw Food Data (KG)'!Q26</f>
        <v>26058</v>
      </c>
      <c r="G65" s="9">
        <f>'Raw Data (KG)'!R65</f>
        <v>7680</v>
      </c>
      <c r="H65" s="9">
        <f>'Raw Data (KG)'!S65</f>
        <v>0</v>
      </c>
      <c r="I65" s="352">
        <f>'Raw Data (KG)'!Q65</f>
        <v>2700</v>
      </c>
      <c r="J65" s="9">
        <f>'Raw Data (KG)'!P65</f>
        <v>340.5</v>
      </c>
      <c r="K65" s="62">
        <f>'Raw Data (KG)'!H65+SUM('Raw Data (KG)'!J65:K65)+SUM('Raw Data (KG)'!M65:O65)+'Raw Data (KG)'!T65</f>
        <v>0</v>
      </c>
      <c r="L65" s="15">
        <f t="shared" si="1"/>
        <v>84568.45</v>
      </c>
      <c r="M65" s="91"/>
      <c r="N65" s="12"/>
      <c r="O65" s="12"/>
      <c r="P65" s="12"/>
    </row>
    <row r="66" spans="1:16" s="13" customFormat="1" x14ac:dyDescent="0.2">
      <c r="A66" s="68">
        <v>43405</v>
      </c>
      <c r="B66" s="9">
        <f>SUM('Raw Data (KG)'!D66:D66)</f>
        <v>7720</v>
      </c>
      <c r="C66" s="9">
        <f>SUM('Raw Data (KG)'!E66:F66)</f>
        <v>170</v>
      </c>
      <c r="D66" s="8">
        <f>SUM('Raw Data (KG)'!G66:V66)</f>
        <v>64057.599000000002</v>
      </c>
      <c r="E66" s="9">
        <f>'Raw Data (KG)'!W66</f>
        <v>812</v>
      </c>
      <c r="F66" s="7">
        <f>'Raw Food Data (KG)'!Q27</f>
        <v>28892.5</v>
      </c>
      <c r="G66" s="9">
        <f>'Raw Data (KG)'!R66</f>
        <v>7680</v>
      </c>
      <c r="H66" s="9">
        <f>'Raw Data (KG)'!S66</f>
        <v>21000</v>
      </c>
      <c r="I66" s="352">
        <f>'Raw Data (KG)'!Q66</f>
        <v>3700</v>
      </c>
      <c r="J66" s="9">
        <f>'Raw Data (KG)'!P66</f>
        <v>1179</v>
      </c>
      <c r="K66" s="62">
        <f>'Raw Data (KG)'!H66+SUM('Raw Data (KG)'!J66:K66)+SUM('Raw Data (KG)'!M66:O66)+'Raw Data (KG)'!T66</f>
        <v>260.44900000000001</v>
      </c>
      <c r="L66" s="15">
        <f t="shared" ref="L66:L97" si="2">SUM(B66:K66)</f>
        <v>135471.54799999998</v>
      </c>
      <c r="M66" s="91"/>
      <c r="N66" s="12"/>
      <c r="O66" s="12"/>
      <c r="P66" s="12"/>
    </row>
    <row r="67" spans="1:16" s="13" customFormat="1" x14ac:dyDescent="0.2">
      <c r="A67" s="68">
        <v>43435</v>
      </c>
      <c r="B67" s="9">
        <f>SUM('Raw Data (KG)'!D67:D67)</f>
        <v>7080</v>
      </c>
      <c r="C67" s="9">
        <f>SUM('Raw Data (KG)'!E67:F67)</f>
        <v>120</v>
      </c>
      <c r="D67" s="8">
        <f>SUM('Raw Data (KG)'!G67:V67)</f>
        <v>94829.58600000001</v>
      </c>
      <c r="E67" s="9">
        <f>'Raw Data (KG)'!W67</f>
        <v>2191</v>
      </c>
      <c r="F67" s="7">
        <f>'Raw Food Data (KG)'!Q28</f>
        <v>24534.5</v>
      </c>
      <c r="G67" s="9">
        <f>'Raw Data (KG)'!R67</f>
        <v>7680</v>
      </c>
      <c r="H67" s="9">
        <f>'Raw Data (KG)'!S67</f>
        <v>28000</v>
      </c>
      <c r="I67" s="352">
        <f>'Raw Data (KG)'!Q67</f>
        <v>32700.000000000004</v>
      </c>
      <c r="J67" s="9">
        <f>'Raw Data (KG)'!P67</f>
        <v>0</v>
      </c>
      <c r="K67" s="62">
        <f>'Raw Data (KG)'!H67+SUM('Raw Data (KG)'!J67:K67)+SUM('Raw Data (KG)'!M67:O67)+'Raw Data (KG)'!T67</f>
        <v>248.08600000000001</v>
      </c>
      <c r="L67" s="15">
        <f t="shared" si="2"/>
        <v>197383.17200000002</v>
      </c>
      <c r="M67" s="91"/>
      <c r="N67" s="12"/>
      <c r="O67" s="12"/>
      <c r="P67" s="12"/>
    </row>
    <row r="68" spans="1:16" s="13" customFormat="1" x14ac:dyDescent="0.2">
      <c r="A68" s="68">
        <v>43466</v>
      </c>
      <c r="B68" s="9">
        <f>SUM('Raw Data (KG)'!D68:D68)</f>
        <v>9880</v>
      </c>
      <c r="C68" s="9">
        <f>SUM('Raw Data (KG)'!E68:F68)</f>
        <v>170</v>
      </c>
      <c r="D68" s="8">
        <f>SUM('Raw Data (KG)'!G68:V68)</f>
        <v>77277</v>
      </c>
      <c r="E68" s="9">
        <f>'Raw Data (KG)'!W68</f>
        <v>1388</v>
      </c>
      <c r="F68" s="7">
        <f>'Raw Food Data (KG)'!Q29</f>
        <v>21757.5</v>
      </c>
      <c r="G68" s="9">
        <f>'Raw Data (KG)'!R68</f>
        <v>7680</v>
      </c>
      <c r="H68" s="9">
        <f>'Raw Data (KG)'!S68</f>
        <v>38500</v>
      </c>
      <c r="I68" s="352">
        <f>'Raw Data (KG)'!Q68</f>
        <v>7800</v>
      </c>
      <c r="J68" s="9">
        <f>'Raw Data (KG)'!P68</f>
        <v>850</v>
      </c>
      <c r="K68" s="62">
        <f>'Raw Data (KG)'!H68+SUM('Raw Data (KG)'!J68:K68)+SUM('Raw Data (KG)'!M68:O68)+'Raw Data (KG)'!T68</f>
        <v>0</v>
      </c>
      <c r="L68" s="15">
        <f t="shared" si="2"/>
        <v>165302.5</v>
      </c>
      <c r="M68" s="91"/>
      <c r="N68" s="12"/>
      <c r="O68" s="12"/>
      <c r="P68" s="12"/>
    </row>
    <row r="69" spans="1:16" s="13" customFormat="1" x14ac:dyDescent="0.2">
      <c r="A69" s="68">
        <v>43497</v>
      </c>
      <c r="B69" s="9">
        <f>SUM('Raw Data (KG)'!D69:D69)</f>
        <v>7000</v>
      </c>
      <c r="C69" s="9">
        <f>SUM('Raw Data (KG)'!E69:F69)</f>
        <v>160</v>
      </c>
      <c r="D69" s="8">
        <f>SUM('Raw Data (KG)'!G69:V69)</f>
        <v>34939.695</v>
      </c>
      <c r="E69" s="9">
        <f>'Raw Data (KG)'!W69</f>
        <v>1172</v>
      </c>
      <c r="F69" s="7">
        <f>'Raw Food Data (KG)'!Q30</f>
        <v>24584.5</v>
      </c>
      <c r="G69" s="9">
        <f>'Raw Data (KG)'!R69</f>
        <v>7680</v>
      </c>
      <c r="H69" s="9">
        <f>'Raw Data (KG)'!S69</f>
        <v>0</v>
      </c>
      <c r="I69" s="352">
        <f>'Raw Data (KG)'!Q69</f>
        <v>1900</v>
      </c>
      <c r="J69" s="9">
        <f>'Raw Data (KG)'!P69</f>
        <v>0</v>
      </c>
      <c r="K69" s="62">
        <f>'Raw Data (KG)'!H69+SUM('Raw Data (KG)'!J69:K69)+SUM('Raw Data (KG)'!M69:O69)+'Raw Data (KG)'!T69</f>
        <v>87.694999999999993</v>
      </c>
      <c r="L69" s="15">
        <f t="shared" si="2"/>
        <v>77523.890000000014</v>
      </c>
      <c r="M69" s="91"/>
      <c r="N69" s="12"/>
      <c r="O69" s="12"/>
      <c r="P69" s="12"/>
    </row>
    <row r="70" spans="1:16" s="13" customFormat="1" x14ac:dyDescent="0.2">
      <c r="A70" s="68">
        <v>43525</v>
      </c>
      <c r="B70" s="9">
        <f>SUM('Raw Data (KG)'!D70:D70)</f>
        <v>9520</v>
      </c>
      <c r="C70" s="9">
        <f>SUM('Raw Data (KG)'!E70:F70)</f>
        <v>180</v>
      </c>
      <c r="D70" s="8">
        <f>SUM('Raw Data (KG)'!G70:V70)</f>
        <v>38235</v>
      </c>
      <c r="E70" s="9">
        <f>'Raw Data (KG)'!W70</f>
        <v>1793</v>
      </c>
      <c r="F70" s="7">
        <f>'Raw Food Data (KG)'!Q31</f>
        <v>30930.5</v>
      </c>
      <c r="G70" s="9">
        <f>'Raw Data (KG)'!R70</f>
        <v>0</v>
      </c>
      <c r="H70" s="9">
        <f>'Raw Data (KG)'!S70</f>
        <v>3500</v>
      </c>
      <c r="I70" s="352">
        <f>'Raw Data (KG)'!Q70</f>
        <v>2500</v>
      </c>
      <c r="J70" s="9">
        <f>'Raw Data (KG)'!P70</f>
        <v>0</v>
      </c>
      <c r="K70" s="62">
        <f>'Raw Data (KG)'!H70+SUM('Raw Data (KG)'!J70:K70)+SUM('Raw Data (KG)'!M70:O70)+'Raw Data (KG)'!T70</f>
        <v>60.300000000000004</v>
      </c>
      <c r="L70" s="15">
        <f t="shared" si="2"/>
        <v>86718.8</v>
      </c>
      <c r="M70" s="91"/>
      <c r="N70" s="12"/>
      <c r="O70" s="12"/>
      <c r="P70" s="12"/>
    </row>
    <row r="71" spans="1:16" s="13" customFormat="1" x14ac:dyDescent="0.2">
      <c r="A71" s="68">
        <v>43556</v>
      </c>
      <c r="B71" s="9">
        <f>SUM('Raw Data (KG)'!D71:D71)</f>
        <v>8220</v>
      </c>
      <c r="C71" s="9">
        <f>SUM('Raw Data (KG)'!E71:F71)</f>
        <v>160</v>
      </c>
      <c r="D71" s="8">
        <f>SUM('Raw Data (KG)'!G71:V71)</f>
        <v>41850.76</v>
      </c>
      <c r="E71" s="9">
        <f>'Raw Data (KG)'!W71</f>
        <v>1845</v>
      </c>
      <c r="F71" s="7">
        <f>'Raw Food Data (KG)'!Q32</f>
        <v>32534.5</v>
      </c>
      <c r="G71" s="9">
        <f>'Raw Data (KG)'!R71</f>
        <v>0</v>
      </c>
      <c r="H71" s="9">
        <f>'Raw Data (KG)'!S71</f>
        <v>0</v>
      </c>
      <c r="I71" s="352">
        <f>'Raw Data (KG)'!Q71</f>
        <v>7800</v>
      </c>
      <c r="J71" s="9">
        <f>'Raw Data (KG)'!P71</f>
        <v>0</v>
      </c>
      <c r="K71" s="62">
        <f>'Raw Data (KG)'!H71+SUM('Raw Data (KG)'!J71:K71)+SUM('Raw Data (KG)'!M71:O71)+'Raw Data (KG)'!T71</f>
        <v>93.26</v>
      </c>
      <c r="L71" s="15">
        <f t="shared" si="2"/>
        <v>92503.52</v>
      </c>
      <c r="M71" s="91"/>
      <c r="N71" s="12"/>
      <c r="O71" s="12"/>
      <c r="P71" s="12"/>
    </row>
    <row r="72" spans="1:16" s="13" customFormat="1" x14ac:dyDescent="0.2">
      <c r="A72" s="68">
        <v>43586</v>
      </c>
      <c r="B72" s="9">
        <f>SUM('Raw Data (KG)'!D72:D72)</f>
        <v>6735</v>
      </c>
      <c r="C72" s="9">
        <f>SUM('Raw Data (KG)'!E72:F72)</f>
        <v>140</v>
      </c>
      <c r="D72" s="8">
        <f>SUM('Raw Data (KG)'!G72:V72)</f>
        <v>56293.690999999999</v>
      </c>
      <c r="E72" s="9">
        <f>'Raw Data (KG)'!W72</f>
        <v>1356</v>
      </c>
      <c r="F72" s="7">
        <f>'Raw Food Data (KG)'!Q33</f>
        <v>31664</v>
      </c>
      <c r="G72" s="9">
        <f>'Raw Data (KG)'!R72</f>
        <v>0</v>
      </c>
      <c r="H72" s="9">
        <f>'Raw Data (KG)'!S72</f>
        <v>0</v>
      </c>
      <c r="I72" s="352">
        <f>'Raw Data (KG)'!Q72</f>
        <v>10400</v>
      </c>
      <c r="J72" s="9">
        <f>'Raw Data (KG)'!P72</f>
        <v>1504.5</v>
      </c>
      <c r="K72" s="62">
        <f>'Raw Data (KG)'!H72+SUM('Raw Data (KG)'!J72:K72)+SUM('Raw Data (KG)'!M72:O72)+'Raw Data (KG)'!T72</f>
        <v>1.841</v>
      </c>
      <c r="L72" s="15">
        <f t="shared" si="2"/>
        <v>108095.03199999999</v>
      </c>
      <c r="M72" s="91"/>
      <c r="N72" s="12"/>
      <c r="O72" s="12"/>
      <c r="P72" s="12"/>
    </row>
    <row r="73" spans="1:16" s="13" customFormat="1" x14ac:dyDescent="0.2">
      <c r="A73" s="68">
        <v>43617</v>
      </c>
      <c r="B73" s="9">
        <f>SUM('Raw Data (KG)'!D73:D73)</f>
        <v>7100</v>
      </c>
      <c r="C73" s="9">
        <f>SUM('Raw Data (KG)'!E73:F73)</f>
        <v>170</v>
      </c>
      <c r="D73" s="8">
        <f>SUM('Raw Data (KG)'!G73:V73)</f>
        <v>35671.300000000003</v>
      </c>
      <c r="E73" s="9">
        <f>'Raw Data (KG)'!W73</f>
        <v>2613</v>
      </c>
      <c r="F73" s="7">
        <f>'Raw Food Data (KG)'!Q34</f>
        <v>23162.5</v>
      </c>
      <c r="G73" s="9">
        <f>'Raw Data (KG)'!R73</f>
        <v>0</v>
      </c>
      <c r="H73" s="9">
        <f>'Raw Data (KG)'!S73</f>
        <v>0</v>
      </c>
      <c r="I73" s="352">
        <f>'Raw Data (KG)'!Q73</f>
        <v>11000</v>
      </c>
      <c r="J73" s="9">
        <f>'Raw Data (KG)'!P73</f>
        <v>0</v>
      </c>
      <c r="K73" s="62">
        <f>'Raw Data (KG)'!H73+SUM('Raw Data (KG)'!J73:K73)+SUM('Raw Data (KG)'!M73:O73)+'Raw Data (KG)'!T73</f>
        <v>0</v>
      </c>
      <c r="L73" s="15">
        <f t="shared" si="2"/>
        <v>79716.800000000003</v>
      </c>
      <c r="M73" s="150">
        <f>SUM(L62:L73)</f>
        <v>1332776.2039999999</v>
      </c>
      <c r="N73" s="12"/>
      <c r="O73" s="12"/>
      <c r="P73" s="12"/>
    </row>
    <row r="74" spans="1:16" s="13" customFormat="1" x14ac:dyDescent="0.2">
      <c r="A74" s="68">
        <v>43647</v>
      </c>
      <c r="B74" s="75">
        <f>SUM('Raw Data (KG)'!D74:D74)</f>
        <v>12152</v>
      </c>
      <c r="C74" s="75">
        <f>SUM('Raw Data (KG)'!E74:F74)</f>
        <v>523</v>
      </c>
      <c r="D74" s="73">
        <f>SUM('Raw Data (KG)'!G74:V74)</f>
        <v>42357.107000000004</v>
      </c>
      <c r="E74" s="75">
        <f>'Raw Data (KG)'!W74</f>
        <v>1388</v>
      </c>
      <c r="F74" s="76">
        <f>'Raw Food Data (KG)'!Q35</f>
        <v>19566</v>
      </c>
      <c r="G74" s="75">
        <f>'Raw Data (KG)'!R74</f>
        <v>0</v>
      </c>
      <c r="H74" s="75">
        <f>'Raw Data (KG)'!S74</f>
        <v>0</v>
      </c>
      <c r="I74" s="77">
        <f>'Raw Data (KG)'!Q74</f>
        <v>19200</v>
      </c>
      <c r="J74" s="75">
        <f>'Raw Data (KG)'!P74</f>
        <v>0</v>
      </c>
      <c r="K74" s="74">
        <f>'Raw Data (KG)'!H74+SUM('Raw Data (KG)'!J74:K74)+SUM('Raw Data (KG)'!M74:O74)+'Raw Data (KG)'!T74</f>
        <v>95.106999999999999</v>
      </c>
      <c r="L74" s="72">
        <f t="shared" si="2"/>
        <v>95281.214000000007</v>
      </c>
      <c r="M74" s="91"/>
      <c r="N74" s="12"/>
      <c r="O74" s="12"/>
      <c r="P74" s="12"/>
    </row>
    <row r="75" spans="1:16" s="13" customFormat="1" x14ac:dyDescent="0.2">
      <c r="A75" s="68">
        <v>43678</v>
      </c>
      <c r="B75" s="75">
        <f>SUM('Raw Data (KG)'!D75:D75)</f>
        <v>5646</v>
      </c>
      <c r="C75" s="75">
        <f>SUM('Raw Data (KG)'!E75:F75)</f>
        <v>318</v>
      </c>
      <c r="D75" s="73">
        <f>SUM('Raw Data (KG)'!G75:V75)</f>
        <v>54666.299999999996</v>
      </c>
      <c r="E75" s="75">
        <f>'Raw Data (KG)'!W75</f>
        <v>2411</v>
      </c>
      <c r="F75" s="76">
        <f>'Raw Food Data (KG)'!Q36</f>
        <v>24598</v>
      </c>
      <c r="G75" s="75">
        <f>'Raw Data (KG)'!R75</f>
        <v>0</v>
      </c>
      <c r="H75" s="75">
        <f>'Raw Data (KG)'!S75</f>
        <v>0</v>
      </c>
      <c r="I75" s="77">
        <f>'Raw Data (KG)'!Q75</f>
        <v>25600</v>
      </c>
      <c r="J75" s="75">
        <f>'Raw Data (KG)'!P75</f>
        <v>0</v>
      </c>
      <c r="K75" s="74">
        <f>'Raw Data (KG)'!H75+SUM('Raw Data (KG)'!J75:K75)+SUM('Raw Data (KG)'!M75:O75)+'Raw Data (KG)'!T75</f>
        <v>0</v>
      </c>
      <c r="L75" s="72">
        <f t="shared" si="2"/>
        <v>113239.29999999999</v>
      </c>
      <c r="M75" s="91"/>
      <c r="N75" s="12"/>
      <c r="O75" s="12"/>
      <c r="P75" s="12"/>
    </row>
    <row r="76" spans="1:16" s="13" customFormat="1" x14ac:dyDescent="0.2">
      <c r="A76" s="68">
        <v>43709</v>
      </c>
      <c r="B76" s="75">
        <f>SUM('Raw Data (KG)'!D76:D76)</f>
        <v>10805</v>
      </c>
      <c r="C76" s="75">
        <f>SUM('Raw Data (KG)'!E76:F76)</f>
        <v>252</v>
      </c>
      <c r="D76" s="73">
        <f>SUM('Raw Data (KG)'!G76:V76)</f>
        <v>96406.28899999999</v>
      </c>
      <c r="E76" s="75">
        <f>'Raw Data (KG)'!W76</f>
        <v>2352</v>
      </c>
      <c r="F76" s="76">
        <f>'Raw Food Data (KG)'!Q37</f>
        <v>34879.5</v>
      </c>
      <c r="G76" s="75">
        <f>'Raw Data (KG)'!R76</f>
        <v>10560</v>
      </c>
      <c r="H76" s="75">
        <f>'Raw Data (KG)'!S76</f>
        <v>17500</v>
      </c>
      <c r="I76" s="77">
        <f>'Raw Data (KG)'!Q76</f>
        <v>24100</v>
      </c>
      <c r="J76" s="75">
        <f>'Raw Data (KG)'!P76</f>
        <v>852</v>
      </c>
      <c r="K76" s="74">
        <f>'Raw Data (KG)'!H76+SUM('Raw Data (KG)'!J76:K76)+SUM('Raw Data (KG)'!M76:O76)+'Raw Data (KG)'!T76</f>
        <v>71.13900000000001</v>
      </c>
      <c r="L76" s="72">
        <f t="shared" si="2"/>
        <v>197777.92799999999</v>
      </c>
      <c r="M76" s="91"/>
      <c r="N76" s="12"/>
      <c r="O76" s="12"/>
      <c r="P76" s="12"/>
    </row>
    <row r="77" spans="1:16" s="13" customFormat="1" x14ac:dyDescent="0.2">
      <c r="A77" s="68">
        <v>43739</v>
      </c>
      <c r="B77" s="75">
        <f>SUM('Raw Data (KG)'!D77:D77)</f>
        <v>14330</v>
      </c>
      <c r="C77" s="75">
        <f>SUM('Raw Data (KG)'!E77:F77)</f>
        <v>286</v>
      </c>
      <c r="D77" s="73">
        <f>SUM('Raw Data (KG)'!G77:V77)</f>
        <v>74453.78</v>
      </c>
      <c r="E77" s="75">
        <f>'Raw Data (KG)'!W77</f>
        <v>2259</v>
      </c>
      <c r="F77" s="76">
        <f>'Raw Food Data (KG)'!Q38</f>
        <v>37724</v>
      </c>
      <c r="G77" s="75">
        <f>'Raw Data (KG)'!R77</f>
        <v>10560</v>
      </c>
      <c r="H77" s="75">
        <f>'Raw Data (KG)'!S77</f>
        <v>10500</v>
      </c>
      <c r="I77" s="77">
        <f>'Raw Data (KG)'!Q77</f>
        <v>14400</v>
      </c>
      <c r="J77" s="75">
        <f>'Raw Data (KG)'!P77</f>
        <v>0</v>
      </c>
      <c r="K77" s="74">
        <f>'Raw Data (KG)'!H77+SUM('Raw Data (KG)'!J77:K77)+SUM('Raw Data (KG)'!M77:O77)+'Raw Data (KG)'!T77</f>
        <v>95.78</v>
      </c>
      <c r="L77" s="72">
        <f t="shared" si="2"/>
        <v>164608.56</v>
      </c>
      <c r="M77" s="91"/>
      <c r="N77" s="12"/>
      <c r="O77" s="12"/>
      <c r="P77" s="12"/>
    </row>
    <row r="78" spans="1:16" s="13" customFormat="1" x14ac:dyDescent="0.2">
      <c r="A78" s="68">
        <v>43770</v>
      </c>
      <c r="B78" s="75">
        <f>SUM('Raw Data (KG)'!D78:D78)</f>
        <v>12030</v>
      </c>
      <c r="C78" s="75">
        <f>SUM('Raw Data (KG)'!E78:F78)</f>
        <v>327</v>
      </c>
      <c r="D78" s="73">
        <f>SUM('Raw Data (KG)'!G78:V78)</f>
        <v>65085.5</v>
      </c>
      <c r="E78" s="75">
        <f>'Raw Data (KG)'!W78</f>
        <v>542</v>
      </c>
      <c r="F78" s="76">
        <f>'Raw Food Data (KG)'!Q39</f>
        <v>27265.5</v>
      </c>
      <c r="G78" s="75">
        <f>'Raw Data (KG)'!R78</f>
        <v>10240</v>
      </c>
      <c r="H78" s="75">
        <f>'Raw Data (KG)'!S78</f>
        <v>14000</v>
      </c>
      <c r="I78" s="77">
        <f>'Raw Data (KG)'!Q78</f>
        <v>10500</v>
      </c>
      <c r="J78" s="75">
        <f>'Raw Data (KG)'!P78</f>
        <v>0</v>
      </c>
      <c r="K78" s="74">
        <f>'Raw Data (KG)'!H78+SUM('Raw Data (KG)'!J78:K78)+SUM('Raw Data (KG)'!M78:O78)+'Raw Data (KG)'!T78</f>
        <v>67.050000000000011</v>
      </c>
      <c r="L78" s="72">
        <f t="shared" si="2"/>
        <v>140057.04999999999</v>
      </c>
      <c r="M78" s="91"/>
      <c r="N78" s="12"/>
      <c r="O78" s="12"/>
      <c r="P78" s="12"/>
    </row>
    <row r="79" spans="1:16" s="13" customFormat="1" x14ac:dyDescent="0.2">
      <c r="A79" s="68">
        <v>43800</v>
      </c>
      <c r="B79" s="75">
        <f>SUM('Raw Data (KG)'!D79:D79)</f>
        <v>13715</v>
      </c>
      <c r="C79" s="75">
        <f>SUM('Raw Data (KG)'!E79:F79)</f>
        <v>291</v>
      </c>
      <c r="D79" s="73">
        <f>SUM('Raw Data (KG)'!G79:V79)</f>
        <v>76045.5</v>
      </c>
      <c r="E79" s="75">
        <f>'Raw Data (KG)'!W79</f>
        <v>874</v>
      </c>
      <c r="F79" s="76">
        <f>'Raw Food Data (KG)'!Q40</f>
        <v>28071.5</v>
      </c>
      <c r="G79" s="75">
        <f>'Raw Data (KG)'!R79</f>
        <v>10240</v>
      </c>
      <c r="H79" s="75">
        <f>'Raw Data (KG)'!S79</f>
        <v>24500</v>
      </c>
      <c r="I79" s="77">
        <f>'Raw Data (KG)'!Q79</f>
        <v>10100</v>
      </c>
      <c r="J79" s="75">
        <f>'Raw Data (KG)'!P79</f>
        <v>1746.5</v>
      </c>
      <c r="K79" s="74">
        <f>'Raw Data (KG)'!H79+SUM('Raw Data (KG)'!J79:K79)+SUM('Raw Data (KG)'!M79:O79)+'Raw Data (KG)'!T79</f>
        <v>55.150000000000006</v>
      </c>
      <c r="L79" s="72">
        <f t="shared" si="2"/>
        <v>165638.65</v>
      </c>
      <c r="M79" s="91"/>
      <c r="N79" s="12"/>
      <c r="O79" s="12"/>
      <c r="P79" s="12"/>
    </row>
    <row r="80" spans="1:16" s="13" customFormat="1" x14ac:dyDescent="0.2">
      <c r="A80" s="68">
        <v>43831</v>
      </c>
      <c r="B80" s="75">
        <f>SUM('Raw Data (KG)'!D80:D80)</f>
        <v>12753</v>
      </c>
      <c r="C80" s="75">
        <f>SUM('Raw Data (KG)'!E80:F80)</f>
        <v>294</v>
      </c>
      <c r="D80" s="73">
        <f>SUM('Raw Data (KG)'!G80:V80)</f>
        <v>62469.35</v>
      </c>
      <c r="E80" s="75">
        <f>'Raw Data (KG)'!W80</f>
        <v>0</v>
      </c>
      <c r="F80" s="76">
        <f>'Raw Food Data (KG)'!Q41</f>
        <v>23781.5</v>
      </c>
      <c r="G80" s="75">
        <f>'Raw Data (KG)'!R80</f>
        <v>5120</v>
      </c>
      <c r="H80" s="75">
        <f>'Raw Data (KG)'!S80</f>
        <v>21000</v>
      </c>
      <c r="I80" s="77">
        <f>'Raw Data (KG)'!Q80</f>
        <v>11200</v>
      </c>
      <c r="J80" s="75">
        <f>'Raw Data (KG)'!P80</f>
        <v>0</v>
      </c>
      <c r="K80" s="74">
        <f>'Raw Data (KG)'!H80+SUM('Raw Data (KG)'!J80:K80)+SUM('Raw Data (KG)'!M80:O80)+'Raw Data (KG)'!T80</f>
        <v>0</v>
      </c>
      <c r="L80" s="72">
        <f t="shared" si="2"/>
        <v>136617.85</v>
      </c>
      <c r="M80" s="91"/>
      <c r="N80" s="12"/>
      <c r="O80" s="12"/>
      <c r="P80" s="12"/>
    </row>
    <row r="81" spans="1:16" s="13" customFormat="1" x14ac:dyDescent="0.2">
      <c r="A81" s="68">
        <v>43862</v>
      </c>
      <c r="B81" s="75">
        <f>SUM('Raw Data (KG)'!D81:D81)</f>
        <v>7410</v>
      </c>
      <c r="C81" s="75">
        <f>SUM('Raw Data (KG)'!E81:F81)</f>
        <v>220</v>
      </c>
      <c r="D81" s="73">
        <f>SUM('Raw Data (KG)'!G81:V81)</f>
        <v>47255.4</v>
      </c>
      <c r="E81" s="75">
        <f>'Raw Data (KG)'!W81</f>
        <v>0</v>
      </c>
      <c r="F81" s="76">
        <f>'Raw Food Data (KG)'!Q42</f>
        <v>11633.5</v>
      </c>
      <c r="G81" s="75">
        <f>'Raw Data (KG)'!R81</f>
        <v>6400</v>
      </c>
      <c r="H81" s="75">
        <f>'Raw Data (KG)'!S81</f>
        <v>21000</v>
      </c>
      <c r="I81" s="77">
        <f>'Raw Data (KG)'!Q81</f>
        <v>7900</v>
      </c>
      <c r="J81" s="75">
        <f>'Raw Data (KG)'!P81</f>
        <v>0</v>
      </c>
      <c r="K81" s="74">
        <f>'Raw Data (KG)'!H81+SUM('Raw Data (KG)'!J81:K81)+SUM('Raw Data (KG)'!M81:O81)+'Raw Data (KG)'!T81</f>
        <v>0</v>
      </c>
      <c r="L81" s="72">
        <f t="shared" si="2"/>
        <v>101818.9</v>
      </c>
      <c r="M81" s="91"/>
      <c r="N81" s="12"/>
      <c r="O81" s="12"/>
      <c r="P81" s="12"/>
    </row>
    <row r="82" spans="1:16" s="13" customFormat="1" x14ac:dyDescent="0.2">
      <c r="A82" s="68">
        <v>43891</v>
      </c>
      <c r="B82" s="75">
        <f>SUM('Raw Data (KG)'!D82:D82)</f>
        <v>10071</v>
      </c>
      <c r="C82" s="75">
        <f>SUM('Raw Data (KG)'!E82:F82)</f>
        <v>288</v>
      </c>
      <c r="D82" s="73">
        <f>SUM('Raw Data (KG)'!G82:V82)</f>
        <v>50210.6</v>
      </c>
      <c r="E82" s="75">
        <f>'Raw Data (KG)'!W82</f>
        <v>1020</v>
      </c>
      <c r="F82" s="76">
        <f>'Raw Food Data (KG)'!Q43</f>
        <v>13782.5</v>
      </c>
      <c r="G82" s="75">
        <f>'Raw Data (KG)'!R82</f>
        <v>4800</v>
      </c>
      <c r="H82" s="75">
        <f>'Raw Data (KG)'!S82</f>
        <v>21000</v>
      </c>
      <c r="I82" s="77">
        <f>'Raw Data (KG)'!Q82</f>
        <v>10000</v>
      </c>
      <c r="J82" s="75">
        <f>'Raw Data (KG)'!P82</f>
        <v>0</v>
      </c>
      <c r="K82" s="74">
        <f>'Raw Data (KG)'!H82+SUM('Raw Data (KG)'!J82:K82)+SUM('Raw Data (KG)'!M82:O82)+'Raw Data (KG)'!T82</f>
        <v>0</v>
      </c>
      <c r="L82" s="72">
        <f t="shared" si="2"/>
        <v>111172.1</v>
      </c>
      <c r="M82" s="91"/>
      <c r="N82" s="12"/>
      <c r="O82" s="12"/>
      <c r="P82" s="12"/>
    </row>
    <row r="83" spans="1:16" s="13" customFormat="1" x14ac:dyDescent="0.2">
      <c r="A83" s="68">
        <v>43922</v>
      </c>
      <c r="B83" s="75">
        <f>SUM('Raw Data (KG)'!D83:D83)</f>
        <v>8981</v>
      </c>
      <c r="C83" s="75">
        <f>SUM('Raw Data (KG)'!E83:F83)</f>
        <v>281</v>
      </c>
      <c r="D83" s="73">
        <f>SUM('Raw Data (KG)'!G83:V83)</f>
        <v>46873</v>
      </c>
      <c r="E83" s="75">
        <f>'Raw Data (KG)'!W83</f>
        <v>0</v>
      </c>
      <c r="F83" s="76">
        <f>'Raw Food Data (KG)'!Q44</f>
        <v>11779</v>
      </c>
      <c r="G83" s="75">
        <f>'Raw Data (KG)'!R83</f>
        <v>4800</v>
      </c>
      <c r="H83" s="75">
        <f>'Raw Data (KG)'!S83</f>
        <v>24500</v>
      </c>
      <c r="I83" s="77">
        <f>'Raw Data (KG)'!Q83</f>
        <v>5200</v>
      </c>
      <c r="J83" s="75">
        <f>'Raw Data (KG)'!P83</f>
        <v>0</v>
      </c>
      <c r="K83" s="74">
        <f>'Raw Data (KG)'!H83+SUM('Raw Data (KG)'!J83:K83)+SUM('Raw Data (KG)'!M83:O83)+'Raw Data (KG)'!T83</f>
        <v>0</v>
      </c>
      <c r="L83" s="72">
        <f t="shared" si="2"/>
        <v>102414</v>
      </c>
      <c r="M83" s="91"/>
      <c r="N83" s="12"/>
      <c r="O83" s="12"/>
      <c r="P83" s="12"/>
    </row>
    <row r="84" spans="1:16" s="13" customFormat="1" x14ac:dyDescent="0.2">
      <c r="A84" s="68">
        <v>43952</v>
      </c>
      <c r="B84" s="75">
        <f>SUM('Raw Data (KG)'!D84:D84)</f>
        <v>9906</v>
      </c>
      <c r="C84" s="75">
        <f>SUM('Raw Data (KG)'!E84:F84)</f>
        <v>1819</v>
      </c>
      <c r="D84" s="73">
        <f>SUM('Raw Data (KG)'!G84:V84)</f>
        <v>63892.188999999998</v>
      </c>
      <c r="E84" s="75">
        <f>'Raw Data (KG)'!W84</f>
        <v>863</v>
      </c>
      <c r="F84" s="76">
        <f>'Raw Food Data (KG)'!Q45</f>
        <v>15765</v>
      </c>
      <c r="G84" s="75">
        <f>'Raw Data (KG)'!R84</f>
        <v>6400</v>
      </c>
      <c r="H84" s="75">
        <f>'Raw Data (KG)'!S84</f>
        <v>28000</v>
      </c>
      <c r="I84" s="77">
        <f>'Raw Data (KG)'!Q84</f>
        <v>11500</v>
      </c>
      <c r="J84" s="75">
        <f>'Raw Data (KG)'!P84</f>
        <v>729</v>
      </c>
      <c r="K84" s="74">
        <f>'Raw Data (KG)'!H84+SUM('Raw Data (KG)'!J84:K84)+SUM('Raw Data (KG)'!M84:O84)+'Raw Data (KG)'!T84</f>
        <v>120.03900000000002</v>
      </c>
      <c r="L84" s="72">
        <f t="shared" si="2"/>
        <v>138994.228</v>
      </c>
      <c r="M84" s="91"/>
      <c r="N84" s="12"/>
      <c r="O84" s="12"/>
      <c r="P84" s="12"/>
    </row>
    <row r="85" spans="1:16" s="13" customFormat="1" x14ac:dyDescent="0.2">
      <c r="A85" s="68">
        <v>43983</v>
      </c>
      <c r="B85" s="75">
        <f>SUM('Raw Data (KG)'!D85:D85)</f>
        <v>12620</v>
      </c>
      <c r="C85" s="75">
        <f>SUM('Raw Data (KG)'!E85:F85)</f>
        <v>2352</v>
      </c>
      <c r="D85" s="73">
        <f>SUM('Raw Data (KG)'!G85:V85)</f>
        <v>63949.62</v>
      </c>
      <c r="E85" s="75">
        <f>'Raw Data (KG)'!W85</f>
        <v>982</v>
      </c>
      <c r="F85" s="76">
        <f>'Raw Food Data (KG)'!Q46</f>
        <v>20002.000000000004</v>
      </c>
      <c r="G85" s="75">
        <f>'Raw Data (KG)'!R85</f>
        <v>6400</v>
      </c>
      <c r="H85" s="75">
        <f>'Raw Data (KG)'!S85</f>
        <v>28000</v>
      </c>
      <c r="I85" s="77">
        <f>'Raw Data (KG)'!Q85</f>
        <v>7200</v>
      </c>
      <c r="J85" s="75">
        <f>'Raw Data (KG)'!P85</f>
        <v>1045.5</v>
      </c>
      <c r="K85" s="74">
        <f>'Raw Data (KG)'!H85+SUM('Raw Data (KG)'!J85:K85)+SUM('Raw Data (KG)'!M85:O85)+'Raw Data (KG)'!T85</f>
        <v>178.02</v>
      </c>
      <c r="L85" s="72">
        <f t="shared" si="2"/>
        <v>142729.13999999998</v>
      </c>
      <c r="M85" s="150">
        <f>SUM(L74:L85)</f>
        <v>1610348.9199999997</v>
      </c>
      <c r="N85" s="12"/>
      <c r="O85" s="12"/>
      <c r="P85" s="12"/>
    </row>
    <row r="86" spans="1:16" x14ac:dyDescent="0.2">
      <c r="A86" s="68">
        <v>44013</v>
      </c>
      <c r="B86" s="9">
        <f>SUM('Raw Data (KG)'!D86:D86)</f>
        <v>12224</v>
      </c>
      <c r="C86" s="9">
        <f>SUM('Raw Data (KG)'!E86:F86)</f>
        <v>1566</v>
      </c>
      <c r="D86" s="8">
        <f>SUM('Raw Data (KG)'!G86:V86)</f>
        <v>60618.051000000007</v>
      </c>
      <c r="E86" s="9">
        <f>'Raw Data (KG)'!W86</f>
        <v>0</v>
      </c>
      <c r="F86" s="7">
        <f>'Raw Food Data (KG)'!Q47</f>
        <v>24809</v>
      </c>
      <c r="G86" s="9">
        <f>'Raw Data (KG)'!R86</f>
        <v>4800</v>
      </c>
      <c r="H86" s="9">
        <f>'Raw Data (KG)'!S86</f>
        <v>17500</v>
      </c>
      <c r="I86" s="352">
        <f>'Raw Data (KG)'!Q86</f>
        <v>12300</v>
      </c>
      <c r="J86" s="9">
        <f>'Raw Data (KG)'!P86</f>
        <v>0</v>
      </c>
      <c r="K86" s="62">
        <f>'Raw Data (KG)'!H86+SUM('Raw Data (KG)'!J86:K86)+SUM('Raw Data (KG)'!M86:O86)+'Raw Data (KG)'!T86</f>
        <v>148.251</v>
      </c>
      <c r="L86" s="15">
        <f t="shared" si="2"/>
        <v>133965.302</v>
      </c>
    </row>
    <row r="87" spans="1:16" x14ac:dyDescent="0.2">
      <c r="A87" s="68">
        <v>44044</v>
      </c>
      <c r="B87" s="9">
        <f>SUM('Raw Data (KG)'!D87:D87)</f>
        <v>11764</v>
      </c>
      <c r="C87" s="9">
        <f>SUM('Raw Data (KG)'!E87:F87)</f>
        <v>1981</v>
      </c>
      <c r="D87" s="8">
        <f>SUM('Raw Data (KG)'!G87:V87)</f>
        <v>66638.149999999994</v>
      </c>
      <c r="E87" s="9">
        <f>'Raw Data (KG)'!W87</f>
        <v>734</v>
      </c>
      <c r="F87" s="7">
        <f>'Raw Food Data (KG)'!Q48</f>
        <v>23143</v>
      </c>
      <c r="G87" s="9">
        <f>'Raw Data (KG)'!R87</f>
        <v>4800</v>
      </c>
      <c r="H87" s="9">
        <f>'Raw Data (KG)'!S87</f>
        <v>24000</v>
      </c>
      <c r="I87" s="352">
        <f>'Raw Data (KG)'!Q87</f>
        <v>12400</v>
      </c>
      <c r="J87" s="9">
        <f>'Raw Data (KG)'!P87</f>
        <v>1080</v>
      </c>
      <c r="K87" s="62">
        <f>'Raw Data (KG)'!H87+SUM('Raw Data (KG)'!J87:K87)+SUM('Raw Data (KG)'!M87:O87)+'Raw Data (KG)'!T87</f>
        <v>0</v>
      </c>
      <c r="L87" s="15">
        <f t="shared" si="2"/>
        <v>146540.15</v>
      </c>
    </row>
    <row r="88" spans="1:16" x14ac:dyDescent="0.2">
      <c r="A88" s="68">
        <v>44075</v>
      </c>
      <c r="B88" s="9">
        <f>SUM('Raw Data (KG)'!D88:D88)</f>
        <v>12331</v>
      </c>
      <c r="C88" s="9">
        <f>SUM('Raw Data (KG)'!E88:F88)</f>
        <v>371</v>
      </c>
      <c r="D88" s="8">
        <f>SUM('Raw Data (KG)'!G88:V88)</f>
        <v>69057.948999999993</v>
      </c>
      <c r="E88" s="9">
        <f>'Raw Data (KG)'!W88</f>
        <v>643</v>
      </c>
      <c r="F88" s="7">
        <f>'Raw Food Data (KG)'!Q49</f>
        <v>28611</v>
      </c>
      <c r="G88" s="9">
        <f>'Raw Data (KG)'!R88</f>
        <v>6400</v>
      </c>
      <c r="H88" s="9">
        <f>'Raw Data (KG)'!S88</f>
        <v>21000</v>
      </c>
      <c r="I88" s="352">
        <f>'Raw Data (KG)'!Q88</f>
        <v>10400</v>
      </c>
      <c r="J88" s="9">
        <f>'Raw Data (KG)'!P88</f>
        <v>0</v>
      </c>
      <c r="K88" s="62">
        <f>'Raw Data (KG)'!H88+SUM('Raw Data (KG)'!J88:K88)+SUM('Raw Data (KG)'!M88:O88)+'Raw Data (KG)'!T88</f>
        <v>83.199000000000012</v>
      </c>
      <c r="L88" s="15">
        <f t="shared" si="2"/>
        <v>148897.14799999999</v>
      </c>
    </row>
    <row r="89" spans="1:16" x14ac:dyDescent="0.2">
      <c r="A89" s="68">
        <v>44105</v>
      </c>
      <c r="B89" s="9">
        <f>SUM('Raw Data (KG)'!D89:D89)</f>
        <v>13196</v>
      </c>
      <c r="C89" s="9">
        <f>SUM('Raw Data (KG)'!E89:F89)</f>
        <v>345</v>
      </c>
      <c r="D89" s="8">
        <f>SUM('Raw Data (KG)'!G89:V89)</f>
        <v>74682.319999999992</v>
      </c>
      <c r="E89" s="9">
        <f>'Raw Data (KG)'!W89</f>
        <v>971</v>
      </c>
      <c r="F89" s="7">
        <f>'Raw Food Data (KG)'!Q50</f>
        <v>31009</v>
      </c>
      <c r="G89" s="9">
        <f>'Raw Data (KG)'!R89</f>
        <v>4800</v>
      </c>
      <c r="H89" s="9">
        <f>'Raw Data (KG)'!S89</f>
        <v>24500</v>
      </c>
      <c r="I89" s="352">
        <f>'Raw Data (KG)'!Q89</f>
        <v>12200</v>
      </c>
      <c r="J89" s="9">
        <f>'Raw Data (KG)'!P89</f>
        <v>792</v>
      </c>
      <c r="K89" s="62">
        <f>'Raw Data (KG)'!H89+SUM('Raw Data (KG)'!J89:K89)+SUM('Raw Data (KG)'!M89:O89)+'Raw Data (KG)'!T89</f>
        <v>57.620000000000005</v>
      </c>
      <c r="L89" s="15">
        <f t="shared" si="2"/>
        <v>162552.94</v>
      </c>
    </row>
    <row r="90" spans="1:16" x14ac:dyDescent="0.2">
      <c r="A90" s="68">
        <v>44136</v>
      </c>
      <c r="B90" s="9">
        <f>SUM('Raw Data (KG)'!D90:D90)</f>
        <v>11978</v>
      </c>
      <c r="C90" s="9">
        <f>SUM('Raw Data (KG)'!E90:F90)</f>
        <v>421</v>
      </c>
      <c r="D90" s="8">
        <f>SUM('Raw Data (KG)'!G90:V90)</f>
        <v>75092.364000000001</v>
      </c>
      <c r="E90" s="9">
        <f>'Raw Data (KG)'!W90</f>
        <v>781</v>
      </c>
      <c r="F90" s="7">
        <f>'Raw Food Data (KG)'!Q51</f>
        <v>34289</v>
      </c>
      <c r="G90" s="9">
        <f>'Raw Data (KG)'!R90</f>
        <v>3200</v>
      </c>
      <c r="H90" s="9">
        <f>'Raw Data (KG)'!S90</f>
        <v>21000</v>
      </c>
      <c r="I90" s="352">
        <f>'Raw Data (KG)'!Q90</f>
        <v>13500</v>
      </c>
      <c r="J90" s="9">
        <f>'Raw Data (KG)'!P90</f>
        <v>1427</v>
      </c>
      <c r="K90" s="62">
        <f>'Raw Data (KG)'!H90+SUM('Raw Data (KG)'!J90:K90)+SUM('Raw Data (KG)'!M90:O90)+'Raw Data (KG)'!T90</f>
        <v>84.213999999999999</v>
      </c>
      <c r="L90" s="15">
        <f t="shared" si="2"/>
        <v>161772.57800000001</v>
      </c>
    </row>
    <row r="91" spans="1:16" x14ac:dyDescent="0.2">
      <c r="A91" s="68">
        <v>44166</v>
      </c>
      <c r="B91" s="9">
        <f>SUM('Raw Data (KG)'!D91:D91)</f>
        <v>11422</v>
      </c>
      <c r="C91" s="9">
        <f>SUM('Raw Data (KG)'!E91:F91)</f>
        <v>407</v>
      </c>
      <c r="D91" s="8">
        <f>SUM('Raw Data (KG)'!G91:V91)</f>
        <v>62971.978000000003</v>
      </c>
      <c r="E91" s="9">
        <f>'Raw Data (KG)'!W91</f>
        <v>971</v>
      </c>
      <c r="F91" s="7">
        <f>'Raw Food Data (KG)'!Q52</f>
        <v>33360</v>
      </c>
      <c r="G91" s="9">
        <f>'Raw Data (KG)'!R91</f>
        <v>3200</v>
      </c>
      <c r="H91" s="9">
        <f>'Raw Data (KG)'!S91</f>
        <v>10500</v>
      </c>
      <c r="I91" s="352">
        <f>'Raw Data (KG)'!Q91</f>
        <v>14600</v>
      </c>
      <c r="J91" s="9">
        <f>'Raw Data (KG)'!P91</f>
        <v>0</v>
      </c>
      <c r="K91" s="62">
        <f>'Raw Data (KG)'!H91+SUM('Raw Data (KG)'!J91:K91)+SUM('Raw Data (KG)'!M91:O91)+'Raw Data (KG)'!T91</f>
        <v>67.927999999999997</v>
      </c>
      <c r="L91" s="15">
        <f t="shared" si="2"/>
        <v>137499.90600000002</v>
      </c>
    </row>
    <row r="92" spans="1:16" x14ac:dyDescent="0.2">
      <c r="A92" s="68">
        <v>44197</v>
      </c>
      <c r="B92" s="9">
        <f>SUM('Raw Data (KG)'!D92:D92)</f>
        <v>12557</v>
      </c>
      <c r="C92" s="9">
        <f>SUM('Raw Data (KG)'!E92:F92)</f>
        <v>344</v>
      </c>
      <c r="D92" s="8">
        <f>SUM('Raw Data (KG)'!G92:V92)</f>
        <v>80676.23</v>
      </c>
      <c r="E92" s="9">
        <f>'Raw Data (KG)'!W92</f>
        <v>1544</v>
      </c>
      <c r="F92" s="7">
        <f>'Raw Food Data (KG)'!Q53</f>
        <v>33517</v>
      </c>
      <c r="G92" s="9">
        <f>'Raw Data (KG)'!R92</f>
        <v>3200</v>
      </c>
      <c r="H92" s="9">
        <f>'Raw Data (KG)'!S92</f>
        <v>24500</v>
      </c>
      <c r="I92" s="352">
        <f>'Raw Data (KG)'!Q92</f>
        <v>18700</v>
      </c>
      <c r="J92" s="9">
        <f>'Raw Data (KG)'!P92</f>
        <v>0</v>
      </c>
      <c r="K92" s="62">
        <f>'Raw Data (KG)'!H92+SUM('Raw Data (KG)'!J92:K92)+SUM('Raw Data (KG)'!M92:O92)+'Raw Data (KG)'!T92</f>
        <v>79.680000000000007</v>
      </c>
      <c r="L92" s="15">
        <f t="shared" si="2"/>
        <v>175117.90999999997</v>
      </c>
    </row>
    <row r="93" spans="1:16" x14ac:dyDescent="0.2">
      <c r="A93" s="68">
        <v>44228</v>
      </c>
      <c r="B93" s="9">
        <f>SUM('Raw Data (KG)'!D93:D93)</f>
        <v>11838</v>
      </c>
      <c r="C93" s="9">
        <f>SUM('Raw Data (KG)'!E93:F93)</f>
        <v>1790</v>
      </c>
      <c r="D93" s="8">
        <f>SUM('Raw Data (KG)'!G93:V93)</f>
        <v>55565.461000000003</v>
      </c>
      <c r="E93" s="9">
        <f>'Raw Data (KG)'!W93</f>
        <v>0</v>
      </c>
      <c r="F93" s="7">
        <f>'Raw Food Data (KG)'!Q54</f>
        <v>29468</v>
      </c>
      <c r="G93" s="9">
        <f>'Raw Data (KG)'!R93</f>
        <v>4800</v>
      </c>
      <c r="H93" s="9">
        <f>'Raw Data (KG)'!S93</f>
        <v>14000</v>
      </c>
      <c r="I93" s="352">
        <f>'Raw Data (KG)'!Q93</f>
        <v>6000</v>
      </c>
      <c r="J93" s="9">
        <f>'Raw Data (KG)'!P93</f>
        <v>652.5</v>
      </c>
      <c r="K93" s="62">
        <f>'Raw Data (KG)'!H93+SUM('Raw Data (KG)'!J93:K93)+SUM('Raw Data (KG)'!M93:O93)+'Raw Data (KG)'!T93</f>
        <v>3.911</v>
      </c>
      <c r="L93" s="15">
        <f t="shared" si="2"/>
        <v>124117.872</v>
      </c>
    </row>
    <row r="94" spans="1:16" x14ac:dyDescent="0.2">
      <c r="A94" s="68">
        <v>44256</v>
      </c>
      <c r="B94" s="9">
        <f>SUM('Raw Data (KG)'!D94:D94)</f>
        <v>14191</v>
      </c>
      <c r="C94" s="9">
        <f>SUM('Raw Data (KG)'!E94:F94)</f>
        <v>341</v>
      </c>
      <c r="D94" s="8">
        <f>SUM('Raw Data (KG)'!G94:V94)</f>
        <v>76888.663</v>
      </c>
      <c r="E94" s="9">
        <f>'Raw Data (KG)'!W94</f>
        <v>758</v>
      </c>
      <c r="F94" s="7">
        <f>'Raw Food Data (KG)'!Q55</f>
        <v>35447</v>
      </c>
      <c r="G94" s="9">
        <f>'Raw Data (KG)'!R94</f>
        <v>8000</v>
      </c>
      <c r="H94" s="9">
        <f>'Raw Data (KG)'!S94</f>
        <v>17500</v>
      </c>
      <c r="I94" s="352">
        <f>'Raw Data (KG)'!Q94</f>
        <v>14700</v>
      </c>
      <c r="J94" s="9">
        <f>'Raw Data (KG)'!P94</f>
        <v>0</v>
      </c>
      <c r="K94" s="62">
        <f>'Raw Data (KG)'!H94+SUM('Raw Data (KG)'!J94:K94)+SUM('Raw Data (KG)'!M94:O94)+'Raw Data (KG)'!T94</f>
        <v>78.063000000000002</v>
      </c>
      <c r="L94" s="15">
        <f t="shared" si="2"/>
        <v>167903.726</v>
      </c>
    </row>
    <row r="95" spans="1:16" x14ac:dyDescent="0.2">
      <c r="A95" s="68">
        <v>44287</v>
      </c>
      <c r="B95" s="9">
        <f>SUM('Raw Data (KG)'!D95:D95)</f>
        <v>12749</v>
      </c>
      <c r="C95" s="9">
        <f>SUM('Raw Data (KG)'!E95:F95)</f>
        <v>1351</v>
      </c>
      <c r="D95" s="8">
        <f>SUM('Raw Data (KG)'!G95:V95)</f>
        <v>83742.706000000006</v>
      </c>
      <c r="E95" s="9">
        <f>'Raw Data (KG)'!W95</f>
        <v>0</v>
      </c>
      <c r="F95" s="7">
        <f>'Raw Food Data (KG)'!Q56</f>
        <v>43497</v>
      </c>
      <c r="G95" s="9">
        <f>'Raw Data (KG)'!R95</f>
        <v>4800</v>
      </c>
      <c r="H95" s="9">
        <f>'Raw Data (KG)'!S95</f>
        <v>14000</v>
      </c>
      <c r="I95" s="352">
        <f>'Raw Data (KG)'!Q95</f>
        <v>20500</v>
      </c>
      <c r="J95" s="9">
        <f>'Raw Data (KG)'!P95</f>
        <v>0</v>
      </c>
      <c r="K95" s="62">
        <f>'Raw Data (KG)'!H95+SUM('Raw Data (KG)'!J95:K95)+SUM('Raw Data (KG)'!M95:O95)+'Raw Data (KG)'!T95</f>
        <v>120.956</v>
      </c>
      <c r="L95" s="15">
        <f t="shared" si="2"/>
        <v>180760.66200000001</v>
      </c>
    </row>
    <row r="96" spans="1:16" x14ac:dyDescent="0.2">
      <c r="A96" s="68">
        <v>44317</v>
      </c>
      <c r="B96" s="9">
        <f>SUM('Raw Data (KG)'!D96:D96)</f>
        <v>12531</v>
      </c>
      <c r="C96" s="9">
        <f>SUM('Raw Data (KG)'!E96:F96)</f>
        <v>879</v>
      </c>
      <c r="D96" s="8">
        <f>SUM('Raw Data (KG)'!G96:V96)</f>
        <v>76461.664999999994</v>
      </c>
      <c r="E96" s="9">
        <f>'Raw Data (KG)'!W96</f>
        <v>1085</v>
      </c>
      <c r="F96" s="7">
        <f>'Raw Food Data (KG)'!Q57</f>
        <v>40188</v>
      </c>
      <c r="G96" s="9">
        <f>'Raw Data (KG)'!R96</f>
        <v>6400</v>
      </c>
      <c r="H96" s="9">
        <f>'Raw Data (KG)'!S96</f>
        <v>17500</v>
      </c>
      <c r="I96" s="352">
        <f>'Raw Data (KG)'!Q96</f>
        <v>10400</v>
      </c>
      <c r="J96" s="9">
        <f>'Raw Data (KG)'!P96</f>
        <v>675</v>
      </c>
      <c r="K96" s="62">
        <f>'Raw Data (KG)'!H96+SUM('Raw Data (KG)'!J96:K96)+SUM('Raw Data (KG)'!M96:O96)+'Raw Data (KG)'!T96</f>
        <v>129.36500000000001</v>
      </c>
      <c r="L96" s="15">
        <f t="shared" si="2"/>
        <v>166249.02999999997</v>
      </c>
    </row>
    <row r="97" spans="1:13" x14ac:dyDescent="0.2">
      <c r="A97" s="68">
        <v>44348</v>
      </c>
      <c r="B97" s="9">
        <f>SUM('Raw Data (KG)'!D97:D97)</f>
        <v>13034</v>
      </c>
      <c r="C97" s="9">
        <f>SUM('Raw Data (KG)'!E97:F97)</f>
        <v>332</v>
      </c>
      <c r="D97" s="8">
        <f>SUM('Raw Data (KG)'!G97:V97)</f>
        <v>77281.968000000008</v>
      </c>
      <c r="E97" s="9">
        <f>'Raw Data (KG)'!W97</f>
        <v>908</v>
      </c>
      <c r="F97" s="7">
        <f>'Raw Food Data (KG)'!Q58</f>
        <v>35583</v>
      </c>
      <c r="G97" s="9">
        <f>'Raw Data (KG)'!R97</f>
        <v>4800</v>
      </c>
      <c r="H97" s="9">
        <f>'Raw Data (KG)'!S97</f>
        <v>24500</v>
      </c>
      <c r="I97" s="352">
        <f>'Raw Data (KG)'!Q97</f>
        <v>10400</v>
      </c>
      <c r="J97" s="9">
        <f>'Raw Data (KG)'!P97</f>
        <v>0</v>
      </c>
      <c r="K97" s="62">
        <f>'Raw Data (KG)'!H97+SUM('Raw Data (KG)'!J97:K97)+SUM('Raw Data (KG)'!M97:O97)+'Raw Data (KG)'!T97</f>
        <v>84.268000000000001</v>
      </c>
      <c r="L97" s="15">
        <f t="shared" si="2"/>
        <v>166923.236</v>
      </c>
      <c r="M97" s="15">
        <f>SUM(L86:L97)</f>
        <v>1872300.46</v>
      </c>
    </row>
    <row r="98" spans="1:13" x14ac:dyDescent="0.2">
      <c r="A98" s="68">
        <v>44378</v>
      </c>
      <c r="B98" s="75">
        <f>SUM('Raw Data (KG)'!D98:D98)</f>
        <v>12407</v>
      </c>
      <c r="C98" s="75">
        <f>SUM('Raw Data (KG)'!E98:F98)</f>
        <v>1128</v>
      </c>
      <c r="D98" s="73">
        <f>SUM('Raw Data (KG)'!G98:V98)</f>
        <v>83859.218000000008</v>
      </c>
      <c r="E98" s="75">
        <f>'Raw Data (KG)'!W98</f>
        <v>1043</v>
      </c>
      <c r="F98" s="76">
        <f>'Raw Food Data (KG)'!Q59</f>
        <v>36437</v>
      </c>
      <c r="G98" s="75">
        <f>'Raw Data (KG)'!R98</f>
        <v>8000</v>
      </c>
      <c r="H98" s="75">
        <f>'Raw Data (KG)'!S98</f>
        <v>21000</v>
      </c>
      <c r="I98" s="77">
        <f>'Raw Data (KG)'!Q98</f>
        <v>16700</v>
      </c>
      <c r="J98" s="75">
        <f>'Raw Data (KG)'!P98</f>
        <v>0</v>
      </c>
      <c r="K98" s="74">
        <f>'Raw Data (KG)'!H98+SUM('Raw Data (KG)'!J98:K98)+SUM('Raw Data (KG)'!M98:O98)+'Raw Data (KG)'!T98</f>
        <v>104.36799999999999</v>
      </c>
      <c r="L98" s="72">
        <f t="shared" ref="L98:L129" si="3">SUM(B98:K98)</f>
        <v>180678.58599999998</v>
      </c>
    </row>
    <row r="99" spans="1:13" x14ac:dyDescent="0.2">
      <c r="A99" s="68">
        <v>44409</v>
      </c>
      <c r="B99" s="75">
        <f>SUM('Raw Data (KG)'!D99:D99)</f>
        <v>14252</v>
      </c>
      <c r="C99" s="75">
        <f>SUM('Raw Data (KG)'!E99:F99)</f>
        <v>376</v>
      </c>
      <c r="D99" s="73">
        <f>SUM('Raw Data (KG)'!G99:V99)</f>
        <v>90350.093000000008</v>
      </c>
      <c r="E99" s="75">
        <f>'Raw Data (KG)'!W99</f>
        <v>0</v>
      </c>
      <c r="F99" s="76">
        <f>'Raw Food Data (KG)'!Q60</f>
        <v>33584</v>
      </c>
      <c r="G99" s="75">
        <f>'Raw Data (KG)'!R99</f>
        <v>6400</v>
      </c>
      <c r="H99" s="75">
        <f>'Raw Data (KG)'!S99</f>
        <v>35000</v>
      </c>
      <c r="I99" s="77">
        <f>'Raw Data (KG)'!Q99</f>
        <v>13700</v>
      </c>
      <c r="J99" s="75">
        <f>'Raw Data (KG)'!P99</f>
        <v>0</v>
      </c>
      <c r="K99" s="74">
        <f>'Raw Data (KG)'!H99+SUM('Raw Data (KG)'!J99:K99)+SUM('Raw Data (KG)'!M99:O99)+'Raw Data (KG)'!T99</f>
        <v>122.14300000000001</v>
      </c>
      <c r="L99" s="72">
        <f t="shared" si="3"/>
        <v>193784.236</v>
      </c>
    </row>
    <row r="100" spans="1:13" x14ac:dyDescent="0.2">
      <c r="A100" s="68">
        <v>44440</v>
      </c>
      <c r="B100" s="75">
        <f>SUM('Raw Data (KG)'!D100:D100)</f>
        <v>15030</v>
      </c>
      <c r="C100" s="75">
        <f>SUM('Raw Data (KG)'!E100:F100)</f>
        <v>902</v>
      </c>
      <c r="D100" s="73">
        <f>SUM('Raw Data (KG)'!G100:V100)</f>
        <v>80373.05</v>
      </c>
      <c r="E100" s="75">
        <f>'Raw Data (KG)'!W100</f>
        <v>1006</v>
      </c>
      <c r="F100" s="76">
        <f>'Raw Food Data (KG)'!Q61</f>
        <v>35376</v>
      </c>
      <c r="G100" s="75">
        <f>'Raw Data (KG)'!R100</f>
        <v>6400</v>
      </c>
      <c r="H100" s="75">
        <f>'Raw Data (KG)'!S100</f>
        <v>28000</v>
      </c>
      <c r="I100" s="77">
        <f>'Raw Data (KG)'!Q100</f>
        <v>9500</v>
      </c>
      <c r="J100" s="75">
        <f>'Raw Data (KG)'!P100</f>
        <v>0</v>
      </c>
      <c r="K100" s="74">
        <f>'Raw Data (KG)'!H100+SUM('Raw Data (KG)'!J100:K100)+SUM('Raw Data (KG)'!M100:O100)+'Raw Data (KG)'!T100</f>
        <v>67</v>
      </c>
      <c r="L100" s="72">
        <f t="shared" si="3"/>
        <v>176654.05</v>
      </c>
    </row>
    <row r="101" spans="1:13" x14ac:dyDescent="0.2">
      <c r="A101" s="68">
        <v>44470</v>
      </c>
      <c r="B101" s="75">
        <f>SUM('Raw Data (KG)'!D101:D101)</f>
        <v>12985</v>
      </c>
      <c r="C101" s="75">
        <f>SUM('Raw Data (KG)'!E101:F101)</f>
        <v>992</v>
      </c>
      <c r="D101" s="73">
        <f>SUM('Raw Data (KG)'!G101:V101)</f>
        <v>95334.35</v>
      </c>
      <c r="E101" s="75">
        <f>'Raw Data (KG)'!W101</f>
        <v>891</v>
      </c>
      <c r="F101" s="76">
        <f>'Raw Food Data (KG)'!Q62</f>
        <v>45400</v>
      </c>
      <c r="G101" s="75">
        <f>'Raw Data (KG)'!R101</f>
        <v>6400</v>
      </c>
      <c r="H101" s="75">
        <f>'Raw Data (KG)'!S101</f>
        <v>35000</v>
      </c>
      <c r="I101" s="77">
        <f>'Raw Data (KG)'!Q101</f>
        <v>7830</v>
      </c>
      <c r="J101" s="75">
        <f>'Raw Data (KG)'!P101</f>
        <v>0</v>
      </c>
      <c r="K101" s="74">
        <f>'Raw Data (KG)'!H101+SUM('Raw Data (KG)'!J101:K101)+SUM('Raw Data (KG)'!M101:O101)+'Raw Data (KG)'!T101</f>
        <v>0</v>
      </c>
      <c r="L101" s="72">
        <f t="shared" si="3"/>
        <v>204832.35</v>
      </c>
    </row>
    <row r="102" spans="1:13" x14ac:dyDescent="0.2">
      <c r="A102" s="68">
        <v>44501</v>
      </c>
      <c r="B102" s="75">
        <f>SUM('Raw Data (KG)'!D102:D102)</f>
        <v>13164</v>
      </c>
      <c r="C102" s="75">
        <f>SUM('Raw Data (KG)'!E102:F102)</f>
        <v>370</v>
      </c>
      <c r="D102" s="73">
        <f>SUM('Raw Data (KG)'!G102:V102)</f>
        <v>92044.383999999991</v>
      </c>
      <c r="E102" s="75">
        <f>'Raw Data (KG)'!W102</f>
        <v>625</v>
      </c>
      <c r="F102" s="76">
        <f>'Raw Food Data (KG)'!Q63</f>
        <v>42665</v>
      </c>
      <c r="G102" s="75">
        <f>'Raw Data (KG)'!R102</f>
        <v>4800</v>
      </c>
      <c r="H102" s="75">
        <f>'Raw Data (KG)'!S102</f>
        <v>35000</v>
      </c>
      <c r="I102" s="77">
        <f>'Raw Data (KG)'!Q102</f>
        <v>5800</v>
      </c>
      <c r="J102" s="75">
        <f>'Raw Data (KG)'!P102</f>
        <v>1971</v>
      </c>
      <c r="K102" s="74">
        <f>'Raw Data (KG)'!H102+SUM('Raw Data (KG)'!J102:K102)+SUM('Raw Data (KG)'!M102:O102)+'Raw Data (KG)'!T102</f>
        <v>173.63400000000001</v>
      </c>
      <c r="L102" s="72">
        <f t="shared" si="3"/>
        <v>196613.01799999998</v>
      </c>
    </row>
    <row r="103" spans="1:13" x14ac:dyDescent="0.2">
      <c r="A103" s="68">
        <v>44531</v>
      </c>
      <c r="B103" s="75">
        <f>SUM('Raw Data (KG)'!D103:D103)</f>
        <v>13435</v>
      </c>
      <c r="C103" s="75">
        <f>SUM('Raw Data (KG)'!E103:F103)</f>
        <v>1071</v>
      </c>
      <c r="D103" s="73">
        <f>SUM('Raw Data (KG)'!G103:V103)</f>
        <v>92562.237000000008</v>
      </c>
      <c r="E103" s="75">
        <f>'Raw Data (KG)'!W103</f>
        <v>0</v>
      </c>
      <c r="F103" s="76">
        <f>'Raw Food Data (KG)'!Q64</f>
        <v>41338</v>
      </c>
      <c r="G103" s="75">
        <f>'Raw Data (KG)'!R103</f>
        <v>8000</v>
      </c>
      <c r="H103" s="75">
        <f>'Raw Data (KG)'!S103</f>
        <v>31500</v>
      </c>
      <c r="I103" s="77">
        <f>'Raw Data (KG)'!Q103</f>
        <v>10180</v>
      </c>
      <c r="J103" s="75">
        <f>'Raw Data (KG)'!P103</f>
        <v>355.5</v>
      </c>
      <c r="K103" s="74">
        <f>'Raw Data (KG)'!H103+SUM('Raw Data (KG)'!J103:K103)+SUM('Raw Data (KG)'!M103:O103)+'Raw Data (KG)'!T103</f>
        <v>80.787000000000006</v>
      </c>
      <c r="L103" s="72">
        <f t="shared" si="3"/>
        <v>198522.52400000003</v>
      </c>
    </row>
    <row r="104" spans="1:13" x14ac:dyDescent="0.2">
      <c r="A104" s="68">
        <v>44562</v>
      </c>
      <c r="B104" s="75">
        <f>SUM('Raw Data (KG)'!D104:D104)</f>
        <v>13422</v>
      </c>
      <c r="C104" s="75">
        <f>SUM('Raw Data (KG)'!E104:F104)</f>
        <v>1212</v>
      </c>
      <c r="D104" s="73">
        <f>SUM('Raw Data (KG)'!G104:V104)</f>
        <v>89140.65</v>
      </c>
      <c r="E104" s="75">
        <f>'Raw Data (KG)'!W104</f>
        <v>0</v>
      </c>
      <c r="F104" s="76">
        <f>'Raw Food Data (KG)'!Q65</f>
        <v>33071</v>
      </c>
      <c r="G104" s="75">
        <f>'Raw Data (KG)'!R104</f>
        <v>6400</v>
      </c>
      <c r="H104" s="75">
        <f>'Raw Data (KG)'!S104</f>
        <v>28000</v>
      </c>
      <c r="I104" s="77">
        <f>'Raw Data (KG)'!Q104</f>
        <v>19838</v>
      </c>
      <c r="J104" s="75">
        <f>'Raw Data (KG)'!P104</f>
        <v>0</v>
      </c>
      <c r="K104" s="74">
        <f>'Raw Data (KG)'!H104+SUM('Raw Data (KG)'!J104:K104)+SUM('Raw Data (KG)'!M104:O104)+'Raw Data (KG)'!T104</f>
        <v>0</v>
      </c>
      <c r="L104" s="72">
        <f t="shared" si="3"/>
        <v>191083.65</v>
      </c>
    </row>
    <row r="105" spans="1:13" x14ac:dyDescent="0.2">
      <c r="A105" s="68">
        <v>44593</v>
      </c>
      <c r="B105" s="75">
        <f>SUM('Raw Data (KG)'!D105:D105)</f>
        <v>9823</v>
      </c>
      <c r="C105" s="75">
        <f>SUM('Raw Data (KG)'!E105:F105)</f>
        <v>313</v>
      </c>
      <c r="D105" s="73">
        <f>SUM('Raw Data (KG)'!G105:V105)</f>
        <v>53031.481</v>
      </c>
      <c r="E105" s="75">
        <f>'Raw Data (KG)'!W105</f>
        <v>869</v>
      </c>
      <c r="F105" s="76">
        <f>'Raw Food Data (KG)'!Q66</f>
        <v>24947</v>
      </c>
      <c r="G105" s="75">
        <f>'Raw Data (KG)'!R105</f>
        <v>4800</v>
      </c>
      <c r="H105" s="75">
        <f>'Raw Data (KG)'!S105</f>
        <v>14000</v>
      </c>
      <c r="I105" s="77">
        <f>'Raw Data (KG)'!Q105</f>
        <v>7420</v>
      </c>
      <c r="J105" s="75">
        <f>'Raw Data (KG)'!P105</f>
        <v>256.5</v>
      </c>
      <c r="K105" s="74">
        <f>'Raw Data (KG)'!H105+SUM('Raw Data (KG)'!J105:K105)+SUM('Raw Data (KG)'!M105:O105)+'Raw Data (KG)'!T105</f>
        <v>126.331</v>
      </c>
      <c r="L105" s="72">
        <f t="shared" si="3"/>
        <v>115586.31200000001</v>
      </c>
    </row>
    <row r="106" spans="1:13" x14ac:dyDescent="0.2">
      <c r="A106" s="68">
        <v>44621</v>
      </c>
      <c r="B106" s="75">
        <f>SUM('Raw Data (KG)'!D106:D106)</f>
        <v>9495</v>
      </c>
      <c r="C106" s="75">
        <f>SUM('Raw Data (KG)'!E106:F106)</f>
        <v>389</v>
      </c>
      <c r="D106" s="73">
        <f>SUM('Raw Data (KG)'!G106:V106)</f>
        <v>63623.15</v>
      </c>
      <c r="E106" s="75">
        <f>'Raw Data (KG)'!W106</f>
        <v>0</v>
      </c>
      <c r="F106" s="76">
        <f>'Raw Food Data (KG)'!Q67</f>
        <v>22091</v>
      </c>
      <c r="G106" s="75">
        <f>'Raw Data (KG)'!R106</f>
        <v>6400</v>
      </c>
      <c r="H106" s="75">
        <f>'Raw Data (KG)'!S106</f>
        <v>24500</v>
      </c>
      <c r="I106" s="77">
        <f>'Raw Data (KG)'!Q106</f>
        <v>9700</v>
      </c>
      <c r="J106" s="75">
        <f>'Raw Data (KG)'!P106</f>
        <v>0</v>
      </c>
      <c r="K106" s="74">
        <f>'Raw Data (KG)'!H106+SUM('Raw Data (KG)'!J106:K106)+SUM('Raw Data (KG)'!M106:O106)+'Raw Data (KG)'!T106</f>
        <v>0</v>
      </c>
      <c r="L106" s="72">
        <f t="shared" si="3"/>
        <v>136198.15</v>
      </c>
    </row>
    <row r="107" spans="1:13" x14ac:dyDescent="0.2">
      <c r="A107" s="68">
        <v>44652</v>
      </c>
      <c r="B107" s="75">
        <f>SUM('Raw Data (KG)'!D107:D107)</f>
        <v>9308</v>
      </c>
      <c r="C107" s="75">
        <f>SUM('Raw Data (KG)'!E107:F107)</f>
        <v>1101</v>
      </c>
      <c r="D107" s="73">
        <f>SUM('Raw Data (KG)'!G107:V107)</f>
        <v>67926.381000000008</v>
      </c>
      <c r="E107" s="75">
        <f>'Raw Data (KG)'!W107</f>
        <v>1036</v>
      </c>
      <c r="F107" s="76">
        <f>'Raw Food Data (KG)'!Q68</f>
        <v>24586.6</v>
      </c>
      <c r="G107" s="75">
        <f>'Raw Data (KG)'!R107</f>
        <v>6400</v>
      </c>
      <c r="H107" s="75">
        <f>'Raw Data (KG)'!S107</f>
        <v>24500</v>
      </c>
      <c r="I107" s="77">
        <f>'Raw Data (KG)'!Q107</f>
        <v>10420</v>
      </c>
      <c r="J107" s="75">
        <f>'Raw Data (KG)'!P107</f>
        <v>1482</v>
      </c>
      <c r="K107" s="74">
        <f>'Raw Data (KG)'!H107+SUM('Raw Data (KG)'!J107:K107)+SUM('Raw Data (KG)'!M107:O107)+'Raw Data (KG)'!T107</f>
        <v>72.981000000000009</v>
      </c>
      <c r="L107" s="72">
        <f t="shared" si="3"/>
        <v>146832.962</v>
      </c>
    </row>
    <row r="108" spans="1:13" x14ac:dyDescent="0.2">
      <c r="A108" s="68">
        <v>44682</v>
      </c>
      <c r="B108" s="75">
        <f>SUM('Raw Data (KG)'!D108:D108)</f>
        <v>10020</v>
      </c>
      <c r="C108" s="75">
        <f>SUM('Raw Data (KG)'!E108:F108)</f>
        <v>316</v>
      </c>
      <c r="D108" s="73">
        <f>SUM('Raw Data (KG)'!G108:V108)</f>
        <v>79137.350000000006</v>
      </c>
      <c r="E108" s="75">
        <f>'Raw Data (KG)'!W108</f>
        <v>0</v>
      </c>
      <c r="F108" s="76">
        <f>'Raw Food Data (KG)'!Q69</f>
        <v>27462</v>
      </c>
      <c r="G108" s="75">
        <f>'Raw Data (KG)'!R108</f>
        <v>6400</v>
      </c>
      <c r="H108" s="75">
        <f>'Raw Data (KG)'!S108</f>
        <v>31500</v>
      </c>
      <c r="I108" s="77">
        <f>'Raw Data (KG)'!Q108</f>
        <v>12000</v>
      </c>
      <c r="J108" s="75">
        <f>'Raw Data (KG)'!P108</f>
        <v>736</v>
      </c>
      <c r="K108" s="74">
        <f>'Raw Data (KG)'!H108+SUM('Raw Data (KG)'!J108:K108)+SUM('Raw Data (KG)'!M108:O108)+'Raw Data (KG)'!T108</f>
        <v>0</v>
      </c>
      <c r="L108" s="72">
        <f t="shared" si="3"/>
        <v>167571.35</v>
      </c>
    </row>
    <row r="109" spans="1:13" x14ac:dyDescent="0.2">
      <c r="A109" s="68">
        <v>44713</v>
      </c>
      <c r="B109" s="75">
        <f>SUM('Raw Data (KG)'!D109:D109)</f>
        <v>10130</v>
      </c>
      <c r="C109" s="75">
        <f>SUM('Raw Data (KG)'!E109:F109)</f>
        <v>304</v>
      </c>
      <c r="D109" s="73">
        <f>SUM('Raw Data (KG)'!G109:V109)</f>
        <v>76702.8</v>
      </c>
      <c r="E109" s="75">
        <f>'Raw Data (KG)'!W109</f>
        <v>1056</v>
      </c>
      <c r="F109" s="76">
        <f>'Raw Food Data (KG)'!Q70</f>
        <v>22866</v>
      </c>
      <c r="G109" s="75">
        <f>'Raw Data (KG)'!R109</f>
        <v>8000</v>
      </c>
      <c r="H109" s="75">
        <f>'Raw Data (KG)'!S109</f>
        <v>35000</v>
      </c>
      <c r="I109" s="77">
        <f>'Raw Data (KG)'!Q109</f>
        <v>9000</v>
      </c>
      <c r="J109" s="75">
        <f>'Raw Data (KG)'!P109</f>
        <v>819</v>
      </c>
      <c r="K109" s="74">
        <f>'Raw Data (KG)'!H109+SUM('Raw Data (KG)'!J109:K109)+SUM('Raw Data (KG)'!M109:O109)+'Raw Data (KG)'!T109</f>
        <v>102</v>
      </c>
      <c r="L109" s="72">
        <f t="shared" si="3"/>
        <v>163979.79999999999</v>
      </c>
      <c r="M109" s="15">
        <f>SUM(L98:L109)</f>
        <v>2072336.9879999999</v>
      </c>
    </row>
    <row r="110" spans="1:13" x14ac:dyDescent="0.2">
      <c r="A110" s="68">
        <v>44743</v>
      </c>
      <c r="B110" s="9">
        <f>SUM('Raw Data (KG)'!D110:D110)</f>
        <v>10024</v>
      </c>
      <c r="C110" s="9">
        <f>SUM('Raw Data (KG)'!E110:F110)</f>
        <v>810</v>
      </c>
      <c r="D110" s="8">
        <f>SUM('Raw Data (KG)'!G110:V110)</f>
        <v>69475.95</v>
      </c>
      <c r="E110" s="9">
        <f>'Raw Data (KG)'!W110</f>
        <v>0</v>
      </c>
      <c r="F110" s="7">
        <f>'Raw Food Data (KG)'!Q71</f>
        <v>25176</v>
      </c>
      <c r="G110" s="9">
        <f>'Raw Data (KG)'!R110</f>
        <v>6400</v>
      </c>
      <c r="H110" s="9">
        <f>'Raw Data (KG)'!S110</f>
        <v>24500</v>
      </c>
      <c r="I110" s="352">
        <f>'Raw Data (KG)'!Q110</f>
        <v>12000</v>
      </c>
      <c r="J110" s="9">
        <f>'Raw Data (KG)'!P110</f>
        <v>0</v>
      </c>
      <c r="K110" s="62">
        <f>'Raw Data (KG)'!H110+SUM('Raw Data (KG)'!J110:K110)+'Raw Data (KG)'!T110</f>
        <v>435</v>
      </c>
      <c r="L110" s="15">
        <f t="shared" si="3"/>
        <v>148820.95000000001</v>
      </c>
    </row>
    <row r="111" spans="1:13" x14ac:dyDescent="0.2">
      <c r="A111" s="68">
        <v>44774</v>
      </c>
      <c r="B111" s="9">
        <f>SUM('Raw Data (KG)'!D111:D111)</f>
        <v>11052</v>
      </c>
      <c r="C111" s="9">
        <f>SUM('Raw Data (KG)'!E111:F111)</f>
        <v>1303</v>
      </c>
      <c r="D111" s="8">
        <f>SUM('Raw Data (KG)'!G111:V111)</f>
        <v>81234.25</v>
      </c>
      <c r="E111" s="9">
        <f>'Raw Data (KG)'!W111</f>
        <v>1973</v>
      </c>
      <c r="F111" s="7">
        <f>'Raw Food Data (KG)'!Q72</f>
        <v>26660</v>
      </c>
      <c r="G111" s="9">
        <f>'Raw Data (KG)'!R111</f>
        <v>6400</v>
      </c>
      <c r="H111" s="9">
        <f>'Raw Data (KG)'!S111</f>
        <v>31500</v>
      </c>
      <c r="I111" s="352">
        <f>'Raw Data (KG)'!Q111</f>
        <v>15000</v>
      </c>
      <c r="J111" s="9">
        <f>'Raw Data (KG)'!P111</f>
        <v>604</v>
      </c>
      <c r="K111" s="62">
        <f>'Raw Data (KG)'!H111+SUM('Raw Data (KG)'!J111:K111)+'Raw Data (KG)'!T111</f>
        <v>165</v>
      </c>
      <c r="L111" s="15">
        <f t="shared" si="3"/>
        <v>175891.25</v>
      </c>
    </row>
    <row r="112" spans="1:13" x14ac:dyDescent="0.2">
      <c r="A112" s="68">
        <v>44805</v>
      </c>
      <c r="B112" s="9">
        <f>SUM('Raw Data (KG)'!D112:D112)</f>
        <v>12231</v>
      </c>
      <c r="C112" s="9">
        <f>SUM('Raw Data (KG)'!E112:F112)</f>
        <v>631</v>
      </c>
      <c r="D112" s="8">
        <f>SUM('Raw Data (KG)'!G112:V112)</f>
        <v>88390.85</v>
      </c>
      <c r="E112" s="9">
        <f>'Raw Data (KG)'!W112</f>
        <v>0</v>
      </c>
      <c r="F112" s="7">
        <f>'Raw Food Data (KG)'!Q73</f>
        <v>35619</v>
      </c>
      <c r="G112" s="9">
        <f>'Raw Data (KG)'!R112</f>
        <v>8000</v>
      </c>
      <c r="H112" s="9">
        <f>'Raw Data (KG)'!S112</f>
        <v>31500</v>
      </c>
      <c r="I112" s="352">
        <f>'Raw Data (KG)'!Q112</f>
        <v>12000</v>
      </c>
      <c r="J112" s="9">
        <f>'Raw Data (KG)'!P112</f>
        <v>0</v>
      </c>
      <c r="K112" s="62">
        <f>'Raw Data (KG)'!H112+SUM('Raw Data (KG)'!J112:K112)+'Raw Data (KG)'!T112</f>
        <v>61.6</v>
      </c>
      <c r="L112" s="15">
        <f t="shared" si="3"/>
        <v>188433.45</v>
      </c>
    </row>
    <row r="113" spans="1:13" x14ac:dyDescent="0.2">
      <c r="A113" s="68">
        <v>44835</v>
      </c>
      <c r="B113" s="9">
        <f>SUM('Raw Data (KG)'!D113:D113)</f>
        <v>11893</v>
      </c>
      <c r="C113" s="9">
        <f>SUM('Raw Data (KG)'!E113:F113)</f>
        <v>726</v>
      </c>
      <c r="D113" s="8">
        <f>SUM('Raw Data (KG)'!G113:V113)</f>
        <v>91572.55</v>
      </c>
      <c r="E113" s="9">
        <f>'Raw Data (KG)'!W113</f>
        <v>1009</v>
      </c>
      <c r="F113" s="7">
        <f>'Raw Food Data (KG)'!Q74</f>
        <v>39851</v>
      </c>
      <c r="G113" s="9">
        <f>'Raw Data (KG)'!R113</f>
        <v>6400</v>
      </c>
      <c r="H113" s="9">
        <f>'Raw Data (KG)'!S113</f>
        <v>28000</v>
      </c>
      <c r="I113" s="352">
        <f>'Raw Data (KG)'!Q113</f>
        <v>15000</v>
      </c>
      <c r="J113" s="9">
        <f>'Raw Data (KG)'!P113</f>
        <v>731</v>
      </c>
      <c r="K113" s="62">
        <f>'Raw Data (KG)'!H113+SUM('Raw Data (KG)'!J113:K113)+'Raw Data (KG)'!T113</f>
        <v>67</v>
      </c>
      <c r="L113" s="15">
        <f t="shared" si="3"/>
        <v>195249.55</v>
      </c>
    </row>
    <row r="114" spans="1:13" x14ac:dyDescent="0.2">
      <c r="A114" s="68">
        <v>44866</v>
      </c>
      <c r="B114" s="9">
        <f>SUM('Raw Data (KG)'!D114:D114)</f>
        <v>11445</v>
      </c>
      <c r="C114" s="9">
        <f>SUM('Raw Data (KG)'!E114:F114)</f>
        <v>736</v>
      </c>
      <c r="D114" s="8">
        <f>SUM('Raw Data (KG)'!G114:V114)</f>
        <v>93234.5</v>
      </c>
      <c r="E114" s="9">
        <f>'Raw Data (KG)'!W114</f>
        <v>993</v>
      </c>
      <c r="F114" s="7">
        <f>'Raw Food Data (KG)'!Q75</f>
        <v>42228</v>
      </c>
      <c r="G114" s="9">
        <f>'Raw Data (KG)'!R114</f>
        <v>6400</v>
      </c>
      <c r="H114" s="9">
        <f>'Raw Data (KG)'!S114</f>
        <v>31500</v>
      </c>
      <c r="I114" s="352">
        <f>'Raw Data (KG)'!Q114</f>
        <v>12000</v>
      </c>
      <c r="J114" s="9">
        <f>'Raw Data (KG)'!P114</f>
        <v>0</v>
      </c>
      <c r="K114" s="62">
        <f>'Raw Data (KG)'!H114+SUM('Raw Data (KG)'!J114:K114)+'Raw Data (KG)'!T114</f>
        <v>110.5</v>
      </c>
      <c r="L114" s="15">
        <f t="shared" si="3"/>
        <v>198647</v>
      </c>
    </row>
    <row r="115" spans="1:13" x14ac:dyDescent="0.2">
      <c r="A115" s="68">
        <v>44896</v>
      </c>
      <c r="B115" s="9">
        <f>SUM('Raw Data (KG)'!D115:D115)</f>
        <v>11105</v>
      </c>
      <c r="C115" s="9">
        <f>SUM('Raw Data (KG)'!E115:F115)</f>
        <v>1633</v>
      </c>
      <c r="D115" s="8">
        <f>SUM('Raw Data (KG)'!G115:V115)</f>
        <v>95239</v>
      </c>
      <c r="E115" s="9">
        <f>'Raw Data (KG)'!W115</f>
        <v>762</v>
      </c>
      <c r="F115" s="7">
        <f>'Raw Food Data (KG)'!Q76</f>
        <v>44338</v>
      </c>
      <c r="G115" s="9">
        <f>'Raw Data (KG)'!R115</f>
        <v>6400</v>
      </c>
      <c r="H115" s="9">
        <f>'Raw Data (KG)'!S115</f>
        <v>28000</v>
      </c>
      <c r="I115" s="352">
        <f>'Raw Data (KG)'!Q115</f>
        <v>15000</v>
      </c>
      <c r="J115" s="9">
        <f>'Raw Data (KG)'!P115</f>
        <v>0</v>
      </c>
      <c r="K115" s="62">
        <f>'Raw Data (KG)'!H115+SUM('Raw Data (KG)'!J115:K115)+'Raw Data (KG)'!T115</f>
        <v>118</v>
      </c>
      <c r="L115" s="15">
        <f t="shared" si="3"/>
        <v>202595</v>
      </c>
    </row>
    <row r="116" spans="1:13" x14ac:dyDescent="0.2">
      <c r="A116" s="68">
        <v>44927</v>
      </c>
      <c r="B116" s="9">
        <f>SUM('Raw Data (KG)'!D116:D116)</f>
        <v>9350</v>
      </c>
      <c r="C116" s="9">
        <f>SUM('Raw Data (KG)'!E116:F116)</f>
        <v>772</v>
      </c>
      <c r="D116" s="8">
        <f>SUM('Raw Data (KG)'!G116:V116)</f>
        <v>88728</v>
      </c>
      <c r="E116" s="9">
        <f>'Raw Data (KG)'!W116</f>
        <v>757</v>
      </c>
      <c r="F116" s="7">
        <f>'Raw Food Data (KG)'!Q77</f>
        <v>34407</v>
      </c>
      <c r="G116" s="9">
        <f>'Raw Data (KG)'!R116</f>
        <v>6400</v>
      </c>
      <c r="H116" s="9">
        <f>'Raw Data (KG)'!S116</f>
        <v>31500</v>
      </c>
      <c r="I116" s="352">
        <f>'Raw Data (KG)'!Q116</f>
        <v>15000</v>
      </c>
      <c r="J116" s="9">
        <f>'Raw Data (KG)'!P116</f>
        <v>1109</v>
      </c>
      <c r="K116" s="62">
        <f>'Raw Data (KG)'!H116+SUM('Raw Data (KG)'!J116:K116)+'Raw Data (KG)'!T116</f>
        <v>9.5</v>
      </c>
      <c r="L116" s="15">
        <f t="shared" si="3"/>
        <v>188032.5</v>
      </c>
    </row>
    <row r="117" spans="1:13" x14ac:dyDescent="0.2">
      <c r="A117" s="68">
        <v>44958</v>
      </c>
      <c r="B117" s="9">
        <f>SUM('Raw Data (KG)'!D117:D117)</f>
        <v>10379</v>
      </c>
      <c r="C117" s="9">
        <f>SUM('Raw Data (KG)'!E117:F117)</f>
        <v>1110</v>
      </c>
      <c r="D117" s="8">
        <f>SUM('Raw Data (KG)'!G117:V117)</f>
        <v>68279.399999999994</v>
      </c>
      <c r="E117" s="9">
        <f>'Raw Data (KG)'!W117</f>
        <v>670</v>
      </c>
      <c r="F117" s="7">
        <f>'Raw Food Data (KG)'!Q78</f>
        <v>28553</v>
      </c>
      <c r="G117" s="9">
        <f>'Raw Data (KG)'!R117</f>
        <v>6400</v>
      </c>
      <c r="H117" s="9">
        <f>'Raw Data (KG)'!S117</f>
        <v>21000</v>
      </c>
      <c r="I117" s="352">
        <f>'Raw Data (KG)'!Q117</f>
        <v>12000</v>
      </c>
      <c r="J117" s="9">
        <f>'Raw Data (KG)'!P117</f>
        <v>0</v>
      </c>
      <c r="K117" s="62">
        <f>'Raw Data (KG)'!H117+SUM('Raw Data (KG)'!J117:K117)+'Raw Data (KG)'!T117</f>
        <v>109.4</v>
      </c>
      <c r="L117" s="15">
        <f t="shared" si="3"/>
        <v>148500.79999999999</v>
      </c>
    </row>
    <row r="118" spans="1:13" x14ac:dyDescent="0.2">
      <c r="A118" s="68">
        <v>44986</v>
      </c>
      <c r="B118" s="9">
        <f>SUM('Raw Data (KG)'!D118:D118)</f>
        <v>11198</v>
      </c>
      <c r="C118" s="9">
        <f>SUM('Raw Data (KG)'!E118:F118)</f>
        <v>974</v>
      </c>
      <c r="D118" s="8">
        <f>SUM('Raw Data (KG)'!G118:V118)</f>
        <v>83136.3</v>
      </c>
      <c r="E118" s="9">
        <f>'Raw Data (KG)'!W118</f>
        <v>603</v>
      </c>
      <c r="F118" s="7">
        <f>'Raw Food Data (KG)'!Q79</f>
        <v>35187</v>
      </c>
      <c r="G118" s="9">
        <f>'Raw Data (KG)'!R118</f>
        <v>8000</v>
      </c>
      <c r="H118" s="9">
        <f>'Raw Data (KG)'!S118</f>
        <v>24500</v>
      </c>
      <c r="I118" s="352">
        <f>'Raw Data (KG)'!Q118</f>
        <v>15000</v>
      </c>
      <c r="J118" s="9">
        <f>'Raw Data (KG)'!P118</f>
        <v>0</v>
      </c>
      <c r="K118" s="62">
        <f>'Raw Data (KG)'!H118+SUM('Raw Data (KG)'!J118:K118)+'Raw Data (KG)'!T118</f>
        <v>128.5</v>
      </c>
      <c r="L118" s="15">
        <f t="shared" si="3"/>
        <v>178726.8</v>
      </c>
    </row>
    <row r="119" spans="1:13" x14ac:dyDescent="0.2">
      <c r="A119" s="68">
        <v>45017</v>
      </c>
      <c r="B119" s="9">
        <f>SUM('Raw Data (KG)'!D119:D119)</f>
        <v>10871</v>
      </c>
      <c r="C119" s="9">
        <f>SUM('Raw Data (KG)'!E119:F119)</f>
        <v>727</v>
      </c>
      <c r="D119" s="8">
        <f>SUM('Raw Data (KG)'!G119:V119)</f>
        <v>78858.75</v>
      </c>
      <c r="E119" s="9">
        <f>'Raw Data (KG)'!W119</f>
        <v>499</v>
      </c>
      <c r="F119" s="7">
        <f>'Raw Food Data (KG)'!Q80</f>
        <v>39810.5</v>
      </c>
      <c r="G119" s="9">
        <f>'Raw Data (KG)'!R119</f>
        <v>4800</v>
      </c>
      <c r="H119" s="9">
        <f>'Raw Data (KG)'!S119</f>
        <v>17500</v>
      </c>
      <c r="I119" s="352">
        <f>'Raw Data (KG)'!Q119</f>
        <v>15000</v>
      </c>
      <c r="J119" s="9">
        <f>'Raw Data (KG)'!P119</f>
        <v>1438</v>
      </c>
      <c r="K119" s="62">
        <f>'Raw Data (KG)'!H119+SUM('Raw Data (KG)'!J119:K119)+'Raw Data (KG)'!T119</f>
        <v>54.5</v>
      </c>
      <c r="L119" s="15">
        <f t="shared" si="3"/>
        <v>169558.75</v>
      </c>
    </row>
    <row r="120" spans="1:13" x14ac:dyDescent="0.2">
      <c r="A120" s="68">
        <v>45047</v>
      </c>
      <c r="B120" s="9">
        <f>SUM('Raw Data (KG)'!D120:D120)</f>
        <v>10533</v>
      </c>
      <c r="C120" s="9">
        <f>SUM('Raw Data (KG)'!E120:F120)</f>
        <v>638</v>
      </c>
      <c r="D120" s="8">
        <f>SUM('Raw Data (KG)'!G120:V120)</f>
        <v>83077.899999999994</v>
      </c>
      <c r="E120" s="9">
        <f>'Raw Data (KG)'!W120</f>
        <v>0</v>
      </c>
      <c r="F120" s="7">
        <f>'Raw Food Data (KG)'!Q81</f>
        <v>39784</v>
      </c>
      <c r="G120" s="9">
        <f>'Raw Data (KG)'!R120</f>
        <v>6400</v>
      </c>
      <c r="H120" s="9">
        <f>'Raw Data (KG)'!S120</f>
        <v>24500</v>
      </c>
      <c r="I120" s="352">
        <f>'Raw Data (KG)'!Q120</f>
        <v>12000</v>
      </c>
      <c r="J120" s="9">
        <f>'Raw Data (KG)'!P120</f>
        <v>0</v>
      </c>
      <c r="K120" s="62">
        <f>'Raw Data (KG)'!H120+SUM('Raw Data (KG)'!J120:K120)+'Raw Data (KG)'!T120</f>
        <v>105</v>
      </c>
      <c r="L120" s="15">
        <f t="shared" si="3"/>
        <v>177037.9</v>
      </c>
    </row>
    <row r="121" spans="1:13" x14ac:dyDescent="0.2">
      <c r="A121" s="68">
        <v>45078</v>
      </c>
      <c r="B121" s="9">
        <f>SUM('Raw Data (KG)'!D121:D121)</f>
        <v>10392</v>
      </c>
      <c r="C121" s="9">
        <f>SUM('Raw Data (KG)'!E121:F121)</f>
        <v>897</v>
      </c>
      <c r="D121" s="8">
        <f>SUM('Raw Data (KG)'!G121:V121)</f>
        <v>85000.05</v>
      </c>
      <c r="E121" s="9">
        <f>'Raw Data (KG)'!W121</f>
        <v>608</v>
      </c>
      <c r="F121" s="7">
        <f>'Raw Food Data (KG)'!Q82</f>
        <v>40149.599999999999</v>
      </c>
      <c r="G121" s="9">
        <f>'Raw Data (KG)'!R121</f>
        <v>8000</v>
      </c>
      <c r="H121" s="9">
        <f>'Raw Data (KG)'!S121</f>
        <v>24500</v>
      </c>
      <c r="I121" s="352">
        <f>'Raw Data (KG)'!Q121</f>
        <v>12000</v>
      </c>
      <c r="J121" s="9">
        <f>'Raw Data (KG)'!P121</f>
        <v>0</v>
      </c>
      <c r="K121" s="62">
        <f>'Raw Data (KG)'!H121+SUM('Raw Data (KG)'!J121:K121)+'Raw Data (KG)'!T121</f>
        <v>65</v>
      </c>
      <c r="L121" s="15">
        <f t="shared" si="3"/>
        <v>181611.65</v>
      </c>
      <c r="M121" s="15">
        <f>SUM(L110:L121)</f>
        <v>2153105.6</v>
      </c>
    </row>
    <row r="122" spans="1:13" x14ac:dyDescent="0.2">
      <c r="A122" s="68">
        <v>45108</v>
      </c>
      <c r="B122" s="75">
        <f>SUM('Raw Data (KG)'!D122:D122)</f>
        <v>10670</v>
      </c>
      <c r="C122" s="75">
        <f>SUM('Raw Data (KG)'!E122:F122)</f>
        <v>915</v>
      </c>
      <c r="D122" s="73">
        <f>SUM('Raw Data (KG)'!G122:V122)</f>
        <v>63739</v>
      </c>
      <c r="E122" s="75">
        <f>'Raw Data (KG)'!W122</f>
        <v>673</v>
      </c>
      <c r="F122" s="76">
        <f>'Raw Food Data (KG)'!Q83</f>
        <v>23296.5</v>
      </c>
      <c r="G122" s="75">
        <f>'Raw Data (KG)'!R122</f>
        <v>7185</v>
      </c>
      <c r="H122" s="75">
        <f>'Raw Data (KG)'!S122</f>
        <v>14485</v>
      </c>
      <c r="I122" s="77">
        <f>'Raw Data (KG)'!Q122</f>
        <v>18000</v>
      </c>
      <c r="J122" s="75">
        <f>'Raw Data (KG)'!P122</f>
        <v>513</v>
      </c>
      <c r="K122" s="74">
        <f>'Raw Data (KG)'!H122+SUM('Raw Data (KG)'!J122:K122)+'Raw Data (KG)'!T122</f>
        <v>0</v>
      </c>
      <c r="L122" s="72">
        <f t="shared" si="3"/>
        <v>139476.5</v>
      </c>
    </row>
    <row r="123" spans="1:13" x14ac:dyDescent="0.2">
      <c r="A123" s="68">
        <v>45139</v>
      </c>
      <c r="B123" s="75">
        <f>SUM('Raw Data (KG)'!D123:D123)</f>
        <v>10732</v>
      </c>
      <c r="C123" s="75">
        <f>SUM('Raw Data (KG)'!E123:F123)</f>
        <v>872</v>
      </c>
      <c r="D123" s="73">
        <f>SUM('Raw Data (KG)'!G123:V123)</f>
        <v>71197.5</v>
      </c>
      <c r="E123" s="75">
        <f>'Raw Data (KG)'!W123</f>
        <v>996</v>
      </c>
      <c r="F123" s="76">
        <f>'Raw Food Data (KG)'!Q84</f>
        <v>28190.499999999996</v>
      </c>
      <c r="G123" s="75">
        <f>'Raw Data (KG)'!R123</f>
        <v>7200</v>
      </c>
      <c r="H123" s="75">
        <f>'Raw Data (KG)'!S123</f>
        <v>20070</v>
      </c>
      <c r="I123" s="77">
        <f>'Raw Data (KG)'!Q123</f>
        <v>15000</v>
      </c>
      <c r="J123" s="75">
        <f>'Raw Data (KG)'!P123</f>
        <v>435</v>
      </c>
      <c r="K123" s="74">
        <f>'Raw Data (KG)'!H123+SUM('Raw Data (KG)'!J123:K123)+'Raw Data (KG)'!T123</f>
        <v>21.1</v>
      </c>
      <c r="L123" s="72">
        <f t="shared" si="3"/>
        <v>154714.1</v>
      </c>
      <c r="M123" s="15">
        <f>SUM(L122:L130)</f>
        <v>1523593.7500000002</v>
      </c>
    </row>
    <row r="124" spans="1:13" x14ac:dyDescent="0.2">
      <c r="A124" s="68">
        <v>45170</v>
      </c>
      <c r="B124" s="75">
        <f>SUM('Raw Data (KG)'!D124:D124)</f>
        <v>11135</v>
      </c>
      <c r="C124" s="75">
        <f>SUM('Raw Data (KG)'!E124:F124)</f>
        <v>801</v>
      </c>
      <c r="D124" s="73">
        <f>SUM('Raw Data (KG)'!G124:V124)</f>
        <v>95299.35</v>
      </c>
      <c r="E124" s="75">
        <f>'Raw Data (KG)'!W124</f>
        <v>0</v>
      </c>
      <c r="F124" s="76">
        <f>'Raw Food Data (KG)'!Q85</f>
        <v>30387</v>
      </c>
      <c r="G124" s="75">
        <f>'Raw Data (KG)'!R124</f>
        <v>11215</v>
      </c>
      <c r="H124" s="75">
        <f>'Raw Data (KG)'!S124</f>
        <v>37770</v>
      </c>
      <c r="I124" s="77">
        <f>'Raw Data (KG)'!Q124</f>
        <v>15000</v>
      </c>
      <c r="J124" s="75">
        <f>'Raw Data (KG)'!P124</f>
        <v>531</v>
      </c>
      <c r="K124" s="74">
        <f>'Raw Data (KG)'!H124+SUM('Raw Data (KG)'!J124:K124)+'Raw Data (KG)'!T124</f>
        <v>91.6</v>
      </c>
      <c r="L124" s="72">
        <f t="shared" si="3"/>
        <v>202229.95</v>
      </c>
    </row>
    <row r="125" spans="1:13" x14ac:dyDescent="0.2">
      <c r="A125" s="68">
        <v>45200</v>
      </c>
      <c r="B125" s="75">
        <f>SUM('Raw Data (KG)'!D125:D125)</f>
        <v>11304</v>
      </c>
      <c r="C125" s="75">
        <f>SUM('Raw Data (KG)'!E125:F125)</f>
        <v>733</v>
      </c>
      <c r="D125" s="73">
        <f>SUM('Raw Data (KG)'!G125:V125)</f>
        <v>76415.600000000006</v>
      </c>
      <c r="E125" s="75">
        <f>'Raw Data (KG)'!W125</f>
        <v>1412</v>
      </c>
      <c r="F125" s="76">
        <f>'Raw Food Data (KG)'!Q86</f>
        <v>30156.499999999996</v>
      </c>
      <c r="G125" s="75">
        <f>'Raw Data (KG)'!R125</f>
        <v>9565</v>
      </c>
      <c r="H125" s="75">
        <f>'Raw Data (KG)'!S125</f>
        <v>20910</v>
      </c>
      <c r="I125" s="77">
        <f>'Raw Data (KG)'!Q125</f>
        <v>15000</v>
      </c>
      <c r="J125" s="75">
        <f>'Raw Data (KG)'!P125</f>
        <v>364.5</v>
      </c>
      <c r="K125" s="74">
        <f>'Raw Data (KG)'!H125+SUM('Raw Data (KG)'!J125:K125)+'Raw Data (KG)'!T125</f>
        <v>77</v>
      </c>
      <c r="L125" s="72">
        <f t="shared" si="3"/>
        <v>165937.60000000001</v>
      </c>
    </row>
    <row r="126" spans="1:13" x14ac:dyDescent="0.2">
      <c r="A126" s="69">
        <v>45231</v>
      </c>
      <c r="B126" s="75">
        <f>SUM('Raw Data (KG)'!D126:D126)</f>
        <v>13460</v>
      </c>
      <c r="C126" s="75">
        <f>SUM('Raw Data (KG)'!E126:F126)</f>
        <v>752</v>
      </c>
      <c r="D126" s="73">
        <f>SUM('Raw Data (KG)'!G126:V126)</f>
        <v>79550.2</v>
      </c>
      <c r="E126" s="75">
        <f>'Raw Data (KG)'!W126</f>
        <v>975</v>
      </c>
      <c r="F126" s="76">
        <f>'Raw Food Data (KG)'!Q87</f>
        <v>42615.9</v>
      </c>
      <c r="G126" s="75">
        <f>'Raw Data (KG)'!R126</f>
        <v>7803</v>
      </c>
      <c r="H126" s="75">
        <f>'Raw Data (KG)'!S126</f>
        <v>15947</v>
      </c>
      <c r="I126" s="77">
        <f>'Raw Data (KG)'!Q126</f>
        <v>12000</v>
      </c>
      <c r="J126" s="75">
        <f>'Raw Data (KG)'!P126</f>
        <v>737.5</v>
      </c>
      <c r="K126" s="74">
        <f>'Raw Data (KG)'!H126+SUM('Raw Data (KG)'!J126:K126)+'Raw Data (KG)'!T126</f>
        <v>27.2</v>
      </c>
      <c r="L126" s="72">
        <f t="shared" si="3"/>
        <v>173867.80000000002</v>
      </c>
    </row>
    <row r="127" spans="1:13" x14ac:dyDescent="0.2">
      <c r="A127" s="69">
        <v>45261</v>
      </c>
      <c r="B127" s="75">
        <f>SUM('Raw Data (KG)'!D127:D127)</f>
        <v>13442</v>
      </c>
      <c r="C127" s="75">
        <f>SUM('Raw Data (KG)'!E127:F127)</f>
        <v>342</v>
      </c>
      <c r="D127" s="73">
        <f>SUM('Raw Data (KG)'!G127:V127)</f>
        <v>80093.099999999991</v>
      </c>
      <c r="E127" s="75">
        <f>'Raw Data (KG)'!W127</f>
        <v>856</v>
      </c>
      <c r="F127" s="76">
        <f>'Raw Food Data (KG)'!Q88</f>
        <v>35693.299999999996</v>
      </c>
      <c r="G127" s="75">
        <f>'Raw Data (KG)'!R127</f>
        <v>19833</v>
      </c>
      <c r="H127" s="75">
        <f>'Raw Data (KG)'!S127</f>
        <v>7885</v>
      </c>
      <c r="I127" s="77">
        <f>'Raw Data (KG)'!Q127</f>
        <v>15000</v>
      </c>
      <c r="J127" s="75">
        <f>'Raw Data (KG)'!P127</f>
        <v>1285</v>
      </c>
      <c r="K127" s="74">
        <f>'Raw Data (KG)'!H127+SUM('Raw Data (KG)'!J127:K127)+'Raw Data (KG)'!T127</f>
        <v>0</v>
      </c>
      <c r="L127" s="72">
        <f t="shared" si="3"/>
        <v>174429.4</v>
      </c>
    </row>
    <row r="128" spans="1:13" x14ac:dyDescent="0.2">
      <c r="A128" s="69">
        <v>45292</v>
      </c>
      <c r="B128" s="75">
        <f>SUM('Raw Data (KG)'!D128:D128)</f>
        <v>13416</v>
      </c>
      <c r="C128" s="75">
        <f>SUM('Raw Data (KG)'!E128:F128)</f>
        <v>735</v>
      </c>
      <c r="D128" s="73">
        <f>SUM('Raw Data (KG)'!G128:V128)</f>
        <v>78479.199999999997</v>
      </c>
      <c r="E128" s="75">
        <f>'Raw Data (KG)'!W128</f>
        <v>0</v>
      </c>
      <c r="F128" s="76">
        <f>'Raw Food Data (KG)'!Q89</f>
        <v>29377.9</v>
      </c>
      <c r="G128" s="75">
        <f>'Raw Data (KG)'!R128</f>
        <v>21650</v>
      </c>
      <c r="H128" s="75">
        <f>'Raw Data (KG)'!S128</f>
        <v>7650</v>
      </c>
      <c r="I128" s="77">
        <f>'Raw Data (KG)'!Q128</f>
        <v>18000</v>
      </c>
      <c r="J128" s="75">
        <f>'Raw Data (KG)'!P128</f>
        <v>917.5</v>
      </c>
      <c r="K128" s="74">
        <f>'Raw Data (KG)'!H128+SUM('Raw Data (KG)'!J128:K128)+'Raw Data (KG)'!T128</f>
        <v>505</v>
      </c>
      <c r="L128" s="72">
        <f t="shared" si="3"/>
        <v>170730.6</v>
      </c>
    </row>
    <row r="129" spans="1:15" x14ac:dyDescent="0.2">
      <c r="A129" s="69">
        <v>45323</v>
      </c>
      <c r="B129" s="75">
        <f>SUM('Raw Data (KG)'!D129:D129)</f>
        <v>12589</v>
      </c>
      <c r="C129" s="75">
        <f>SUM('Raw Data (KG)'!E129:F129)</f>
        <v>318</v>
      </c>
      <c r="D129" s="73">
        <f>SUM('Raw Data (KG)'!G129:V129)</f>
        <v>73507.799999999988</v>
      </c>
      <c r="E129" s="75">
        <f>'Raw Data (KG)'!W129</f>
        <v>698</v>
      </c>
      <c r="F129" s="76">
        <f>'Raw Food Data (KG)'!Q90</f>
        <v>35652.6</v>
      </c>
      <c r="G129" s="75">
        <f>'Raw Data (KG)'!R129</f>
        <v>15470</v>
      </c>
      <c r="H129" s="75">
        <f>'Raw Data (KG)'!S129</f>
        <v>6340</v>
      </c>
      <c r="I129" s="77">
        <f>'Raw Data (KG)'!Q129</f>
        <v>15000</v>
      </c>
      <c r="J129" s="75">
        <f>'Raw Data (KG)'!P129</f>
        <v>353.1</v>
      </c>
      <c r="K129" s="74">
        <f>'Raw Data (KG)'!H129+SUM('Raw Data (KG)'!J129:K129)+'Raw Data (KG)'!T129</f>
        <v>320.7</v>
      </c>
      <c r="L129" s="72">
        <f t="shared" si="3"/>
        <v>160249.20000000001</v>
      </c>
    </row>
    <row r="130" spans="1:15" x14ac:dyDescent="0.2">
      <c r="A130" s="69">
        <v>45352</v>
      </c>
      <c r="B130" s="75">
        <f>SUM('Raw Data (KG)'!D130:D130)</f>
        <v>13346</v>
      </c>
      <c r="C130" s="75">
        <f>SUM('Raw Data (KG)'!E130:F130)</f>
        <v>533</v>
      </c>
      <c r="D130" s="73">
        <f>SUM('Raw Data (KG)'!G130:V130)</f>
        <v>83949.200000000012</v>
      </c>
      <c r="E130" s="75">
        <f>'Raw Data (KG)'!W130</f>
        <v>597</v>
      </c>
      <c r="F130" s="76">
        <f>'Raw Food Data (KG)'!Q91</f>
        <v>43510.8</v>
      </c>
      <c r="G130" s="75">
        <f>'Raw Data (KG)'!R130</f>
        <v>17465</v>
      </c>
      <c r="H130" s="75">
        <f>'Raw Data (KG)'!S130</f>
        <v>6740</v>
      </c>
      <c r="I130" s="77">
        <f>'Raw Data (KG)'!Q130</f>
        <v>15000</v>
      </c>
      <c r="J130" s="75">
        <f>'Raw Data (KG)'!P130</f>
        <v>785</v>
      </c>
      <c r="K130" s="74">
        <f>'Raw Data (KG)'!H130+SUM('Raw Data (KG)'!J130:K130)+'Raw Data (KG)'!T130</f>
        <v>32.6</v>
      </c>
      <c r="L130" s="72">
        <f t="shared" ref="L130:L135" si="4">SUM(B130:K130)</f>
        <v>181958.6</v>
      </c>
    </row>
    <row r="131" spans="1:15" x14ac:dyDescent="0.2">
      <c r="A131" s="69">
        <v>45383</v>
      </c>
      <c r="B131" s="75">
        <f>SUM('Raw Data (KG)'!D131:D131)</f>
        <v>12371</v>
      </c>
      <c r="C131" s="75">
        <f>SUM('Raw Data (KG)'!E131:F131)</f>
        <v>739</v>
      </c>
      <c r="D131" s="73">
        <f>SUM('Raw Data (KG)'!G131:V131)</f>
        <v>75206.600000000006</v>
      </c>
      <c r="E131" s="75">
        <f>'Raw Data (KG)'!W131</f>
        <v>917</v>
      </c>
      <c r="F131" s="76">
        <f>'Raw Food Data (KG)'!Q92</f>
        <v>39601</v>
      </c>
      <c r="G131" s="75">
        <f>'Raw Data (KG)'!R131</f>
        <v>6415</v>
      </c>
      <c r="H131" s="75">
        <f>'Raw Data (KG)'!S131</f>
        <v>13000</v>
      </c>
      <c r="I131" s="77">
        <f>'Raw Data (KG)'!Q131</f>
        <v>15000</v>
      </c>
      <c r="J131" s="75">
        <f>'Raw Data (KG)'!P131</f>
        <v>440</v>
      </c>
      <c r="K131" s="74">
        <f>'Raw Data (KG)'!H131+SUM('Raw Data (KG)'!J131:K131)+'Raw Data (KG)'!T131</f>
        <v>272.8</v>
      </c>
      <c r="L131" s="72">
        <f t="shared" si="4"/>
        <v>163962.4</v>
      </c>
    </row>
    <row r="132" spans="1:15" x14ac:dyDescent="0.2">
      <c r="A132" s="69">
        <v>45413</v>
      </c>
      <c r="B132" s="75">
        <f>SUM('Raw Data (KG)'!D132:D132)</f>
        <v>13434</v>
      </c>
      <c r="C132" s="75">
        <f>SUM('Raw Data (KG)'!E132:F132)</f>
        <v>757</v>
      </c>
      <c r="D132" s="73">
        <f>SUM('Raw Data (KG)'!G132:V132)</f>
        <v>73151.199999999997</v>
      </c>
      <c r="E132" s="75">
        <f>'Raw Data (KG)'!W132</f>
        <v>321</v>
      </c>
      <c r="F132" s="76">
        <f>'Raw Food Data (KG)'!Q93</f>
        <v>40905.300000000003</v>
      </c>
      <c r="G132" s="75">
        <f>'Raw Data (KG)'!R132</f>
        <v>7575</v>
      </c>
      <c r="H132" s="75">
        <f>'Raw Data (KG)'!S132</f>
        <v>11695</v>
      </c>
      <c r="I132" s="77">
        <f>'Raw Data (KG)'!Q132</f>
        <v>12000</v>
      </c>
      <c r="J132" s="75">
        <f>'Raw Data (KG)'!P132</f>
        <v>359</v>
      </c>
      <c r="K132" s="74">
        <f>'Raw Data (KG)'!H132+SUM('Raw Data (KG)'!J132:K132)+'Raw Data (KG)'!T132</f>
        <v>150.69999999999999</v>
      </c>
      <c r="L132" s="72">
        <f t="shared" si="4"/>
        <v>160348.20000000001</v>
      </c>
    </row>
    <row r="133" spans="1:15" x14ac:dyDescent="0.2">
      <c r="A133" s="69">
        <v>45444</v>
      </c>
      <c r="B133" s="75">
        <f>SUM('Raw Data (KG)'!D133:D133)</f>
        <v>12778</v>
      </c>
      <c r="C133" s="75">
        <f>SUM('Raw Data (KG)'!E133:F133)</f>
        <v>1087</v>
      </c>
      <c r="D133" s="73">
        <f>SUM('Raw Data (KG)'!G133:V133)</f>
        <v>68048.2</v>
      </c>
      <c r="E133" s="75">
        <f>'Raw Data (KG)'!W133</f>
        <v>612</v>
      </c>
      <c r="F133" s="76">
        <f>'Raw Food Data (KG)'!Q94</f>
        <v>30060</v>
      </c>
      <c r="G133" s="75">
        <f>'Raw Data (KG)'!R133</f>
        <v>4565</v>
      </c>
      <c r="H133" s="75">
        <f>'Raw Data (KG)'!S133</f>
        <v>14570</v>
      </c>
      <c r="I133" s="77">
        <f>'Raw Data (KG)'!Q133</f>
        <v>18000</v>
      </c>
      <c r="J133" s="75">
        <f>'Raw Data (KG)'!P133</f>
        <v>372.5</v>
      </c>
      <c r="K133" s="74">
        <f>'Raw Data (KG)'!H133+SUM('Raw Data (KG)'!J133:K133)+'Raw Data (KG)'!T133</f>
        <v>33.700000000000003</v>
      </c>
      <c r="L133" s="72">
        <f t="shared" si="4"/>
        <v>150126.40000000002</v>
      </c>
      <c r="M133" s="15">
        <f>SUM(L122:L133)</f>
        <v>1998030.75</v>
      </c>
    </row>
    <row r="134" spans="1:15" x14ac:dyDescent="0.2">
      <c r="A134" s="69">
        <v>45474</v>
      </c>
      <c r="B134" s="9">
        <f>SUM('Raw Data (KG)'!D134:D134)</f>
        <v>12412</v>
      </c>
      <c r="C134" s="9">
        <f>SUM('Raw Data (KG)'!E134:F134)</f>
        <v>894</v>
      </c>
      <c r="D134" s="8">
        <f>SUM('Raw Data (KG)'!G134:V134)</f>
        <v>73773</v>
      </c>
      <c r="E134" s="9">
        <f>'Raw Data (KG)'!W134</f>
        <v>704</v>
      </c>
      <c r="F134" s="7">
        <f>'Raw Food Data (KG)'!Q95</f>
        <v>34108.800000000003</v>
      </c>
      <c r="G134" s="9">
        <f>'Raw Data (KG)'!R134</f>
        <v>6540</v>
      </c>
      <c r="H134" s="9">
        <f>'Raw Data (KG)'!S134</f>
        <v>13230</v>
      </c>
      <c r="I134" s="352">
        <f>'Raw Data (KG)'!Q134</f>
        <v>18000</v>
      </c>
      <c r="J134" s="9">
        <f>'Raw Data (KG)'!P134</f>
        <v>1459.5</v>
      </c>
      <c r="K134" s="62">
        <f>'Raw Data (KG)'!H134+SUM('Raw Data (KG)'!J134:K134)+SUM('Raw Data (KG)'!M134:O134)+'Raw Data (KG)'!T134</f>
        <v>11.7</v>
      </c>
      <c r="L134" s="15">
        <f t="shared" si="4"/>
        <v>161133</v>
      </c>
    </row>
    <row r="135" spans="1:15" x14ac:dyDescent="0.2">
      <c r="A135" s="69">
        <v>45505</v>
      </c>
      <c r="B135" s="9">
        <f>SUM('Raw Data (KG)'!D135:D135)</f>
        <v>13553</v>
      </c>
      <c r="C135" s="9">
        <f>SUM('Raw Data (KG)'!E135:F135)</f>
        <v>387</v>
      </c>
      <c r="D135" s="8">
        <f>SUM('Raw Data (KG)'!G135:V135)</f>
        <v>82941.7</v>
      </c>
      <c r="E135" s="9">
        <f>'Raw Data (KG)'!W135</f>
        <v>479</v>
      </c>
      <c r="F135" s="7">
        <f>'Raw Food Data (KG)'!Q96</f>
        <v>36595.5</v>
      </c>
      <c r="G135" s="9">
        <f>'Raw Data (KG)'!R135</f>
        <v>7880</v>
      </c>
      <c r="H135" s="9">
        <f>'Raw Data (KG)'!S135</f>
        <v>16335</v>
      </c>
      <c r="I135" s="352">
        <f>'Raw Data (KG)'!Q135</f>
        <v>21000</v>
      </c>
      <c r="J135" s="9">
        <f>'Raw Data (KG)'!P135</f>
        <v>574</v>
      </c>
      <c r="K135" s="62">
        <f>'Raw Data (KG)'!H135+SUM('Raw Data (KG)'!J135:K135)+SUM('Raw Data (KG)'!M135:O135)+'Raw Data (KG)'!T135</f>
        <v>126.2</v>
      </c>
      <c r="L135" s="15">
        <f t="shared" si="4"/>
        <v>179871.40000000002</v>
      </c>
    </row>
    <row r="136" spans="1:15" x14ac:dyDescent="0.2">
      <c r="A136" s="69">
        <v>45536</v>
      </c>
      <c r="B136" s="9">
        <f>SUM('Raw Data (KG)'!D136:D136)</f>
        <v>13355</v>
      </c>
      <c r="C136" s="9">
        <f>SUM('Raw Data (KG)'!E136:F136)</f>
        <v>608</v>
      </c>
      <c r="D136" s="8">
        <f>SUM('Raw Data (KG)'!G136:V136)</f>
        <v>84378.3</v>
      </c>
      <c r="E136" s="9">
        <f>'Raw Data (KG)'!W136</f>
        <v>432</v>
      </c>
      <c r="F136" s="7">
        <f>'Raw Food Data (KG)'!Q97</f>
        <v>46111.7</v>
      </c>
      <c r="G136" s="9">
        <f>'Raw Data (KG)'!R136</f>
        <v>6620</v>
      </c>
      <c r="H136" s="9">
        <f>'Raw Data (KG)'!S136</f>
        <v>17160</v>
      </c>
      <c r="I136" s="352">
        <f>'Raw Data (KG)'!Q136</f>
        <v>12000</v>
      </c>
      <c r="J136" s="9">
        <f>'Raw Data (KG)'!P136</f>
        <v>1960</v>
      </c>
      <c r="K136" s="62">
        <f>'Raw Data (KG)'!H136+SUM('Raw Data (KG)'!J136:K136)+SUM('Raw Data (KG)'!M136:O136)+'Raw Data (KG)'!T136</f>
        <v>98.6</v>
      </c>
      <c r="L136" s="15">
        <f t="shared" ref="L136" si="5">SUM(B136:K136)</f>
        <v>182723.6</v>
      </c>
    </row>
    <row r="137" spans="1:15" x14ac:dyDescent="0.2">
      <c r="A137" s="69">
        <v>45566</v>
      </c>
      <c r="B137" s="9">
        <f>SUM('Raw Data (KG)'!D137:D137)</f>
        <v>14395</v>
      </c>
      <c r="C137" s="9">
        <f>SUM('Raw Data (KG)'!E137:F137)</f>
        <v>731</v>
      </c>
      <c r="D137" s="8">
        <f>SUM('Raw Data (KG)'!G137:V137)</f>
        <v>87340.800000000003</v>
      </c>
      <c r="E137" s="9">
        <f>'Raw Data (KG)'!W137</f>
        <v>483.3</v>
      </c>
      <c r="F137" s="7">
        <f>'Raw Food Data (KG)'!Q98</f>
        <v>50542.2</v>
      </c>
      <c r="G137" s="9">
        <f>'Raw Data (KG)'!R137</f>
        <v>6395</v>
      </c>
      <c r="H137" s="9">
        <f>'Raw Data (KG)'!S137</f>
        <v>16830</v>
      </c>
      <c r="I137" s="352">
        <f>'Raw Data (KG)'!Q137</f>
        <v>12000</v>
      </c>
      <c r="J137" s="9">
        <f>'Raw Data (KG)'!P137</f>
        <v>945</v>
      </c>
      <c r="K137" s="62">
        <f>'Raw Data (KG)'!H137+SUM('Raw Data (KG)'!J137:K137)+SUM('Raw Data (KG)'!M137:O137)+'Raw Data (KG)'!T137</f>
        <v>149.6</v>
      </c>
      <c r="L137" s="15">
        <f t="shared" ref="L137:L139" si="6">SUM(B137:K137)</f>
        <v>189811.9</v>
      </c>
    </row>
    <row r="138" spans="1:15" x14ac:dyDescent="0.2">
      <c r="A138" s="69">
        <v>45597</v>
      </c>
      <c r="B138" s="9">
        <f>SUM('Raw Data (KG)'!D138:D138)</f>
        <v>13980</v>
      </c>
      <c r="C138" s="9">
        <f>SUM('Raw Data (KG)'!E138:F138)</f>
        <v>1080</v>
      </c>
      <c r="D138" s="8">
        <f>SUM('Raw Data (KG)'!G138:V138)</f>
        <v>88413.1</v>
      </c>
      <c r="E138" s="9">
        <f>'Raw Data (KG)'!W138</f>
        <v>597</v>
      </c>
      <c r="F138" s="7">
        <f>'Raw Food Data (KG)'!Q99</f>
        <v>50742.400000000009</v>
      </c>
      <c r="G138" s="9">
        <f>'Raw Data (KG)'!R138</f>
        <v>6575</v>
      </c>
      <c r="H138" s="9">
        <f>'Raw Data (KG)'!S138</f>
        <v>12345</v>
      </c>
      <c r="I138" s="352">
        <f>'Raw Data (KG)'!Q138</f>
        <v>18000</v>
      </c>
      <c r="J138" s="9">
        <f>'Raw Data (KG)'!P138</f>
        <v>252</v>
      </c>
      <c r="K138" s="62">
        <f>'Raw Data (KG)'!H138+SUM('Raw Data (KG)'!J138:K138)+SUM('Raw Data (KG)'!M138:O138)+'Raw Data (KG)'!T138</f>
        <v>47.7</v>
      </c>
      <c r="L138" s="15">
        <f t="shared" si="6"/>
        <v>192032.2</v>
      </c>
    </row>
    <row r="139" spans="1:15" x14ac:dyDescent="0.2">
      <c r="A139" s="69">
        <v>45627</v>
      </c>
      <c r="B139" s="9">
        <f>SUM('Raw Data (KG)'!D139:D139)</f>
        <v>13076</v>
      </c>
      <c r="C139" s="9">
        <f>SUM('Raw Data (KG)'!E139:F139)</f>
        <v>875</v>
      </c>
      <c r="D139" s="8">
        <f>SUM('Raw Data (KG)'!G139:V139)</f>
        <v>71041.399999999994</v>
      </c>
      <c r="E139" s="9">
        <f>'Raw Data (KG)'!W139</f>
        <v>500.3</v>
      </c>
      <c r="F139" s="7">
        <f>'Raw Food Data (KG)'!Q100</f>
        <v>42777</v>
      </c>
      <c r="G139" s="9">
        <f>'Raw Data (KG)'!R139</f>
        <v>4805</v>
      </c>
      <c r="H139" s="9">
        <f>'Raw Data (KG)'!S139</f>
        <v>10635</v>
      </c>
      <c r="I139" s="352">
        <f>'Raw Data (KG)'!Q139</f>
        <v>12000</v>
      </c>
      <c r="J139" s="9">
        <f>'Raw Data (KG)'!P139</f>
        <v>324</v>
      </c>
      <c r="K139" s="62">
        <f>'Raw Data (KG)'!H139+SUM('Raw Data (KG)'!J139:K139)+SUM('Raw Data (KG)'!M139:O139)+'Raw Data (KG)'!T139</f>
        <v>104.4</v>
      </c>
      <c r="L139" s="15">
        <f t="shared" si="6"/>
        <v>156138.1</v>
      </c>
    </row>
    <row r="140" spans="1:15" x14ac:dyDescent="0.2">
      <c r="A140" s="369">
        <v>45658</v>
      </c>
      <c r="B140" s="9">
        <f>SUM('Raw Data (KG)'!D140:D140)</f>
        <v>12180</v>
      </c>
      <c r="C140" s="9">
        <f>SUM('Raw Data (KG)'!E140:F140)</f>
        <v>337</v>
      </c>
      <c r="D140" s="8">
        <f>SUM('Raw Data (KG)'!G140:V140)</f>
        <v>68941.5</v>
      </c>
      <c r="E140" s="9">
        <f>'Raw Data (KG)'!W140</f>
        <v>535.70000000000005</v>
      </c>
      <c r="F140" s="7">
        <f>'Raw Food Data (KG)'!Q101</f>
        <v>32055</v>
      </c>
      <c r="G140" s="9">
        <f>'Raw Data (KG)'!R140</f>
        <v>6125</v>
      </c>
      <c r="H140" s="9">
        <f>'Raw Data (KG)'!S140</f>
        <v>14663</v>
      </c>
      <c r="I140" s="352">
        <f>'Raw Data (KG)'!Q140</f>
        <v>15000</v>
      </c>
      <c r="J140" s="9">
        <f>'Raw Data (KG)'!P140</f>
        <v>702</v>
      </c>
      <c r="K140" s="62">
        <f>'Raw Data (KG)'!H140+SUM('Raw Data (KG)'!J140:K140)+SUM('Raw Data (KG)'!M140:O140)+'Raw Data (KG)'!T140</f>
        <v>8.5</v>
      </c>
      <c r="L140" s="15">
        <f t="shared" ref="L140:L145" si="7">SUM(B140:K140)</f>
        <v>150547.70000000001</v>
      </c>
    </row>
    <row r="141" spans="1:15" x14ac:dyDescent="0.2">
      <c r="A141" s="369">
        <v>45689</v>
      </c>
      <c r="B141" s="9">
        <f>SUM('Raw Data (KG)'!D141:D141)</f>
        <v>12819</v>
      </c>
      <c r="C141" s="9">
        <f>SUM('Raw Data (KG)'!E141:F141)</f>
        <v>854</v>
      </c>
      <c r="D141" s="8">
        <f>SUM('Raw Data (KG)'!G141:V141)</f>
        <v>71754.3</v>
      </c>
      <c r="E141" s="9">
        <f>'Raw Data (KG)'!W141</f>
        <v>307.5</v>
      </c>
      <c r="F141" s="7">
        <f>'Raw Food Data (KG)'!Q102</f>
        <v>41573.300000000003</v>
      </c>
      <c r="G141" s="9">
        <f>'Raw Data (KG)'!R141</f>
        <v>6455</v>
      </c>
      <c r="H141" s="9">
        <f>'Raw Data (KG)'!S141</f>
        <v>10741</v>
      </c>
      <c r="I141" s="352">
        <f>'Raw Data (KG)'!Q141</f>
        <v>12000</v>
      </c>
      <c r="J141" s="9">
        <f>'Raw Data (KG)'!P141</f>
        <v>403</v>
      </c>
      <c r="K141" s="62">
        <f>'Raw Data (KG)'!H141+SUM('Raw Data (KG)'!J141:K141)+SUM('Raw Data (KG)'!M141:O141)+'Raw Data (KG)'!T141</f>
        <v>144</v>
      </c>
      <c r="L141" s="15">
        <f t="shared" si="7"/>
        <v>157051.1</v>
      </c>
    </row>
    <row r="142" spans="1:15" x14ac:dyDescent="0.2">
      <c r="A142" s="369">
        <v>45717</v>
      </c>
      <c r="B142" s="9">
        <f>SUM('Raw Data (KG)'!D142:D142)</f>
        <v>13802</v>
      </c>
      <c r="C142" s="9">
        <f>SUM('Raw Data (KG)'!E142:F142)</f>
        <v>1033</v>
      </c>
      <c r="D142" s="8">
        <f>SUM('Raw Data (KG)'!G142:V142)</f>
        <v>85626.6</v>
      </c>
      <c r="E142" s="9">
        <f>'Raw Data (KG)'!W142</f>
        <v>913</v>
      </c>
      <c r="F142" s="7">
        <f>'Raw Food Data (KG)'!Q103</f>
        <v>49419.1</v>
      </c>
      <c r="G142" s="9">
        <f>'Raw Data (KG)'!R142</f>
        <v>5720</v>
      </c>
      <c r="H142" s="9">
        <f>'Raw Data (KG)'!S142</f>
        <v>10890</v>
      </c>
      <c r="I142" s="352">
        <f>'Raw Data (KG)'!Q142</f>
        <v>18000</v>
      </c>
      <c r="J142" s="9">
        <f>'Raw Data (KG)'!P142</f>
        <v>779.5</v>
      </c>
      <c r="K142" s="62">
        <f>'Raw Data (KG)'!H142+SUM('Raw Data (KG)'!J142:K142)+SUM('Raw Data (KG)'!M142:O142)+'Raw Data (KG)'!T142</f>
        <v>192</v>
      </c>
      <c r="L142" s="15">
        <f t="shared" si="7"/>
        <v>186375.2</v>
      </c>
      <c r="O142" s="14"/>
    </row>
    <row r="143" spans="1:15" x14ac:dyDescent="0.2">
      <c r="A143" s="369">
        <v>45748</v>
      </c>
      <c r="B143" s="9">
        <f>SUM('Raw Data (KG)'!D143:D143)</f>
        <v>13793</v>
      </c>
      <c r="C143" s="9">
        <f>SUM('Raw Data (KG)'!E143:F143)</f>
        <v>1358</v>
      </c>
      <c r="D143" s="8">
        <f>SUM('Raw Data (KG)'!G143:V143)</f>
        <v>76869.600000000006</v>
      </c>
      <c r="E143" s="9">
        <f>'Raw Data (KG)'!W143</f>
        <v>0</v>
      </c>
      <c r="F143" s="7">
        <f>'Raw Food Data (KG)'!Q104</f>
        <v>42293.100000000006</v>
      </c>
      <c r="G143" s="9">
        <f>'Raw Data (KG)'!R143</f>
        <v>5518</v>
      </c>
      <c r="H143" s="9">
        <f>'Raw Data (KG)'!S143</f>
        <v>13267</v>
      </c>
      <c r="I143" s="352">
        <f>'Raw Data (KG)'!Q143</f>
        <v>15000</v>
      </c>
      <c r="J143" s="9">
        <f>'Raw Data (KG)'!P143</f>
        <v>108.5</v>
      </c>
      <c r="K143" s="62">
        <f>'Raw Data (KG)'!H143+SUM('Raw Data (KG)'!J143:K143)+SUM('Raw Data (KG)'!M143:O143)+'Raw Data (KG)'!T143</f>
        <v>211</v>
      </c>
      <c r="L143" s="15">
        <f t="shared" si="7"/>
        <v>168418.2</v>
      </c>
    </row>
    <row r="144" spans="1:15" x14ac:dyDescent="0.2">
      <c r="A144" s="369">
        <v>45778</v>
      </c>
      <c r="B144" s="9">
        <f>SUM('Raw Data (KG)'!D144:D144)</f>
        <v>13599</v>
      </c>
      <c r="C144" s="9">
        <f>SUM('Raw Data (KG)'!E144:F144)</f>
        <v>1195</v>
      </c>
      <c r="D144" s="8">
        <f>SUM('Raw Data (KG)'!G144:V144)</f>
        <v>79513.000000000015</v>
      </c>
      <c r="E144" s="9">
        <f>'Raw Data (KG)'!W144</f>
        <v>774.4</v>
      </c>
      <c r="F144" s="7">
        <f>'Raw Food Data (KG)'!Q105</f>
        <v>44778.400000000009</v>
      </c>
      <c r="G144" s="9">
        <f>'Raw Data (KG)'!R144</f>
        <v>5925</v>
      </c>
      <c r="H144" s="9">
        <f>'Raw Data (KG)'!S144</f>
        <v>9595</v>
      </c>
      <c r="I144" s="352">
        <f>'Raw Data (KG)'!Q144</f>
        <v>18000</v>
      </c>
      <c r="J144" s="9">
        <f>'Raw Data (KG)'!P144</f>
        <v>475.5</v>
      </c>
      <c r="K144" s="62">
        <f>'Raw Data (KG)'!H144+SUM('Raw Data (KG)'!J144:K144)+SUM('Raw Data (KG)'!M144:O144)+'Raw Data (KG)'!T144</f>
        <v>196.1</v>
      </c>
      <c r="L144" s="15">
        <f t="shared" si="7"/>
        <v>174051.40000000002</v>
      </c>
    </row>
    <row r="145" spans="1:12" x14ac:dyDescent="0.2">
      <c r="A145" s="369">
        <v>45809</v>
      </c>
      <c r="B145" s="9">
        <f>SUM('Raw Data (KG)'!D145:D145)</f>
        <v>12886</v>
      </c>
      <c r="C145" s="9">
        <f>SUM('Raw Data (KG)'!E145:F145)</f>
        <v>979</v>
      </c>
      <c r="D145" s="8">
        <f>SUM('Raw Data (KG)'!G145:V145)</f>
        <v>74900.7</v>
      </c>
      <c r="E145" s="9">
        <f>'Raw Data (KG)'!W145</f>
        <v>314.60000000000002</v>
      </c>
      <c r="F145" s="7">
        <f>'Raw Food Data (KG)'!Q106</f>
        <v>31534.400000000001</v>
      </c>
      <c r="G145" s="9">
        <f>'Raw Data (KG)'!R145</f>
        <v>5780</v>
      </c>
      <c r="H145" s="9">
        <f>'Raw Data (KG)'!S145</f>
        <v>18235</v>
      </c>
      <c r="I145" s="352">
        <f>'Raw Data (KG)'!Q145</f>
        <v>18000</v>
      </c>
      <c r="J145" s="9">
        <f>'Raw Data (KG)'!P145</f>
        <v>671.5</v>
      </c>
      <c r="K145" s="62">
        <f>'Raw Data (KG)'!H145+SUM('Raw Data (KG)'!J145:K145)+SUM('Raw Data (KG)'!M145:O145)+'Raw Data (KG)'!T145</f>
        <v>203.8</v>
      </c>
      <c r="L145" s="15">
        <f t="shared" si="7"/>
        <v>163505</v>
      </c>
    </row>
    <row r="146" spans="1:12" x14ac:dyDescent="0.2">
      <c r="A146" s="369">
        <v>45839</v>
      </c>
      <c r="B146" s="9">
        <f>SUM('Raw Data (KG)'!D146:D146)</f>
        <v>14144</v>
      </c>
      <c r="C146" s="9">
        <f>SUM('Raw Data (KG)'!E146:F146)</f>
        <v>1062</v>
      </c>
      <c r="D146" s="8">
        <f>SUM('Raw Data (KG)'!G146:V146)</f>
        <v>64664.799999999996</v>
      </c>
      <c r="E146" s="9">
        <f>'Raw Data (KG)'!W146</f>
        <v>0</v>
      </c>
      <c r="F146" s="7">
        <f>'Raw Food Data (KG)'!Q107</f>
        <v>30759.799999999996</v>
      </c>
      <c r="G146" s="9">
        <f>'Raw Data (KG)'!R146</f>
        <v>6740</v>
      </c>
      <c r="H146" s="9">
        <f>'Raw Data (KG)'!S146</f>
        <v>13345</v>
      </c>
      <c r="I146" s="352">
        <f>'Raw Data (KG)'!Q146</f>
        <v>13120</v>
      </c>
      <c r="J146" s="9">
        <f>'Raw Data (KG)'!P146</f>
        <v>0</v>
      </c>
      <c r="K146" s="62">
        <f>'Raw Data (KG)'!H146+SUM('Raw Data (KG)'!J146:K146)+SUM('Raw Data (KG)'!M146:O146)+'Raw Data (KG)'!T146</f>
        <v>184</v>
      </c>
      <c r="L146" s="15">
        <f t="shared" ref="L146:L156" si="8">SUM(B146:K146)</f>
        <v>144019.59999999998</v>
      </c>
    </row>
    <row r="147" spans="1:12" x14ac:dyDescent="0.2">
      <c r="A147" s="369">
        <v>45870</v>
      </c>
      <c r="B147" s="9">
        <f>SUM('Raw Data (KG)'!D147:D147)</f>
        <v>14513</v>
      </c>
      <c r="C147" s="9">
        <f>SUM('Raw Data (KG)'!E147:F147)</f>
        <v>890</v>
      </c>
      <c r="D147" s="8">
        <f>SUM('Raw Data (KG)'!G147:V147)</f>
        <v>77380.2</v>
      </c>
      <c r="E147" s="9">
        <f>'Raw Data (KG)'!W147</f>
        <v>893</v>
      </c>
      <c r="F147" s="7">
        <f>'Raw Food Data (KG)'!Q108</f>
        <v>31994.2</v>
      </c>
      <c r="G147" s="9">
        <f>'Raw Data (KG)'!R147</f>
        <v>8680</v>
      </c>
      <c r="H147" s="9">
        <f>'Raw Data (KG)'!S147</f>
        <v>20840</v>
      </c>
      <c r="I147" s="352">
        <f>'Raw Data (KG)'!Q147</f>
        <v>15150</v>
      </c>
      <c r="J147" s="9">
        <f>'Raw Data (KG)'!P147</f>
        <v>0</v>
      </c>
      <c r="K147" s="62">
        <f>'Raw Data (KG)'!H147+SUM('Raw Data (KG)'!J147:K147)+SUM('Raw Data (KG)'!M147:O147)+'Raw Data (KG)'!T147</f>
        <v>171</v>
      </c>
      <c r="L147" s="15">
        <f t="shared" si="8"/>
        <v>170511.4</v>
      </c>
    </row>
    <row r="148" spans="1:12" x14ac:dyDescent="0.2">
      <c r="A148" s="369">
        <v>45901</v>
      </c>
      <c r="B148" s="9">
        <f>SUM('Raw Data (KG)'!D148:D148)</f>
        <v>14116</v>
      </c>
      <c r="C148" s="9">
        <f>SUM('Raw Data (KG)'!E148:F148)</f>
        <v>1915</v>
      </c>
      <c r="D148" s="8">
        <f>SUM('Raw Data (KG)'!G148:V148)</f>
        <v>81601.399999999994</v>
      </c>
      <c r="E148" s="9" t="str">
        <f>'Raw Data (KG)'!W148</f>
        <v>-</v>
      </c>
      <c r="F148" s="7">
        <f>'Raw Food Data (KG)'!Q109</f>
        <v>42403.399999999994</v>
      </c>
      <c r="G148" s="9">
        <f>'Raw Data (KG)'!R148</f>
        <v>11010</v>
      </c>
      <c r="H148" s="9">
        <f>'Raw Data (KG)'!S148</f>
        <v>13360</v>
      </c>
      <c r="I148" s="352">
        <f>'Raw Data (KG)'!Q148</f>
        <v>14305</v>
      </c>
      <c r="J148" s="9">
        <f>'Raw Data (KG)'!P148</f>
        <v>0</v>
      </c>
      <c r="K148" s="62">
        <f>'Raw Data (KG)'!H148+SUM('Raw Data (KG)'!J148:K148)+SUM('Raw Data (KG)'!M148:O148)+'Raw Data (KG)'!T148</f>
        <v>5</v>
      </c>
      <c r="L148" s="15">
        <f t="shared" si="8"/>
        <v>178715.8</v>
      </c>
    </row>
    <row r="149" spans="1:12" x14ac:dyDescent="0.2">
      <c r="A149" s="369">
        <v>45931</v>
      </c>
      <c r="B149" s="9">
        <f>SUM('Raw Data (KG)'!D149:D149)</f>
        <v>13952</v>
      </c>
      <c r="C149" s="9">
        <f>SUM('Raw Data (KG)'!E149:F149)</f>
        <v>1164</v>
      </c>
      <c r="D149" s="8">
        <f>SUM('Raw Data (KG)'!G149:V149)</f>
        <v>86429.299999999988</v>
      </c>
      <c r="E149" s="9">
        <f>'Raw Data (KG)'!W149</f>
        <v>191.2</v>
      </c>
      <c r="F149" s="7">
        <f>'Raw Food Data (KG)'!Q110</f>
        <v>47055.799999999996</v>
      </c>
      <c r="G149" s="9">
        <f>'Raw Data (KG)'!R149</f>
        <v>10020</v>
      </c>
      <c r="H149" s="9">
        <f>'Raw Data (KG)'!S149</f>
        <v>19145</v>
      </c>
      <c r="I149" s="352">
        <f>'Raw Data (KG)'!Q149</f>
        <v>9655</v>
      </c>
      <c r="J149" s="9">
        <f>'Raw Data (KG)'!P149</f>
        <v>0</v>
      </c>
      <c r="K149" s="62">
        <f>'Raw Data (KG)'!H149+SUM('Raw Data (KG)'!J149:K149)+SUM('Raw Data (KG)'!M149:O149)+'Raw Data (KG)'!T149</f>
        <v>53.5</v>
      </c>
      <c r="L149" s="15">
        <f t="shared" si="8"/>
        <v>187665.8</v>
      </c>
    </row>
    <row r="150" spans="1:12" x14ac:dyDescent="0.2">
      <c r="A150" s="369">
        <v>45962</v>
      </c>
      <c r="B150" s="9">
        <f>SUM('Raw Data (KG)'!D150:D150)</f>
        <v>14700</v>
      </c>
      <c r="C150" s="9">
        <f>SUM('Raw Data (KG)'!E150:F150)</f>
        <v>1502</v>
      </c>
      <c r="D150" s="8">
        <f>SUM('Raw Data (KG)'!G150:V150)</f>
        <v>86036.4</v>
      </c>
      <c r="E150" s="9">
        <f>'Raw Data (KG)'!W150</f>
        <v>946</v>
      </c>
      <c r="F150" s="7">
        <f>'Raw Food Data (KG)'!Q111</f>
        <v>51520.399999999994</v>
      </c>
      <c r="G150" s="9">
        <f>'Raw Data (KG)'!R150</f>
        <v>8905</v>
      </c>
      <c r="H150" s="9">
        <f>'Raw Data (KG)'!S150</f>
        <v>15420</v>
      </c>
      <c r="I150" s="352">
        <f>'Raw Data (KG)'!Q150</f>
        <v>9530</v>
      </c>
      <c r="J150" s="9">
        <f>'Raw Data (KG)'!P150</f>
        <v>0</v>
      </c>
      <c r="K150" s="62">
        <f>'Raw Data (KG)'!H150+SUM('Raw Data (KG)'!J150:K150)+SUM('Raw Data (KG)'!M150:O150)+'Raw Data (KG)'!T150</f>
        <v>57</v>
      </c>
      <c r="L150" s="15">
        <f t="shared" si="8"/>
        <v>188616.8</v>
      </c>
    </row>
    <row r="151" spans="1:12" x14ac:dyDescent="0.2">
      <c r="A151" s="369">
        <v>45992</v>
      </c>
      <c r="B151" s="9">
        <f>SUM('Raw Data (KG)'!D151:D151)</f>
        <v>12838</v>
      </c>
      <c r="C151" s="9">
        <f>SUM('Raw Data (KG)'!E151:F151)</f>
        <v>397</v>
      </c>
      <c r="D151" s="8">
        <f>SUM('Raw Data (KG)'!G151:V151)</f>
        <v>74335.100000000006</v>
      </c>
      <c r="E151" s="9">
        <f>'Raw Data (KG)'!W151</f>
        <v>0</v>
      </c>
      <c r="F151" s="7">
        <f>'Raw Food Data (KG)'!Q112</f>
        <v>40105.1</v>
      </c>
      <c r="G151" s="9">
        <f>'Raw Data (KG)'!R151</f>
        <v>10775</v>
      </c>
      <c r="H151" s="9">
        <f>'Raw Data (KG)'!S151</f>
        <v>11475</v>
      </c>
      <c r="I151" s="352">
        <f>'Raw Data (KG)'!Q151</f>
        <v>11380</v>
      </c>
      <c r="J151" s="9">
        <f>'Raw Data (KG)'!P151</f>
        <v>0</v>
      </c>
      <c r="K151" s="62">
        <f>'Raw Data (KG)'!H151+SUM('Raw Data (KG)'!J151:K151)+SUM('Raw Data (KG)'!M151:O151)+'Raw Data (KG)'!T151</f>
        <v>73</v>
      </c>
      <c r="L151" s="15">
        <f t="shared" si="8"/>
        <v>161378.20000000001</v>
      </c>
    </row>
    <row r="152" spans="1:12" x14ac:dyDescent="0.2">
      <c r="A152" s="369">
        <v>46023</v>
      </c>
      <c r="B152" s="9">
        <f>SUM('Raw Data (KG)'!D152:D152)</f>
        <v>13661</v>
      </c>
      <c r="C152" s="9">
        <f>SUM('Raw Data (KG)'!E152:F152)</f>
        <v>997</v>
      </c>
      <c r="D152" s="8">
        <f>SUM('Raw Data (KG)'!G152:V152)</f>
        <v>62290</v>
      </c>
      <c r="E152" s="9">
        <f>'Raw Data (KG)'!W152</f>
        <v>1116</v>
      </c>
      <c r="F152" s="7">
        <f>'Raw Food Data (KG)'!Q113</f>
        <v>30488.999999999996</v>
      </c>
      <c r="G152" s="9">
        <f>'Raw Data (KG)'!R152</f>
        <v>11975</v>
      </c>
      <c r="H152" s="9">
        <f>'Raw Data (KG)'!S152</f>
        <v>8510</v>
      </c>
      <c r="I152" s="352">
        <f>'Raw Data (KG)'!Q152</f>
        <v>10865</v>
      </c>
      <c r="J152" s="9">
        <f>'Raw Data (KG)'!P152</f>
        <v>0</v>
      </c>
      <c r="K152" s="62">
        <f>'Raw Data (KG)'!H152+SUM('Raw Data (KG)'!J152:K152)+SUM('Raw Data (KG)'!M152:O152)+'Raw Data (KG)'!T152</f>
        <v>61</v>
      </c>
      <c r="L152" s="15">
        <f t="shared" si="8"/>
        <v>139964</v>
      </c>
    </row>
    <row r="153" spans="1:12" x14ac:dyDescent="0.2">
      <c r="A153" s="369">
        <v>46054</v>
      </c>
      <c r="B153" s="9">
        <f>SUM('Raw Data (KG)'!D153:D153)</f>
        <v>11648</v>
      </c>
      <c r="C153" s="9">
        <f>SUM('Raw Data (KG)'!E153:F153)</f>
        <v>609</v>
      </c>
      <c r="D153" s="8">
        <f>SUM('Raw Data (KG)'!G153:V153)</f>
        <v>41952</v>
      </c>
      <c r="E153" s="9">
        <f>'Raw Data (KG)'!W153</f>
        <v>0</v>
      </c>
      <c r="F153" s="7">
        <f>'Raw Food Data (KG)'!Q114</f>
        <v>27489.000000000004</v>
      </c>
      <c r="G153" s="9">
        <f>'Raw Data (KG)'!R153</f>
        <v>12319</v>
      </c>
      <c r="H153" s="9">
        <f>'Raw Data (KG)'!S153</f>
        <v>8672</v>
      </c>
      <c r="I153" s="352">
        <f>'Raw Data (KG)'!Q153</f>
        <v>20659</v>
      </c>
      <c r="J153" s="9">
        <f>'Raw Data (KG)'!P153</f>
        <v>0</v>
      </c>
      <c r="K153" s="62">
        <f>'Raw Data (KG)'!H153+SUM('Raw Data (KG)'!J153:K153)+SUM('Raw Data (KG)'!M153:O153)+'Raw Data (KG)'!T153</f>
        <v>0</v>
      </c>
      <c r="L153" s="15">
        <f t="shared" si="8"/>
        <v>123348</v>
      </c>
    </row>
    <row r="154" spans="1:12" x14ac:dyDescent="0.2">
      <c r="A154" s="369">
        <v>46082</v>
      </c>
      <c r="B154" s="9">
        <f>SUM('Raw Data (KG)'!D154:D154)</f>
        <v>13565</v>
      </c>
      <c r="C154" s="9">
        <f>SUM('Raw Data (KG)'!E154:F154)</f>
        <v>1687</v>
      </c>
      <c r="D154" s="8">
        <f>SUM('Raw Data (KG)'!G154:V154)</f>
        <v>35308.5</v>
      </c>
      <c r="E154" s="9">
        <f>'Raw Data (KG)'!W154</f>
        <v>672.9</v>
      </c>
      <c r="F154" s="7">
        <f>'Raw Food Data (KG)'!Q115</f>
        <v>0</v>
      </c>
      <c r="G154" s="9">
        <f>'Raw Data (KG)'!R154</f>
        <v>12478</v>
      </c>
      <c r="H154" s="9">
        <f>'Raw Data (KG)'!S154</f>
        <v>12330</v>
      </c>
      <c r="I154" s="352">
        <f>'Raw Data (KG)'!Q154</f>
        <v>10009</v>
      </c>
      <c r="J154" s="9">
        <f>'Raw Data (KG)'!P154</f>
        <v>0</v>
      </c>
      <c r="K154" s="62">
        <f>'Raw Data (KG)'!H154+SUM('Raw Data (KG)'!J154:K154)+SUM('Raw Data (KG)'!M154:O154)+'Raw Data (KG)'!T154</f>
        <v>59.5</v>
      </c>
      <c r="L154" s="15">
        <f t="shared" si="8"/>
        <v>86109.9</v>
      </c>
    </row>
    <row r="155" spans="1:12" x14ac:dyDescent="0.2">
      <c r="A155" s="369">
        <v>46113</v>
      </c>
      <c r="B155" s="9">
        <f>SUM('Raw Data (KG)'!D155:D155)</f>
        <v>12906</v>
      </c>
      <c r="C155" s="9">
        <f>SUM('Raw Data (KG)'!E155:F155)</f>
        <v>340</v>
      </c>
      <c r="D155" s="8">
        <f>SUM('Raw Data (KG)'!G155:V155)</f>
        <v>27748</v>
      </c>
      <c r="E155" s="9">
        <f>'Raw Data (KG)'!W155</f>
        <v>0</v>
      </c>
      <c r="F155" s="7">
        <f>'Raw Food Data (KG)'!Q116</f>
        <v>0</v>
      </c>
      <c r="G155" s="9">
        <f>'Raw Data (KG)'!R155</f>
        <v>11114</v>
      </c>
      <c r="H155" s="9">
        <f>'Raw Data (KG)'!S155</f>
        <v>9640</v>
      </c>
      <c r="I155" s="352">
        <f>'Raw Data (KG)'!Q155</f>
        <v>6591</v>
      </c>
      <c r="J155" s="9">
        <f>'Raw Data (KG)'!P155</f>
        <v>0</v>
      </c>
      <c r="K155" s="62">
        <f>'Raw Data (KG)'!H155+SUM('Raw Data (KG)'!J155:K155)+SUM('Raw Data (KG)'!M155:O155)+'Raw Data (KG)'!T155</f>
        <v>26</v>
      </c>
      <c r="L155" s="15">
        <f t="shared" si="8"/>
        <v>68365</v>
      </c>
    </row>
    <row r="156" spans="1:12" x14ac:dyDescent="0.2">
      <c r="A156" s="369">
        <v>46143</v>
      </c>
      <c r="B156" s="9">
        <f>SUM('Raw Data (KG)'!D156:D156)</f>
        <v>13759</v>
      </c>
      <c r="C156" s="9">
        <f>SUM('Raw Data (KG)'!E156:F156)</f>
        <v>0</v>
      </c>
      <c r="D156" s="8">
        <f>SUM('Raw Data (KG)'!G156:V156)</f>
        <v>33634</v>
      </c>
      <c r="E156" s="9">
        <f>'Raw Data (KG)'!W156</f>
        <v>1073.5</v>
      </c>
      <c r="F156" s="7">
        <f>'Raw Food Data (KG)'!Q117</f>
        <v>0</v>
      </c>
      <c r="G156" s="9">
        <f>'Raw Data (KG)'!R156</f>
        <v>10244</v>
      </c>
      <c r="H156" s="9">
        <f>'Raw Data (KG)'!S156</f>
        <v>11378</v>
      </c>
      <c r="I156" s="352">
        <f>'Raw Data (KG)'!Q156</f>
        <v>12012</v>
      </c>
      <c r="J156" s="9">
        <f>'Raw Data (KG)'!P156</f>
        <v>0</v>
      </c>
      <c r="K156" s="62">
        <f>'Raw Data (KG)'!H156+SUM('Raw Data (KG)'!J156:K156)+SUM('Raw Data (KG)'!M156:O156)+'Raw Data (KG)'!T156</f>
        <v>0</v>
      </c>
      <c r="L156" s="15">
        <f t="shared" si="8"/>
        <v>82100.5</v>
      </c>
    </row>
    <row r="157" spans="1:12" x14ac:dyDescent="0.2">
      <c r="A157" s="369">
        <v>46174</v>
      </c>
    </row>
    <row r="158" spans="1:12" x14ac:dyDescent="0.2">
      <c r="A158" s="369">
        <v>46204</v>
      </c>
    </row>
    <row r="159" spans="1:12" x14ac:dyDescent="0.2">
      <c r="A159" s="369">
        <v>46235</v>
      </c>
    </row>
  </sheetData>
  <mergeCells count="1">
    <mergeCell ref="O1:P1"/>
  </mergeCells>
  <pageMargins left="0.7" right="0.7" top="0.75" bottom="0.75" header="0.3" footer="0.3"/>
  <pageSetup orientation="portrait" r:id="rId1"/>
  <ignoredErrors>
    <ignoredError sqref="C1 C2:C3" formulaRange="1"/>
  </ignoredErrors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1ED3-7BD5-4B73-9C8E-1EF4D1F78AB6}">
  <dimension ref="A1:Q20"/>
  <sheetViews>
    <sheetView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Q15" sqref="Q15:Q17"/>
    </sheetView>
  </sheetViews>
  <sheetFormatPr baseColWidth="10" defaultColWidth="8.6640625" defaultRowHeight="16" x14ac:dyDescent="0.2"/>
  <cols>
    <col min="1" max="1" width="13.33203125" style="13" customWidth="1"/>
    <col min="2" max="2" width="15.6640625" style="1" customWidth="1"/>
    <col min="3" max="5" width="10.83203125" style="1" customWidth="1"/>
    <col min="6" max="10" width="13.33203125" style="1" customWidth="1"/>
    <col min="11" max="11" width="25.6640625" style="1" customWidth="1"/>
    <col min="12" max="13" width="15.6640625" style="1" customWidth="1"/>
    <col min="14" max="14" width="11" style="1" customWidth="1"/>
    <col min="15" max="15" width="14.33203125" style="1" customWidth="1"/>
    <col min="16" max="17" width="10.83203125" style="1" customWidth="1"/>
    <col min="18" max="18" width="8.5" style="1" bestFit="1" customWidth="1"/>
    <col min="19" max="16384" width="8.6640625" style="1"/>
  </cols>
  <sheetData>
    <row r="1" spans="1:17" s="18" customFormat="1" ht="68" x14ac:dyDescent="0.2">
      <c r="A1" s="17" t="s">
        <v>28</v>
      </c>
      <c r="B1" s="17" t="s">
        <v>475</v>
      </c>
      <c r="C1" s="17" t="s">
        <v>476</v>
      </c>
      <c r="D1" s="17" t="s">
        <v>477</v>
      </c>
      <c r="E1" s="17" t="s">
        <v>478</v>
      </c>
      <c r="F1" s="17" t="s">
        <v>26</v>
      </c>
      <c r="G1" s="17" t="s">
        <v>479</v>
      </c>
      <c r="H1" s="17" t="s">
        <v>480</v>
      </c>
      <c r="I1" s="17" t="s">
        <v>481</v>
      </c>
      <c r="J1" s="17" t="s">
        <v>498</v>
      </c>
      <c r="K1" s="17" t="s">
        <v>648</v>
      </c>
      <c r="L1" s="17" t="s">
        <v>649</v>
      </c>
      <c r="M1" s="17" t="s">
        <v>646</v>
      </c>
      <c r="N1" s="17" t="s">
        <v>650</v>
      </c>
      <c r="O1" s="17" t="s">
        <v>651</v>
      </c>
      <c r="P1" s="18" t="s">
        <v>652</v>
      </c>
      <c r="Q1" s="18" t="s">
        <v>653</v>
      </c>
    </row>
    <row r="2" spans="1:17" x14ac:dyDescent="0.2">
      <c r="A2" s="371" t="s">
        <v>133</v>
      </c>
      <c r="B2" s="62">
        <v>170720</v>
      </c>
      <c r="C2" s="8">
        <v>202</v>
      </c>
      <c r="D2" s="9">
        <v>1713</v>
      </c>
      <c r="E2" s="8"/>
      <c r="F2" s="8"/>
      <c r="G2" s="8"/>
      <c r="H2" s="8"/>
      <c r="I2" s="8"/>
      <c r="J2" s="8"/>
      <c r="K2" s="8"/>
      <c r="L2" s="8"/>
      <c r="M2" s="7"/>
    </row>
    <row r="3" spans="1:17" x14ac:dyDescent="0.2">
      <c r="A3" s="371" t="s">
        <v>134</v>
      </c>
      <c r="B3" s="62">
        <v>111620</v>
      </c>
      <c r="C3" s="8">
        <v>135</v>
      </c>
      <c r="D3" s="9">
        <v>1500</v>
      </c>
      <c r="E3" s="8"/>
      <c r="F3" s="8"/>
      <c r="G3" s="8"/>
      <c r="H3" s="8"/>
      <c r="I3" s="8"/>
      <c r="J3" s="8"/>
      <c r="K3" s="8"/>
      <c r="L3" s="8"/>
      <c r="M3" s="7"/>
    </row>
    <row r="4" spans="1:17" x14ac:dyDescent="0.2">
      <c r="A4" s="371" t="s">
        <v>135</v>
      </c>
      <c r="B4" s="62">
        <v>89515</v>
      </c>
      <c r="C4" s="8">
        <v>1260</v>
      </c>
      <c r="D4" s="9">
        <v>3088</v>
      </c>
      <c r="E4" s="8"/>
      <c r="F4" s="8"/>
      <c r="G4" s="8"/>
      <c r="H4" s="8"/>
      <c r="I4" s="8"/>
      <c r="J4" s="8"/>
      <c r="K4" s="8"/>
      <c r="L4" s="8"/>
      <c r="M4" s="7"/>
    </row>
    <row r="5" spans="1:17" x14ac:dyDescent="0.2">
      <c r="A5" s="371" t="s">
        <v>118</v>
      </c>
      <c r="B5" s="62">
        <v>79200</v>
      </c>
      <c r="C5" s="9">
        <v>2309</v>
      </c>
      <c r="D5" s="9">
        <v>5110</v>
      </c>
      <c r="E5" s="185"/>
      <c r="F5" s="8"/>
      <c r="G5" s="9"/>
      <c r="H5" s="9"/>
      <c r="I5" s="9"/>
      <c r="J5" s="372"/>
      <c r="K5" s="8"/>
      <c r="L5" s="9"/>
      <c r="M5" s="7"/>
    </row>
    <row r="6" spans="1:17" x14ac:dyDescent="0.2">
      <c r="A6" s="538" t="s">
        <v>58</v>
      </c>
      <c r="B6" s="62">
        <v>76830</v>
      </c>
      <c r="C6" s="9">
        <v>2370</v>
      </c>
      <c r="D6" s="9">
        <v>4940</v>
      </c>
      <c r="E6" s="185">
        <v>11567</v>
      </c>
      <c r="F6" s="8">
        <v>2851.0000000000005</v>
      </c>
      <c r="G6" s="9">
        <v>0</v>
      </c>
      <c r="H6" s="9">
        <v>0</v>
      </c>
      <c r="I6" s="9">
        <v>0</v>
      </c>
      <c r="J6" s="372">
        <v>10000</v>
      </c>
      <c r="K6" s="62">
        <v>5568.6609999999928</v>
      </c>
      <c r="L6" s="9">
        <v>3322000</v>
      </c>
      <c r="M6" s="9">
        <f t="shared" ref="M6:M13" si="0">SUM(B6:K6)</f>
        <v>114126.66099999999</v>
      </c>
      <c r="N6" s="539">
        <f>L6/'Yearly GHG (mCO2)'!G6</f>
        <v>203.30477356181152</v>
      </c>
      <c r="O6" s="531">
        <f>L6/'Yearly GHG (mCO2)'!H6</f>
        <v>7.0149406918228241</v>
      </c>
      <c r="P6" s="202">
        <f t="shared" ref="P6:P16" si="1">M6/(M6+L6)</f>
        <v>3.321375265217559E-2</v>
      </c>
    </row>
    <row r="7" spans="1:17" x14ac:dyDescent="0.2">
      <c r="A7" s="371" t="s">
        <v>61</v>
      </c>
      <c r="B7" s="62">
        <v>73386.849998000005</v>
      </c>
      <c r="C7" s="9">
        <v>2019.9999999999995</v>
      </c>
      <c r="D7" s="9">
        <v>5530</v>
      </c>
      <c r="E7" s="185">
        <v>20945</v>
      </c>
      <c r="F7" s="8">
        <v>7846.0000000000009</v>
      </c>
      <c r="G7" s="9">
        <v>0</v>
      </c>
      <c r="H7" s="9">
        <v>0</v>
      </c>
      <c r="I7" s="9">
        <v>0</v>
      </c>
      <c r="J7" s="372">
        <v>18400</v>
      </c>
      <c r="K7" s="62">
        <v>6179.601999999999</v>
      </c>
      <c r="L7" s="9">
        <v>3187000</v>
      </c>
      <c r="M7" s="9">
        <f t="shared" si="0"/>
        <v>134307.451998</v>
      </c>
      <c r="N7" s="530">
        <f>L7/'Yearly GHG (mCO2)'!G7</f>
        <v>191.7453823476325</v>
      </c>
      <c r="O7" s="531">
        <f>L7/'Yearly GHG (mCO2)'!H7</f>
        <v>6.6382903603283978</v>
      </c>
      <c r="P7" s="202">
        <f t="shared" si="1"/>
        <v>4.0438126833817999E-2</v>
      </c>
      <c r="Q7" s="202">
        <f t="shared" ref="Q7:Q17" si="2">(L7-L6)/L6</f>
        <v>-4.0638169777242626E-2</v>
      </c>
    </row>
    <row r="8" spans="1:17" x14ac:dyDescent="0.2">
      <c r="A8" s="371" t="s">
        <v>63</v>
      </c>
      <c r="B8" s="62">
        <v>126070.09999899998</v>
      </c>
      <c r="C8" s="9">
        <v>2989.9999999999995</v>
      </c>
      <c r="D8" s="9">
        <v>21116.999999999996</v>
      </c>
      <c r="E8" s="185">
        <v>22872</v>
      </c>
      <c r="F8" s="8">
        <v>185918</v>
      </c>
      <c r="G8" s="9">
        <v>128.5</v>
      </c>
      <c r="H8" s="9">
        <v>0</v>
      </c>
      <c r="I8" s="9">
        <v>0</v>
      </c>
      <c r="J8" s="372">
        <v>28600.000000000004</v>
      </c>
      <c r="K8" s="62">
        <v>8734.442999999912</v>
      </c>
      <c r="L8" s="9">
        <v>2961000</v>
      </c>
      <c r="M8" s="9">
        <f t="shared" si="0"/>
        <v>396430.04299899988</v>
      </c>
      <c r="N8" s="530">
        <f>L8/'Yearly GHG (mCO2)'!G8</f>
        <v>171.16101621434146</v>
      </c>
      <c r="O8" s="531">
        <f>L8/'Yearly GHG (mCO2)'!H8</f>
        <v>5.8287401574803148</v>
      </c>
      <c r="P8" s="202">
        <f t="shared" si="1"/>
        <v>0.1180754439919444</v>
      </c>
      <c r="Q8" s="202">
        <f t="shared" si="2"/>
        <v>-7.0913084405396926E-2</v>
      </c>
    </row>
    <row r="9" spans="1:17" x14ac:dyDescent="0.2">
      <c r="A9" s="371" t="s">
        <v>64</v>
      </c>
      <c r="B9" s="62">
        <v>128138.75000000001</v>
      </c>
      <c r="C9" s="9">
        <v>2849.9999999999995</v>
      </c>
      <c r="D9" s="7">
        <v>11869.7</v>
      </c>
      <c r="E9" s="185">
        <v>24517.999999999993</v>
      </c>
      <c r="F9" s="9">
        <v>304749.99999999994</v>
      </c>
      <c r="G9" s="9">
        <v>0</v>
      </c>
      <c r="H9" s="9">
        <v>21000</v>
      </c>
      <c r="I9" s="9">
        <v>47870</v>
      </c>
      <c r="J9" s="372">
        <v>16200</v>
      </c>
      <c r="K9" s="62">
        <v>8559.4940000000643</v>
      </c>
      <c r="L9" s="9">
        <v>2902000</v>
      </c>
      <c r="M9" s="9">
        <f t="shared" si="0"/>
        <v>565755.94400000002</v>
      </c>
      <c r="N9" s="530">
        <f>L9/'Yearly GHG (mCO2)'!G9</f>
        <v>161.91034117220408</v>
      </c>
      <c r="O9" s="531">
        <f>L9/'Yearly GHG (mCO2)'!H9</f>
        <v>5.661113495376692</v>
      </c>
      <c r="P9" s="202">
        <f t="shared" si="1"/>
        <v>0.16314756665009411</v>
      </c>
      <c r="Q9" s="202">
        <f t="shared" si="2"/>
        <v>-1.9925700776764605E-2</v>
      </c>
    </row>
    <row r="10" spans="1:17" x14ac:dyDescent="0.2">
      <c r="A10" s="371" t="s">
        <v>65</v>
      </c>
      <c r="B10" s="62">
        <v>116432</v>
      </c>
      <c r="C10" s="9">
        <v>2299.9999999999995</v>
      </c>
      <c r="D10" s="62">
        <v>10285.750000000002</v>
      </c>
      <c r="E10" s="185">
        <v>18298</v>
      </c>
      <c r="F10" s="9">
        <v>304621.44999999995</v>
      </c>
      <c r="G10" s="9">
        <v>46080</v>
      </c>
      <c r="H10" s="9">
        <v>145000</v>
      </c>
      <c r="I10" s="9">
        <v>91500</v>
      </c>
      <c r="J10" s="372">
        <v>4456</v>
      </c>
      <c r="K10" s="62">
        <v>6606.6600000000326</v>
      </c>
      <c r="L10" s="9">
        <v>2323000</v>
      </c>
      <c r="M10" s="9">
        <f t="shared" si="0"/>
        <v>745579.86</v>
      </c>
      <c r="N10" s="530">
        <f>L10/'Yearly GHG (mCO2)'!G10</f>
        <v>125.50990085636329</v>
      </c>
      <c r="O10" s="531">
        <f>L10/'Yearly GHG (mCO2)'!H10</f>
        <v>4.5097589290406983</v>
      </c>
      <c r="P10" s="202">
        <f t="shared" si="1"/>
        <v>0.24297228490576095</v>
      </c>
      <c r="Q10" s="202">
        <f t="shared" si="2"/>
        <v>-0.19951757408683665</v>
      </c>
    </row>
    <row r="11" spans="1:17" x14ac:dyDescent="0.2">
      <c r="A11" s="371" t="s">
        <v>66</v>
      </c>
      <c r="B11" s="62">
        <v>152149.6</v>
      </c>
      <c r="C11" s="9">
        <v>7251</v>
      </c>
      <c r="D11" s="62">
        <v>5562.75</v>
      </c>
      <c r="E11" s="185">
        <v>12691</v>
      </c>
      <c r="F11" s="9">
        <v>268845.5</v>
      </c>
      <c r="G11" s="9">
        <v>75520</v>
      </c>
      <c r="H11" s="9">
        <v>210000</v>
      </c>
      <c r="I11" s="9">
        <v>156900</v>
      </c>
      <c r="J11" s="372">
        <v>4373</v>
      </c>
      <c r="K11" s="62">
        <v>3948.4450000000652</v>
      </c>
      <c r="L11" s="9">
        <v>1790000</v>
      </c>
      <c r="M11" s="9">
        <f t="shared" si="0"/>
        <v>897241.29500000004</v>
      </c>
      <c r="N11" s="530">
        <f>L11/'Yearly GHG (mCO2)'!G11</f>
        <v>101.25007070535663</v>
      </c>
      <c r="O11" s="531">
        <f>L11/'Yearly GHG (mCO2)'!H11</f>
        <v>3.4750187184601158</v>
      </c>
      <c r="P11" s="202">
        <f t="shared" si="1"/>
        <v>0.33388936701346728</v>
      </c>
      <c r="Q11" s="202">
        <f t="shared" si="2"/>
        <v>-0.22944468359879466</v>
      </c>
    </row>
    <row r="12" spans="1:17" x14ac:dyDescent="0.2">
      <c r="A12" s="371" t="s">
        <v>68</v>
      </c>
      <c r="B12" s="62">
        <v>158697</v>
      </c>
      <c r="C12" s="9">
        <v>10127</v>
      </c>
      <c r="D12" s="62">
        <v>6493</v>
      </c>
      <c r="E12" s="185">
        <v>8395</v>
      </c>
      <c r="F12" s="9">
        <v>392921</v>
      </c>
      <c r="G12" s="9">
        <v>59200</v>
      </c>
      <c r="H12" s="9">
        <v>230500</v>
      </c>
      <c r="I12" s="9">
        <v>156100</v>
      </c>
      <c r="J12" s="372">
        <v>4627</v>
      </c>
      <c r="K12" s="62">
        <v>4471.9290000000001</v>
      </c>
      <c r="L12" s="9">
        <v>1440000</v>
      </c>
      <c r="M12" s="9">
        <f t="shared" si="0"/>
        <v>1031531.929</v>
      </c>
      <c r="N12" s="530">
        <f>L12/'Yearly GHG (mCO2)'!G12</f>
        <v>73.033422934523514</v>
      </c>
      <c r="O12" s="531">
        <f>L12/'Yearly GHG (mCO2)'!H12</f>
        <v>2.5550262156335668</v>
      </c>
      <c r="P12" s="202">
        <f t="shared" si="1"/>
        <v>0.41736540681364592</v>
      </c>
      <c r="Q12" s="202">
        <f t="shared" si="2"/>
        <v>-0.19553072625698323</v>
      </c>
    </row>
    <row r="13" spans="1:17" x14ac:dyDescent="0.2">
      <c r="A13" s="371" t="s">
        <v>70</v>
      </c>
      <c r="B13" s="62">
        <v>153272</v>
      </c>
      <c r="C13" s="9">
        <v>8474</v>
      </c>
      <c r="D13" s="7">
        <v>4504</v>
      </c>
      <c r="E13" s="185">
        <v>6526</v>
      </c>
      <c r="F13" s="9">
        <v>389824</v>
      </c>
      <c r="G13" s="9">
        <v>78400</v>
      </c>
      <c r="H13" s="9">
        <v>343000</v>
      </c>
      <c r="I13" s="9">
        <v>125058</v>
      </c>
      <c r="J13" s="372">
        <v>5621</v>
      </c>
      <c r="K13" s="62">
        <v>5233.8680000000004</v>
      </c>
      <c r="L13" s="9">
        <v>1575000</v>
      </c>
      <c r="M13" s="9">
        <f t="shared" si="0"/>
        <v>1119912.868</v>
      </c>
      <c r="N13" s="530">
        <f>L13/'Yearly GHG (mCO2)'!G13</f>
        <v>76.668451540670787</v>
      </c>
      <c r="O13" s="531">
        <f>L13/'Yearly GHG (mCO2)'!H13</f>
        <v>2.7248793159601372</v>
      </c>
      <c r="P13" s="202">
        <f t="shared" si="1"/>
        <v>0.41556552024300925</v>
      </c>
      <c r="Q13" s="202">
        <f t="shared" si="2"/>
        <v>9.375E-2</v>
      </c>
    </row>
    <row r="14" spans="1:17" x14ac:dyDescent="0.2">
      <c r="A14" s="371" t="s">
        <v>72</v>
      </c>
      <c r="B14" s="9">
        <f>SUM('Monthly Recycling'!B110:B121)</f>
        <v>130473</v>
      </c>
      <c r="C14" s="9">
        <f>SUM('Monthly Recycling'!C110:C121)</f>
        <v>10957</v>
      </c>
      <c r="D14" s="8">
        <f>SUM('Monthly Recycling'!D110:D121)</f>
        <v>1006227.5000000002</v>
      </c>
      <c r="E14" s="9">
        <f>SUM('Monthly Recycling'!E110:E121)</f>
        <v>7874</v>
      </c>
      <c r="F14" s="7">
        <f>SUM('Monthly Recycling'!F110:F121)</f>
        <v>431763.1</v>
      </c>
      <c r="G14" s="7">
        <f>SUM('Monthly Recycling'!G110:G121)</f>
        <v>80000</v>
      </c>
      <c r="H14" s="9">
        <f>SUM('Monthly Recycling'!H110:H121)</f>
        <v>318500</v>
      </c>
      <c r="I14" s="9">
        <f>SUM('Monthly Recycling'!I110:I121)</f>
        <v>162000</v>
      </c>
      <c r="J14" s="9">
        <f>SUM('Monthly Recycling'!J110:J121)</f>
        <v>3882</v>
      </c>
      <c r="K14" s="62">
        <f>SUM('Monthly Recycling'!K110:K121)</f>
        <v>1429</v>
      </c>
      <c r="L14" s="9">
        <f>SUM('Raw Data (KG)'!B110:C121)</f>
        <v>1828310</v>
      </c>
      <c r="M14" s="9">
        <f>SUM(B14:K14)</f>
        <v>2153105.6</v>
      </c>
      <c r="N14" s="530">
        <f>L14/'Yearly GHG (mCO2)'!G14</f>
        <v>85.049541796529752</v>
      </c>
      <c r="O14" s="531">
        <f>L14/'Yearly GHG (mCO2)'!H14</f>
        <v>3.163127782189489</v>
      </c>
      <c r="P14" s="202">
        <f t="shared" si="1"/>
        <v>0.54078895958512851</v>
      </c>
      <c r="Q14" s="202">
        <f t="shared" si="2"/>
        <v>0.16083174603174602</v>
      </c>
    </row>
    <row r="15" spans="1:17" x14ac:dyDescent="0.2">
      <c r="A15" s="371" t="s">
        <v>74</v>
      </c>
      <c r="B15" s="9">
        <f>SUM('Monthly Recycling'!B122:B133)</f>
        <v>148677</v>
      </c>
      <c r="C15" s="9">
        <f>SUM('Monthly Recycling'!C122:C133)</f>
        <v>8584</v>
      </c>
      <c r="D15" s="8">
        <f>SUM('Monthly Recycling'!D122:D133)</f>
        <v>918636.94999999984</v>
      </c>
      <c r="E15" s="9">
        <f>SUM('Monthly Recycling'!E122:E133)</f>
        <v>8057</v>
      </c>
      <c r="F15" s="7">
        <f>SUM('Monthly Recycling'!F122:F133)</f>
        <v>409447.3</v>
      </c>
      <c r="G15" s="7">
        <f>SUM('Monthly Recycling'!G122:G133)</f>
        <v>135941</v>
      </c>
      <c r="H15" s="9">
        <f>SUM('Monthly Recycling'!H122:H133)</f>
        <v>177062</v>
      </c>
      <c r="I15" s="9">
        <f>SUM('Monthly Recycling'!I122:I133)</f>
        <v>183000</v>
      </c>
      <c r="J15" s="9">
        <f>SUM('Monthly Recycling'!J122:J133)</f>
        <v>7093.1</v>
      </c>
      <c r="K15" s="62">
        <f>SUM('Monthly Recycling'!K122:K133)</f>
        <v>1532.3999999999999</v>
      </c>
      <c r="L15" s="9">
        <f>SUM('Raw Data (KG)'!B122:C133)</f>
        <v>1752328.5999999999</v>
      </c>
      <c r="M15" s="9">
        <f>SUM(B15:K15)</f>
        <v>1998030.7499999998</v>
      </c>
      <c r="N15" s="530">
        <f>L15/'Yearly GHG (mCO2)'!G15</f>
        <v>79.044097613785013</v>
      </c>
      <c r="O15" s="531">
        <f>L15/'Yearly GHG (mCO2)'!H15</f>
        <v>2.9837433508374027</v>
      </c>
      <c r="P15" s="202">
        <f t="shared" si="1"/>
        <v>0.53275714765839699</v>
      </c>
      <c r="Q15" s="202">
        <f t="shared" si="2"/>
        <v>-4.1558269658865367E-2</v>
      </c>
    </row>
    <row r="16" spans="1:17" x14ac:dyDescent="0.2">
      <c r="A16" s="51" t="s">
        <v>76</v>
      </c>
      <c r="B16" s="9">
        <f>SUM('Monthly Recycling'!B134:B145)</f>
        <v>159850</v>
      </c>
      <c r="C16" s="9">
        <f>SUM('Monthly Recycling'!C134:C145)</f>
        <v>10331</v>
      </c>
      <c r="D16" s="9">
        <f>SUM('Monthly Recycling'!D134:D145)</f>
        <v>945494</v>
      </c>
      <c r="E16" s="9">
        <f>SUM('Monthly Recycling'!E134:E145)</f>
        <v>6040.8</v>
      </c>
      <c r="F16" s="9">
        <f>SUM('Monthly Recycling'!F134:F145)</f>
        <v>502530.9</v>
      </c>
      <c r="G16" s="9">
        <f>SUM('Monthly Recycling'!G134:G145)</f>
        <v>74338</v>
      </c>
      <c r="H16" s="9">
        <f>SUM('Monthly Recycling'!H134:H145)</f>
        <v>163926</v>
      </c>
      <c r="I16" s="9">
        <f>SUM('Monthly Recycling'!I134:I145)</f>
        <v>189000</v>
      </c>
      <c r="J16" s="9">
        <f>SUM('Monthly Recycling'!J134:J145)</f>
        <v>8654.5</v>
      </c>
      <c r="K16" s="9">
        <f>SUM('Monthly Recycling'!K134:K145)</f>
        <v>1493.6</v>
      </c>
      <c r="L16" s="9">
        <f>SUM('Raw Data (KG)'!B134:C145)</f>
        <v>1793997.6</v>
      </c>
      <c r="M16" s="9">
        <f>SUM(B16:K16)</f>
        <v>2061658.8000000003</v>
      </c>
      <c r="N16" s="530">
        <f>L16/'Yearly GHG (mCO2)'!G16</f>
        <v>75.134966704359854</v>
      </c>
      <c r="O16" s="531">
        <f>L16/'Yearly GHG (mCO2)'!H16</f>
        <v>3.0546944279847166</v>
      </c>
      <c r="P16" s="202">
        <f t="shared" si="1"/>
        <v>0.53471019876148718</v>
      </c>
      <c r="Q16" s="202">
        <f t="shared" si="2"/>
        <v>2.3779215838855929E-2</v>
      </c>
    </row>
    <row r="17" spans="1:17" x14ac:dyDescent="0.2">
      <c r="A17" s="51" t="s">
        <v>111</v>
      </c>
      <c r="B17" s="9">
        <f>SUM('Monthly Recycling'!B135:B146)</f>
        <v>161582</v>
      </c>
      <c r="C17" s="9">
        <f>SUM('Monthly Recycling'!C135:C146)</f>
        <v>10499</v>
      </c>
      <c r="D17" s="9">
        <f>SUM('Monthly Recycling'!D135:D146)</f>
        <v>936385.8</v>
      </c>
      <c r="E17" s="9">
        <f>SUM('Monthly Recycling'!E135:E146)</f>
        <v>5336.8</v>
      </c>
      <c r="F17" s="9">
        <f>SUM('Monthly Recycling'!F135:F146)</f>
        <v>499181.89999999997</v>
      </c>
      <c r="G17" s="9">
        <f>SUM('Monthly Recycling'!G135:G146)</f>
        <v>74538</v>
      </c>
      <c r="H17" s="9">
        <f>SUM('Monthly Recycling'!H135:H146)</f>
        <v>164041</v>
      </c>
      <c r="I17" s="9">
        <f>SUM('Monthly Recycling'!I135:I146)</f>
        <v>184120</v>
      </c>
      <c r="J17" s="9">
        <f>SUM('Monthly Recycling'!J135:J146)</f>
        <v>7195</v>
      </c>
      <c r="K17" s="62">
        <f>SUM('Monthly Recycling'!K124:K135)</f>
        <v>1649.2</v>
      </c>
      <c r="L17" s="9">
        <f>SUM('Raw Data (KG)'!B124:C135)</f>
        <v>1763306.2000000002</v>
      </c>
      <c r="M17" s="9">
        <f>SUM(B17:K17)</f>
        <v>2044528.7</v>
      </c>
      <c r="N17" s="530" t="e">
        <f>L17/'Yearly GHG (mCO2)'!G17</f>
        <v>#DIV/0!</v>
      </c>
      <c r="O17" s="531" t="e">
        <f>L17/'Yearly GHG (mCO2)'!H17</f>
        <v>#DIV/0!</v>
      </c>
      <c r="P17" s="202">
        <f t="shared" ref="P17" si="3">M17/(M17+L17)</f>
        <v>0.53692682421708982</v>
      </c>
      <c r="Q17" s="202">
        <f t="shared" si="2"/>
        <v>-1.7107826677137086E-2</v>
      </c>
    </row>
    <row r="18" spans="1:17" x14ac:dyDescent="0.2">
      <c r="B18" s="164"/>
      <c r="C18" s="164"/>
      <c r="D18" s="164"/>
      <c r="E18" s="164"/>
      <c r="F18" s="164"/>
      <c r="G18" s="164"/>
      <c r="H18" s="164"/>
      <c r="I18" s="164"/>
      <c r="J18" s="164"/>
      <c r="L18" s="164"/>
      <c r="M18" s="164"/>
    </row>
    <row r="19" spans="1:17" x14ac:dyDescent="0.2">
      <c r="L19" s="164"/>
      <c r="M19" s="164"/>
    </row>
    <row r="20" spans="1:17" x14ac:dyDescent="0.2">
      <c r="I20" s="14"/>
      <c r="J20" s="15"/>
    </row>
  </sheetData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4A04-2F93-7946-8835-BD3A9DF2AAD7}">
  <dimension ref="A1:K732"/>
  <sheetViews>
    <sheetView topLeftCell="A712" workbookViewId="0">
      <selection activeCell="G678" sqref="G678"/>
    </sheetView>
  </sheetViews>
  <sheetFormatPr baseColWidth="10" defaultColWidth="11.5" defaultRowHeight="15" x14ac:dyDescent="0.2"/>
  <cols>
    <col min="2" max="11" width="10.6640625" style="427"/>
  </cols>
  <sheetData>
    <row r="1" spans="1:11" ht="96" x14ac:dyDescent="0.2">
      <c r="A1" s="428" t="s">
        <v>28</v>
      </c>
      <c r="B1" s="429" t="s">
        <v>501</v>
      </c>
      <c r="C1" s="429" t="s">
        <v>502</v>
      </c>
      <c r="D1" s="429" t="s">
        <v>503</v>
      </c>
      <c r="E1" s="429" t="s">
        <v>504</v>
      </c>
      <c r="F1" s="429" t="s">
        <v>505</v>
      </c>
      <c r="G1" s="429" t="s">
        <v>273</v>
      </c>
      <c r="H1" s="429" t="s">
        <v>586</v>
      </c>
      <c r="I1" s="429" t="s">
        <v>45</v>
      </c>
      <c r="J1" s="429" t="s">
        <v>507</v>
      </c>
      <c r="K1" s="429" t="s">
        <v>589</v>
      </c>
    </row>
    <row r="2" spans="1:11" x14ac:dyDescent="0.2">
      <c r="A2" s="430">
        <v>45108</v>
      </c>
      <c r="B2"/>
      <c r="C2"/>
      <c r="D2">
        <v>6</v>
      </c>
      <c r="E2"/>
      <c r="F2"/>
      <c r="G2"/>
      <c r="H2"/>
      <c r="I2"/>
      <c r="J2"/>
      <c r="K2">
        <f>SUM(B2:J2)</f>
        <v>6</v>
      </c>
    </row>
    <row r="3" spans="1:11" x14ac:dyDescent="0.2">
      <c r="A3" s="430">
        <v>45109</v>
      </c>
      <c r="B3">
        <v>145</v>
      </c>
      <c r="C3"/>
      <c r="D3">
        <v>9</v>
      </c>
      <c r="E3">
        <v>57</v>
      </c>
      <c r="F3">
        <v>4</v>
      </c>
      <c r="G3"/>
      <c r="H3"/>
      <c r="I3"/>
      <c r="J3">
        <v>12</v>
      </c>
      <c r="K3">
        <f t="shared" ref="K3:K66" si="0">SUM(B3:J3)</f>
        <v>227</v>
      </c>
    </row>
    <row r="4" spans="1:11" x14ac:dyDescent="0.2">
      <c r="A4" s="430">
        <v>45110</v>
      </c>
      <c r="B4">
        <v>173</v>
      </c>
      <c r="C4">
        <v>39</v>
      </c>
      <c r="D4">
        <v>31</v>
      </c>
      <c r="E4">
        <v>87</v>
      </c>
      <c r="F4">
        <v>17</v>
      </c>
      <c r="G4"/>
      <c r="H4"/>
      <c r="I4">
        <v>32</v>
      </c>
      <c r="J4"/>
      <c r="K4">
        <f t="shared" si="0"/>
        <v>379</v>
      </c>
    </row>
    <row r="5" spans="1:11" x14ac:dyDescent="0.2">
      <c r="A5" s="430">
        <v>45111</v>
      </c>
      <c r="B5">
        <v>89</v>
      </c>
      <c r="C5">
        <v>10</v>
      </c>
      <c r="D5">
        <v>279</v>
      </c>
      <c r="E5">
        <v>191</v>
      </c>
      <c r="F5">
        <v>7</v>
      </c>
      <c r="G5">
        <v>93</v>
      </c>
      <c r="H5"/>
      <c r="I5">
        <v>14</v>
      </c>
      <c r="J5">
        <v>3</v>
      </c>
      <c r="K5">
        <f t="shared" si="0"/>
        <v>686</v>
      </c>
    </row>
    <row r="6" spans="1:11" x14ac:dyDescent="0.2">
      <c r="A6" s="430">
        <v>45112</v>
      </c>
      <c r="B6">
        <v>94</v>
      </c>
      <c r="C6">
        <v>36</v>
      </c>
      <c r="D6">
        <v>421</v>
      </c>
      <c r="E6">
        <v>206</v>
      </c>
      <c r="F6">
        <v>27</v>
      </c>
      <c r="G6">
        <v>105</v>
      </c>
      <c r="H6"/>
      <c r="I6">
        <v>13</v>
      </c>
      <c r="J6">
        <v>9</v>
      </c>
      <c r="K6">
        <f t="shared" si="0"/>
        <v>911</v>
      </c>
    </row>
    <row r="7" spans="1:11" x14ac:dyDescent="0.2">
      <c r="A7" s="430">
        <v>45113</v>
      </c>
      <c r="B7">
        <v>75</v>
      </c>
      <c r="C7">
        <v>172.5</v>
      </c>
      <c r="D7">
        <v>10.5</v>
      </c>
      <c r="E7">
        <v>88.5</v>
      </c>
      <c r="F7">
        <v>5.5</v>
      </c>
      <c r="G7">
        <v>35.5</v>
      </c>
      <c r="H7"/>
      <c r="I7">
        <v>1.5</v>
      </c>
      <c r="J7"/>
      <c r="K7">
        <f t="shared" si="0"/>
        <v>389</v>
      </c>
    </row>
    <row r="8" spans="1:11" x14ac:dyDescent="0.2">
      <c r="A8" s="430">
        <v>45114</v>
      </c>
      <c r="B8">
        <v>98</v>
      </c>
      <c r="C8">
        <v>18</v>
      </c>
      <c r="D8">
        <v>407</v>
      </c>
      <c r="E8">
        <v>155</v>
      </c>
      <c r="F8">
        <v>4</v>
      </c>
      <c r="G8">
        <v>93</v>
      </c>
      <c r="H8"/>
      <c r="I8">
        <v>49</v>
      </c>
      <c r="J8">
        <v>5</v>
      </c>
      <c r="K8">
        <f t="shared" si="0"/>
        <v>829</v>
      </c>
    </row>
    <row r="9" spans="1:11" x14ac:dyDescent="0.2">
      <c r="A9" s="430">
        <v>45115</v>
      </c>
      <c r="B9">
        <v>195</v>
      </c>
      <c r="C9">
        <v>435</v>
      </c>
      <c r="D9">
        <v>28</v>
      </c>
      <c r="E9">
        <v>148</v>
      </c>
      <c r="F9">
        <v>15</v>
      </c>
      <c r="G9">
        <v>87</v>
      </c>
      <c r="H9"/>
      <c r="I9">
        <v>38</v>
      </c>
      <c r="J9"/>
      <c r="K9">
        <f t="shared" si="0"/>
        <v>946</v>
      </c>
    </row>
    <row r="10" spans="1:11" x14ac:dyDescent="0.2">
      <c r="A10" s="430">
        <v>45116</v>
      </c>
      <c r="B10">
        <v>318</v>
      </c>
      <c r="C10">
        <v>428</v>
      </c>
      <c r="D10">
        <v>41</v>
      </c>
      <c r="E10"/>
      <c r="F10">
        <v>3</v>
      </c>
      <c r="G10">
        <v>76</v>
      </c>
      <c r="H10"/>
      <c r="I10">
        <v>26</v>
      </c>
      <c r="J10"/>
      <c r="K10">
        <f t="shared" si="0"/>
        <v>892</v>
      </c>
    </row>
    <row r="11" spans="1:11" x14ac:dyDescent="0.2">
      <c r="A11" s="430">
        <v>45117</v>
      </c>
      <c r="B11">
        <v>338</v>
      </c>
      <c r="C11">
        <v>207</v>
      </c>
      <c r="D11">
        <v>21</v>
      </c>
      <c r="E11"/>
      <c r="F11">
        <v>11</v>
      </c>
      <c r="G11"/>
      <c r="H11"/>
      <c r="I11">
        <v>29</v>
      </c>
      <c r="J11"/>
      <c r="K11">
        <f t="shared" si="0"/>
        <v>606</v>
      </c>
    </row>
    <row r="12" spans="1:11" x14ac:dyDescent="0.2">
      <c r="A12" s="430">
        <v>45118</v>
      </c>
      <c r="B12">
        <v>338</v>
      </c>
      <c r="C12">
        <v>378</v>
      </c>
      <c r="D12">
        <v>67</v>
      </c>
      <c r="E12">
        <v>51</v>
      </c>
      <c r="F12">
        <v>7</v>
      </c>
      <c r="G12">
        <v>95</v>
      </c>
      <c r="H12"/>
      <c r="I12">
        <v>36</v>
      </c>
      <c r="J12">
        <v>13</v>
      </c>
      <c r="K12">
        <f t="shared" si="0"/>
        <v>985</v>
      </c>
    </row>
    <row r="13" spans="1:11" x14ac:dyDescent="0.2">
      <c r="A13" s="430">
        <v>45119</v>
      </c>
      <c r="B13">
        <v>256</v>
      </c>
      <c r="C13">
        <v>409</v>
      </c>
      <c r="D13">
        <v>22</v>
      </c>
      <c r="E13">
        <v>13</v>
      </c>
      <c r="F13">
        <v>40</v>
      </c>
      <c r="G13">
        <v>92</v>
      </c>
      <c r="H13"/>
      <c r="I13">
        <v>8</v>
      </c>
      <c r="J13">
        <v>6</v>
      </c>
      <c r="K13">
        <f t="shared" si="0"/>
        <v>846</v>
      </c>
    </row>
    <row r="14" spans="1:11" x14ac:dyDescent="0.2">
      <c r="A14" s="430">
        <v>45120</v>
      </c>
      <c r="B14">
        <v>323</v>
      </c>
      <c r="C14">
        <v>427</v>
      </c>
      <c r="D14"/>
      <c r="E14">
        <v>43</v>
      </c>
      <c r="F14">
        <v>38</v>
      </c>
      <c r="G14">
        <v>84</v>
      </c>
      <c r="H14"/>
      <c r="I14">
        <v>12</v>
      </c>
      <c r="J14">
        <v>10</v>
      </c>
      <c r="K14">
        <f t="shared" si="0"/>
        <v>937</v>
      </c>
    </row>
    <row r="15" spans="1:11" x14ac:dyDescent="0.2">
      <c r="A15" s="430">
        <v>45121</v>
      </c>
      <c r="B15">
        <v>246</v>
      </c>
      <c r="C15">
        <v>379</v>
      </c>
      <c r="D15">
        <v>35</v>
      </c>
      <c r="E15">
        <v>34</v>
      </c>
      <c r="F15"/>
      <c r="G15">
        <v>99</v>
      </c>
      <c r="H15"/>
      <c r="I15"/>
      <c r="J15"/>
      <c r="K15">
        <f t="shared" si="0"/>
        <v>793</v>
      </c>
    </row>
    <row r="16" spans="1:11" x14ac:dyDescent="0.2">
      <c r="A16" s="430">
        <v>45122</v>
      </c>
      <c r="B16">
        <v>255</v>
      </c>
      <c r="C16">
        <v>311</v>
      </c>
      <c r="D16">
        <v>38</v>
      </c>
      <c r="E16">
        <v>53</v>
      </c>
      <c r="F16">
        <v>49</v>
      </c>
      <c r="G16">
        <v>114</v>
      </c>
      <c r="H16"/>
      <c r="I16"/>
      <c r="J16"/>
      <c r="K16">
        <f t="shared" si="0"/>
        <v>820</v>
      </c>
    </row>
    <row r="17" spans="1:11" x14ac:dyDescent="0.2">
      <c r="A17" s="430">
        <v>45123</v>
      </c>
      <c r="B17">
        <v>303</v>
      </c>
      <c r="C17">
        <v>169</v>
      </c>
      <c r="D17">
        <v>40</v>
      </c>
      <c r="E17">
        <v>16</v>
      </c>
      <c r="F17">
        <v>9</v>
      </c>
      <c r="G17">
        <v>77</v>
      </c>
      <c r="H17"/>
      <c r="I17">
        <v>25</v>
      </c>
      <c r="J17"/>
      <c r="K17">
        <f t="shared" si="0"/>
        <v>639</v>
      </c>
    </row>
    <row r="18" spans="1:11" x14ac:dyDescent="0.2">
      <c r="A18" s="430">
        <v>45124</v>
      </c>
      <c r="B18"/>
      <c r="C18"/>
      <c r="D18"/>
      <c r="E18"/>
      <c r="F18"/>
      <c r="G18"/>
      <c r="H18"/>
      <c r="I18"/>
      <c r="J18"/>
      <c r="K18">
        <f t="shared" si="0"/>
        <v>0</v>
      </c>
    </row>
    <row r="19" spans="1:11" x14ac:dyDescent="0.2">
      <c r="A19" s="430">
        <v>45125</v>
      </c>
      <c r="B19">
        <v>455</v>
      </c>
      <c r="C19">
        <v>232</v>
      </c>
      <c r="D19">
        <v>60</v>
      </c>
      <c r="E19"/>
      <c r="F19"/>
      <c r="G19"/>
      <c r="H19"/>
      <c r="I19">
        <v>16</v>
      </c>
      <c r="J19">
        <v>15</v>
      </c>
      <c r="K19">
        <f t="shared" si="0"/>
        <v>778</v>
      </c>
    </row>
    <row r="20" spans="1:11" x14ac:dyDescent="0.2">
      <c r="A20" s="430">
        <v>45126</v>
      </c>
      <c r="B20">
        <v>242</v>
      </c>
      <c r="C20">
        <v>427</v>
      </c>
      <c r="D20">
        <v>13</v>
      </c>
      <c r="E20">
        <v>45</v>
      </c>
      <c r="F20"/>
      <c r="G20">
        <v>87</v>
      </c>
      <c r="H20"/>
      <c r="I20"/>
      <c r="J20">
        <v>26</v>
      </c>
      <c r="K20">
        <f t="shared" si="0"/>
        <v>840</v>
      </c>
    </row>
    <row r="21" spans="1:11" x14ac:dyDescent="0.2">
      <c r="A21" s="430">
        <v>45127</v>
      </c>
      <c r="B21">
        <v>238</v>
      </c>
      <c r="C21">
        <v>357</v>
      </c>
      <c r="D21">
        <v>22</v>
      </c>
      <c r="E21"/>
      <c r="F21">
        <v>31</v>
      </c>
      <c r="G21">
        <v>84</v>
      </c>
      <c r="H21"/>
      <c r="I21">
        <v>45</v>
      </c>
      <c r="J21"/>
      <c r="K21">
        <f t="shared" si="0"/>
        <v>777</v>
      </c>
    </row>
    <row r="22" spans="1:11" x14ac:dyDescent="0.2">
      <c r="A22" s="430">
        <v>45128</v>
      </c>
      <c r="B22">
        <v>243</v>
      </c>
      <c r="C22">
        <v>363</v>
      </c>
      <c r="D22">
        <v>15</v>
      </c>
      <c r="E22"/>
      <c r="F22"/>
      <c r="G22">
        <v>38</v>
      </c>
      <c r="H22"/>
      <c r="I22">
        <v>102</v>
      </c>
      <c r="J22"/>
      <c r="K22">
        <f t="shared" si="0"/>
        <v>761</v>
      </c>
    </row>
    <row r="23" spans="1:11" x14ac:dyDescent="0.2">
      <c r="A23" s="430">
        <v>45129</v>
      </c>
      <c r="B23">
        <v>310</v>
      </c>
      <c r="C23">
        <v>365</v>
      </c>
      <c r="D23">
        <v>29</v>
      </c>
      <c r="E23">
        <v>57</v>
      </c>
      <c r="F23"/>
      <c r="G23">
        <v>79</v>
      </c>
      <c r="H23"/>
      <c r="I23">
        <v>29</v>
      </c>
      <c r="J23"/>
      <c r="K23">
        <f t="shared" si="0"/>
        <v>869</v>
      </c>
    </row>
    <row r="24" spans="1:11" x14ac:dyDescent="0.2">
      <c r="A24" s="430">
        <v>45130</v>
      </c>
      <c r="B24">
        <v>337</v>
      </c>
      <c r="C24">
        <v>224</v>
      </c>
      <c r="D24">
        <v>32</v>
      </c>
      <c r="E24">
        <v>13</v>
      </c>
      <c r="F24">
        <v>28</v>
      </c>
      <c r="G24">
        <v>88</v>
      </c>
      <c r="H24"/>
      <c r="I24">
        <v>7</v>
      </c>
      <c r="J24"/>
      <c r="K24">
        <f t="shared" si="0"/>
        <v>729</v>
      </c>
    </row>
    <row r="25" spans="1:11" x14ac:dyDescent="0.2">
      <c r="A25" s="430">
        <v>45131</v>
      </c>
      <c r="B25">
        <v>276</v>
      </c>
      <c r="C25">
        <v>172</v>
      </c>
      <c r="D25">
        <v>49</v>
      </c>
      <c r="E25"/>
      <c r="F25">
        <v>39</v>
      </c>
      <c r="G25"/>
      <c r="H25"/>
      <c r="I25"/>
      <c r="J25"/>
      <c r="K25">
        <f t="shared" si="0"/>
        <v>536</v>
      </c>
    </row>
    <row r="26" spans="1:11" x14ac:dyDescent="0.2">
      <c r="A26" s="430">
        <v>45132</v>
      </c>
      <c r="B26">
        <v>295</v>
      </c>
      <c r="C26">
        <v>424</v>
      </c>
      <c r="D26">
        <v>79</v>
      </c>
      <c r="E26">
        <v>49</v>
      </c>
      <c r="F26"/>
      <c r="G26">
        <v>99</v>
      </c>
      <c r="H26"/>
      <c r="I26"/>
      <c r="J26"/>
      <c r="K26">
        <f t="shared" si="0"/>
        <v>946</v>
      </c>
    </row>
    <row r="27" spans="1:11" x14ac:dyDescent="0.2">
      <c r="A27" s="430">
        <v>45133</v>
      </c>
      <c r="B27">
        <v>401</v>
      </c>
      <c r="C27">
        <v>232</v>
      </c>
      <c r="D27">
        <v>19</v>
      </c>
      <c r="E27"/>
      <c r="F27">
        <v>59</v>
      </c>
      <c r="G27">
        <v>87</v>
      </c>
      <c r="H27"/>
      <c r="I27">
        <v>94</v>
      </c>
      <c r="J27"/>
      <c r="K27">
        <f t="shared" si="0"/>
        <v>892</v>
      </c>
    </row>
    <row r="28" spans="1:11" x14ac:dyDescent="0.2">
      <c r="A28" s="430">
        <v>45134</v>
      </c>
      <c r="B28">
        <v>225</v>
      </c>
      <c r="C28">
        <v>265</v>
      </c>
      <c r="D28">
        <v>87</v>
      </c>
      <c r="E28"/>
      <c r="F28"/>
      <c r="G28"/>
      <c r="H28"/>
      <c r="I28">
        <v>49</v>
      </c>
      <c r="J28"/>
      <c r="K28">
        <f t="shared" si="0"/>
        <v>626</v>
      </c>
    </row>
    <row r="29" spans="1:11" x14ac:dyDescent="0.2">
      <c r="A29" s="430">
        <v>45135</v>
      </c>
      <c r="B29">
        <v>286</v>
      </c>
      <c r="C29">
        <v>326</v>
      </c>
      <c r="D29"/>
      <c r="E29"/>
      <c r="F29">
        <v>19</v>
      </c>
      <c r="G29"/>
      <c r="H29"/>
      <c r="I29">
        <v>99</v>
      </c>
      <c r="J29"/>
      <c r="K29">
        <f t="shared" si="0"/>
        <v>730</v>
      </c>
    </row>
    <row r="30" spans="1:11" x14ac:dyDescent="0.2">
      <c r="A30" s="430">
        <v>45136</v>
      </c>
      <c r="B30">
        <v>315</v>
      </c>
      <c r="C30">
        <v>175</v>
      </c>
      <c r="D30">
        <v>59</v>
      </c>
      <c r="E30"/>
      <c r="F30"/>
      <c r="G30">
        <v>109</v>
      </c>
      <c r="H30"/>
      <c r="I30"/>
      <c r="J30"/>
      <c r="K30">
        <f t="shared" si="0"/>
        <v>658</v>
      </c>
    </row>
    <row r="31" spans="1:11" x14ac:dyDescent="0.2">
      <c r="A31" s="430">
        <v>45137</v>
      </c>
      <c r="B31">
        <v>307</v>
      </c>
      <c r="C31">
        <v>243</v>
      </c>
      <c r="D31">
        <v>21</v>
      </c>
      <c r="E31">
        <v>16</v>
      </c>
      <c r="F31">
        <v>15</v>
      </c>
      <c r="G31">
        <v>72</v>
      </c>
      <c r="H31"/>
      <c r="I31">
        <v>14</v>
      </c>
      <c r="J31"/>
      <c r="K31">
        <f t="shared" si="0"/>
        <v>688</v>
      </c>
    </row>
    <row r="32" spans="1:11" x14ac:dyDescent="0.2">
      <c r="A32" s="430">
        <v>45138</v>
      </c>
      <c r="B32">
        <v>256</v>
      </c>
      <c r="C32">
        <v>110.1</v>
      </c>
      <c r="D32"/>
      <c r="E32"/>
      <c r="F32"/>
      <c r="G32"/>
      <c r="H32"/>
      <c r="I32"/>
      <c r="J32"/>
      <c r="K32">
        <f t="shared" si="0"/>
        <v>366.1</v>
      </c>
    </row>
    <row r="33" spans="1:11" x14ac:dyDescent="0.2">
      <c r="A33" s="430">
        <v>45139</v>
      </c>
      <c r="B33">
        <v>226</v>
      </c>
      <c r="C33">
        <v>313.8</v>
      </c>
      <c r="D33">
        <v>64</v>
      </c>
      <c r="E33">
        <v>59</v>
      </c>
      <c r="F33"/>
      <c r="G33">
        <v>19</v>
      </c>
      <c r="H33"/>
      <c r="I33"/>
      <c r="J33"/>
      <c r="K33">
        <f t="shared" si="0"/>
        <v>681.8</v>
      </c>
    </row>
    <row r="34" spans="1:11" x14ac:dyDescent="0.2">
      <c r="A34" s="430">
        <v>45140</v>
      </c>
      <c r="B34">
        <v>330</v>
      </c>
      <c r="C34">
        <v>371</v>
      </c>
      <c r="D34">
        <v>20</v>
      </c>
      <c r="E34">
        <v>51</v>
      </c>
      <c r="F34">
        <v>67</v>
      </c>
      <c r="G34">
        <v>104</v>
      </c>
      <c r="H34">
        <v>9</v>
      </c>
      <c r="I34">
        <v>24</v>
      </c>
      <c r="J34"/>
      <c r="K34">
        <f t="shared" si="0"/>
        <v>976</v>
      </c>
    </row>
    <row r="35" spans="1:11" x14ac:dyDescent="0.2">
      <c r="A35" s="430">
        <v>45141</v>
      </c>
      <c r="B35">
        <v>509</v>
      </c>
      <c r="C35">
        <v>195</v>
      </c>
      <c r="D35"/>
      <c r="E35"/>
      <c r="F35"/>
      <c r="G35"/>
      <c r="H35"/>
      <c r="I35">
        <v>59</v>
      </c>
      <c r="J35"/>
      <c r="K35">
        <f t="shared" si="0"/>
        <v>763</v>
      </c>
    </row>
    <row r="36" spans="1:11" x14ac:dyDescent="0.2">
      <c r="A36" s="430">
        <v>45142</v>
      </c>
      <c r="B36">
        <v>145</v>
      </c>
      <c r="C36">
        <v>443</v>
      </c>
      <c r="D36">
        <v>121</v>
      </c>
      <c r="E36"/>
      <c r="F36"/>
      <c r="G36">
        <v>29</v>
      </c>
      <c r="H36"/>
      <c r="I36"/>
      <c r="J36"/>
      <c r="K36">
        <f t="shared" si="0"/>
        <v>738</v>
      </c>
    </row>
    <row r="37" spans="1:11" x14ac:dyDescent="0.2">
      <c r="A37" s="430">
        <v>45143</v>
      </c>
      <c r="B37">
        <v>196</v>
      </c>
      <c r="C37">
        <v>322</v>
      </c>
      <c r="D37">
        <v>48</v>
      </c>
      <c r="E37">
        <v>59</v>
      </c>
      <c r="F37"/>
      <c r="G37">
        <v>79</v>
      </c>
      <c r="H37"/>
      <c r="I37"/>
      <c r="J37"/>
      <c r="K37">
        <f t="shared" si="0"/>
        <v>704</v>
      </c>
    </row>
    <row r="38" spans="1:11" x14ac:dyDescent="0.2">
      <c r="A38" s="430">
        <v>45144</v>
      </c>
      <c r="B38">
        <v>326</v>
      </c>
      <c r="C38">
        <v>248</v>
      </c>
      <c r="D38">
        <v>36</v>
      </c>
      <c r="E38">
        <v>3</v>
      </c>
      <c r="F38">
        <v>13</v>
      </c>
      <c r="G38">
        <v>72</v>
      </c>
      <c r="H38"/>
      <c r="I38">
        <v>7.6</v>
      </c>
      <c r="J38"/>
      <c r="K38">
        <f t="shared" si="0"/>
        <v>705.6</v>
      </c>
    </row>
    <row r="39" spans="1:11" x14ac:dyDescent="0.2">
      <c r="A39" s="430">
        <v>45145</v>
      </c>
      <c r="B39">
        <v>347</v>
      </c>
      <c r="C39">
        <v>221</v>
      </c>
      <c r="D39">
        <v>22</v>
      </c>
      <c r="E39"/>
      <c r="F39">
        <v>12</v>
      </c>
      <c r="G39"/>
      <c r="H39"/>
      <c r="I39">
        <v>22</v>
      </c>
      <c r="J39"/>
      <c r="K39">
        <f t="shared" si="0"/>
        <v>624</v>
      </c>
    </row>
    <row r="40" spans="1:11" x14ac:dyDescent="0.2">
      <c r="A40" s="430">
        <v>45146</v>
      </c>
      <c r="B40">
        <v>362</v>
      </c>
      <c r="C40">
        <v>31</v>
      </c>
      <c r="D40">
        <v>360</v>
      </c>
      <c r="E40">
        <v>13</v>
      </c>
      <c r="F40">
        <v>16</v>
      </c>
      <c r="G40">
        <v>101</v>
      </c>
      <c r="H40"/>
      <c r="I40">
        <v>13</v>
      </c>
      <c r="J40"/>
      <c r="K40">
        <f t="shared" si="0"/>
        <v>896</v>
      </c>
    </row>
    <row r="41" spans="1:11" x14ac:dyDescent="0.2">
      <c r="A41" s="430">
        <v>45147</v>
      </c>
      <c r="B41">
        <v>210</v>
      </c>
      <c r="C41">
        <v>376</v>
      </c>
      <c r="D41"/>
      <c r="E41">
        <v>89</v>
      </c>
      <c r="F41"/>
      <c r="G41">
        <v>114</v>
      </c>
      <c r="H41"/>
      <c r="I41"/>
      <c r="J41"/>
      <c r="K41">
        <f t="shared" si="0"/>
        <v>789</v>
      </c>
    </row>
    <row r="42" spans="1:11" x14ac:dyDescent="0.2">
      <c r="A42" s="430">
        <v>45148</v>
      </c>
      <c r="B42">
        <v>275</v>
      </c>
      <c r="C42">
        <v>335</v>
      </c>
      <c r="D42">
        <v>13</v>
      </c>
      <c r="E42">
        <v>64</v>
      </c>
      <c r="F42">
        <v>24</v>
      </c>
      <c r="G42">
        <v>91</v>
      </c>
      <c r="H42"/>
      <c r="I42">
        <v>27</v>
      </c>
      <c r="J42"/>
      <c r="K42">
        <f t="shared" si="0"/>
        <v>829</v>
      </c>
    </row>
    <row r="43" spans="1:11" x14ac:dyDescent="0.2">
      <c r="A43" s="430">
        <v>45149</v>
      </c>
      <c r="B43">
        <v>319</v>
      </c>
      <c r="C43">
        <v>388</v>
      </c>
      <c r="D43">
        <v>34</v>
      </c>
      <c r="E43">
        <v>49</v>
      </c>
      <c r="F43">
        <v>14</v>
      </c>
      <c r="G43">
        <v>94</v>
      </c>
      <c r="H43"/>
      <c r="I43">
        <v>5</v>
      </c>
      <c r="J43"/>
      <c r="K43">
        <f t="shared" si="0"/>
        <v>903</v>
      </c>
    </row>
    <row r="44" spans="1:11" x14ac:dyDescent="0.2">
      <c r="A44" s="430">
        <v>45150</v>
      </c>
      <c r="B44">
        <v>376</v>
      </c>
      <c r="C44">
        <v>392</v>
      </c>
      <c r="D44">
        <v>74</v>
      </c>
      <c r="E44"/>
      <c r="F44"/>
      <c r="G44">
        <v>42</v>
      </c>
      <c r="H44"/>
      <c r="I44"/>
      <c r="J44"/>
      <c r="K44">
        <f t="shared" si="0"/>
        <v>884</v>
      </c>
    </row>
    <row r="45" spans="1:11" x14ac:dyDescent="0.2">
      <c r="A45" s="430">
        <v>45151</v>
      </c>
      <c r="B45">
        <v>393</v>
      </c>
      <c r="C45">
        <v>294</v>
      </c>
      <c r="D45">
        <v>22</v>
      </c>
      <c r="E45">
        <v>11</v>
      </c>
      <c r="F45">
        <v>9</v>
      </c>
      <c r="G45">
        <v>16</v>
      </c>
      <c r="H45"/>
      <c r="I45">
        <v>12</v>
      </c>
      <c r="J45"/>
      <c r="K45">
        <f t="shared" si="0"/>
        <v>757</v>
      </c>
    </row>
    <row r="46" spans="1:11" x14ac:dyDescent="0.2">
      <c r="A46" s="430">
        <v>45152</v>
      </c>
      <c r="B46">
        <v>267</v>
      </c>
      <c r="C46">
        <v>139</v>
      </c>
      <c r="D46">
        <v>24</v>
      </c>
      <c r="E46">
        <v>6</v>
      </c>
      <c r="F46">
        <v>13</v>
      </c>
      <c r="G46">
        <v>2</v>
      </c>
      <c r="H46"/>
      <c r="I46">
        <v>21</v>
      </c>
      <c r="J46"/>
      <c r="K46">
        <f t="shared" si="0"/>
        <v>472</v>
      </c>
    </row>
    <row r="47" spans="1:11" x14ac:dyDescent="0.2">
      <c r="A47" s="430">
        <v>45153</v>
      </c>
      <c r="B47">
        <v>290</v>
      </c>
      <c r="C47">
        <v>363</v>
      </c>
      <c r="D47">
        <v>27</v>
      </c>
      <c r="E47">
        <v>52</v>
      </c>
      <c r="F47">
        <v>26</v>
      </c>
      <c r="G47">
        <v>97</v>
      </c>
      <c r="H47">
        <v>17</v>
      </c>
      <c r="I47">
        <v>16</v>
      </c>
      <c r="J47"/>
      <c r="K47">
        <f t="shared" si="0"/>
        <v>888</v>
      </c>
    </row>
    <row r="48" spans="1:11" x14ac:dyDescent="0.2">
      <c r="A48" s="430">
        <v>45154</v>
      </c>
      <c r="B48">
        <v>307</v>
      </c>
      <c r="C48">
        <v>383</v>
      </c>
      <c r="D48">
        <v>22</v>
      </c>
      <c r="E48">
        <v>59</v>
      </c>
      <c r="F48">
        <v>21</v>
      </c>
      <c r="G48">
        <v>94</v>
      </c>
      <c r="H48">
        <v>17</v>
      </c>
      <c r="I48">
        <v>14</v>
      </c>
      <c r="J48"/>
      <c r="K48">
        <f t="shared" si="0"/>
        <v>917</v>
      </c>
    </row>
    <row r="49" spans="1:11" x14ac:dyDescent="0.2">
      <c r="A49" s="430">
        <v>45155</v>
      </c>
      <c r="B49">
        <v>410</v>
      </c>
      <c r="C49">
        <v>564</v>
      </c>
      <c r="D49">
        <v>23</v>
      </c>
      <c r="E49">
        <v>98</v>
      </c>
      <c r="F49">
        <v>6</v>
      </c>
      <c r="G49">
        <v>1</v>
      </c>
      <c r="H49">
        <v>8</v>
      </c>
      <c r="I49">
        <v>11</v>
      </c>
      <c r="J49">
        <v>12</v>
      </c>
      <c r="K49">
        <f t="shared" si="0"/>
        <v>1133</v>
      </c>
    </row>
    <row r="50" spans="1:11" x14ac:dyDescent="0.2">
      <c r="A50" s="430">
        <v>45156</v>
      </c>
      <c r="B50">
        <v>394</v>
      </c>
      <c r="C50">
        <v>624</v>
      </c>
      <c r="D50">
        <v>7</v>
      </c>
      <c r="E50">
        <v>46</v>
      </c>
      <c r="F50">
        <v>13</v>
      </c>
      <c r="G50">
        <v>115</v>
      </c>
      <c r="H50">
        <v>7</v>
      </c>
      <c r="I50">
        <v>13</v>
      </c>
      <c r="J50">
        <v>2</v>
      </c>
      <c r="K50">
        <f t="shared" si="0"/>
        <v>1221</v>
      </c>
    </row>
    <row r="51" spans="1:11" x14ac:dyDescent="0.2">
      <c r="A51" s="430">
        <v>45157</v>
      </c>
      <c r="B51">
        <v>281</v>
      </c>
      <c r="C51">
        <v>260</v>
      </c>
      <c r="D51"/>
      <c r="E51"/>
      <c r="F51"/>
      <c r="G51">
        <v>56</v>
      </c>
      <c r="H51"/>
      <c r="I51">
        <v>99</v>
      </c>
      <c r="J51"/>
      <c r="K51">
        <f t="shared" si="0"/>
        <v>696</v>
      </c>
    </row>
    <row r="52" spans="1:11" x14ac:dyDescent="0.2">
      <c r="A52" s="430">
        <v>45158</v>
      </c>
      <c r="B52">
        <v>434</v>
      </c>
      <c r="C52">
        <v>249</v>
      </c>
      <c r="D52">
        <v>39</v>
      </c>
      <c r="E52">
        <v>10</v>
      </c>
      <c r="F52">
        <v>7</v>
      </c>
      <c r="G52">
        <v>102</v>
      </c>
      <c r="H52"/>
      <c r="I52">
        <v>18</v>
      </c>
      <c r="J52">
        <v>8</v>
      </c>
      <c r="K52">
        <f t="shared" si="0"/>
        <v>867</v>
      </c>
    </row>
    <row r="53" spans="1:11" x14ac:dyDescent="0.2">
      <c r="A53" s="430">
        <v>45159</v>
      </c>
      <c r="B53">
        <v>301</v>
      </c>
      <c r="C53">
        <v>73</v>
      </c>
      <c r="D53">
        <v>71</v>
      </c>
      <c r="E53"/>
      <c r="F53">
        <v>11</v>
      </c>
      <c r="G53">
        <v>4</v>
      </c>
      <c r="H53">
        <v>6</v>
      </c>
      <c r="I53">
        <v>14</v>
      </c>
      <c r="J53"/>
      <c r="K53">
        <f t="shared" si="0"/>
        <v>480</v>
      </c>
    </row>
    <row r="54" spans="1:11" x14ac:dyDescent="0.2">
      <c r="A54" s="430">
        <v>45160</v>
      </c>
      <c r="B54">
        <v>369</v>
      </c>
      <c r="C54">
        <v>281</v>
      </c>
      <c r="D54">
        <v>29</v>
      </c>
      <c r="E54">
        <v>16</v>
      </c>
      <c r="F54">
        <v>31</v>
      </c>
      <c r="G54">
        <v>94</v>
      </c>
      <c r="H54">
        <v>15</v>
      </c>
      <c r="I54">
        <v>14</v>
      </c>
      <c r="J54"/>
      <c r="K54">
        <f t="shared" si="0"/>
        <v>849</v>
      </c>
    </row>
    <row r="55" spans="1:11" x14ac:dyDescent="0.2">
      <c r="A55" s="430">
        <v>45161</v>
      </c>
      <c r="B55">
        <v>353</v>
      </c>
      <c r="C55">
        <v>300</v>
      </c>
      <c r="D55">
        <v>46</v>
      </c>
      <c r="E55">
        <v>49</v>
      </c>
      <c r="F55">
        <v>9</v>
      </c>
      <c r="G55">
        <v>111</v>
      </c>
      <c r="H55">
        <v>9</v>
      </c>
      <c r="I55">
        <v>26</v>
      </c>
      <c r="J55"/>
      <c r="K55">
        <f t="shared" si="0"/>
        <v>903</v>
      </c>
    </row>
    <row r="56" spans="1:11" x14ac:dyDescent="0.2">
      <c r="A56" s="430">
        <v>45162</v>
      </c>
      <c r="B56">
        <v>312</v>
      </c>
      <c r="C56">
        <v>202</v>
      </c>
      <c r="D56">
        <v>29</v>
      </c>
      <c r="E56">
        <v>68</v>
      </c>
      <c r="F56">
        <v>19</v>
      </c>
      <c r="G56">
        <v>94</v>
      </c>
      <c r="H56">
        <v>9</v>
      </c>
      <c r="I56">
        <v>44</v>
      </c>
      <c r="J56">
        <v>10</v>
      </c>
      <c r="K56">
        <f t="shared" si="0"/>
        <v>787</v>
      </c>
    </row>
    <row r="57" spans="1:11" x14ac:dyDescent="0.2">
      <c r="A57" s="430">
        <v>45163</v>
      </c>
      <c r="B57">
        <v>378</v>
      </c>
      <c r="C57">
        <v>580</v>
      </c>
      <c r="D57">
        <v>39</v>
      </c>
      <c r="E57">
        <v>57</v>
      </c>
      <c r="F57">
        <v>25</v>
      </c>
      <c r="G57">
        <v>94</v>
      </c>
      <c r="H57">
        <v>9</v>
      </c>
      <c r="I57">
        <v>7</v>
      </c>
      <c r="J57"/>
      <c r="K57">
        <f t="shared" si="0"/>
        <v>1189</v>
      </c>
    </row>
    <row r="58" spans="1:11" x14ac:dyDescent="0.2">
      <c r="A58" s="430">
        <v>45164</v>
      </c>
      <c r="B58">
        <v>381</v>
      </c>
      <c r="C58">
        <v>393</v>
      </c>
      <c r="D58">
        <v>31</v>
      </c>
      <c r="E58">
        <v>83</v>
      </c>
      <c r="F58">
        <v>11</v>
      </c>
      <c r="G58">
        <v>106</v>
      </c>
      <c r="H58">
        <v>8</v>
      </c>
      <c r="I58">
        <v>4</v>
      </c>
      <c r="J58">
        <v>6</v>
      </c>
      <c r="K58">
        <f t="shared" si="0"/>
        <v>1023</v>
      </c>
    </row>
    <row r="59" spans="1:11" x14ac:dyDescent="0.2">
      <c r="A59" s="430">
        <v>45165</v>
      </c>
      <c r="B59">
        <v>407</v>
      </c>
      <c r="C59">
        <v>319</v>
      </c>
      <c r="D59">
        <v>22</v>
      </c>
      <c r="E59">
        <v>27</v>
      </c>
      <c r="F59">
        <v>11</v>
      </c>
      <c r="G59">
        <v>87</v>
      </c>
      <c r="H59"/>
      <c r="I59">
        <v>41</v>
      </c>
      <c r="J59">
        <v>4</v>
      </c>
      <c r="K59">
        <f t="shared" si="0"/>
        <v>918</v>
      </c>
    </row>
    <row r="60" spans="1:11" x14ac:dyDescent="0.2">
      <c r="A60" s="430">
        <v>45166</v>
      </c>
      <c r="B60">
        <v>251</v>
      </c>
      <c r="C60">
        <v>118</v>
      </c>
      <c r="D60">
        <v>49</v>
      </c>
      <c r="E60"/>
      <c r="F60"/>
      <c r="G60">
        <v>74</v>
      </c>
      <c r="H60"/>
      <c r="I60"/>
      <c r="J60"/>
      <c r="K60">
        <f t="shared" si="0"/>
        <v>492</v>
      </c>
    </row>
    <row r="61" spans="1:11" x14ac:dyDescent="0.2">
      <c r="A61" s="430">
        <v>45167</v>
      </c>
      <c r="B61">
        <v>330</v>
      </c>
      <c r="C61">
        <v>488</v>
      </c>
      <c r="D61"/>
      <c r="E61">
        <v>64</v>
      </c>
      <c r="F61"/>
      <c r="G61">
        <v>69</v>
      </c>
      <c r="H61"/>
      <c r="I61">
        <v>59</v>
      </c>
      <c r="J61"/>
      <c r="K61">
        <f t="shared" si="0"/>
        <v>1010</v>
      </c>
    </row>
    <row r="62" spans="1:11" x14ac:dyDescent="0.2">
      <c r="A62" s="430">
        <v>45168</v>
      </c>
      <c r="B62">
        <v>276</v>
      </c>
      <c r="C62">
        <v>483</v>
      </c>
      <c r="D62"/>
      <c r="E62">
        <v>69</v>
      </c>
      <c r="F62">
        <v>49</v>
      </c>
      <c r="G62">
        <v>79</v>
      </c>
      <c r="H62"/>
      <c r="I62"/>
      <c r="J62"/>
      <c r="K62">
        <f t="shared" si="0"/>
        <v>956</v>
      </c>
    </row>
    <row r="63" spans="1:11" x14ac:dyDescent="0.2">
      <c r="A63" s="430">
        <v>45169</v>
      </c>
      <c r="B63">
        <v>380</v>
      </c>
      <c r="C63">
        <v>479</v>
      </c>
      <c r="D63"/>
      <c r="E63"/>
      <c r="F63">
        <v>49</v>
      </c>
      <c r="G63">
        <v>39</v>
      </c>
      <c r="H63">
        <v>9</v>
      </c>
      <c r="I63">
        <v>19</v>
      </c>
      <c r="J63">
        <v>14</v>
      </c>
      <c r="K63">
        <f t="shared" si="0"/>
        <v>989</v>
      </c>
    </row>
    <row r="64" spans="1:11" x14ac:dyDescent="0.2">
      <c r="A64" s="430">
        <v>45170</v>
      </c>
      <c r="B64"/>
      <c r="C64"/>
      <c r="D64"/>
      <c r="E64"/>
      <c r="F64"/>
      <c r="G64"/>
      <c r="H64"/>
      <c r="I64"/>
      <c r="J64"/>
      <c r="K64">
        <f t="shared" si="0"/>
        <v>0</v>
      </c>
    </row>
    <row r="65" spans="1:11" x14ac:dyDescent="0.2">
      <c r="A65" s="430">
        <v>45171</v>
      </c>
      <c r="B65"/>
      <c r="C65"/>
      <c r="D65"/>
      <c r="E65"/>
      <c r="F65"/>
      <c r="G65"/>
      <c r="H65"/>
      <c r="I65"/>
      <c r="J65"/>
      <c r="K65">
        <f t="shared" si="0"/>
        <v>0</v>
      </c>
    </row>
    <row r="66" spans="1:11" x14ac:dyDescent="0.2">
      <c r="A66" s="430">
        <v>45172</v>
      </c>
      <c r="B66">
        <v>715</v>
      </c>
      <c r="C66">
        <v>807</v>
      </c>
      <c r="D66">
        <v>25</v>
      </c>
      <c r="E66">
        <v>92</v>
      </c>
      <c r="F66">
        <v>10</v>
      </c>
      <c r="G66">
        <v>139</v>
      </c>
      <c r="H66">
        <v>28</v>
      </c>
      <c r="I66"/>
      <c r="J66"/>
      <c r="K66">
        <f t="shared" si="0"/>
        <v>1816</v>
      </c>
    </row>
    <row r="67" spans="1:11" x14ac:dyDescent="0.2">
      <c r="A67" s="430">
        <v>45173</v>
      </c>
      <c r="B67">
        <v>285</v>
      </c>
      <c r="C67">
        <v>263</v>
      </c>
      <c r="D67">
        <v>9</v>
      </c>
      <c r="E67">
        <v>88</v>
      </c>
      <c r="F67">
        <v>49</v>
      </c>
      <c r="G67">
        <v>79</v>
      </c>
      <c r="H67">
        <v>9</v>
      </c>
      <c r="I67">
        <v>19</v>
      </c>
      <c r="J67">
        <v>19</v>
      </c>
      <c r="K67">
        <f t="shared" ref="K67:K130" si="1">SUM(B67:J67)</f>
        <v>820</v>
      </c>
    </row>
    <row r="68" spans="1:11" x14ac:dyDescent="0.2">
      <c r="A68" s="430">
        <v>45174</v>
      </c>
      <c r="B68">
        <v>341</v>
      </c>
      <c r="C68">
        <v>281</v>
      </c>
      <c r="D68">
        <v>10</v>
      </c>
      <c r="E68">
        <v>59</v>
      </c>
      <c r="F68">
        <v>54</v>
      </c>
      <c r="G68">
        <v>19</v>
      </c>
      <c r="H68">
        <v>9</v>
      </c>
      <c r="I68">
        <v>59</v>
      </c>
      <c r="J68">
        <v>9</v>
      </c>
      <c r="K68">
        <f t="shared" si="1"/>
        <v>841</v>
      </c>
    </row>
    <row r="69" spans="1:11" x14ac:dyDescent="0.2">
      <c r="A69" s="430">
        <v>45175</v>
      </c>
      <c r="B69">
        <v>320</v>
      </c>
      <c r="C69">
        <v>605</v>
      </c>
      <c r="D69">
        <v>4</v>
      </c>
      <c r="E69">
        <v>29</v>
      </c>
      <c r="F69">
        <v>29</v>
      </c>
      <c r="G69">
        <v>59</v>
      </c>
      <c r="H69">
        <v>9</v>
      </c>
      <c r="I69">
        <v>39</v>
      </c>
      <c r="J69">
        <v>11</v>
      </c>
      <c r="K69">
        <f t="shared" si="1"/>
        <v>1105</v>
      </c>
    </row>
    <row r="70" spans="1:11" x14ac:dyDescent="0.2">
      <c r="A70" s="430">
        <v>45176</v>
      </c>
      <c r="B70">
        <v>377.6</v>
      </c>
      <c r="C70">
        <v>786.4</v>
      </c>
      <c r="D70">
        <v>4.4000000000000004</v>
      </c>
      <c r="E70">
        <v>114.4</v>
      </c>
      <c r="F70">
        <v>104.4</v>
      </c>
      <c r="G70">
        <v>154.4</v>
      </c>
      <c r="H70">
        <v>10</v>
      </c>
      <c r="I70">
        <v>14.4</v>
      </c>
      <c r="J70">
        <v>13</v>
      </c>
      <c r="K70">
        <f t="shared" si="1"/>
        <v>1579.0000000000005</v>
      </c>
    </row>
    <row r="71" spans="1:11" x14ac:dyDescent="0.2">
      <c r="A71" s="430">
        <v>45177</v>
      </c>
      <c r="B71"/>
      <c r="C71"/>
      <c r="D71"/>
      <c r="E71"/>
      <c r="F71"/>
      <c r="G71"/>
      <c r="H71"/>
      <c r="I71"/>
      <c r="J71"/>
      <c r="K71">
        <f t="shared" si="1"/>
        <v>0</v>
      </c>
    </row>
    <row r="72" spans="1:11" x14ac:dyDescent="0.2">
      <c r="A72" s="430">
        <v>45178</v>
      </c>
      <c r="B72">
        <v>1152</v>
      </c>
      <c r="C72">
        <v>672</v>
      </c>
      <c r="D72">
        <v>44.4</v>
      </c>
      <c r="E72">
        <v>74.400000000000006</v>
      </c>
      <c r="F72">
        <v>64.400000000000006</v>
      </c>
      <c r="G72">
        <v>14.4</v>
      </c>
      <c r="H72">
        <v>44.4</v>
      </c>
      <c r="I72">
        <v>29.4</v>
      </c>
      <c r="J72">
        <v>14.4</v>
      </c>
      <c r="K72">
        <f t="shared" si="1"/>
        <v>2109.8000000000006</v>
      </c>
    </row>
    <row r="73" spans="1:11" x14ac:dyDescent="0.2">
      <c r="A73" s="430">
        <v>45179</v>
      </c>
      <c r="B73">
        <v>695</v>
      </c>
      <c r="C73">
        <v>348.6</v>
      </c>
      <c r="D73">
        <v>13.4</v>
      </c>
      <c r="E73">
        <v>27.4</v>
      </c>
      <c r="F73">
        <v>15.4</v>
      </c>
      <c r="G73">
        <v>213.4</v>
      </c>
      <c r="H73">
        <v>5.4</v>
      </c>
      <c r="I73">
        <v>23.4</v>
      </c>
      <c r="J73">
        <v>10.4</v>
      </c>
      <c r="K73">
        <f t="shared" si="1"/>
        <v>1352.4000000000005</v>
      </c>
    </row>
    <row r="74" spans="1:11" x14ac:dyDescent="0.2">
      <c r="A74" s="430">
        <v>45180</v>
      </c>
      <c r="B74">
        <v>326.3</v>
      </c>
      <c r="C74">
        <v>273.2</v>
      </c>
      <c r="D74">
        <v>11.8</v>
      </c>
      <c r="E74"/>
      <c r="F74">
        <v>30.7</v>
      </c>
      <c r="G74"/>
      <c r="H74">
        <v>15</v>
      </c>
      <c r="I74">
        <v>24.7</v>
      </c>
      <c r="J74">
        <v>6.1</v>
      </c>
      <c r="K74">
        <f t="shared" si="1"/>
        <v>687.80000000000007</v>
      </c>
    </row>
    <row r="75" spans="1:11" x14ac:dyDescent="0.2">
      <c r="A75" s="430">
        <v>45181</v>
      </c>
      <c r="B75">
        <v>486.1</v>
      </c>
      <c r="C75">
        <v>627</v>
      </c>
      <c r="D75">
        <v>14.2</v>
      </c>
      <c r="E75">
        <v>125.8</v>
      </c>
      <c r="F75">
        <v>1.1000000000000001</v>
      </c>
      <c r="G75">
        <v>152.80000000000001</v>
      </c>
      <c r="H75">
        <v>26.8</v>
      </c>
      <c r="I75">
        <v>16.3</v>
      </c>
      <c r="J75">
        <v>0.9</v>
      </c>
      <c r="K75">
        <f t="shared" si="1"/>
        <v>1450.9999999999998</v>
      </c>
    </row>
    <row r="76" spans="1:11" x14ac:dyDescent="0.2">
      <c r="A76" s="430">
        <v>45182</v>
      </c>
      <c r="B76">
        <v>461.6</v>
      </c>
      <c r="C76">
        <v>746.4</v>
      </c>
      <c r="D76"/>
      <c r="E76">
        <v>125.6</v>
      </c>
      <c r="F76">
        <v>19.3</v>
      </c>
      <c r="G76">
        <v>131.9</v>
      </c>
      <c r="H76">
        <v>39.4</v>
      </c>
      <c r="I76"/>
      <c r="J76"/>
      <c r="K76">
        <f t="shared" si="1"/>
        <v>1524.2</v>
      </c>
    </row>
    <row r="77" spans="1:11" x14ac:dyDescent="0.2">
      <c r="A77" s="430">
        <v>45183</v>
      </c>
      <c r="B77">
        <v>539.6</v>
      </c>
      <c r="C77">
        <v>559.5</v>
      </c>
      <c r="D77"/>
      <c r="E77">
        <v>119.3</v>
      </c>
      <c r="F77">
        <v>26.8</v>
      </c>
      <c r="G77">
        <v>118.4</v>
      </c>
      <c r="H77">
        <v>23.6</v>
      </c>
      <c r="I77"/>
      <c r="J77"/>
      <c r="K77">
        <f t="shared" si="1"/>
        <v>1387.1999999999998</v>
      </c>
    </row>
    <row r="78" spans="1:11" x14ac:dyDescent="0.2">
      <c r="A78" s="430">
        <v>45184</v>
      </c>
      <c r="B78">
        <v>489.7</v>
      </c>
      <c r="C78">
        <v>605.70000000000005</v>
      </c>
      <c r="D78"/>
      <c r="E78">
        <v>106.9</v>
      </c>
      <c r="F78">
        <v>6.2</v>
      </c>
      <c r="G78">
        <v>116.3</v>
      </c>
      <c r="H78">
        <v>25.3</v>
      </c>
      <c r="I78">
        <v>24.5</v>
      </c>
      <c r="J78">
        <v>9.4</v>
      </c>
      <c r="K78">
        <f t="shared" si="1"/>
        <v>1384.0000000000002</v>
      </c>
    </row>
    <row r="79" spans="1:11" x14ac:dyDescent="0.2">
      <c r="A79" s="430">
        <v>45185</v>
      </c>
      <c r="B79">
        <v>449.1</v>
      </c>
      <c r="C79">
        <v>494.5</v>
      </c>
      <c r="D79"/>
      <c r="E79">
        <v>128.1</v>
      </c>
      <c r="F79">
        <v>9.6</v>
      </c>
      <c r="G79">
        <v>115.9</v>
      </c>
      <c r="H79">
        <v>18.100000000000001</v>
      </c>
      <c r="I79">
        <v>26.6</v>
      </c>
      <c r="J79"/>
      <c r="K79">
        <f t="shared" si="1"/>
        <v>1241.8999999999999</v>
      </c>
    </row>
    <row r="80" spans="1:11" x14ac:dyDescent="0.2">
      <c r="A80" s="430">
        <v>45186</v>
      </c>
      <c r="B80">
        <v>442.1</v>
      </c>
      <c r="C80">
        <v>359.5</v>
      </c>
      <c r="D80">
        <v>36.6</v>
      </c>
      <c r="E80">
        <v>24.3</v>
      </c>
      <c r="F80">
        <v>36.200000000000003</v>
      </c>
      <c r="G80">
        <v>131.19999999999999</v>
      </c>
      <c r="H80"/>
      <c r="I80">
        <v>15.5</v>
      </c>
      <c r="J80">
        <v>5.5</v>
      </c>
      <c r="K80">
        <f t="shared" si="1"/>
        <v>1050.9000000000001</v>
      </c>
    </row>
    <row r="81" spans="1:11" x14ac:dyDescent="0.2">
      <c r="A81" s="430">
        <v>45187</v>
      </c>
      <c r="B81">
        <v>401.1</v>
      </c>
      <c r="C81">
        <v>275.3</v>
      </c>
      <c r="D81">
        <v>12.4</v>
      </c>
      <c r="E81"/>
      <c r="F81">
        <v>27.3</v>
      </c>
      <c r="G81"/>
      <c r="H81">
        <v>25.5</v>
      </c>
      <c r="I81">
        <v>48.5</v>
      </c>
      <c r="J81"/>
      <c r="K81">
        <f t="shared" si="1"/>
        <v>790.1</v>
      </c>
    </row>
    <row r="82" spans="1:11" x14ac:dyDescent="0.2">
      <c r="A82" s="430">
        <v>45188</v>
      </c>
      <c r="B82">
        <v>375</v>
      </c>
      <c r="C82">
        <v>464.2</v>
      </c>
      <c r="D82">
        <v>29.8</v>
      </c>
      <c r="E82">
        <v>121.5</v>
      </c>
      <c r="F82">
        <v>24.8</v>
      </c>
      <c r="G82">
        <v>163.69999999999999</v>
      </c>
      <c r="H82">
        <v>30.6</v>
      </c>
      <c r="I82"/>
      <c r="J82"/>
      <c r="K82">
        <f t="shared" si="1"/>
        <v>1209.5999999999999</v>
      </c>
    </row>
    <row r="83" spans="1:11" x14ac:dyDescent="0.2">
      <c r="A83" s="430">
        <v>45189</v>
      </c>
      <c r="B83">
        <v>172.6</v>
      </c>
      <c r="C83">
        <v>242.1</v>
      </c>
      <c r="D83">
        <v>68.099999999999994</v>
      </c>
      <c r="E83">
        <v>123.2</v>
      </c>
      <c r="F83"/>
      <c r="G83">
        <v>162</v>
      </c>
      <c r="H83">
        <v>32.799999999999997</v>
      </c>
      <c r="I83"/>
      <c r="J83">
        <v>15</v>
      </c>
      <c r="K83">
        <f t="shared" si="1"/>
        <v>815.8</v>
      </c>
    </row>
    <row r="84" spans="1:11" x14ac:dyDescent="0.2">
      <c r="A84" s="430">
        <v>45190</v>
      </c>
      <c r="B84">
        <v>261.60000000000002</v>
      </c>
      <c r="C84">
        <v>603.1</v>
      </c>
      <c r="D84">
        <v>29.2</v>
      </c>
      <c r="E84">
        <v>132.69999999999999</v>
      </c>
      <c r="F84"/>
      <c r="G84">
        <v>160</v>
      </c>
      <c r="H84">
        <v>25.7</v>
      </c>
      <c r="I84">
        <v>29.9</v>
      </c>
      <c r="J84"/>
      <c r="K84">
        <f t="shared" si="1"/>
        <v>1242.2000000000003</v>
      </c>
    </row>
    <row r="85" spans="1:11" x14ac:dyDescent="0.2">
      <c r="A85" s="430">
        <v>45191</v>
      </c>
      <c r="B85">
        <v>200.8</v>
      </c>
      <c r="C85">
        <v>145.69999999999999</v>
      </c>
      <c r="D85">
        <v>23</v>
      </c>
      <c r="E85">
        <v>124</v>
      </c>
      <c r="F85"/>
      <c r="G85">
        <v>127.5</v>
      </c>
      <c r="H85">
        <v>22.1</v>
      </c>
      <c r="I85">
        <v>28.6</v>
      </c>
      <c r="J85"/>
      <c r="K85">
        <f t="shared" si="1"/>
        <v>671.7</v>
      </c>
    </row>
    <row r="86" spans="1:11" x14ac:dyDescent="0.2">
      <c r="A86" s="430">
        <v>45192</v>
      </c>
      <c r="B86">
        <v>257.60000000000002</v>
      </c>
      <c r="C86">
        <v>305.60000000000002</v>
      </c>
      <c r="D86">
        <v>26.4</v>
      </c>
      <c r="E86">
        <v>59.4</v>
      </c>
      <c r="F86">
        <v>49.4</v>
      </c>
      <c r="G86">
        <v>74.400000000000006</v>
      </c>
      <c r="H86">
        <v>4.4000000000000004</v>
      </c>
      <c r="I86">
        <v>4.4000000000000004</v>
      </c>
      <c r="J86"/>
      <c r="K86">
        <f t="shared" si="1"/>
        <v>781.59999999999991</v>
      </c>
    </row>
    <row r="87" spans="1:11" x14ac:dyDescent="0.2">
      <c r="A87" s="430">
        <v>45193</v>
      </c>
      <c r="B87">
        <v>352</v>
      </c>
      <c r="C87">
        <v>434</v>
      </c>
      <c r="D87">
        <v>29.4</v>
      </c>
      <c r="E87">
        <v>31.4</v>
      </c>
      <c r="F87">
        <v>2.4</v>
      </c>
      <c r="G87">
        <v>97.4</v>
      </c>
      <c r="H87"/>
      <c r="I87">
        <v>19.399999999999999</v>
      </c>
      <c r="J87">
        <v>15.4</v>
      </c>
      <c r="K87">
        <f t="shared" si="1"/>
        <v>981.39999999999986</v>
      </c>
    </row>
    <row r="88" spans="1:11" x14ac:dyDescent="0.2">
      <c r="A88" s="430">
        <v>45194</v>
      </c>
      <c r="B88">
        <v>178.2</v>
      </c>
      <c r="C88">
        <v>133.19999999999999</v>
      </c>
      <c r="D88">
        <v>14.4</v>
      </c>
      <c r="E88"/>
      <c r="F88">
        <v>4.4000000000000004</v>
      </c>
      <c r="G88"/>
      <c r="H88">
        <v>14.4</v>
      </c>
      <c r="I88">
        <v>14.4</v>
      </c>
      <c r="J88">
        <v>15</v>
      </c>
      <c r="K88">
        <f t="shared" si="1"/>
        <v>373.99999999999989</v>
      </c>
    </row>
    <row r="89" spans="1:11" x14ac:dyDescent="0.2">
      <c r="A89" s="430">
        <v>45195</v>
      </c>
      <c r="B89">
        <v>239.6</v>
      </c>
      <c r="C89">
        <v>321.39999999999998</v>
      </c>
      <c r="D89">
        <v>14.4</v>
      </c>
      <c r="E89">
        <v>55.4</v>
      </c>
      <c r="F89">
        <v>29.4</v>
      </c>
      <c r="G89">
        <v>64.400000000000006</v>
      </c>
      <c r="H89">
        <v>19.399999999999999</v>
      </c>
      <c r="I89">
        <v>15</v>
      </c>
      <c r="J89"/>
      <c r="K89">
        <f t="shared" si="1"/>
        <v>758.99999999999989</v>
      </c>
    </row>
    <row r="90" spans="1:11" x14ac:dyDescent="0.2">
      <c r="A90" s="430">
        <v>45196</v>
      </c>
      <c r="B90">
        <v>218.6</v>
      </c>
      <c r="C90">
        <v>285</v>
      </c>
      <c r="D90">
        <v>15</v>
      </c>
      <c r="E90">
        <v>59.4</v>
      </c>
      <c r="F90">
        <v>10</v>
      </c>
      <c r="G90">
        <v>64.400000000000006</v>
      </c>
      <c r="H90">
        <v>14.4</v>
      </c>
      <c r="I90">
        <v>34.4</v>
      </c>
      <c r="J90"/>
      <c r="K90">
        <f t="shared" si="1"/>
        <v>701.19999999999993</v>
      </c>
    </row>
    <row r="91" spans="1:11" x14ac:dyDescent="0.2">
      <c r="A91" s="430">
        <v>45197</v>
      </c>
      <c r="B91">
        <v>198.6</v>
      </c>
      <c r="C91">
        <v>193</v>
      </c>
      <c r="D91">
        <v>15</v>
      </c>
      <c r="E91">
        <v>44.4</v>
      </c>
      <c r="F91">
        <v>14.4</v>
      </c>
      <c r="G91">
        <v>34.4</v>
      </c>
      <c r="H91">
        <v>9.4</v>
      </c>
      <c r="I91">
        <v>4.4000000000000004</v>
      </c>
      <c r="J91"/>
      <c r="K91">
        <f t="shared" si="1"/>
        <v>513.59999999999991</v>
      </c>
    </row>
    <row r="92" spans="1:11" x14ac:dyDescent="0.2">
      <c r="A92" s="430">
        <v>45198</v>
      </c>
      <c r="B92">
        <v>233.6</v>
      </c>
      <c r="C92">
        <v>247.4</v>
      </c>
      <c r="D92"/>
      <c r="E92">
        <v>49.4</v>
      </c>
      <c r="F92">
        <v>9.4</v>
      </c>
      <c r="G92">
        <v>44.4</v>
      </c>
      <c r="H92">
        <v>9.4</v>
      </c>
      <c r="I92">
        <v>5.4</v>
      </c>
      <c r="J92"/>
      <c r="K92">
        <f t="shared" si="1"/>
        <v>598.99999999999989</v>
      </c>
    </row>
    <row r="93" spans="1:11" x14ac:dyDescent="0.2">
      <c r="A93" s="430">
        <v>45199</v>
      </c>
      <c r="B93">
        <v>168.6</v>
      </c>
      <c r="C93">
        <v>259.39999999999998</v>
      </c>
      <c r="D93">
        <v>15</v>
      </c>
      <c r="E93">
        <v>49.4</v>
      </c>
      <c r="F93">
        <v>0.4</v>
      </c>
      <c r="G93">
        <v>1.4</v>
      </c>
      <c r="H93">
        <v>15</v>
      </c>
      <c r="I93">
        <v>34.4</v>
      </c>
      <c r="J93">
        <v>0.4</v>
      </c>
      <c r="K93">
        <f t="shared" si="1"/>
        <v>543.99999999999989</v>
      </c>
    </row>
    <row r="94" spans="1:11" x14ac:dyDescent="0.2">
      <c r="A94" s="430">
        <v>45200</v>
      </c>
      <c r="B94">
        <v>382.6</v>
      </c>
      <c r="C94">
        <v>253.6</v>
      </c>
      <c r="D94">
        <v>63.4</v>
      </c>
      <c r="E94"/>
      <c r="F94">
        <v>19.399999999999999</v>
      </c>
      <c r="G94"/>
      <c r="H94">
        <v>19.399999999999999</v>
      </c>
      <c r="I94"/>
      <c r="J94">
        <v>29.4</v>
      </c>
      <c r="K94">
        <f t="shared" si="1"/>
        <v>767.8</v>
      </c>
    </row>
    <row r="95" spans="1:11" x14ac:dyDescent="0.2">
      <c r="A95" s="430">
        <v>45201</v>
      </c>
      <c r="B95">
        <v>125.2</v>
      </c>
      <c r="C95">
        <v>33.799999999999997</v>
      </c>
      <c r="D95">
        <v>4.4000000000000004</v>
      </c>
      <c r="E95"/>
      <c r="F95">
        <v>1.4</v>
      </c>
      <c r="G95"/>
      <c r="H95"/>
      <c r="I95">
        <v>14.4</v>
      </c>
      <c r="J95"/>
      <c r="K95">
        <f t="shared" si="1"/>
        <v>179.20000000000002</v>
      </c>
    </row>
    <row r="96" spans="1:11" x14ac:dyDescent="0.2">
      <c r="A96" s="430">
        <v>45202</v>
      </c>
      <c r="B96">
        <v>107.6</v>
      </c>
      <c r="C96">
        <v>213.6</v>
      </c>
      <c r="D96">
        <v>9.4</v>
      </c>
      <c r="E96"/>
      <c r="F96">
        <v>2.4</v>
      </c>
      <c r="G96"/>
      <c r="H96">
        <v>4.4000000000000004</v>
      </c>
      <c r="I96"/>
      <c r="J96"/>
      <c r="K96">
        <f t="shared" si="1"/>
        <v>337.39999999999992</v>
      </c>
    </row>
    <row r="97" spans="1:11" x14ac:dyDescent="0.2">
      <c r="A97" s="430">
        <v>45203</v>
      </c>
      <c r="B97">
        <v>125.6</v>
      </c>
      <c r="C97">
        <v>228.4</v>
      </c>
      <c r="D97">
        <v>9.4</v>
      </c>
      <c r="E97">
        <v>24.4</v>
      </c>
      <c r="F97">
        <v>4.4000000000000004</v>
      </c>
      <c r="G97">
        <v>44.4</v>
      </c>
      <c r="H97"/>
      <c r="I97"/>
      <c r="J97"/>
      <c r="K97">
        <f t="shared" si="1"/>
        <v>436.59999999999991</v>
      </c>
    </row>
    <row r="98" spans="1:11" x14ac:dyDescent="0.2">
      <c r="A98" s="430">
        <v>45204</v>
      </c>
      <c r="B98">
        <v>126.2</v>
      </c>
      <c r="C98">
        <v>213</v>
      </c>
      <c r="D98">
        <v>2.4</v>
      </c>
      <c r="E98">
        <v>24.4</v>
      </c>
      <c r="F98">
        <v>4.4000000000000004</v>
      </c>
      <c r="G98">
        <v>34.4</v>
      </c>
      <c r="H98">
        <v>2.4</v>
      </c>
      <c r="I98">
        <v>4.4000000000000004</v>
      </c>
      <c r="J98">
        <v>3.4</v>
      </c>
      <c r="K98">
        <f t="shared" si="1"/>
        <v>414.99999999999983</v>
      </c>
    </row>
    <row r="99" spans="1:11" x14ac:dyDescent="0.2">
      <c r="A99" s="430">
        <v>45205</v>
      </c>
      <c r="B99">
        <v>116.6</v>
      </c>
      <c r="C99">
        <v>105</v>
      </c>
      <c r="D99">
        <v>5.4</v>
      </c>
      <c r="E99">
        <v>35.4</v>
      </c>
      <c r="F99">
        <v>2.4</v>
      </c>
      <c r="G99">
        <v>34.4</v>
      </c>
      <c r="H99">
        <v>2.4</v>
      </c>
      <c r="I99">
        <v>4.4000000000000004</v>
      </c>
      <c r="J99"/>
      <c r="K99">
        <f t="shared" si="1"/>
        <v>305.99999999999989</v>
      </c>
    </row>
    <row r="100" spans="1:11" x14ac:dyDescent="0.2">
      <c r="A100" s="430">
        <v>45206</v>
      </c>
      <c r="B100">
        <v>160.6</v>
      </c>
      <c r="C100">
        <v>147</v>
      </c>
      <c r="D100">
        <v>5.4</v>
      </c>
      <c r="E100">
        <v>2.4</v>
      </c>
      <c r="F100"/>
      <c r="G100">
        <v>14.4</v>
      </c>
      <c r="H100">
        <v>4.4000000000000004</v>
      </c>
      <c r="I100">
        <v>0.4</v>
      </c>
      <c r="J100"/>
      <c r="K100">
        <f t="shared" si="1"/>
        <v>334.59999999999991</v>
      </c>
    </row>
    <row r="101" spans="1:11" x14ac:dyDescent="0.2">
      <c r="A101" s="430">
        <v>45207</v>
      </c>
      <c r="B101">
        <v>359.2</v>
      </c>
      <c r="C101">
        <v>504.4</v>
      </c>
      <c r="D101">
        <v>52.4</v>
      </c>
      <c r="E101">
        <v>70.400000000000006</v>
      </c>
      <c r="F101">
        <v>30.4</v>
      </c>
      <c r="G101">
        <v>103.4</v>
      </c>
      <c r="H101"/>
      <c r="I101">
        <v>27.4</v>
      </c>
      <c r="J101">
        <v>41.4</v>
      </c>
      <c r="K101">
        <f t="shared" si="1"/>
        <v>1189</v>
      </c>
    </row>
    <row r="102" spans="1:11" x14ac:dyDescent="0.2">
      <c r="A102" s="430">
        <v>45208</v>
      </c>
      <c r="B102"/>
      <c r="C102"/>
      <c r="D102"/>
      <c r="E102"/>
      <c r="F102"/>
      <c r="G102"/>
      <c r="H102"/>
      <c r="I102"/>
      <c r="J102"/>
      <c r="K102">
        <f t="shared" si="1"/>
        <v>0</v>
      </c>
    </row>
    <row r="103" spans="1:11" x14ac:dyDescent="0.2">
      <c r="A103" s="430">
        <v>45209</v>
      </c>
      <c r="B103">
        <v>162.6</v>
      </c>
      <c r="C103">
        <v>131.80000000000001</v>
      </c>
      <c r="D103"/>
      <c r="E103">
        <v>4.4000000000000004</v>
      </c>
      <c r="F103">
        <v>3.4</v>
      </c>
      <c r="G103"/>
      <c r="H103">
        <v>4.4000000000000004</v>
      </c>
      <c r="I103">
        <v>2.4</v>
      </c>
      <c r="J103"/>
      <c r="K103">
        <f t="shared" si="1"/>
        <v>308.99999999999989</v>
      </c>
    </row>
    <row r="104" spans="1:11" x14ac:dyDescent="0.2">
      <c r="A104" s="430">
        <v>45210</v>
      </c>
      <c r="B104">
        <v>600.6</v>
      </c>
      <c r="C104">
        <v>615.4</v>
      </c>
      <c r="D104">
        <v>45.2</v>
      </c>
      <c r="E104">
        <v>140.19999999999999</v>
      </c>
      <c r="F104">
        <v>25</v>
      </c>
      <c r="G104">
        <v>192.6</v>
      </c>
      <c r="H104">
        <v>30.7</v>
      </c>
      <c r="I104"/>
      <c r="J104"/>
      <c r="K104">
        <f t="shared" si="1"/>
        <v>1649.7</v>
      </c>
    </row>
    <row r="105" spans="1:11" x14ac:dyDescent="0.2">
      <c r="A105" s="430">
        <v>45211</v>
      </c>
      <c r="B105">
        <v>134.6</v>
      </c>
      <c r="C105">
        <v>265.8</v>
      </c>
      <c r="D105"/>
      <c r="E105">
        <v>35.4</v>
      </c>
      <c r="F105"/>
      <c r="G105">
        <v>29.4</v>
      </c>
      <c r="H105">
        <v>5.4</v>
      </c>
      <c r="I105"/>
      <c r="J105"/>
      <c r="K105">
        <f t="shared" si="1"/>
        <v>470.59999999999991</v>
      </c>
    </row>
    <row r="106" spans="1:11" x14ac:dyDescent="0.2">
      <c r="A106" s="430">
        <v>45212</v>
      </c>
      <c r="B106">
        <v>133.19999999999999</v>
      </c>
      <c r="C106">
        <v>186.6</v>
      </c>
      <c r="D106">
        <v>3.4</v>
      </c>
      <c r="E106">
        <v>24.4</v>
      </c>
      <c r="F106">
        <v>18.399999999999999</v>
      </c>
      <c r="G106">
        <v>34.4</v>
      </c>
      <c r="H106">
        <v>10.4</v>
      </c>
      <c r="I106"/>
      <c r="J106"/>
      <c r="K106">
        <f t="shared" si="1"/>
        <v>410.79999999999984</v>
      </c>
    </row>
    <row r="107" spans="1:11" x14ac:dyDescent="0.2">
      <c r="A107" s="430">
        <v>45213</v>
      </c>
      <c r="B107">
        <v>118.2</v>
      </c>
      <c r="C107">
        <v>200</v>
      </c>
      <c r="D107"/>
      <c r="E107">
        <v>26.4</v>
      </c>
      <c r="F107">
        <v>34.4</v>
      </c>
      <c r="G107">
        <v>24.4</v>
      </c>
      <c r="H107">
        <v>7.4</v>
      </c>
      <c r="I107"/>
      <c r="J107"/>
      <c r="K107">
        <f t="shared" si="1"/>
        <v>410.7999999999999</v>
      </c>
    </row>
    <row r="108" spans="1:11" x14ac:dyDescent="0.2">
      <c r="A108" s="430">
        <v>45214</v>
      </c>
      <c r="B108">
        <v>680</v>
      </c>
      <c r="C108">
        <v>981.4</v>
      </c>
      <c r="D108">
        <v>49.4</v>
      </c>
      <c r="E108">
        <v>152.4</v>
      </c>
      <c r="F108">
        <v>30.4</v>
      </c>
      <c r="G108">
        <v>39.4</v>
      </c>
      <c r="H108"/>
      <c r="I108">
        <v>159.4</v>
      </c>
      <c r="J108"/>
      <c r="K108">
        <f t="shared" si="1"/>
        <v>2092.4000000000005</v>
      </c>
    </row>
    <row r="109" spans="1:11" x14ac:dyDescent="0.2">
      <c r="A109" s="430">
        <v>45215</v>
      </c>
      <c r="B109">
        <v>161.6</v>
      </c>
      <c r="C109">
        <v>103.8</v>
      </c>
      <c r="D109">
        <v>19.399999999999999</v>
      </c>
      <c r="E109">
        <v>19.399999999999999</v>
      </c>
      <c r="F109"/>
      <c r="G109"/>
      <c r="H109">
        <v>42.4</v>
      </c>
      <c r="I109"/>
      <c r="J109"/>
      <c r="K109">
        <f t="shared" si="1"/>
        <v>346.59999999999991</v>
      </c>
    </row>
    <row r="110" spans="1:11" x14ac:dyDescent="0.2">
      <c r="A110" s="430">
        <v>45216</v>
      </c>
      <c r="B110">
        <v>142.6</v>
      </c>
      <c r="C110">
        <v>227</v>
      </c>
      <c r="D110"/>
      <c r="E110"/>
      <c r="F110">
        <v>54.4</v>
      </c>
      <c r="G110">
        <v>44.4</v>
      </c>
      <c r="H110">
        <v>4.4000000000000004</v>
      </c>
      <c r="I110">
        <v>44.4</v>
      </c>
      <c r="J110"/>
      <c r="K110">
        <f t="shared" si="1"/>
        <v>517.19999999999993</v>
      </c>
    </row>
    <row r="111" spans="1:11" x14ac:dyDescent="0.2">
      <c r="A111" s="430">
        <v>45217</v>
      </c>
      <c r="B111">
        <v>740.2</v>
      </c>
      <c r="C111">
        <v>778.5</v>
      </c>
      <c r="D111">
        <v>34</v>
      </c>
      <c r="E111">
        <v>164.2</v>
      </c>
      <c r="F111"/>
      <c r="G111">
        <v>177.2</v>
      </c>
      <c r="H111"/>
      <c r="I111">
        <v>14.8</v>
      </c>
      <c r="J111">
        <v>12.3</v>
      </c>
      <c r="K111">
        <f t="shared" si="1"/>
        <v>1921.2</v>
      </c>
    </row>
    <row r="112" spans="1:11" x14ac:dyDescent="0.2">
      <c r="A112" s="430">
        <v>45218</v>
      </c>
      <c r="B112">
        <v>285.89999999999998</v>
      </c>
      <c r="C112">
        <v>390.8</v>
      </c>
      <c r="D112"/>
      <c r="E112">
        <v>122.4</v>
      </c>
      <c r="F112">
        <v>19.8</v>
      </c>
      <c r="G112">
        <v>52.2</v>
      </c>
      <c r="H112">
        <v>35.299999999999997</v>
      </c>
      <c r="I112"/>
      <c r="J112"/>
      <c r="K112">
        <f t="shared" si="1"/>
        <v>906.4</v>
      </c>
    </row>
    <row r="113" spans="1:11" x14ac:dyDescent="0.2">
      <c r="A113" s="430">
        <v>45219</v>
      </c>
      <c r="B113">
        <v>587.79999999999995</v>
      </c>
      <c r="C113">
        <v>679.5</v>
      </c>
      <c r="D113"/>
      <c r="E113">
        <v>118.7</v>
      </c>
      <c r="F113"/>
      <c r="G113">
        <v>144.80000000000001</v>
      </c>
      <c r="H113">
        <v>29.6</v>
      </c>
      <c r="I113"/>
      <c r="J113"/>
      <c r="K113">
        <f t="shared" si="1"/>
        <v>1560.3999999999999</v>
      </c>
    </row>
    <row r="114" spans="1:11" x14ac:dyDescent="0.2">
      <c r="A114" s="430">
        <v>45220</v>
      </c>
      <c r="B114">
        <v>477.6</v>
      </c>
      <c r="C114">
        <v>688.1</v>
      </c>
      <c r="D114">
        <v>27.7</v>
      </c>
      <c r="E114">
        <v>91.7</v>
      </c>
      <c r="F114">
        <v>15.5</v>
      </c>
      <c r="G114">
        <v>121.1</v>
      </c>
      <c r="H114">
        <v>26.5</v>
      </c>
      <c r="I114">
        <v>27.7</v>
      </c>
      <c r="J114">
        <v>5.3</v>
      </c>
      <c r="K114">
        <f t="shared" si="1"/>
        <v>1481.2</v>
      </c>
    </row>
    <row r="115" spans="1:11" x14ac:dyDescent="0.2">
      <c r="A115" s="430">
        <v>45221</v>
      </c>
      <c r="B115">
        <v>474.2</v>
      </c>
      <c r="C115"/>
      <c r="D115">
        <v>343.3</v>
      </c>
      <c r="E115">
        <v>34.5</v>
      </c>
      <c r="F115">
        <v>16.5</v>
      </c>
      <c r="G115">
        <v>112.1</v>
      </c>
      <c r="H115">
        <v>0.5</v>
      </c>
      <c r="I115">
        <v>23.1</v>
      </c>
      <c r="J115">
        <v>1.4</v>
      </c>
      <c r="K115">
        <f t="shared" si="1"/>
        <v>1005.6</v>
      </c>
    </row>
    <row r="116" spans="1:11" x14ac:dyDescent="0.2">
      <c r="A116" s="430">
        <v>45222</v>
      </c>
      <c r="B116">
        <v>334.1</v>
      </c>
      <c r="C116">
        <v>7.8</v>
      </c>
      <c r="D116">
        <v>359.8</v>
      </c>
      <c r="E116"/>
      <c r="F116"/>
      <c r="G116">
        <v>0.8</v>
      </c>
      <c r="H116">
        <v>17.399999999999999</v>
      </c>
      <c r="I116">
        <v>43.7</v>
      </c>
      <c r="J116">
        <v>3</v>
      </c>
      <c r="K116">
        <f t="shared" si="1"/>
        <v>766.6</v>
      </c>
    </row>
    <row r="117" spans="1:11" x14ac:dyDescent="0.2">
      <c r="A117" s="430">
        <v>45223</v>
      </c>
      <c r="B117">
        <v>375.9</v>
      </c>
      <c r="C117"/>
      <c r="D117">
        <v>258</v>
      </c>
      <c r="E117"/>
      <c r="F117">
        <v>15.5</v>
      </c>
      <c r="G117"/>
      <c r="H117">
        <v>21.6</v>
      </c>
      <c r="I117">
        <v>32.1</v>
      </c>
      <c r="J117">
        <v>6.6</v>
      </c>
      <c r="K117">
        <f t="shared" si="1"/>
        <v>709.7</v>
      </c>
    </row>
    <row r="118" spans="1:11" x14ac:dyDescent="0.2">
      <c r="A118" s="430">
        <v>45224</v>
      </c>
      <c r="B118">
        <v>583.5</v>
      </c>
      <c r="C118">
        <v>747.2</v>
      </c>
      <c r="D118">
        <v>32.799999999999997</v>
      </c>
      <c r="E118">
        <v>131.69999999999999</v>
      </c>
      <c r="F118">
        <v>21.4</v>
      </c>
      <c r="G118">
        <v>159.19999999999999</v>
      </c>
      <c r="H118">
        <v>32.200000000000003</v>
      </c>
      <c r="I118">
        <v>15.5</v>
      </c>
      <c r="J118">
        <v>10.4</v>
      </c>
      <c r="K118">
        <f t="shared" si="1"/>
        <v>1733.9000000000003</v>
      </c>
    </row>
    <row r="119" spans="1:11" x14ac:dyDescent="0.2">
      <c r="A119" s="430">
        <v>45225</v>
      </c>
      <c r="B119">
        <v>604.79999999999995</v>
      </c>
      <c r="C119">
        <v>646.9</v>
      </c>
      <c r="D119">
        <v>18.2</v>
      </c>
      <c r="E119">
        <v>125.6</v>
      </c>
      <c r="F119">
        <v>5.2</v>
      </c>
      <c r="G119">
        <v>132.9</v>
      </c>
      <c r="H119">
        <v>29.9</v>
      </c>
      <c r="I119">
        <v>29.2</v>
      </c>
      <c r="J119">
        <v>10.3</v>
      </c>
      <c r="K119">
        <f t="shared" si="1"/>
        <v>1603</v>
      </c>
    </row>
    <row r="120" spans="1:11" x14ac:dyDescent="0.2">
      <c r="A120" s="430">
        <v>45226</v>
      </c>
      <c r="B120">
        <v>552.79999999999995</v>
      </c>
      <c r="C120">
        <v>626.79999999999995</v>
      </c>
      <c r="D120">
        <v>12.8</v>
      </c>
      <c r="E120">
        <v>98.5</v>
      </c>
      <c r="F120">
        <v>9.8000000000000007</v>
      </c>
      <c r="G120">
        <v>153.80000000000001</v>
      </c>
      <c r="H120">
        <v>29.9</v>
      </c>
      <c r="I120">
        <v>16.2</v>
      </c>
      <c r="J120">
        <v>2.8</v>
      </c>
      <c r="K120">
        <f t="shared" si="1"/>
        <v>1503.3999999999999</v>
      </c>
    </row>
    <row r="121" spans="1:11" x14ac:dyDescent="0.2">
      <c r="A121" s="430">
        <v>45227</v>
      </c>
      <c r="B121">
        <v>443.8</v>
      </c>
      <c r="C121">
        <v>518.4</v>
      </c>
      <c r="D121">
        <v>65.400000000000006</v>
      </c>
      <c r="E121">
        <v>86.4</v>
      </c>
      <c r="F121">
        <v>24.8</v>
      </c>
      <c r="G121">
        <v>126.4</v>
      </c>
      <c r="H121">
        <v>16.7</v>
      </c>
      <c r="I121">
        <v>33.799999999999997</v>
      </c>
      <c r="J121">
        <v>8.6999999999999993</v>
      </c>
      <c r="K121">
        <f t="shared" si="1"/>
        <v>1324.4000000000003</v>
      </c>
    </row>
    <row r="122" spans="1:11" x14ac:dyDescent="0.2">
      <c r="A122" s="430">
        <v>45228</v>
      </c>
      <c r="B122">
        <v>415.9</v>
      </c>
      <c r="C122">
        <v>443.3</v>
      </c>
      <c r="D122">
        <v>46.3</v>
      </c>
      <c r="E122">
        <v>34.9</v>
      </c>
      <c r="F122">
        <v>22.3</v>
      </c>
      <c r="G122">
        <v>103.8</v>
      </c>
      <c r="H122">
        <v>0.4</v>
      </c>
      <c r="I122">
        <v>25.6</v>
      </c>
      <c r="J122">
        <v>4.4000000000000004</v>
      </c>
      <c r="K122">
        <f t="shared" si="1"/>
        <v>1096.9000000000001</v>
      </c>
    </row>
    <row r="123" spans="1:11" x14ac:dyDescent="0.2">
      <c r="A123" s="430">
        <v>45229</v>
      </c>
      <c r="B123">
        <v>329.8</v>
      </c>
      <c r="C123">
        <v>206.4</v>
      </c>
      <c r="D123">
        <v>29.9</v>
      </c>
      <c r="E123"/>
      <c r="F123">
        <v>13.3</v>
      </c>
      <c r="G123"/>
      <c r="H123">
        <v>21</v>
      </c>
      <c r="I123">
        <v>32.299999999999997</v>
      </c>
      <c r="J123">
        <v>14</v>
      </c>
      <c r="K123">
        <f t="shared" si="1"/>
        <v>646.69999999999993</v>
      </c>
    </row>
    <row r="124" spans="1:11" x14ac:dyDescent="0.2">
      <c r="A124" s="430">
        <v>45230</v>
      </c>
      <c r="B124">
        <v>481.3</v>
      </c>
      <c r="C124">
        <v>650.5</v>
      </c>
      <c r="D124">
        <v>25.2</v>
      </c>
      <c r="E124">
        <v>80.7</v>
      </c>
      <c r="F124">
        <v>16</v>
      </c>
      <c r="G124">
        <v>135</v>
      </c>
      <c r="H124">
        <v>36.299999999999997</v>
      </c>
      <c r="I124">
        <v>12.8</v>
      </c>
      <c r="J124">
        <v>3.6</v>
      </c>
      <c r="K124">
        <f t="shared" si="1"/>
        <v>1441.3999999999999</v>
      </c>
    </row>
    <row r="125" spans="1:11" x14ac:dyDescent="0.2">
      <c r="A125" s="430">
        <v>45231</v>
      </c>
      <c r="B125">
        <v>482.5</v>
      </c>
      <c r="C125">
        <v>656.3</v>
      </c>
      <c r="D125">
        <v>44.1</v>
      </c>
      <c r="E125">
        <v>133.19999999999999</v>
      </c>
      <c r="F125">
        <v>29.7</v>
      </c>
      <c r="G125">
        <v>144.30000000000001</v>
      </c>
      <c r="H125">
        <v>27.4</v>
      </c>
      <c r="I125">
        <v>54.1</v>
      </c>
      <c r="J125">
        <v>4.8</v>
      </c>
      <c r="K125">
        <f t="shared" si="1"/>
        <v>1576.3999999999999</v>
      </c>
    </row>
    <row r="126" spans="1:11" x14ac:dyDescent="0.2">
      <c r="A126" s="430">
        <v>45232</v>
      </c>
      <c r="B126">
        <v>461</v>
      </c>
      <c r="C126">
        <v>624</v>
      </c>
      <c r="D126">
        <v>66.3</v>
      </c>
      <c r="E126">
        <v>117.8</v>
      </c>
      <c r="F126">
        <v>6.3</v>
      </c>
      <c r="G126">
        <v>155.6</v>
      </c>
      <c r="H126">
        <v>33.700000000000003</v>
      </c>
      <c r="I126">
        <v>8.1999999999999993</v>
      </c>
      <c r="J126">
        <v>6</v>
      </c>
      <c r="K126">
        <f t="shared" si="1"/>
        <v>1478.8999999999999</v>
      </c>
    </row>
    <row r="127" spans="1:11" x14ac:dyDescent="0.2">
      <c r="A127" s="430">
        <v>45233</v>
      </c>
      <c r="B127">
        <v>451.4</v>
      </c>
      <c r="C127">
        <v>683.4</v>
      </c>
      <c r="D127">
        <v>35.6</v>
      </c>
      <c r="E127">
        <v>104.6</v>
      </c>
      <c r="F127">
        <v>26.1</v>
      </c>
      <c r="G127">
        <v>147.9</v>
      </c>
      <c r="H127">
        <v>30.8</v>
      </c>
      <c r="I127">
        <v>34.700000000000003</v>
      </c>
      <c r="J127">
        <v>9.9</v>
      </c>
      <c r="K127">
        <f t="shared" si="1"/>
        <v>1524.3999999999999</v>
      </c>
    </row>
    <row r="128" spans="1:11" x14ac:dyDescent="0.2">
      <c r="A128" s="430">
        <v>45234</v>
      </c>
      <c r="B128">
        <v>429.8</v>
      </c>
      <c r="C128">
        <v>688.1</v>
      </c>
      <c r="D128">
        <v>20.3</v>
      </c>
      <c r="E128">
        <v>106.8</v>
      </c>
      <c r="F128">
        <v>15.6</v>
      </c>
      <c r="G128">
        <v>139.6</v>
      </c>
      <c r="H128">
        <v>21.3</v>
      </c>
      <c r="I128">
        <v>19.2</v>
      </c>
      <c r="J128"/>
      <c r="K128">
        <f t="shared" si="1"/>
        <v>1440.6999999999998</v>
      </c>
    </row>
    <row r="129" spans="1:11" x14ac:dyDescent="0.2">
      <c r="A129" s="430">
        <v>45235</v>
      </c>
      <c r="B129">
        <v>415.7</v>
      </c>
      <c r="C129">
        <v>419.2</v>
      </c>
      <c r="D129">
        <v>36.5</v>
      </c>
      <c r="E129">
        <v>24.6</v>
      </c>
      <c r="F129">
        <v>12.2</v>
      </c>
      <c r="G129">
        <v>105.1</v>
      </c>
      <c r="H129">
        <v>0.5</v>
      </c>
      <c r="I129">
        <v>43.1</v>
      </c>
      <c r="J129">
        <v>4.0999999999999996</v>
      </c>
      <c r="K129">
        <f t="shared" si="1"/>
        <v>1061</v>
      </c>
    </row>
    <row r="130" spans="1:11" x14ac:dyDescent="0.2">
      <c r="A130" s="430">
        <v>45236</v>
      </c>
      <c r="B130">
        <v>438.4</v>
      </c>
      <c r="C130">
        <v>273.8</v>
      </c>
      <c r="D130">
        <v>44.3</v>
      </c>
      <c r="E130"/>
      <c r="F130">
        <v>7.3</v>
      </c>
      <c r="G130">
        <v>2.4</v>
      </c>
      <c r="H130">
        <v>22.7</v>
      </c>
      <c r="I130">
        <v>45.6</v>
      </c>
      <c r="J130">
        <v>9.9</v>
      </c>
      <c r="K130">
        <f t="shared" si="1"/>
        <v>844.4</v>
      </c>
    </row>
    <row r="131" spans="1:11" x14ac:dyDescent="0.2">
      <c r="A131" s="430">
        <v>45237</v>
      </c>
      <c r="B131">
        <v>583.9</v>
      </c>
      <c r="C131">
        <v>691.4</v>
      </c>
      <c r="D131">
        <v>27.6</v>
      </c>
      <c r="E131">
        <v>118.3</v>
      </c>
      <c r="F131">
        <v>9.8000000000000007</v>
      </c>
      <c r="G131">
        <v>138.6</v>
      </c>
      <c r="H131">
        <v>30.9</v>
      </c>
      <c r="I131">
        <v>21.2</v>
      </c>
      <c r="J131"/>
      <c r="K131">
        <f t="shared" ref="K131:K194" si="2">SUM(B131:J131)</f>
        <v>1621.6999999999998</v>
      </c>
    </row>
    <row r="132" spans="1:11" x14ac:dyDescent="0.2">
      <c r="A132" s="430">
        <v>45238</v>
      </c>
      <c r="B132">
        <v>576.5</v>
      </c>
      <c r="C132">
        <v>646.79999999999995</v>
      </c>
      <c r="D132">
        <v>24.7</v>
      </c>
      <c r="E132">
        <v>111.6</v>
      </c>
      <c r="F132">
        <v>13</v>
      </c>
      <c r="G132">
        <v>146.6</v>
      </c>
      <c r="H132">
        <v>33</v>
      </c>
      <c r="I132">
        <v>17.600000000000001</v>
      </c>
      <c r="J132">
        <v>9.4</v>
      </c>
      <c r="K132">
        <f t="shared" si="2"/>
        <v>1579.1999999999998</v>
      </c>
    </row>
    <row r="133" spans="1:11" x14ac:dyDescent="0.2">
      <c r="A133" s="430">
        <v>45239</v>
      </c>
      <c r="B133">
        <v>547.29999999999995</v>
      </c>
      <c r="C133">
        <v>668.2</v>
      </c>
      <c r="D133">
        <v>31.7</v>
      </c>
      <c r="E133">
        <v>97.5</v>
      </c>
      <c r="F133">
        <v>31.3</v>
      </c>
      <c r="G133">
        <v>144.4</v>
      </c>
      <c r="H133">
        <v>32.299999999999997</v>
      </c>
      <c r="I133">
        <v>20.2</v>
      </c>
      <c r="J133">
        <v>7.9</v>
      </c>
      <c r="K133">
        <f t="shared" si="2"/>
        <v>1580.8000000000002</v>
      </c>
    </row>
    <row r="134" spans="1:11" x14ac:dyDescent="0.2">
      <c r="A134" s="430">
        <v>45240</v>
      </c>
      <c r="B134">
        <v>498.1</v>
      </c>
      <c r="C134">
        <v>820.5</v>
      </c>
      <c r="D134">
        <v>17.5</v>
      </c>
      <c r="E134">
        <v>80.400000000000006</v>
      </c>
      <c r="F134">
        <v>8.9</v>
      </c>
      <c r="G134">
        <v>140.80000000000001</v>
      </c>
      <c r="H134">
        <v>30.9</v>
      </c>
      <c r="I134">
        <v>11.7</v>
      </c>
      <c r="J134">
        <v>7.4</v>
      </c>
      <c r="K134">
        <f t="shared" si="2"/>
        <v>1616.2000000000003</v>
      </c>
    </row>
    <row r="135" spans="1:11" x14ac:dyDescent="0.2">
      <c r="A135" s="430">
        <v>45241</v>
      </c>
      <c r="B135">
        <v>470.3</v>
      </c>
      <c r="C135">
        <v>567.4</v>
      </c>
      <c r="D135">
        <v>39.6</v>
      </c>
      <c r="E135">
        <v>92.4</v>
      </c>
      <c r="F135">
        <v>24.3</v>
      </c>
      <c r="G135">
        <v>140.9</v>
      </c>
      <c r="H135">
        <v>22.5</v>
      </c>
      <c r="I135">
        <v>21.9</v>
      </c>
      <c r="J135"/>
      <c r="K135">
        <f t="shared" si="2"/>
        <v>1379.3000000000002</v>
      </c>
    </row>
    <row r="136" spans="1:11" x14ac:dyDescent="0.2">
      <c r="A136" s="430">
        <v>45242</v>
      </c>
      <c r="B136">
        <v>449.4</v>
      </c>
      <c r="C136">
        <v>409.3</v>
      </c>
      <c r="D136">
        <v>37.799999999999997</v>
      </c>
      <c r="E136">
        <v>17.100000000000001</v>
      </c>
      <c r="F136">
        <v>11.7</v>
      </c>
      <c r="G136">
        <v>105.1</v>
      </c>
      <c r="H136">
        <v>3</v>
      </c>
      <c r="I136">
        <v>7.3</v>
      </c>
      <c r="J136"/>
      <c r="K136">
        <f t="shared" si="2"/>
        <v>1040.7</v>
      </c>
    </row>
    <row r="137" spans="1:11" x14ac:dyDescent="0.2">
      <c r="A137" s="430">
        <v>45243</v>
      </c>
      <c r="B137">
        <v>350.1</v>
      </c>
      <c r="C137">
        <v>292</v>
      </c>
      <c r="D137">
        <v>14.2</v>
      </c>
      <c r="E137"/>
      <c r="F137">
        <v>12.3</v>
      </c>
      <c r="G137"/>
      <c r="H137">
        <v>22.5</v>
      </c>
      <c r="I137">
        <v>22</v>
      </c>
      <c r="J137">
        <v>5.5</v>
      </c>
      <c r="K137">
        <f t="shared" si="2"/>
        <v>718.6</v>
      </c>
    </row>
    <row r="138" spans="1:11" x14ac:dyDescent="0.2">
      <c r="A138" s="430">
        <v>45244</v>
      </c>
      <c r="B138">
        <v>505.3</v>
      </c>
      <c r="C138">
        <v>713.2</v>
      </c>
      <c r="D138">
        <v>18.5</v>
      </c>
      <c r="E138">
        <v>90.7</v>
      </c>
      <c r="F138">
        <v>24.3</v>
      </c>
      <c r="G138">
        <v>163.1</v>
      </c>
      <c r="H138">
        <v>21</v>
      </c>
      <c r="I138">
        <v>44</v>
      </c>
      <c r="J138">
        <v>11.8</v>
      </c>
      <c r="K138">
        <f t="shared" si="2"/>
        <v>1591.8999999999999</v>
      </c>
    </row>
    <row r="139" spans="1:11" x14ac:dyDescent="0.2">
      <c r="A139" s="430">
        <v>45245</v>
      </c>
      <c r="B139">
        <v>511.6</v>
      </c>
      <c r="C139">
        <v>605.1</v>
      </c>
      <c r="D139">
        <v>7.6</v>
      </c>
      <c r="E139">
        <v>96.5</v>
      </c>
      <c r="F139">
        <v>14</v>
      </c>
      <c r="G139">
        <v>154.1</v>
      </c>
      <c r="H139">
        <v>32.799999999999997</v>
      </c>
      <c r="I139">
        <v>11.4</v>
      </c>
      <c r="J139"/>
      <c r="K139">
        <f t="shared" si="2"/>
        <v>1433.1</v>
      </c>
    </row>
    <row r="140" spans="1:11" x14ac:dyDescent="0.2">
      <c r="A140" s="430">
        <v>45246</v>
      </c>
      <c r="B140">
        <v>533.70000000000005</v>
      </c>
      <c r="C140">
        <v>658.1</v>
      </c>
      <c r="D140">
        <v>45.6</v>
      </c>
      <c r="E140">
        <v>107.1</v>
      </c>
      <c r="F140">
        <v>8.8000000000000007</v>
      </c>
      <c r="G140">
        <v>139.69999999999999</v>
      </c>
      <c r="H140">
        <v>33</v>
      </c>
      <c r="I140">
        <v>6.2</v>
      </c>
      <c r="J140"/>
      <c r="K140">
        <f t="shared" si="2"/>
        <v>1532.2</v>
      </c>
    </row>
    <row r="141" spans="1:11" x14ac:dyDescent="0.2">
      <c r="A141" s="430">
        <v>45247</v>
      </c>
      <c r="B141">
        <v>466</v>
      </c>
      <c r="C141">
        <v>692.6</v>
      </c>
      <c r="D141">
        <v>28.3</v>
      </c>
      <c r="E141">
        <v>88.6</v>
      </c>
      <c r="F141">
        <v>7.9</v>
      </c>
      <c r="G141">
        <v>143.30000000000001</v>
      </c>
      <c r="H141">
        <v>30.1</v>
      </c>
      <c r="I141">
        <v>30.6</v>
      </c>
      <c r="J141">
        <v>1.2</v>
      </c>
      <c r="K141">
        <f t="shared" si="2"/>
        <v>1488.5999999999997</v>
      </c>
    </row>
    <row r="142" spans="1:11" x14ac:dyDescent="0.2">
      <c r="A142" s="430">
        <v>45248</v>
      </c>
      <c r="B142">
        <v>442</v>
      </c>
      <c r="C142">
        <v>557</v>
      </c>
      <c r="D142">
        <v>8.5</v>
      </c>
      <c r="E142">
        <v>111.6</v>
      </c>
      <c r="F142">
        <v>22.7</v>
      </c>
      <c r="G142">
        <v>133.69999999999999</v>
      </c>
      <c r="H142">
        <v>22.5</v>
      </c>
      <c r="I142">
        <v>6</v>
      </c>
      <c r="J142">
        <v>6</v>
      </c>
      <c r="K142">
        <f t="shared" si="2"/>
        <v>1310</v>
      </c>
    </row>
    <row r="143" spans="1:11" x14ac:dyDescent="0.2">
      <c r="A143" s="430">
        <v>45249</v>
      </c>
      <c r="B143">
        <v>390.5</v>
      </c>
      <c r="C143">
        <v>304.60000000000002</v>
      </c>
      <c r="D143">
        <v>13.6</v>
      </c>
      <c r="E143">
        <v>38.5</v>
      </c>
      <c r="F143">
        <v>17.7</v>
      </c>
      <c r="G143">
        <v>107.6</v>
      </c>
      <c r="H143">
        <v>2.1</v>
      </c>
      <c r="I143">
        <v>26.9</v>
      </c>
      <c r="J143"/>
      <c r="K143">
        <f t="shared" si="2"/>
        <v>901.50000000000011</v>
      </c>
    </row>
    <row r="144" spans="1:11" x14ac:dyDescent="0.2">
      <c r="A144" s="430">
        <v>45250</v>
      </c>
      <c r="B144">
        <v>287.89999999999998</v>
      </c>
      <c r="C144">
        <v>249.7</v>
      </c>
      <c r="D144">
        <v>27.2</v>
      </c>
      <c r="E144"/>
      <c r="F144">
        <v>21</v>
      </c>
      <c r="G144"/>
      <c r="H144">
        <v>19.100000000000001</v>
      </c>
      <c r="I144">
        <v>47.1</v>
      </c>
      <c r="J144">
        <v>8</v>
      </c>
      <c r="K144">
        <f t="shared" si="2"/>
        <v>660</v>
      </c>
    </row>
    <row r="145" spans="1:11" x14ac:dyDescent="0.2">
      <c r="A145" s="430">
        <v>45251</v>
      </c>
      <c r="B145">
        <v>469.7</v>
      </c>
      <c r="C145">
        <v>616.70000000000005</v>
      </c>
      <c r="D145">
        <v>12.9</v>
      </c>
      <c r="E145">
        <v>128.80000000000001</v>
      </c>
      <c r="F145">
        <v>29.6</v>
      </c>
      <c r="G145">
        <v>141.69999999999999</v>
      </c>
      <c r="H145">
        <v>34.299999999999997</v>
      </c>
      <c r="I145">
        <v>16.2</v>
      </c>
      <c r="J145"/>
      <c r="K145">
        <f t="shared" si="2"/>
        <v>1449.9</v>
      </c>
    </row>
    <row r="146" spans="1:11" x14ac:dyDescent="0.2">
      <c r="A146" s="430">
        <v>45252</v>
      </c>
      <c r="B146">
        <v>494.1</v>
      </c>
      <c r="C146">
        <v>807.6</v>
      </c>
      <c r="D146">
        <v>6.6</v>
      </c>
      <c r="E146">
        <v>82.9</v>
      </c>
      <c r="F146">
        <v>15.3</v>
      </c>
      <c r="G146">
        <v>169.1</v>
      </c>
      <c r="H146">
        <v>32.1</v>
      </c>
      <c r="I146">
        <v>21.2</v>
      </c>
      <c r="J146">
        <v>5.2</v>
      </c>
      <c r="K146">
        <f t="shared" si="2"/>
        <v>1634.1</v>
      </c>
    </row>
    <row r="147" spans="1:11" x14ac:dyDescent="0.2">
      <c r="A147" s="430">
        <v>45253</v>
      </c>
      <c r="B147">
        <v>477.5</v>
      </c>
      <c r="C147">
        <v>661.8</v>
      </c>
      <c r="D147">
        <v>3.9</v>
      </c>
      <c r="E147">
        <v>106.9</v>
      </c>
      <c r="F147">
        <v>19</v>
      </c>
      <c r="G147">
        <v>139.30000000000001</v>
      </c>
      <c r="H147">
        <v>38.6</v>
      </c>
      <c r="I147">
        <v>42.2</v>
      </c>
      <c r="J147">
        <v>7.1</v>
      </c>
      <c r="K147">
        <f t="shared" si="2"/>
        <v>1496.3</v>
      </c>
    </row>
    <row r="148" spans="1:11" x14ac:dyDescent="0.2">
      <c r="A148" s="430">
        <v>45254</v>
      </c>
      <c r="B148">
        <v>539.4</v>
      </c>
      <c r="C148">
        <v>603.4</v>
      </c>
      <c r="D148">
        <v>12.6</v>
      </c>
      <c r="E148">
        <v>100.2</v>
      </c>
      <c r="F148">
        <v>26.4</v>
      </c>
      <c r="G148">
        <v>149.19999999999999</v>
      </c>
      <c r="H148">
        <v>32.5</v>
      </c>
      <c r="I148">
        <v>10.1</v>
      </c>
      <c r="J148">
        <v>6.9</v>
      </c>
      <c r="K148">
        <f t="shared" si="2"/>
        <v>1480.7</v>
      </c>
    </row>
    <row r="149" spans="1:11" x14ac:dyDescent="0.2">
      <c r="A149" s="430">
        <v>45255</v>
      </c>
      <c r="B149">
        <v>544.9</v>
      </c>
      <c r="C149">
        <v>571.1</v>
      </c>
      <c r="D149">
        <v>17.5</v>
      </c>
      <c r="E149">
        <v>112.8</v>
      </c>
      <c r="F149">
        <v>27.4</v>
      </c>
      <c r="G149">
        <v>143.30000000000001</v>
      </c>
      <c r="H149">
        <v>25</v>
      </c>
      <c r="I149">
        <v>8</v>
      </c>
      <c r="J149"/>
      <c r="K149">
        <f t="shared" si="2"/>
        <v>1450</v>
      </c>
    </row>
    <row r="150" spans="1:11" x14ac:dyDescent="0.2">
      <c r="A150" s="430">
        <v>45256</v>
      </c>
      <c r="B150">
        <v>546.4</v>
      </c>
      <c r="C150">
        <v>459.7</v>
      </c>
      <c r="D150">
        <v>11.9</v>
      </c>
      <c r="E150">
        <v>12.6</v>
      </c>
      <c r="F150">
        <v>37.200000000000003</v>
      </c>
      <c r="G150">
        <v>143.69999999999999</v>
      </c>
      <c r="H150">
        <v>1.5</v>
      </c>
      <c r="I150">
        <v>6</v>
      </c>
      <c r="J150">
        <v>5.8</v>
      </c>
      <c r="K150">
        <f t="shared" si="2"/>
        <v>1224.8</v>
      </c>
    </row>
    <row r="151" spans="1:11" x14ac:dyDescent="0.2">
      <c r="A151" s="430">
        <v>45257</v>
      </c>
      <c r="B151">
        <v>401.8</v>
      </c>
      <c r="C151">
        <v>244.2</v>
      </c>
      <c r="D151">
        <v>3.6</v>
      </c>
      <c r="E151">
        <v>38.6</v>
      </c>
      <c r="F151">
        <v>21.1</v>
      </c>
      <c r="G151"/>
      <c r="H151">
        <v>22.2</v>
      </c>
      <c r="I151">
        <v>17.899999999999999</v>
      </c>
      <c r="J151">
        <v>11.9</v>
      </c>
      <c r="K151">
        <f t="shared" si="2"/>
        <v>761.30000000000007</v>
      </c>
    </row>
    <row r="152" spans="1:11" x14ac:dyDescent="0.2">
      <c r="A152" s="430">
        <v>45258</v>
      </c>
      <c r="B152">
        <v>509.3</v>
      </c>
      <c r="C152">
        <v>583.79999999999995</v>
      </c>
      <c r="D152">
        <v>15.7</v>
      </c>
      <c r="E152">
        <v>110.9</v>
      </c>
      <c r="F152">
        <v>20.5</v>
      </c>
      <c r="G152">
        <v>152.80000000000001</v>
      </c>
      <c r="H152">
        <v>38.1</v>
      </c>
      <c r="I152">
        <v>11.8</v>
      </c>
      <c r="J152"/>
      <c r="K152">
        <f t="shared" si="2"/>
        <v>1442.8999999999999</v>
      </c>
    </row>
    <row r="153" spans="1:11" x14ac:dyDescent="0.2">
      <c r="A153" s="430">
        <v>45259</v>
      </c>
      <c r="B153">
        <v>532.5</v>
      </c>
      <c r="C153">
        <v>605.9</v>
      </c>
      <c r="D153">
        <v>107.3</v>
      </c>
      <c r="E153">
        <v>86.3</v>
      </c>
      <c r="F153">
        <v>10.9</v>
      </c>
      <c r="G153">
        <v>161.80000000000001</v>
      </c>
      <c r="H153">
        <v>36.200000000000003</v>
      </c>
      <c r="I153">
        <v>13.4</v>
      </c>
      <c r="J153"/>
      <c r="K153">
        <f t="shared" si="2"/>
        <v>1554.3000000000002</v>
      </c>
    </row>
    <row r="154" spans="1:11" x14ac:dyDescent="0.2">
      <c r="A154" s="430">
        <v>45260</v>
      </c>
      <c r="B154">
        <v>582.79999999999995</v>
      </c>
      <c r="C154">
        <v>684.4</v>
      </c>
      <c r="D154">
        <v>16</v>
      </c>
      <c r="E154">
        <v>104.7</v>
      </c>
      <c r="F154">
        <v>13.5</v>
      </c>
      <c r="G154">
        <v>150.19999999999999</v>
      </c>
      <c r="H154">
        <v>38</v>
      </c>
      <c r="I154">
        <v>4.8</v>
      </c>
      <c r="J154"/>
      <c r="K154">
        <f t="shared" si="2"/>
        <v>1594.3999999999999</v>
      </c>
    </row>
    <row r="155" spans="1:11" x14ac:dyDescent="0.2">
      <c r="A155" s="430">
        <v>45261</v>
      </c>
      <c r="B155">
        <v>517.70000000000005</v>
      </c>
      <c r="C155">
        <v>660.1</v>
      </c>
      <c r="D155">
        <v>16.7</v>
      </c>
      <c r="E155">
        <v>105.6</v>
      </c>
      <c r="F155">
        <v>10.5</v>
      </c>
      <c r="G155">
        <v>135.1</v>
      </c>
      <c r="H155">
        <v>27.8</v>
      </c>
      <c r="I155">
        <v>36</v>
      </c>
      <c r="J155"/>
      <c r="K155">
        <f t="shared" si="2"/>
        <v>1509.5</v>
      </c>
    </row>
    <row r="156" spans="1:11" x14ac:dyDescent="0.2">
      <c r="A156" s="430">
        <v>45262</v>
      </c>
      <c r="B156">
        <v>417.8</v>
      </c>
      <c r="C156">
        <v>507.3</v>
      </c>
      <c r="D156">
        <v>16.8</v>
      </c>
      <c r="E156">
        <v>76.2</v>
      </c>
      <c r="F156">
        <v>14.5</v>
      </c>
      <c r="G156">
        <v>133.19999999999999</v>
      </c>
      <c r="H156">
        <v>13.1</v>
      </c>
      <c r="I156">
        <v>21.3</v>
      </c>
      <c r="J156"/>
      <c r="K156">
        <f t="shared" si="2"/>
        <v>1200.1999999999998</v>
      </c>
    </row>
    <row r="157" spans="1:11" x14ac:dyDescent="0.2">
      <c r="A157" s="430">
        <v>45263</v>
      </c>
      <c r="B157">
        <v>506.9</v>
      </c>
      <c r="C157">
        <v>367</v>
      </c>
      <c r="D157">
        <v>25.4</v>
      </c>
      <c r="E157">
        <v>61.4</v>
      </c>
      <c r="F157">
        <v>19.100000000000001</v>
      </c>
      <c r="G157">
        <v>129.6</v>
      </c>
      <c r="H157">
        <v>4.4000000000000004</v>
      </c>
      <c r="I157">
        <v>27</v>
      </c>
      <c r="J157"/>
      <c r="K157">
        <f t="shared" si="2"/>
        <v>1140.8</v>
      </c>
    </row>
    <row r="158" spans="1:11" x14ac:dyDescent="0.2">
      <c r="A158" s="430">
        <v>45264</v>
      </c>
      <c r="B158">
        <v>443.5</v>
      </c>
      <c r="C158">
        <v>297.7</v>
      </c>
      <c r="D158">
        <v>23.5</v>
      </c>
      <c r="E158">
        <v>59.2</v>
      </c>
      <c r="F158">
        <v>24.4</v>
      </c>
      <c r="G158"/>
      <c r="H158">
        <v>18.3</v>
      </c>
      <c r="I158">
        <v>26.6</v>
      </c>
      <c r="J158">
        <v>14.3</v>
      </c>
      <c r="K158">
        <f t="shared" si="2"/>
        <v>907.5</v>
      </c>
    </row>
    <row r="159" spans="1:11" x14ac:dyDescent="0.2">
      <c r="A159" s="430">
        <v>45265</v>
      </c>
      <c r="B159">
        <v>522.6</v>
      </c>
      <c r="C159">
        <v>504.9</v>
      </c>
      <c r="D159">
        <v>20.5</v>
      </c>
      <c r="E159">
        <v>76.2</v>
      </c>
      <c r="F159">
        <v>30.7</v>
      </c>
      <c r="G159">
        <v>131.69999999999999</v>
      </c>
      <c r="H159">
        <v>30.8</v>
      </c>
      <c r="I159">
        <v>13.1</v>
      </c>
      <c r="J159"/>
      <c r="K159">
        <f t="shared" si="2"/>
        <v>1330.5</v>
      </c>
    </row>
    <row r="160" spans="1:11" x14ac:dyDescent="0.2">
      <c r="A160" s="430">
        <v>45266</v>
      </c>
      <c r="B160">
        <v>484.8</v>
      </c>
      <c r="C160">
        <v>599.29999999999995</v>
      </c>
      <c r="D160">
        <v>21.7</v>
      </c>
      <c r="E160">
        <v>65.8</v>
      </c>
      <c r="F160">
        <v>10.6</v>
      </c>
      <c r="G160">
        <v>133.30000000000001</v>
      </c>
      <c r="H160">
        <v>22.3</v>
      </c>
      <c r="I160">
        <v>16.8</v>
      </c>
      <c r="J160"/>
      <c r="K160">
        <f t="shared" si="2"/>
        <v>1354.5999999999997</v>
      </c>
    </row>
    <row r="161" spans="1:11" x14ac:dyDescent="0.2">
      <c r="A161" s="430">
        <v>45267</v>
      </c>
      <c r="B161">
        <v>492</v>
      </c>
      <c r="C161">
        <v>548.9</v>
      </c>
      <c r="D161">
        <v>25.3</v>
      </c>
      <c r="E161">
        <v>95.3</v>
      </c>
      <c r="F161">
        <v>13.2</v>
      </c>
      <c r="G161">
        <v>117.5</v>
      </c>
      <c r="H161">
        <v>31.4</v>
      </c>
      <c r="I161">
        <v>37.200000000000003</v>
      </c>
      <c r="J161"/>
      <c r="K161">
        <f t="shared" si="2"/>
        <v>1360.8000000000002</v>
      </c>
    </row>
    <row r="162" spans="1:11" x14ac:dyDescent="0.2">
      <c r="A162" s="430">
        <v>45268</v>
      </c>
      <c r="B162">
        <v>467.1</v>
      </c>
      <c r="C162">
        <v>646</v>
      </c>
      <c r="D162">
        <v>23</v>
      </c>
      <c r="E162">
        <v>64</v>
      </c>
      <c r="F162">
        <v>16</v>
      </c>
      <c r="G162">
        <v>125.6</v>
      </c>
      <c r="H162">
        <v>28.3</v>
      </c>
      <c r="I162">
        <v>2</v>
      </c>
      <c r="J162"/>
      <c r="K162">
        <f t="shared" si="2"/>
        <v>1371.9999999999998</v>
      </c>
    </row>
    <row r="163" spans="1:11" x14ac:dyDescent="0.2">
      <c r="A163" s="430">
        <v>45269</v>
      </c>
      <c r="B163">
        <v>471.2</v>
      </c>
      <c r="C163">
        <v>507</v>
      </c>
      <c r="D163">
        <v>23</v>
      </c>
      <c r="E163">
        <v>78.900000000000006</v>
      </c>
      <c r="F163">
        <v>21.8</v>
      </c>
      <c r="G163">
        <v>147.30000000000001</v>
      </c>
      <c r="H163">
        <v>23.5</v>
      </c>
      <c r="I163">
        <v>43.6</v>
      </c>
      <c r="J163">
        <v>5.8</v>
      </c>
      <c r="K163">
        <f t="shared" si="2"/>
        <v>1322.1</v>
      </c>
    </row>
    <row r="164" spans="1:11" x14ac:dyDescent="0.2">
      <c r="A164" s="430">
        <v>45270</v>
      </c>
      <c r="B164">
        <v>452.3</v>
      </c>
      <c r="C164">
        <v>355</v>
      </c>
      <c r="D164">
        <v>7.2</v>
      </c>
      <c r="E164">
        <v>30.2</v>
      </c>
      <c r="F164">
        <v>29.1</v>
      </c>
      <c r="G164">
        <v>122.5</v>
      </c>
      <c r="H164">
        <v>4.5</v>
      </c>
      <c r="I164">
        <v>32.4</v>
      </c>
      <c r="J164"/>
      <c r="K164">
        <f t="shared" si="2"/>
        <v>1033.2</v>
      </c>
    </row>
    <row r="165" spans="1:11" x14ac:dyDescent="0.2">
      <c r="A165" s="430">
        <v>45271</v>
      </c>
      <c r="B165">
        <v>403.2</v>
      </c>
      <c r="C165">
        <v>288.3</v>
      </c>
      <c r="D165">
        <v>14.7</v>
      </c>
      <c r="E165"/>
      <c r="F165">
        <v>12.5</v>
      </c>
      <c r="G165"/>
      <c r="H165">
        <v>22.9</v>
      </c>
      <c r="I165">
        <v>47.8</v>
      </c>
      <c r="J165"/>
      <c r="K165">
        <f t="shared" si="2"/>
        <v>789.4</v>
      </c>
    </row>
    <row r="166" spans="1:11" x14ac:dyDescent="0.2">
      <c r="A166" s="430">
        <v>45272</v>
      </c>
      <c r="B166">
        <v>601.20000000000005</v>
      </c>
      <c r="C166">
        <v>478</v>
      </c>
      <c r="D166">
        <v>9</v>
      </c>
      <c r="E166">
        <v>75.3</v>
      </c>
      <c r="F166">
        <v>35.4</v>
      </c>
      <c r="G166">
        <v>120.9</v>
      </c>
      <c r="H166">
        <v>29.9</v>
      </c>
      <c r="I166">
        <v>44.5</v>
      </c>
      <c r="J166"/>
      <c r="K166">
        <f t="shared" si="2"/>
        <v>1394.2000000000003</v>
      </c>
    </row>
    <row r="167" spans="1:11" x14ac:dyDescent="0.2">
      <c r="A167" s="430">
        <v>45273</v>
      </c>
      <c r="B167">
        <v>562.70000000000005</v>
      </c>
      <c r="C167">
        <v>641.70000000000005</v>
      </c>
      <c r="D167">
        <v>7.5</v>
      </c>
      <c r="E167">
        <v>61</v>
      </c>
      <c r="F167">
        <v>43.8</v>
      </c>
      <c r="G167">
        <v>132.19999999999999</v>
      </c>
      <c r="H167">
        <v>30.3</v>
      </c>
      <c r="I167">
        <v>40.700000000000003</v>
      </c>
      <c r="J167"/>
      <c r="K167">
        <f t="shared" si="2"/>
        <v>1519.9</v>
      </c>
    </row>
    <row r="168" spans="1:11" x14ac:dyDescent="0.2">
      <c r="A168" s="430">
        <v>45274</v>
      </c>
      <c r="B168">
        <v>575</v>
      </c>
      <c r="C168">
        <v>576.20000000000005</v>
      </c>
      <c r="D168">
        <v>15</v>
      </c>
      <c r="E168">
        <v>79.2</v>
      </c>
      <c r="F168">
        <v>12.6</v>
      </c>
      <c r="G168">
        <v>119.1</v>
      </c>
      <c r="H168">
        <v>28.2</v>
      </c>
      <c r="I168">
        <v>49.3</v>
      </c>
      <c r="J168">
        <v>8.9</v>
      </c>
      <c r="K168">
        <f t="shared" si="2"/>
        <v>1463.5</v>
      </c>
    </row>
    <row r="169" spans="1:11" x14ac:dyDescent="0.2">
      <c r="A169" s="430">
        <v>45275</v>
      </c>
      <c r="B169">
        <v>578</v>
      </c>
      <c r="C169">
        <v>650.4</v>
      </c>
      <c r="D169">
        <v>24.7</v>
      </c>
      <c r="E169">
        <v>76.900000000000006</v>
      </c>
      <c r="F169">
        <v>49.2</v>
      </c>
      <c r="G169">
        <v>123.4</v>
      </c>
      <c r="H169">
        <v>29.6</v>
      </c>
      <c r="I169">
        <v>34.1</v>
      </c>
      <c r="J169">
        <v>7.7</v>
      </c>
      <c r="K169">
        <f t="shared" si="2"/>
        <v>1574.0000000000002</v>
      </c>
    </row>
    <row r="170" spans="1:11" x14ac:dyDescent="0.2">
      <c r="A170" s="430">
        <v>45276</v>
      </c>
      <c r="B170">
        <v>445.9</v>
      </c>
      <c r="C170">
        <v>563.4</v>
      </c>
      <c r="D170">
        <v>12.8</v>
      </c>
      <c r="E170">
        <v>80.599999999999994</v>
      </c>
      <c r="F170">
        <v>30.8</v>
      </c>
      <c r="G170">
        <v>129.30000000000001</v>
      </c>
      <c r="H170">
        <v>23.7</v>
      </c>
      <c r="I170">
        <v>40.6</v>
      </c>
      <c r="J170">
        <v>6</v>
      </c>
      <c r="K170">
        <f t="shared" si="2"/>
        <v>1333.0999999999997</v>
      </c>
    </row>
    <row r="171" spans="1:11" x14ac:dyDescent="0.2">
      <c r="A171" s="430">
        <v>45277</v>
      </c>
      <c r="B171">
        <v>440.3</v>
      </c>
      <c r="C171">
        <v>305.10000000000002</v>
      </c>
      <c r="D171">
        <v>24.2</v>
      </c>
      <c r="E171">
        <v>34.9</v>
      </c>
      <c r="F171">
        <v>35.9</v>
      </c>
      <c r="G171">
        <v>107.1</v>
      </c>
      <c r="H171"/>
      <c r="I171">
        <v>7.2</v>
      </c>
      <c r="J171">
        <v>11.2</v>
      </c>
      <c r="K171">
        <f t="shared" si="2"/>
        <v>965.9000000000002</v>
      </c>
    </row>
    <row r="172" spans="1:11" x14ac:dyDescent="0.2">
      <c r="A172" s="430">
        <v>45278</v>
      </c>
      <c r="B172">
        <v>411.3</v>
      </c>
      <c r="C172">
        <v>242.6</v>
      </c>
      <c r="D172">
        <v>20.2</v>
      </c>
      <c r="E172"/>
      <c r="F172">
        <v>22.9</v>
      </c>
      <c r="G172">
        <v>5.3</v>
      </c>
      <c r="H172">
        <v>16.399999999999999</v>
      </c>
      <c r="I172">
        <v>30</v>
      </c>
      <c r="J172">
        <v>8.9</v>
      </c>
      <c r="K172">
        <f t="shared" si="2"/>
        <v>757.59999999999991</v>
      </c>
    </row>
    <row r="173" spans="1:11" x14ac:dyDescent="0.2">
      <c r="A173" s="430">
        <v>45279</v>
      </c>
      <c r="B173">
        <v>476.5</v>
      </c>
      <c r="C173">
        <v>460.4</v>
      </c>
      <c r="D173">
        <v>31.5</v>
      </c>
      <c r="E173">
        <v>67</v>
      </c>
      <c r="F173">
        <v>26</v>
      </c>
      <c r="G173">
        <v>133.1</v>
      </c>
      <c r="H173">
        <v>22.2</v>
      </c>
      <c r="I173">
        <v>12</v>
      </c>
      <c r="J173">
        <v>8.5</v>
      </c>
      <c r="K173">
        <f t="shared" si="2"/>
        <v>1237.2</v>
      </c>
    </row>
    <row r="174" spans="1:11" x14ac:dyDescent="0.2">
      <c r="A174" s="430">
        <v>45280</v>
      </c>
      <c r="B174">
        <v>351</v>
      </c>
      <c r="C174">
        <v>536.5</v>
      </c>
      <c r="D174">
        <v>19.7</v>
      </c>
      <c r="E174">
        <v>38</v>
      </c>
      <c r="F174">
        <v>25.4</v>
      </c>
      <c r="G174">
        <v>127.6</v>
      </c>
      <c r="H174">
        <v>15</v>
      </c>
      <c r="I174">
        <v>30.3</v>
      </c>
      <c r="J174">
        <v>9.1</v>
      </c>
      <c r="K174">
        <f t="shared" si="2"/>
        <v>1152.5999999999999</v>
      </c>
    </row>
    <row r="175" spans="1:11" x14ac:dyDescent="0.2">
      <c r="A175" s="430">
        <v>45281</v>
      </c>
      <c r="B175">
        <v>487.7</v>
      </c>
      <c r="C175">
        <v>519.1</v>
      </c>
      <c r="D175">
        <v>19.899999999999999</v>
      </c>
      <c r="E175">
        <v>65.8</v>
      </c>
      <c r="F175">
        <v>24.1</v>
      </c>
      <c r="G175">
        <v>98.5</v>
      </c>
      <c r="H175">
        <v>13.6</v>
      </c>
      <c r="I175">
        <v>35.6</v>
      </c>
      <c r="J175">
        <v>7.3</v>
      </c>
      <c r="K175">
        <f t="shared" si="2"/>
        <v>1271.5999999999997</v>
      </c>
    </row>
    <row r="176" spans="1:11" x14ac:dyDescent="0.2">
      <c r="A176" s="430">
        <v>45282</v>
      </c>
      <c r="B176">
        <v>384.1</v>
      </c>
      <c r="C176">
        <v>433.2</v>
      </c>
      <c r="D176">
        <v>28.1</v>
      </c>
      <c r="E176">
        <v>88.7</v>
      </c>
      <c r="F176">
        <v>35.700000000000003</v>
      </c>
      <c r="G176">
        <v>106.5</v>
      </c>
      <c r="H176">
        <v>12.8</v>
      </c>
      <c r="I176">
        <v>40.6</v>
      </c>
      <c r="J176">
        <v>8.5</v>
      </c>
      <c r="K176">
        <f t="shared" si="2"/>
        <v>1138.2</v>
      </c>
    </row>
    <row r="177" spans="1:11" x14ac:dyDescent="0.2">
      <c r="A177" s="430">
        <v>45283</v>
      </c>
      <c r="B177">
        <v>324.7</v>
      </c>
      <c r="C177">
        <v>533.1</v>
      </c>
      <c r="D177">
        <v>29.6</v>
      </c>
      <c r="E177">
        <v>30</v>
      </c>
      <c r="F177">
        <v>41.4</v>
      </c>
      <c r="G177">
        <v>97</v>
      </c>
      <c r="H177">
        <v>4.5</v>
      </c>
      <c r="I177">
        <v>7.9</v>
      </c>
      <c r="J177">
        <v>7.6</v>
      </c>
      <c r="K177">
        <f t="shared" si="2"/>
        <v>1075.8</v>
      </c>
    </row>
    <row r="178" spans="1:11" x14ac:dyDescent="0.2">
      <c r="A178" s="430">
        <v>45284</v>
      </c>
      <c r="B178">
        <v>341.5</v>
      </c>
      <c r="C178">
        <v>95.9</v>
      </c>
      <c r="D178">
        <v>37</v>
      </c>
      <c r="E178">
        <v>60</v>
      </c>
      <c r="F178">
        <v>46.1</v>
      </c>
      <c r="G178">
        <v>96.5</v>
      </c>
      <c r="H178"/>
      <c r="I178">
        <v>14.4</v>
      </c>
      <c r="J178">
        <v>7.4</v>
      </c>
      <c r="K178">
        <f t="shared" si="2"/>
        <v>698.8</v>
      </c>
    </row>
    <row r="179" spans="1:11" x14ac:dyDescent="0.2">
      <c r="A179" s="430">
        <v>45285</v>
      </c>
      <c r="B179">
        <v>253.9</v>
      </c>
      <c r="C179">
        <v>162.80000000000001</v>
      </c>
      <c r="D179">
        <v>44.4</v>
      </c>
      <c r="E179"/>
      <c r="F179">
        <v>13.2</v>
      </c>
      <c r="G179"/>
      <c r="H179"/>
      <c r="I179">
        <v>16.100000000000001</v>
      </c>
      <c r="J179">
        <v>12</v>
      </c>
      <c r="K179">
        <f t="shared" si="2"/>
        <v>502.40000000000003</v>
      </c>
    </row>
    <row r="180" spans="1:11" x14ac:dyDescent="0.2">
      <c r="A180" s="430">
        <v>45286</v>
      </c>
      <c r="B180">
        <v>263</v>
      </c>
      <c r="C180"/>
      <c r="D180">
        <v>40.4</v>
      </c>
      <c r="E180"/>
      <c r="F180">
        <v>6.1</v>
      </c>
      <c r="G180"/>
      <c r="H180"/>
      <c r="I180">
        <v>9.1999999999999993</v>
      </c>
      <c r="J180">
        <v>10</v>
      </c>
      <c r="K180">
        <f t="shared" si="2"/>
        <v>328.7</v>
      </c>
    </row>
    <row r="181" spans="1:11" x14ac:dyDescent="0.2">
      <c r="A181" s="430">
        <v>45287</v>
      </c>
      <c r="B181">
        <v>281</v>
      </c>
      <c r="C181"/>
      <c r="D181">
        <v>37.799999999999997</v>
      </c>
      <c r="E181"/>
      <c r="F181">
        <v>19</v>
      </c>
      <c r="G181"/>
      <c r="H181">
        <v>11</v>
      </c>
      <c r="I181">
        <v>21.7</v>
      </c>
      <c r="J181">
        <v>13.6</v>
      </c>
      <c r="K181">
        <f t="shared" si="2"/>
        <v>384.1</v>
      </c>
    </row>
    <row r="182" spans="1:11" x14ac:dyDescent="0.2">
      <c r="A182" s="430">
        <v>45288</v>
      </c>
      <c r="B182">
        <v>384.1</v>
      </c>
      <c r="C182">
        <v>271.3</v>
      </c>
      <c r="D182">
        <v>43.5</v>
      </c>
      <c r="E182">
        <v>89.1</v>
      </c>
      <c r="F182">
        <v>22</v>
      </c>
      <c r="G182">
        <v>128</v>
      </c>
      <c r="H182">
        <v>9.6999999999999993</v>
      </c>
      <c r="I182">
        <v>8.1</v>
      </c>
      <c r="J182">
        <v>15.2</v>
      </c>
      <c r="K182">
        <f t="shared" si="2"/>
        <v>971.00000000000023</v>
      </c>
    </row>
    <row r="183" spans="1:11" x14ac:dyDescent="0.2">
      <c r="A183" s="430">
        <v>45289</v>
      </c>
      <c r="B183">
        <v>301.5</v>
      </c>
      <c r="C183">
        <v>390.8</v>
      </c>
      <c r="D183">
        <v>15.4</v>
      </c>
      <c r="E183">
        <v>74.3</v>
      </c>
      <c r="F183">
        <v>30.3</v>
      </c>
      <c r="G183">
        <v>97.1</v>
      </c>
      <c r="H183">
        <v>8.4</v>
      </c>
      <c r="I183">
        <v>27.1</v>
      </c>
      <c r="J183"/>
      <c r="K183">
        <f t="shared" si="2"/>
        <v>944.89999999999986</v>
      </c>
    </row>
    <row r="184" spans="1:11" x14ac:dyDescent="0.2">
      <c r="A184" s="430">
        <v>45290</v>
      </c>
      <c r="B184">
        <v>245.5</v>
      </c>
      <c r="C184">
        <v>331.8</v>
      </c>
      <c r="D184">
        <v>16.2</v>
      </c>
      <c r="E184">
        <v>84</v>
      </c>
      <c r="F184">
        <v>18.100000000000001</v>
      </c>
      <c r="G184">
        <v>78.099999999999994</v>
      </c>
      <c r="H184">
        <v>7.5</v>
      </c>
      <c r="I184">
        <v>14.9</v>
      </c>
      <c r="J184">
        <v>6.9</v>
      </c>
      <c r="K184">
        <f t="shared" si="2"/>
        <v>803</v>
      </c>
    </row>
    <row r="185" spans="1:11" x14ac:dyDescent="0.2">
      <c r="A185" s="430">
        <v>45291</v>
      </c>
      <c r="B185">
        <v>251.5</v>
      </c>
      <c r="C185">
        <v>348.5</v>
      </c>
      <c r="D185">
        <v>19.8</v>
      </c>
      <c r="E185">
        <v>38.5</v>
      </c>
      <c r="F185">
        <v>6</v>
      </c>
      <c r="G185">
        <v>111.9</v>
      </c>
      <c r="H185"/>
      <c r="I185">
        <v>8.6999999999999993</v>
      </c>
      <c r="J185">
        <v>1.4</v>
      </c>
      <c r="K185">
        <f t="shared" si="2"/>
        <v>786.3</v>
      </c>
    </row>
    <row r="186" spans="1:11" x14ac:dyDescent="0.2">
      <c r="A186" s="430">
        <v>45292</v>
      </c>
      <c r="B186">
        <v>274.60000000000002</v>
      </c>
      <c r="C186">
        <v>166.6</v>
      </c>
      <c r="D186">
        <v>26.1</v>
      </c>
      <c r="E186"/>
      <c r="F186">
        <v>9.4</v>
      </c>
      <c r="G186"/>
      <c r="H186"/>
      <c r="I186">
        <v>12</v>
      </c>
      <c r="J186">
        <v>6.1</v>
      </c>
      <c r="K186">
        <f t="shared" si="2"/>
        <v>494.80000000000007</v>
      </c>
    </row>
    <row r="187" spans="1:11" x14ac:dyDescent="0.2">
      <c r="A187" s="430">
        <v>45293</v>
      </c>
      <c r="B187">
        <v>235</v>
      </c>
      <c r="C187">
        <v>214.8</v>
      </c>
      <c r="D187">
        <v>36.200000000000003</v>
      </c>
      <c r="E187"/>
      <c r="F187">
        <v>1.4</v>
      </c>
      <c r="G187"/>
      <c r="H187"/>
      <c r="I187">
        <v>4.3</v>
      </c>
      <c r="J187">
        <v>13.8</v>
      </c>
      <c r="K187">
        <f t="shared" si="2"/>
        <v>505.5</v>
      </c>
    </row>
    <row r="188" spans="1:11" x14ac:dyDescent="0.2">
      <c r="A188" s="430">
        <v>45294</v>
      </c>
      <c r="B188">
        <v>335.8</v>
      </c>
      <c r="C188">
        <v>388.1</v>
      </c>
      <c r="D188">
        <v>15.5</v>
      </c>
      <c r="E188">
        <v>67.5</v>
      </c>
      <c r="F188">
        <v>10.1</v>
      </c>
      <c r="G188">
        <v>97.1</v>
      </c>
      <c r="H188">
        <v>10.7</v>
      </c>
      <c r="I188">
        <v>21.8</v>
      </c>
      <c r="J188">
        <v>10.3</v>
      </c>
      <c r="K188">
        <f t="shared" si="2"/>
        <v>956.90000000000009</v>
      </c>
    </row>
    <row r="189" spans="1:11" x14ac:dyDescent="0.2">
      <c r="A189" s="430">
        <v>45295</v>
      </c>
      <c r="B189">
        <v>326.5</v>
      </c>
      <c r="C189">
        <v>442.3</v>
      </c>
      <c r="D189">
        <v>22.8</v>
      </c>
      <c r="E189">
        <v>57.8</v>
      </c>
      <c r="F189">
        <v>10.199999999999999</v>
      </c>
      <c r="G189">
        <v>92.4</v>
      </c>
      <c r="H189">
        <v>10.7</v>
      </c>
      <c r="I189">
        <v>104.8</v>
      </c>
      <c r="J189">
        <v>6.1</v>
      </c>
      <c r="K189">
        <f t="shared" si="2"/>
        <v>1073.5999999999999</v>
      </c>
    </row>
    <row r="190" spans="1:11" x14ac:dyDescent="0.2">
      <c r="A190" s="430">
        <v>45296</v>
      </c>
      <c r="B190">
        <v>297.7</v>
      </c>
      <c r="C190">
        <v>404.3</v>
      </c>
      <c r="D190">
        <v>12.4</v>
      </c>
      <c r="E190">
        <v>57.9</v>
      </c>
      <c r="F190">
        <v>6.7</v>
      </c>
      <c r="G190">
        <v>115.9</v>
      </c>
      <c r="H190">
        <v>8.8000000000000007</v>
      </c>
      <c r="I190">
        <v>15.3</v>
      </c>
      <c r="J190">
        <v>6.2</v>
      </c>
      <c r="K190">
        <f t="shared" si="2"/>
        <v>925.19999999999993</v>
      </c>
    </row>
    <row r="191" spans="1:11" x14ac:dyDescent="0.2">
      <c r="A191" s="430">
        <v>45297</v>
      </c>
      <c r="B191">
        <v>348</v>
      </c>
      <c r="C191">
        <v>309.10000000000002</v>
      </c>
      <c r="D191">
        <v>27.1</v>
      </c>
      <c r="E191">
        <v>77.5</v>
      </c>
      <c r="F191">
        <v>7</v>
      </c>
      <c r="G191">
        <v>92.5</v>
      </c>
      <c r="H191">
        <v>7.8</v>
      </c>
      <c r="I191">
        <v>43.9</v>
      </c>
      <c r="J191">
        <v>3.7</v>
      </c>
      <c r="K191">
        <f t="shared" si="2"/>
        <v>916.6</v>
      </c>
    </row>
    <row r="192" spans="1:11" x14ac:dyDescent="0.2">
      <c r="A192" s="430">
        <v>45298</v>
      </c>
      <c r="B192">
        <v>419.9</v>
      </c>
      <c r="C192">
        <v>252.6</v>
      </c>
      <c r="D192">
        <v>16.7</v>
      </c>
      <c r="E192">
        <v>30</v>
      </c>
      <c r="F192">
        <v>28.5</v>
      </c>
      <c r="G192">
        <v>88.3</v>
      </c>
      <c r="H192">
        <v>1.4</v>
      </c>
      <c r="I192">
        <v>28.5</v>
      </c>
      <c r="J192">
        <v>8.4</v>
      </c>
      <c r="K192">
        <f t="shared" si="2"/>
        <v>874.3</v>
      </c>
    </row>
    <row r="193" spans="1:11" x14ac:dyDescent="0.2">
      <c r="A193" s="430">
        <v>45299</v>
      </c>
      <c r="B193">
        <v>270</v>
      </c>
      <c r="C193">
        <v>206.9</v>
      </c>
      <c r="D193">
        <v>14.4</v>
      </c>
      <c r="E193"/>
      <c r="F193">
        <v>17.8</v>
      </c>
      <c r="G193"/>
      <c r="H193"/>
      <c r="I193">
        <v>19.3</v>
      </c>
      <c r="J193">
        <v>12</v>
      </c>
      <c r="K193">
        <f t="shared" si="2"/>
        <v>540.4</v>
      </c>
    </row>
    <row r="194" spans="1:11" x14ac:dyDescent="0.2">
      <c r="A194" s="430">
        <v>45300</v>
      </c>
      <c r="B194">
        <v>342.8</v>
      </c>
      <c r="C194">
        <v>380.8</v>
      </c>
      <c r="D194">
        <v>22</v>
      </c>
      <c r="E194">
        <v>60.1</v>
      </c>
      <c r="F194">
        <v>17.5</v>
      </c>
      <c r="G194">
        <v>97.6</v>
      </c>
      <c r="H194">
        <v>9.4</v>
      </c>
      <c r="I194">
        <v>23.5</v>
      </c>
      <c r="J194">
        <v>8.3000000000000007</v>
      </c>
      <c r="K194">
        <f t="shared" si="2"/>
        <v>962</v>
      </c>
    </row>
    <row r="195" spans="1:11" x14ac:dyDescent="0.2">
      <c r="A195" s="430">
        <v>45301</v>
      </c>
      <c r="B195">
        <v>358.3</v>
      </c>
      <c r="C195">
        <v>358.5</v>
      </c>
      <c r="D195">
        <v>17.399999999999999</v>
      </c>
      <c r="E195">
        <v>63.5</v>
      </c>
      <c r="F195">
        <v>31</v>
      </c>
      <c r="G195">
        <v>97.8</v>
      </c>
      <c r="H195">
        <v>10.199999999999999</v>
      </c>
      <c r="I195">
        <v>38.6</v>
      </c>
      <c r="J195">
        <v>8.3000000000000007</v>
      </c>
      <c r="K195">
        <f t="shared" ref="K195:K258" si="3">SUM(B195:J195)</f>
        <v>983.59999999999991</v>
      </c>
    </row>
    <row r="196" spans="1:11" x14ac:dyDescent="0.2">
      <c r="A196" s="430">
        <v>45302</v>
      </c>
      <c r="B196">
        <v>339.7</v>
      </c>
      <c r="C196">
        <v>408.8</v>
      </c>
      <c r="D196">
        <v>19.5</v>
      </c>
      <c r="E196">
        <v>59.7</v>
      </c>
      <c r="F196">
        <v>5.6</v>
      </c>
      <c r="G196">
        <v>99.3</v>
      </c>
      <c r="H196">
        <v>12</v>
      </c>
      <c r="I196"/>
      <c r="J196">
        <v>6.6</v>
      </c>
      <c r="K196">
        <f t="shared" si="3"/>
        <v>951.2</v>
      </c>
    </row>
    <row r="197" spans="1:11" x14ac:dyDescent="0.2">
      <c r="A197" s="430">
        <v>45303</v>
      </c>
      <c r="B197">
        <v>384.3</v>
      </c>
      <c r="C197">
        <v>373.7</v>
      </c>
      <c r="D197">
        <v>29.7</v>
      </c>
      <c r="E197">
        <v>59.5</v>
      </c>
      <c r="F197">
        <v>3.8</v>
      </c>
      <c r="G197">
        <v>97.3</v>
      </c>
      <c r="H197">
        <v>7.7</v>
      </c>
      <c r="I197">
        <v>29.9</v>
      </c>
      <c r="J197">
        <v>5.8</v>
      </c>
      <c r="K197">
        <f t="shared" si="3"/>
        <v>991.69999999999993</v>
      </c>
    </row>
    <row r="198" spans="1:11" x14ac:dyDescent="0.2">
      <c r="A198" s="430">
        <v>45304</v>
      </c>
      <c r="B198">
        <v>342.4</v>
      </c>
      <c r="C198">
        <v>350.7</v>
      </c>
      <c r="D198">
        <v>23.9</v>
      </c>
      <c r="E198">
        <v>69.8</v>
      </c>
      <c r="F198">
        <v>6.8</v>
      </c>
      <c r="G198">
        <v>100.1</v>
      </c>
      <c r="H198">
        <v>6.6</v>
      </c>
      <c r="I198">
        <v>27.9</v>
      </c>
      <c r="J198">
        <v>5.8</v>
      </c>
      <c r="K198">
        <f t="shared" si="3"/>
        <v>933.99999999999977</v>
      </c>
    </row>
    <row r="199" spans="1:11" x14ac:dyDescent="0.2">
      <c r="A199" s="430">
        <v>45305</v>
      </c>
      <c r="B199">
        <v>370.4</v>
      </c>
      <c r="C199">
        <v>269.2</v>
      </c>
      <c r="D199">
        <v>20.3</v>
      </c>
      <c r="E199">
        <v>28.8</v>
      </c>
      <c r="F199">
        <v>15.8</v>
      </c>
      <c r="G199">
        <v>71.599999999999994</v>
      </c>
      <c r="H199"/>
      <c r="I199">
        <v>28.3</v>
      </c>
      <c r="J199">
        <v>4.3</v>
      </c>
      <c r="K199">
        <f t="shared" si="3"/>
        <v>808.6999999999997</v>
      </c>
    </row>
    <row r="200" spans="1:11" x14ac:dyDescent="0.2">
      <c r="A200" s="430">
        <v>45306</v>
      </c>
      <c r="B200">
        <v>272.60000000000002</v>
      </c>
      <c r="C200">
        <v>211</v>
      </c>
      <c r="D200">
        <v>16.5</v>
      </c>
      <c r="E200"/>
      <c r="F200">
        <v>17</v>
      </c>
      <c r="G200"/>
      <c r="H200"/>
      <c r="I200">
        <v>14.1</v>
      </c>
      <c r="J200">
        <v>7.1</v>
      </c>
      <c r="K200">
        <f t="shared" si="3"/>
        <v>538.30000000000007</v>
      </c>
    </row>
    <row r="201" spans="1:11" x14ac:dyDescent="0.2">
      <c r="A201" s="430">
        <v>45307</v>
      </c>
      <c r="B201">
        <v>358.5</v>
      </c>
      <c r="C201">
        <v>391</v>
      </c>
      <c r="D201">
        <v>14.6</v>
      </c>
      <c r="E201">
        <v>48.3</v>
      </c>
      <c r="F201">
        <v>15.4</v>
      </c>
      <c r="G201">
        <v>99.4</v>
      </c>
      <c r="H201">
        <v>10.1</v>
      </c>
      <c r="I201">
        <v>42.5</v>
      </c>
      <c r="J201">
        <v>9.8000000000000007</v>
      </c>
      <c r="K201">
        <f t="shared" si="3"/>
        <v>989.59999999999991</v>
      </c>
    </row>
    <row r="202" spans="1:11" x14ac:dyDescent="0.2">
      <c r="A202" s="430">
        <v>45308</v>
      </c>
      <c r="B202">
        <v>325.60000000000002</v>
      </c>
      <c r="C202">
        <v>218.1</v>
      </c>
      <c r="D202">
        <v>22.8</v>
      </c>
      <c r="E202">
        <v>43.3</v>
      </c>
      <c r="F202">
        <v>7.3</v>
      </c>
      <c r="G202">
        <v>101.4</v>
      </c>
      <c r="H202">
        <v>7.6</v>
      </c>
      <c r="I202">
        <v>12.6</v>
      </c>
      <c r="J202">
        <v>11</v>
      </c>
      <c r="K202">
        <f t="shared" si="3"/>
        <v>749.69999999999993</v>
      </c>
    </row>
    <row r="203" spans="1:11" x14ac:dyDescent="0.2">
      <c r="A203" s="430">
        <v>45309</v>
      </c>
      <c r="B203">
        <v>339.4</v>
      </c>
      <c r="C203">
        <v>680.5</v>
      </c>
      <c r="D203">
        <v>12.9</v>
      </c>
      <c r="E203">
        <v>55.6</v>
      </c>
      <c r="F203">
        <v>16.100000000000001</v>
      </c>
      <c r="G203">
        <v>108</v>
      </c>
      <c r="H203">
        <v>8.1</v>
      </c>
      <c r="I203">
        <v>17.5</v>
      </c>
      <c r="J203">
        <v>9.4</v>
      </c>
      <c r="K203">
        <f t="shared" si="3"/>
        <v>1247.4999999999998</v>
      </c>
    </row>
    <row r="204" spans="1:11" x14ac:dyDescent="0.2">
      <c r="A204" s="430">
        <v>45310</v>
      </c>
      <c r="B204">
        <v>247.6</v>
      </c>
      <c r="C204">
        <v>375.9</v>
      </c>
      <c r="D204">
        <v>31.3</v>
      </c>
      <c r="E204">
        <v>82.1</v>
      </c>
      <c r="F204">
        <v>14.6</v>
      </c>
      <c r="G204">
        <v>100.6</v>
      </c>
      <c r="H204">
        <v>11.5</v>
      </c>
      <c r="I204">
        <v>12.2</v>
      </c>
      <c r="J204">
        <v>8.1999999999999993</v>
      </c>
      <c r="K204">
        <f t="shared" si="3"/>
        <v>884.00000000000011</v>
      </c>
    </row>
    <row r="205" spans="1:11" x14ac:dyDescent="0.2">
      <c r="A205" s="430">
        <v>45311</v>
      </c>
      <c r="B205">
        <v>378.1</v>
      </c>
      <c r="C205">
        <v>388.9</v>
      </c>
      <c r="D205">
        <v>10.1</v>
      </c>
      <c r="E205">
        <v>79.7</v>
      </c>
      <c r="F205">
        <v>28.4</v>
      </c>
      <c r="G205">
        <v>93.7</v>
      </c>
      <c r="H205">
        <v>7.4</v>
      </c>
      <c r="I205">
        <v>32.299999999999997</v>
      </c>
      <c r="J205">
        <v>6.2</v>
      </c>
      <c r="K205">
        <f t="shared" si="3"/>
        <v>1024.8</v>
      </c>
    </row>
    <row r="206" spans="1:11" x14ac:dyDescent="0.2">
      <c r="A206" s="430">
        <v>45312</v>
      </c>
      <c r="B206">
        <v>349.7</v>
      </c>
      <c r="C206">
        <v>267.7</v>
      </c>
      <c r="D206">
        <v>25.3</v>
      </c>
      <c r="E206">
        <v>39.4</v>
      </c>
      <c r="F206">
        <v>20.6</v>
      </c>
      <c r="G206">
        <v>107.4</v>
      </c>
      <c r="H206">
        <v>2.6</v>
      </c>
      <c r="I206">
        <v>35.299999999999997</v>
      </c>
      <c r="J206">
        <v>1.6</v>
      </c>
      <c r="K206">
        <f t="shared" si="3"/>
        <v>849.59999999999991</v>
      </c>
    </row>
    <row r="207" spans="1:11" x14ac:dyDescent="0.2">
      <c r="A207" s="430">
        <v>45313</v>
      </c>
      <c r="B207">
        <v>288.60000000000002</v>
      </c>
      <c r="C207">
        <v>202.9</v>
      </c>
      <c r="D207">
        <v>10.5</v>
      </c>
      <c r="E207"/>
      <c r="F207">
        <v>10.5</v>
      </c>
      <c r="G207"/>
      <c r="H207">
        <v>1.7</v>
      </c>
      <c r="I207">
        <v>24.8</v>
      </c>
      <c r="J207">
        <v>10.199999999999999</v>
      </c>
      <c r="K207">
        <f t="shared" si="3"/>
        <v>549.20000000000005</v>
      </c>
    </row>
    <row r="208" spans="1:11" x14ac:dyDescent="0.2">
      <c r="A208" s="430">
        <v>45314</v>
      </c>
      <c r="B208">
        <v>419.9</v>
      </c>
      <c r="C208">
        <v>385.8</v>
      </c>
      <c r="D208">
        <v>9.3000000000000007</v>
      </c>
      <c r="E208">
        <v>49.5</v>
      </c>
      <c r="F208">
        <v>6.4</v>
      </c>
      <c r="G208">
        <v>115.6</v>
      </c>
      <c r="H208">
        <v>11.8</v>
      </c>
      <c r="I208">
        <v>43.3</v>
      </c>
      <c r="J208">
        <v>9.6999999999999993</v>
      </c>
      <c r="K208">
        <f t="shared" si="3"/>
        <v>1051.3</v>
      </c>
    </row>
    <row r="209" spans="1:11" x14ac:dyDescent="0.2">
      <c r="A209" s="430">
        <v>45315</v>
      </c>
      <c r="B209">
        <v>398.8</v>
      </c>
      <c r="C209">
        <v>360.2</v>
      </c>
      <c r="D209">
        <v>7.5</v>
      </c>
      <c r="E209">
        <v>71.599999999999994</v>
      </c>
      <c r="F209">
        <v>16.600000000000001</v>
      </c>
      <c r="G209">
        <v>118.4</v>
      </c>
      <c r="H209">
        <v>6.9</v>
      </c>
      <c r="I209">
        <v>30</v>
      </c>
      <c r="J209">
        <v>2.4</v>
      </c>
      <c r="K209">
        <f t="shared" si="3"/>
        <v>1012.4</v>
      </c>
    </row>
    <row r="210" spans="1:11" x14ac:dyDescent="0.2">
      <c r="A210" s="430">
        <v>45316</v>
      </c>
      <c r="B210">
        <v>355.6</v>
      </c>
      <c r="C210">
        <v>436.9</v>
      </c>
      <c r="D210">
        <v>10.8</v>
      </c>
      <c r="E210">
        <v>61.7</v>
      </c>
      <c r="F210">
        <v>10.1</v>
      </c>
      <c r="G210">
        <v>103.3</v>
      </c>
      <c r="H210">
        <v>8</v>
      </c>
      <c r="I210">
        <v>35.299999999999997</v>
      </c>
      <c r="J210">
        <v>9.1999999999999993</v>
      </c>
      <c r="K210">
        <f t="shared" si="3"/>
        <v>1030.8999999999999</v>
      </c>
    </row>
    <row r="211" spans="1:11" x14ac:dyDescent="0.2">
      <c r="A211" s="430">
        <v>45317</v>
      </c>
      <c r="B211">
        <v>309.5</v>
      </c>
      <c r="C211">
        <v>480.7</v>
      </c>
      <c r="D211">
        <v>16.399999999999999</v>
      </c>
      <c r="E211">
        <v>42.6</v>
      </c>
      <c r="F211">
        <v>9.6</v>
      </c>
      <c r="G211">
        <v>118.4</v>
      </c>
      <c r="H211">
        <v>9.5</v>
      </c>
      <c r="I211">
        <v>18</v>
      </c>
      <c r="J211">
        <v>4.2</v>
      </c>
      <c r="K211">
        <f t="shared" si="3"/>
        <v>1008.9000000000001</v>
      </c>
    </row>
    <row r="212" spans="1:11" x14ac:dyDescent="0.2">
      <c r="A212" s="430">
        <v>45318</v>
      </c>
      <c r="B212">
        <v>330.7</v>
      </c>
      <c r="C212">
        <v>314.8</v>
      </c>
      <c r="D212">
        <v>18.3</v>
      </c>
      <c r="E212">
        <v>58.6</v>
      </c>
      <c r="F212">
        <v>5</v>
      </c>
      <c r="G212">
        <v>97.6</v>
      </c>
      <c r="H212">
        <v>14.1</v>
      </c>
      <c r="I212">
        <v>29.6</v>
      </c>
      <c r="J212">
        <v>5.2</v>
      </c>
      <c r="K212">
        <f t="shared" si="3"/>
        <v>873.90000000000009</v>
      </c>
    </row>
    <row r="213" spans="1:11" x14ac:dyDescent="0.2">
      <c r="A213" s="430">
        <v>45319</v>
      </c>
      <c r="B213">
        <v>350.6</v>
      </c>
      <c r="C213">
        <v>263.8</v>
      </c>
      <c r="D213">
        <v>5.6</v>
      </c>
      <c r="E213">
        <v>20.9</v>
      </c>
      <c r="F213">
        <v>17.5</v>
      </c>
      <c r="G213">
        <v>92.5</v>
      </c>
      <c r="H213"/>
      <c r="I213">
        <v>7.3</v>
      </c>
      <c r="J213">
        <v>3.8</v>
      </c>
      <c r="K213">
        <f t="shared" si="3"/>
        <v>762</v>
      </c>
    </row>
    <row r="214" spans="1:11" x14ac:dyDescent="0.2">
      <c r="A214" s="430">
        <v>45320</v>
      </c>
      <c r="B214">
        <v>277.60000000000002</v>
      </c>
      <c r="C214">
        <v>174.3</v>
      </c>
      <c r="D214">
        <v>14</v>
      </c>
      <c r="E214"/>
      <c r="F214">
        <v>29.2</v>
      </c>
      <c r="G214">
        <v>10.8</v>
      </c>
      <c r="H214"/>
      <c r="I214">
        <v>24.2</v>
      </c>
      <c r="J214">
        <v>8.9</v>
      </c>
      <c r="K214">
        <f t="shared" si="3"/>
        <v>539</v>
      </c>
    </row>
    <row r="215" spans="1:11" x14ac:dyDescent="0.2">
      <c r="A215" s="430">
        <v>45321</v>
      </c>
      <c r="B215">
        <v>386.9</v>
      </c>
      <c r="C215">
        <v>421.3</v>
      </c>
      <c r="D215">
        <v>11</v>
      </c>
      <c r="E215">
        <v>55.7</v>
      </c>
      <c r="F215">
        <v>10.9</v>
      </c>
      <c r="G215">
        <v>106.3</v>
      </c>
      <c r="H215">
        <v>14.9</v>
      </c>
      <c r="I215">
        <v>64.599999999999994</v>
      </c>
      <c r="J215">
        <v>6.3</v>
      </c>
      <c r="K215">
        <f t="shared" si="3"/>
        <v>1077.8999999999999</v>
      </c>
    </row>
    <row r="216" spans="1:11" x14ac:dyDescent="0.2">
      <c r="A216" s="430">
        <v>45322</v>
      </c>
      <c r="B216">
        <v>405.1</v>
      </c>
      <c r="C216">
        <v>418.5</v>
      </c>
      <c r="D216">
        <v>9</v>
      </c>
      <c r="E216">
        <v>61.3</v>
      </c>
      <c r="F216">
        <v>6.7</v>
      </c>
      <c r="G216">
        <v>117.1</v>
      </c>
      <c r="H216">
        <v>22.3</v>
      </c>
      <c r="I216">
        <v>28.4</v>
      </c>
      <c r="J216">
        <v>5</v>
      </c>
      <c r="K216">
        <f t="shared" si="3"/>
        <v>1073.4000000000001</v>
      </c>
    </row>
    <row r="217" spans="1:11" x14ac:dyDescent="0.2">
      <c r="A217" s="430">
        <v>45323</v>
      </c>
      <c r="B217">
        <v>579.5</v>
      </c>
      <c r="C217">
        <v>589.29999999999995</v>
      </c>
      <c r="D217">
        <v>8.4</v>
      </c>
      <c r="E217">
        <v>146.30000000000001</v>
      </c>
      <c r="F217">
        <v>9.5</v>
      </c>
      <c r="G217">
        <v>142.30000000000001</v>
      </c>
      <c r="H217">
        <v>24.6</v>
      </c>
      <c r="I217">
        <v>10.199999999999999</v>
      </c>
      <c r="J217">
        <v>5.7</v>
      </c>
      <c r="K217">
        <f t="shared" si="3"/>
        <v>1515.8</v>
      </c>
    </row>
    <row r="218" spans="1:11" x14ac:dyDescent="0.2">
      <c r="A218" s="430">
        <v>45324</v>
      </c>
      <c r="B218">
        <v>538.79999999999995</v>
      </c>
      <c r="C218">
        <v>619</v>
      </c>
      <c r="D218">
        <v>8.1999999999999993</v>
      </c>
      <c r="E218">
        <v>111.2</v>
      </c>
      <c r="F218">
        <v>8.1999999999999993</v>
      </c>
      <c r="G218">
        <v>131</v>
      </c>
      <c r="H218">
        <v>23.6</v>
      </c>
      <c r="I218">
        <v>35.4</v>
      </c>
      <c r="J218">
        <v>8.3000000000000007</v>
      </c>
      <c r="K218">
        <f t="shared" si="3"/>
        <v>1483.7</v>
      </c>
    </row>
    <row r="219" spans="1:11" x14ac:dyDescent="0.2">
      <c r="A219" s="430">
        <v>45325</v>
      </c>
      <c r="B219">
        <v>536.6</v>
      </c>
      <c r="C219">
        <v>471.7</v>
      </c>
      <c r="D219">
        <v>28.8</v>
      </c>
      <c r="E219">
        <v>109.8</v>
      </c>
      <c r="F219">
        <v>43</v>
      </c>
      <c r="G219">
        <v>122.1</v>
      </c>
      <c r="H219">
        <v>16.8</v>
      </c>
      <c r="I219">
        <v>28.4</v>
      </c>
      <c r="J219">
        <v>7.2</v>
      </c>
      <c r="K219">
        <f t="shared" si="3"/>
        <v>1364.3999999999999</v>
      </c>
    </row>
    <row r="220" spans="1:11" x14ac:dyDescent="0.2">
      <c r="A220" s="430">
        <v>45326</v>
      </c>
      <c r="B220">
        <v>457.7</v>
      </c>
      <c r="C220">
        <v>362.7</v>
      </c>
      <c r="D220">
        <v>21.2</v>
      </c>
      <c r="E220">
        <v>29.4</v>
      </c>
      <c r="F220">
        <v>6.6</v>
      </c>
      <c r="G220">
        <v>116</v>
      </c>
      <c r="H220">
        <v>3.8</v>
      </c>
      <c r="I220">
        <v>34.700000000000003</v>
      </c>
      <c r="J220">
        <v>5.8</v>
      </c>
      <c r="K220">
        <f t="shared" si="3"/>
        <v>1037.8999999999999</v>
      </c>
    </row>
    <row r="221" spans="1:11" x14ac:dyDescent="0.2">
      <c r="A221" s="430">
        <v>45327</v>
      </c>
      <c r="B221">
        <v>345.8</v>
      </c>
      <c r="C221">
        <v>264.5</v>
      </c>
      <c r="D221">
        <v>15.4</v>
      </c>
      <c r="E221"/>
      <c r="F221">
        <v>12.7</v>
      </c>
      <c r="G221"/>
      <c r="H221">
        <v>19</v>
      </c>
      <c r="I221">
        <v>10.6</v>
      </c>
      <c r="J221">
        <v>12.4</v>
      </c>
      <c r="K221">
        <f t="shared" si="3"/>
        <v>680.4</v>
      </c>
    </row>
    <row r="222" spans="1:11" x14ac:dyDescent="0.2">
      <c r="A222" s="430">
        <v>45328</v>
      </c>
      <c r="B222">
        <v>536.6</v>
      </c>
      <c r="C222">
        <v>537</v>
      </c>
      <c r="D222">
        <v>7.3</v>
      </c>
      <c r="E222">
        <v>106.2</v>
      </c>
      <c r="F222">
        <v>8.1</v>
      </c>
      <c r="G222">
        <v>131.69999999999999</v>
      </c>
      <c r="H222">
        <v>34.1</v>
      </c>
      <c r="I222">
        <v>24.8</v>
      </c>
      <c r="J222">
        <v>7.2</v>
      </c>
      <c r="K222">
        <f t="shared" si="3"/>
        <v>1392.9999999999998</v>
      </c>
    </row>
    <row r="223" spans="1:11" x14ac:dyDescent="0.2">
      <c r="A223" s="430">
        <v>45329</v>
      </c>
      <c r="B223">
        <v>533.79999999999995</v>
      </c>
      <c r="C223">
        <v>511.3</v>
      </c>
      <c r="D223">
        <v>4</v>
      </c>
      <c r="E223">
        <v>147.1</v>
      </c>
      <c r="F223">
        <v>22</v>
      </c>
      <c r="G223">
        <v>142.69999999999999</v>
      </c>
      <c r="H223">
        <v>27.8</v>
      </c>
      <c r="I223">
        <v>26.6</v>
      </c>
      <c r="J223">
        <v>9.1</v>
      </c>
      <c r="K223">
        <f t="shared" si="3"/>
        <v>1424.3999999999996</v>
      </c>
    </row>
    <row r="224" spans="1:11" x14ac:dyDescent="0.2">
      <c r="A224" s="430">
        <v>45330</v>
      </c>
      <c r="B224">
        <v>568.79999999999995</v>
      </c>
      <c r="C224">
        <v>440</v>
      </c>
      <c r="D224">
        <v>6.4</v>
      </c>
      <c r="E224">
        <v>99</v>
      </c>
      <c r="F224">
        <v>28.9</v>
      </c>
      <c r="G224">
        <v>111</v>
      </c>
      <c r="H224">
        <v>19.3</v>
      </c>
      <c r="I224">
        <v>28.3</v>
      </c>
      <c r="J224">
        <v>8.6</v>
      </c>
      <c r="K224">
        <f t="shared" si="3"/>
        <v>1310.2999999999997</v>
      </c>
    </row>
    <row r="225" spans="1:11" x14ac:dyDescent="0.2">
      <c r="A225" s="430">
        <v>45331</v>
      </c>
      <c r="B225">
        <v>381.3</v>
      </c>
      <c r="C225">
        <v>426.6</v>
      </c>
      <c r="D225">
        <v>13.8</v>
      </c>
      <c r="E225">
        <v>83.9</v>
      </c>
      <c r="F225">
        <v>15.6</v>
      </c>
      <c r="G225">
        <v>105.9</v>
      </c>
      <c r="H225">
        <v>21.4</v>
      </c>
      <c r="I225">
        <v>10.6</v>
      </c>
      <c r="J225">
        <v>7.4</v>
      </c>
      <c r="K225">
        <f t="shared" si="3"/>
        <v>1066.5000000000002</v>
      </c>
    </row>
    <row r="226" spans="1:11" x14ac:dyDescent="0.2">
      <c r="A226" s="430">
        <v>45332</v>
      </c>
      <c r="B226">
        <v>298.5</v>
      </c>
      <c r="C226">
        <v>214.8</v>
      </c>
      <c r="D226">
        <v>12</v>
      </c>
      <c r="E226">
        <v>119.2</v>
      </c>
      <c r="F226">
        <v>10.6</v>
      </c>
      <c r="G226">
        <v>77.8</v>
      </c>
      <c r="H226"/>
      <c r="I226">
        <v>19.600000000000001</v>
      </c>
      <c r="J226">
        <v>11.7</v>
      </c>
      <c r="K226">
        <f t="shared" si="3"/>
        <v>764.2</v>
      </c>
    </row>
    <row r="227" spans="1:11" x14ac:dyDescent="0.2">
      <c r="A227" s="430">
        <v>45333</v>
      </c>
      <c r="B227">
        <v>147.69999999999999</v>
      </c>
      <c r="C227"/>
      <c r="D227"/>
      <c r="E227"/>
      <c r="F227">
        <v>7</v>
      </c>
      <c r="G227"/>
      <c r="H227"/>
      <c r="I227">
        <v>25.3</v>
      </c>
      <c r="J227">
        <v>6.3</v>
      </c>
      <c r="K227">
        <f t="shared" si="3"/>
        <v>186.3</v>
      </c>
    </row>
    <row r="228" spans="1:11" x14ac:dyDescent="0.2">
      <c r="A228" s="430">
        <v>45334</v>
      </c>
      <c r="B228">
        <v>212.6</v>
      </c>
      <c r="C228"/>
      <c r="D228"/>
      <c r="E228"/>
      <c r="F228">
        <v>5.6</v>
      </c>
      <c r="G228"/>
      <c r="H228"/>
      <c r="I228">
        <v>26.9</v>
      </c>
      <c r="J228">
        <v>11.2</v>
      </c>
      <c r="K228">
        <f t="shared" si="3"/>
        <v>256.3</v>
      </c>
    </row>
    <row r="229" spans="1:11" x14ac:dyDescent="0.2">
      <c r="A229" s="430">
        <v>45335</v>
      </c>
      <c r="B229">
        <v>217.8</v>
      </c>
      <c r="C229"/>
      <c r="D229">
        <v>26.2</v>
      </c>
      <c r="E229"/>
      <c r="F229">
        <v>8.4</v>
      </c>
      <c r="G229"/>
      <c r="H229">
        <v>2.6</v>
      </c>
      <c r="I229">
        <v>11.2</v>
      </c>
      <c r="J229">
        <v>7.5</v>
      </c>
      <c r="K229">
        <f t="shared" si="3"/>
        <v>273.7</v>
      </c>
    </row>
    <row r="230" spans="1:11" x14ac:dyDescent="0.2">
      <c r="A230" s="430">
        <v>45336</v>
      </c>
      <c r="B230">
        <v>276.89999999999998</v>
      </c>
      <c r="C230">
        <v>58</v>
      </c>
      <c r="D230">
        <v>18.8</v>
      </c>
      <c r="E230">
        <v>31.4</v>
      </c>
      <c r="F230">
        <v>10.4</v>
      </c>
      <c r="G230">
        <v>5.9</v>
      </c>
      <c r="H230">
        <v>18.7</v>
      </c>
      <c r="I230">
        <v>16.899999999999999</v>
      </c>
      <c r="J230">
        <v>5.4</v>
      </c>
      <c r="K230">
        <f t="shared" si="3"/>
        <v>442.39999999999986</v>
      </c>
    </row>
    <row r="231" spans="1:11" x14ac:dyDescent="0.2">
      <c r="A231" s="430">
        <v>45337</v>
      </c>
      <c r="B231">
        <v>441.1</v>
      </c>
      <c r="C231">
        <v>473.1</v>
      </c>
      <c r="D231">
        <v>17.7</v>
      </c>
      <c r="E231">
        <v>112.5</v>
      </c>
      <c r="F231">
        <v>8.5</v>
      </c>
      <c r="G231">
        <v>99.3</v>
      </c>
      <c r="H231">
        <v>20.2</v>
      </c>
      <c r="I231">
        <v>12.4</v>
      </c>
      <c r="J231">
        <v>7.7</v>
      </c>
      <c r="K231">
        <f t="shared" si="3"/>
        <v>1192.5000000000002</v>
      </c>
    </row>
    <row r="232" spans="1:11" x14ac:dyDescent="0.2">
      <c r="A232" s="430">
        <v>45338</v>
      </c>
      <c r="B232">
        <v>502.5</v>
      </c>
      <c r="C232">
        <v>423.3</v>
      </c>
      <c r="D232">
        <v>4.3</v>
      </c>
      <c r="E232">
        <v>96.3</v>
      </c>
      <c r="F232">
        <v>14.2</v>
      </c>
      <c r="G232">
        <v>100.1</v>
      </c>
      <c r="H232">
        <v>33.5</v>
      </c>
      <c r="I232">
        <v>39.200000000000003</v>
      </c>
      <c r="J232">
        <v>7.7</v>
      </c>
      <c r="K232">
        <f t="shared" si="3"/>
        <v>1221.0999999999999</v>
      </c>
    </row>
    <row r="233" spans="1:11" x14ac:dyDescent="0.2">
      <c r="A233" s="430">
        <v>45339</v>
      </c>
      <c r="B233">
        <v>502.6</v>
      </c>
      <c r="C233">
        <v>554</v>
      </c>
      <c r="D233">
        <v>22.1</v>
      </c>
      <c r="E233">
        <v>96</v>
      </c>
      <c r="F233">
        <v>20</v>
      </c>
      <c r="G233">
        <v>109.3</v>
      </c>
      <c r="H233">
        <v>22.9</v>
      </c>
      <c r="I233">
        <v>30.6</v>
      </c>
      <c r="J233">
        <v>14.1</v>
      </c>
      <c r="K233">
        <f t="shared" si="3"/>
        <v>1371.5999999999997</v>
      </c>
    </row>
    <row r="234" spans="1:11" x14ac:dyDescent="0.2">
      <c r="A234" s="430">
        <v>45340</v>
      </c>
      <c r="B234">
        <v>378</v>
      </c>
      <c r="C234">
        <v>284.39999999999998</v>
      </c>
      <c r="D234">
        <v>24.7</v>
      </c>
      <c r="E234">
        <v>27.2</v>
      </c>
      <c r="F234">
        <v>8.9</v>
      </c>
      <c r="G234">
        <v>92.9</v>
      </c>
      <c r="H234">
        <v>8.3000000000000007</v>
      </c>
      <c r="I234">
        <v>16</v>
      </c>
      <c r="J234">
        <v>6.4</v>
      </c>
      <c r="K234">
        <f t="shared" si="3"/>
        <v>846.8</v>
      </c>
    </row>
    <row r="235" spans="1:11" x14ac:dyDescent="0.2">
      <c r="A235" s="430">
        <v>45341</v>
      </c>
      <c r="B235">
        <v>342.3</v>
      </c>
      <c r="C235">
        <v>239.7</v>
      </c>
      <c r="D235">
        <v>12.3</v>
      </c>
      <c r="E235"/>
      <c r="F235">
        <v>13.6</v>
      </c>
      <c r="G235"/>
      <c r="H235">
        <v>23.3</v>
      </c>
      <c r="I235">
        <v>42.5</v>
      </c>
      <c r="J235">
        <v>5.0999999999999996</v>
      </c>
      <c r="K235">
        <f t="shared" si="3"/>
        <v>678.8</v>
      </c>
    </row>
    <row r="236" spans="1:11" x14ac:dyDescent="0.2">
      <c r="A236" s="430">
        <v>45342</v>
      </c>
      <c r="B236">
        <v>678.5</v>
      </c>
      <c r="C236">
        <v>556.9</v>
      </c>
      <c r="D236">
        <v>4</v>
      </c>
      <c r="E236">
        <v>109.7</v>
      </c>
      <c r="F236">
        <v>16.899999999999999</v>
      </c>
      <c r="G236">
        <v>136.6</v>
      </c>
      <c r="H236">
        <v>31.8</v>
      </c>
      <c r="I236">
        <v>54.2</v>
      </c>
      <c r="J236">
        <v>9</v>
      </c>
      <c r="K236">
        <f t="shared" si="3"/>
        <v>1597.6000000000001</v>
      </c>
    </row>
    <row r="237" spans="1:11" x14ac:dyDescent="0.2">
      <c r="A237" s="430">
        <v>45343</v>
      </c>
      <c r="B237">
        <v>590.79999999999995</v>
      </c>
      <c r="C237">
        <v>592.20000000000005</v>
      </c>
      <c r="D237">
        <v>6.9</v>
      </c>
      <c r="E237">
        <v>113.8</v>
      </c>
      <c r="F237">
        <v>23.3</v>
      </c>
      <c r="G237">
        <v>175.3</v>
      </c>
      <c r="H237">
        <v>33.4</v>
      </c>
      <c r="I237">
        <v>8.9</v>
      </c>
      <c r="J237">
        <v>8.5</v>
      </c>
      <c r="K237">
        <f t="shared" si="3"/>
        <v>1553.1000000000001</v>
      </c>
    </row>
    <row r="238" spans="1:11" x14ac:dyDescent="0.2">
      <c r="A238" s="430">
        <v>45344</v>
      </c>
      <c r="B238">
        <v>625.70000000000005</v>
      </c>
      <c r="C238">
        <v>653.70000000000005</v>
      </c>
      <c r="D238">
        <v>8.1</v>
      </c>
      <c r="E238">
        <v>117.2</v>
      </c>
      <c r="F238">
        <v>18</v>
      </c>
      <c r="G238">
        <v>163.80000000000001</v>
      </c>
      <c r="H238">
        <v>34.9</v>
      </c>
      <c r="I238">
        <v>55.7</v>
      </c>
      <c r="J238">
        <v>6.3</v>
      </c>
      <c r="K238">
        <f t="shared" si="3"/>
        <v>1683.4</v>
      </c>
    </row>
    <row r="239" spans="1:11" x14ac:dyDescent="0.2">
      <c r="A239" s="430">
        <v>45345</v>
      </c>
      <c r="B239">
        <v>597.29999999999995</v>
      </c>
      <c r="C239">
        <v>692.6</v>
      </c>
      <c r="D239">
        <v>6.7</v>
      </c>
      <c r="E239">
        <v>101.8</v>
      </c>
      <c r="F239">
        <v>14</v>
      </c>
      <c r="G239">
        <v>155.4</v>
      </c>
      <c r="H239">
        <v>37.6</v>
      </c>
      <c r="I239">
        <v>21.8</v>
      </c>
      <c r="J239">
        <v>6.3</v>
      </c>
      <c r="K239">
        <f t="shared" si="3"/>
        <v>1633.5</v>
      </c>
    </row>
    <row r="240" spans="1:11" x14ac:dyDescent="0.2">
      <c r="A240" s="430">
        <v>45346</v>
      </c>
      <c r="B240">
        <v>525.79999999999995</v>
      </c>
      <c r="C240">
        <v>474.9</v>
      </c>
      <c r="D240">
        <v>24.6</v>
      </c>
      <c r="E240">
        <v>104.2</v>
      </c>
      <c r="F240">
        <v>26.2</v>
      </c>
      <c r="G240">
        <v>131.6</v>
      </c>
      <c r="H240">
        <v>22.4</v>
      </c>
      <c r="I240">
        <v>46.1</v>
      </c>
      <c r="J240">
        <v>5.5</v>
      </c>
      <c r="K240">
        <f t="shared" si="3"/>
        <v>1361.3</v>
      </c>
    </row>
    <row r="241" spans="1:11" x14ac:dyDescent="0.2">
      <c r="A241" s="430">
        <v>45347</v>
      </c>
      <c r="B241">
        <v>386.5</v>
      </c>
      <c r="C241">
        <v>356.7</v>
      </c>
      <c r="D241">
        <v>14.4</v>
      </c>
      <c r="E241">
        <v>32.1</v>
      </c>
      <c r="F241">
        <v>7.3</v>
      </c>
      <c r="G241">
        <v>143.1</v>
      </c>
      <c r="H241">
        <v>5.0999999999999996</v>
      </c>
      <c r="I241">
        <v>29.2</v>
      </c>
      <c r="J241">
        <v>5</v>
      </c>
      <c r="K241">
        <f t="shared" si="3"/>
        <v>979.40000000000009</v>
      </c>
    </row>
    <row r="242" spans="1:11" x14ac:dyDescent="0.2">
      <c r="A242" s="430">
        <v>45348</v>
      </c>
      <c r="B242">
        <v>365.7</v>
      </c>
      <c r="C242">
        <v>316.2</v>
      </c>
      <c r="D242">
        <v>19.3</v>
      </c>
      <c r="E242"/>
      <c r="F242">
        <v>27.8</v>
      </c>
      <c r="G242"/>
      <c r="H242">
        <v>21.7</v>
      </c>
      <c r="I242">
        <v>14.9</v>
      </c>
      <c r="J242">
        <v>4.2</v>
      </c>
      <c r="K242">
        <f t="shared" si="3"/>
        <v>769.8</v>
      </c>
    </row>
    <row r="243" spans="1:11" x14ac:dyDescent="0.2">
      <c r="A243" s="430">
        <v>45349</v>
      </c>
      <c r="B243">
        <v>616.29999999999995</v>
      </c>
      <c r="C243">
        <v>806.7</v>
      </c>
      <c r="D243">
        <v>7.8</v>
      </c>
      <c r="E243">
        <v>110.7</v>
      </c>
      <c r="F243">
        <v>10.4</v>
      </c>
      <c r="G243">
        <v>147.6</v>
      </c>
      <c r="H243">
        <v>34</v>
      </c>
      <c r="I243">
        <v>60.1</v>
      </c>
      <c r="J243">
        <v>9.3000000000000007</v>
      </c>
      <c r="K243">
        <f t="shared" si="3"/>
        <v>1802.8999999999999</v>
      </c>
    </row>
    <row r="244" spans="1:11" x14ac:dyDescent="0.2">
      <c r="A244" s="430">
        <v>45350</v>
      </c>
      <c r="B244">
        <v>527.29999999999995</v>
      </c>
      <c r="C244">
        <v>622.4</v>
      </c>
      <c r="D244">
        <v>14.3</v>
      </c>
      <c r="E244">
        <v>142.69999999999999</v>
      </c>
      <c r="F244">
        <v>9.1</v>
      </c>
      <c r="G244">
        <v>159.9</v>
      </c>
      <c r="H244">
        <v>35.6</v>
      </c>
      <c r="I244">
        <v>11.4</v>
      </c>
      <c r="J244">
        <v>7.3</v>
      </c>
      <c r="K244">
        <f t="shared" si="3"/>
        <v>1529.9999999999998</v>
      </c>
    </row>
    <row r="245" spans="1:11" x14ac:dyDescent="0.2">
      <c r="A245" s="430">
        <v>45351</v>
      </c>
      <c r="B245">
        <v>630.20000000000005</v>
      </c>
      <c r="C245">
        <v>729.8</v>
      </c>
      <c r="D245">
        <v>14.8</v>
      </c>
      <c r="E245">
        <v>153.69999999999999</v>
      </c>
      <c r="F245">
        <v>23.4</v>
      </c>
      <c r="G245">
        <v>147.1</v>
      </c>
      <c r="H245">
        <v>35.6</v>
      </c>
      <c r="I245">
        <v>37.700000000000003</v>
      </c>
      <c r="J245">
        <v>3.7</v>
      </c>
      <c r="K245">
        <f t="shared" si="3"/>
        <v>1776</v>
      </c>
    </row>
    <row r="246" spans="1:11" x14ac:dyDescent="0.2">
      <c r="A246" s="430">
        <v>45352</v>
      </c>
      <c r="B246">
        <v>655</v>
      </c>
      <c r="C246">
        <v>611.70000000000005</v>
      </c>
      <c r="D246">
        <v>3.7</v>
      </c>
      <c r="E246">
        <v>110.9</v>
      </c>
      <c r="F246">
        <v>13.8</v>
      </c>
      <c r="G246">
        <v>156.1</v>
      </c>
      <c r="H246">
        <v>29.8</v>
      </c>
      <c r="I246">
        <v>18.2</v>
      </c>
      <c r="J246">
        <v>4.8</v>
      </c>
      <c r="K246">
        <f t="shared" si="3"/>
        <v>1604</v>
      </c>
    </row>
    <row r="247" spans="1:11" x14ac:dyDescent="0.2">
      <c r="A247" s="430">
        <v>45353</v>
      </c>
      <c r="B247">
        <v>687.2</v>
      </c>
      <c r="C247">
        <v>646.20000000000005</v>
      </c>
      <c r="D247">
        <v>3.5</v>
      </c>
      <c r="E247">
        <v>116.9</v>
      </c>
      <c r="F247">
        <v>13.7</v>
      </c>
      <c r="G247">
        <v>147</v>
      </c>
      <c r="H247">
        <v>23</v>
      </c>
      <c r="I247">
        <v>56.8</v>
      </c>
      <c r="J247">
        <v>3.7</v>
      </c>
      <c r="K247">
        <f t="shared" si="3"/>
        <v>1698.0000000000002</v>
      </c>
    </row>
    <row r="248" spans="1:11" x14ac:dyDescent="0.2">
      <c r="A248" s="430">
        <v>45354</v>
      </c>
      <c r="B248">
        <v>472.5</v>
      </c>
      <c r="C248">
        <v>354.2</v>
      </c>
      <c r="D248">
        <v>12</v>
      </c>
      <c r="E248">
        <v>29.1</v>
      </c>
      <c r="F248">
        <v>7</v>
      </c>
      <c r="G248">
        <v>114.1</v>
      </c>
      <c r="H248">
        <v>4.9000000000000004</v>
      </c>
      <c r="I248">
        <v>30.9</v>
      </c>
      <c r="J248">
        <v>6.6</v>
      </c>
      <c r="K248">
        <f t="shared" si="3"/>
        <v>1031.3</v>
      </c>
    </row>
    <row r="249" spans="1:11" x14ac:dyDescent="0.2">
      <c r="A249" s="430">
        <v>45355</v>
      </c>
      <c r="B249">
        <v>337.7</v>
      </c>
      <c r="C249">
        <v>223.7</v>
      </c>
      <c r="D249">
        <v>5.9</v>
      </c>
      <c r="E249"/>
      <c r="F249">
        <v>12.4</v>
      </c>
      <c r="G249"/>
      <c r="H249">
        <v>18.2</v>
      </c>
      <c r="I249">
        <v>29.8</v>
      </c>
      <c r="J249">
        <v>9.6999999999999993</v>
      </c>
      <c r="K249">
        <f t="shared" si="3"/>
        <v>637.4</v>
      </c>
    </row>
    <row r="250" spans="1:11" x14ac:dyDescent="0.2">
      <c r="A250" s="430">
        <v>45356</v>
      </c>
      <c r="B250">
        <v>601.6</v>
      </c>
      <c r="C250">
        <v>537.29999999999995</v>
      </c>
      <c r="D250">
        <v>9.8000000000000007</v>
      </c>
      <c r="E250">
        <v>100.3</v>
      </c>
      <c r="F250">
        <v>33.799999999999997</v>
      </c>
      <c r="G250">
        <v>125.7</v>
      </c>
      <c r="H250">
        <v>37.200000000000003</v>
      </c>
      <c r="I250">
        <v>13.7</v>
      </c>
      <c r="J250">
        <v>8.8000000000000007</v>
      </c>
      <c r="K250">
        <f t="shared" si="3"/>
        <v>1468.2</v>
      </c>
    </row>
    <row r="251" spans="1:11" x14ac:dyDescent="0.2">
      <c r="A251" s="430">
        <v>45357</v>
      </c>
      <c r="B251">
        <v>560</v>
      </c>
      <c r="C251">
        <v>669.2</v>
      </c>
      <c r="D251">
        <v>4.0999999999999996</v>
      </c>
      <c r="E251">
        <v>150.30000000000001</v>
      </c>
      <c r="F251">
        <v>33.200000000000003</v>
      </c>
      <c r="G251">
        <v>145.69999999999999</v>
      </c>
      <c r="H251">
        <v>28.2</v>
      </c>
      <c r="I251">
        <v>36.799999999999997</v>
      </c>
      <c r="J251">
        <v>5.0999999999999996</v>
      </c>
      <c r="K251">
        <f t="shared" si="3"/>
        <v>1632.6</v>
      </c>
    </row>
    <row r="252" spans="1:11" x14ac:dyDescent="0.2">
      <c r="A252" s="430">
        <v>45358</v>
      </c>
      <c r="B252">
        <v>588.79999999999995</v>
      </c>
      <c r="C252">
        <v>708.1</v>
      </c>
      <c r="D252">
        <v>6</v>
      </c>
      <c r="E252">
        <v>129.6</v>
      </c>
      <c r="F252">
        <v>21.1</v>
      </c>
      <c r="G252">
        <v>137.5</v>
      </c>
      <c r="H252">
        <v>30</v>
      </c>
      <c r="I252">
        <v>23.6</v>
      </c>
      <c r="J252">
        <v>7.3</v>
      </c>
      <c r="K252">
        <f t="shared" si="3"/>
        <v>1651.9999999999998</v>
      </c>
    </row>
    <row r="253" spans="1:11" x14ac:dyDescent="0.2">
      <c r="A253" s="430">
        <v>45359</v>
      </c>
      <c r="B253">
        <v>578.20000000000005</v>
      </c>
      <c r="C253">
        <v>730.9</v>
      </c>
      <c r="D253">
        <v>13</v>
      </c>
      <c r="E253">
        <v>110.9</v>
      </c>
      <c r="F253">
        <v>18.399999999999999</v>
      </c>
      <c r="G253">
        <v>139.30000000000001</v>
      </c>
      <c r="H253">
        <v>27.6</v>
      </c>
      <c r="I253">
        <v>14.9</v>
      </c>
      <c r="J253">
        <v>5.5</v>
      </c>
      <c r="K253">
        <f t="shared" si="3"/>
        <v>1638.7</v>
      </c>
    </row>
    <row r="254" spans="1:11" x14ac:dyDescent="0.2">
      <c r="A254" s="430">
        <v>45360</v>
      </c>
      <c r="B254">
        <v>470.9</v>
      </c>
      <c r="C254">
        <v>528.4</v>
      </c>
      <c r="D254">
        <v>10.6</v>
      </c>
      <c r="E254">
        <v>119.8</v>
      </c>
      <c r="F254">
        <v>8.6</v>
      </c>
      <c r="G254">
        <v>144.19999999999999</v>
      </c>
      <c r="H254">
        <v>16.7</v>
      </c>
      <c r="I254">
        <v>98.6</v>
      </c>
      <c r="J254">
        <v>5.3</v>
      </c>
      <c r="K254">
        <f t="shared" si="3"/>
        <v>1403.1</v>
      </c>
    </row>
    <row r="255" spans="1:11" x14ac:dyDescent="0.2">
      <c r="A255" s="430">
        <v>45361</v>
      </c>
      <c r="B255">
        <v>416.1</v>
      </c>
      <c r="C255">
        <v>418.6</v>
      </c>
      <c r="D255">
        <v>13.7</v>
      </c>
      <c r="E255">
        <v>42.1</v>
      </c>
      <c r="F255">
        <v>8.4</v>
      </c>
      <c r="G255">
        <v>116</v>
      </c>
      <c r="H255">
        <v>5.3</v>
      </c>
      <c r="I255">
        <v>25.5</v>
      </c>
      <c r="J255">
        <v>6.4</v>
      </c>
      <c r="K255">
        <f t="shared" si="3"/>
        <v>1052.1000000000001</v>
      </c>
    </row>
    <row r="256" spans="1:11" x14ac:dyDescent="0.2">
      <c r="A256" s="430">
        <v>45362</v>
      </c>
      <c r="B256">
        <v>406.5</v>
      </c>
      <c r="C256">
        <v>233</v>
      </c>
      <c r="D256">
        <v>17.399999999999999</v>
      </c>
      <c r="E256"/>
      <c r="F256">
        <v>24.4</v>
      </c>
      <c r="G256"/>
      <c r="H256">
        <v>23.6</v>
      </c>
      <c r="I256">
        <v>50.3</v>
      </c>
      <c r="J256">
        <v>6.3</v>
      </c>
      <c r="K256">
        <f t="shared" si="3"/>
        <v>761.49999999999989</v>
      </c>
    </row>
    <row r="257" spans="1:11" x14ac:dyDescent="0.2">
      <c r="A257" s="430">
        <v>45363</v>
      </c>
      <c r="B257">
        <v>603.70000000000005</v>
      </c>
      <c r="C257">
        <v>584.20000000000005</v>
      </c>
      <c r="D257">
        <v>9.1</v>
      </c>
      <c r="E257">
        <v>147.5</v>
      </c>
      <c r="F257">
        <v>8.9</v>
      </c>
      <c r="G257">
        <v>136.80000000000001</v>
      </c>
      <c r="H257">
        <v>32.4</v>
      </c>
      <c r="I257">
        <v>34.1</v>
      </c>
      <c r="J257">
        <v>11.4</v>
      </c>
      <c r="K257">
        <f t="shared" si="3"/>
        <v>1568.1000000000001</v>
      </c>
    </row>
    <row r="258" spans="1:11" x14ac:dyDescent="0.2">
      <c r="A258" s="430">
        <v>45364</v>
      </c>
      <c r="B258">
        <v>577.70000000000005</v>
      </c>
      <c r="C258">
        <v>688.8</v>
      </c>
      <c r="D258">
        <v>16.3</v>
      </c>
      <c r="E258">
        <v>142.80000000000001</v>
      </c>
      <c r="F258">
        <v>9.1</v>
      </c>
      <c r="G258">
        <v>151.69999999999999</v>
      </c>
      <c r="H258">
        <v>36.299999999999997</v>
      </c>
      <c r="I258">
        <v>12.2</v>
      </c>
      <c r="J258">
        <v>3.3</v>
      </c>
      <c r="K258">
        <f t="shared" si="3"/>
        <v>1638.1999999999998</v>
      </c>
    </row>
    <row r="259" spans="1:11" x14ac:dyDescent="0.2">
      <c r="A259" s="430">
        <v>45365</v>
      </c>
      <c r="B259">
        <v>585.6</v>
      </c>
      <c r="C259">
        <v>615.20000000000005</v>
      </c>
      <c r="D259">
        <v>4.5</v>
      </c>
      <c r="E259">
        <v>106.7</v>
      </c>
      <c r="F259">
        <v>15</v>
      </c>
      <c r="G259">
        <v>148.19999999999999</v>
      </c>
      <c r="H259">
        <v>33.6</v>
      </c>
      <c r="I259">
        <v>25.8</v>
      </c>
      <c r="J259">
        <v>11.5</v>
      </c>
      <c r="K259">
        <f t="shared" ref="K259:K322" si="4">SUM(B259:J259)</f>
        <v>1546.1000000000001</v>
      </c>
    </row>
    <row r="260" spans="1:11" x14ac:dyDescent="0.2">
      <c r="A260" s="430">
        <v>45366</v>
      </c>
      <c r="B260">
        <v>536.1</v>
      </c>
      <c r="C260">
        <v>630</v>
      </c>
      <c r="D260">
        <v>11.9</v>
      </c>
      <c r="E260">
        <v>116.2</v>
      </c>
      <c r="F260">
        <v>19.100000000000001</v>
      </c>
      <c r="G260">
        <v>161.9</v>
      </c>
      <c r="H260">
        <v>32</v>
      </c>
      <c r="I260">
        <v>17.8</v>
      </c>
      <c r="J260">
        <v>3</v>
      </c>
      <c r="K260">
        <f t="shared" si="4"/>
        <v>1528</v>
      </c>
    </row>
    <row r="261" spans="1:11" x14ac:dyDescent="0.2">
      <c r="A261" s="430">
        <v>45367</v>
      </c>
      <c r="B261">
        <v>619.29999999999995</v>
      </c>
      <c r="C261">
        <v>511.4</v>
      </c>
      <c r="D261">
        <v>12.3</v>
      </c>
      <c r="E261">
        <v>112.1</v>
      </c>
      <c r="F261">
        <v>28.7</v>
      </c>
      <c r="G261">
        <v>134.1</v>
      </c>
      <c r="H261">
        <v>20.9</v>
      </c>
      <c r="I261">
        <v>30.5</v>
      </c>
      <c r="J261">
        <v>7</v>
      </c>
      <c r="K261">
        <f t="shared" si="4"/>
        <v>1476.2999999999997</v>
      </c>
    </row>
    <row r="262" spans="1:11" x14ac:dyDescent="0.2">
      <c r="A262" s="430">
        <v>45368</v>
      </c>
      <c r="B262">
        <v>405</v>
      </c>
      <c r="C262">
        <v>353.2</v>
      </c>
      <c r="D262">
        <v>15.3</v>
      </c>
      <c r="E262">
        <v>24.4</v>
      </c>
      <c r="F262">
        <v>20.100000000000001</v>
      </c>
      <c r="G262">
        <v>109.7</v>
      </c>
      <c r="H262">
        <v>3.1</v>
      </c>
      <c r="I262">
        <v>40.9</v>
      </c>
      <c r="J262">
        <v>3.3</v>
      </c>
      <c r="K262">
        <f t="shared" si="4"/>
        <v>975</v>
      </c>
    </row>
    <row r="263" spans="1:11" x14ac:dyDescent="0.2">
      <c r="A263" s="430">
        <v>45369</v>
      </c>
      <c r="B263">
        <v>372.6</v>
      </c>
      <c r="C263">
        <v>271</v>
      </c>
      <c r="D263">
        <v>18.399999999999999</v>
      </c>
      <c r="E263"/>
      <c r="F263">
        <v>10.6</v>
      </c>
      <c r="G263"/>
      <c r="H263">
        <v>27</v>
      </c>
      <c r="I263">
        <v>37.200000000000003</v>
      </c>
      <c r="J263">
        <v>6.4</v>
      </c>
      <c r="K263">
        <f t="shared" si="4"/>
        <v>743.2</v>
      </c>
    </row>
    <row r="264" spans="1:11" x14ac:dyDescent="0.2">
      <c r="A264" s="430">
        <v>45370</v>
      </c>
      <c r="B264">
        <v>552.9</v>
      </c>
      <c r="C264">
        <v>572.4</v>
      </c>
      <c r="D264">
        <v>7.6</v>
      </c>
      <c r="E264">
        <v>121.3</v>
      </c>
      <c r="F264">
        <v>19</v>
      </c>
      <c r="G264">
        <v>171.9</v>
      </c>
      <c r="H264">
        <v>34.299999999999997</v>
      </c>
      <c r="I264">
        <v>15.4</v>
      </c>
      <c r="J264">
        <v>5.3</v>
      </c>
      <c r="K264">
        <f t="shared" si="4"/>
        <v>1500.1</v>
      </c>
    </row>
    <row r="265" spans="1:11" x14ac:dyDescent="0.2">
      <c r="A265" s="430">
        <v>45371</v>
      </c>
      <c r="B265">
        <v>600.6</v>
      </c>
      <c r="C265">
        <v>615.1</v>
      </c>
      <c r="D265">
        <v>8.9</v>
      </c>
      <c r="E265">
        <v>117.8</v>
      </c>
      <c r="F265">
        <v>15.8</v>
      </c>
      <c r="G265">
        <v>147.6</v>
      </c>
      <c r="H265">
        <v>33</v>
      </c>
      <c r="I265">
        <v>31.2</v>
      </c>
      <c r="J265">
        <v>3.4</v>
      </c>
      <c r="K265">
        <f t="shared" si="4"/>
        <v>1573.4</v>
      </c>
    </row>
    <row r="266" spans="1:11" x14ac:dyDescent="0.2">
      <c r="A266" s="430">
        <v>45372</v>
      </c>
      <c r="B266">
        <v>556.4</v>
      </c>
      <c r="C266">
        <v>675.9</v>
      </c>
      <c r="D266">
        <v>32.9</v>
      </c>
      <c r="E266">
        <v>109.4</v>
      </c>
      <c r="F266">
        <v>27.6</v>
      </c>
      <c r="G266">
        <v>144.1</v>
      </c>
      <c r="H266">
        <v>35.799999999999997</v>
      </c>
      <c r="I266">
        <v>32.1</v>
      </c>
      <c r="J266">
        <v>5.5</v>
      </c>
      <c r="K266">
        <f t="shared" si="4"/>
        <v>1619.6999999999998</v>
      </c>
    </row>
    <row r="267" spans="1:11" x14ac:dyDescent="0.2">
      <c r="A267" s="430">
        <v>45373</v>
      </c>
      <c r="B267">
        <v>516.70000000000005</v>
      </c>
      <c r="C267">
        <v>601.6</v>
      </c>
      <c r="D267">
        <v>7</v>
      </c>
      <c r="E267">
        <v>116.2</v>
      </c>
      <c r="F267">
        <v>15.5</v>
      </c>
      <c r="G267">
        <v>162.5</v>
      </c>
      <c r="H267">
        <v>40.700000000000003</v>
      </c>
      <c r="I267">
        <v>38.700000000000003</v>
      </c>
      <c r="J267">
        <v>4.2</v>
      </c>
      <c r="K267">
        <f t="shared" si="4"/>
        <v>1503.1000000000004</v>
      </c>
    </row>
    <row r="268" spans="1:11" x14ac:dyDescent="0.2">
      <c r="A268" s="430">
        <v>45374</v>
      </c>
      <c r="B268">
        <v>539.5</v>
      </c>
      <c r="C268">
        <v>489.1</v>
      </c>
      <c r="D268">
        <v>9.6</v>
      </c>
      <c r="E268">
        <v>98.5</v>
      </c>
      <c r="F268">
        <v>13.3</v>
      </c>
      <c r="G268">
        <v>133.1</v>
      </c>
      <c r="H268">
        <v>19</v>
      </c>
      <c r="I268">
        <v>26.5</v>
      </c>
      <c r="J268">
        <v>9.9</v>
      </c>
      <c r="K268">
        <f t="shared" si="4"/>
        <v>1338.4999999999998</v>
      </c>
    </row>
    <row r="269" spans="1:11" x14ac:dyDescent="0.2">
      <c r="A269" s="430">
        <v>45375</v>
      </c>
      <c r="B269">
        <v>501.9</v>
      </c>
      <c r="C269">
        <v>425</v>
      </c>
      <c r="D269">
        <v>5</v>
      </c>
      <c r="E269">
        <v>20.399999999999999</v>
      </c>
      <c r="F269">
        <v>17.3</v>
      </c>
      <c r="G269">
        <v>115.6</v>
      </c>
      <c r="H269">
        <v>5.7</v>
      </c>
      <c r="I269">
        <v>30.7</v>
      </c>
      <c r="J269">
        <v>7.2</v>
      </c>
      <c r="K269">
        <f t="shared" si="4"/>
        <v>1128.8</v>
      </c>
    </row>
    <row r="270" spans="1:11" x14ac:dyDescent="0.2">
      <c r="A270" s="430">
        <v>45376</v>
      </c>
      <c r="B270">
        <v>368.9</v>
      </c>
      <c r="C270">
        <v>222.1</v>
      </c>
      <c r="D270">
        <v>9.1999999999999993</v>
      </c>
      <c r="E270"/>
      <c r="F270">
        <v>15.2</v>
      </c>
      <c r="G270"/>
      <c r="H270">
        <v>24</v>
      </c>
      <c r="I270">
        <v>32</v>
      </c>
      <c r="J270">
        <v>7.4</v>
      </c>
      <c r="K270">
        <f t="shared" si="4"/>
        <v>678.80000000000007</v>
      </c>
    </row>
    <row r="271" spans="1:11" x14ac:dyDescent="0.2">
      <c r="A271" s="430">
        <v>45377</v>
      </c>
      <c r="B271">
        <v>710.1</v>
      </c>
      <c r="C271">
        <v>538.9</v>
      </c>
      <c r="D271">
        <v>7.5</v>
      </c>
      <c r="E271">
        <v>129.9</v>
      </c>
      <c r="F271">
        <v>13.6</v>
      </c>
      <c r="G271">
        <v>122.1</v>
      </c>
      <c r="H271">
        <v>37.700000000000003</v>
      </c>
      <c r="I271">
        <v>53.5</v>
      </c>
      <c r="J271">
        <v>10.7</v>
      </c>
      <c r="K271">
        <f t="shared" si="4"/>
        <v>1624</v>
      </c>
    </row>
    <row r="272" spans="1:11" x14ac:dyDescent="0.2">
      <c r="A272" s="430">
        <v>45378</v>
      </c>
      <c r="B272">
        <v>568.20000000000005</v>
      </c>
      <c r="C272">
        <v>540.5</v>
      </c>
      <c r="D272">
        <v>16.7</v>
      </c>
      <c r="E272">
        <v>133.1</v>
      </c>
      <c r="F272">
        <v>13.6</v>
      </c>
      <c r="G272">
        <v>153.30000000000001</v>
      </c>
      <c r="H272">
        <v>28.6</v>
      </c>
      <c r="I272">
        <v>26.2</v>
      </c>
      <c r="J272">
        <v>6.3</v>
      </c>
      <c r="K272">
        <f t="shared" si="4"/>
        <v>1486.4999999999998</v>
      </c>
    </row>
    <row r="273" spans="1:11" x14ac:dyDescent="0.2">
      <c r="A273" s="430">
        <v>45379</v>
      </c>
      <c r="B273">
        <v>580.29999999999995</v>
      </c>
      <c r="C273">
        <v>557.20000000000005</v>
      </c>
      <c r="D273">
        <v>11.2</v>
      </c>
      <c r="E273">
        <v>116.6</v>
      </c>
      <c r="F273">
        <v>14.4</v>
      </c>
      <c r="G273">
        <v>134.19999999999999</v>
      </c>
      <c r="H273">
        <v>23.8</v>
      </c>
      <c r="I273">
        <v>26.7</v>
      </c>
      <c r="J273">
        <v>3.4</v>
      </c>
      <c r="K273">
        <f t="shared" si="4"/>
        <v>1467.8000000000002</v>
      </c>
    </row>
    <row r="274" spans="1:11" x14ac:dyDescent="0.2">
      <c r="A274" s="430">
        <v>45380</v>
      </c>
      <c r="B274">
        <v>471.6</v>
      </c>
      <c r="C274">
        <v>463.7</v>
      </c>
      <c r="D274">
        <v>35.700000000000003</v>
      </c>
      <c r="E274">
        <v>122.3</v>
      </c>
      <c r="F274">
        <v>13</v>
      </c>
      <c r="G274">
        <v>138.5</v>
      </c>
      <c r="H274">
        <v>13.9</v>
      </c>
      <c r="I274">
        <v>11.3</v>
      </c>
      <c r="J274">
        <v>5.7</v>
      </c>
      <c r="K274">
        <f t="shared" si="4"/>
        <v>1275.7</v>
      </c>
    </row>
    <row r="275" spans="1:11" x14ac:dyDescent="0.2">
      <c r="A275" s="430">
        <v>45381</v>
      </c>
      <c r="B275">
        <v>351</v>
      </c>
      <c r="C275">
        <v>275.7</v>
      </c>
      <c r="D275">
        <v>5.4</v>
      </c>
      <c r="E275"/>
      <c r="F275">
        <v>11.6</v>
      </c>
      <c r="G275"/>
      <c r="H275">
        <v>6.8</v>
      </c>
      <c r="I275">
        <v>14.3</v>
      </c>
      <c r="J275">
        <v>2.7</v>
      </c>
      <c r="K275">
        <f t="shared" si="4"/>
        <v>667.5</v>
      </c>
    </row>
    <row r="276" spans="1:11" x14ac:dyDescent="0.2">
      <c r="A276" s="430">
        <v>45382</v>
      </c>
      <c r="B276">
        <v>419</v>
      </c>
      <c r="C276">
        <v>183.5</v>
      </c>
      <c r="D276">
        <v>39.9</v>
      </c>
      <c r="E276"/>
      <c r="F276">
        <v>8.1</v>
      </c>
      <c r="G276"/>
      <c r="H276"/>
      <c r="I276">
        <v>10.8</v>
      </c>
      <c r="J276">
        <v>5.3</v>
      </c>
      <c r="K276">
        <f t="shared" si="4"/>
        <v>666.59999999999991</v>
      </c>
    </row>
    <row r="277" spans="1:11" x14ac:dyDescent="0.2">
      <c r="A277" s="430">
        <v>45383</v>
      </c>
      <c r="B277">
        <v>252.6</v>
      </c>
      <c r="C277">
        <v>160.9</v>
      </c>
      <c r="D277">
        <v>19.7</v>
      </c>
      <c r="E277"/>
      <c r="F277">
        <v>7.6</v>
      </c>
      <c r="G277"/>
      <c r="H277"/>
      <c r="I277">
        <v>7.1</v>
      </c>
      <c r="J277">
        <v>2.8</v>
      </c>
      <c r="K277">
        <f t="shared" si="4"/>
        <v>450.70000000000005</v>
      </c>
    </row>
    <row r="278" spans="1:11" x14ac:dyDescent="0.2">
      <c r="A278" s="430">
        <v>45384</v>
      </c>
      <c r="B278">
        <v>370</v>
      </c>
      <c r="C278">
        <v>188.3</v>
      </c>
      <c r="D278">
        <v>18.5</v>
      </c>
      <c r="E278"/>
      <c r="F278">
        <v>10.5</v>
      </c>
      <c r="G278"/>
      <c r="H278">
        <v>14.2</v>
      </c>
      <c r="I278">
        <v>24.4</v>
      </c>
      <c r="J278">
        <v>8.1</v>
      </c>
      <c r="K278">
        <f t="shared" si="4"/>
        <v>634</v>
      </c>
    </row>
    <row r="279" spans="1:11" x14ac:dyDescent="0.2">
      <c r="A279" s="430">
        <v>45385</v>
      </c>
      <c r="B279">
        <v>411.5</v>
      </c>
      <c r="C279">
        <v>375.8</v>
      </c>
      <c r="D279">
        <v>82.9</v>
      </c>
      <c r="E279">
        <v>114.9</v>
      </c>
      <c r="F279">
        <v>11.2</v>
      </c>
      <c r="G279">
        <v>114.8</v>
      </c>
      <c r="H279">
        <v>15.2</v>
      </c>
      <c r="I279">
        <v>4.2</v>
      </c>
      <c r="J279">
        <v>6.6</v>
      </c>
      <c r="K279">
        <f t="shared" si="4"/>
        <v>1137.0999999999999</v>
      </c>
    </row>
    <row r="280" spans="1:11" x14ac:dyDescent="0.2">
      <c r="A280" s="430">
        <v>45386</v>
      </c>
      <c r="B280">
        <v>391.5</v>
      </c>
      <c r="C280">
        <v>523.9</v>
      </c>
      <c r="D280">
        <v>59.7</v>
      </c>
      <c r="E280">
        <v>63</v>
      </c>
      <c r="F280">
        <v>7.3</v>
      </c>
      <c r="G280">
        <v>127.7</v>
      </c>
      <c r="H280">
        <v>14.9</v>
      </c>
      <c r="I280">
        <v>4.5999999999999996</v>
      </c>
      <c r="J280">
        <v>2</v>
      </c>
      <c r="K280">
        <f t="shared" si="4"/>
        <v>1194.5999999999999</v>
      </c>
    </row>
    <row r="281" spans="1:11" x14ac:dyDescent="0.2">
      <c r="A281" s="430">
        <v>45387</v>
      </c>
      <c r="B281">
        <v>327.3</v>
      </c>
      <c r="C281">
        <v>325.7</v>
      </c>
      <c r="D281">
        <v>24.7</v>
      </c>
      <c r="E281"/>
      <c r="F281">
        <v>6.1</v>
      </c>
      <c r="G281"/>
      <c r="H281">
        <v>12</v>
      </c>
      <c r="I281">
        <v>15.2</v>
      </c>
      <c r="J281">
        <v>10</v>
      </c>
      <c r="K281">
        <f t="shared" si="4"/>
        <v>721.00000000000011</v>
      </c>
    </row>
    <row r="282" spans="1:11" x14ac:dyDescent="0.2">
      <c r="A282" s="430">
        <v>45388</v>
      </c>
      <c r="B282">
        <v>420.8</v>
      </c>
      <c r="C282">
        <v>340.6</v>
      </c>
      <c r="D282">
        <v>11.8</v>
      </c>
      <c r="E282">
        <v>73</v>
      </c>
      <c r="F282">
        <v>18.7</v>
      </c>
      <c r="G282">
        <v>94.8</v>
      </c>
      <c r="H282">
        <v>8.5</v>
      </c>
      <c r="I282">
        <v>35.700000000000003</v>
      </c>
      <c r="J282">
        <v>8.4</v>
      </c>
      <c r="K282">
        <f t="shared" si="4"/>
        <v>1012.3000000000001</v>
      </c>
    </row>
    <row r="283" spans="1:11" x14ac:dyDescent="0.2">
      <c r="A283" s="430">
        <v>45389</v>
      </c>
      <c r="B283">
        <v>413.7</v>
      </c>
      <c r="C283">
        <v>355.8</v>
      </c>
      <c r="D283">
        <v>10.7</v>
      </c>
      <c r="E283">
        <v>32.200000000000003</v>
      </c>
      <c r="F283">
        <v>9.8000000000000007</v>
      </c>
      <c r="G283">
        <v>106</v>
      </c>
      <c r="H283"/>
      <c r="I283">
        <v>40.5</v>
      </c>
      <c r="J283">
        <v>5.8</v>
      </c>
      <c r="K283">
        <f t="shared" si="4"/>
        <v>974.5</v>
      </c>
    </row>
    <row r="284" spans="1:11" x14ac:dyDescent="0.2">
      <c r="A284" s="430">
        <v>45390</v>
      </c>
      <c r="B284">
        <v>381</v>
      </c>
      <c r="C284">
        <v>296.3</v>
      </c>
      <c r="D284">
        <v>18.5</v>
      </c>
      <c r="E284"/>
      <c r="F284">
        <v>23.9</v>
      </c>
      <c r="G284"/>
      <c r="H284">
        <v>24.4</v>
      </c>
      <c r="I284">
        <v>30.2</v>
      </c>
      <c r="J284">
        <v>10.7</v>
      </c>
      <c r="K284">
        <f t="shared" si="4"/>
        <v>785</v>
      </c>
    </row>
    <row r="285" spans="1:11" x14ac:dyDescent="0.2">
      <c r="A285" s="430">
        <v>45391</v>
      </c>
      <c r="B285">
        <v>597.5</v>
      </c>
      <c r="C285">
        <v>549.9</v>
      </c>
      <c r="D285">
        <v>4.2</v>
      </c>
      <c r="E285">
        <v>98</v>
      </c>
      <c r="F285">
        <v>7.4</v>
      </c>
      <c r="G285">
        <v>141.69999999999999</v>
      </c>
      <c r="H285">
        <v>30.3</v>
      </c>
      <c r="I285">
        <v>8.5</v>
      </c>
      <c r="J285">
        <v>10.9</v>
      </c>
      <c r="K285">
        <f t="shared" si="4"/>
        <v>1448.4000000000003</v>
      </c>
    </row>
    <row r="286" spans="1:11" x14ac:dyDescent="0.2">
      <c r="A286" s="430">
        <v>45392</v>
      </c>
      <c r="B286">
        <v>564.9</v>
      </c>
      <c r="C286">
        <v>611.20000000000005</v>
      </c>
      <c r="D286">
        <v>5.0999999999999996</v>
      </c>
      <c r="E286">
        <v>85</v>
      </c>
      <c r="F286">
        <v>15.4</v>
      </c>
      <c r="G286">
        <v>163.30000000000001</v>
      </c>
      <c r="H286">
        <v>37.700000000000003</v>
      </c>
      <c r="I286">
        <v>28.1</v>
      </c>
      <c r="J286">
        <v>13.6</v>
      </c>
      <c r="K286">
        <f t="shared" si="4"/>
        <v>1524.2999999999997</v>
      </c>
    </row>
    <row r="287" spans="1:11" x14ac:dyDescent="0.2">
      <c r="A287" s="430">
        <v>45393</v>
      </c>
      <c r="B287">
        <v>582</v>
      </c>
      <c r="C287">
        <v>647.4</v>
      </c>
      <c r="D287">
        <v>13</v>
      </c>
      <c r="E287">
        <v>95.2</v>
      </c>
      <c r="F287">
        <v>20.2</v>
      </c>
      <c r="G287">
        <v>138.30000000000001</v>
      </c>
      <c r="H287">
        <v>28</v>
      </c>
      <c r="I287">
        <v>30.6</v>
      </c>
      <c r="J287">
        <v>9</v>
      </c>
      <c r="K287">
        <f t="shared" si="4"/>
        <v>1563.7</v>
      </c>
    </row>
    <row r="288" spans="1:11" x14ac:dyDescent="0.2">
      <c r="A288" s="430">
        <v>45394</v>
      </c>
      <c r="B288">
        <v>554.29999999999995</v>
      </c>
      <c r="C288">
        <v>632.20000000000005</v>
      </c>
      <c r="D288">
        <v>18.8</v>
      </c>
      <c r="E288">
        <v>102.6</v>
      </c>
      <c r="F288">
        <v>9.6999999999999993</v>
      </c>
      <c r="G288">
        <v>125.9</v>
      </c>
      <c r="H288">
        <v>27.3</v>
      </c>
      <c r="I288">
        <v>12.7</v>
      </c>
      <c r="J288">
        <v>12.1</v>
      </c>
      <c r="K288">
        <f t="shared" si="4"/>
        <v>1495.6</v>
      </c>
    </row>
    <row r="289" spans="1:11" x14ac:dyDescent="0.2">
      <c r="A289" s="430">
        <v>45395</v>
      </c>
      <c r="B289">
        <v>609.9</v>
      </c>
      <c r="C289">
        <v>556.9</v>
      </c>
      <c r="D289">
        <v>11.7</v>
      </c>
      <c r="E289">
        <v>98.4</v>
      </c>
      <c r="F289">
        <v>21.5</v>
      </c>
      <c r="G289">
        <v>146.69999999999999</v>
      </c>
      <c r="H289">
        <v>20.100000000000001</v>
      </c>
      <c r="I289">
        <v>21.9</v>
      </c>
      <c r="J289">
        <v>18.100000000000001</v>
      </c>
      <c r="K289">
        <f t="shared" si="4"/>
        <v>1505.2</v>
      </c>
    </row>
    <row r="290" spans="1:11" x14ac:dyDescent="0.2">
      <c r="A290" s="430">
        <v>45396</v>
      </c>
      <c r="B290">
        <v>469.3</v>
      </c>
      <c r="C290">
        <v>407.5</v>
      </c>
      <c r="D290">
        <v>15.1</v>
      </c>
      <c r="E290">
        <v>26.4</v>
      </c>
      <c r="F290">
        <v>7</v>
      </c>
      <c r="G290">
        <v>115.4</v>
      </c>
      <c r="H290">
        <v>3.7</v>
      </c>
      <c r="I290">
        <v>35.200000000000003</v>
      </c>
      <c r="J290">
        <v>12.2</v>
      </c>
      <c r="K290">
        <f t="shared" si="4"/>
        <v>1091.8000000000002</v>
      </c>
    </row>
    <row r="291" spans="1:11" x14ac:dyDescent="0.2">
      <c r="A291" s="430">
        <v>45397</v>
      </c>
      <c r="B291">
        <v>367.4</v>
      </c>
      <c r="C291">
        <v>263.39999999999998</v>
      </c>
      <c r="D291">
        <v>12.9</v>
      </c>
      <c r="E291"/>
      <c r="F291">
        <v>10.5</v>
      </c>
      <c r="G291"/>
      <c r="H291">
        <v>20.5</v>
      </c>
      <c r="I291">
        <v>37</v>
      </c>
      <c r="J291">
        <v>17.5</v>
      </c>
      <c r="K291">
        <f t="shared" si="4"/>
        <v>729.19999999999993</v>
      </c>
    </row>
    <row r="292" spans="1:11" x14ac:dyDescent="0.2">
      <c r="A292" s="430">
        <v>45398</v>
      </c>
      <c r="B292">
        <v>610</v>
      </c>
      <c r="C292">
        <v>598.5</v>
      </c>
      <c r="D292">
        <v>9.3000000000000007</v>
      </c>
      <c r="E292">
        <v>118.7</v>
      </c>
      <c r="F292">
        <v>10.9</v>
      </c>
      <c r="G292">
        <v>139.4</v>
      </c>
      <c r="H292">
        <v>32.5</v>
      </c>
      <c r="I292">
        <v>9.1999999999999993</v>
      </c>
      <c r="J292">
        <v>14.5</v>
      </c>
      <c r="K292">
        <f t="shared" si="4"/>
        <v>1543.0000000000002</v>
      </c>
    </row>
    <row r="293" spans="1:11" x14ac:dyDescent="0.2">
      <c r="A293" s="430">
        <v>45399</v>
      </c>
      <c r="B293">
        <v>568.9</v>
      </c>
      <c r="C293">
        <v>655.5</v>
      </c>
      <c r="D293">
        <v>7.2</v>
      </c>
      <c r="E293">
        <v>117</v>
      </c>
      <c r="F293">
        <v>14.2</v>
      </c>
      <c r="G293">
        <v>126</v>
      </c>
      <c r="H293">
        <v>29.6</v>
      </c>
      <c r="I293">
        <v>25.4</v>
      </c>
      <c r="J293">
        <v>10.4</v>
      </c>
      <c r="K293">
        <f t="shared" si="4"/>
        <v>1554.2000000000003</v>
      </c>
    </row>
    <row r="294" spans="1:11" x14ac:dyDescent="0.2">
      <c r="A294" s="430">
        <v>45400</v>
      </c>
      <c r="B294">
        <v>536.79999999999995</v>
      </c>
      <c r="C294">
        <v>668.6</v>
      </c>
      <c r="D294">
        <v>6.4</v>
      </c>
      <c r="E294">
        <v>120.5</v>
      </c>
      <c r="F294">
        <v>6.9</v>
      </c>
      <c r="G294">
        <v>127.7</v>
      </c>
      <c r="H294">
        <v>30.9</v>
      </c>
      <c r="I294">
        <v>4.7</v>
      </c>
      <c r="J294">
        <v>10.1</v>
      </c>
      <c r="K294">
        <f t="shared" si="4"/>
        <v>1512.6000000000004</v>
      </c>
    </row>
    <row r="295" spans="1:11" x14ac:dyDescent="0.2">
      <c r="A295" s="430">
        <v>45401</v>
      </c>
      <c r="B295">
        <v>552.5</v>
      </c>
      <c r="C295">
        <v>583.29999999999995</v>
      </c>
      <c r="D295">
        <v>6.8</v>
      </c>
      <c r="E295">
        <v>110.5</v>
      </c>
      <c r="F295">
        <v>16.5</v>
      </c>
      <c r="G295">
        <v>148.19999999999999</v>
      </c>
      <c r="H295">
        <v>32</v>
      </c>
      <c r="I295">
        <v>13</v>
      </c>
      <c r="J295">
        <v>11</v>
      </c>
      <c r="K295">
        <f t="shared" si="4"/>
        <v>1473.8</v>
      </c>
    </row>
    <row r="296" spans="1:11" x14ac:dyDescent="0.2">
      <c r="A296" s="430">
        <v>45402</v>
      </c>
      <c r="B296">
        <v>519.4</v>
      </c>
      <c r="C296">
        <v>648.70000000000005</v>
      </c>
      <c r="D296">
        <v>8.3000000000000007</v>
      </c>
      <c r="E296">
        <v>114.3</v>
      </c>
      <c r="F296">
        <v>11.1</v>
      </c>
      <c r="G296">
        <v>144.4</v>
      </c>
      <c r="H296">
        <v>19</v>
      </c>
      <c r="I296">
        <v>33.9</v>
      </c>
      <c r="J296">
        <v>13.6</v>
      </c>
      <c r="K296">
        <f t="shared" si="4"/>
        <v>1512.6999999999998</v>
      </c>
    </row>
    <row r="297" spans="1:11" x14ac:dyDescent="0.2">
      <c r="A297" s="430">
        <v>45403</v>
      </c>
      <c r="B297">
        <v>391.2</v>
      </c>
      <c r="C297">
        <v>387</v>
      </c>
      <c r="D297"/>
      <c r="E297">
        <v>36.4</v>
      </c>
      <c r="F297">
        <v>5</v>
      </c>
      <c r="G297">
        <v>120.5</v>
      </c>
      <c r="H297">
        <v>3.1</v>
      </c>
      <c r="I297">
        <v>35.200000000000003</v>
      </c>
      <c r="J297">
        <v>6.6</v>
      </c>
      <c r="K297">
        <f t="shared" si="4"/>
        <v>985.00000000000011</v>
      </c>
    </row>
    <row r="298" spans="1:11" x14ac:dyDescent="0.2">
      <c r="A298" s="430">
        <v>45404</v>
      </c>
      <c r="B298">
        <v>372.3</v>
      </c>
      <c r="C298">
        <v>290.7</v>
      </c>
      <c r="D298">
        <v>12.8</v>
      </c>
      <c r="E298"/>
      <c r="F298">
        <v>25</v>
      </c>
      <c r="G298"/>
      <c r="H298">
        <v>19.2</v>
      </c>
      <c r="I298">
        <v>47.1</v>
      </c>
      <c r="J298">
        <v>12</v>
      </c>
      <c r="K298">
        <f t="shared" si="4"/>
        <v>779.1</v>
      </c>
    </row>
    <row r="299" spans="1:11" x14ac:dyDescent="0.2">
      <c r="A299" s="430">
        <v>45405</v>
      </c>
      <c r="B299">
        <v>517.79999999999995</v>
      </c>
      <c r="C299">
        <v>650.1</v>
      </c>
      <c r="D299">
        <v>7.7</v>
      </c>
      <c r="E299">
        <v>117.9</v>
      </c>
      <c r="F299">
        <v>18.600000000000001</v>
      </c>
      <c r="G299">
        <v>149.30000000000001</v>
      </c>
      <c r="H299">
        <v>27.6</v>
      </c>
      <c r="I299">
        <v>32</v>
      </c>
      <c r="J299">
        <v>9.6999999999999993</v>
      </c>
      <c r="K299">
        <f t="shared" si="4"/>
        <v>1530.7</v>
      </c>
    </row>
    <row r="300" spans="1:11" x14ac:dyDescent="0.2">
      <c r="A300" s="430">
        <v>45406</v>
      </c>
      <c r="B300">
        <v>657.4</v>
      </c>
      <c r="C300">
        <v>745.9</v>
      </c>
      <c r="D300">
        <v>5.9</v>
      </c>
      <c r="E300">
        <v>122</v>
      </c>
      <c r="F300">
        <v>10.3</v>
      </c>
      <c r="G300">
        <v>142.80000000000001</v>
      </c>
      <c r="H300">
        <v>21.9</v>
      </c>
      <c r="I300">
        <v>11.9</v>
      </c>
      <c r="J300">
        <v>10</v>
      </c>
      <c r="K300">
        <f t="shared" si="4"/>
        <v>1728.1000000000001</v>
      </c>
    </row>
    <row r="301" spans="1:11" x14ac:dyDescent="0.2">
      <c r="A301" s="430">
        <v>45407</v>
      </c>
      <c r="B301">
        <v>488.5</v>
      </c>
      <c r="C301">
        <v>634.5</v>
      </c>
      <c r="D301">
        <v>8.1</v>
      </c>
      <c r="E301">
        <v>107.7</v>
      </c>
      <c r="F301">
        <v>10.199999999999999</v>
      </c>
      <c r="G301">
        <v>152.30000000000001</v>
      </c>
      <c r="H301">
        <v>27.4</v>
      </c>
      <c r="I301">
        <v>45.3</v>
      </c>
      <c r="J301">
        <v>6.2</v>
      </c>
      <c r="K301">
        <f t="shared" si="4"/>
        <v>1480.2</v>
      </c>
    </row>
    <row r="302" spans="1:11" x14ac:dyDescent="0.2">
      <c r="A302" s="430">
        <v>45408</v>
      </c>
      <c r="B302">
        <v>539.6</v>
      </c>
      <c r="C302">
        <v>600.70000000000005</v>
      </c>
      <c r="D302">
        <v>3.5</v>
      </c>
      <c r="E302">
        <v>127.1</v>
      </c>
      <c r="F302">
        <v>13.4</v>
      </c>
      <c r="G302">
        <v>152.5</v>
      </c>
      <c r="H302">
        <v>27.3</v>
      </c>
      <c r="I302">
        <v>37.1</v>
      </c>
      <c r="J302">
        <v>8.6</v>
      </c>
      <c r="K302">
        <f t="shared" si="4"/>
        <v>1509.8</v>
      </c>
    </row>
    <row r="303" spans="1:11" x14ac:dyDescent="0.2">
      <c r="A303" s="430">
        <v>45409</v>
      </c>
      <c r="B303">
        <v>503.2</v>
      </c>
      <c r="C303">
        <v>485.4</v>
      </c>
      <c r="D303">
        <v>21.4</v>
      </c>
      <c r="E303">
        <v>121.8</v>
      </c>
      <c r="F303">
        <v>13.5</v>
      </c>
      <c r="G303">
        <v>129.69999999999999</v>
      </c>
      <c r="H303">
        <v>20.2</v>
      </c>
      <c r="I303">
        <v>33.9</v>
      </c>
      <c r="J303">
        <v>4.5</v>
      </c>
      <c r="K303">
        <f t="shared" si="4"/>
        <v>1333.6000000000001</v>
      </c>
    </row>
    <row r="304" spans="1:11" x14ac:dyDescent="0.2">
      <c r="A304" s="430">
        <v>45410</v>
      </c>
      <c r="B304">
        <v>472</v>
      </c>
      <c r="C304">
        <v>502.8</v>
      </c>
      <c r="D304">
        <v>7.4</v>
      </c>
      <c r="E304">
        <v>21.8</v>
      </c>
      <c r="F304">
        <v>8.6</v>
      </c>
      <c r="G304">
        <v>117.6</v>
      </c>
      <c r="H304">
        <v>3.6</v>
      </c>
      <c r="I304">
        <v>42</v>
      </c>
      <c r="J304">
        <v>9.3000000000000007</v>
      </c>
      <c r="K304">
        <f t="shared" si="4"/>
        <v>1185.0999999999997</v>
      </c>
    </row>
    <row r="305" spans="1:11" x14ac:dyDescent="0.2">
      <c r="A305" s="430">
        <v>45411</v>
      </c>
      <c r="B305">
        <v>366.5</v>
      </c>
      <c r="C305">
        <v>199.5</v>
      </c>
      <c r="D305">
        <v>18</v>
      </c>
      <c r="E305"/>
      <c r="F305">
        <v>7.8</v>
      </c>
      <c r="G305">
        <v>3.6</v>
      </c>
      <c r="H305">
        <v>20.8</v>
      </c>
      <c r="I305">
        <v>21.1</v>
      </c>
      <c r="J305">
        <v>7</v>
      </c>
      <c r="K305">
        <f t="shared" si="4"/>
        <v>644.29999999999995</v>
      </c>
    </row>
    <row r="306" spans="1:11" x14ac:dyDescent="0.2">
      <c r="A306" s="430">
        <v>45412</v>
      </c>
      <c r="B306">
        <v>633.1</v>
      </c>
      <c r="C306">
        <v>641.1</v>
      </c>
      <c r="D306">
        <v>12.3</v>
      </c>
      <c r="E306">
        <v>112</v>
      </c>
      <c r="F306">
        <v>2.7</v>
      </c>
      <c r="G306">
        <v>155.5</v>
      </c>
      <c r="H306">
        <v>29.3</v>
      </c>
      <c r="I306">
        <v>17.2</v>
      </c>
      <c r="J306">
        <v>7.7</v>
      </c>
      <c r="K306">
        <f t="shared" si="4"/>
        <v>1610.9</v>
      </c>
    </row>
    <row r="307" spans="1:11" x14ac:dyDescent="0.2">
      <c r="A307" s="430">
        <v>45413</v>
      </c>
      <c r="B307">
        <v>579.4</v>
      </c>
      <c r="C307">
        <v>602.79999999999995</v>
      </c>
      <c r="D307">
        <v>6.7</v>
      </c>
      <c r="E307">
        <v>113.1</v>
      </c>
      <c r="F307">
        <v>9.4</v>
      </c>
      <c r="G307">
        <v>152.4</v>
      </c>
      <c r="H307">
        <v>2.8</v>
      </c>
      <c r="I307">
        <v>15.1</v>
      </c>
      <c r="J307">
        <v>5.2</v>
      </c>
      <c r="K307">
        <f t="shared" si="4"/>
        <v>1486.8999999999999</v>
      </c>
    </row>
    <row r="308" spans="1:11" x14ac:dyDescent="0.2">
      <c r="A308" s="430">
        <v>45414</v>
      </c>
      <c r="B308">
        <v>415.1</v>
      </c>
      <c r="C308">
        <v>304.2</v>
      </c>
      <c r="D308">
        <v>9.3000000000000007</v>
      </c>
      <c r="E308">
        <v>3.7</v>
      </c>
      <c r="F308">
        <v>16</v>
      </c>
      <c r="G308"/>
      <c r="H308">
        <v>25.8</v>
      </c>
      <c r="I308">
        <v>33.5</v>
      </c>
      <c r="J308">
        <v>7.5</v>
      </c>
      <c r="K308">
        <f t="shared" si="4"/>
        <v>815.09999999999991</v>
      </c>
    </row>
    <row r="309" spans="1:11" x14ac:dyDescent="0.2">
      <c r="A309" s="430">
        <v>45415</v>
      </c>
      <c r="B309">
        <v>563.1</v>
      </c>
      <c r="C309">
        <v>519.5</v>
      </c>
      <c r="D309">
        <v>15.4</v>
      </c>
      <c r="E309">
        <v>113.1</v>
      </c>
      <c r="F309">
        <v>22.4</v>
      </c>
      <c r="G309">
        <v>164.1</v>
      </c>
      <c r="H309">
        <v>31.5</v>
      </c>
      <c r="I309">
        <v>18</v>
      </c>
      <c r="J309">
        <v>6.1</v>
      </c>
      <c r="K309">
        <f t="shared" si="4"/>
        <v>1453.1999999999998</v>
      </c>
    </row>
    <row r="310" spans="1:11" x14ac:dyDescent="0.2">
      <c r="A310" s="430">
        <v>45416</v>
      </c>
      <c r="B310">
        <v>562.4</v>
      </c>
      <c r="C310">
        <v>532.20000000000005</v>
      </c>
      <c r="D310">
        <v>7.9</v>
      </c>
      <c r="E310">
        <v>106</v>
      </c>
      <c r="F310">
        <v>20</v>
      </c>
      <c r="G310">
        <v>127.8</v>
      </c>
      <c r="H310">
        <v>26.1</v>
      </c>
      <c r="I310">
        <v>29.5</v>
      </c>
      <c r="J310">
        <v>12.6</v>
      </c>
      <c r="K310">
        <f t="shared" si="4"/>
        <v>1424.4999999999998</v>
      </c>
    </row>
    <row r="311" spans="1:11" x14ac:dyDescent="0.2">
      <c r="A311" s="430">
        <v>45417</v>
      </c>
      <c r="B311">
        <v>392.7</v>
      </c>
      <c r="C311">
        <v>354.9</v>
      </c>
      <c r="D311">
        <v>5.3</v>
      </c>
      <c r="E311">
        <v>14.9</v>
      </c>
      <c r="F311">
        <v>8.5</v>
      </c>
      <c r="G311">
        <v>76.3</v>
      </c>
      <c r="H311">
        <v>1</v>
      </c>
      <c r="I311">
        <v>16.5</v>
      </c>
      <c r="J311">
        <v>11.7</v>
      </c>
      <c r="K311">
        <f t="shared" si="4"/>
        <v>881.79999999999984</v>
      </c>
    </row>
    <row r="312" spans="1:11" x14ac:dyDescent="0.2">
      <c r="A312" s="430">
        <v>45418</v>
      </c>
      <c r="B312">
        <v>346.2</v>
      </c>
      <c r="C312">
        <v>276.60000000000002</v>
      </c>
      <c r="D312">
        <v>15.1</v>
      </c>
      <c r="E312"/>
      <c r="F312">
        <v>8.3000000000000007</v>
      </c>
      <c r="G312"/>
      <c r="H312">
        <v>23.2</v>
      </c>
      <c r="I312">
        <v>18.5</v>
      </c>
      <c r="J312">
        <v>15.1</v>
      </c>
      <c r="K312">
        <f t="shared" si="4"/>
        <v>703</v>
      </c>
    </row>
    <row r="313" spans="1:11" x14ac:dyDescent="0.2">
      <c r="A313" s="430">
        <v>45419</v>
      </c>
      <c r="B313">
        <v>530.9</v>
      </c>
      <c r="C313">
        <v>562.29999999999995</v>
      </c>
      <c r="D313">
        <v>7.6</v>
      </c>
      <c r="E313">
        <v>87.5</v>
      </c>
      <c r="F313">
        <v>11.7</v>
      </c>
      <c r="G313">
        <v>160.5</v>
      </c>
      <c r="H313">
        <v>31.2</v>
      </c>
      <c r="I313">
        <v>34.5</v>
      </c>
      <c r="J313">
        <v>11.6</v>
      </c>
      <c r="K313">
        <f t="shared" si="4"/>
        <v>1437.7999999999997</v>
      </c>
    </row>
    <row r="314" spans="1:11" x14ac:dyDescent="0.2">
      <c r="A314" s="430">
        <v>45420</v>
      </c>
      <c r="B314">
        <v>534.5</v>
      </c>
      <c r="C314">
        <v>627</v>
      </c>
      <c r="D314">
        <v>6.1</v>
      </c>
      <c r="E314">
        <v>108.2</v>
      </c>
      <c r="F314">
        <v>12.7</v>
      </c>
      <c r="G314">
        <v>134.80000000000001</v>
      </c>
      <c r="H314">
        <v>22.3</v>
      </c>
      <c r="I314">
        <v>37.1</v>
      </c>
      <c r="J314">
        <v>7.2</v>
      </c>
      <c r="K314">
        <f t="shared" si="4"/>
        <v>1489.8999999999999</v>
      </c>
    </row>
    <row r="315" spans="1:11" x14ac:dyDescent="0.2">
      <c r="A315" s="430">
        <v>45421</v>
      </c>
      <c r="B315">
        <v>590.1</v>
      </c>
      <c r="C315">
        <v>603.79999999999995</v>
      </c>
      <c r="D315">
        <v>11.1</v>
      </c>
      <c r="E315">
        <v>133.19999999999999</v>
      </c>
      <c r="F315">
        <v>7.3</v>
      </c>
      <c r="G315">
        <v>161.19999999999999</v>
      </c>
      <c r="H315">
        <v>29</v>
      </c>
      <c r="I315">
        <v>29.5</v>
      </c>
      <c r="J315">
        <v>5.4</v>
      </c>
      <c r="K315">
        <f t="shared" si="4"/>
        <v>1570.6000000000001</v>
      </c>
    </row>
    <row r="316" spans="1:11" x14ac:dyDescent="0.2">
      <c r="A316" s="430">
        <v>45422</v>
      </c>
      <c r="B316">
        <v>562</v>
      </c>
      <c r="C316">
        <v>567.20000000000005</v>
      </c>
      <c r="D316">
        <v>12</v>
      </c>
      <c r="E316">
        <v>109.5</v>
      </c>
      <c r="F316">
        <v>3.8</v>
      </c>
      <c r="G316">
        <v>144.19999999999999</v>
      </c>
      <c r="H316">
        <v>30.3</v>
      </c>
      <c r="I316">
        <v>20.8</v>
      </c>
      <c r="J316">
        <v>7.3</v>
      </c>
      <c r="K316">
        <f t="shared" si="4"/>
        <v>1457.1</v>
      </c>
    </row>
    <row r="317" spans="1:11" x14ac:dyDescent="0.2">
      <c r="A317" s="430">
        <v>45423</v>
      </c>
      <c r="B317">
        <v>605.20000000000005</v>
      </c>
      <c r="C317">
        <v>562.20000000000005</v>
      </c>
      <c r="D317">
        <v>19.100000000000001</v>
      </c>
      <c r="E317">
        <v>112.2</v>
      </c>
      <c r="F317">
        <v>25.9</v>
      </c>
      <c r="G317">
        <v>131.30000000000001</v>
      </c>
      <c r="H317">
        <v>21.8</v>
      </c>
      <c r="I317">
        <v>50.6</v>
      </c>
      <c r="J317">
        <v>3.3</v>
      </c>
      <c r="K317">
        <f t="shared" si="4"/>
        <v>1531.6</v>
      </c>
    </row>
    <row r="318" spans="1:11" x14ac:dyDescent="0.2">
      <c r="A318" s="430">
        <v>45424</v>
      </c>
      <c r="B318">
        <v>398.3</v>
      </c>
      <c r="C318">
        <v>403.3</v>
      </c>
      <c r="D318">
        <v>25.2</v>
      </c>
      <c r="E318">
        <v>61.3</v>
      </c>
      <c r="F318">
        <v>37.299999999999997</v>
      </c>
      <c r="G318">
        <v>107.2</v>
      </c>
      <c r="H318">
        <v>1.6</v>
      </c>
      <c r="I318">
        <v>25.8</v>
      </c>
      <c r="J318">
        <v>12.2</v>
      </c>
      <c r="K318">
        <f t="shared" si="4"/>
        <v>1072.1999999999998</v>
      </c>
    </row>
    <row r="319" spans="1:11" x14ac:dyDescent="0.2">
      <c r="A319" s="430">
        <v>45425</v>
      </c>
      <c r="B319">
        <v>388.1</v>
      </c>
      <c r="C319">
        <v>183.9</v>
      </c>
      <c r="D319">
        <v>13.9</v>
      </c>
      <c r="E319"/>
      <c r="F319">
        <v>26.8</v>
      </c>
      <c r="G319"/>
      <c r="H319">
        <v>14.7</v>
      </c>
      <c r="I319">
        <v>46.1</v>
      </c>
      <c r="J319">
        <v>9.3000000000000007</v>
      </c>
      <c r="K319">
        <f t="shared" si="4"/>
        <v>682.8</v>
      </c>
    </row>
    <row r="320" spans="1:11" x14ac:dyDescent="0.2">
      <c r="A320" s="430">
        <v>45426</v>
      </c>
      <c r="B320">
        <v>533.29999999999995</v>
      </c>
      <c r="C320">
        <v>513.79999999999995</v>
      </c>
      <c r="D320">
        <v>28.4</v>
      </c>
      <c r="E320">
        <v>79.400000000000006</v>
      </c>
      <c r="F320">
        <v>38</v>
      </c>
      <c r="G320">
        <v>133.6</v>
      </c>
      <c r="H320">
        <v>24.1</v>
      </c>
      <c r="I320">
        <v>27.9</v>
      </c>
      <c r="J320">
        <v>5.0999999999999996</v>
      </c>
      <c r="K320">
        <f t="shared" si="4"/>
        <v>1383.6</v>
      </c>
    </row>
    <row r="321" spans="1:11" x14ac:dyDescent="0.2">
      <c r="A321" s="430">
        <v>45427</v>
      </c>
      <c r="B321">
        <v>522.4</v>
      </c>
      <c r="C321">
        <v>589.70000000000005</v>
      </c>
      <c r="D321">
        <v>28.1</v>
      </c>
      <c r="E321">
        <v>88.9</v>
      </c>
      <c r="F321">
        <v>31.8</v>
      </c>
      <c r="G321">
        <v>115.4</v>
      </c>
      <c r="H321">
        <v>18.899999999999999</v>
      </c>
      <c r="I321">
        <v>23.9</v>
      </c>
      <c r="J321">
        <v>13.4</v>
      </c>
      <c r="K321">
        <f t="shared" si="4"/>
        <v>1432.5000000000002</v>
      </c>
    </row>
    <row r="322" spans="1:11" x14ac:dyDescent="0.2">
      <c r="A322" s="430">
        <v>45428</v>
      </c>
      <c r="B322">
        <v>627.6</v>
      </c>
      <c r="C322">
        <v>377</v>
      </c>
      <c r="D322">
        <v>16</v>
      </c>
      <c r="E322"/>
      <c r="F322">
        <v>25.6</v>
      </c>
      <c r="G322"/>
      <c r="H322">
        <v>23.1</v>
      </c>
      <c r="I322">
        <v>29.8</v>
      </c>
      <c r="J322">
        <v>8.6999999999999993</v>
      </c>
      <c r="K322">
        <f t="shared" si="4"/>
        <v>1107.8</v>
      </c>
    </row>
    <row r="323" spans="1:11" x14ac:dyDescent="0.2">
      <c r="A323" s="430">
        <v>45429</v>
      </c>
      <c r="B323">
        <v>507.2</v>
      </c>
      <c r="C323">
        <v>555.1</v>
      </c>
      <c r="D323">
        <v>11.1</v>
      </c>
      <c r="E323">
        <v>100.4</v>
      </c>
      <c r="F323">
        <v>26.8</v>
      </c>
      <c r="G323">
        <v>111.3</v>
      </c>
      <c r="H323">
        <v>21.7</v>
      </c>
      <c r="I323">
        <v>22.8</v>
      </c>
      <c r="J323">
        <v>12.4</v>
      </c>
      <c r="K323">
        <f t="shared" ref="K323:K386" si="5">SUM(B323:J323)</f>
        <v>1368.8</v>
      </c>
    </row>
    <row r="324" spans="1:11" x14ac:dyDescent="0.2">
      <c r="A324" s="430">
        <v>45430</v>
      </c>
      <c r="B324">
        <v>518.1</v>
      </c>
      <c r="C324">
        <v>544.1</v>
      </c>
      <c r="D324">
        <v>25.1</v>
      </c>
      <c r="E324">
        <v>100.8</v>
      </c>
      <c r="F324">
        <v>9.6999999999999993</v>
      </c>
      <c r="G324">
        <v>105.1</v>
      </c>
      <c r="H324">
        <v>20.8</v>
      </c>
      <c r="I324">
        <v>32.1</v>
      </c>
      <c r="J324">
        <v>6.6</v>
      </c>
      <c r="K324">
        <f t="shared" si="5"/>
        <v>1362.3999999999996</v>
      </c>
    </row>
    <row r="325" spans="1:11" x14ac:dyDescent="0.2">
      <c r="A325" s="430">
        <v>45431</v>
      </c>
      <c r="B325">
        <v>442.1</v>
      </c>
      <c r="C325">
        <v>302.89999999999998</v>
      </c>
      <c r="D325">
        <v>9.1999999999999993</v>
      </c>
      <c r="E325">
        <v>39.799999999999997</v>
      </c>
      <c r="F325">
        <v>17.3</v>
      </c>
      <c r="G325">
        <v>100.9</v>
      </c>
      <c r="H325">
        <v>2.1</v>
      </c>
      <c r="I325">
        <v>28</v>
      </c>
      <c r="J325">
        <v>4.9000000000000004</v>
      </c>
      <c r="K325">
        <f t="shared" si="5"/>
        <v>947.19999999999993</v>
      </c>
    </row>
    <row r="326" spans="1:11" x14ac:dyDescent="0.2">
      <c r="A326" s="430">
        <v>45432</v>
      </c>
      <c r="B326">
        <v>424.2</v>
      </c>
      <c r="C326">
        <v>265.10000000000002</v>
      </c>
      <c r="D326">
        <v>16.7</v>
      </c>
      <c r="E326"/>
      <c r="F326">
        <v>15.1</v>
      </c>
      <c r="G326"/>
      <c r="H326">
        <v>18.2</v>
      </c>
      <c r="I326">
        <v>17</v>
      </c>
      <c r="J326">
        <v>7.1</v>
      </c>
      <c r="K326">
        <f t="shared" si="5"/>
        <v>763.40000000000009</v>
      </c>
    </row>
    <row r="327" spans="1:11" x14ac:dyDescent="0.2">
      <c r="A327" s="430">
        <v>45433</v>
      </c>
      <c r="B327">
        <v>553</v>
      </c>
      <c r="C327">
        <v>505.8</v>
      </c>
      <c r="D327">
        <v>18.2</v>
      </c>
      <c r="E327">
        <v>90.6</v>
      </c>
      <c r="F327">
        <v>16.600000000000001</v>
      </c>
      <c r="G327">
        <v>123.7</v>
      </c>
      <c r="H327">
        <v>24.8</v>
      </c>
      <c r="I327">
        <v>21.1</v>
      </c>
      <c r="J327">
        <v>6.7</v>
      </c>
      <c r="K327">
        <f t="shared" si="5"/>
        <v>1360.4999999999998</v>
      </c>
    </row>
    <row r="328" spans="1:11" x14ac:dyDescent="0.2">
      <c r="A328" s="430">
        <v>45434</v>
      </c>
      <c r="B328">
        <v>526.29999999999995</v>
      </c>
      <c r="C328">
        <v>556.20000000000005</v>
      </c>
      <c r="D328">
        <v>15.4</v>
      </c>
      <c r="E328">
        <v>90.8</v>
      </c>
      <c r="F328">
        <v>33</v>
      </c>
      <c r="G328">
        <v>116.4</v>
      </c>
      <c r="H328">
        <v>20</v>
      </c>
      <c r="I328">
        <v>26.6</v>
      </c>
      <c r="J328">
        <v>10.4</v>
      </c>
      <c r="K328">
        <f t="shared" si="5"/>
        <v>1395.1000000000001</v>
      </c>
    </row>
    <row r="329" spans="1:11" x14ac:dyDescent="0.2">
      <c r="A329" s="430">
        <v>45435</v>
      </c>
      <c r="B329">
        <v>507.9</v>
      </c>
      <c r="C329">
        <v>581.6</v>
      </c>
      <c r="D329">
        <v>19.7</v>
      </c>
      <c r="E329">
        <v>92.1</v>
      </c>
      <c r="F329">
        <v>10.4</v>
      </c>
      <c r="G329">
        <v>111.3</v>
      </c>
      <c r="H329">
        <v>29.5</v>
      </c>
      <c r="I329">
        <v>26.7</v>
      </c>
      <c r="J329">
        <v>6.1</v>
      </c>
      <c r="K329">
        <f t="shared" si="5"/>
        <v>1385.3</v>
      </c>
    </row>
    <row r="330" spans="1:11" x14ac:dyDescent="0.2">
      <c r="A330" s="430">
        <v>45436</v>
      </c>
      <c r="B330">
        <v>514.70000000000005</v>
      </c>
      <c r="C330">
        <v>631.20000000000005</v>
      </c>
      <c r="D330">
        <v>15.9</v>
      </c>
      <c r="E330">
        <v>91.1</v>
      </c>
      <c r="F330">
        <v>6.9</v>
      </c>
      <c r="G330">
        <v>102.7</v>
      </c>
      <c r="H330">
        <v>20.2</v>
      </c>
      <c r="I330">
        <v>38</v>
      </c>
      <c r="J330">
        <v>12.9</v>
      </c>
      <c r="K330">
        <f t="shared" si="5"/>
        <v>1433.6000000000004</v>
      </c>
    </row>
    <row r="331" spans="1:11" x14ac:dyDescent="0.2">
      <c r="A331" s="430">
        <v>45437</v>
      </c>
      <c r="B331">
        <v>511.7</v>
      </c>
      <c r="C331">
        <v>478.1</v>
      </c>
      <c r="D331">
        <v>13.9</v>
      </c>
      <c r="E331">
        <v>82.4</v>
      </c>
      <c r="F331">
        <v>5.9</v>
      </c>
      <c r="G331">
        <v>103.6</v>
      </c>
      <c r="H331">
        <v>15.2</v>
      </c>
      <c r="I331">
        <v>44.4</v>
      </c>
      <c r="J331">
        <v>7</v>
      </c>
      <c r="K331">
        <f t="shared" si="5"/>
        <v>1262.2</v>
      </c>
    </row>
    <row r="332" spans="1:11" x14ac:dyDescent="0.2">
      <c r="A332" s="430">
        <v>45438</v>
      </c>
      <c r="B332">
        <v>453.5</v>
      </c>
      <c r="C332">
        <v>330.4</v>
      </c>
      <c r="D332">
        <v>25.2</v>
      </c>
      <c r="E332">
        <v>33.6</v>
      </c>
      <c r="F332">
        <v>21.6</v>
      </c>
      <c r="G332">
        <v>105.4</v>
      </c>
      <c r="H332">
        <v>2.4</v>
      </c>
      <c r="I332">
        <v>50.3</v>
      </c>
      <c r="J332">
        <v>7.7</v>
      </c>
      <c r="K332">
        <f t="shared" si="5"/>
        <v>1030.0999999999999</v>
      </c>
    </row>
    <row r="333" spans="1:11" x14ac:dyDescent="0.2">
      <c r="A333" s="430">
        <v>45439</v>
      </c>
      <c r="B333">
        <v>351</v>
      </c>
      <c r="C333">
        <v>254.9</v>
      </c>
      <c r="D333">
        <v>28.1</v>
      </c>
      <c r="E333"/>
      <c r="F333">
        <v>11.6</v>
      </c>
      <c r="G333"/>
      <c r="H333">
        <v>15.1</v>
      </c>
      <c r="I333">
        <v>16.5</v>
      </c>
      <c r="J333">
        <v>15.4</v>
      </c>
      <c r="K333">
        <f t="shared" si="5"/>
        <v>692.6</v>
      </c>
    </row>
    <row r="334" spans="1:11" x14ac:dyDescent="0.2">
      <c r="A334" s="430">
        <v>45440</v>
      </c>
      <c r="B334">
        <v>505.2</v>
      </c>
      <c r="C334">
        <v>549</v>
      </c>
      <c r="D334">
        <v>20.6</v>
      </c>
      <c r="E334">
        <v>92.6</v>
      </c>
      <c r="F334">
        <v>43.1</v>
      </c>
      <c r="G334">
        <v>105.5</v>
      </c>
      <c r="H334">
        <v>25.2</v>
      </c>
      <c r="I334">
        <v>27</v>
      </c>
      <c r="J334">
        <v>8.8000000000000007</v>
      </c>
      <c r="K334">
        <f t="shared" si="5"/>
        <v>1376.9999999999998</v>
      </c>
    </row>
    <row r="335" spans="1:11" x14ac:dyDescent="0.2">
      <c r="A335" s="430">
        <v>45441</v>
      </c>
      <c r="B335">
        <v>533.5</v>
      </c>
      <c r="C335">
        <v>567.20000000000005</v>
      </c>
      <c r="D335">
        <v>7.7</v>
      </c>
      <c r="E335">
        <v>88.2</v>
      </c>
      <c r="F335">
        <v>6.9</v>
      </c>
      <c r="G335">
        <v>98.3</v>
      </c>
      <c r="H335">
        <v>20.8</v>
      </c>
      <c r="I335">
        <v>33.799999999999997</v>
      </c>
      <c r="J335">
        <v>9.8000000000000007</v>
      </c>
      <c r="K335">
        <f t="shared" si="5"/>
        <v>1366.2</v>
      </c>
    </row>
    <row r="336" spans="1:11" x14ac:dyDescent="0.2">
      <c r="A336" s="430">
        <v>45442</v>
      </c>
      <c r="B336">
        <v>468.4</v>
      </c>
      <c r="C336">
        <v>547.6</v>
      </c>
      <c r="D336">
        <v>15.8</v>
      </c>
      <c r="E336">
        <v>103.7</v>
      </c>
      <c r="F336">
        <v>14</v>
      </c>
      <c r="G336">
        <v>89.6</v>
      </c>
      <c r="H336">
        <v>12.6</v>
      </c>
      <c r="I336">
        <v>17.399999999999999</v>
      </c>
      <c r="J336">
        <v>4</v>
      </c>
      <c r="K336">
        <f t="shared" si="5"/>
        <v>1273.0999999999999</v>
      </c>
    </row>
    <row r="337" spans="1:11" x14ac:dyDescent="0.2">
      <c r="A337" s="430">
        <v>45443</v>
      </c>
      <c r="B337">
        <v>459.8</v>
      </c>
      <c r="C337">
        <v>444.1</v>
      </c>
      <c r="D337">
        <v>25.7</v>
      </c>
      <c r="E337">
        <v>78.8</v>
      </c>
      <c r="F337">
        <v>32</v>
      </c>
      <c r="G337">
        <v>95.7</v>
      </c>
      <c r="H337">
        <v>14</v>
      </c>
      <c r="I337">
        <v>35.200000000000003</v>
      </c>
      <c r="J337">
        <v>8.6</v>
      </c>
      <c r="K337">
        <f t="shared" si="5"/>
        <v>1193.9000000000001</v>
      </c>
    </row>
    <row r="338" spans="1:11" x14ac:dyDescent="0.2">
      <c r="A338" s="430">
        <v>45444</v>
      </c>
      <c r="B338">
        <v>560.1</v>
      </c>
      <c r="C338">
        <v>370.4</v>
      </c>
      <c r="D338">
        <v>26.3</v>
      </c>
      <c r="E338">
        <v>108.6</v>
      </c>
      <c r="F338">
        <v>43.2</v>
      </c>
      <c r="G338">
        <v>82.5</v>
      </c>
      <c r="H338">
        <v>10.3</v>
      </c>
      <c r="I338">
        <v>45.2</v>
      </c>
      <c r="J338">
        <v>9.5</v>
      </c>
      <c r="K338">
        <f t="shared" si="5"/>
        <v>1256.0999999999999</v>
      </c>
    </row>
    <row r="339" spans="1:11" x14ac:dyDescent="0.2">
      <c r="A339" s="430">
        <v>45445</v>
      </c>
      <c r="B339">
        <v>456.4</v>
      </c>
      <c r="C339">
        <v>224.2</v>
      </c>
      <c r="D339">
        <v>53.5</v>
      </c>
      <c r="E339">
        <v>30.8</v>
      </c>
      <c r="F339">
        <v>8.8000000000000007</v>
      </c>
      <c r="G339">
        <v>86.7</v>
      </c>
      <c r="H339">
        <v>1.5</v>
      </c>
      <c r="I339">
        <v>18.100000000000001</v>
      </c>
      <c r="J339">
        <v>4.7</v>
      </c>
      <c r="K339">
        <f t="shared" si="5"/>
        <v>884.69999999999993</v>
      </c>
    </row>
    <row r="340" spans="1:11" x14ac:dyDescent="0.2">
      <c r="A340" s="430">
        <v>45446</v>
      </c>
      <c r="B340">
        <v>313.2</v>
      </c>
      <c r="C340">
        <v>185.9</v>
      </c>
      <c r="D340">
        <v>21.8</v>
      </c>
      <c r="E340"/>
      <c r="F340">
        <v>18.899999999999999</v>
      </c>
      <c r="G340"/>
      <c r="H340"/>
      <c r="I340">
        <v>35</v>
      </c>
      <c r="J340">
        <v>15.2</v>
      </c>
      <c r="K340">
        <f t="shared" si="5"/>
        <v>590</v>
      </c>
    </row>
    <row r="341" spans="1:11" x14ac:dyDescent="0.2">
      <c r="A341" s="430">
        <v>45447</v>
      </c>
      <c r="B341">
        <v>474.4</v>
      </c>
      <c r="C341">
        <v>464.1</v>
      </c>
      <c r="D341">
        <v>14.4</v>
      </c>
      <c r="E341">
        <v>57.3</v>
      </c>
      <c r="F341">
        <v>14.9</v>
      </c>
      <c r="G341">
        <v>105.6</v>
      </c>
      <c r="H341">
        <v>6.5</v>
      </c>
      <c r="I341">
        <v>32.6</v>
      </c>
      <c r="J341">
        <v>6.8</v>
      </c>
      <c r="K341">
        <f t="shared" si="5"/>
        <v>1176.5999999999997</v>
      </c>
    </row>
    <row r="342" spans="1:11" x14ac:dyDescent="0.2">
      <c r="A342" s="430">
        <v>45448</v>
      </c>
      <c r="B342">
        <v>405.8</v>
      </c>
      <c r="C342">
        <v>439.1</v>
      </c>
      <c r="D342">
        <v>31.2</v>
      </c>
      <c r="E342">
        <v>89.6</v>
      </c>
      <c r="F342">
        <v>11.3</v>
      </c>
      <c r="G342">
        <v>102.2</v>
      </c>
      <c r="H342">
        <v>12.2</v>
      </c>
      <c r="I342">
        <v>22.5</v>
      </c>
      <c r="J342">
        <v>9.6</v>
      </c>
      <c r="K342">
        <f t="shared" si="5"/>
        <v>1123.5</v>
      </c>
    </row>
    <row r="343" spans="1:11" x14ac:dyDescent="0.2">
      <c r="A343" s="430">
        <v>45449</v>
      </c>
      <c r="B343">
        <v>354.7</v>
      </c>
      <c r="C343">
        <v>343.2</v>
      </c>
      <c r="D343">
        <v>12.6</v>
      </c>
      <c r="E343">
        <v>98.5</v>
      </c>
      <c r="F343">
        <v>10</v>
      </c>
      <c r="G343">
        <v>104.5</v>
      </c>
      <c r="H343">
        <v>6.8</v>
      </c>
      <c r="I343">
        <v>16.2</v>
      </c>
      <c r="J343">
        <v>4.7</v>
      </c>
      <c r="K343">
        <f t="shared" si="5"/>
        <v>951.2</v>
      </c>
    </row>
    <row r="344" spans="1:11" x14ac:dyDescent="0.2">
      <c r="A344" s="430">
        <v>45450</v>
      </c>
      <c r="B344">
        <v>387.5</v>
      </c>
      <c r="C344">
        <v>338.5</v>
      </c>
      <c r="D344">
        <v>14</v>
      </c>
      <c r="E344">
        <v>65.099999999999994</v>
      </c>
      <c r="F344">
        <v>13.8</v>
      </c>
      <c r="G344">
        <v>112.5</v>
      </c>
      <c r="H344">
        <v>8.6999999999999993</v>
      </c>
      <c r="I344">
        <v>31.3</v>
      </c>
      <c r="J344">
        <v>11.9</v>
      </c>
      <c r="K344">
        <f t="shared" si="5"/>
        <v>983.3</v>
      </c>
    </row>
    <row r="345" spans="1:11" x14ac:dyDescent="0.2">
      <c r="A345" s="430">
        <v>45451</v>
      </c>
      <c r="B345">
        <v>389.3</v>
      </c>
      <c r="C345">
        <v>213.9</v>
      </c>
      <c r="D345">
        <v>6.5</v>
      </c>
      <c r="E345">
        <v>87.1</v>
      </c>
      <c r="F345">
        <v>11.6</v>
      </c>
      <c r="G345">
        <v>84</v>
      </c>
      <c r="H345">
        <v>2.2000000000000002</v>
      </c>
      <c r="I345">
        <v>22.8</v>
      </c>
      <c r="J345">
        <v>8</v>
      </c>
      <c r="K345">
        <f t="shared" si="5"/>
        <v>825.40000000000009</v>
      </c>
    </row>
    <row r="346" spans="1:11" x14ac:dyDescent="0.2">
      <c r="A346" s="430">
        <v>45452</v>
      </c>
      <c r="B346">
        <v>384.3</v>
      </c>
      <c r="C346">
        <v>236.7</v>
      </c>
      <c r="D346">
        <v>19.5</v>
      </c>
      <c r="E346">
        <v>61.2</v>
      </c>
      <c r="F346">
        <v>2.2999999999999998</v>
      </c>
      <c r="G346">
        <v>90.1</v>
      </c>
      <c r="H346">
        <v>2.6</v>
      </c>
      <c r="I346">
        <v>30.1</v>
      </c>
      <c r="J346">
        <v>12.2</v>
      </c>
      <c r="K346">
        <f t="shared" si="5"/>
        <v>839.00000000000011</v>
      </c>
    </row>
    <row r="347" spans="1:11" x14ac:dyDescent="0.2">
      <c r="A347" s="430">
        <v>45453</v>
      </c>
      <c r="B347">
        <v>278.89999999999998</v>
      </c>
      <c r="C347">
        <v>129.80000000000001</v>
      </c>
      <c r="D347">
        <v>14</v>
      </c>
      <c r="E347"/>
      <c r="F347">
        <v>7.2</v>
      </c>
      <c r="G347"/>
      <c r="H347">
        <v>4.4000000000000004</v>
      </c>
      <c r="I347">
        <v>30.9</v>
      </c>
      <c r="J347">
        <v>8.9</v>
      </c>
      <c r="K347">
        <f t="shared" si="5"/>
        <v>474.09999999999991</v>
      </c>
    </row>
    <row r="348" spans="1:11" x14ac:dyDescent="0.2">
      <c r="A348" s="430">
        <v>45454</v>
      </c>
      <c r="B348">
        <v>330.3</v>
      </c>
      <c r="C348">
        <v>141</v>
      </c>
      <c r="D348">
        <v>16.5</v>
      </c>
      <c r="E348"/>
      <c r="F348">
        <v>8</v>
      </c>
      <c r="G348"/>
      <c r="H348"/>
      <c r="I348">
        <v>46.3</v>
      </c>
      <c r="J348">
        <v>4.3</v>
      </c>
      <c r="K348">
        <f t="shared" si="5"/>
        <v>546.4</v>
      </c>
    </row>
    <row r="349" spans="1:11" x14ac:dyDescent="0.2">
      <c r="A349" s="430">
        <v>45455</v>
      </c>
      <c r="B349">
        <v>353.3</v>
      </c>
      <c r="C349">
        <v>349.3</v>
      </c>
      <c r="D349">
        <v>8.1999999999999993</v>
      </c>
      <c r="E349">
        <v>71.7</v>
      </c>
      <c r="F349">
        <v>21.3</v>
      </c>
      <c r="G349">
        <v>92.9</v>
      </c>
      <c r="H349">
        <v>6.7</v>
      </c>
      <c r="I349">
        <v>34.299999999999997</v>
      </c>
      <c r="J349">
        <v>9.9</v>
      </c>
      <c r="K349">
        <f t="shared" si="5"/>
        <v>947.6</v>
      </c>
    </row>
    <row r="350" spans="1:11" x14ac:dyDescent="0.2">
      <c r="A350" s="430">
        <v>45456</v>
      </c>
      <c r="B350">
        <v>389.4</v>
      </c>
      <c r="C350">
        <v>361.6</v>
      </c>
      <c r="D350">
        <v>16.5</v>
      </c>
      <c r="E350">
        <v>61.9</v>
      </c>
      <c r="F350">
        <v>39.5</v>
      </c>
      <c r="G350">
        <v>90.5</v>
      </c>
      <c r="H350">
        <v>7.9</v>
      </c>
      <c r="I350">
        <v>24.4</v>
      </c>
      <c r="J350">
        <v>6.8</v>
      </c>
      <c r="K350">
        <f t="shared" si="5"/>
        <v>998.49999999999989</v>
      </c>
    </row>
    <row r="351" spans="1:11" x14ac:dyDescent="0.2">
      <c r="A351" s="430">
        <v>45457</v>
      </c>
      <c r="B351">
        <v>376</v>
      </c>
      <c r="C351">
        <v>346.1</v>
      </c>
      <c r="D351">
        <v>18.899999999999999</v>
      </c>
      <c r="E351">
        <v>91.3</v>
      </c>
      <c r="F351">
        <v>25.1</v>
      </c>
      <c r="G351">
        <v>82.2</v>
      </c>
      <c r="H351">
        <v>7.6</v>
      </c>
      <c r="I351">
        <v>27.6</v>
      </c>
      <c r="J351">
        <v>9.8000000000000007</v>
      </c>
      <c r="K351">
        <f t="shared" si="5"/>
        <v>984.6</v>
      </c>
    </row>
    <row r="352" spans="1:11" x14ac:dyDescent="0.2">
      <c r="A352" s="430">
        <v>45458</v>
      </c>
      <c r="B352">
        <v>335.2</v>
      </c>
      <c r="C352">
        <v>294.39999999999998</v>
      </c>
      <c r="D352">
        <v>24.5</v>
      </c>
      <c r="E352">
        <v>55.7</v>
      </c>
      <c r="F352">
        <v>19</v>
      </c>
      <c r="G352">
        <v>83.7</v>
      </c>
      <c r="H352">
        <v>7.9</v>
      </c>
      <c r="I352">
        <v>34.1</v>
      </c>
      <c r="J352">
        <v>8.6</v>
      </c>
      <c r="K352">
        <f t="shared" si="5"/>
        <v>863.1</v>
      </c>
    </row>
    <row r="353" spans="1:11" x14ac:dyDescent="0.2">
      <c r="A353" s="430">
        <v>45459</v>
      </c>
      <c r="B353">
        <v>313.5</v>
      </c>
      <c r="C353">
        <v>203.1</v>
      </c>
      <c r="D353">
        <v>15.8</v>
      </c>
      <c r="E353">
        <v>58.6</v>
      </c>
      <c r="F353">
        <v>18.5</v>
      </c>
      <c r="G353">
        <v>82.1</v>
      </c>
      <c r="H353">
        <v>0.6</v>
      </c>
      <c r="I353">
        <v>36.1</v>
      </c>
      <c r="J353">
        <v>12</v>
      </c>
      <c r="K353">
        <f t="shared" si="5"/>
        <v>740.30000000000007</v>
      </c>
    </row>
    <row r="354" spans="1:11" x14ac:dyDescent="0.2">
      <c r="A354" s="430">
        <v>45460</v>
      </c>
      <c r="B354">
        <v>334.2</v>
      </c>
      <c r="C354">
        <v>124.6</v>
      </c>
      <c r="D354">
        <v>6.3</v>
      </c>
      <c r="E354"/>
      <c r="F354">
        <v>19.5</v>
      </c>
      <c r="G354"/>
      <c r="H354"/>
      <c r="I354">
        <v>44.3</v>
      </c>
      <c r="J354">
        <v>7.2</v>
      </c>
      <c r="K354">
        <f t="shared" si="5"/>
        <v>536.1</v>
      </c>
    </row>
    <row r="355" spans="1:11" x14ac:dyDescent="0.2">
      <c r="A355" s="430">
        <v>45461</v>
      </c>
      <c r="B355">
        <v>316.60000000000002</v>
      </c>
      <c r="C355">
        <v>248.4</v>
      </c>
      <c r="D355">
        <v>17.100000000000001</v>
      </c>
      <c r="E355">
        <v>63.3</v>
      </c>
      <c r="F355">
        <v>12.7</v>
      </c>
      <c r="G355">
        <v>67.3</v>
      </c>
      <c r="H355">
        <v>7.9</v>
      </c>
      <c r="I355">
        <v>12.9</v>
      </c>
      <c r="J355">
        <v>8.5</v>
      </c>
      <c r="K355">
        <f t="shared" si="5"/>
        <v>754.69999999999993</v>
      </c>
    </row>
    <row r="356" spans="1:11" x14ac:dyDescent="0.2">
      <c r="A356" s="430">
        <v>45462</v>
      </c>
      <c r="B356">
        <v>434.6</v>
      </c>
      <c r="C356">
        <v>413.3</v>
      </c>
      <c r="D356">
        <v>10.3</v>
      </c>
      <c r="E356">
        <v>74.3</v>
      </c>
      <c r="F356">
        <v>7.1</v>
      </c>
      <c r="G356">
        <v>90.3</v>
      </c>
      <c r="H356">
        <v>13.5</v>
      </c>
      <c r="I356">
        <v>36.4</v>
      </c>
      <c r="J356">
        <v>6.1</v>
      </c>
      <c r="K356">
        <f t="shared" si="5"/>
        <v>1085.9000000000001</v>
      </c>
    </row>
    <row r="357" spans="1:11" x14ac:dyDescent="0.2">
      <c r="A357" s="430">
        <v>45463</v>
      </c>
      <c r="B357">
        <v>364.1</v>
      </c>
      <c r="C357">
        <v>427.7</v>
      </c>
      <c r="D357">
        <v>8.1</v>
      </c>
      <c r="E357">
        <v>63</v>
      </c>
      <c r="F357">
        <v>31.3</v>
      </c>
      <c r="G357">
        <v>75</v>
      </c>
      <c r="H357">
        <v>13.3</v>
      </c>
      <c r="I357">
        <v>27.9</v>
      </c>
      <c r="J357">
        <v>17.100000000000001</v>
      </c>
      <c r="K357">
        <f t="shared" si="5"/>
        <v>1027.4999999999998</v>
      </c>
    </row>
    <row r="358" spans="1:11" x14ac:dyDescent="0.2">
      <c r="A358" s="430">
        <v>45464</v>
      </c>
      <c r="B358">
        <v>342.8</v>
      </c>
      <c r="C358">
        <v>472</v>
      </c>
      <c r="D358">
        <v>7.4</v>
      </c>
      <c r="E358">
        <v>61.6</v>
      </c>
      <c r="F358">
        <v>13.8</v>
      </c>
      <c r="G358">
        <v>74.599999999999994</v>
      </c>
      <c r="H358">
        <v>15</v>
      </c>
      <c r="I358">
        <v>9.1999999999999993</v>
      </c>
      <c r="J358">
        <v>7.5</v>
      </c>
      <c r="K358">
        <f t="shared" si="5"/>
        <v>1003.9</v>
      </c>
    </row>
    <row r="359" spans="1:11" x14ac:dyDescent="0.2">
      <c r="A359" s="430">
        <v>45465</v>
      </c>
      <c r="B359">
        <v>400.4</v>
      </c>
      <c r="C359">
        <v>406.3</v>
      </c>
      <c r="D359">
        <v>14.2</v>
      </c>
      <c r="E359">
        <v>64.099999999999994</v>
      </c>
      <c r="F359">
        <v>7.5</v>
      </c>
      <c r="G359">
        <v>71</v>
      </c>
      <c r="H359">
        <v>10</v>
      </c>
      <c r="I359">
        <v>34.700000000000003</v>
      </c>
      <c r="J359">
        <v>6.6</v>
      </c>
      <c r="K359">
        <f t="shared" si="5"/>
        <v>1014.8000000000002</v>
      </c>
    </row>
    <row r="360" spans="1:11" x14ac:dyDescent="0.2">
      <c r="A360" s="430">
        <v>45466</v>
      </c>
      <c r="B360">
        <v>377.7</v>
      </c>
      <c r="C360">
        <v>322.2</v>
      </c>
      <c r="D360">
        <v>37.4</v>
      </c>
      <c r="E360">
        <v>38.5</v>
      </c>
      <c r="F360">
        <v>20.2</v>
      </c>
      <c r="G360">
        <v>74.2</v>
      </c>
      <c r="H360">
        <v>4.4000000000000004</v>
      </c>
      <c r="I360">
        <v>25.6</v>
      </c>
      <c r="J360">
        <v>5.6</v>
      </c>
      <c r="K360">
        <f t="shared" si="5"/>
        <v>905.80000000000007</v>
      </c>
    </row>
    <row r="361" spans="1:11" x14ac:dyDescent="0.2">
      <c r="A361" s="430">
        <v>45467</v>
      </c>
      <c r="B361">
        <v>414.2</v>
      </c>
      <c r="C361">
        <v>111</v>
      </c>
      <c r="D361">
        <v>25.8</v>
      </c>
      <c r="E361"/>
      <c r="F361">
        <v>31.6</v>
      </c>
      <c r="G361"/>
      <c r="H361">
        <v>2.1</v>
      </c>
      <c r="I361">
        <v>18.100000000000001</v>
      </c>
      <c r="J361">
        <v>13.3</v>
      </c>
      <c r="K361">
        <f t="shared" si="5"/>
        <v>616.1</v>
      </c>
    </row>
    <row r="362" spans="1:11" x14ac:dyDescent="0.2">
      <c r="A362" s="430">
        <v>45468</v>
      </c>
      <c r="B362">
        <v>524.4</v>
      </c>
      <c r="C362">
        <v>438.3</v>
      </c>
      <c r="D362">
        <v>22.3</v>
      </c>
      <c r="E362">
        <v>58.7</v>
      </c>
      <c r="F362">
        <v>12.2</v>
      </c>
      <c r="G362">
        <v>86.8</v>
      </c>
      <c r="H362">
        <v>13.3</v>
      </c>
      <c r="I362">
        <v>27.3</v>
      </c>
      <c r="J362">
        <v>6.3</v>
      </c>
      <c r="K362">
        <f t="shared" si="5"/>
        <v>1189.5999999999999</v>
      </c>
    </row>
    <row r="363" spans="1:11" x14ac:dyDescent="0.2">
      <c r="A363" s="430">
        <v>45469</v>
      </c>
      <c r="B363">
        <v>438.8</v>
      </c>
      <c r="C363">
        <v>450.8</v>
      </c>
      <c r="D363">
        <v>20.100000000000001</v>
      </c>
      <c r="E363">
        <v>54.5</v>
      </c>
      <c r="F363">
        <v>32.5</v>
      </c>
      <c r="G363">
        <v>82.9</v>
      </c>
      <c r="H363">
        <v>14.2</v>
      </c>
      <c r="I363">
        <v>47</v>
      </c>
      <c r="J363">
        <v>9</v>
      </c>
      <c r="K363">
        <f t="shared" si="5"/>
        <v>1149.8000000000002</v>
      </c>
    </row>
    <row r="364" spans="1:11" x14ac:dyDescent="0.2">
      <c r="A364" s="430">
        <v>45470</v>
      </c>
      <c r="B364">
        <v>425.2</v>
      </c>
      <c r="C364">
        <v>449.1</v>
      </c>
      <c r="D364">
        <v>32.6</v>
      </c>
      <c r="E364">
        <v>65.400000000000006</v>
      </c>
      <c r="F364">
        <v>3.3</v>
      </c>
      <c r="G364">
        <v>76.400000000000006</v>
      </c>
      <c r="H364">
        <v>9.9</v>
      </c>
      <c r="I364">
        <v>35.1</v>
      </c>
      <c r="J364">
        <v>8</v>
      </c>
      <c r="K364">
        <f t="shared" si="5"/>
        <v>1105</v>
      </c>
    </row>
    <row r="365" spans="1:11" x14ac:dyDescent="0.2">
      <c r="A365" s="430">
        <v>45471</v>
      </c>
      <c r="B365">
        <v>352.3</v>
      </c>
      <c r="C365">
        <v>213.4</v>
      </c>
      <c r="D365">
        <v>15.7</v>
      </c>
      <c r="E365">
        <v>58.9</v>
      </c>
      <c r="F365">
        <v>8</v>
      </c>
      <c r="G365">
        <v>73.8</v>
      </c>
      <c r="H365">
        <v>2.6</v>
      </c>
      <c r="I365">
        <v>35.299999999999997</v>
      </c>
      <c r="J365">
        <v>11.4</v>
      </c>
      <c r="K365">
        <f t="shared" si="5"/>
        <v>771.4</v>
      </c>
    </row>
    <row r="366" spans="1:11" x14ac:dyDescent="0.2">
      <c r="A366" s="430">
        <v>45472</v>
      </c>
      <c r="B366">
        <v>364.4</v>
      </c>
      <c r="C366">
        <v>480</v>
      </c>
      <c r="D366">
        <v>20.3</v>
      </c>
      <c r="E366">
        <v>107.6</v>
      </c>
      <c r="F366">
        <v>17.7</v>
      </c>
      <c r="G366">
        <v>76.900000000000006</v>
      </c>
      <c r="H366">
        <v>11</v>
      </c>
      <c r="I366">
        <v>52.2</v>
      </c>
      <c r="J366">
        <v>6.8</v>
      </c>
      <c r="K366">
        <f t="shared" si="5"/>
        <v>1136.9000000000001</v>
      </c>
    </row>
    <row r="367" spans="1:11" x14ac:dyDescent="0.2">
      <c r="A367" s="430">
        <v>45473</v>
      </c>
      <c r="B367">
        <v>365.2</v>
      </c>
      <c r="C367">
        <v>219.3</v>
      </c>
      <c r="D367">
        <v>34.200000000000003</v>
      </c>
      <c r="E367">
        <v>55.3</v>
      </c>
      <c r="F367">
        <v>13</v>
      </c>
      <c r="G367">
        <v>81.7</v>
      </c>
      <c r="H367">
        <v>5.0999999999999996</v>
      </c>
      <c r="I367">
        <v>26.5</v>
      </c>
      <c r="J367">
        <v>7.8</v>
      </c>
      <c r="K367">
        <f t="shared" si="5"/>
        <v>808.1</v>
      </c>
    </row>
    <row r="368" spans="1:11" x14ac:dyDescent="0.2">
      <c r="A368" s="430">
        <v>45474</v>
      </c>
      <c r="B368">
        <v>351.4</v>
      </c>
      <c r="C368">
        <v>112.3</v>
      </c>
      <c r="D368">
        <v>19.7</v>
      </c>
      <c r="E368"/>
      <c r="F368">
        <v>14.6</v>
      </c>
      <c r="G368"/>
      <c r="H368"/>
      <c r="I368">
        <v>18.100000000000001</v>
      </c>
      <c r="J368">
        <v>7.2</v>
      </c>
      <c r="K368">
        <f t="shared" si="5"/>
        <v>523.30000000000007</v>
      </c>
    </row>
    <row r="369" spans="1:11" x14ac:dyDescent="0.2">
      <c r="A369" s="430">
        <v>45475</v>
      </c>
      <c r="B369">
        <v>309.3</v>
      </c>
      <c r="C369">
        <v>164.8</v>
      </c>
      <c r="D369">
        <v>23.2</v>
      </c>
      <c r="E369"/>
      <c r="F369">
        <v>15.9</v>
      </c>
      <c r="G369"/>
      <c r="H369">
        <v>3.6</v>
      </c>
      <c r="I369">
        <v>44.6</v>
      </c>
      <c r="J369"/>
      <c r="K369">
        <f t="shared" si="5"/>
        <v>561.40000000000009</v>
      </c>
    </row>
    <row r="370" spans="1:11" x14ac:dyDescent="0.2">
      <c r="A370" s="430">
        <v>45476</v>
      </c>
      <c r="B370">
        <v>425.5</v>
      </c>
      <c r="C370">
        <v>441.7</v>
      </c>
      <c r="D370">
        <v>12.4</v>
      </c>
      <c r="E370">
        <v>52.8</v>
      </c>
      <c r="F370">
        <v>18.899999999999999</v>
      </c>
      <c r="G370">
        <v>96.9</v>
      </c>
      <c r="H370">
        <v>11.8</v>
      </c>
      <c r="I370">
        <v>32.200000000000003</v>
      </c>
      <c r="J370">
        <v>4.5999999999999996</v>
      </c>
      <c r="K370">
        <f t="shared" si="5"/>
        <v>1096.8</v>
      </c>
    </row>
    <row r="371" spans="1:11" x14ac:dyDescent="0.2">
      <c r="A371" s="430">
        <v>45477</v>
      </c>
      <c r="B371">
        <v>453.8</v>
      </c>
      <c r="C371">
        <v>477.8</v>
      </c>
      <c r="D371">
        <v>4.8</v>
      </c>
      <c r="E371">
        <v>62.1</v>
      </c>
      <c r="F371">
        <v>22</v>
      </c>
      <c r="G371">
        <v>78.2</v>
      </c>
      <c r="H371">
        <v>11.3</v>
      </c>
      <c r="I371">
        <v>13.1</v>
      </c>
      <c r="J371">
        <v>10.7</v>
      </c>
      <c r="K371">
        <f t="shared" si="5"/>
        <v>1133.8</v>
      </c>
    </row>
    <row r="372" spans="1:11" x14ac:dyDescent="0.2">
      <c r="A372" s="430">
        <v>45478</v>
      </c>
      <c r="B372">
        <v>396.5</v>
      </c>
      <c r="C372">
        <v>457.2</v>
      </c>
      <c r="D372">
        <v>6.3</v>
      </c>
      <c r="E372">
        <v>66.099999999999994</v>
      </c>
      <c r="F372">
        <v>16.8</v>
      </c>
      <c r="G372">
        <v>80.599999999999994</v>
      </c>
      <c r="H372">
        <v>15.5</v>
      </c>
      <c r="I372">
        <v>25</v>
      </c>
      <c r="J372">
        <v>5.4</v>
      </c>
      <c r="K372">
        <f t="shared" si="5"/>
        <v>1069.4000000000001</v>
      </c>
    </row>
    <row r="373" spans="1:11" x14ac:dyDescent="0.2">
      <c r="A373" s="430">
        <v>45479</v>
      </c>
      <c r="B373">
        <v>436.3</v>
      </c>
      <c r="C373">
        <v>446.6</v>
      </c>
      <c r="D373">
        <v>20.7</v>
      </c>
      <c r="E373">
        <v>65.8</v>
      </c>
      <c r="F373">
        <v>15</v>
      </c>
      <c r="G373">
        <v>73.5</v>
      </c>
      <c r="H373">
        <v>9.9</v>
      </c>
      <c r="I373">
        <v>40.799999999999997</v>
      </c>
      <c r="J373">
        <v>5.8</v>
      </c>
      <c r="K373">
        <f t="shared" si="5"/>
        <v>1114.4000000000001</v>
      </c>
    </row>
    <row r="374" spans="1:11" x14ac:dyDescent="0.2">
      <c r="A374" s="430">
        <v>45480</v>
      </c>
      <c r="B374">
        <v>434.6</v>
      </c>
      <c r="C374">
        <v>310.60000000000002</v>
      </c>
      <c r="D374">
        <v>30.9</v>
      </c>
      <c r="E374">
        <v>41.2</v>
      </c>
      <c r="F374">
        <v>7</v>
      </c>
      <c r="G374">
        <v>94.2</v>
      </c>
      <c r="H374">
        <v>3.6</v>
      </c>
      <c r="I374">
        <v>26.6</v>
      </c>
      <c r="J374">
        <v>4.2</v>
      </c>
      <c r="K374">
        <f t="shared" si="5"/>
        <v>952.9000000000002</v>
      </c>
    </row>
    <row r="375" spans="1:11" x14ac:dyDescent="0.2">
      <c r="A375" s="430">
        <v>45481</v>
      </c>
      <c r="B375">
        <v>344.6</v>
      </c>
      <c r="C375">
        <v>211.9</v>
      </c>
      <c r="D375">
        <v>26</v>
      </c>
      <c r="E375"/>
      <c r="F375">
        <v>17.8</v>
      </c>
      <c r="G375"/>
      <c r="H375">
        <v>2</v>
      </c>
      <c r="I375">
        <v>23.3</v>
      </c>
      <c r="J375">
        <v>11.4</v>
      </c>
      <c r="K375">
        <f t="shared" si="5"/>
        <v>636.99999999999989</v>
      </c>
    </row>
    <row r="376" spans="1:11" x14ac:dyDescent="0.2">
      <c r="A376" s="430">
        <v>45482</v>
      </c>
      <c r="B376">
        <v>396.5</v>
      </c>
      <c r="C376">
        <v>507.4</v>
      </c>
      <c r="D376">
        <v>6.3</v>
      </c>
      <c r="E376">
        <v>57.6</v>
      </c>
      <c r="F376">
        <v>12.4</v>
      </c>
      <c r="G376">
        <v>88.4</v>
      </c>
      <c r="H376">
        <v>16.8</v>
      </c>
      <c r="I376">
        <v>29.8</v>
      </c>
      <c r="J376">
        <v>10.3</v>
      </c>
      <c r="K376">
        <f t="shared" si="5"/>
        <v>1125.4999999999998</v>
      </c>
    </row>
    <row r="377" spans="1:11" x14ac:dyDescent="0.2">
      <c r="A377" s="430">
        <v>45483</v>
      </c>
      <c r="B377">
        <v>373.9</v>
      </c>
      <c r="C377">
        <v>510.1</v>
      </c>
      <c r="D377">
        <v>7.9</v>
      </c>
      <c r="E377">
        <v>52.4</v>
      </c>
      <c r="F377">
        <v>10.199999999999999</v>
      </c>
      <c r="G377">
        <v>82.2</v>
      </c>
      <c r="H377">
        <v>9.8000000000000007</v>
      </c>
      <c r="I377">
        <v>22.4</v>
      </c>
      <c r="J377">
        <v>9.1999999999999993</v>
      </c>
      <c r="K377">
        <f t="shared" si="5"/>
        <v>1078.1000000000001</v>
      </c>
    </row>
    <row r="378" spans="1:11" x14ac:dyDescent="0.2">
      <c r="A378" s="430">
        <v>45484</v>
      </c>
      <c r="B378">
        <v>440.6</v>
      </c>
      <c r="C378">
        <v>552.29999999999995</v>
      </c>
      <c r="D378">
        <v>24.8</v>
      </c>
      <c r="E378">
        <v>33.1</v>
      </c>
      <c r="F378">
        <v>11.1</v>
      </c>
      <c r="G378">
        <v>90.2</v>
      </c>
      <c r="H378">
        <v>10.7</v>
      </c>
      <c r="I378">
        <v>23.5</v>
      </c>
      <c r="J378">
        <v>6.1</v>
      </c>
      <c r="K378">
        <f t="shared" si="5"/>
        <v>1192.3999999999999</v>
      </c>
    </row>
    <row r="379" spans="1:11" x14ac:dyDescent="0.2">
      <c r="A379" s="430">
        <v>45485</v>
      </c>
      <c r="B379">
        <v>439.6</v>
      </c>
      <c r="C379">
        <v>586.6</v>
      </c>
      <c r="D379">
        <v>33</v>
      </c>
      <c r="E379">
        <v>69.900000000000006</v>
      </c>
      <c r="F379">
        <v>11.7</v>
      </c>
      <c r="G379">
        <v>77.3</v>
      </c>
      <c r="H379">
        <v>15.5</v>
      </c>
      <c r="I379">
        <v>13.3</v>
      </c>
      <c r="J379">
        <v>16.899999999999999</v>
      </c>
      <c r="K379">
        <f t="shared" si="5"/>
        <v>1263.8000000000002</v>
      </c>
    </row>
    <row r="380" spans="1:11" x14ac:dyDescent="0.2">
      <c r="A380" s="430">
        <v>45486</v>
      </c>
      <c r="B380">
        <v>446.1</v>
      </c>
      <c r="C380">
        <v>508.8</v>
      </c>
      <c r="D380">
        <v>28.2</v>
      </c>
      <c r="E380">
        <v>107.7</v>
      </c>
      <c r="F380">
        <v>17.8</v>
      </c>
      <c r="G380">
        <v>81.2</v>
      </c>
      <c r="H380">
        <v>7.4</v>
      </c>
      <c r="I380">
        <v>19.8</v>
      </c>
      <c r="J380">
        <v>7.6</v>
      </c>
      <c r="K380">
        <f t="shared" si="5"/>
        <v>1224.6000000000001</v>
      </c>
    </row>
    <row r="381" spans="1:11" x14ac:dyDescent="0.2">
      <c r="A381" s="430">
        <v>45487</v>
      </c>
      <c r="B381">
        <v>480.1</v>
      </c>
      <c r="C381">
        <v>247.9</v>
      </c>
      <c r="D381">
        <v>34.700000000000003</v>
      </c>
      <c r="E381">
        <v>16.5</v>
      </c>
      <c r="F381">
        <v>16.899999999999999</v>
      </c>
      <c r="G381">
        <v>92.1</v>
      </c>
      <c r="H381"/>
      <c r="I381">
        <v>31.7</v>
      </c>
      <c r="J381">
        <v>8.1</v>
      </c>
      <c r="K381">
        <f t="shared" si="5"/>
        <v>928.00000000000011</v>
      </c>
    </row>
    <row r="382" spans="1:11" x14ac:dyDescent="0.2">
      <c r="A382" s="430">
        <v>45488</v>
      </c>
      <c r="B382">
        <v>325.8</v>
      </c>
      <c r="C382">
        <v>262.2</v>
      </c>
      <c r="D382">
        <v>21.8</v>
      </c>
      <c r="E382"/>
      <c r="F382">
        <v>14.5</v>
      </c>
      <c r="G382"/>
      <c r="H382"/>
      <c r="I382">
        <v>17.899999999999999</v>
      </c>
      <c r="J382">
        <v>7.4</v>
      </c>
      <c r="K382">
        <f t="shared" si="5"/>
        <v>649.59999999999991</v>
      </c>
    </row>
    <row r="383" spans="1:11" x14ac:dyDescent="0.2">
      <c r="A383" s="430">
        <v>45489</v>
      </c>
      <c r="B383">
        <v>405.4</v>
      </c>
      <c r="C383">
        <v>556.29999999999995</v>
      </c>
      <c r="D383">
        <v>52.2</v>
      </c>
      <c r="E383">
        <v>22.2</v>
      </c>
      <c r="F383">
        <v>4.9000000000000004</v>
      </c>
      <c r="G383">
        <v>96</v>
      </c>
      <c r="H383">
        <v>9.4</v>
      </c>
      <c r="I383">
        <v>14.4</v>
      </c>
      <c r="J383">
        <v>13</v>
      </c>
      <c r="K383">
        <f t="shared" si="5"/>
        <v>1173.8000000000002</v>
      </c>
    </row>
    <row r="384" spans="1:11" x14ac:dyDescent="0.2">
      <c r="A384" s="430">
        <v>45490</v>
      </c>
      <c r="B384">
        <v>479.1</v>
      </c>
      <c r="C384">
        <v>595.29999999999995</v>
      </c>
      <c r="D384">
        <v>31.2</v>
      </c>
      <c r="E384">
        <v>33.9</v>
      </c>
      <c r="F384">
        <v>11.1</v>
      </c>
      <c r="G384">
        <v>82.7</v>
      </c>
      <c r="H384">
        <v>11.1</v>
      </c>
      <c r="I384">
        <v>12.4</v>
      </c>
      <c r="J384">
        <v>4.9000000000000004</v>
      </c>
      <c r="K384">
        <f t="shared" si="5"/>
        <v>1261.7000000000003</v>
      </c>
    </row>
    <row r="385" spans="1:11" x14ac:dyDescent="0.2">
      <c r="A385" s="430">
        <v>45491</v>
      </c>
      <c r="B385">
        <v>393.5</v>
      </c>
      <c r="C385">
        <v>581.70000000000005</v>
      </c>
      <c r="D385">
        <v>22.7</v>
      </c>
      <c r="E385">
        <v>37.299999999999997</v>
      </c>
      <c r="F385">
        <v>16.7</v>
      </c>
      <c r="G385">
        <v>90.3</v>
      </c>
      <c r="H385">
        <v>10.7</v>
      </c>
      <c r="I385">
        <v>16.8</v>
      </c>
      <c r="J385">
        <v>9.4</v>
      </c>
      <c r="K385">
        <f t="shared" si="5"/>
        <v>1179.1000000000001</v>
      </c>
    </row>
    <row r="386" spans="1:11" x14ac:dyDescent="0.2">
      <c r="A386" s="430">
        <v>45492</v>
      </c>
      <c r="B386">
        <v>413.2</v>
      </c>
      <c r="C386">
        <v>550.79999999999995</v>
      </c>
      <c r="D386">
        <v>12</v>
      </c>
      <c r="E386">
        <v>39.4</v>
      </c>
      <c r="F386">
        <v>11.5</v>
      </c>
      <c r="G386">
        <v>83.6</v>
      </c>
      <c r="H386">
        <v>7.2</v>
      </c>
      <c r="I386">
        <v>26</v>
      </c>
      <c r="J386">
        <v>9.1</v>
      </c>
      <c r="K386">
        <f t="shared" si="5"/>
        <v>1152.8</v>
      </c>
    </row>
    <row r="387" spans="1:11" x14ac:dyDescent="0.2">
      <c r="A387" s="430">
        <v>45493</v>
      </c>
      <c r="B387">
        <v>419.7</v>
      </c>
      <c r="C387">
        <v>335.9</v>
      </c>
      <c r="D387">
        <v>13.6</v>
      </c>
      <c r="E387">
        <v>34.200000000000003</v>
      </c>
      <c r="F387">
        <v>7.6</v>
      </c>
      <c r="G387">
        <v>97.8</v>
      </c>
      <c r="H387">
        <v>6.6</v>
      </c>
      <c r="I387">
        <v>27.4</v>
      </c>
      <c r="J387">
        <v>8.6</v>
      </c>
      <c r="K387">
        <f t="shared" ref="K387:K450" si="6">SUM(B387:J387)</f>
        <v>951.4</v>
      </c>
    </row>
    <row r="388" spans="1:11" x14ac:dyDescent="0.2">
      <c r="A388" s="430">
        <v>45494</v>
      </c>
      <c r="B388">
        <v>399.9</v>
      </c>
      <c r="C388">
        <v>330.1</v>
      </c>
      <c r="D388">
        <v>11.7</v>
      </c>
      <c r="E388">
        <v>14.7</v>
      </c>
      <c r="F388">
        <v>10.6</v>
      </c>
      <c r="G388">
        <v>81.5</v>
      </c>
      <c r="H388"/>
      <c r="I388"/>
      <c r="J388">
        <v>11.4</v>
      </c>
      <c r="K388">
        <f t="shared" si="6"/>
        <v>859.90000000000009</v>
      </c>
    </row>
    <row r="389" spans="1:11" x14ac:dyDescent="0.2">
      <c r="A389" s="430">
        <v>45495</v>
      </c>
      <c r="B389">
        <v>362.2</v>
      </c>
      <c r="C389">
        <v>271.39999999999998</v>
      </c>
      <c r="D389">
        <v>12.8</v>
      </c>
      <c r="E389"/>
      <c r="F389">
        <v>6.6</v>
      </c>
      <c r="G389"/>
      <c r="H389">
        <v>1.3</v>
      </c>
      <c r="I389">
        <v>29.3</v>
      </c>
      <c r="J389">
        <v>8</v>
      </c>
      <c r="K389">
        <f t="shared" si="6"/>
        <v>691.5999999999998</v>
      </c>
    </row>
    <row r="390" spans="1:11" x14ac:dyDescent="0.2">
      <c r="A390" s="430">
        <v>45496</v>
      </c>
      <c r="B390">
        <v>485.1</v>
      </c>
      <c r="C390">
        <v>471.4</v>
      </c>
      <c r="D390">
        <v>17.3</v>
      </c>
      <c r="E390">
        <v>63.1</v>
      </c>
      <c r="F390">
        <v>32.1</v>
      </c>
      <c r="G390">
        <v>96.1</v>
      </c>
      <c r="H390">
        <v>9.1999999999999993</v>
      </c>
      <c r="I390">
        <v>41.4</v>
      </c>
      <c r="J390">
        <v>4.5999999999999996</v>
      </c>
      <c r="K390">
        <f t="shared" si="6"/>
        <v>1220.2999999999997</v>
      </c>
    </row>
    <row r="391" spans="1:11" x14ac:dyDescent="0.2">
      <c r="A391" s="430">
        <v>45497</v>
      </c>
      <c r="B391">
        <v>414.6</v>
      </c>
      <c r="C391">
        <v>495.5</v>
      </c>
      <c r="D391">
        <v>8.6999999999999993</v>
      </c>
      <c r="E391">
        <v>50.9</v>
      </c>
      <c r="F391">
        <v>31.1</v>
      </c>
      <c r="G391">
        <v>86</v>
      </c>
      <c r="H391">
        <v>14.2</v>
      </c>
      <c r="I391">
        <v>33.700000000000003</v>
      </c>
      <c r="J391">
        <v>14.9</v>
      </c>
      <c r="K391">
        <f t="shared" si="6"/>
        <v>1149.6000000000004</v>
      </c>
    </row>
    <row r="392" spans="1:11" x14ac:dyDescent="0.2">
      <c r="A392" s="430">
        <v>45498</v>
      </c>
      <c r="B392">
        <v>445.1</v>
      </c>
      <c r="C392">
        <v>518.70000000000005</v>
      </c>
      <c r="D392">
        <v>16.899999999999999</v>
      </c>
      <c r="E392">
        <v>67.599999999999994</v>
      </c>
      <c r="F392">
        <v>15</v>
      </c>
      <c r="G392">
        <v>93.4</v>
      </c>
      <c r="H392">
        <v>7.6</v>
      </c>
      <c r="I392">
        <v>29.2</v>
      </c>
      <c r="J392">
        <v>11.8</v>
      </c>
      <c r="K392">
        <f t="shared" si="6"/>
        <v>1205.3</v>
      </c>
    </row>
    <row r="393" spans="1:11" x14ac:dyDescent="0.2">
      <c r="A393" s="430">
        <v>45499</v>
      </c>
      <c r="B393">
        <v>437.1</v>
      </c>
      <c r="C393">
        <v>545.29999999999995</v>
      </c>
      <c r="D393">
        <v>4.9000000000000004</v>
      </c>
      <c r="E393">
        <v>59.5</v>
      </c>
      <c r="F393">
        <v>6.5</v>
      </c>
      <c r="G393">
        <v>94.1</v>
      </c>
      <c r="H393">
        <v>8.1999999999999993</v>
      </c>
      <c r="I393">
        <v>25.4</v>
      </c>
      <c r="J393">
        <v>12.7</v>
      </c>
      <c r="K393">
        <f t="shared" si="6"/>
        <v>1193.7</v>
      </c>
    </row>
    <row r="394" spans="1:11" x14ac:dyDescent="0.2">
      <c r="A394" s="430">
        <v>45500</v>
      </c>
      <c r="B394">
        <v>428.9</v>
      </c>
      <c r="C394">
        <v>483</v>
      </c>
      <c r="D394">
        <v>18.600000000000001</v>
      </c>
      <c r="E394">
        <v>50.1</v>
      </c>
      <c r="F394">
        <v>14.3</v>
      </c>
      <c r="G394">
        <v>82.7</v>
      </c>
      <c r="H394">
        <v>6.5</v>
      </c>
      <c r="I394">
        <v>34.5</v>
      </c>
      <c r="J394">
        <v>9.6</v>
      </c>
      <c r="K394">
        <f t="shared" si="6"/>
        <v>1128.1999999999998</v>
      </c>
    </row>
    <row r="395" spans="1:11" x14ac:dyDescent="0.2">
      <c r="A395" s="430">
        <v>45501</v>
      </c>
      <c r="B395">
        <v>401.6</v>
      </c>
      <c r="C395">
        <v>223.3</v>
      </c>
      <c r="D395">
        <v>33.799999999999997</v>
      </c>
      <c r="E395">
        <v>38.700000000000003</v>
      </c>
      <c r="F395">
        <v>5.4</v>
      </c>
      <c r="G395">
        <v>87.9</v>
      </c>
      <c r="H395">
        <v>3.4</v>
      </c>
      <c r="I395">
        <v>19.3</v>
      </c>
      <c r="J395">
        <v>9.3000000000000007</v>
      </c>
      <c r="K395">
        <f t="shared" si="6"/>
        <v>822.69999999999993</v>
      </c>
    </row>
    <row r="396" spans="1:11" x14ac:dyDescent="0.2">
      <c r="A396" s="430">
        <v>45502</v>
      </c>
      <c r="B396">
        <v>347.7</v>
      </c>
      <c r="C396">
        <v>151.4</v>
      </c>
      <c r="D396">
        <v>20.399999999999999</v>
      </c>
      <c r="E396"/>
      <c r="F396">
        <v>13.2</v>
      </c>
      <c r="G396"/>
      <c r="H396"/>
      <c r="I396">
        <v>11</v>
      </c>
      <c r="J396">
        <v>16.600000000000001</v>
      </c>
      <c r="K396">
        <f t="shared" si="6"/>
        <v>560.30000000000007</v>
      </c>
    </row>
    <row r="397" spans="1:11" x14ac:dyDescent="0.2">
      <c r="A397" s="430">
        <v>45503</v>
      </c>
      <c r="B397">
        <v>341.5</v>
      </c>
      <c r="C397">
        <v>497.7</v>
      </c>
      <c r="D397">
        <v>42.9</v>
      </c>
      <c r="E397">
        <v>75.3</v>
      </c>
      <c r="F397">
        <v>8.1</v>
      </c>
      <c r="G397">
        <v>84.5</v>
      </c>
      <c r="H397">
        <v>12.2</v>
      </c>
      <c r="I397">
        <v>18.899999999999999</v>
      </c>
      <c r="J397">
        <v>8</v>
      </c>
      <c r="K397">
        <f t="shared" si="6"/>
        <v>1089.1000000000001</v>
      </c>
    </row>
    <row r="398" spans="1:11" x14ac:dyDescent="0.2">
      <c r="A398" s="430">
        <v>45504</v>
      </c>
      <c r="B398">
        <v>387.1</v>
      </c>
      <c r="C398">
        <v>444.5</v>
      </c>
      <c r="D398">
        <v>24.2</v>
      </c>
      <c r="E398">
        <v>72.599999999999994</v>
      </c>
      <c r="F398">
        <v>8</v>
      </c>
      <c r="G398">
        <v>86.8</v>
      </c>
      <c r="H398">
        <v>14.3</v>
      </c>
      <c r="I398">
        <v>12.3</v>
      </c>
      <c r="J398">
        <v>13.4</v>
      </c>
      <c r="K398">
        <f t="shared" si="6"/>
        <v>1063.2</v>
      </c>
    </row>
    <row r="399" spans="1:11" x14ac:dyDescent="0.2">
      <c r="A399" s="430">
        <v>45505</v>
      </c>
      <c r="B399">
        <v>445.8</v>
      </c>
      <c r="C399">
        <v>500</v>
      </c>
      <c r="D399">
        <v>21.1</v>
      </c>
      <c r="E399">
        <v>58.2</v>
      </c>
      <c r="F399">
        <v>5</v>
      </c>
      <c r="G399">
        <v>85.1</v>
      </c>
      <c r="H399">
        <v>8.6999999999999993</v>
      </c>
      <c r="I399">
        <v>23</v>
      </c>
      <c r="J399">
        <v>11.8</v>
      </c>
      <c r="K399">
        <f t="shared" si="6"/>
        <v>1158.6999999999998</v>
      </c>
    </row>
    <row r="400" spans="1:11" x14ac:dyDescent="0.2">
      <c r="A400" s="430">
        <v>45506</v>
      </c>
      <c r="B400">
        <v>355.7</v>
      </c>
      <c r="C400">
        <v>592.4</v>
      </c>
      <c r="D400">
        <v>10.199999999999999</v>
      </c>
      <c r="E400">
        <v>61.3</v>
      </c>
      <c r="F400">
        <v>7.5</v>
      </c>
      <c r="G400">
        <v>103.4</v>
      </c>
      <c r="H400">
        <v>14</v>
      </c>
      <c r="I400">
        <v>34.5</v>
      </c>
      <c r="J400">
        <v>18.5</v>
      </c>
      <c r="K400">
        <f t="shared" si="6"/>
        <v>1197.5</v>
      </c>
    </row>
    <row r="401" spans="1:11" x14ac:dyDescent="0.2">
      <c r="A401" s="430">
        <v>45507</v>
      </c>
      <c r="B401">
        <v>429</v>
      </c>
      <c r="C401">
        <v>572.5</v>
      </c>
      <c r="D401">
        <v>15.3</v>
      </c>
      <c r="E401">
        <v>73.7</v>
      </c>
      <c r="F401">
        <v>15.8</v>
      </c>
      <c r="G401">
        <v>83</v>
      </c>
      <c r="H401">
        <v>10.6</v>
      </c>
      <c r="I401">
        <v>18.7</v>
      </c>
      <c r="J401">
        <v>10</v>
      </c>
      <c r="K401">
        <f t="shared" si="6"/>
        <v>1228.5999999999999</v>
      </c>
    </row>
    <row r="402" spans="1:11" x14ac:dyDescent="0.2">
      <c r="A402" s="430">
        <v>45508</v>
      </c>
      <c r="B402">
        <v>347.8</v>
      </c>
      <c r="C402">
        <v>506.7</v>
      </c>
      <c r="D402">
        <v>20.100000000000001</v>
      </c>
      <c r="E402">
        <v>80.900000000000006</v>
      </c>
      <c r="F402">
        <v>10.3</v>
      </c>
      <c r="G402">
        <v>95.4</v>
      </c>
      <c r="H402">
        <v>1.1000000000000001</v>
      </c>
      <c r="I402">
        <v>13.1</v>
      </c>
      <c r="J402">
        <v>14.1</v>
      </c>
      <c r="K402">
        <f t="shared" si="6"/>
        <v>1089.4999999999998</v>
      </c>
    </row>
    <row r="403" spans="1:11" x14ac:dyDescent="0.2">
      <c r="A403" s="430">
        <v>45509</v>
      </c>
      <c r="B403">
        <v>376.9</v>
      </c>
      <c r="C403">
        <v>282.39999999999998</v>
      </c>
      <c r="D403">
        <v>18.399999999999999</v>
      </c>
      <c r="E403"/>
      <c r="F403">
        <v>6.4</v>
      </c>
      <c r="G403"/>
      <c r="H403">
        <v>2.8</v>
      </c>
      <c r="I403">
        <v>29.4</v>
      </c>
      <c r="J403">
        <v>10.9</v>
      </c>
      <c r="K403">
        <f t="shared" si="6"/>
        <v>727.19999999999982</v>
      </c>
    </row>
    <row r="404" spans="1:11" x14ac:dyDescent="0.2">
      <c r="A404" s="430">
        <v>45510</v>
      </c>
      <c r="B404">
        <v>392.2</v>
      </c>
      <c r="C404">
        <v>566.29999999999995</v>
      </c>
      <c r="D404">
        <v>18</v>
      </c>
      <c r="E404">
        <v>67</v>
      </c>
      <c r="F404">
        <v>18.8</v>
      </c>
      <c r="G404">
        <v>83.2</v>
      </c>
      <c r="H404">
        <v>9.1999999999999993</v>
      </c>
      <c r="I404">
        <v>15.9</v>
      </c>
      <c r="J404">
        <v>22.5</v>
      </c>
      <c r="K404">
        <f t="shared" si="6"/>
        <v>1193.1000000000001</v>
      </c>
    </row>
    <row r="405" spans="1:11" x14ac:dyDescent="0.2">
      <c r="A405" s="430">
        <v>45511</v>
      </c>
      <c r="B405">
        <v>458</v>
      </c>
      <c r="C405">
        <v>548.5</v>
      </c>
      <c r="D405">
        <v>33.700000000000003</v>
      </c>
      <c r="E405">
        <v>59.4</v>
      </c>
      <c r="F405">
        <v>25</v>
      </c>
      <c r="G405">
        <v>81.5</v>
      </c>
      <c r="H405">
        <v>9.3000000000000007</v>
      </c>
      <c r="I405">
        <v>42.1</v>
      </c>
      <c r="J405">
        <v>13.3</v>
      </c>
      <c r="K405">
        <f t="shared" si="6"/>
        <v>1270.8</v>
      </c>
    </row>
    <row r="406" spans="1:11" x14ac:dyDescent="0.2">
      <c r="A406" s="430">
        <v>45512</v>
      </c>
      <c r="B406">
        <v>448.1</v>
      </c>
      <c r="C406">
        <v>558.4</v>
      </c>
      <c r="D406">
        <v>3.6</v>
      </c>
      <c r="E406">
        <v>68.3</v>
      </c>
      <c r="F406">
        <v>15.1</v>
      </c>
      <c r="G406">
        <v>102.1</v>
      </c>
      <c r="H406">
        <v>10.6</v>
      </c>
      <c r="I406">
        <v>17.100000000000001</v>
      </c>
      <c r="J406">
        <v>9.6999999999999993</v>
      </c>
      <c r="K406">
        <f t="shared" si="6"/>
        <v>1232.9999999999998</v>
      </c>
    </row>
    <row r="407" spans="1:11" x14ac:dyDescent="0.2">
      <c r="A407" s="430">
        <v>45513</v>
      </c>
      <c r="B407">
        <v>369.7</v>
      </c>
      <c r="C407">
        <v>401.3</v>
      </c>
      <c r="D407">
        <v>10.6</v>
      </c>
      <c r="E407">
        <v>66.900000000000006</v>
      </c>
      <c r="F407">
        <v>9.6999999999999993</v>
      </c>
      <c r="G407">
        <v>89.6</v>
      </c>
      <c r="H407">
        <v>6.9</v>
      </c>
      <c r="I407">
        <v>19.8</v>
      </c>
      <c r="J407">
        <v>6.7</v>
      </c>
      <c r="K407">
        <f t="shared" si="6"/>
        <v>981.2</v>
      </c>
    </row>
    <row r="408" spans="1:11" x14ac:dyDescent="0.2">
      <c r="A408" s="430">
        <v>45514</v>
      </c>
      <c r="B408">
        <v>388.6</v>
      </c>
      <c r="C408">
        <v>366</v>
      </c>
      <c r="D408">
        <v>24.8</v>
      </c>
      <c r="E408">
        <v>103</v>
      </c>
      <c r="F408">
        <v>28.7</v>
      </c>
      <c r="G408">
        <v>87.1</v>
      </c>
      <c r="H408">
        <v>10.9</v>
      </c>
      <c r="I408">
        <v>42.8</v>
      </c>
      <c r="J408">
        <v>9.4</v>
      </c>
      <c r="K408">
        <f t="shared" si="6"/>
        <v>1061.3000000000002</v>
      </c>
    </row>
    <row r="409" spans="1:11" x14ac:dyDescent="0.2">
      <c r="A409" s="430">
        <v>45515</v>
      </c>
      <c r="B409">
        <v>368.6</v>
      </c>
      <c r="C409">
        <v>152.19999999999999</v>
      </c>
      <c r="D409">
        <v>33.5</v>
      </c>
      <c r="E409">
        <v>45</v>
      </c>
      <c r="F409">
        <v>21</v>
      </c>
      <c r="G409">
        <v>75</v>
      </c>
      <c r="H409"/>
      <c r="I409">
        <v>22.9</v>
      </c>
      <c r="J409">
        <v>9.6999999999999993</v>
      </c>
      <c r="K409">
        <f t="shared" si="6"/>
        <v>727.9</v>
      </c>
    </row>
    <row r="410" spans="1:11" x14ac:dyDescent="0.2">
      <c r="A410" s="430">
        <v>45516</v>
      </c>
      <c r="B410">
        <v>396.5</v>
      </c>
      <c r="C410">
        <v>309.60000000000002</v>
      </c>
      <c r="D410">
        <v>15</v>
      </c>
      <c r="E410"/>
      <c r="F410">
        <v>6.7</v>
      </c>
      <c r="G410"/>
      <c r="H410"/>
      <c r="I410">
        <v>14.8</v>
      </c>
      <c r="J410">
        <v>9.6999999999999993</v>
      </c>
      <c r="K410">
        <f t="shared" si="6"/>
        <v>752.30000000000007</v>
      </c>
    </row>
    <row r="411" spans="1:11" x14ac:dyDescent="0.2">
      <c r="A411" s="430">
        <v>45517</v>
      </c>
      <c r="B411">
        <v>475</v>
      </c>
      <c r="C411">
        <v>406.1</v>
      </c>
      <c r="D411">
        <v>9.6999999999999993</v>
      </c>
      <c r="E411">
        <v>51.5</v>
      </c>
      <c r="F411">
        <v>19.8</v>
      </c>
      <c r="G411">
        <v>83.1</v>
      </c>
      <c r="H411">
        <v>7.7</v>
      </c>
      <c r="I411">
        <v>19.3</v>
      </c>
      <c r="J411">
        <v>15.3</v>
      </c>
      <c r="K411">
        <f t="shared" si="6"/>
        <v>1087.5</v>
      </c>
    </row>
    <row r="412" spans="1:11" x14ac:dyDescent="0.2">
      <c r="A412" s="430">
        <v>45518</v>
      </c>
      <c r="B412">
        <v>391.7</v>
      </c>
      <c r="C412">
        <v>427.3</v>
      </c>
      <c r="D412">
        <v>18.600000000000001</v>
      </c>
      <c r="E412">
        <v>75.3</v>
      </c>
      <c r="F412">
        <v>21.5</v>
      </c>
      <c r="G412">
        <v>94.4</v>
      </c>
      <c r="H412">
        <v>7.2</v>
      </c>
      <c r="I412">
        <v>12.6</v>
      </c>
      <c r="J412">
        <v>6.5</v>
      </c>
      <c r="K412">
        <f t="shared" si="6"/>
        <v>1055.0999999999999</v>
      </c>
    </row>
    <row r="413" spans="1:11" x14ac:dyDescent="0.2">
      <c r="A413" s="430">
        <v>45519</v>
      </c>
      <c r="B413">
        <v>458.2</v>
      </c>
      <c r="C413">
        <v>553.9</v>
      </c>
      <c r="D413">
        <v>28.3</v>
      </c>
      <c r="E413">
        <v>76.900000000000006</v>
      </c>
      <c r="F413">
        <v>17.3</v>
      </c>
      <c r="G413">
        <v>114.5</v>
      </c>
      <c r="H413">
        <v>17.100000000000001</v>
      </c>
      <c r="I413">
        <v>23.7</v>
      </c>
      <c r="J413">
        <v>12.8</v>
      </c>
      <c r="K413">
        <f t="shared" si="6"/>
        <v>1302.6999999999998</v>
      </c>
    </row>
    <row r="414" spans="1:11" x14ac:dyDescent="0.2">
      <c r="A414" s="430">
        <v>45520</v>
      </c>
      <c r="B414">
        <v>315</v>
      </c>
      <c r="C414">
        <v>465.2</v>
      </c>
      <c r="D414">
        <v>5.0999999999999996</v>
      </c>
      <c r="E414">
        <v>78.8</v>
      </c>
      <c r="F414">
        <v>2.2000000000000002</v>
      </c>
      <c r="G414">
        <v>77.3</v>
      </c>
      <c r="H414">
        <v>12.8</v>
      </c>
      <c r="I414">
        <v>10.3</v>
      </c>
      <c r="J414">
        <v>5.6</v>
      </c>
      <c r="K414">
        <f t="shared" si="6"/>
        <v>972.3</v>
      </c>
    </row>
    <row r="415" spans="1:11" x14ac:dyDescent="0.2">
      <c r="A415" s="430">
        <v>45521</v>
      </c>
      <c r="B415">
        <v>399.2</v>
      </c>
      <c r="C415">
        <v>429.9</v>
      </c>
      <c r="D415">
        <v>25.1</v>
      </c>
      <c r="E415">
        <v>112.5</v>
      </c>
      <c r="F415">
        <v>32.9</v>
      </c>
      <c r="G415">
        <v>94.9</v>
      </c>
      <c r="H415">
        <v>23</v>
      </c>
      <c r="I415">
        <v>42.6</v>
      </c>
      <c r="J415">
        <v>29.6</v>
      </c>
      <c r="K415">
        <f t="shared" si="6"/>
        <v>1189.6999999999998</v>
      </c>
    </row>
    <row r="416" spans="1:11" x14ac:dyDescent="0.2">
      <c r="A416" s="430">
        <v>45522</v>
      </c>
      <c r="B416">
        <v>375.8</v>
      </c>
      <c r="C416">
        <v>315</v>
      </c>
      <c r="D416">
        <v>7.5</v>
      </c>
      <c r="E416">
        <v>57.9</v>
      </c>
      <c r="F416">
        <v>9.6</v>
      </c>
      <c r="G416">
        <v>82</v>
      </c>
      <c r="H416">
        <v>7</v>
      </c>
      <c r="I416">
        <v>11</v>
      </c>
      <c r="J416">
        <v>10.7</v>
      </c>
      <c r="K416">
        <f t="shared" si="6"/>
        <v>876.5</v>
      </c>
    </row>
    <row r="417" spans="1:11" x14ac:dyDescent="0.2">
      <c r="A417" s="430">
        <v>45523</v>
      </c>
      <c r="B417">
        <v>402.8</v>
      </c>
      <c r="C417">
        <v>312.10000000000002</v>
      </c>
      <c r="D417">
        <v>4</v>
      </c>
      <c r="E417"/>
      <c r="F417">
        <v>9.6999999999999993</v>
      </c>
      <c r="G417"/>
      <c r="H417">
        <v>1.1000000000000001</v>
      </c>
      <c r="I417">
        <v>4.7</v>
      </c>
      <c r="J417">
        <v>11.5</v>
      </c>
      <c r="K417">
        <f t="shared" si="6"/>
        <v>745.9000000000002</v>
      </c>
    </row>
    <row r="418" spans="1:11" x14ac:dyDescent="0.2">
      <c r="A418" s="430">
        <v>45524</v>
      </c>
      <c r="B418">
        <v>409.2</v>
      </c>
      <c r="C418">
        <v>407</v>
      </c>
      <c r="D418">
        <v>11.4</v>
      </c>
      <c r="E418">
        <v>78</v>
      </c>
      <c r="F418">
        <v>12.7</v>
      </c>
      <c r="G418">
        <v>79.599999999999994</v>
      </c>
      <c r="H418">
        <v>23</v>
      </c>
      <c r="I418">
        <v>15</v>
      </c>
      <c r="J418">
        <v>10.8</v>
      </c>
      <c r="K418">
        <f t="shared" si="6"/>
        <v>1046.7</v>
      </c>
    </row>
    <row r="419" spans="1:11" x14ac:dyDescent="0.2">
      <c r="A419" s="430">
        <v>45525</v>
      </c>
      <c r="B419">
        <v>492.8</v>
      </c>
      <c r="C419">
        <v>406.1</v>
      </c>
      <c r="D419">
        <v>3.4</v>
      </c>
      <c r="E419">
        <v>37.5</v>
      </c>
      <c r="F419">
        <v>7.9</v>
      </c>
      <c r="G419">
        <v>103</v>
      </c>
      <c r="H419">
        <v>9.6999999999999993</v>
      </c>
      <c r="I419">
        <v>14.6</v>
      </c>
      <c r="J419">
        <v>7.8</v>
      </c>
      <c r="K419">
        <f t="shared" si="6"/>
        <v>1082.8</v>
      </c>
    </row>
    <row r="420" spans="1:11" x14ac:dyDescent="0.2">
      <c r="A420" s="430">
        <v>45526</v>
      </c>
      <c r="B420">
        <v>465</v>
      </c>
      <c r="C420">
        <v>343.2</v>
      </c>
      <c r="D420">
        <v>8.6</v>
      </c>
      <c r="E420">
        <v>61.6</v>
      </c>
      <c r="F420">
        <v>15.6</v>
      </c>
      <c r="G420">
        <v>101.6</v>
      </c>
      <c r="H420">
        <v>7</v>
      </c>
      <c r="I420">
        <v>26.4</v>
      </c>
      <c r="J420">
        <v>5.7</v>
      </c>
      <c r="K420">
        <f t="shared" si="6"/>
        <v>1034.7000000000003</v>
      </c>
    </row>
    <row r="421" spans="1:11" x14ac:dyDescent="0.2">
      <c r="A421" s="430">
        <v>45527</v>
      </c>
      <c r="B421">
        <v>467.5</v>
      </c>
      <c r="C421">
        <v>404.8</v>
      </c>
      <c r="D421">
        <v>9.6999999999999993</v>
      </c>
      <c r="E421">
        <v>80.8</v>
      </c>
      <c r="F421">
        <v>14.5</v>
      </c>
      <c r="G421">
        <v>91.6</v>
      </c>
      <c r="H421">
        <v>7.6</v>
      </c>
      <c r="I421">
        <v>7.9</v>
      </c>
      <c r="J421">
        <v>8.1999999999999993</v>
      </c>
      <c r="K421">
        <f t="shared" si="6"/>
        <v>1092.5999999999999</v>
      </c>
    </row>
    <row r="422" spans="1:11" x14ac:dyDescent="0.2">
      <c r="A422" s="430">
        <v>45528</v>
      </c>
      <c r="B422">
        <v>542.29999999999995</v>
      </c>
      <c r="C422">
        <v>363.4</v>
      </c>
      <c r="D422">
        <v>9.6999999999999993</v>
      </c>
      <c r="E422">
        <v>76.8</v>
      </c>
      <c r="F422">
        <v>17</v>
      </c>
      <c r="G422">
        <v>78.8</v>
      </c>
      <c r="H422">
        <v>13.1</v>
      </c>
      <c r="I422">
        <v>14</v>
      </c>
      <c r="J422">
        <v>3.9</v>
      </c>
      <c r="K422">
        <f t="shared" si="6"/>
        <v>1119</v>
      </c>
    </row>
    <row r="423" spans="1:11" x14ac:dyDescent="0.2">
      <c r="A423" s="430">
        <v>45529</v>
      </c>
      <c r="B423">
        <v>477.3</v>
      </c>
      <c r="C423">
        <v>215</v>
      </c>
      <c r="D423">
        <v>5.5</v>
      </c>
      <c r="E423">
        <v>34.299999999999997</v>
      </c>
      <c r="F423">
        <v>21</v>
      </c>
      <c r="G423">
        <v>81.3</v>
      </c>
      <c r="H423">
        <v>2.7</v>
      </c>
      <c r="I423">
        <v>21.2</v>
      </c>
      <c r="J423">
        <v>6.1</v>
      </c>
      <c r="K423">
        <f t="shared" si="6"/>
        <v>864.4</v>
      </c>
    </row>
    <row r="424" spans="1:11" x14ac:dyDescent="0.2">
      <c r="A424" s="430">
        <v>45530</v>
      </c>
      <c r="B424">
        <v>409.7</v>
      </c>
      <c r="C424">
        <v>255.8</v>
      </c>
      <c r="D424">
        <v>11.9</v>
      </c>
      <c r="E424"/>
      <c r="F424">
        <v>4.9000000000000004</v>
      </c>
      <c r="G424"/>
      <c r="H424">
        <v>7.2</v>
      </c>
      <c r="I424">
        <v>12.2</v>
      </c>
      <c r="J424">
        <v>14.4</v>
      </c>
      <c r="K424">
        <f t="shared" si="6"/>
        <v>716.1</v>
      </c>
    </row>
    <row r="425" spans="1:11" x14ac:dyDescent="0.2">
      <c r="A425" s="430">
        <v>45531</v>
      </c>
      <c r="B425">
        <v>466.6</v>
      </c>
      <c r="C425">
        <v>449.8</v>
      </c>
      <c r="D425">
        <v>7.6</v>
      </c>
      <c r="E425">
        <v>75.3</v>
      </c>
      <c r="F425">
        <v>11.5</v>
      </c>
      <c r="G425">
        <v>105.1</v>
      </c>
      <c r="H425">
        <v>13.5</v>
      </c>
      <c r="I425">
        <v>24.3</v>
      </c>
      <c r="J425">
        <v>10.4</v>
      </c>
      <c r="K425">
        <f t="shared" si="6"/>
        <v>1164.1000000000001</v>
      </c>
    </row>
    <row r="426" spans="1:11" x14ac:dyDescent="0.2">
      <c r="A426" s="430">
        <v>45532</v>
      </c>
      <c r="B426">
        <v>532.1</v>
      </c>
      <c r="C426">
        <v>623.5</v>
      </c>
      <c r="D426">
        <v>3.8</v>
      </c>
      <c r="E426">
        <v>83.8</v>
      </c>
      <c r="F426">
        <v>5.6</v>
      </c>
      <c r="G426">
        <v>99</v>
      </c>
      <c r="H426">
        <v>14.1</v>
      </c>
      <c r="I426">
        <v>62.6</v>
      </c>
      <c r="J426">
        <v>7.7</v>
      </c>
      <c r="K426">
        <f t="shared" si="6"/>
        <v>1432.1999999999996</v>
      </c>
    </row>
    <row r="427" spans="1:11" x14ac:dyDescent="0.2">
      <c r="A427" s="430">
        <v>45533</v>
      </c>
      <c r="B427">
        <v>534.29999999999995</v>
      </c>
      <c r="C427">
        <v>578.5</v>
      </c>
      <c r="D427">
        <v>3.9</v>
      </c>
      <c r="E427">
        <v>91.7</v>
      </c>
      <c r="F427">
        <v>8.4</v>
      </c>
      <c r="G427">
        <v>106.5</v>
      </c>
      <c r="H427">
        <v>13.7</v>
      </c>
      <c r="I427">
        <v>32.1</v>
      </c>
      <c r="J427">
        <v>6.1</v>
      </c>
      <c r="K427">
        <f t="shared" si="6"/>
        <v>1375.2</v>
      </c>
    </row>
    <row r="428" spans="1:11" x14ac:dyDescent="0.2">
      <c r="A428" s="430">
        <v>45534</v>
      </c>
      <c r="B428">
        <v>515</v>
      </c>
      <c r="C428">
        <v>669.5</v>
      </c>
      <c r="D428">
        <v>3.9</v>
      </c>
      <c r="E428">
        <v>103.3</v>
      </c>
      <c r="F428">
        <v>9.3000000000000007</v>
      </c>
      <c r="G428">
        <v>112.4</v>
      </c>
      <c r="H428">
        <v>21.2</v>
      </c>
      <c r="I428">
        <v>32.9</v>
      </c>
      <c r="J428">
        <v>12.8</v>
      </c>
      <c r="K428">
        <f t="shared" si="6"/>
        <v>1480.3000000000002</v>
      </c>
    </row>
    <row r="429" spans="1:11" x14ac:dyDescent="0.2">
      <c r="A429" s="430">
        <v>45535</v>
      </c>
      <c r="B429">
        <v>564.4</v>
      </c>
      <c r="C429">
        <v>557.20000000000005</v>
      </c>
      <c r="D429">
        <v>4.5999999999999996</v>
      </c>
      <c r="E429">
        <v>109.8</v>
      </c>
      <c r="F429">
        <v>19.5</v>
      </c>
      <c r="G429">
        <v>109</v>
      </c>
      <c r="H429">
        <v>16.5</v>
      </c>
      <c r="I429">
        <v>67.900000000000006</v>
      </c>
      <c r="J429">
        <v>39.200000000000003</v>
      </c>
      <c r="K429">
        <f t="shared" si="6"/>
        <v>1488.1</v>
      </c>
    </row>
    <row r="430" spans="1:11" x14ac:dyDescent="0.2">
      <c r="A430" s="430">
        <v>45536</v>
      </c>
      <c r="B430">
        <v>528.9</v>
      </c>
      <c r="C430">
        <v>372.4</v>
      </c>
      <c r="D430">
        <v>16.100000000000001</v>
      </c>
      <c r="E430"/>
      <c r="F430">
        <v>4.3</v>
      </c>
      <c r="G430">
        <v>106.7</v>
      </c>
      <c r="H430">
        <v>4.0999999999999996</v>
      </c>
      <c r="I430">
        <v>24.7</v>
      </c>
      <c r="J430">
        <v>9.6</v>
      </c>
      <c r="K430">
        <f t="shared" si="6"/>
        <v>1066.7999999999997</v>
      </c>
    </row>
    <row r="431" spans="1:11" x14ac:dyDescent="0.2">
      <c r="A431" s="430">
        <v>45537</v>
      </c>
      <c r="B431">
        <v>485.7</v>
      </c>
      <c r="C431">
        <v>369.8</v>
      </c>
      <c r="D431">
        <v>14.1</v>
      </c>
      <c r="E431">
        <v>50</v>
      </c>
      <c r="F431">
        <v>10.9</v>
      </c>
      <c r="G431"/>
      <c r="H431">
        <v>21</v>
      </c>
      <c r="I431">
        <v>13.9</v>
      </c>
      <c r="J431">
        <v>7.7</v>
      </c>
      <c r="K431">
        <f t="shared" si="6"/>
        <v>973.1</v>
      </c>
    </row>
    <row r="432" spans="1:11" x14ac:dyDescent="0.2">
      <c r="A432" s="430">
        <v>45538</v>
      </c>
      <c r="B432">
        <v>565.1</v>
      </c>
      <c r="C432">
        <v>828</v>
      </c>
      <c r="D432">
        <v>5</v>
      </c>
      <c r="E432">
        <v>113.7</v>
      </c>
      <c r="F432">
        <v>4</v>
      </c>
      <c r="G432">
        <v>145.69999999999999</v>
      </c>
      <c r="H432">
        <v>30.9</v>
      </c>
      <c r="I432">
        <v>22.8</v>
      </c>
      <c r="J432">
        <v>6.9</v>
      </c>
      <c r="K432">
        <f t="shared" si="6"/>
        <v>1722.1000000000001</v>
      </c>
    </row>
    <row r="433" spans="1:11" x14ac:dyDescent="0.2">
      <c r="A433" s="430">
        <v>45539</v>
      </c>
      <c r="B433">
        <v>786</v>
      </c>
      <c r="C433">
        <v>1041.9000000000001</v>
      </c>
      <c r="D433">
        <v>11.4</v>
      </c>
      <c r="E433">
        <v>120.5</v>
      </c>
      <c r="F433">
        <v>10.9</v>
      </c>
      <c r="G433">
        <v>146.69999999999999</v>
      </c>
      <c r="H433">
        <v>33</v>
      </c>
      <c r="I433">
        <v>32.700000000000003</v>
      </c>
      <c r="J433">
        <v>12.3</v>
      </c>
      <c r="K433">
        <f t="shared" si="6"/>
        <v>2195.4</v>
      </c>
    </row>
    <row r="434" spans="1:11" x14ac:dyDescent="0.2">
      <c r="A434" s="430">
        <v>45540</v>
      </c>
      <c r="B434">
        <v>642</v>
      </c>
      <c r="C434">
        <v>785.1</v>
      </c>
      <c r="D434">
        <v>2.6</v>
      </c>
      <c r="E434">
        <v>145.19999999999999</v>
      </c>
      <c r="F434">
        <v>13.2</v>
      </c>
      <c r="G434">
        <v>137.9</v>
      </c>
      <c r="H434">
        <v>25.9</v>
      </c>
      <c r="I434">
        <v>38.200000000000003</v>
      </c>
      <c r="J434">
        <v>5.4</v>
      </c>
      <c r="K434">
        <f t="shared" si="6"/>
        <v>1795.5000000000002</v>
      </c>
    </row>
    <row r="435" spans="1:11" x14ac:dyDescent="0.2">
      <c r="A435" s="430">
        <v>45541</v>
      </c>
      <c r="B435"/>
      <c r="C435"/>
      <c r="D435"/>
      <c r="E435"/>
      <c r="F435"/>
      <c r="G435"/>
      <c r="H435"/>
      <c r="I435"/>
      <c r="J435"/>
      <c r="K435">
        <f t="shared" si="6"/>
        <v>0</v>
      </c>
    </row>
    <row r="436" spans="1:11" x14ac:dyDescent="0.2">
      <c r="A436" s="430">
        <v>45542</v>
      </c>
      <c r="B436">
        <v>796.2</v>
      </c>
      <c r="C436">
        <v>338.9</v>
      </c>
      <c r="D436">
        <v>3.6</v>
      </c>
      <c r="E436">
        <v>119.8</v>
      </c>
      <c r="F436">
        <v>10.8</v>
      </c>
      <c r="G436">
        <v>138.1</v>
      </c>
      <c r="H436">
        <v>10.4</v>
      </c>
      <c r="I436">
        <v>57.1</v>
      </c>
      <c r="J436">
        <v>9.4</v>
      </c>
      <c r="K436">
        <f t="shared" si="6"/>
        <v>1484.2999999999997</v>
      </c>
    </row>
    <row r="437" spans="1:11" x14ac:dyDescent="0.2">
      <c r="A437" s="430">
        <v>45543</v>
      </c>
      <c r="B437">
        <v>541.29999999999995</v>
      </c>
      <c r="C437">
        <v>940.8</v>
      </c>
      <c r="D437">
        <v>18.2</v>
      </c>
      <c r="E437">
        <v>58.1</v>
      </c>
      <c r="F437">
        <v>15.4</v>
      </c>
      <c r="G437">
        <v>35.799999999999997</v>
      </c>
      <c r="H437">
        <v>9.5</v>
      </c>
      <c r="I437">
        <v>118.1</v>
      </c>
      <c r="J437">
        <v>10.1</v>
      </c>
      <c r="K437">
        <f t="shared" si="6"/>
        <v>1747.2999999999997</v>
      </c>
    </row>
    <row r="438" spans="1:11" x14ac:dyDescent="0.2">
      <c r="A438" s="430">
        <v>45544</v>
      </c>
      <c r="B438">
        <v>367.3</v>
      </c>
      <c r="C438">
        <v>379.1</v>
      </c>
      <c r="D438">
        <v>5.6</v>
      </c>
      <c r="E438"/>
      <c r="F438">
        <v>34.5</v>
      </c>
      <c r="G438"/>
      <c r="H438">
        <v>14.8</v>
      </c>
      <c r="I438">
        <v>18.3</v>
      </c>
      <c r="J438">
        <v>15.6</v>
      </c>
      <c r="K438">
        <f t="shared" si="6"/>
        <v>835.2</v>
      </c>
    </row>
    <row r="439" spans="1:11" x14ac:dyDescent="0.2">
      <c r="A439" s="430">
        <v>45545</v>
      </c>
      <c r="B439">
        <v>604.29999999999995</v>
      </c>
      <c r="C439">
        <v>820.6</v>
      </c>
      <c r="D439">
        <v>13.8</v>
      </c>
      <c r="E439">
        <v>107.9</v>
      </c>
      <c r="F439">
        <v>44.5</v>
      </c>
      <c r="G439">
        <v>162.1</v>
      </c>
      <c r="H439">
        <v>30.2</v>
      </c>
      <c r="I439">
        <v>16.600000000000001</v>
      </c>
      <c r="J439">
        <v>7.7</v>
      </c>
      <c r="K439">
        <f t="shared" si="6"/>
        <v>1807.7</v>
      </c>
    </row>
    <row r="440" spans="1:11" x14ac:dyDescent="0.2">
      <c r="A440" s="430">
        <v>45546</v>
      </c>
      <c r="B440">
        <v>628.6</v>
      </c>
      <c r="C440">
        <v>926</v>
      </c>
      <c r="D440">
        <v>3.5</v>
      </c>
      <c r="E440">
        <v>138</v>
      </c>
      <c r="F440">
        <v>13</v>
      </c>
      <c r="G440">
        <v>179.8</v>
      </c>
      <c r="H440">
        <v>32.6</v>
      </c>
      <c r="I440">
        <v>6.1</v>
      </c>
      <c r="J440">
        <v>3.2</v>
      </c>
      <c r="K440">
        <f t="shared" si="6"/>
        <v>1930.7999999999997</v>
      </c>
    </row>
    <row r="441" spans="1:11" x14ac:dyDescent="0.2">
      <c r="A441" s="430">
        <v>45547</v>
      </c>
      <c r="B441">
        <v>678.5</v>
      </c>
      <c r="C441">
        <v>898.9</v>
      </c>
      <c r="D441">
        <v>8.6999999999999993</v>
      </c>
      <c r="E441">
        <v>143.1</v>
      </c>
      <c r="F441">
        <v>21.6</v>
      </c>
      <c r="G441">
        <v>163.4</v>
      </c>
      <c r="H441">
        <v>23.6</v>
      </c>
      <c r="I441">
        <v>39.9</v>
      </c>
      <c r="J441">
        <v>2.9</v>
      </c>
      <c r="K441">
        <f t="shared" si="6"/>
        <v>1980.6000000000001</v>
      </c>
    </row>
    <row r="442" spans="1:11" x14ac:dyDescent="0.2">
      <c r="A442" s="430">
        <v>45548</v>
      </c>
      <c r="B442">
        <v>539.9</v>
      </c>
      <c r="C442">
        <v>865.7</v>
      </c>
      <c r="D442">
        <v>3.8</v>
      </c>
      <c r="E442">
        <v>141</v>
      </c>
      <c r="F442">
        <v>36.299999999999997</v>
      </c>
      <c r="G442">
        <v>167</v>
      </c>
      <c r="H442">
        <v>26</v>
      </c>
      <c r="I442">
        <v>36.4</v>
      </c>
      <c r="J442">
        <v>8.6</v>
      </c>
      <c r="K442">
        <f t="shared" si="6"/>
        <v>1824.6999999999998</v>
      </c>
    </row>
    <row r="443" spans="1:11" x14ac:dyDescent="0.2">
      <c r="A443" s="430">
        <v>45549</v>
      </c>
      <c r="B443">
        <v>612.70000000000005</v>
      </c>
      <c r="C443">
        <v>725.8</v>
      </c>
      <c r="D443">
        <v>8.3000000000000007</v>
      </c>
      <c r="E443">
        <v>143.6</v>
      </c>
      <c r="F443">
        <v>5.4</v>
      </c>
      <c r="G443">
        <v>163.9</v>
      </c>
      <c r="H443">
        <v>16.899999999999999</v>
      </c>
      <c r="I443">
        <v>33.9</v>
      </c>
      <c r="J443">
        <v>6.6</v>
      </c>
      <c r="K443">
        <f t="shared" si="6"/>
        <v>1717.1000000000001</v>
      </c>
    </row>
    <row r="444" spans="1:11" x14ac:dyDescent="0.2">
      <c r="A444" s="430">
        <v>45550</v>
      </c>
      <c r="B444">
        <v>377.3</v>
      </c>
      <c r="C444">
        <v>466</v>
      </c>
      <c r="D444">
        <v>20.9</v>
      </c>
      <c r="E444">
        <v>56.2</v>
      </c>
      <c r="F444">
        <v>15.1</v>
      </c>
      <c r="G444">
        <v>120.9</v>
      </c>
      <c r="H444">
        <v>1.1000000000000001</v>
      </c>
      <c r="I444">
        <v>48.2</v>
      </c>
      <c r="J444">
        <v>16.600000000000001</v>
      </c>
      <c r="K444">
        <f t="shared" si="6"/>
        <v>1122.3</v>
      </c>
    </row>
    <row r="445" spans="1:11" x14ac:dyDescent="0.2">
      <c r="A445" s="430">
        <v>45551</v>
      </c>
      <c r="B445">
        <v>504.5</v>
      </c>
      <c r="C445">
        <v>286.3</v>
      </c>
      <c r="D445">
        <v>3.7</v>
      </c>
      <c r="E445"/>
      <c r="F445">
        <v>6.5</v>
      </c>
      <c r="G445"/>
      <c r="H445">
        <v>15.7</v>
      </c>
      <c r="I445">
        <v>20.2</v>
      </c>
      <c r="J445">
        <v>8.3000000000000007</v>
      </c>
      <c r="K445">
        <f t="shared" si="6"/>
        <v>845.2</v>
      </c>
    </row>
    <row r="446" spans="1:11" x14ac:dyDescent="0.2">
      <c r="A446" s="430">
        <v>45552</v>
      </c>
      <c r="B446">
        <v>622.5</v>
      </c>
      <c r="C446">
        <v>761.3</v>
      </c>
      <c r="D446">
        <v>8.6</v>
      </c>
      <c r="E446">
        <v>136.80000000000001</v>
      </c>
      <c r="F446">
        <v>20.6</v>
      </c>
      <c r="G446">
        <v>173.8</v>
      </c>
      <c r="H446">
        <v>28.1</v>
      </c>
      <c r="I446">
        <v>21</v>
      </c>
      <c r="J446">
        <v>11</v>
      </c>
      <c r="K446">
        <f t="shared" si="6"/>
        <v>1783.6999999999996</v>
      </c>
    </row>
    <row r="447" spans="1:11" x14ac:dyDescent="0.2">
      <c r="A447" s="430">
        <v>45553</v>
      </c>
      <c r="B447">
        <v>561.9</v>
      </c>
      <c r="C447">
        <v>666.5</v>
      </c>
      <c r="D447">
        <v>2.2999999999999998</v>
      </c>
      <c r="E447">
        <v>124.1</v>
      </c>
      <c r="F447">
        <v>11.7</v>
      </c>
      <c r="G447">
        <v>176.1</v>
      </c>
      <c r="H447">
        <v>4.0999999999999996</v>
      </c>
      <c r="I447">
        <v>18</v>
      </c>
      <c r="J447">
        <v>6.3</v>
      </c>
      <c r="K447">
        <f t="shared" si="6"/>
        <v>1570.9999999999998</v>
      </c>
    </row>
    <row r="448" spans="1:11" x14ac:dyDescent="0.2">
      <c r="A448" s="430">
        <v>45554</v>
      </c>
      <c r="B448">
        <v>468.9</v>
      </c>
      <c r="C448">
        <v>382.7</v>
      </c>
      <c r="D448">
        <v>13.6</v>
      </c>
      <c r="E448"/>
      <c r="F448">
        <v>13.5</v>
      </c>
      <c r="G448"/>
      <c r="H448">
        <v>11.8</v>
      </c>
      <c r="I448">
        <v>15.2</v>
      </c>
      <c r="J448">
        <v>10.4</v>
      </c>
      <c r="K448">
        <f t="shared" si="6"/>
        <v>916.09999999999991</v>
      </c>
    </row>
    <row r="449" spans="1:11" x14ac:dyDescent="0.2">
      <c r="A449" s="430">
        <v>45555</v>
      </c>
      <c r="B449">
        <v>610.9</v>
      </c>
      <c r="C449">
        <v>986.9</v>
      </c>
      <c r="D449">
        <v>14.1</v>
      </c>
      <c r="E449">
        <v>121</v>
      </c>
      <c r="F449">
        <v>5.8</v>
      </c>
      <c r="G449">
        <v>186.6</v>
      </c>
      <c r="H449">
        <v>26.1</v>
      </c>
      <c r="I449">
        <v>7.4</v>
      </c>
      <c r="J449">
        <v>7.5</v>
      </c>
      <c r="K449">
        <f t="shared" si="6"/>
        <v>1966.2999999999997</v>
      </c>
    </row>
    <row r="450" spans="1:11" x14ac:dyDescent="0.2">
      <c r="A450" s="430">
        <v>45556</v>
      </c>
      <c r="B450">
        <v>598</v>
      </c>
      <c r="C450">
        <v>658.4</v>
      </c>
      <c r="D450">
        <v>49.5</v>
      </c>
      <c r="E450">
        <v>134.19999999999999</v>
      </c>
      <c r="F450">
        <v>25</v>
      </c>
      <c r="G450">
        <v>183.1</v>
      </c>
      <c r="H450">
        <v>17.899999999999999</v>
      </c>
      <c r="I450">
        <v>34.700000000000003</v>
      </c>
      <c r="J450">
        <v>14.9</v>
      </c>
      <c r="K450">
        <f t="shared" si="6"/>
        <v>1715.7000000000003</v>
      </c>
    </row>
    <row r="451" spans="1:11" x14ac:dyDescent="0.2">
      <c r="A451" s="430">
        <v>45557</v>
      </c>
      <c r="B451">
        <v>385.8</v>
      </c>
      <c r="C451">
        <v>494.4</v>
      </c>
      <c r="D451">
        <v>24.8</v>
      </c>
      <c r="E451">
        <v>36.700000000000003</v>
      </c>
      <c r="F451">
        <v>8.6999999999999993</v>
      </c>
      <c r="G451">
        <v>149.69999999999999</v>
      </c>
      <c r="H451"/>
      <c r="I451">
        <v>31</v>
      </c>
      <c r="J451">
        <v>5.8</v>
      </c>
      <c r="K451">
        <f t="shared" ref="K451:K514" si="7">SUM(B451:J451)</f>
        <v>1136.9000000000001</v>
      </c>
    </row>
    <row r="452" spans="1:11" x14ac:dyDescent="0.2">
      <c r="A452" s="430">
        <v>45558</v>
      </c>
      <c r="B452">
        <v>232</v>
      </c>
      <c r="C452">
        <v>376.7</v>
      </c>
      <c r="D452">
        <v>10.3</v>
      </c>
      <c r="E452"/>
      <c r="F452">
        <v>7.6</v>
      </c>
      <c r="G452"/>
      <c r="H452">
        <v>16.7</v>
      </c>
      <c r="I452">
        <v>21.4</v>
      </c>
      <c r="J452">
        <v>5.6</v>
      </c>
      <c r="K452">
        <f t="shared" si="7"/>
        <v>670.30000000000007</v>
      </c>
    </row>
    <row r="453" spans="1:11" x14ac:dyDescent="0.2">
      <c r="A453" s="430">
        <v>45559</v>
      </c>
      <c r="B453">
        <v>452.7</v>
      </c>
      <c r="C453">
        <v>807.9</v>
      </c>
      <c r="D453">
        <v>18.3</v>
      </c>
      <c r="E453">
        <v>128.4</v>
      </c>
      <c r="F453">
        <v>17.7</v>
      </c>
      <c r="G453">
        <v>188.9</v>
      </c>
      <c r="H453">
        <v>25.2</v>
      </c>
      <c r="I453">
        <v>17.600000000000001</v>
      </c>
      <c r="J453">
        <v>9.9</v>
      </c>
      <c r="K453">
        <f t="shared" si="7"/>
        <v>1666.6000000000001</v>
      </c>
    </row>
    <row r="454" spans="1:11" x14ac:dyDescent="0.2">
      <c r="A454" s="430">
        <v>45560</v>
      </c>
      <c r="B454">
        <v>395.1</v>
      </c>
      <c r="C454">
        <v>765.4</v>
      </c>
      <c r="D454">
        <v>5.9</v>
      </c>
      <c r="E454">
        <v>123.3</v>
      </c>
      <c r="F454">
        <v>8.5</v>
      </c>
      <c r="G454">
        <v>169.8</v>
      </c>
      <c r="H454">
        <v>32.4</v>
      </c>
      <c r="I454">
        <v>34.299999999999997</v>
      </c>
      <c r="J454">
        <v>6.5</v>
      </c>
      <c r="K454">
        <f t="shared" si="7"/>
        <v>1541.2</v>
      </c>
    </row>
    <row r="455" spans="1:11" x14ac:dyDescent="0.2">
      <c r="A455" s="430">
        <v>45561</v>
      </c>
      <c r="B455">
        <v>439.7</v>
      </c>
      <c r="C455">
        <v>833.9</v>
      </c>
      <c r="D455">
        <v>13.7</v>
      </c>
      <c r="E455">
        <v>119</v>
      </c>
      <c r="F455">
        <v>23.8</v>
      </c>
      <c r="G455">
        <v>178.9</v>
      </c>
      <c r="H455">
        <v>28.7</v>
      </c>
      <c r="I455">
        <v>17.2</v>
      </c>
      <c r="J455">
        <v>12.5</v>
      </c>
      <c r="K455">
        <f t="shared" si="7"/>
        <v>1667.4</v>
      </c>
    </row>
    <row r="456" spans="1:11" x14ac:dyDescent="0.2">
      <c r="A456" s="430">
        <v>45562</v>
      </c>
      <c r="B456">
        <v>447.6</v>
      </c>
      <c r="C456">
        <v>776.1</v>
      </c>
      <c r="D456">
        <v>22.9</v>
      </c>
      <c r="E456">
        <v>128</v>
      </c>
      <c r="F456">
        <v>10</v>
      </c>
      <c r="G456">
        <v>178.8</v>
      </c>
      <c r="H456">
        <v>32.6</v>
      </c>
      <c r="I456">
        <v>38.299999999999997</v>
      </c>
      <c r="J456">
        <v>9.5</v>
      </c>
      <c r="K456">
        <f t="shared" si="7"/>
        <v>1643.8</v>
      </c>
    </row>
    <row r="457" spans="1:11" x14ac:dyDescent="0.2">
      <c r="A457" s="430">
        <v>45563</v>
      </c>
      <c r="B457">
        <v>773.6</v>
      </c>
      <c r="C457">
        <v>678.3</v>
      </c>
      <c r="D457">
        <v>15.9</v>
      </c>
      <c r="E457">
        <v>119.7</v>
      </c>
      <c r="F457">
        <v>12.2</v>
      </c>
      <c r="G457">
        <v>160.30000000000001</v>
      </c>
      <c r="H457">
        <v>23.4</v>
      </c>
      <c r="I457">
        <v>29.8</v>
      </c>
      <c r="J457">
        <v>9.5</v>
      </c>
      <c r="K457">
        <f t="shared" si="7"/>
        <v>1822.7000000000003</v>
      </c>
    </row>
    <row r="458" spans="1:11" x14ac:dyDescent="0.2">
      <c r="A458" s="430">
        <v>45564</v>
      </c>
      <c r="B458">
        <v>484.7</v>
      </c>
      <c r="C458">
        <v>730.9</v>
      </c>
      <c r="D458">
        <v>52.9</v>
      </c>
      <c r="E458">
        <v>20.3</v>
      </c>
      <c r="F458">
        <v>4.2</v>
      </c>
      <c r="G458">
        <v>123.8</v>
      </c>
      <c r="H458">
        <v>5.9</v>
      </c>
      <c r="I458">
        <v>10.8</v>
      </c>
      <c r="J458">
        <v>9.5</v>
      </c>
      <c r="K458">
        <f t="shared" si="7"/>
        <v>1443</v>
      </c>
    </row>
    <row r="459" spans="1:11" x14ac:dyDescent="0.2">
      <c r="A459" s="430">
        <v>45565</v>
      </c>
      <c r="B459">
        <v>301.2</v>
      </c>
      <c r="C459">
        <v>470.7</v>
      </c>
      <c r="D459">
        <v>22.6</v>
      </c>
      <c r="E459"/>
      <c r="F459">
        <v>22.1</v>
      </c>
      <c r="G459"/>
      <c r="H459">
        <v>19.5</v>
      </c>
      <c r="I459">
        <v>19.600000000000001</v>
      </c>
      <c r="J459">
        <v>14.4</v>
      </c>
      <c r="K459">
        <f t="shared" si="7"/>
        <v>870.1</v>
      </c>
    </row>
    <row r="460" spans="1:11" x14ac:dyDescent="0.2">
      <c r="A460" s="430">
        <v>45566</v>
      </c>
      <c r="B460">
        <v>543</v>
      </c>
      <c r="C460">
        <v>917.3</v>
      </c>
      <c r="D460">
        <v>10.199999999999999</v>
      </c>
      <c r="E460">
        <v>133</v>
      </c>
      <c r="F460">
        <v>8.1</v>
      </c>
      <c r="G460">
        <v>178.8</v>
      </c>
      <c r="H460">
        <v>37.799999999999997</v>
      </c>
      <c r="I460">
        <v>26.2</v>
      </c>
      <c r="J460">
        <v>7.1</v>
      </c>
      <c r="K460">
        <f t="shared" si="7"/>
        <v>1861.4999999999998</v>
      </c>
    </row>
    <row r="461" spans="1:11" x14ac:dyDescent="0.2">
      <c r="A461" s="430">
        <v>45567</v>
      </c>
      <c r="B461">
        <v>360.3</v>
      </c>
      <c r="C461">
        <v>439.1</v>
      </c>
      <c r="D461">
        <v>15.7</v>
      </c>
      <c r="E461"/>
      <c r="F461"/>
      <c r="G461"/>
      <c r="H461"/>
      <c r="I461">
        <v>24.4</v>
      </c>
      <c r="J461">
        <v>13.2</v>
      </c>
      <c r="K461">
        <f t="shared" si="7"/>
        <v>852.70000000000016</v>
      </c>
    </row>
    <row r="462" spans="1:11" x14ac:dyDescent="0.2">
      <c r="A462" s="430">
        <v>45568</v>
      </c>
      <c r="B462">
        <v>627.5</v>
      </c>
      <c r="C462">
        <v>759.9</v>
      </c>
      <c r="D462">
        <v>17</v>
      </c>
      <c r="E462">
        <v>131.5</v>
      </c>
      <c r="F462">
        <v>10.1</v>
      </c>
      <c r="G462">
        <v>170.7</v>
      </c>
      <c r="H462">
        <v>37.299999999999997</v>
      </c>
      <c r="I462">
        <v>32.700000000000003</v>
      </c>
      <c r="J462">
        <v>5.3</v>
      </c>
      <c r="K462">
        <f t="shared" si="7"/>
        <v>1792</v>
      </c>
    </row>
    <row r="463" spans="1:11" x14ac:dyDescent="0.2">
      <c r="A463" s="430">
        <v>45569</v>
      </c>
      <c r="B463">
        <v>649</v>
      </c>
      <c r="C463">
        <v>894.4</v>
      </c>
      <c r="D463">
        <v>20.7</v>
      </c>
      <c r="E463">
        <v>133.6</v>
      </c>
      <c r="F463">
        <v>7.9</v>
      </c>
      <c r="G463">
        <v>159.6</v>
      </c>
      <c r="H463">
        <v>33.4</v>
      </c>
      <c r="I463">
        <v>45.2</v>
      </c>
      <c r="J463">
        <v>4.8</v>
      </c>
      <c r="K463">
        <f t="shared" si="7"/>
        <v>1948.6000000000001</v>
      </c>
    </row>
    <row r="464" spans="1:11" x14ac:dyDescent="0.2">
      <c r="A464" s="430">
        <v>45570</v>
      </c>
      <c r="B464">
        <v>620.9</v>
      </c>
      <c r="C464">
        <v>864.4</v>
      </c>
      <c r="D464">
        <v>13.7</v>
      </c>
      <c r="E464">
        <v>135.69999999999999</v>
      </c>
      <c r="F464">
        <v>8</v>
      </c>
      <c r="G464">
        <v>163.80000000000001</v>
      </c>
      <c r="H464">
        <v>26.7</v>
      </c>
      <c r="I464">
        <v>21.4</v>
      </c>
      <c r="J464">
        <v>8</v>
      </c>
      <c r="K464">
        <f t="shared" si="7"/>
        <v>1862.6000000000001</v>
      </c>
    </row>
    <row r="465" spans="1:11" x14ac:dyDescent="0.2">
      <c r="A465" s="430">
        <v>45571</v>
      </c>
      <c r="B465">
        <v>444.7</v>
      </c>
      <c r="C465">
        <v>425.9</v>
      </c>
      <c r="D465">
        <v>21.1</v>
      </c>
      <c r="E465">
        <v>39.5</v>
      </c>
      <c r="F465">
        <v>8.8000000000000007</v>
      </c>
      <c r="G465">
        <v>111.6</v>
      </c>
      <c r="H465">
        <v>1.8</v>
      </c>
      <c r="I465">
        <v>26.3</v>
      </c>
      <c r="J465">
        <v>10.199999999999999</v>
      </c>
      <c r="K465">
        <f t="shared" si="7"/>
        <v>1089.8999999999999</v>
      </c>
    </row>
    <row r="466" spans="1:11" x14ac:dyDescent="0.2">
      <c r="A466" s="430">
        <v>45572</v>
      </c>
      <c r="B466">
        <v>350.4</v>
      </c>
      <c r="C466">
        <v>373.2</v>
      </c>
      <c r="D466">
        <v>17.100000000000001</v>
      </c>
      <c r="E466"/>
      <c r="F466">
        <v>3.8</v>
      </c>
      <c r="G466"/>
      <c r="H466">
        <v>14</v>
      </c>
      <c r="I466">
        <v>19.5</v>
      </c>
      <c r="J466">
        <v>6</v>
      </c>
      <c r="K466">
        <f t="shared" si="7"/>
        <v>783.99999999999989</v>
      </c>
    </row>
    <row r="467" spans="1:11" x14ac:dyDescent="0.2">
      <c r="A467" s="430">
        <v>45573</v>
      </c>
      <c r="B467">
        <v>555.1</v>
      </c>
      <c r="C467">
        <v>805.6</v>
      </c>
      <c r="D467">
        <v>8.8000000000000007</v>
      </c>
      <c r="E467">
        <v>103.8</v>
      </c>
      <c r="F467">
        <v>15.8</v>
      </c>
      <c r="G467">
        <v>164.7</v>
      </c>
      <c r="H467">
        <v>31.1</v>
      </c>
      <c r="I467">
        <v>20.6</v>
      </c>
      <c r="J467">
        <v>8.1</v>
      </c>
      <c r="K467">
        <f t="shared" si="7"/>
        <v>1713.5999999999997</v>
      </c>
    </row>
    <row r="468" spans="1:11" x14ac:dyDescent="0.2">
      <c r="A468" s="430">
        <v>45574</v>
      </c>
      <c r="B468">
        <v>621.20000000000005</v>
      </c>
      <c r="C468">
        <v>879.6</v>
      </c>
      <c r="D468">
        <v>8.9</v>
      </c>
      <c r="E468">
        <v>123</v>
      </c>
      <c r="F468">
        <v>8.3000000000000007</v>
      </c>
      <c r="G468">
        <v>179</v>
      </c>
      <c r="H468">
        <v>25.9</v>
      </c>
      <c r="I468">
        <v>27.9</v>
      </c>
      <c r="J468">
        <v>6.5</v>
      </c>
      <c r="K468">
        <f t="shared" si="7"/>
        <v>1880.3000000000004</v>
      </c>
    </row>
    <row r="469" spans="1:11" x14ac:dyDescent="0.2">
      <c r="A469" s="430">
        <v>45575</v>
      </c>
      <c r="B469">
        <v>533.5</v>
      </c>
      <c r="C469">
        <v>780.1</v>
      </c>
      <c r="D469">
        <v>10.5</v>
      </c>
      <c r="E469">
        <v>122.6</v>
      </c>
      <c r="F469">
        <v>3.3</v>
      </c>
      <c r="G469">
        <v>154.9</v>
      </c>
      <c r="H469">
        <v>26.4</v>
      </c>
      <c r="I469">
        <v>24</v>
      </c>
      <c r="J469">
        <v>8.1999999999999993</v>
      </c>
      <c r="K469">
        <f t="shared" si="7"/>
        <v>1663.5</v>
      </c>
    </row>
    <row r="470" spans="1:11" x14ac:dyDescent="0.2">
      <c r="A470" s="430">
        <v>45576</v>
      </c>
      <c r="B470">
        <v>484.5</v>
      </c>
      <c r="C470">
        <v>747.6</v>
      </c>
      <c r="D470">
        <v>6.6</v>
      </c>
      <c r="E470">
        <v>138.80000000000001</v>
      </c>
      <c r="F470">
        <v>3.4</v>
      </c>
      <c r="G470">
        <v>161.80000000000001</v>
      </c>
      <c r="H470">
        <v>25.7</v>
      </c>
      <c r="I470">
        <v>43.1</v>
      </c>
      <c r="J470">
        <v>7.4</v>
      </c>
      <c r="K470">
        <f t="shared" si="7"/>
        <v>1618.8999999999999</v>
      </c>
    </row>
    <row r="471" spans="1:11" x14ac:dyDescent="0.2">
      <c r="A471" s="430">
        <v>45577</v>
      </c>
      <c r="B471">
        <v>405.8</v>
      </c>
      <c r="C471">
        <v>466</v>
      </c>
      <c r="D471">
        <v>12</v>
      </c>
      <c r="E471"/>
      <c r="F471">
        <v>1.6</v>
      </c>
      <c r="G471"/>
      <c r="H471"/>
      <c r="I471">
        <v>32.6</v>
      </c>
      <c r="J471">
        <v>5.9</v>
      </c>
      <c r="K471">
        <f t="shared" si="7"/>
        <v>923.9</v>
      </c>
    </row>
    <row r="472" spans="1:11" x14ac:dyDescent="0.2">
      <c r="A472" s="430">
        <v>45578</v>
      </c>
      <c r="B472">
        <v>383.4</v>
      </c>
      <c r="C472">
        <v>445.4</v>
      </c>
      <c r="D472">
        <v>13.1</v>
      </c>
      <c r="E472">
        <v>27.3</v>
      </c>
      <c r="F472">
        <v>14.1</v>
      </c>
      <c r="G472">
        <v>107.8</v>
      </c>
      <c r="H472">
        <v>1.8</v>
      </c>
      <c r="I472">
        <v>21.9</v>
      </c>
      <c r="J472">
        <v>6.3</v>
      </c>
      <c r="K472">
        <f t="shared" si="7"/>
        <v>1021.0999999999998</v>
      </c>
    </row>
    <row r="473" spans="1:11" x14ac:dyDescent="0.2">
      <c r="A473" s="430">
        <v>45579</v>
      </c>
      <c r="B473">
        <v>432.7</v>
      </c>
      <c r="C473">
        <v>369.5</v>
      </c>
      <c r="D473">
        <v>2</v>
      </c>
      <c r="E473"/>
      <c r="F473">
        <v>3.9</v>
      </c>
      <c r="G473"/>
      <c r="H473">
        <v>19.100000000000001</v>
      </c>
      <c r="I473">
        <v>18.7</v>
      </c>
      <c r="J473">
        <v>3.5</v>
      </c>
      <c r="K473">
        <f t="shared" si="7"/>
        <v>849.40000000000009</v>
      </c>
    </row>
    <row r="474" spans="1:11" x14ac:dyDescent="0.2">
      <c r="A474" s="430">
        <v>45580</v>
      </c>
      <c r="B474">
        <v>641.79999999999995</v>
      </c>
      <c r="C474">
        <v>763.5</v>
      </c>
      <c r="D474">
        <v>12.7</v>
      </c>
      <c r="E474">
        <v>120.1</v>
      </c>
      <c r="F474">
        <v>10.5</v>
      </c>
      <c r="G474">
        <v>165.4</v>
      </c>
      <c r="H474">
        <v>24.2</v>
      </c>
      <c r="I474">
        <v>28.9</v>
      </c>
      <c r="J474">
        <v>4.5999999999999996</v>
      </c>
      <c r="K474">
        <f t="shared" si="7"/>
        <v>1771.7</v>
      </c>
    </row>
    <row r="475" spans="1:11" x14ac:dyDescent="0.2">
      <c r="A475" s="430">
        <v>45581</v>
      </c>
      <c r="B475">
        <v>604.29999999999995</v>
      </c>
      <c r="C475">
        <v>977.2</v>
      </c>
      <c r="D475">
        <v>9.9</v>
      </c>
      <c r="E475">
        <v>145.30000000000001</v>
      </c>
      <c r="F475">
        <v>13.7</v>
      </c>
      <c r="G475">
        <v>156.4</v>
      </c>
      <c r="H475">
        <v>23.2</v>
      </c>
      <c r="I475">
        <v>31.2</v>
      </c>
      <c r="J475">
        <v>4.4000000000000004</v>
      </c>
      <c r="K475">
        <f t="shared" si="7"/>
        <v>1965.6000000000004</v>
      </c>
    </row>
    <row r="476" spans="1:11" x14ac:dyDescent="0.2">
      <c r="A476" s="430">
        <v>45582</v>
      </c>
      <c r="B476">
        <v>630.6</v>
      </c>
      <c r="C476">
        <v>881.8</v>
      </c>
      <c r="D476">
        <v>4.4000000000000004</v>
      </c>
      <c r="E476">
        <v>130.6</v>
      </c>
      <c r="F476">
        <v>8</v>
      </c>
      <c r="G476">
        <v>155.80000000000001</v>
      </c>
      <c r="H476">
        <v>28.7</v>
      </c>
      <c r="I476">
        <v>33</v>
      </c>
      <c r="J476">
        <v>3.8</v>
      </c>
      <c r="K476">
        <f t="shared" si="7"/>
        <v>1876.7</v>
      </c>
    </row>
    <row r="477" spans="1:11" x14ac:dyDescent="0.2">
      <c r="A477" s="430">
        <v>45583</v>
      </c>
      <c r="B477">
        <v>595.4</v>
      </c>
      <c r="C477">
        <v>865.2</v>
      </c>
      <c r="D477">
        <v>9.6</v>
      </c>
      <c r="E477">
        <v>145</v>
      </c>
      <c r="F477">
        <v>7.5</v>
      </c>
      <c r="G477">
        <v>167.7</v>
      </c>
      <c r="H477">
        <v>25.6</v>
      </c>
      <c r="I477">
        <v>30.4</v>
      </c>
      <c r="J477">
        <v>4.0999999999999996</v>
      </c>
      <c r="K477">
        <f t="shared" si="7"/>
        <v>1850.4999999999998</v>
      </c>
    </row>
    <row r="478" spans="1:11" x14ac:dyDescent="0.2">
      <c r="A478" s="430">
        <v>45584</v>
      </c>
      <c r="B478">
        <v>697.6</v>
      </c>
      <c r="C478">
        <v>765.1</v>
      </c>
      <c r="D478">
        <v>8.1</v>
      </c>
      <c r="E478">
        <v>140.5</v>
      </c>
      <c r="F478">
        <v>9</v>
      </c>
      <c r="G478">
        <v>159.69999999999999</v>
      </c>
      <c r="H478">
        <v>22.8</v>
      </c>
      <c r="I478">
        <v>41.2</v>
      </c>
      <c r="J478">
        <v>0.4</v>
      </c>
      <c r="K478">
        <f t="shared" si="7"/>
        <v>1844.4</v>
      </c>
    </row>
    <row r="479" spans="1:11" x14ac:dyDescent="0.2">
      <c r="A479" s="430">
        <v>45585</v>
      </c>
      <c r="B479">
        <v>491.9</v>
      </c>
      <c r="C479">
        <v>476.2</v>
      </c>
      <c r="D479">
        <v>14.1</v>
      </c>
      <c r="E479">
        <v>33.9</v>
      </c>
      <c r="F479">
        <v>15.4</v>
      </c>
      <c r="G479">
        <v>150.19999999999999</v>
      </c>
      <c r="H479">
        <v>15.9</v>
      </c>
      <c r="I479">
        <v>36.299999999999997</v>
      </c>
      <c r="J479">
        <v>4.5</v>
      </c>
      <c r="K479">
        <f t="shared" si="7"/>
        <v>1238.4000000000001</v>
      </c>
    </row>
    <row r="480" spans="1:11" x14ac:dyDescent="0.2">
      <c r="A480" s="430">
        <v>45586</v>
      </c>
      <c r="B480">
        <v>437.3</v>
      </c>
      <c r="C480">
        <v>384.9</v>
      </c>
      <c r="D480">
        <v>10.6</v>
      </c>
      <c r="E480"/>
      <c r="F480">
        <v>4</v>
      </c>
      <c r="G480"/>
      <c r="H480">
        <v>18.899999999999999</v>
      </c>
      <c r="I480">
        <v>36.5</v>
      </c>
      <c r="J480">
        <v>8.1</v>
      </c>
      <c r="K480">
        <f t="shared" si="7"/>
        <v>900.30000000000007</v>
      </c>
    </row>
    <row r="481" spans="1:11" x14ac:dyDescent="0.2">
      <c r="A481" s="430">
        <v>45587</v>
      </c>
      <c r="B481">
        <v>585</v>
      </c>
      <c r="C481">
        <v>729.7</v>
      </c>
      <c r="D481">
        <v>5.0999999999999996</v>
      </c>
      <c r="E481">
        <v>151.9</v>
      </c>
      <c r="F481">
        <v>3.8</v>
      </c>
      <c r="G481">
        <v>167</v>
      </c>
      <c r="H481">
        <v>36.1</v>
      </c>
      <c r="I481">
        <v>28.2</v>
      </c>
      <c r="J481">
        <v>4.4000000000000004</v>
      </c>
      <c r="K481">
        <f t="shared" si="7"/>
        <v>1711.2</v>
      </c>
    </row>
    <row r="482" spans="1:11" x14ac:dyDescent="0.2">
      <c r="A482" s="430">
        <v>45588</v>
      </c>
      <c r="B482">
        <v>692.3</v>
      </c>
      <c r="C482">
        <v>875.7</v>
      </c>
      <c r="D482">
        <v>1.5</v>
      </c>
      <c r="E482">
        <v>149.19999999999999</v>
      </c>
      <c r="F482">
        <v>13.4</v>
      </c>
      <c r="G482">
        <v>177.1</v>
      </c>
      <c r="H482">
        <v>26.2</v>
      </c>
      <c r="I482">
        <v>45.2</v>
      </c>
      <c r="J482">
        <v>8.6</v>
      </c>
      <c r="K482">
        <f t="shared" si="7"/>
        <v>1989.2</v>
      </c>
    </row>
    <row r="483" spans="1:11" x14ac:dyDescent="0.2">
      <c r="A483" s="430">
        <v>45589</v>
      </c>
      <c r="B483">
        <v>662.3</v>
      </c>
      <c r="C483">
        <v>816.6</v>
      </c>
      <c r="D483">
        <v>13.5</v>
      </c>
      <c r="E483">
        <v>153.1</v>
      </c>
      <c r="F483">
        <v>19.3</v>
      </c>
      <c r="G483">
        <v>160.1</v>
      </c>
      <c r="H483">
        <v>23.1</v>
      </c>
      <c r="I483">
        <v>33</v>
      </c>
      <c r="J483">
        <v>1.2</v>
      </c>
      <c r="K483">
        <f t="shared" si="7"/>
        <v>1882.1999999999998</v>
      </c>
    </row>
    <row r="484" spans="1:11" x14ac:dyDescent="0.2">
      <c r="A484" s="430">
        <v>45590</v>
      </c>
      <c r="B484">
        <v>519.9</v>
      </c>
      <c r="C484">
        <v>734.2</v>
      </c>
      <c r="D484">
        <v>9.9</v>
      </c>
      <c r="E484">
        <v>141.1</v>
      </c>
      <c r="F484">
        <v>27.6</v>
      </c>
      <c r="G484">
        <v>144.30000000000001</v>
      </c>
      <c r="H484">
        <v>22.6</v>
      </c>
      <c r="I484">
        <v>18.5</v>
      </c>
      <c r="J484">
        <v>2.2000000000000002</v>
      </c>
      <c r="K484">
        <f t="shared" si="7"/>
        <v>1620.2999999999997</v>
      </c>
    </row>
    <row r="485" spans="1:11" x14ac:dyDescent="0.2">
      <c r="A485" s="430">
        <v>45591</v>
      </c>
      <c r="B485">
        <v>565.4</v>
      </c>
      <c r="C485">
        <v>703.4</v>
      </c>
      <c r="D485">
        <v>21.2</v>
      </c>
      <c r="E485">
        <v>168.7</v>
      </c>
      <c r="F485">
        <v>27</v>
      </c>
      <c r="G485">
        <v>152.80000000000001</v>
      </c>
      <c r="H485">
        <v>20.2</v>
      </c>
      <c r="I485">
        <v>35.700000000000003</v>
      </c>
      <c r="J485">
        <v>5.8</v>
      </c>
      <c r="K485">
        <f t="shared" si="7"/>
        <v>1700.2</v>
      </c>
    </row>
    <row r="486" spans="1:11" x14ac:dyDescent="0.2">
      <c r="A486" s="430">
        <v>45592</v>
      </c>
      <c r="B486">
        <v>653.79999999999995</v>
      </c>
      <c r="C486">
        <v>508.2</v>
      </c>
      <c r="D486">
        <v>12.3</v>
      </c>
      <c r="E486">
        <v>24.1</v>
      </c>
      <c r="F486">
        <v>11</v>
      </c>
      <c r="G486">
        <v>110.7</v>
      </c>
      <c r="H486">
        <v>8.6999999999999993</v>
      </c>
      <c r="I486">
        <v>44.6</v>
      </c>
      <c r="J486">
        <v>8.6999999999999993</v>
      </c>
      <c r="K486">
        <f t="shared" si="7"/>
        <v>1382.1</v>
      </c>
    </row>
    <row r="487" spans="1:11" x14ac:dyDescent="0.2">
      <c r="A487" s="430">
        <v>45593</v>
      </c>
      <c r="B487">
        <v>453.1</v>
      </c>
      <c r="C487">
        <v>332.3</v>
      </c>
      <c r="D487">
        <v>9.6999999999999993</v>
      </c>
      <c r="E487"/>
      <c r="F487">
        <v>27</v>
      </c>
      <c r="G487"/>
      <c r="H487">
        <v>15.7</v>
      </c>
      <c r="I487">
        <v>51.4</v>
      </c>
      <c r="J487">
        <v>2.7</v>
      </c>
      <c r="K487">
        <f t="shared" si="7"/>
        <v>891.9000000000002</v>
      </c>
    </row>
    <row r="488" spans="1:11" x14ac:dyDescent="0.2">
      <c r="A488" s="430">
        <v>45594</v>
      </c>
      <c r="B488">
        <v>656.5</v>
      </c>
      <c r="C488">
        <v>823.2</v>
      </c>
      <c r="D488">
        <v>7.3</v>
      </c>
      <c r="E488">
        <v>137.30000000000001</v>
      </c>
      <c r="F488">
        <v>12.5</v>
      </c>
      <c r="G488">
        <v>166.6</v>
      </c>
      <c r="H488">
        <v>25.9</v>
      </c>
      <c r="I488">
        <v>36.700000000000003</v>
      </c>
      <c r="J488">
        <v>4.3</v>
      </c>
      <c r="K488">
        <f t="shared" si="7"/>
        <v>1870.3</v>
      </c>
    </row>
    <row r="489" spans="1:11" x14ac:dyDescent="0.2">
      <c r="A489" s="430">
        <v>45595</v>
      </c>
      <c r="B489">
        <v>553.79999999999995</v>
      </c>
      <c r="C489">
        <v>832.5</v>
      </c>
      <c r="D489">
        <v>6.2</v>
      </c>
      <c r="E489">
        <v>140.80000000000001</v>
      </c>
      <c r="F489">
        <v>25.9</v>
      </c>
      <c r="G489">
        <v>159.69999999999999</v>
      </c>
      <c r="H489">
        <v>23</v>
      </c>
      <c r="I489">
        <v>53.4</v>
      </c>
      <c r="J489">
        <v>4.7</v>
      </c>
      <c r="K489">
        <f t="shared" si="7"/>
        <v>1800.0000000000002</v>
      </c>
    </row>
    <row r="490" spans="1:11" x14ac:dyDescent="0.2">
      <c r="A490" s="430">
        <v>45596</v>
      </c>
      <c r="B490">
        <v>613.9</v>
      </c>
      <c r="C490">
        <v>873.5</v>
      </c>
      <c r="D490">
        <v>6.8</v>
      </c>
      <c r="E490">
        <v>142.9</v>
      </c>
      <c r="F490">
        <v>6.5</v>
      </c>
      <c r="G490">
        <v>157.9</v>
      </c>
      <c r="H490">
        <v>30.5</v>
      </c>
      <c r="I490">
        <v>27.7</v>
      </c>
      <c r="J490">
        <v>9.6</v>
      </c>
      <c r="K490">
        <f t="shared" si="7"/>
        <v>1869.3000000000002</v>
      </c>
    </row>
    <row r="491" spans="1:11" x14ac:dyDescent="0.2">
      <c r="A491" s="430">
        <v>45597</v>
      </c>
      <c r="B491">
        <v>576.70000000000005</v>
      </c>
      <c r="C491">
        <v>730.8</v>
      </c>
      <c r="D491">
        <v>12.4</v>
      </c>
      <c r="E491">
        <v>146.80000000000001</v>
      </c>
      <c r="F491">
        <v>9.9</v>
      </c>
      <c r="G491">
        <v>142.69999999999999</v>
      </c>
      <c r="H491">
        <v>19.3</v>
      </c>
      <c r="I491">
        <v>30.8</v>
      </c>
      <c r="J491">
        <v>2.6</v>
      </c>
      <c r="K491">
        <f t="shared" si="7"/>
        <v>1672</v>
      </c>
    </row>
    <row r="492" spans="1:11" x14ac:dyDescent="0.2">
      <c r="A492" s="430">
        <v>45598</v>
      </c>
      <c r="B492">
        <v>534.70000000000005</v>
      </c>
      <c r="C492">
        <v>875.6</v>
      </c>
      <c r="D492">
        <v>2.8</v>
      </c>
      <c r="E492">
        <v>145.9</v>
      </c>
      <c r="F492">
        <v>33.9</v>
      </c>
      <c r="G492">
        <v>152</v>
      </c>
      <c r="H492">
        <v>14.4</v>
      </c>
      <c r="I492">
        <v>32.9</v>
      </c>
      <c r="J492">
        <v>4.5</v>
      </c>
      <c r="K492">
        <f t="shared" si="7"/>
        <v>1796.7000000000005</v>
      </c>
    </row>
    <row r="493" spans="1:11" x14ac:dyDescent="0.2">
      <c r="A493" s="430">
        <v>45599</v>
      </c>
      <c r="B493">
        <v>573.1</v>
      </c>
      <c r="C493">
        <v>489</v>
      </c>
      <c r="D493">
        <v>12.3</v>
      </c>
      <c r="E493">
        <v>141.1</v>
      </c>
      <c r="F493">
        <v>15.6</v>
      </c>
      <c r="G493">
        <v>148.6</v>
      </c>
      <c r="H493">
        <v>9.9</v>
      </c>
      <c r="I493">
        <v>37.200000000000003</v>
      </c>
      <c r="J493">
        <v>8.8000000000000007</v>
      </c>
      <c r="K493">
        <f t="shared" si="7"/>
        <v>1435.5999999999997</v>
      </c>
    </row>
    <row r="494" spans="1:11" x14ac:dyDescent="0.2">
      <c r="A494" s="430">
        <v>45600</v>
      </c>
      <c r="B494">
        <v>409.7</v>
      </c>
      <c r="C494">
        <v>297.89999999999998</v>
      </c>
      <c r="D494">
        <v>7.2</v>
      </c>
      <c r="E494"/>
      <c r="F494">
        <v>11.3</v>
      </c>
      <c r="G494"/>
      <c r="H494">
        <v>13.7</v>
      </c>
      <c r="I494">
        <v>44.2</v>
      </c>
      <c r="J494">
        <v>9.8000000000000007</v>
      </c>
      <c r="K494">
        <f t="shared" si="7"/>
        <v>793.8</v>
      </c>
    </row>
    <row r="495" spans="1:11" x14ac:dyDescent="0.2">
      <c r="A495" s="430">
        <v>45601</v>
      </c>
      <c r="B495">
        <v>561.4</v>
      </c>
      <c r="C495">
        <v>939.2</v>
      </c>
      <c r="D495">
        <v>5.2</v>
      </c>
      <c r="E495">
        <v>146.80000000000001</v>
      </c>
      <c r="F495">
        <v>12.1</v>
      </c>
      <c r="G495">
        <v>152.6</v>
      </c>
      <c r="H495">
        <v>28.8</v>
      </c>
      <c r="I495">
        <v>31.7</v>
      </c>
      <c r="J495">
        <v>12.6</v>
      </c>
      <c r="K495">
        <f t="shared" si="7"/>
        <v>1890.3999999999996</v>
      </c>
    </row>
    <row r="496" spans="1:11" x14ac:dyDescent="0.2">
      <c r="A496" s="430">
        <v>45602</v>
      </c>
      <c r="B496">
        <v>545.29999999999995</v>
      </c>
      <c r="C496">
        <v>995</v>
      </c>
      <c r="D496">
        <v>6.5</v>
      </c>
      <c r="E496">
        <v>161.19999999999999</v>
      </c>
      <c r="F496">
        <v>16.8</v>
      </c>
      <c r="G496">
        <v>158.4</v>
      </c>
      <c r="H496">
        <v>28.5</v>
      </c>
      <c r="I496">
        <v>47.8</v>
      </c>
      <c r="J496">
        <v>5.2</v>
      </c>
      <c r="K496">
        <f t="shared" si="7"/>
        <v>1964.7</v>
      </c>
    </row>
    <row r="497" spans="1:11" x14ac:dyDescent="0.2">
      <c r="A497" s="430">
        <v>45603</v>
      </c>
      <c r="B497">
        <v>643.20000000000005</v>
      </c>
      <c r="C497">
        <v>948.3</v>
      </c>
      <c r="D497">
        <v>8.1</v>
      </c>
      <c r="E497">
        <v>149.1</v>
      </c>
      <c r="F497">
        <v>24.7</v>
      </c>
      <c r="G497">
        <v>160.6</v>
      </c>
      <c r="H497">
        <v>25.2</v>
      </c>
      <c r="I497">
        <v>52.2</v>
      </c>
      <c r="J497">
        <v>5.9</v>
      </c>
      <c r="K497">
        <f t="shared" si="7"/>
        <v>2017.3</v>
      </c>
    </row>
    <row r="498" spans="1:11" x14ac:dyDescent="0.2">
      <c r="A498" s="430">
        <v>45604</v>
      </c>
      <c r="B498">
        <v>620.1</v>
      </c>
      <c r="C498">
        <v>790.4</v>
      </c>
      <c r="D498">
        <v>7.2</v>
      </c>
      <c r="E498">
        <v>141.1</v>
      </c>
      <c r="F498">
        <v>10.8</v>
      </c>
      <c r="G498">
        <v>167.8</v>
      </c>
      <c r="H498">
        <v>25.8</v>
      </c>
      <c r="I498">
        <v>33</v>
      </c>
      <c r="J498">
        <v>7.5</v>
      </c>
      <c r="K498">
        <f t="shared" si="7"/>
        <v>1803.6999999999998</v>
      </c>
    </row>
    <row r="499" spans="1:11" x14ac:dyDescent="0.2">
      <c r="A499" s="430">
        <v>45605</v>
      </c>
      <c r="B499">
        <v>547</v>
      </c>
      <c r="C499">
        <v>716.1</v>
      </c>
      <c r="D499">
        <v>13</v>
      </c>
      <c r="E499">
        <v>128.6</v>
      </c>
      <c r="F499">
        <v>39.9</v>
      </c>
      <c r="G499">
        <v>160.6</v>
      </c>
      <c r="H499">
        <v>18.600000000000001</v>
      </c>
      <c r="I499">
        <v>47.6</v>
      </c>
      <c r="J499">
        <v>6.4</v>
      </c>
      <c r="K499">
        <f t="shared" si="7"/>
        <v>1677.7999999999997</v>
      </c>
    </row>
    <row r="500" spans="1:11" x14ac:dyDescent="0.2">
      <c r="A500" s="430">
        <v>45606</v>
      </c>
      <c r="B500">
        <v>421.1</v>
      </c>
      <c r="C500">
        <v>560.70000000000005</v>
      </c>
      <c r="D500">
        <v>32</v>
      </c>
      <c r="E500">
        <v>29.8</v>
      </c>
      <c r="F500">
        <v>8.5</v>
      </c>
      <c r="G500">
        <v>114.3</v>
      </c>
      <c r="H500">
        <v>15.1</v>
      </c>
      <c r="I500">
        <v>34</v>
      </c>
      <c r="J500">
        <v>2.6</v>
      </c>
      <c r="K500">
        <f t="shared" si="7"/>
        <v>1218.0999999999999</v>
      </c>
    </row>
    <row r="501" spans="1:11" x14ac:dyDescent="0.2">
      <c r="A501" s="430">
        <v>45607</v>
      </c>
      <c r="B501">
        <v>470.8</v>
      </c>
      <c r="C501">
        <v>393.2</v>
      </c>
      <c r="D501">
        <v>12.5</v>
      </c>
      <c r="E501"/>
      <c r="F501">
        <v>6.4</v>
      </c>
      <c r="G501"/>
      <c r="H501">
        <v>17</v>
      </c>
      <c r="I501">
        <v>40.4</v>
      </c>
      <c r="J501">
        <v>3.1</v>
      </c>
      <c r="K501">
        <f t="shared" si="7"/>
        <v>943.4</v>
      </c>
    </row>
    <row r="502" spans="1:11" x14ac:dyDescent="0.2">
      <c r="A502" s="430">
        <v>45608</v>
      </c>
      <c r="B502">
        <v>644.70000000000005</v>
      </c>
      <c r="C502">
        <v>802.3</v>
      </c>
      <c r="D502">
        <v>5.4</v>
      </c>
      <c r="E502">
        <v>88.8</v>
      </c>
      <c r="F502">
        <v>13.3</v>
      </c>
      <c r="G502">
        <v>171.3</v>
      </c>
      <c r="H502">
        <v>29.6</v>
      </c>
      <c r="I502">
        <v>42.8</v>
      </c>
      <c r="J502">
        <v>6.5</v>
      </c>
      <c r="K502">
        <f t="shared" si="7"/>
        <v>1804.6999999999998</v>
      </c>
    </row>
    <row r="503" spans="1:11" x14ac:dyDescent="0.2">
      <c r="A503" s="430">
        <v>45609</v>
      </c>
      <c r="B503">
        <v>584.20000000000005</v>
      </c>
      <c r="C503">
        <v>795.4</v>
      </c>
      <c r="D503">
        <v>4.5</v>
      </c>
      <c r="E503">
        <v>74</v>
      </c>
      <c r="F503">
        <v>17.399999999999999</v>
      </c>
      <c r="G503">
        <v>163.69999999999999</v>
      </c>
      <c r="H503">
        <v>23.6</v>
      </c>
      <c r="I503">
        <v>44.7</v>
      </c>
      <c r="J503">
        <v>4.2</v>
      </c>
      <c r="K503">
        <f t="shared" si="7"/>
        <v>1711.7</v>
      </c>
    </row>
    <row r="504" spans="1:11" x14ac:dyDescent="0.2">
      <c r="A504" s="430">
        <v>45610</v>
      </c>
      <c r="B504">
        <v>628.70000000000005</v>
      </c>
      <c r="C504">
        <v>850.6</v>
      </c>
      <c r="D504"/>
      <c r="E504">
        <v>133.1</v>
      </c>
      <c r="F504">
        <v>31</v>
      </c>
      <c r="G504">
        <v>152.19999999999999</v>
      </c>
      <c r="H504">
        <v>21.5</v>
      </c>
      <c r="I504">
        <v>31.3</v>
      </c>
      <c r="J504">
        <v>6.1</v>
      </c>
      <c r="K504">
        <f t="shared" si="7"/>
        <v>1854.5</v>
      </c>
    </row>
    <row r="505" spans="1:11" x14ac:dyDescent="0.2">
      <c r="A505" s="430">
        <v>45611</v>
      </c>
      <c r="B505">
        <v>443.7</v>
      </c>
      <c r="C505">
        <v>638.70000000000005</v>
      </c>
      <c r="D505">
        <v>13</v>
      </c>
      <c r="E505">
        <v>54.5</v>
      </c>
      <c r="F505">
        <v>10.199999999999999</v>
      </c>
      <c r="G505">
        <v>47.7</v>
      </c>
      <c r="H505">
        <v>20.3</v>
      </c>
      <c r="I505">
        <v>20.5</v>
      </c>
      <c r="J505">
        <v>3</v>
      </c>
      <c r="K505">
        <f t="shared" si="7"/>
        <v>1251.6000000000001</v>
      </c>
    </row>
    <row r="506" spans="1:11" x14ac:dyDescent="0.2">
      <c r="A506" s="430">
        <v>45612</v>
      </c>
      <c r="B506">
        <v>718.9</v>
      </c>
      <c r="C506">
        <v>696.8</v>
      </c>
      <c r="D506">
        <v>2.8</v>
      </c>
      <c r="E506">
        <v>92.1</v>
      </c>
      <c r="F506">
        <v>34.9</v>
      </c>
      <c r="G506">
        <v>165.9</v>
      </c>
      <c r="H506">
        <v>20.399999999999999</v>
      </c>
      <c r="I506">
        <v>51.3</v>
      </c>
      <c r="J506">
        <v>5.8</v>
      </c>
      <c r="K506">
        <f t="shared" si="7"/>
        <v>1788.8999999999999</v>
      </c>
    </row>
    <row r="507" spans="1:11" x14ac:dyDescent="0.2">
      <c r="A507" s="430">
        <v>45613</v>
      </c>
      <c r="B507">
        <v>386</v>
      </c>
      <c r="C507">
        <v>591.29999999999995</v>
      </c>
      <c r="D507">
        <v>7</v>
      </c>
      <c r="E507">
        <v>5.2</v>
      </c>
      <c r="F507">
        <v>37.700000000000003</v>
      </c>
      <c r="G507">
        <v>115.9</v>
      </c>
      <c r="H507">
        <v>10.9</v>
      </c>
      <c r="I507">
        <v>34.4</v>
      </c>
      <c r="J507">
        <v>3.4</v>
      </c>
      <c r="K507">
        <f t="shared" si="7"/>
        <v>1191.8000000000004</v>
      </c>
    </row>
    <row r="508" spans="1:11" x14ac:dyDescent="0.2">
      <c r="A508" s="430">
        <v>45614</v>
      </c>
      <c r="B508">
        <v>422.1</v>
      </c>
      <c r="C508">
        <v>343.8</v>
      </c>
      <c r="D508">
        <v>8.6999999999999993</v>
      </c>
      <c r="E508"/>
      <c r="F508">
        <v>13.2</v>
      </c>
      <c r="G508"/>
      <c r="H508">
        <v>12.4</v>
      </c>
      <c r="I508">
        <v>51.7</v>
      </c>
      <c r="J508">
        <v>0.3</v>
      </c>
      <c r="K508">
        <f t="shared" si="7"/>
        <v>852.20000000000016</v>
      </c>
    </row>
    <row r="509" spans="1:11" x14ac:dyDescent="0.2">
      <c r="A509" s="430">
        <v>45615</v>
      </c>
      <c r="B509">
        <v>680.9</v>
      </c>
      <c r="C509">
        <v>879.7</v>
      </c>
      <c r="D509"/>
      <c r="E509">
        <v>132</v>
      </c>
      <c r="F509">
        <v>20</v>
      </c>
      <c r="G509">
        <v>161.30000000000001</v>
      </c>
      <c r="H509">
        <v>25</v>
      </c>
      <c r="I509">
        <v>20.8</v>
      </c>
      <c r="J509">
        <v>6.8</v>
      </c>
      <c r="K509">
        <f t="shared" si="7"/>
        <v>1926.4999999999998</v>
      </c>
    </row>
    <row r="510" spans="1:11" x14ac:dyDescent="0.2">
      <c r="A510" s="430">
        <v>45616</v>
      </c>
      <c r="B510">
        <v>666.7</v>
      </c>
      <c r="C510">
        <v>822.8</v>
      </c>
      <c r="D510">
        <v>29.8</v>
      </c>
      <c r="E510">
        <v>139</v>
      </c>
      <c r="F510">
        <v>38.299999999999997</v>
      </c>
      <c r="G510">
        <v>159.6</v>
      </c>
      <c r="H510">
        <v>31.2</v>
      </c>
      <c r="I510">
        <v>35.9</v>
      </c>
      <c r="J510">
        <v>3</v>
      </c>
      <c r="K510">
        <f t="shared" si="7"/>
        <v>1926.3</v>
      </c>
    </row>
    <row r="511" spans="1:11" x14ac:dyDescent="0.2">
      <c r="A511" s="430">
        <v>45617</v>
      </c>
      <c r="B511">
        <v>516.79999999999995</v>
      </c>
      <c r="C511">
        <v>832.8</v>
      </c>
      <c r="D511">
        <v>4.0999999999999996</v>
      </c>
      <c r="E511">
        <v>142.80000000000001</v>
      </c>
      <c r="F511">
        <v>21</v>
      </c>
      <c r="G511">
        <v>153.1</v>
      </c>
      <c r="H511">
        <v>30.8</v>
      </c>
      <c r="I511">
        <v>16.7</v>
      </c>
      <c r="J511">
        <v>4.7</v>
      </c>
      <c r="K511">
        <f t="shared" si="7"/>
        <v>1722.7999999999997</v>
      </c>
    </row>
    <row r="512" spans="1:11" x14ac:dyDescent="0.2">
      <c r="A512" s="430">
        <v>45618</v>
      </c>
      <c r="B512">
        <v>650.5</v>
      </c>
      <c r="C512">
        <v>789</v>
      </c>
      <c r="D512">
        <v>12</v>
      </c>
      <c r="E512">
        <v>108.2</v>
      </c>
      <c r="F512">
        <v>26.5</v>
      </c>
      <c r="G512">
        <v>148.69999999999999</v>
      </c>
      <c r="H512">
        <v>29.4</v>
      </c>
      <c r="I512">
        <v>29.1</v>
      </c>
      <c r="J512">
        <v>4.0999999999999996</v>
      </c>
      <c r="K512">
        <f t="shared" si="7"/>
        <v>1797.5</v>
      </c>
    </row>
    <row r="513" spans="1:11" x14ac:dyDescent="0.2">
      <c r="A513" s="430">
        <v>45619</v>
      </c>
      <c r="B513">
        <v>625.5</v>
      </c>
      <c r="C513">
        <v>679.1</v>
      </c>
      <c r="D513">
        <v>10.7</v>
      </c>
      <c r="E513">
        <v>133</v>
      </c>
      <c r="F513">
        <v>16.899999999999999</v>
      </c>
      <c r="G513">
        <v>152.80000000000001</v>
      </c>
      <c r="H513">
        <v>19.5</v>
      </c>
      <c r="I513">
        <v>48.3</v>
      </c>
      <c r="J513">
        <v>6.1</v>
      </c>
      <c r="K513">
        <f t="shared" si="7"/>
        <v>1691.8999999999999</v>
      </c>
    </row>
    <row r="514" spans="1:11" x14ac:dyDescent="0.2">
      <c r="A514" s="430">
        <v>45620</v>
      </c>
      <c r="B514">
        <v>583</v>
      </c>
      <c r="C514">
        <v>580.29999999999995</v>
      </c>
      <c r="D514">
        <v>12</v>
      </c>
      <c r="E514">
        <v>73.8</v>
      </c>
      <c r="F514">
        <v>22.7</v>
      </c>
      <c r="G514">
        <v>120.1</v>
      </c>
      <c r="H514">
        <v>4.5</v>
      </c>
      <c r="I514">
        <v>84.4</v>
      </c>
      <c r="J514">
        <v>15.8</v>
      </c>
      <c r="K514">
        <f t="shared" si="7"/>
        <v>1496.6</v>
      </c>
    </row>
    <row r="515" spans="1:11" x14ac:dyDescent="0.2">
      <c r="A515" s="430">
        <v>45621</v>
      </c>
      <c r="B515">
        <v>659.3</v>
      </c>
      <c r="C515">
        <v>356.1</v>
      </c>
      <c r="D515">
        <v>11.7</v>
      </c>
      <c r="E515"/>
      <c r="F515">
        <v>7.6</v>
      </c>
      <c r="G515"/>
      <c r="H515">
        <v>15.2</v>
      </c>
      <c r="I515">
        <v>38.299999999999997</v>
      </c>
      <c r="J515">
        <v>2.2999999999999998</v>
      </c>
      <c r="K515">
        <f t="shared" ref="K515:K578" si="8">SUM(B515:J515)</f>
        <v>1090.4999999999998</v>
      </c>
    </row>
    <row r="516" spans="1:11" x14ac:dyDescent="0.2">
      <c r="A516" s="430">
        <v>45622</v>
      </c>
      <c r="B516">
        <v>559.20000000000005</v>
      </c>
      <c r="C516">
        <v>779.6</v>
      </c>
      <c r="D516">
        <v>6.6</v>
      </c>
      <c r="E516">
        <v>138.19999999999999</v>
      </c>
      <c r="F516">
        <v>23.2</v>
      </c>
      <c r="G516">
        <v>152.30000000000001</v>
      </c>
      <c r="H516">
        <v>26.5</v>
      </c>
      <c r="I516">
        <v>52.1</v>
      </c>
      <c r="J516">
        <v>2.9</v>
      </c>
      <c r="K516">
        <f t="shared" si="8"/>
        <v>1740.6000000000001</v>
      </c>
    </row>
    <row r="517" spans="1:11" x14ac:dyDescent="0.2">
      <c r="A517" s="430">
        <v>45623</v>
      </c>
      <c r="B517">
        <v>619.20000000000005</v>
      </c>
      <c r="C517">
        <v>794.7</v>
      </c>
      <c r="D517">
        <v>8.3000000000000007</v>
      </c>
      <c r="E517">
        <v>158.80000000000001</v>
      </c>
      <c r="F517">
        <v>14.8</v>
      </c>
      <c r="G517">
        <v>152.9</v>
      </c>
      <c r="H517">
        <v>25.3</v>
      </c>
      <c r="I517">
        <v>29.3</v>
      </c>
      <c r="J517">
        <v>4.8</v>
      </c>
      <c r="K517">
        <f t="shared" si="8"/>
        <v>1808.1</v>
      </c>
    </row>
    <row r="518" spans="1:11" x14ac:dyDescent="0.2">
      <c r="A518" s="430">
        <v>45624</v>
      </c>
      <c r="B518">
        <v>601.6</v>
      </c>
      <c r="C518">
        <v>851.8</v>
      </c>
      <c r="D518">
        <v>10.4</v>
      </c>
      <c r="E518">
        <v>138</v>
      </c>
      <c r="F518">
        <v>17.600000000000001</v>
      </c>
      <c r="G518">
        <v>156.80000000000001</v>
      </c>
      <c r="H518">
        <v>32.5</v>
      </c>
      <c r="I518">
        <v>52.8</v>
      </c>
      <c r="J518">
        <v>4.7</v>
      </c>
      <c r="K518">
        <f t="shared" si="8"/>
        <v>1866.2</v>
      </c>
    </row>
    <row r="519" spans="1:11" x14ac:dyDescent="0.2">
      <c r="A519" s="430">
        <v>45625</v>
      </c>
      <c r="B519">
        <v>562.6</v>
      </c>
      <c r="C519">
        <v>785.7</v>
      </c>
      <c r="D519">
        <v>6.3</v>
      </c>
      <c r="E519">
        <v>142.80000000000001</v>
      </c>
      <c r="F519">
        <v>19</v>
      </c>
      <c r="G519">
        <v>148.19999999999999</v>
      </c>
      <c r="H519">
        <v>23.9</v>
      </c>
      <c r="I519">
        <v>47.1</v>
      </c>
      <c r="J519">
        <v>1.5</v>
      </c>
      <c r="K519">
        <f t="shared" si="8"/>
        <v>1737.1000000000001</v>
      </c>
    </row>
    <row r="520" spans="1:11" x14ac:dyDescent="0.2">
      <c r="A520" s="430">
        <v>45626</v>
      </c>
      <c r="B520">
        <v>580.20000000000005</v>
      </c>
      <c r="C520">
        <v>730.5</v>
      </c>
      <c r="D520">
        <v>3.9</v>
      </c>
      <c r="E520">
        <v>131.19999999999999</v>
      </c>
      <c r="F520">
        <v>22.1</v>
      </c>
      <c r="G520">
        <v>149.1</v>
      </c>
      <c r="H520">
        <v>21.2</v>
      </c>
      <c r="I520">
        <v>48.2</v>
      </c>
      <c r="J520">
        <v>0.9</v>
      </c>
      <c r="K520">
        <f t="shared" si="8"/>
        <v>1687.3000000000002</v>
      </c>
    </row>
    <row r="521" spans="1:11" x14ac:dyDescent="0.2">
      <c r="A521" s="430">
        <v>45627</v>
      </c>
      <c r="B521">
        <v>503.2</v>
      </c>
      <c r="C521">
        <v>564.4</v>
      </c>
      <c r="D521">
        <v>4.9000000000000004</v>
      </c>
      <c r="E521">
        <v>36.1</v>
      </c>
      <c r="F521">
        <v>21</v>
      </c>
      <c r="G521">
        <v>125.7</v>
      </c>
      <c r="H521">
        <v>6.1</v>
      </c>
      <c r="I521">
        <v>73.400000000000006</v>
      </c>
      <c r="J521">
        <v>0.9</v>
      </c>
      <c r="K521">
        <f t="shared" si="8"/>
        <v>1335.7</v>
      </c>
    </row>
    <row r="522" spans="1:11" x14ac:dyDescent="0.2">
      <c r="A522" s="430">
        <v>45628</v>
      </c>
      <c r="B522">
        <v>439.4</v>
      </c>
      <c r="C522">
        <v>263.7</v>
      </c>
      <c r="D522">
        <v>8.5</v>
      </c>
      <c r="E522">
        <v>17.7</v>
      </c>
      <c r="F522">
        <v>15.2</v>
      </c>
      <c r="G522"/>
      <c r="H522">
        <v>15.7</v>
      </c>
      <c r="I522">
        <v>22.3</v>
      </c>
      <c r="J522">
        <v>2.8</v>
      </c>
      <c r="K522">
        <f t="shared" si="8"/>
        <v>785.3</v>
      </c>
    </row>
    <row r="523" spans="1:11" x14ac:dyDescent="0.2">
      <c r="A523" s="430">
        <v>45629</v>
      </c>
      <c r="B523">
        <v>521.20000000000005</v>
      </c>
      <c r="C523">
        <v>896.2</v>
      </c>
      <c r="D523">
        <v>7.8</v>
      </c>
      <c r="E523">
        <v>97.9</v>
      </c>
      <c r="F523">
        <v>14.7</v>
      </c>
      <c r="G523">
        <v>139.19999999999999</v>
      </c>
      <c r="H523">
        <v>17.8</v>
      </c>
      <c r="I523">
        <v>37.1</v>
      </c>
      <c r="J523">
        <v>2.7</v>
      </c>
      <c r="K523">
        <f t="shared" si="8"/>
        <v>1734.6000000000001</v>
      </c>
    </row>
    <row r="524" spans="1:11" x14ac:dyDescent="0.2">
      <c r="A524" s="430">
        <v>45630</v>
      </c>
      <c r="B524">
        <v>501.6</v>
      </c>
      <c r="C524">
        <v>671.9</v>
      </c>
      <c r="D524">
        <v>7.4</v>
      </c>
      <c r="E524">
        <v>101.2</v>
      </c>
      <c r="F524">
        <v>33.700000000000003</v>
      </c>
      <c r="G524">
        <v>156.69999999999999</v>
      </c>
      <c r="H524">
        <v>21.3</v>
      </c>
      <c r="I524">
        <v>28.8</v>
      </c>
      <c r="J524">
        <v>3.7</v>
      </c>
      <c r="K524">
        <f t="shared" si="8"/>
        <v>1526.3000000000002</v>
      </c>
    </row>
    <row r="525" spans="1:11" x14ac:dyDescent="0.2">
      <c r="A525" s="430">
        <v>45631</v>
      </c>
      <c r="B525">
        <v>491.9</v>
      </c>
      <c r="C525">
        <v>751.1</v>
      </c>
      <c r="D525">
        <v>1.8</v>
      </c>
      <c r="E525">
        <v>120.5</v>
      </c>
      <c r="F525">
        <v>51.3</v>
      </c>
      <c r="G525">
        <v>138</v>
      </c>
      <c r="H525">
        <v>23.7</v>
      </c>
      <c r="I525">
        <v>52.5</v>
      </c>
      <c r="J525">
        <v>3.5</v>
      </c>
      <c r="K525">
        <f t="shared" si="8"/>
        <v>1634.3</v>
      </c>
    </row>
    <row r="526" spans="1:11" x14ac:dyDescent="0.2">
      <c r="A526" s="430">
        <v>45632</v>
      </c>
      <c r="B526">
        <v>505.5</v>
      </c>
      <c r="C526">
        <v>799</v>
      </c>
      <c r="D526">
        <v>10.9</v>
      </c>
      <c r="E526">
        <v>87.2</v>
      </c>
      <c r="F526">
        <v>36.799999999999997</v>
      </c>
      <c r="G526">
        <v>136.1</v>
      </c>
      <c r="H526">
        <v>26.5</v>
      </c>
      <c r="I526">
        <v>18.8</v>
      </c>
      <c r="J526">
        <v>2</v>
      </c>
      <c r="K526">
        <f t="shared" si="8"/>
        <v>1622.8</v>
      </c>
    </row>
    <row r="527" spans="1:11" x14ac:dyDescent="0.2">
      <c r="A527" s="430">
        <v>45633</v>
      </c>
      <c r="B527">
        <v>584.20000000000005</v>
      </c>
      <c r="C527">
        <v>728.3</v>
      </c>
      <c r="D527">
        <v>11.2</v>
      </c>
      <c r="E527">
        <v>115.4</v>
      </c>
      <c r="F527">
        <v>21.9</v>
      </c>
      <c r="G527">
        <v>149.30000000000001</v>
      </c>
      <c r="H527">
        <v>24.8</v>
      </c>
      <c r="I527">
        <v>38.299999999999997</v>
      </c>
      <c r="J527">
        <v>4.0999999999999996</v>
      </c>
      <c r="K527">
        <f t="shared" si="8"/>
        <v>1677.5</v>
      </c>
    </row>
    <row r="528" spans="1:11" x14ac:dyDescent="0.2">
      <c r="A528" s="430">
        <v>45634</v>
      </c>
      <c r="B528">
        <v>389.5</v>
      </c>
      <c r="C528">
        <v>596.20000000000005</v>
      </c>
      <c r="D528">
        <v>17.7</v>
      </c>
      <c r="E528">
        <v>37.1</v>
      </c>
      <c r="F528">
        <v>2.1</v>
      </c>
      <c r="G528">
        <v>113.2</v>
      </c>
      <c r="H528">
        <v>5.3</v>
      </c>
      <c r="I528">
        <v>48.7</v>
      </c>
      <c r="J528">
        <v>1.6</v>
      </c>
      <c r="K528">
        <f t="shared" si="8"/>
        <v>1211.3999999999999</v>
      </c>
    </row>
    <row r="529" spans="1:11" x14ac:dyDescent="0.2">
      <c r="A529" s="430">
        <v>45635</v>
      </c>
      <c r="B529">
        <v>424</v>
      </c>
      <c r="C529">
        <v>278</v>
      </c>
      <c r="D529">
        <v>5.8</v>
      </c>
      <c r="E529"/>
      <c r="F529">
        <v>8.3000000000000007</v>
      </c>
      <c r="G529"/>
      <c r="H529">
        <v>20</v>
      </c>
      <c r="I529">
        <v>36.799999999999997</v>
      </c>
      <c r="J529">
        <v>3.8</v>
      </c>
      <c r="K529">
        <f t="shared" si="8"/>
        <v>776.69999999999982</v>
      </c>
    </row>
    <row r="530" spans="1:11" x14ac:dyDescent="0.2">
      <c r="A530" s="430">
        <v>45636</v>
      </c>
      <c r="B530">
        <v>447.5</v>
      </c>
      <c r="C530">
        <v>769.7</v>
      </c>
      <c r="D530">
        <v>16.399999999999999</v>
      </c>
      <c r="E530">
        <v>91.3</v>
      </c>
      <c r="F530">
        <v>9.1999999999999993</v>
      </c>
      <c r="G530">
        <v>147.5</v>
      </c>
      <c r="H530">
        <v>28</v>
      </c>
      <c r="I530">
        <v>29.3</v>
      </c>
      <c r="J530">
        <v>9.3000000000000007</v>
      </c>
      <c r="K530">
        <f t="shared" si="8"/>
        <v>1548.2</v>
      </c>
    </row>
    <row r="531" spans="1:11" x14ac:dyDescent="0.2">
      <c r="A531" s="430">
        <v>45637</v>
      </c>
      <c r="B531">
        <v>518.20000000000005</v>
      </c>
      <c r="C531">
        <v>800.3</v>
      </c>
      <c r="D531">
        <v>17.8</v>
      </c>
      <c r="E531">
        <v>86.1</v>
      </c>
      <c r="F531">
        <v>5.0999999999999996</v>
      </c>
      <c r="G531">
        <v>127.9</v>
      </c>
      <c r="H531">
        <v>29.3</v>
      </c>
      <c r="I531">
        <v>29.5</v>
      </c>
      <c r="J531">
        <v>3.5</v>
      </c>
      <c r="K531">
        <f t="shared" si="8"/>
        <v>1617.6999999999998</v>
      </c>
    </row>
    <row r="532" spans="1:11" x14ac:dyDescent="0.2">
      <c r="A532" s="430">
        <v>45638</v>
      </c>
      <c r="B532">
        <v>509.7</v>
      </c>
      <c r="C532">
        <v>816.5</v>
      </c>
      <c r="D532">
        <v>3.7</v>
      </c>
      <c r="E532">
        <v>90.8</v>
      </c>
      <c r="F532">
        <v>10.6</v>
      </c>
      <c r="G532">
        <v>136.19999999999999</v>
      </c>
      <c r="H532">
        <v>23.8</v>
      </c>
      <c r="I532">
        <v>55.5</v>
      </c>
      <c r="J532">
        <v>2.8</v>
      </c>
      <c r="K532">
        <f t="shared" si="8"/>
        <v>1649.6</v>
      </c>
    </row>
    <row r="533" spans="1:11" x14ac:dyDescent="0.2">
      <c r="A533" s="430">
        <v>45639</v>
      </c>
      <c r="B533">
        <v>638.20000000000005</v>
      </c>
      <c r="C533">
        <v>855.4</v>
      </c>
      <c r="D533">
        <v>15.2</v>
      </c>
      <c r="E533">
        <v>76.400000000000006</v>
      </c>
      <c r="F533">
        <v>20.8</v>
      </c>
      <c r="G533">
        <v>134.19999999999999</v>
      </c>
      <c r="H533">
        <v>23</v>
      </c>
      <c r="I533">
        <v>47.7</v>
      </c>
      <c r="J533">
        <v>0.5</v>
      </c>
      <c r="K533">
        <f t="shared" si="8"/>
        <v>1811.4</v>
      </c>
    </row>
    <row r="534" spans="1:11" x14ac:dyDescent="0.2">
      <c r="A534" s="430">
        <v>45640</v>
      </c>
      <c r="B534">
        <v>545.6</v>
      </c>
      <c r="C534">
        <v>699.3</v>
      </c>
      <c r="D534">
        <v>11.9</v>
      </c>
      <c r="E534">
        <v>81.8</v>
      </c>
      <c r="F534">
        <v>18</v>
      </c>
      <c r="G534">
        <v>120.9</v>
      </c>
      <c r="H534">
        <v>23.8</v>
      </c>
      <c r="I534">
        <v>64</v>
      </c>
      <c r="J534">
        <v>2.8</v>
      </c>
      <c r="K534">
        <f t="shared" si="8"/>
        <v>1568.1000000000001</v>
      </c>
    </row>
    <row r="535" spans="1:11" x14ac:dyDescent="0.2">
      <c r="A535" s="430">
        <v>45641</v>
      </c>
      <c r="B535">
        <v>545.1</v>
      </c>
      <c r="C535">
        <v>618</v>
      </c>
      <c r="D535">
        <v>9.6999999999999993</v>
      </c>
      <c r="E535">
        <v>31.9</v>
      </c>
      <c r="F535">
        <v>8.3000000000000007</v>
      </c>
      <c r="G535">
        <v>109.7</v>
      </c>
      <c r="H535">
        <v>4.2</v>
      </c>
      <c r="I535">
        <v>40.1</v>
      </c>
      <c r="J535">
        <v>2.8</v>
      </c>
      <c r="K535">
        <f t="shared" si="8"/>
        <v>1369.8</v>
      </c>
    </row>
    <row r="536" spans="1:11" x14ac:dyDescent="0.2">
      <c r="A536" s="430">
        <v>45642</v>
      </c>
      <c r="B536">
        <v>400.6</v>
      </c>
      <c r="C536">
        <v>296.3</v>
      </c>
      <c r="D536">
        <v>16</v>
      </c>
      <c r="E536"/>
      <c r="F536">
        <v>14.7</v>
      </c>
      <c r="G536"/>
      <c r="H536">
        <v>20</v>
      </c>
      <c r="I536">
        <v>24.1</v>
      </c>
      <c r="J536">
        <v>2.8</v>
      </c>
      <c r="K536">
        <f t="shared" si="8"/>
        <v>774.50000000000011</v>
      </c>
    </row>
    <row r="537" spans="1:11" x14ac:dyDescent="0.2">
      <c r="A537" s="430">
        <v>45643</v>
      </c>
      <c r="B537">
        <v>531.4</v>
      </c>
      <c r="C537">
        <v>855.3</v>
      </c>
      <c r="D537">
        <v>4.3</v>
      </c>
      <c r="E537">
        <v>82.2</v>
      </c>
      <c r="F537">
        <v>1.8</v>
      </c>
      <c r="G537">
        <v>145.80000000000001</v>
      </c>
      <c r="H537">
        <v>22.8</v>
      </c>
      <c r="I537">
        <v>29.1</v>
      </c>
      <c r="J537">
        <v>8.9</v>
      </c>
      <c r="K537">
        <f t="shared" si="8"/>
        <v>1681.5999999999997</v>
      </c>
    </row>
    <row r="538" spans="1:11" x14ac:dyDescent="0.2">
      <c r="A538" s="430">
        <v>45644</v>
      </c>
      <c r="B538">
        <v>534.9</v>
      </c>
      <c r="C538">
        <v>871.4</v>
      </c>
      <c r="D538">
        <v>3.2</v>
      </c>
      <c r="E538">
        <v>75.5</v>
      </c>
      <c r="F538">
        <v>23.9</v>
      </c>
      <c r="G538">
        <v>125.6</v>
      </c>
      <c r="H538">
        <v>19.399999999999999</v>
      </c>
      <c r="I538">
        <v>63.7</v>
      </c>
      <c r="J538">
        <v>5.8</v>
      </c>
      <c r="K538">
        <f t="shared" si="8"/>
        <v>1723.4</v>
      </c>
    </row>
    <row r="539" spans="1:11" x14ac:dyDescent="0.2">
      <c r="A539" s="430">
        <v>45645</v>
      </c>
      <c r="B539">
        <v>607.29999999999995</v>
      </c>
      <c r="C539">
        <v>797.7</v>
      </c>
      <c r="D539">
        <v>3.4</v>
      </c>
      <c r="E539">
        <v>70.099999999999994</v>
      </c>
      <c r="F539">
        <v>9.1</v>
      </c>
      <c r="G539">
        <v>124.7</v>
      </c>
      <c r="H539">
        <v>17.100000000000001</v>
      </c>
      <c r="I539">
        <v>52.2</v>
      </c>
      <c r="J539">
        <v>0.9</v>
      </c>
      <c r="K539">
        <f t="shared" si="8"/>
        <v>1682.5</v>
      </c>
    </row>
    <row r="540" spans="1:11" x14ac:dyDescent="0.2">
      <c r="A540" s="430">
        <v>45646</v>
      </c>
      <c r="B540">
        <v>448.8</v>
      </c>
      <c r="C540">
        <v>822</v>
      </c>
      <c r="D540">
        <v>15.1</v>
      </c>
      <c r="E540">
        <v>80.7</v>
      </c>
      <c r="F540">
        <v>38.6</v>
      </c>
      <c r="G540">
        <v>119.6</v>
      </c>
      <c r="H540">
        <v>11.1</v>
      </c>
      <c r="I540">
        <v>54.1</v>
      </c>
      <c r="J540">
        <v>6.1</v>
      </c>
      <c r="K540">
        <f t="shared" si="8"/>
        <v>1596.0999999999995</v>
      </c>
    </row>
    <row r="541" spans="1:11" x14ac:dyDescent="0.2">
      <c r="A541" s="430">
        <v>45647</v>
      </c>
      <c r="B541">
        <v>547.5</v>
      </c>
      <c r="C541">
        <v>563.70000000000005</v>
      </c>
      <c r="D541">
        <v>17.8</v>
      </c>
      <c r="E541">
        <v>73.2</v>
      </c>
      <c r="F541">
        <v>55.8</v>
      </c>
      <c r="G541">
        <v>103.2</v>
      </c>
      <c r="H541">
        <v>8</v>
      </c>
      <c r="I541">
        <v>67.599999999999994</v>
      </c>
      <c r="J541">
        <v>3.9</v>
      </c>
      <c r="K541">
        <f t="shared" si="8"/>
        <v>1440.7</v>
      </c>
    </row>
    <row r="542" spans="1:11" x14ac:dyDescent="0.2">
      <c r="A542" s="430">
        <v>45648</v>
      </c>
      <c r="B542">
        <v>425.7</v>
      </c>
      <c r="C542">
        <v>552.20000000000005</v>
      </c>
      <c r="D542">
        <v>16.5</v>
      </c>
      <c r="E542">
        <v>46.5</v>
      </c>
      <c r="F542">
        <v>26.3</v>
      </c>
      <c r="G542">
        <v>95.9</v>
      </c>
      <c r="H542">
        <v>2.2999999999999998</v>
      </c>
      <c r="I542">
        <v>27.6</v>
      </c>
      <c r="J542">
        <v>1.3</v>
      </c>
      <c r="K542">
        <f t="shared" si="8"/>
        <v>1194.3</v>
      </c>
    </row>
    <row r="543" spans="1:11" x14ac:dyDescent="0.2">
      <c r="A543" s="430">
        <v>45649</v>
      </c>
      <c r="B543">
        <v>346.7</v>
      </c>
      <c r="C543">
        <v>414.8</v>
      </c>
      <c r="D543">
        <v>31.1</v>
      </c>
      <c r="E543"/>
      <c r="F543">
        <v>18.399999999999999</v>
      </c>
      <c r="G543"/>
      <c r="H543"/>
      <c r="I543">
        <v>31.2</v>
      </c>
      <c r="J543">
        <v>4</v>
      </c>
      <c r="K543">
        <f t="shared" si="8"/>
        <v>846.2</v>
      </c>
    </row>
    <row r="544" spans="1:11" x14ac:dyDescent="0.2">
      <c r="A544" s="430">
        <v>45650</v>
      </c>
      <c r="B544">
        <v>418.3</v>
      </c>
      <c r="C544">
        <v>527.9</v>
      </c>
      <c r="D544">
        <v>31.1</v>
      </c>
      <c r="E544">
        <v>47</v>
      </c>
      <c r="F544">
        <v>11.2</v>
      </c>
      <c r="G544">
        <v>74.8</v>
      </c>
      <c r="H544">
        <v>1.3</v>
      </c>
      <c r="I544">
        <v>33.799999999999997</v>
      </c>
      <c r="J544">
        <v>5.0999999999999996</v>
      </c>
      <c r="K544">
        <f t="shared" si="8"/>
        <v>1150.5</v>
      </c>
    </row>
    <row r="545" spans="1:11" x14ac:dyDescent="0.2">
      <c r="A545" s="430">
        <v>45651</v>
      </c>
      <c r="B545">
        <v>373.9</v>
      </c>
      <c r="C545">
        <v>750.3</v>
      </c>
      <c r="D545">
        <v>22</v>
      </c>
      <c r="E545">
        <v>62</v>
      </c>
      <c r="F545">
        <v>7.6</v>
      </c>
      <c r="G545">
        <v>106.3</v>
      </c>
      <c r="H545">
        <v>2.7</v>
      </c>
      <c r="I545">
        <v>38</v>
      </c>
      <c r="J545">
        <v>10.1</v>
      </c>
      <c r="K545">
        <f t="shared" si="8"/>
        <v>1372.8999999999996</v>
      </c>
    </row>
    <row r="546" spans="1:11" x14ac:dyDescent="0.2">
      <c r="A546" s="430">
        <v>45652</v>
      </c>
      <c r="B546">
        <v>342.7</v>
      </c>
      <c r="C546">
        <v>351.7</v>
      </c>
      <c r="D546">
        <v>23.5</v>
      </c>
      <c r="E546"/>
      <c r="F546">
        <v>24.4</v>
      </c>
      <c r="G546"/>
      <c r="H546">
        <v>2.8</v>
      </c>
      <c r="I546">
        <v>23.8</v>
      </c>
      <c r="J546">
        <v>0.6</v>
      </c>
      <c r="K546">
        <f t="shared" si="8"/>
        <v>769.49999999999989</v>
      </c>
    </row>
    <row r="547" spans="1:11" x14ac:dyDescent="0.2">
      <c r="A547" s="430">
        <v>45653</v>
      </c>
      <c r="B547">
        <v>294.39999999999998</v>
      </c>
      <c r="C547">
        <v>245.4</v>
      </c>
      <c r="D547">
        <v>17.399999999999999</v>
      </c>
      <c r="E547"/>
      <c r="F547">
        <v>0.9</v>
      </c>
      <c r="G547"/>
      <c r="H547">
        <v>4.4000000000000004</v>
      </c>
      <c r="I547">
        <v>29.9</v>
      </c>
      <c r="J547">
        <v>6.5</v>
      </c>
      <c r="K547">
        <f t="shared" si="8"/>
        <v>598.89999999999986</v>
      </c>
    </row>
    <row r="548" spans="1:11" x14ac:dyDescent="0.2">
      <c r="A548" s="430">
        <v>45654</v>
      </c>
      <c r="B548">
        <v>464.9</v>
      </c>
      <c r="C548">
        <v>453.6</v>
      </c>
      <c r="D548">
        <v>8.8000000000000007</v>
      </c>
      <c r="E548">
        <v>58.5</v>
      </c>
      <c r="F548">
        <v>24.5</v>
      </c>
      <c r="G548">
        <v>90.7</v>
      </c>
      <c r="H548">
        <v>15.8</v>
      </c>
      <c r="I548">
        <v>28</v>
      </c>
      <c r="J548">
        <v>1.8</v>
      </c>
      <c r="K548">
        <f t="shared" si="8"/>
        <v>1146.5999999999999</v>
      </c>
    </row>
    <row r="549" spans="1:11" x14ac:dyDescent="0.2">
      <c r="A549" s="430">
        <v>45655</v>
      </c>
      <c r="B549">
        <v>315.39999999999998</v>
      </c>
      <c r="C549">
        <v>383.4</v>
      </c>
      <c r="D549">
        <v>27.8</v>
      </c>
      <c r="E549">
        <v>35.5</v>
      </c>
      <c r="F549">
        <v>5.5</v>
      </c>
      <c r="G549">
        <v>81</v>
      </c>
      <c r="H549">
        <v>4.2</v>
      </c>
      <c r="I549">
        <v>14.8</v>
      </c>
      <c r="J549">
        <v>9.6999999999999993</v>
      </c>
      <c r="K549">
        <f t="shared" si="8"/>
        <v>877.3</v>
      </c>
    </row>
    <row r="550" spans="1:11" x14ac:dyDescent="0.2">
      <c r="A550" s="430">
        <v>45656</v>
      </c>
      <c r="B550">
        <v>354.3</v>
      </c>
      <c r="C550">
        <v>126.5</v>
      </c>
      <c r="D550">
        <v>14.9</v>
      </c>
      <c r="E550"/>
      <c r="F550">
        <v>7.1</v>
      </c>
      <c r="G550"/>
      <c r="H550">
        <v>2.6</v>
      </c>
      <c r="I550">
        <v>35</v>
      </c>
      <c r="J550">
        <v>2.8</v>
      </c>
      <c r="K550">
        <f t="shared" si="8"/>
        <v>543.20000000000005</v>
      </c>
    </row>
    <row r="551" spans="1:11" x14ac:dyDescent="0.2">
      <c r="A551" s="430">
        <v>45657</v>
      </c>
      <c r="B551">
        <v>336</v>
      </c>
      <c r="C551">
        <v>701.1</v>
      </c>
      <c r="D551">
        <v>6.2</v>
      </c>
      <c r="E551">
        <v>44.3</v>
      </c>
      <c r="F551">
        <v>11.7</v>
      </c>
      <c r="G551">
        <v>94.8</v>
      </c>
      <c r="H551">
        <v>7.8</v>
      </c>
      <c r="I551">
        <v>23.6</v>
      </c>
      <c r="J551"/>
      <c r="K551">
        <f t="shared" si="8"/>
        <v>1225.4999999999998</v>
      </c>
    </row>
    <row r="552" spans="1:11" x14ac:dyDescent="0.2">
      <c r="A552" s="430">
        <v>45658</v>
      </c>
      <c r="B552">
        <v>372.6</v>
      </c>
      <c r="C552">
        <v>429.8</v>
      </c>
      <c r="D552">
        <v>15</v>
      </c>
      <c r="E552">
        <v>53.7</v>
      </c>
      <c r="F552">
        <v>10.9</v>
      </c>
      <c r="G552">
        <v>85.7</v>
      </c>
      <c r="H552">
        <v>5.7</v>
      </c>
      <c r="I552">
        <v>53.3</v>
      </c>
      <c r="J552">
        <v>7.1</v>
      </c>
      <c r="K552">
        <f t="shared" si="8"/>
        <v>1033.8000000000002</v>
      </c>
    </row>
    <row r="553" spans="1:11" x14ac:dyDescent="0.2">
      <c r="A553" s="430">
        <v>45659</v>
      </c>
      <c r="B553">
        <v>358.8</v>
      </c>
      <c r="C553">
        <v>338.6</v>
      </c>
      <c r="D553">
        <v>11.7</v>
      </c>
      <c r="E553"/>
      <c r="F553">
        <v>3.5</v>
      </c>
      <c r="G553"/>
      <c r="H553"/>
      <c r="I553">
        <v>17</v>
      </c>
      <c r="J553">
        <v>5.8</v>
      </c>
      <c r="K553">
        <f t="shared" si="8"/>
        <v>735.40000000000009</v>
      </c>
    </row>
    <row r="554" spans="1:11" x14ac:dyDescent="0.2">
      <c r="A554" s="430">
        <v>45660</v>
      </c>
      <c r="B554">
        <v>268.3</v>
      </c>
      <c r="C554">
        <v>433.2</v>
      </c>
      <c r="D554">
        <v>15.2</v>
      </c>
      <c r="E554">
        <v>55.5</v>
      </c>
      <c r="F554">
        <v>11.6</v>
      </c>
      <c r="G554">
        <v>88.8</v>
      </c>
      <c r="H554">
        <v>5.3</v>
      </c>
      <c r="I554">
        <v>29.9</v>
      </c>
      <c r="J554">
        <v>7</v>
      </c>
      <c r="K554">
        <f t="shared" si="8"/>
        <v>914.8</v>
      </c>
    </row>
    <row r="555" spans="1:11" x14ac:dyDescent="0.2">
      <c r="A555" s="430">
        <v>45661</v>
      </c>
      <c r="B555">
        <v>394.7</v>
      </c>
      <c r="C555">
        <v>500.6</v>
      </c>
      <c r="D555">
        <v>19.2</v>
      </c>
      <c r="E555">
        <v>51.5</v>
      </c>
      <c r="F555">
        <v>3.1</v>
      </c>
      <c r="G555">
        <v>83.7</v>
      </c>
      <c r="H555">
        <v>7.6</v>
      </c>
      <c r="I555">
        <v>19.7</v>
      </c>
      <c r="J555">
        <v>4.5999999999999996</v>
      </c>
      <c r="K555">
        <f t="shared" si="8"/>
        <v>1084.6999999999998</v>
      </c>
    </row>
    <row r="556" spans="1:11" x14ac:dyDescent="0.2">
      <c r="A556" s="430">
        <v>45662</v>
      </c>
      <c r="B556">
        <v>300.5</v>
      </c>
      <c r="C556">
        <v>323.3</v>
      </c>
      <c r="D556">
        <v>26.8</v>
      </c>
      <c r="E556">
        <v>29.5</v>
      </c>
      <c r="F556">
        <v>5.4</v>
      </c>
      <c r="G556">
        <v>72.400000000000006</v>
      </c>
      <c r="H556">
        <v>1.1000000000000001</v>
      </c>
      <c r="I556">
        <v>9.6</v>
      </c>
      <c r="J556">
        <v>7.6</v>
      </c>
      <c r="K556">
        <f t="shared" si="8"/>
        <v>776.19999999999993</v>
      </c>
    </row>
    <row r="557" spans="1:11" x14ac:dyDescent="0.2">
      <c r="A557" s="430">
        <v>45663</v>
      </c>
      <c r="B557">
        <v>267.89999999999998</v>
      </c>
      <c r="C557">
        <v>284.8</v>
      </c>
      <c r="D557">
        <v>12</v>
      </c>
      <c r="E557"/>
      <c r="F557">
        <v>10.8</v>
      </c>
      <c r="G557"/>
      <c r="H557">
        <v>8.6999999999999993</v>
      </c>
      <c r="I557">
        <v>8.1</v>
      </c>
      <c r="J557">
        <v>1.4</v>
      </c>
      <c r="K557">
        <f t="shared" si="8"/>
        <v>593.70000000000005</v>
      </c>
    </row>
    <row r="558" spans="1:11" x14ac:dyDescent="0.2">
      <c r="A558" s="430">
        <v>45664</v>
      </c>
      <c r="B558">
        <v>343.2</v>
      </c>
      <c r="C558">
        <v>449.8</v>
      </c>
      <c r="D558">
        <v>14.6</v>
      </c>
      <c r="E558">
        <v>63.6</v>
      </c>
      <c r="F558">
        <v>14.7</v>
      </c>
      <c r="G558">
        <v>83.5</v>
      </c>
      <c r="H558">
        <v>10.1</v>
      </c>
      <c r="I558">
        <v>9.6</v>
      </c>
      <c r="J558">
        <v>9.6999999999999993</v>
      </c>
      <c r="K558">
        <f t="shared" si="8"/>
        <v>998.80000000000018</v>
      </c>
    </row>
    <row r="559" spans="1:11" x14ac:dyDescent="0.2">
      <c r="A559" s="430">
        <v>45665</v>
      </c>
      <c r="B559">
        <v>355.4</v>
      </c>
      <c r="C559">
        <v>562.20000000000005</v>
      </c>
      <c r="D559">
        <v>6</v>
      </c>
      <c r="E559">
        <v>50.6</v>
      </c>
      <c r="F559">
        <v>5.9</v>
      </c>
      <c r="G559">
        <v>99.5</v>
      </c>
      <c r="H559">
        <v>10.9</v>
      </c>
      <c r="I559">
        <v>35.299999999999997</v>
      </c>
      <c r="J559">
        <v>4</v>
      </c>
      <c r="K559">
        <f t="shared" si="8"/>
        <v>1129.8</v>
      </c>
    </row>
    <row r="560" spans="1:11" x14ac:dyDescent="0.2">
      <c r="A560" s="430">
        <v>45666</v>
      </c>
      <c r="B560">
        <v>341.9</v>
      </c>
      <c r="C560">
        <v>485.6</v>
      </c>
      <c r="D560">
        <v>2.4</v>
      </c>
      <c r="E560">
        <v>60.9</v>
      </c>
      <c r="F560">
        <v>9.5</v>
      </c>
      <c r="G560">
        <v>95.9</v>
      </c>
      <c r="H560">
        <v>9.8000000000000007</v>
      </c>
      <c r="I560">
        <v>13.5</v>
      </c>
      <c r="J560">
        <v>13</v>
      </c>
      <c r="K560">
        <f t="shared" si="8"/>
        <v>1032.5</v>
      </c>
    </row>
    <row r="561" spans="1:11" x14ac:dyDescent="0.2">
      <c r="A561" s="430">
        <v>45667</v>
      </c>
      <c r="B561">
        <v>418.6</v>
      </c>
      <c r="C561">
        <v>498.4</v>
      </c>
      <c r="D561">
        <v>13.8</v>
      </c>
      <c r="E561">
        <v>60</v>
      </c>
      <c r="F561">
        <v>1.1000000000000001</v>
      </c>
      <c r="G561">
        <v>92.3</v>
      </c>
      <c r="H561">
        <v>11.1</v>
      </c>
      <c r="I561">
        <v>30.4</v>
      </c>
      <c r="J561">
        <v>8.6</v>
      </c>
      <c r="K561">
        <f t="shared" si="8"/>
        <v>1134.3</v>
      </c>
    </row>
    <row r="562" spans="1:11" x14ac:dyDescent="0.2">
      <c r="A562" s="430">
        <v>45668</v>
      </c>
      <c r="B562">
        <v>414.9</v>
      </c>
      <c r="C562">
        <v>577.1</v>
      </c>
      <c r="D562">
        <v>7.4</v>
      </c>
      <c r="E562">
        <v>57.3</v>
      </c>
      <c r="F562">
        <v>19.8</v>
      </c>
      <c r="G562">
        <v>98.2</v>
      </c>
      <c r="H562">
        <v>11</v>
      </c>
      <c r="I562">
        <v>17.899999999999999</v>
      </c>
      <c r="J562">
        <v>5.3</v>
      </c>
      <c r="K562">
        <f t="shared" si="8"/>
        <v>1208.9000000000001</v>
      </c>
    </row>
    <row r="563" spans="1:11" x14ac:dyDescent="0.2">
      <c r="A563" s="430">
        <v>45669</v>
      </c>
      <c r="B563">
        <v>375.6</v>
      </c>
      <c r="C563">
        <v>474.2</v>
      </c>
      <c r="D563">
        <v>18.8</v>
      </c>
      <c r="E563">
        <v>22.9</v>
      </c>
      <c r="F563">
        <v>5.6</v>
      </c>
      <c r="G563">
        <v>80.5</v>
      </c>
      <c r="H563"/>
      <c r="I563">
        <v>45.8</v>
      </c>
      <c r="J563">
        <v>2.8</v>
      </c>
      <c r="K563">
        <f t="shared" si="8"/>
        <v>1026.1999999999998</v>
      </c>
    </row>
    <row r="564" spans="1:11" x14ac:dyDescent="0.2">
      <c r="A564" s="430">
        <v>45670</v>
      </c>
      <c r="B564">
        <v>340.7</v>
      </c>
      <c r="C564">
        <v>162.6</v>
      </c>
      <c r="D564">
        <v>3.7</v>
      </c>
      <c r="E564"/>
      <c r="F564">
        <v>14.8</v>
      </c>
      <c r="G564"/>
      <c r="H564">
        <v>6</v>
      </c>
      <c r="I564">
        <v>41.1</v>
      </c>
      <c r="J564">
        <v>4.0999999999999996</v>
      </c>
      <c r="K564">
        <f t="shared" si="8"/>
        <v>573</v>
      </c>
    </row>
    <row r="565" spans="1:11" x14ac:dyDescent="0.2">
      <c r="A565" s="430">
        <v>45671</v>
      </c>
      <c r="B565">
        <v>443.5</v>
      </c>
      <c r="C565">
        <v>629.1</v>
      </c>
      <c r="D565">
        <v>6.7</v>
      </c>
      <c r="E565">
        <v>53.8</v>
      </c>
      <c r="F565">
        <v>3.9</v>
      </c>
      <c r="G565">
        <v>95.7</v>
      </c>
      <c r="H565">
        <v>11.3</v>
      </c>
      <c r="I565">
        <v>34.200000000000003</v>
      </c>
      <c r="J565">
        <v>6.9</v>
      </c>
      <c r="K565">
        <f t="shared" si="8"/>
        <v>1285.1000000000001</v>
      </c>
    </row>
    <row r="566" spans="1:11" x14ac:dyDescent="0.2">
      <c r="A566" s="430">
        <v>45672</v>
      </c>
      <c r="B566">
        <v>447.5</v>
      </c>
      <c r="C566">
        <v>526.29999999999995</v>
      </c>
      <c r="D566">
        <v>10.7</v>
      </c>
      <c r="E566">
        <v>64.2</v>
      </c>
      <c r="F566">
        <v>20.9</v>
      </c>
      <c r="G566">
        <v>102.3</v>
      </c>
      <c r="H566">
        <v>7</v>
      </c>
      <c r="I566">
        <v>29.4</v>
      </c>
      <c r="J566">
        <v>4</v>
      </c>
      <c r="K566">
        <f t="shared" si="8"/>
        <v>1212.3000000000002</v>
      </c>
    </row>
    <row r="567" spans="1:11" x14ac:dyDescent="0.2">
      <c r="A567" s="430">
        <v>45673</v>
      </c>
      <c r="B567">
        <v>434.1</v>
      </c>
      <c r="C567">
        <v>502.8</v>
      </c>
      <c r="D567">
        <v>11.4</v>
      </c>
      <c r="E567">
        <v>53.8</v>
      </c>
      <c r="F567">
        <v>8.6</v>
      </c>
      <c r="G567">
        <v>100.4</v>
      </c>
      <c r="H567">
        <v>5.4</v>
      </c>
      <c r="I567">
        <v>29.4</v>
      </c>
      <c r="J567">
        <v>3.9</v>
      </c>
      <c r="K567">
        <f t="shared" si="8"/>
        <v>1149.8000000000004</v>
      </c>
    </row>
    <row r="568" spans="1:11" x14ac:dyDescent="0.2">
      <c r="A568" s="430">
        <v>45674</v>
      </c>
      <c r="B568">
        <v>424.8</v>
      </c>
      <c r="C568">
        <v>514.1</v>
      </c>
      <c r="D568">
        <v>13.5</v>
      </c>
      <c r="E568">
        <v>43.6</v>
      </c>
      <c r="F568">
        <v>21.8</v>
      </c>
      <c r="G568">
        <v>101.8</v>
      </c>
      <c r="H568">
        <v>7.8</v>
      </c>
      <c r="I568">
        <v>10.3</v>
      </c>
      <c r="J568">
        <v>4.5</v>
      </c>
      <c r="K568">
        <f t="shared" si="8"/>
        <v>1142.2</v>
      </c>
    </row>
    <row r="569" spans="1:11" x14ac:dyDescent="0.2">
      <c r="A569" s="430">
        <v>45675</v>
      </c>
      <c r="B569">
        <v>433.2</v>
      </c>
      <c r="C569">
        <v>454.9</v>
      </c>
      <c r="D569">
        <v>2.9</v>
      </c>
      <c r="E569">
        <v>59.8</v>
      </c>
      <c r="F569">
        <v>17.100000000000001</v>
      </c>
      <c r="G569">
        <v>91</v>
      </c>
      <c r="H569">
        <v>9.9</v>
      </c>
      <c r="I569">
        <v>28.5</v>
      </c>
      <c r="J569">
        <v>4.9000000000000004</v>
      </c>
      <c r="K569">
        <f t="shared" si="8"/>
        <v>1102.2</v>
      </c>
    </row>
    <row r="570" spans="1:11" x14ac:dyDescent="0.2">
      <c r="A570" s="430">
        <v>45676</v>
      </c>
      <c r="B570">
        <v>349.1</v>
      </c>
      <c r="C570">
        <v>401.2</v>
      </c>
      <c r="D570">
        <v>36.200000000000003</v>
      </c>
      <c r="E570">
        <v>16.7</v>
      </c>
      <c r="F570">
        <v>8</v>
      </c>
      <c r="G570">
        <v>90.2</v>
      </c>
      <c r="H570"/>
      <c r="I570">
        <v>26.8</v>
      </c>
      <c r="J570">
        <v>3.2</v>
      </c>
      <c r="K570">
        <f t="shared" si="8"/>
        <v>931.40000000000009</v>
      </c>
    </row>
    <row r="571" spans="1:11" x14ac:dyDescent="0.2">
      <c r="A571" s="430">
        <v>45677</v>
      </c>
      <c r="B571">
        <v>292.3</v>
      </c>
      <c r="C571">
        <v>342.7</v>
      </c>
      <c r="D571">
        <v>3.5</v>
      </c>
      <c r="E571"/>
      <c r="F571">
        <v>5.7</v>
      </c>
      <c r="G571"/>
      <c r="H571">
        <v>6.7</v>
      </c>
      <c r="I571">
        <v>60.8</v>
      </c>
      <c r="J571">
        <v>3.7</v>
      </c>
      <c r="K571">
        <f t="shared" si="8"/>
        <v>715.40000000000009</v>
      </c>
    </row>
    <row r="572" spans="1:11" x14ac:dyDescent="0.2">
      <c r="A572" s="430">
        <v>45678</v>
      </c>
      <c r="B572">
        <v>435.7</v>
      </c>
      <c r="C572">
        <v>516.29999999999995</v>
      </c>
      <c r="D572">
        <v>2.7</v>
      </c>
      <c r="E572">
        <v>63</v>
      </c>
      <c r="F572">
        <v>5.5</v>
      </c>
      <c r="G572">
        <v>97.3</v>
      </c>
      <c r="H572">
        <v>8.4</v>
      </c>
      <c r="I572">
        <v>38.799999999999997</v>
      </c>
      <c r="J572">
        <v>3.8</v>
      </c>
      <c r="K572">
        <f t="shared" si="8"/>
        <v>1171.5</v>
      </c>
    </row>
    <row r="573" spans="1:11" x14ac:dyDescent="0.2">
      <c r="A573" s="430">
        <v>45679</v>
      </c>
      <c r="B573">
        <v>453</v>
      </c>
      <c r="C573">
        <v>687.7</v>
      </c>
      <c r="D573">
        <v>13.4</v>
      </c>
      <c r="E573">
        <v>53.1</v>
      </c>
      <c r="F573">
        <v>2.7</v>
      </c>
      <c r="G573">
        <v>92.4</v>
      </c>
      <c r="H573">
        <v>7.3</v>
      </c>
      <c r="I573">
        <v>39.799999999999997</v>
      </c>
      <c r="J573">
        <v>4.5999999999999996</v>
      </c>
      <c r="K573">
        <f t="shared" si="8"/>
        <v>1354</v>
      </c>
    </row>
    <row r="574" spans="1:11" x14ac:dyDescent="0.2">
      <c r="A574" s="430">
        <v>45680</v>
      </c>
      <c r="B574">
        <v>479.5</v>
      </c>
      <c r="C574">
        <v>426.9</v>
      </c>
      <c r="D574">
        <v>4.8</v>
      </c>
      <c r="E574">
        <v>49.4</v>
      </c>
      <c r="F574">
        <v>25.8</v>
      </c>
      <c r="G574">
        <v>83.1</v>
      </c>
      <c r="H574">
        <v>7.3</v>
      </c>
      <c r="I574">
        <v>32.5</v>
      </c>
      <c r="J574">
        <v>2.6</v>
      </c>
      <c r="K574">
        <f t="shared" si="8"/>
        <v>1111.8999999999996</v>
      </c>
    </row>
    <row r="575" spans="1:11" x14ac:dyDescent="0.2">
      <c r="A575" s="430">
        <v>45681</v>
      </c>
      <c r="B575">
        <v>393.8</v>
      </c>
      <c r="C575">
        <v>580.1</v>
      </c>
      <c r="D575">
        <v>12</v>
      </c>
      <c r="E575">
        <v>57.8</v>
      </c>
      <c r="F575">
        <v>6.7</v>
      </c>
      <c r="G575">
        <v>88.6</v>
      </c>
      <c r="H575">
        <v>9.1</v>
      </c>
      <c r="I575">
        <v>25.6</v>
      </c>
      <c r="J575">
        <v>4.5999999999999996</v>
      </c>
      <c r="K575">
        <f t="shared" si="8"/>
        <v>1178.2999999999997</v>
      </c>
    </row>
    <row r="576" spans="1:11" x14ac:dyDescent="0.2">
      <c r="A576" s="430">
        <v>45682</v>
      </c>
      <c r="B576">
        <v>506.8</v>
      </c>
      <c r="C576">
        <v>263.8</v>
      </c>
      <c r="D576">
        <v>8</v>
      </c>
      <c r="E576">
        <v>66.099999999999994</v>
      </c>
      <c r="F576">
        <v>14.9</v>
      </c>
      <c r="G576">
        <v>79.400000000000006</v>
      </c>
      <c r="H576">
        <v>13.5</v>
      </c>
      <c r="I576">
        <v>27.5</v>
      </c>
      <c r="J576">
        <v>5.4</v>
      </c>
      <c r="K576">
        <f t="shared" si="8"/>
        <v>985.4</v>
      </c>
    </row>
    <row r="577" spans="1:11" x14ac:dyDescent="0.2">
      <c r="A577" s="430">
        <v>45683</v>
      </c>
      <c r="B577">
        <v>422.5</v>
      </c>
      <c r="C577">
        <v>490.1</v>
      </c>
      <c r="D577">
        <v>23.3</v>
      </c>
      <c r="E577">
        <v>30.9</v>
      </c>
      <c r="F577">
        <v>1.1000000000000001</v>
      </c>
      <c r="G577">
        <v>82.5</v>
      </c>
      <c r="H577"/>
      <c r="I577">
        <v>38.4</v>
      </c>
      <c r="J577">
        <v>4.8</v>
      </c>
      <c r="K577">
        <f t="shared" si="8"/>
        <v>1093.6000000000001</v>
      </c>
    </row>
    <row r="578" spans="1:11" x14ac:dyDescent="0.2">
      <c r="A578" s="430">
        <v>45684</v>
      </c>
      <c r="B578">
        <v>355.1</v>
      </c>
      <c r="C578">
        <v>223.6</v>
      </c>
      <c r="D578">
        <v>9.4</v>
      </c>
      <c r="E578"/>
      <c r="F578">
        <v>11.2</v>
      </c>
      <c r="G578"/>
      <c r="H578"/>
      <c r="I578">
        <v>22.7</v>
      </c>
      <c r="J578">
        <v>6.5</v>
      </c>
      <c r="K578">
        <f t="shared" si="8"/>
        <v>628.50000000000011</v>
      </c>
    </row>
    <row r="579" spans="1:11" x14ac:dyDescent="0.2">
      <c r="A579" s="430">
        <v>45685</v>
      </c>
      <c r="B579">
        <v>320.5</v>
      </c>
      <c r="C579">
        <v>464.7</v>
      </c>
      <c r="D579">
        <v>21.3</v>
      </c>
      <c r="E579">
        <v>23.7</v>
      </c>
      <c r="F579">
        <v>14.3</v>
      </c>
      <c r="G579">
        <v>70.400000000000006</v>
      </c>
      <c r="H579">
        <v>6.9</v>
      </c>
      <c r="I579">
        <v>14.9</v>
      </c>
      <c r="J579">
        <v>6</v>
      </c>
      <c r="K579">
        <f t="shared" ref="K579:K642" si="9">SUM(B579:J579)</f>
        <v>942.69999999999993</v>
      </c>
    </row>
    <row r="580" spans="1:11" x14ac:dyDescent="0.2">
      <c r="A580" s="430">
        <v>45686</v>
      </c>
      <c r="B580">
        <v>387.4</v>
      </c>
      <c r="C580">
        <v>367.6</v>
      </c>
      <c r="D580">
        <v>68.599999999999994</v>
      </c>
      <c r="E580">
        <v>111.6</v>
      </c>
      <c r="F580">
        <v>7.4</v>
      </c>
      <c r="G580">
        <v>86.5</v>
      </c>
      <c r="H580">
        <v>5.5</v>
      </c>
      <c r="I580">
        <v>40.799999999999997</v>
      </c>
      <c r="J580">
        <v>5.7</v>
      </c>
      <c r="K580">
        <f t="shared" si="9"/>
        <v>1081.0999999999999</v>
      </c>
    </row>
    <row r="581" spans="1:11" x14ac:dyDescent="0.2">
      <c r="A581" s="430">
        <v>45687</v>
      </c>
      <c r="B581">
        <v>103.2</v>
      </c>
      <c r="C581"/>
      <c r="D581"/>
      <c r="E581"/>
      <c r="F581"/>
      <c r="G581"/>
      <c r="H581"/>
      <c r="I581">
        <v>19</v>
      </c>
      <c r="J581">
        <v>1.7</v>
      </c>
      <c r="K581">
        <f t="shared" si="9"/>
        <v>123.9</v>
      </c>
    </row>
    <row r="582" spans="1:11" x14ac:dyDescent="0.2">
      <c r="A582" s="430">
        <v>45688</v>
      </c>
      <c r="B582">
        <v>145.1</v>
      </c>
      <c r="C582">
        <v>70</v>
      </c>
      <c r="D582">
        <v>7.8</v>
      </c>
      <c r="E582"/>
      <c r="F582"/>
      <c r="G582"/>
      <c r="H582"/>
      <c r="I582">
        <v>20.8</v>
      </c>
      <c r="J582">
        <v>0.7</v>
      </c>
      <c r="K582">
        <f t="shared" si="9"/>
        <v>244.4</v>
      </c>
    </row>
    <row r="583" spans="1:11" x14ac:dyDescent="0.2">
      <c r="A583" s="430">
        <v>45689</v>
      </c>
      <c r="B583">
        <v>181.6</v>
      </c>
      <c r="C583">
        <v>10.9</v>
      </c>
      <c r="D583">
        <v>18.5</v>
      </c>
      <c r="E583"/>
      <c r="F583"/>
      <c r="G583"/>
      <c r="H583"/>
      <c r="I583">
        <v>3.8</v>
      </c>
      <c r="J583">
        <v>3.7</v>
      </c>
      <c r="K583">
        <f t="shared" si="9"/>
        <v>218.5</v>
      </c>
    </row>
    <row r="584" spans="1:11" x14ac:dyDescent="0.2">
      <c r="A584" s="430">
        <v>45690</v>
      </c>
      <c r="B584">
        <v>322.7</v>
      </c>
      <c r="C584">
        <v>227.4</v>
      </c>
      <c r="D584">
        <v>20.8</v>
      </c>
      <c r="E584">
        <v>23.6</v>
      </c>
      <c r="F584">
        <v>24.7</v>
      </c>
      <c r="G584">
        <v>15.6</v>
      </c>
      <c r="H584"/>
      <c r="I584">
        <v>17.3</v>
      </c>
      <c r="J584">
        <v>8</v>
      </c>
      <c r="K584">
        <f t="shared" si="9"/>
        <v>660.1</v>
      </c>
    </row>
    <row r="585" spans="1:11" x14ac:dyDescent="0.2">
      <c r="A585" s="430">
        <v>45691</v>
      </c>
      <c r="B585">
        <v>295.7</v>
      </c>
      <c r="C585">
        <v>154.9</v>
      </c>
      <c r="D585">
        <v>38.5</v>
      </c>
      <c r="E585"/>
      <c r="F585">
        <v>11.3</v>
      </c>
      <c r="G585"/>
      <c r="H585">
        <v>17</v>
      </c>
      <c r="I585"/>
      <c r="J585">
        <v>4.9000000000000004</v>
      </c>
      <c r="K585">
        <f t="shared" si="9"/>
        <v>522.30000000000007</v>
      </c>
    </row>
    <row r="586" spans="1:11" x14ac:dyDescent="0.2">
      <c r="A586" s="430">
        <v>45692</v>
      </c>
      <c r="B586">
        <v>490.6</v>
      </c>
      <c r="C586">
        <v>773.1</v>
      </c>
      <c r="D586">
        <v>11</v>
      </c>
      <c r="E586">
        <v>94.8</v>
      </c>
      <c r="F586">
        <v>8.3000000000000007</v>
      </c>
      <c r="G586">
        <v>135.1</v>
      </c>
      <c r="H586">
        <v>19.2</v>
      </c>
      <c r="I586">
        <v>22.7</v>
      </c>
      <c r="J586">
        <v>7</v>
      </c>
      <c r="K586">
        <f t="shared" si="9"/>
        <v>1561.8</v>
      </c>
    </row>
    <row r="587" spans="1:11" x14ac:dyDescent="0.2">
      <c r="A587" s="430">
        <v>45693</v>
      </c>
      <c r="B587">
        <v>447</v>
      </c>
      <c r="C587">
        <v>702.9</v>
      </c>
      <c r="D587">
        <v>2.7</v>
      </c>
      <c r="E587">
        <v>100.9</v>
      </c>
      <c r="F587">
        <v>17.5</v>
      </c>
      <c r="G587">
        <v>118.2</v>
      </c>
      <c r="H587">
        <v>20.100000000000001</v>
      </c>
      <c r="I587">
        <v>33.4</v>
      </c>
      <c r="J587">
        <v>5.9</v>
      </c>
      <c r="K587">
        <f t="shared" si="9"/>
        <v>1448.6000000000004</v>
      </c>
    </row>
    <row r="588" spans="1:11" x14ac:dyDescent="0.2">
      <c r="A588" s="430">
        <v>45694</v>
      </c>
      <c r="B588">
        <v>511.5</v>
      </c>
      <c r="C588">
        <v>674.8</v>
      </c>
      <c r="D588">
        <v>7.1</v>
      </c>
      <c r="E588">
        <v>108.4</v>
      </c>
      <c r="F588">
        <v>3.1</v>
      </c>
      <c r="G588">
        <v>120.1</v>
      </c>
      <c r="H588">
        <v>25.4</v>
      </c>
      <c r="I588">
        <v>52.2</v>
      </c>
      <c r="J588">
        <v>6.2</v>
      </c>
      <c r="K588">
        <f t="shared" si="9"/>
        <v>1508.8</v>
      </c>
    </row>
    <row r="589" spans="1:11" x14ac:dyDescent="0.2">
      <c r="A589" s="430">
        <v>45695</v>
      </c>
      <c r="B589">
        <v>549.9</v>
      </c>
      <c r="C589">
        <v>779</v>
      </c>
      <c r="D589">
        <v>3</v>
      </c>
      <c r="E589">
        <v>90.3</v>
      </c>
      <c r="F589">
        <v>11.1</v>
      </c>
      <c r="G589">
        <v>140.6</v>
      </c>
      <c r="H589">
        <v>27.6</v>
      </c>
      <c r="I589">
        <v>25.3</v>
      </c>
      <c r="J589">
        <v>14.2</v>
      </c>
      <c r="K589">
        <f t="shared" si="9"/>
        <v>1640.9999999999998</v>
      </c>
    </row>
    <row r="590" spans="1:11" x14ac:dyDescent="0.2">
      <c r="A590" s="430">
        <v>45696</v>
      </c>
      <c r="B590">
        <v>650.20000000000005</v>
      </c>
      <c r="C590">
        <v>630.79999999999995</v>
      </c>
      <c r="D590">
        <v>1.3</v>
      </c>
      <c r="E590">
        <v>54.1</v>
      </c>
      <c r="F590">
        <v>29</v>
      </c>
      <c r="G590">
        <v>131.1</v>
      </c>
      <c r="H590">
        <v>15.1</v>
      </c>
      <c r="I590">
        <v>28.7</v>
      </c>
      <c r="J590">
        <v>11.3</v>
      </c>
      <c r="K590">
        <f t="shared" si="9"/>
        <v>1551.5999999999997</v>
      </c>
    </row>
    <row r="591" spans="1:11" x14ac:dyDescent="0.2">
      <c r="A591" s="430">
        <v>45697</v>
      </c>
      <c r="B591">
        <v>506.5</v>
      </c>
      <c r="C591">
        <v>453.4</v>
      </c>
      <c r="D591">
        <v>4.7</v>
      </c>
      <c r="E591">
        <v>22.5</v>
      </c>
      <c r="F591">
        <v>19.3</v>
      </c>
      <c r="G591">
        <v>100.9</v>
      </c>
      <c r="H591"/>
      <c r="I591">
        <v>28.5</v>
      </c>
      <c r="J591">
        <v>3.8</v>
      </c>
      <c r="K591">
        <f t="shared" si="9"/>
        <v>1139.5999999999999</v>
      </c>
    </row>
    <row r="592" spans="1:11" x14ac:dyDescent="0.2">
      <c r="A592" s="430">
        <v>45698</v>
      </c>
      <c r="B592">
        <v>388.7</v>
      </c>
      <c r="C592">
        <v>430.4</v>
      </c>
      <c r="D592">
        <v>15</v>
      </c>
      <c r="E592"/>
      <c r="F592">
        <v>23.3</v>
      </c>
      <c r="G592"/>
      <c r="H592">
        <v>11</v>
      </c>
      <c r="I592">
        <v>48.9</v>
      </c>
      <c r="J592">
        <v>3.7</v>
      </c>
      <c r="K592">
        <f t="shared" si="9"/>
        <v>920.99999999999989</v>
      </c>
    </row>
    <row r="593" spans="1:11" x14ac:dyDescent="0.2">
      <c r="A593" s="430">
        <v>45699</v>
      </c>
      <c r="B593">
        <v>638</v>
      </c>
      <c r="C593">
        <v>809.4</v>
      </c>
      <c r="D593">
        <v>10.6</v>
      </c>
      <c r="E593">
        <v>107.9</v>
      </c>
      <c r="F593">
        <v>7.1</v>
      </c>
      <c r="G593">
        <v>148.19999999999999</v>
      </c>
      <c r="H593">
        <v>25.8</v>
      </c>
      <c r="I593">
        <v>27.6</v>
      </c>
      <c r="J593">
        <v>11.9</v>
      </c>
      <c r="K593">
        <f t="shared" si="9"/>
        <v>1786.5</v>
      </c>
    </row>
    <row r="594" spans="1:11" x14ac:dyDescent="0.2">
      <c r="A594" s="430">
        <v>45700</v>
      </c>
      <c r="B594">
        <v>530</v>
      </c>
      <c r="C594">
        <v>712</v>
      </c>
      <c r="D594">
        <v>11.5</v>
      </c>
      <c r="E594">
        <v>131.80000000000001</v>
      </c>
      <c r="F594">
        <v>45.5</v>
      </c>
      <c r="G594">
        <v>162.6</v>
      </c>
      <c r="H594">
        <v>27.9</v>
      </c>
      <c r="I594">
        <v>53.4</v>
      </c>
      <c r="J594">
        <v>3.5</v>
      </c>
      <c r="K594">
        <f t="shared" si="9"/>
        <v>1678.2</v>
      </c>
    </row>
    <row r="595" spans="1:11" x14ac:dyDescent="0.2">
      <c r="A595" s="430">
        <v>45701</v>
      </c>
      <c r="B595">
        <v>662</v>
      </c>
      <c r="C595">
        <v>756.3</v>
      </c>
      <c r="D595">
        <v>16</v>
      </c>
      <c r="E595">
        <v>106.1</v>
      </c>
      <c r="F595">
        <v>17.8</v>
      </c>
      <c r="G595">
        <v>131.30000000000001</v>
      </c>
      <c r="H595">
        <v>21.3</v>
      </c>
      <c r="I595">
        <v>39.700000000000003</v>
      </c>
      <c r="J595">
        <v>3.9</v>
      </c>
      <c r="K595">
        <f t="shared" si="9"/>
        <v>1754.3999999999999</v>
      </c>
    </row>
    <row r="596" spans="1:11" x14ac:dyDescent="0.2">
      <c r="A596" s="430">
        <v>45702</v>
      </c>
      <c r="B596">
        <v>629.4</v>
      </c>
      <c r="C596">
        <v>859.3</v>
      </c>
      <c r="D596">
        <v>11.9</v>
      </c>
      <c r="E596">
        <v>116.5</v>
      </c>
      <c r="F596">
        <v>26.8</v>
      </c>
      <c r="G596">
        <v>153.1</v>
      </c>
      <c r="H596">
        <v>26.8</v>
      </c>
      <c r="I596">
        <v>28.8</v>
      </c>
      <c r="J596">
        <v>3.9</v>
      </c>
      <c r="K596">
        <f t="shared" si="9"/>
        <v>1856.4999999999998</v>
      </c>
    </row>
    <row r="597" spans="1:11" x14ac:dyDescent="0.2">
      <c r="A597" s="430">
        <v>45703</v>
      </c>
      <c r="B597">
        <v>523.20000000000005</v>
      </c>
      <c r="C597">
        <v>690.8</v>
      </c>
      <c r="D597">
        <v>4.8</v>
      </c>
      <c r="E597">
        <v>101.6</v>
      </c>
      <c r="F597">
        <v>42.9</v>
      </c>
      <c r="G597">
        <v>134.69999999999999</v>
      </c>
      <c r="H597">
        <v>11.7</v>
      </c>
      <c r="I597">
        <v>36.200000000000003</v>
      </c>
      <c r="J597">
        <v>4.7</v>
      </c>
      <c r="K597">
        <f t="shared" si="9"/>
        <v>1550.6000000000001</v>
      </c>
    </row>
    <row r="598" spans="1:11" x14ac:dyDescent="0.2">
      <c r="A598" s="430">
        <v>45704</v>
      </c>
      <c r="B598">
        <v>369.8</v>
      </c>
      <c r="C598">
        <v>429.6</v>
      </c>
      <c r="D598">
        <v>27.3</v>
      </c>
      <c r="E598">
        <v>11.8</v>
      </c>
      <c r="F598">
        <v>16.600000000000001</v>
      </c>
      <c r="G598">
        <v>112.4</v>
      </c>
      <c r="H598">
        <v>6.2</v>
      </c>
      <c r="I598">
        <v>15.6</v>
      </c>
      <c r="J598">
        <v>12.8</v>
      </c>
      <c r="K598">
        <f t="shared" si="9"/>
        <v>1002.1</v>
      </c>
    </row>
    <row r="599" spans="1:11" x14ac:dyDescent="0.2">
      <c r="A599" s="430">
        <v>45705</v>
      </c>
      <c r="B599">
        <v>428.8</v>
      </c>
      <c r="C599">
        <v>434.2</v>
      </c>
      <c r="D599">
        <v>17.3</v>
      </c>
      <c r="E599"/>
      <c r="F599">
        <v>14.2</v>
      </c>
      <c r="G599"/>
      <c r="H599">
        <v>20.100000000000001</v>
      </c>
      <c r="I599">
        <v>24.4</v>
      </c>
      <c r="J599">
        <v>10.4</v>
      </c>
      <c r="K599">
        <f t="shared" si="9"/>
        <v>949.4</v>
      </c>
    </row>
    <row r="600" spans="1:11" x14ac:dyDescent="0.2">
      <c r="A600" s="430">
        <v>45706</v>
      </c>
      <c r="B600">
        <v>666.5</v>
      </c>
      <c r="C600">
        <v>725.4</v>
      </c>
      <c r="D600">
        <v>3.5</v>
      </c>
      <c r="E600">
        <v>110.7</v>
      </c>
      <c r="F600">
        <v>9.3000000000000007</v>
      </c>
      <c r="G600">
        <v>166.4</v>
      </c>
      <c r="H600">
        <v>24.1</v>
      </c>
      <c r="I600">
        <v>37.799999999999997</v>
      </c>
      <c r="J600">
        <v>11.8</v>
      </c>
      <c r="K600">
        <f t="shared" si="9"/>
        <v>1755.5</v>
      </c>
    </row>
    <row r="601" spans="1:11" x14ac:dyDescent="0.2">
      <c r="A601" s="430">
        <v>45707</v>
      </c>
      <c r="B601">
        <v>604.70000000000005</v>
      </c>
      <c r="C601">
        <v>737.2</v>
      </c>
      <c r="D601">
        <v>2.1</v>
      </c>
      <c r="E601">
        <v>142.30000000000001</v>
      </c>
      <c r="F601">
        <v>20.9</v>
      </c>
      <c r="G601">
        <v>165.7</v>
      </c>
      <c r="H601">
        <v>27.6</v>
      </c>
      <c r="I601">
        <v>36.6</v>
      </c>
      <c r="J601">
        <v>9.1999999999999993</v>
      </c>
      <c r="K601">
        <f t="shared" si="9"/>
        <v>1746.3</v>
      </c>
    </row>
    <row r="602" spans="1:11" x14ac:dyDescent="0.2">
      <c r="A602" s="430">
        <v>45708</v>
      </c>
      <c r="B602">
        <v>564.9</v>
      </c>
      <c r="C602">
        <v>833</v>
      </c>
      <c r="D602">
        <v>4.9000000000000004</v>
      </c>
      <c r="E602">
        <v>120.9</v>
      </c>
      <c r="F602">
        <v>3.5</v>
      </c>
      <c r="G602">
        <v>154.1</v>
      </c>
      <c r="H602">
        <v>23.4</v>
      </c>
      <c r="I602">
        <v>38.1</v>
      </c>
      <c r="J602">
        <v>4.5999999999999996</v>
      </c>
      <c r="K602">
        <f t="shared" si="9"/>
        <v>1747.4</v>
      </c>
    </row>
    <row r="603" spans="1:11" x14ac:dyDescent="0.2">
      <c r="A603" s="430">
        <v>45709</v>
      </c>
      <c r="B603">
        <v>578.9</v>
      </c>
      <c r="C603">
        <v>810.2</v>
      </c>
      <c r="D603">
        <v>12.4</v>
      </c>
      <c r="E603">
        <v>128.9</v>
      </c>
      <c r="F603">
        <v>14.6</v>
      </c>
      <c r="G603">
        <v>146.5</v>
      </c>
      <c r="H603">
        <v>27.4</v>
      </c>
      <c r="I603">
        <v>27.4</v>
      </c>
      <c r="J603">
        <v>3</v>
      </c>
      <c r="K603">
        <f t="shared" si="9"/>
        <v>1749.3000000000002</v>
      </c>
    </row>
    <row r="604" spans="1:11" x14ac:dyDescent="0.2">
      <c r="A604" s="430">
        <v>45710</v>
      </c>
      <c r="B604">
        <v>577.70000000000005</v>
      </c>
      <c r="C604">
        <v>624.20000000000005</v>
      </c>
      <c r="D604">
        <v>2.7</v>
      </c>
      <c r="E604">
        <v>120.8</v>
      </c>
      <c r="F604">
        <v>44.7</v>
      </c>
      <c r="G604">
        <v>154.4</v>
      </c>
      <c r="H604">
        <v>15.2</v>
      </c>
      <c r="I604">
        <v>34.700000000000003</v>
      </c>
      <c r="J604">
        <v>4.2</v>
      </c>
      <c r="K604">
        <f t="shared" si="9"/>
        <v>1578.6000000000004</v>
      </c>
    </row>
    <row r="605" spans="1:11" x14ac:dyDescent="0.2">
      <c r="A605" s="430">
        <v>45711</v>
      </c>
      <c r="B605">
        <v>436.9</v>
      </c>
      <c r="C605">
        <v>510.9</v>
      </c>
      <c r="D605">
        <v>9.1</v>
      </c>
      <c r="E605">
        <v>26.2</v>
      </c>
      <c r="F605">
        <v>19.100000000000001</v>
      </c>
      <c r="G605">
        <v>108.2</v>
      </c>
      <c r="H605">
        <v>6</v>
      </c>
      <c r="I605">
        <v>15.7</v>
      </c>
      <c r="J605">
        <v>4</v>
      </c>
      <c r="K605">
        <f t="shared" si="9"/>
        <v>1136.1000000000001</v>
      </c>
    </row>
    <row r="606" spans="1:11" x14ac:dyDescent="0.2">
      <c r="A606" s="430">
        <v>45712</v>
      </c>
      <c r="B606">
        <v>439</v>
      </c>
      <c r="C606">
        <v>471.9</v>
      </c>
      <c r="D606">
        <v>3.1</v>
      </c>
      <c r="E606"/>
      <c r="F606">
        <v>8.6999999999999993</v>
      </c>
      <c r="G606"/>
      <c r="H606">
        <v>21.2</v>
      </c>
      <c r="I606">
        <v>45.8</v>
      </c>
      <c r="J606">
        <v>10.4</v>
      </c>
      <c r="K606">
        <f t="shared" si="9"/>
        <v>1000.1</v>
      </c>
    </row>
    <row r="607" spans="1:11" x14ac:dyDescent="0.2">
      <c r="A607" s="430">
        <v>45713</v>
      </c>
      <c r="B607">
        <v>585.9</v>
      </c>
      <c r="C607">
        <v>808.3</v>
      </c>
      <c r="D607">
        <v>11.7</v>
      </c>
      <c r="E607">
        <v>130.9</v>
      </c>
      <c r="F607">
        <v>39.200000000000003</v>
      </c>
      <c r="G607">
        <v>160.80000000000001</v>
      </c>
      <c r="H607">
        <v>34.1</v>
      </c>
      <c r="I607">
        <v>18.600000000000001</v>
      </c>
      <c r="J607">
        <v>10.1</v>
      </c>
      <c r="K607">
        <f t="shared" si="9"/>
        <v>1799.5999999999997</v>
      </c>
    </row>
    <row r="608" spans="1:11" x14ac:dyDescent="0.2">
      <c r="A608" s="430">
        <v>45714</v>
      </c>
      <c r="B608">
        <v>570</v>
      </c>
      <c r="C608">
        <v>811.1</v>
      </c>
      <c r="D608">
        <v>5.9</v>
      </c>
      <c r="E608">
        <v>108.5</v>
      </c>
      <c r="F608">
        <v>22.8</v>
      </c>
      <c r="G608">
        <v>152.9</v>
      </c>
      <c r="H608">
        <v>27</v>
      </c>
      <c r="I608">
        <v>15.4</v>
      </c>
      <c r="J608">
        <v>6.3</v>
      </c>
      <c r="K608">
        <f t="shared" si="9"/>
        <v>1719.9</v>
      </c>
    </row>
    <row r="609" spans="1:11" x14ac:dyDescent="0.2">
      <c r="A609" s="430">
        <v>45715</v>
      </c>
      <c r="B609">
        <v>610.6</v>
      </c>
      <c r="C609">
        <v>840.8</v>
      </c>
      <c r="D609">
        <v>7.7</v>
      </c>
      <c r="E609">
        <v>121.2</v>
      </c>
      <c r="F609">
        <v>5.9</v>
      </c>
      <c r="G609">
        <v>162.6</v>
      </c>
      <c r="H609">
        <v>23.1</v>
      </c>
      <c r="I609">
        <v>36.4</v>
      </c>
      <c r="J609">
        <v>2.9</v>
      </c>
      <c r="K609">
        <f t="shared" si="9"/>
        <v>1811.2000000000003</v>
      </c>
    </row>
    <row r="610" spans="1:11" x14ac:dyDescent="0.2">
      <c r="A610" s="430">
        <v>45716</v>
      </c>
      <c r="B610">
        <v>531</v>
      </c>
      <c r="C610">
        <v>661.8</v>
      </c>
      <c r="D610">
        <v>5.9</v>
      </c>
      <c r="E610">
        <v>119.4</v>
      </c>
      <c r="F610">
        <v>14.1</v>
      </c>
      <c r="G610">
        <v>153.1</v>
      </c>
      <c r="H610">
        <v>29.6</v>
      </c>
      <c r="I610">
        <v>27.9</v>
      </c>
      <c r="J610">
        <v>5.3</v>
      </c>
      <c r="K610">
        <f t="shared" si="9"/>
        <v>1548.1</v>
      </c>
    </row>
    <row r="611" spans="1:11" x14ac:dyDescent="0.2">
      <c r="A611" s="430">
        <v>45717</v>
      </c>
      <c r="B611">
        <v>563.79999999999995</v>
      </c>
      <c r="C611">
        <v>880.5</v>
      </c>
      <c r="D611">
        <v>4.7</v>
      </c>
      <c r="E611">
        <v>128.19999999999999</v>
      </c>
      <c r="F611">
        <v>6</v>
      </c>
      <c r="G611">
        <v>152.80000000000001</v>
      </c>
      <c r="H611">
        <v>20.3</v>
      </c>
      <c r="I611">
        <v>20.100000000000001</v>
      </c>
      <c r="J611">
        <v>3.3</v>
      </c>
      <c r="K611">
        <f t="shared" si="9"/>
        <v>1779.6999999999998</v>
      </c>
    </row>
    <row r="612" spans="1:11" x14ac:dyDescent="0.2">
      <c r="A612" s="430">
        <v>45718</v>
      </c>
      <c r="B612">
        <v>475</v>
      </c>
      <c r="C612">
        <v>310.89999999999998</v>
      </c>
      <c r="D612">
        <v>9.1999999999999993</v>
      </c>
      <c r="E612">
        <v>27.5</v>
      </c>
      <c r="F612">
        <v>9.3000000000000007</v>
      </c>
      <c r="G612">
        <v>114.7</v>
      </c>
      <c r="H612">
        <v>4.2</v>
      </c>
      <c r="I612">
        <v>13</v>
      </c>
      <c r="J612">
        <v>5.5</v>
      </c>
      <c r="K612">
        <f t="shared" si="9"/>
        <v>969.30000000000007</v>
      </c>
    </row>
    <row r="613" spans="1:11" x14ac:dyDescent="0.2">
      <c r="A613" s="430">
        <v>45719</v>
      </c>
      <c r="B613">
        <v>392.5</v>
      </c>
      <c r="C613">
        <v>414.7</v>
      </c>
      <c r="D613">
        <v>2.8</v>
      </c>
      <c r="E613"/>
      <c r="F613">
        <v>32.5</v>
      </c>
      <c r="G613"/>
      <c r="H613">
        <v>16.100000000000001</v>
      </c>
      <c r="I613">
        <v>9.1999999999999993</v>
      </c>
      <c r="J613">
        <v>0.9</v>
      </c>
      <c r="K613">
        <f t="shared" si="9"/>
        <v>868.7</v>
      </c>
    </row>
    <row r="614" spans="1:11" x14ac:dyDescent="0.2">
      <c r="A614" s="430">
        <v>45720</v>
      </c>
      <c r="B614">
        <v>627.6</v>
      </c>
      <c r="C614">
        <v>769.8</v>
      </c>
      <c r="D614">
        <v>7.3</v>
      </c>
      <c r="E614">
        <v>126.2</v>
      </c>
      <c r="F614">
        <v>6.5</v>
      </c>
      <c r="G614">
        <v>151.9</v>
      </c>
      <c r="H614">
        <v>28.8</v>
      </c>
      <c r="I614">
        <v>14.7</v>
      </c>
      <c r="J614">
        <v>7.3</v>
      </c>
      <c r="K614">
        <f t="shared" si="9"/>
        <v>1740.1000000000001</v>
      </c>
    </row>
    <row r="615" spans="1:11" x14ac:dyDescent="0.2">
      <c r="A615" s="430">
        <v>45721</v>
      </c>
      <c r="B615">
        <v>562.20000000000005</v>
      </c>
      <c r="C615">
        <v>678.6</v>
      </c>
      <c r="D615">
        <v>4.7</v>
      </c>
      <c r="E615">
        <v>149.6</v>
      </c>
      <c r="F615">
        <v>22.4</v>
      </c>
      <c r="G615">
        <v>156.69999999999999</v>
      </c>
      <c r="H615">
        <v>37.9</v>
      </c>
      <c r="I615">
        <v>36.200000000000003</v>
      </c>
      <c r="J615">
        <v>4.7</v>
      </c>
      <c r="K615">
        <f t="shared" si="9"/>
        <v>1653.0000000000005</v>
      </c>
    </row>
    <row r="616" spans="1:11" x14ac:dyDescent="0.2">
      <c r="A616" s="430">
        <v>45722</v>
      </c>
      <c r="B616">
        <v>566.1</v>
      </c>
      <c r="C616">
        <v>867.9</v>
      </c>
      <c r="D616">
        <v>5.0999999999999996</v>
      </c>
      <c r="E616">
        <v>132.1</v>
      </c>
      <c r="F616">
        <v>32.799999999999997</v>
      </c>
      <c r="G616">
        <v>166.7</v>
      </c>
      <c r="H616">
        <v>29.2</v>
      </c>
      <c r="I616">
        <v>23.3</v>
      </c>
      <c r="J616">
        <v>6.2</v>
      </c>
      <c r="K616">
        <f t="shared" si="9"/>
        <v>1829.3999999999999</v>
      </c>
    </row>
    <row r="617" spans="1:11" x14ac:dyDescent="0.2">
      <c r="A617" s="430">
        <v>45723</v>
      </c>
      <c r="B617">
        <v>564.29999999999995</v>
      </c>
      <c r="C617">
        <v>784.7</v>
      </c>
      <c r="D617">
        <v>6.6</v>
      </c>
      <c r="E617">
        <v>137.5</v>
      </c>
      <c r="F617">
        <v>8.4</v>
      </c>
      <c r="G617">
        <v>151.6</v>
      </c>
      <c r="H617">
        <v>23.5</v>
      </c>
      <c r="I617">
        <v>25.2</v>
      </c>
      <c r="J617">
        <v>5.5</v>
      </c>
      <c r="K617">
        <f t="shared" si="9"/>
        <v>1707.3</v>
      </c>
    </row>
    <row r="618" spans="1:11" x14ac:dyDescent="0.2">
      <c r="A618" s="430">
        <v>45724</v>
      </c>
      <c r="B618">
        <v>531.6</v>
      </c>
      <c r="C618">
        <v>714.9</v>
      </c>
      <c r="D618">
        <v>2.8</v>
      </c>
      <c r="E618">
        <v>142.69999999999999</v>
      </c>
      <c r="F618">
        <v>7.9</v>
      </c>
      <c r="G618">
        <v>156.5</v>
      </c>
      <c r="H618">
        <v>17.899999999999999</v>
      </c>
      <c r="I618">
        <v>25.4</v>
      </c>
      <c r="J618">
        <v>7.6</v>
      </c>
      <c r="K618">
        <f t="shared" si="9"/>
        <v>1607.3000000000002</v>
      </c>
    </row>
    <row r="619" spans="1:11" x14ac:dyDescent="0.2">
      <c r="A619" s="430">
        <v>45725</v>
      </c>
      <c r="B619">
        <v>398.2</v>
      </c>
      <c r="C619">
        <v>440.2</v>
      </c>
      <c r="D619">
        <v>9.4</v>
      </c>
      <c r="E619">
        <v>57.7</v>
      </c>
      <c r="F619">
        <v>23.8</v>
      </c>
      <c r="G619">
        <v>137.6</v>
      </c>
      <c r="H619">
        <v>14.1</v>
      </c>
      <c r="I619">
        <v>44.7</v>
      </c>
      <c r="J619">
        <v>7.8</v>
      </c>
      <c r="K619">
        <f t="shared" si="9"/>
        <v>1133.4999999999998</v>
      </c>
    </row>
    <row r="620" spans="1:11" x14ac:dyDescent="0.2">
      <c r="A620" s="430">
        <v>45726</v>
      </c>
      <c r="B620">
        <v>419</v>
      </c>
      <c r="C620">
        <v>458.4</v>
      </c>
      <c r="D620">
        <v>14.3</v>
      </c>
      <c r="E620"/>
      <c r="F620">
        <v>15.7</v>
      </c>
      <c r="G620"/>
      <c r="H620">
        <v>18.600000000000001</v>
      </c>
      <c r="I620">
        <v>29.1</v>
      </c>
      <c r="J620">
        <v>2.1</v>
      </c>
      <c r="K620">
        <f t="shared" si="9"/>
        <v>957.2</v>
      </c>
    </row>
    <row r="621" spans="1:11" x14ac:dyDescent="0.2">
      <c r="A621" s="430">
        <v>45727</v>
      </c>
      <c r="B621">
        <v>566.79999999999995</v>
      </c>
      <c r="C621">
        <v>839.2</v>
      </c>
      <c r="D621">
        <v>4.9000000000000004</v>
      </c>
      <c r="E621">
        <v>117.8</v>
      </c>
      <c r="F621">
        <v>15.5</v>
      </c>
      <c r="G621">
        <v>166.8</v>
      </c>
      <c r="H621">
        <v>35</v>
      </c>
      <c r="I621">
        <v>27.6</v>
      </c>
      <c r="J621">
        <v>8.1</v>
      </c>
      <c r="K621">
        <f t="shared" si="9"/>
        <v>1781.6999999999998</v>
      </c>
    </row>
    <row r="622" spans="1:11" x14ac:dyDescent="0.2">
      <c r="A622" s="430">
        <v>45728</v>
      </c>
      <c r="B622">
        <v>591.4</v>
      </c>
      <c r="C622">
        <v>917.9</v>
      </c>
      <c r="D622">
        <v>3.1</v>
      </c>
      <c r="E622">
        <v>143</v>
      </c>
      <c r="F622">
        <v>29.4</v>
      </c>
      <c r="G622">
        <v>156.69999999999999</v>
      </c>
      <c r="H622">
        <v>25.2</v>
      </c>
      <c r="I622">
        <v>28.3</v>
      </c>
      <c r="J622">
        <v>6.7</v>
      </c>
      <c r="K622">
        <f t="shared" si="9"/>
        <v>1901.7</v>
      </c>
    </row>
    <row r="623" spans="1:11" x14ac:dyDescent="0.2">
      <c r="A623" s="430">
        <v>45729</v>
      </c>
      <c r="B623">
        <v>630.70000000000005</v>
      </c>
      <c r="C623">
        <v>720.8</v>
      </c>
      <c r="D623">
        <v>7.4</v>
      </c>
      <c r="E623">
        <v>135.30000000000001</v>
      </c>
      <c r="F623">
        <v>21</v>
      </c>
      <c r="G623">
        <v>155.9</v>
      </c>
      <c r="H623">
        <v>27.6</v>
      </c>
      <c r="I623">
        <v>11.6</v>
      </c>
      <c r="J623">
        <v>3.6</v>
      </c>
      <c r="K623">
        <f t="shared" si="9"/>
        <v>1713.8999999999999</v>
      </c>
    </row>
    <row r="624" spans="1:11" x14ac:dyDescent="0.2">
      <c r="A624" s="430">
        <v>45730</v>
      </c>
      <c r="B624">
        <v>630.70000000000005</v>
      </c>
      <c r="C624">
        <v>786.1</v>
      </c>
      <c r="D624">
        <v>4.4000000000000004</v>
      </c>
      <c r="E624">
        <v>141.1</v>
      </c>
      <c r="F624">
        <v>3.3</v>
      </c>
      <c r="G624">
        <v>147.5</v>
      </c>
      <c r="H624">
        <v>28.2</v>
      </c>
      <c r="I624">
        <v>28.7</v>
      </c>
      <c r="J624">
        <v>3.4</v>
      </c>
      <c r="K624">
        <f t="shared" si="9"/>
        <v>1773.4000000000003</v>
      </c>
    </row>
    <row r="625" spans="1:11" x14ac:dyDescent="0.2">
      <c r="A625" s="430">
        <v>45731</v>
      </c>
      <c r="B625">
        <v>566.1</v>
      </c>
      <c r="C625">
        <v>728.6</v>
      </c>
      <c r="D625">
        <v>3.7</v>
      </c>
      <c r="E625">
        <v>142</v>
      </c>
      <c r="F625">
        <v>23.6</v>
      </c>
      <c r="G625">
        <v>151.9</v>
      </c>
      <c r="H625">
        <v>22.4</v>
      </c>
      <c r="I625">
        <v>64.400000000000006</v>
      </c>
      <c r="J625">
        <v>7.9</v>
      </c>
      <c r="K625">
        <f t="shared" si="9"/>
        <v>1710.6000000000004</v>
      </c>
    </row>
    <row r="626" spans="1:11" x14ac:dyDescent="0.2">
      <c r="A626" s="430">
        <v>45732</v>
      </c>
      <c r="B626">
        <v>454.4</v>
      </c>
      <c r="C626">
        <v>471.5</v>
      </c>
      <c r="D626">
        <v>4.5</v>
      </c>
      <c r="E626">
        <v>38.9</v>
      </c>
      <c r="F626">
        <v>10.9</v>
      </c>
      <c r="G626">
        <v>122.3</v>
      </c>
      <c r="H626">
        <v>3.9</v>
      </c>
      <c r="I626">
        <v>47.3</v>
      </c>
      <c r="J626">
        <v>6.4</v>
      </c>
      <c r="K626">
        <f t="shared" si="9"/>
        <v>1160.1000000000001</v>
      </c>
    </row>
    <row r="627" spans="1:11" x14ac:dyDescent="0.2">
      <c r="A627" s="430">
        <v>45733</v>
      </c>
      <c r="B627">
        <v>408.6</v>
      </c>
      <c r="C627">
        <v>376.3</v>
      </c>
      <c r="D627">
        <v>4.2</v>
      </c>
      <c r="E627"/>
      <c r="F627">
        <v>11.5</v>
      </c>
      <c r="G627"/>
      <c r="H627">
        <v>20.3</v>
      </c>
      <c r="I627">
        <v>19</v>
      </c>
      <c r="J627">
        <v>9.3000000000000007</v>
      </c>
      <c r="K627">
        <f t="shared" si="9"/>
        <v>849.2</v>
      </c>
    </row>
    <row r="628" spans="1:11" x14ac:dyDescent="0.2">
      <c r="A628" s="430">
        <v>45734</v>
      </c>
      <c r="B628">
        <v>761.4</v>
      </c>
      <c r="C628">
        <v>850.3</v>
      </c>
      <c r="D628">
        <v>4.5999999999999996</v>
      </c>
      <c r="E628">
        <v>142.69999999999999</v>
      </c>
      <c r="F628">
        <v>13.2</v>
      </c>
      <c r="G628">
        <v>163</v>
      </c>
      <c r="H628">
        <v>36.200000000000003</v>
      </c>
      <c r="I628">
        <v>56.3</v>
      </c>
      <c r="J628">
        <v>6.6</v>
      </c>
      <c r="K628">
        <f t="shared" si="9"/>
        <v>2034.2999999999997</v>
      </c>
    </row>
    <row r="629" spans="1:11" x14ac:dyDescent="0.2">
      <c r="A629" s="430">
        <v>45735</v>
      </c>
      <c r="B629">
        <v>494.3</v>
      </c>
      <c r="C629">
        <v>698</v>
      </c>
      <c r="D629">
        <v>5.2</v>
      </c>
      <c r="E629">
        <v>133</v>
      </c>
      <c r="F629">
        <v>19.2</v>
      </c>
      <c r="G629">
        <v>152.9</v>
      </c>
      <c r="H629">
        <v>29.9</v>
      </c>
      <c r="I629">
        <v>22.2</v>
      </c>
      <c r="J629">
        <v>0.5</v>
      </c>
      <c r="K629">
        <f t="shared" si="9"/>
        <v>1555.2000000000003</v>
      </c>
    </row>
    <row r="630" spans="1:11" x14ac:dyDescent="0.2">
      <c r="A630" s="430">
        <v>45736</v>
      </c>
      <c r="B630">
        <v>636.6</v>
      </c>
      <c r="C630">
        <v>885.5</v>
      </c>
      <c r="D630">
        <v>3.2</v>
      </c>
      <c r="E630">
        <v>149.69999999999999</v>
      </c>
      <c r="F630">
        <v>28</v>
      </c>
      <c r="G630">
        <v>161.4</v>
      </c>
      <c r="H630">
        <v>27.4</v>
      </c>
      <c r="I630">
        <v>23</v>
      </c>
      <c r="J630">
        <v>3.3</v>
      </c>
      <c r="K630">
        <f t="shared" si="9"/>
        <v>1918.1000000000001</v>
      </c>
    </row>
    <row r="631" spans="1:11" x14ac:dyDescent="0.2">
      <c r="A631" s="430">
        <v>45737</v>
      </c>
      <c r="B631">
        <v>552.79999999999995</v>
      </c>
      <c r="C631">
        <v>832.4</v>
      </c>
      <c r="D631">
        <v>14.7</v>
      </c>
      <c r="E631">
        <v>119.3</v>
      </c>
      <c r="F631">
        <v>19.5</v>
      </c>
      <c r="G631">
        <v>166.8</v>
      </c>
      <c r="H631">
        <v>30.4</v>
      </c>
      <c r="I631">
        <v>23.6</v>
      </c>
      <c r="J631">
        <v>5</v>
      </c>
      <c r="K631">
        <f t="shared" si="9"/>
        <v>1764.4999999999998</v>
      </c>
    </row>
    <row r="632" spans="1:11" x14ac:dyDescent="0.2">
      <c r="A632" s="430">
        <v>45738</v>
      </c>
      <c r="B632">
        <v>594</v>
      </c>
      <c r="C632">
        <v>768.2</v>
      </c>
      <c r="D632">
        <v>13.3</v>
      </c>
      <c r="E632">
        <v>136.80000000000001</v>
      </c>
      <c r="F632">
        <v>42</v>
      </c>
      <c r="G632">
        <v>157.80000000000001</v>
      </c>
      <c r="H632">
        <v>22.6</v>
      </c>
      <c r="I632">
        <v>13.6</v>
      </c>
      <c r="J632">
        <v>6.5</v>
      </c>
      <c r="K632">
        <f t="shared" si="9"/>
        <v>1754.7999999999997</v>
      </c>
    </row>
    <row r="633" spans="1:11" x14ac:dyDescent="0.2">
      <c r="A633" s="430">
        <v>45739</v>
      </c>
      <c r="B633">
        <v>466.2</v>
      </c>
      <c r="C633">
        <v>431.2</v>
      </c>
      <c r="D633">
        <v>41.6</v>
      </c>
      <c r="E633">
        <v>25.4</v>
      </c>
      <c r="F633">
        <v>12.2</v>
      </c>
      <c r="G633">
        <v>135.6</v>
      </c>
      <c r="H633">
        <v>3.9</v>
      </c>
      <c r="I633">
        <v>37.200000000000003</v>
      </c>
      <c r="J633">
        <v>5.2</v>
      </c>
      <c r="K633">
        <f t="shared" si="9"/>
        <v>1158.5000000000002</v>
      </c>
    </row>
    <row r="634" spans="1:11" x14ac:dyDescent="0.2">
      <c r="A634" s="430">
        <v>45740</v>
      </c>
      <c r="B634">
        <v>401.3</v>
      </c>
      <c r="C634">
        <v>371.7</v>
      </c>
      <c r="D634">
        <v>2.9</v>
      </c>
      <c r="E634"/>
      <c r="F634">
        <v>6.6</v>
      </c>
      <c r="G634">
        <v>9.1</v>
      </c>
      <c r="H634">
        <v>14.4</v>
      </c>
      <c r="I634">
        <v>36.9</v>
      </c>
      <c r="J634">
        <v>5.3</v>
      </c>
      <c r="K634">
        <f t="shared" si="9"/>
        <v>848.19999999999993</v>
      </c>
    </row>
    <row r="635" spans="1:11" x14ac:dyDescent="0.2">
      <c r="A635" s="430">
        <v>45741</v>
      </c>
      <c r="B635">
        <v>590.9</v>
      </c>
      <c r="C635">
        <v>723.8</v>
      </c>
      <c r="D635">
        <v>6.4</v>
      </c>
      <c r="E635">
        <v>144.5</v>
      </c>
      <c r="F635">
        <v>25.6</v>
      </c>
      <c r="G635">
        <v>162.69999999999999</v>
      </c>
      <c r="H635">
        <v>35.799999999999997</v>
      </c>
      <c r="I635">
        <v>27.7</v>
      </c>
      <c r="J635">
        <v>3.8</v>
      </c>
      <c r="K635">
        <f t="shared" si="9"/>
        <v>1721.1999999999998</v>
      </c>
    </row>
    <row r="636" spans="1:11" x14ac:dyDescent="0.2">
      <c r="A636" s="430">
        <v>45742</v>
      </c>
      <c r="B636">
        <v>510.5</v>
      </c>
      <c r="C636">
        <v>822.3</v>
      </c>
      <c r="D636">
        <v>1.7</v>
      </c>
      <c r="E636">
        <v>143</v>
      </c>
      <c r="F636">
        <v>10.4</v>
      </c>
      <c r="G636">
        <v>166.7</v>
      </c>
      <c r="H636">
        <v>31.2</v>
      </c>
      <c r="I636">
        <v>18.899999999999999</v>
      </c>
      <c r="J636">
        <v>4.0999999999999996</v>
      </c>
      <c r="K636">
        <f t="shared" si="9"/>
        <v>1708.8000000000002</v>
      </c>
    </row>
    <row r="637" spans="1:11" x14ac:dyDescent="0.2">
      <c r="A637" s="430">
        <v>45743</v>
      </c>
      <c r="B637">
        <v>479.2</v>
      </c>
      <c r="C637">
        <v>881.6</v>
      </c>
      <c r="D637">
        <v>4</v>
      </c>
      <c r="E637">
        <v>136.80000000000001</v>
      </c>
      <c r="F637">
        <v>19.899999999999999</v>
      </c>
      <c r="G637">
        <v>159.80000000000001</v>
      </c>
      <c r="H637">
        <v>26.9</v>
      </c>
      <c r="I637">
        <v>40.6</v>
      </c>
      <c r="J637">
        <v>7.8</v>
      </c>
      <c r="K637">
        <f t="shared" si="9"/>
        <v>1756.6</v>
      </c>
    </row>
    <row r="638" spans="1:11" x14ac:dyDescent="0.2">
      <c r="A638" s="430">
        <v>45744</v>
      </c>
      <c r="B638">
        <v>631.79999999999995</v>
      </c>
      <c r="C638">
        <v>947.2</v>
      </c>
      <c r="D638">
        <v>9.1999999999999993</v>
      </c>
      <c r="E638">
        <v>131.1</v>
      </c>
      <c r="F638">
        <v>13.9</v>
      </c>
      <c r="G638">
        <v>168</v>
      </c>
      <c r="H638">
        <v>30.1</v>
      </c>
      <c r="I638">
        <v>43.2</v>
      </c>
      <c r="J638">
        <v>0.9</v>
      </c>
      <c r="K638">
        <f t="shared" si="9"/>
        <v>1975.4</v>
      </c>
    </row>
    <row r="639" spans="1:11" x14ac:dyDescent="0.2">
      <c r="A639" s="430">
        <v>45745</v>
      </c>
      <c r="B639">
        <v>627.5</v>
      </c>
      <c r="C639">
        <v>633.20000000000005</v>
      </c>
      <c r="D639">
        <v>7.7</v>
      </c>
      <c r="E639">
        <v>133.1</v>
      </c>
      <c r="F639">
        <v>21.8</v>
      </c>
      <c r="G639">
        <v>157.19999999999999</v>
      </c>
      <c r="H639">
        <v>22.3</v>
      </c>
      <c r="I639">
        <v>3.1</v>
      </c>
      <c r="J639">
        <v>2.2999999999999998</v>
      </c>
      <c r="K639">
        <f t="shared" si="9"/>
        <v>1608.1999999999998</v>
      </c>
    </row>
    <row r="640" spans="1:11" x14ac:dyDescent="0.2">
      <c r="A640" s="430">
        <v>45746</v>
      </c>
      <c r="B640">
        <v>555.29999999999995</v>
      </c>
      <c r="C640">
        <v>450.1</v>
      </c>
      <c r="D640">
        <v>2.2999999999999998</v>
      </c>
      <c r="E640">
        <v>25.7</v>
      </c>
      <c r="F640">
        <v>24.7</v>
      </c>
      <c r="G640">
        <v>155.9</v>
      </c>
      <c r="H640">
        <v>9.3000000000000007</v>
      </c>
      <c r="I640">
        <v>10.6</v>
      </c>
      <c r="J640">
        <v>1</v>
      </c>
      <c r="K640">
        <f t="shared" si="9"/>
        <v>1234.8999999999999</v>
      </c>
    </row>
    <row r="641" spans="1:11" x14ac:dyDescent="0.2">
      <c r="A641" s="430">
        <v>45747</v>
      </c>
      <c r="B641">
        <v>438.7</v>
      </c>
      <c r="C641">
        <v>417</v>
      </c>
      <c r="D641">
        <v>2</v>
      </c>
      <c r="E641"/>
      <c r="F641">
        <v>6.1</v>
      </c>
      <c r="G641"/>
      <c r="H641">
        <v>14.1</v>
      </c>
      <c r="I641">
        <v>14.9</v>
      </c>
      <c r="J641">
        <v>3.9</v>
      </c>
      <c r="K641">
        <f t="shared" si="9"/>
        <v>896.7</v>
      </c>
    </row>
    <row r="642" spans="1:11" x14ac:dyDescent="0.2">
      <c r="A642" s="430">
        <v>45748</v>
      </c>
      <c r="B642">
        <v>634.4</v>
      </c>
      <c r="C642">
        <v>763.6</v>
      </c>
      <c r="D642">
        <v>7.8</v>
      </c>
      <c r="E642">
        <v>94.9</v>
      </c>
      <c r="F642">
        <v>8.1</v>
      </c>
      <c r="G642">
        <v>152.6</v>
      </c>
      <c r="H642">
        <v>26.4</v>
      </c>
      <c r="I642">
        <v>30.6</v>
      </c>
      <c r="J642">
        <v>4.8</v>
      </c>
      <c r="K642">
        <f t="shared" si="9"/>
        <v>1723.1999999999998</v>
      </c>
    </row>
    <row r="643" spans="1:11" x14ac:dyDescent="0.2">
      <c r="A643" s="430">
        <v>45749</v>
      </c>
      <c r="B643">
        <v>469</v>
      </c>
      <c r="C643">
        <v>569.9</v>
      </c>
      <c r="D643">
        <v>3</v>
      </c>
      <c r="E643">
        <v>127.1</v>
      </c>
      <c r="F643">
        <v>25.7</v>
      </c>
      <c r="G643">
        <v>108.8</v>
      </c>
      <c r="H643">
        <v>9.1</v>
      </c>
      <c r="I643">
        <v>41.3</v>
      </c>
      <c r="J643">
        <v>4.5999999999999996</v>
      </c>
      <c r="K643">
        <f t="shared" ref="K643:K706" si="10">SUM(B643:J643)</f>
        <v>1358.4999999999998</v>
      </c>
    </row>
    <row r="644" spans="1:11" x14ac:dyDescent="0.2">
      <c r="A644" s="430">
        <v>45750</v>
      </c>
      <c r="B644">
        <v>412.1</v>
      </c>
      <c r="C644">
        <v>737.2</v>
      </c>
      <c r="D644">
        <v>8.5</v>
      </c>
      <c r="E644">
        <v>66.400000000000006</v>
      </c>
      <c r="F644">
        <v>9.6999999999999993</v>
      </c>
      <c r="G644">
        <v>121.8</v>
      </c>
      <c r="H644">
        <v>8.4</v>
      </c>
      <c r="I644">
        <v>37.9</v>
      </c>
      <c r="J644">
        <v>3.1</v>
      </c>
      <c r="K644">
        <f t="shared" si="10"/>
        <v>1405.1000000000004</v>
      </c>
    </row>
    <row r="645" spans="1:11" x14ac:dyDescent="0.2">
      <c r="A645" s="430">
        <v>45751</v>
      </c>
      <c r="B645">
        <v>489.5</v>
      </c>
      <c r="C645">
        <v>515.1</v>
      </c>
      <c r="D645">
        <v>6.8</v>
      </c>
      <c r="E645">
        <v>122.6</v>
      </c>
      <c r="F645">
        <v>10</v>
      </c>
      <c r="G645">
        <v>142.69999999999999</v>
      </c>
      <c r="H645">
        <v>12.6</v>
      </c>
      <c r="I645">
        <v>19.399999999999999</v>
      </c>
      <c r="J645">
        <v>3.5</v>
      </c>
      <c r="K645">
        <f t="shared" si="10"/>
        <v>1322.2</v>
      </c>
    </row>
    <row r="646" spans="1:11" x14ac:dyDescent="0.2">
      <c r="A646" s="430">
        <v>45752</v>
      </c>
      <c r="B646">
        <v>349.7</v>
      </c>
      <c r="C646">
        <v>348.7</v>
      </c>
      <c r="D646">
        <v>5.7</v>
      </c>
      <c r="E646"/>
      <c r="F646">
        <v>11.1</v>
      </c>
      <c r="G646"/>
      <c r="H646">
        <v>2.2000000000000002</v>
      </c>
      <c r="I646">
        <v>34.700000000000003</v>
      </c>
      <c r="J646">
        <v>4.3</v>
      </c>
      <c r="K646">
        <f t="shared" si="10"/>
        <v>756.40000000000009</v>
      </c>
    </row>
    <row r="647" spans="1:11" x14ac:dyDescent="0.2">
      <c r="A647" s="430">
        <v>45753</v>
      </c>
      <c r="B647">
        <v>304.89999999999998</v>
      </c>
      <c r="C647">
        <v>364</v>
      </c>
      <c r="D647">
        <v>9.6</v>
      </c>
      <c r="E647">
        <v>23.5</v>
      </c>
      <c r="F647">
        <v>10.7</v>
      </c>
      <c r="G647">
        <v>98.6</v>
      </c>
      <c r="H647">
        <v>2</v>
      </c>
      <c r="I647">
        <v>46.9</v>
      </c>
      <c r="J647">
        <v>2.9</v>
      </c>
      <c r="K647">
        <f t="shared" si="10"/>
        <v>863.1</v>
      </c>
    </row>
    <row r="648" spans="1:11" x14ac:dyDescent="0.2">
      <c r="A648" s="430">
        <v>45754</v>
      </c>
      <c r="B648">
        <v>407.5</v>
      </c>
      <c r="C648">
        <v>338.3</v>
      </c>
      <c r="D648">
        <v>2.1</v>
      </c>
      <c r="E648"/>
      <c r="F648">
        <v>3.5</v>
      </c>
      <c r="G648"/>
      <c r="H648">
        <v>19.899999999999999</v>
      </c>
      <c r="I648">
        <v>53.6</v>
      </c>
      <c r="J648">
        <v>5.9</v>
      </c>
      <c r="K648">
        <f t="shared" si="10"/>
        <v>830.8</v>
      </c>
    </row>
    <row r="649" spans="1:11" x14ac:dyDescent="0.2">
      <c r="A649" s="430">
        <v>45755</v>
      </c>
      <c r="B649">
        <v>674.2</v>
      </c>
      <c r="C649">
        <v>698.6</v>
      </c>
      <c r="D649">
        <v>5.0999999999999996</v>
      </c>
      <c r="E649">
        <v>162.5</v>
      </c>
      <c r="F649">
        <v>10.1</v>
      </c>
      <c r="G649">
        <v>155.9</v>
      </c>
      <c r="H649">
        <v>30.1</v>
      </c>
      <c r="I649">
        <v>33.1</v>
      </c>
      <c r="J649">
        <v>7.9</v>
      </c>
      <c r="K649">
        <f t="shared" si="10"/>
        <v>1777.5</v>
      </c>
    </row>
    <row r="650" spans="1:11" x14ac:dyDescent="0.2">
      <c r="A650" s="430">
        <v>45756</v>
      </c>
      <c r="B650">
        <v>599.5</v>
      </c>
      <c r="C650">
        <v>716.3</v>
      </c>
      <c r="D650">
        <v>7.5</v>
      </c>
      <c r="E650">
        <v>136.5</v>
      </c>
      <c r="F650">
        <v>14.3</v>
      </c>
      <c r="G650">
        <v>167.8</v>
      </c>
      <c r="H650">
        <v>25.6</v>
      </c>
      <c r="I650">
        <v>12.8</v>
      </c>
      <c r="J650">
        <v>3.9</v>
      </c>
      <c r="K650">
        <f t="shared" si="10"/>
        <v>1684.1999999999998</v>
      </c>
    </row>
    <row r="651" spans="1:11" x14ac:dyDescent="0.2">
      <c r="A651" s="430">
        <v>45757</v>
      </c>
      <c r="B651">
        <v>569.9</v>
      </c>
      <c r="C651">
        <v>788.8</v>
      </c>
      <c r="D651">
        <v>7.2</v>
      </c>
      <c r="E651">
        <v>142.69999999999999</v>
      </c>
      <c r="F651">
        <v>27.4</v>
      </c>
      <c r="G651">
        <v>153.1</v>
      </c>
      <c r="H651">
        <v>35.299999999999997</v>
      </c>
      <c r="I651">
        <v>25.5</v>
      </c>
      <c r="J651">
        <v>4.5</v>
      </c>
      <c r="K651">
        <f t="shared" si="10"/>
        <v>1754.3999999999999</v>
      </c>
    </row>
    <row r="652" spans="1:11" x14ac:dyDescent="0.2">
      <c r="A652" s="430">
        <v>45758</v>
      </c>
      <c r="B652">
        <v>516.6</v>
      </c>
      <c r="C652">
        <v>598.1</v>
      </c>
      <c r="D652">
        <v>2.8</v>
      </c>
      <c r="E652">
        <v>142.6</v>
      </c>
      <c r="F652">
        <v>7.2</v>
      </c>
      <c r="G652">
        <v>154.69999999999999</v>
      </c>
      <c r="H652">
        <v>34.5</v>
      </c>
      <c r="I652">
        <v>18.399999999999999</v>
      </c>
      <c r="J652">
        <v>3.4</v>
      </c>
      <c r="K652">
        <f t="shared" si="10"/>
        <v>1478.3000000000002</v>
      </c>
    </row>
    <row r="653" spans="1:11" x14ac:dyDescent="0.2">
      <c r="A653" s="430">
        <v>45759</v>
      </c>
      <c r="B653">
        <v>519</v>
      </c>
      <c r="C653">
        <v>494.5</v>
      </c>
      <c r="D653">
        <v>7.3</v>
      </c>
      <c r="E653">
        <v>133.1</v>
      </c>
      <c r="F653">
        <v>10</v>
      </c>
      <c r="G653">
        <v>151</v>
      </c>
      <c r="H653">
        <v>17.8</v>
      </c>
      <c r="I653">
        <v>36.9</v>
      </c>
      <c r="J653">
        <v>5</v>
      </c>
      <c r="K653">
        <f t="shared" si="10"/>
        <v>1374.6</v>
      </c>
    </row>
    <row r="654" spans="1:11" x14ac:dyDescent="0.2">
      <c r="A654" s="430">
        <v>45760</v>
      </c>
      <c r="B654">
        <v>368.6</v>
      </c>
      <c r="C654">
        <v>691.9</v>
      </c>
      <c r="D654">
        <v>8.1</v>
      </c>
      <c r="E654">
        <v>25.4</v>
      </c>
      <c r="F654">
        <v>8.3000000000000007</v>
      </c>
      <c r="G654">
        <v>129.69999999999999</v>
      </c>
      <c r="H654">
        <v>2.2000000000000002</v>
      </c>
      <c r="I654">
        <v>42.5</v>
      </c>
      <c r="J654">
        <v>3.8</v>
      </c>
      <c r="K654">
        <f t="shared" si="10"/>
        <v>1280.5</v>
      </c>
    </row>
    <row r="655" spans="1:11" x14ac:dyDescent="0.2">
      <c r="A655" s="430">
        <v>45761</v>
      </c>
      <c r="B655">
        <v>460.4</v>
      </c>
      <c r="C655">
        <v>406.4</v>
      </c>
      <c r="D655">
        <v>10</v>
      </c>
      <c r="E655"/>
      <c r="F655">
        <v>9.8000000000000007</v>
      </c>
      <c r="G655"/>
      <c r="H655">
        <v>15.8</v>
      </c>
      <c r="I655">
        <v>29.2</v>
      </c>
      <c r="J655">
        <v>9.6999999999999993</v>
      </c>
      <c r="K655">
        <f t="shared" si="10"/>
        <v>941.3</v>
      </c>
    </row>
    <row r="656" spans="1:11" x14ac:dyDescent="0.2">
      <c r="A656" s="430">
        <v>45762</v>
      </c>
      <c r="B656">
        <v>608.79999999999995</v>
      </c>
      <c r="C656">
        <v>713.3</v>
      </c>
      <c r="D656">
        <v>4.4000000000000004</v>
      </c>
      <c r="E656">
        <v>142.6</v>
      </c>
      <c r="F656">
        <v>28.2</v>
      </c>
      <c r="G656">
        <v>172.6</v>
      </c>
      <c r="H656">
        <v>24.4</v>
      </c>
      <c r="I656">
        <v>37.6</v>
      </c>
      <c r="J656">
        <v>3.7</v>
      </c>
      <c r="K656">
        <f t="shared" si="10"/>
        <v>1735.6</v>
      </c>
    </row>
    <row r="657" spans="1:11" x14ac:dyDescent="0.2">
      <c r="A657" s="430">
        <v>45763</v>
      </c>
      <c r="B657">
        <v>621.29999999999995</v>
      </c>
      <c r="C657">
        <v>765.2</v>
      </c>
      <c r="D657">
        <v>6</v>
      </c>
      <c r="E657">
        <v>152.19999999999999</v>
      </c>
      <c r="F657">
        <v>14.3</v>
      </c>
      <c r="G657">
        <v>156.5</v>
      </c>
      <c r="H657">
        <v>25</v>
      </c>
      <c r="I657">
        <v>28.4</v>
      </c>
      <c r="J657">
        <v>7.5</v>
      </c>
      <c r="K657">
        <f t="shared" si="10"/>
        <v>1776.4</v>
      </c>
    </row>
    <row r="658" spans="1:11" x14ac:dyDescent="0.2">
      <c r="A658" s="430">
        <v>45764</v>
      </c>
      <c r="B658">
        <v>573.6</v>
      </c>
      <c r="C658">
        <v>708.1</v>
      </c>
      <c r="D658">
        <v>3.2</v>
      </c>
      <c r="E658">
        <v>126.9</v>
      </c>
      <c r="F658">
        <v>10.9</v>
      </c>
      <c r="G658">
        <v>150.19999999999999</v>
      </c>
      <c r="H658">
        <v>29.7</v>
      </c>
      <c r="I658">
        <v>16.5</v>
      </c>
      <c r="J658">
        <v>2.5</v>
      </c>
      <c r="K658">
        <f t="shared" si="10"/>
        <v>1621.6000000000004</v>
      </c>
    </row>
    <row r="659" spans="1:11" x14ac:dyDescent="0.2">
      <c r="A659" s="430">
        <v>45765</v>
      </c>
      <c r="B659">
        <v>503</v>
      </c>
      <c r="C659">
        <v>736.9</v>
      </c>
      <c r="D659">
        <v>8.6999999999999993</v>
      </c>
      <c r="E659">
        <v>131.19999999999999</v>
      </c>
      <c r="F659">
        <v>9</v>
      </c>
      <c r="G659">
        <v>152.19999999999999</v>
      </c>
      <c r="H659">
        <v>20</v>
      </c>
      <c r="I659">
        <v>16.399999999999999</v>
      </c>
      <c r="J659">
        <v>6.6</v>
      </c>
      <c r="K659">
        <f t="shared" si="10"/>
        <v>1584.0000000000002</v>
      </c>
    </row>
    <row r="660" spans="1:11" x14ac:dyDescent="0.2">
      <c r="A660" s="430">
        <v>45766</v>
      </c>
      <c r="B660">
        <v>370.4</v>
      </c>
      <c r="C660">
        <v>304.10000000000002</v>
      </c>
      <c r="D660">
        <v>9</v>
      </c>
      <c r="E660"/>
      <c r="F660">
        <v>4.4000000000000004</v>
      </c>
      <c r="G660"/>
      <c r="H660">
        <v>5</v>
      </c>
      <c r="I660">
        <v>25.9</v>
      </c>
      <c r="J660">
        <v>5.0999999999999996</v>
      </c>
      <c r="K660">
        <f t="shared" si="10"/>
        <v>723.9</v>
      </c>
    </row>
    <row r="661" spans="1:11" x14ac:dyDescent="0.2">
      <c r="A661" s="430">
        <v>45767</v>
      </c>
      <c r="B661">
        <v>475.8</v>
      </c>
      <c r="C661">
        <v>234.7</v>
      </c>
      <c r="D661">
        <v>6.2</v>
      </c>
      <c r="E661"/>
      <c r="F661">
        <v>14.8</v>
      </c>
      <c r="G661"/>
      <c r="H661">
        <v>2.6</v>
      </c>
      <c r="I661">
        <v>24.9</v>
      </c>
      <c r="J661">
        <v>1.2</v>
      </c>
      <c r="K661">
        <f t="shared" si="10"/>
        <v>760.2</v>
      </c>
    </row>
    <row r="662" spans="1:11" x14ac:dyDescent="0.2">
      <c r="A662" s="430">
        <v>45768</v>
      </c>
      <c r="B662">
        <v>332.9</v>
      </c>
      <c r="C662">
        <v>332.4</v>
      </c>
      <c r="D662">
        <v>3.5</v>
      </c>
      <c r="E662"/>
      <c r="F662">
        <v>19.3</v>
      </c>
      <c r="G662"/>
      <c r="H662">
        <v>8.6</v>
      </c>
      <c r="I662">
        <v>26.3</v>
      </c>
      <c r="J662">
        <v>2.5</v>
      </c>
      <c r="K662">
        <f t="shared" si="10"/>
        <v>725.49999999999989</v>
      </c>
    </row>
    <row r="663" spans="1:11" x14ac:dyDescent="0.2">
      <c r="A663" s="430">
        <v>45769</v>
      </c>
      <c r="B663">
        <v>393.2</v>
      </c>
      <c r="C663">
        <v>280.8</v>
      </c>
      <c r="D663">
        <v>8.9</v>
      </c>
      <c r="E663"/>
      <c r="F663">
        <v>6.4</v>
      </c>
      <c r="G663"/>
      <c r="H663">
        <v>3.6</v>
      </c>
      <c r="I663">
        <v>14.1</v>
      </c>
      <c r="J663">
        <v>4.5999999999999996</v>
      </c>
      <c r="K663">
        <f t="shared" si="10"/>
        <v>711.6</v>
      </c>
    </row>
    <row r="664" spans="1:11" x14ac:dyDescent="0.2">
      <c r="A664" s="430">
        <v>45770</v>
      </c>
      <c r="B664">
        <v>636</v>
      </c>
      <c r="C664">
        <v>814.8</v>
      </c>
      <c r="D664">
        <v>3.2</v>
      </c>
      <c r="E664">
        <v>141.19999999999999</v>
      </c>
      <c r="F664">
        <v>34.1</v>
      </c>
      <c r="G664">
        <v>156.80000000000001</v>
      </c>
      <c r="H664">
        <v>29.5</v>
      </c>
      <c r="I664">
        <v>50.4</v>
      </c>
      <c r="J664">
        <v>6.4</v>
      </c>
      <c r="K664">
        <f t="shared" si="10"/>
        <v>1872.4</v>
      </c>
    </row>
    <row r="665" spans="1:11" x14ac:dyDescent="0.2">
      <c r="A665" s="430">
        <v>45771</v>
      </c>
      <c r="B665">
        <v>591.20000000000005</v>
      </c>
      <c r="C665">
        <v>833.8</v>
      </c>
      <c r="D665">
        <v>3.7</v>
      </c>
      <c r="E665">
        <v>139.19999999999999</v>
      </c>
      <c r="F665">
        <v>8</v>
      </c>
      <c r="G665">
        <v>162.6</v>
      </c>
      <c r="H665">
        <v>23.6</v>
      </c>
      <c r="I665">
        <v>49</v>
      </c>
      <c r="J665">
        <v>4.5</v>
      </c>
      <c r="K665">
        <f t="shared" si="10"/>
        <v>1815.6</v>
      </c>
    </row>
    <row r="666" spans="1:11" x14ac:dyDescent="0.2">
      <c r="A666" s="430">
        <v>45772</v>
      </c>
      <c r="B666">
        <v>545.5</v>
      </c>
      <c r="C666">
        <v>740.3</v>
      </c>
      <c r="D666">
        <v>2</v>
      </c>
      <c r="E666">
        <v>140.6</v>
      </c>
      <c r="F666">
        <v>11.6</v>
      </c>
      <c r="G666">
        <v>160.19999999999999</v>
      </c>
      <c r="H666">
        <v>27.1</v>
      </c>
      <c r="I666">
        <v>39.4</v>
      </c>
      <c r="J666">
        <v>6</v>
      </c>
      <c r="K666">
        <f t="shared" si="10"/>
        <v>1672.6999999999998</v>
      </c>
    </row>
    <row r="667" spans="1:11" x14ac:dyDescent="0.2">
      <c r="A667" s="430">
        <v>45773</v>
      </c>
      <c r="B667">
        <v>496.5</v>
      </c>
      <c r="C667">
        <v>653.79999999999995</v>
      </c>
      <c r="D667">
        <v>3.8</v>
      </c>
      <c r="E667">
        <v>140.80000000000001</v>
      </c>
      <c r="F667">
        <v>18.5</v>
      </c>
      <c r="G667">
        <v>152.19999999999999</v>
      </c>
      <c r="H667">
        <v>19.899999999999999</v>
      </c>
      <c r="I667">
        <v>17.5</v>
      </c>
      <c r="J667">
        <v>7.9</v>
      </c>
      <c r="K667">
        <f t="shared" si="10"/>
        <v>1510.9</v>
      </c>
    </row>
    <row r="668" spans="1:11" x14ac:dyDescent="0.2">
      <c r="A668" s="430">
        <v>45774</v>
      </c>
      <c r="B668">
        <v>369</v>
      </c>
      <c r="C668">
        <v>551.70000000000005</v>
      </c>
      <c r="D668">
        <v>6.6</v>
      </c>
      <c r="E668">
        <v>22.9</v>
      </c>
      <c r="F668">
        <v>18.399999999999999</v>
      </c>
      <c r="G668">
        <v>132.4</v>
      </c>
      <c r="H668">
        <v>3.1</v>
      </c>
      <c r="I668">
        <v>25.9</v>
      </c>
      <c r="J668">
        <v>4.5</v>
      </c>
      <c r="K668">
        <f t="shared" si="10"/>
        <v>1134.5</v>
      </c>
    </row>
    <row r="669" spans="1:11" x14ac:dyDescent="0.2">
      <c r="A669" s="430">
        <v>45775</v>
      </c>
      <c r="B669">
        <v>407.9</v>
      </c>
      <c r="C669">
        <v>376.7</v>
      </c>
      <c r="D669">
        <v>5.5</v>
      </c>
      <c r="E669"/>
      <c r="F669">
        <v>8.6999999999999993</v>
      </c>
      <c r="G669"/>
      <c r="H669">
        <v>16.600000000000001</v>
      </c>
      <c r="I669">
        <v>27.7</v>
      </c>
      <c r="J669">
        <v>11.8</v>
      </c>
      <c r="K669">
        <f t="shared" si="10"/>
        <v>854.9</v>
      </c>
    </row>
    <row r="670" spans="1:11" x14ac:dyDescent="0.2">
      <c r="A670" s="430">
        <v>45776</v>
      </c>
      <c r="B670">
        <v>578.4</v>
      </c>
      <c r="C670">
        <v>746.8</v>
      </c>
      <c r="D670">
        <v>7.6</v>
      </c>
      <c r="E670">
        <v>145.9</v>
      </c>
      <c r="F670">
        <v>7.9</v>
      </c>
      <c r="G670">
        <v>150.30000000000001</v>
      </c>
      <c r="H670">
        <v>31.9</v>
      </c>
      <c r="I670">
        <v>22</v>
      </c>
      <c r="J670">
        <v>6.8</v>
      </c>
      <c r="K670">
        <f t="shared" si="10"/>
        <v>1697.6</v>
      </c>
    </row>
    <row r="671" spans="1:11" x14ac:dyDescent="0.2">
      <c r="A671" s="430">
        <v>45777</v>
      </c>
      <c r="B671">
        <v>529.5</v>
      </c>
      <c r="C671">
        <v>762.4</v>
      </c>
      <c r="D671">
        <v>7.1</v>
      </c>
      <c r="E671">
        <v>137.80000000000001</v>
      </c>
      <c r="F671">
        <v>15.1</v>
      </c>
      <c r="G671">
        <v>165.2</v>
      </c>
      <c r="H671">
        <v>30.6</v>
      </c>
      <c r="I671">
        <v>20</v>
      </c>
      <c r="J671">
        <v>4.8</v>
      </c>
      <c r="K671">
        <f t="shared" si="10"/>
        <v>1672.4999999999998</v>
      </c>
    </row>
    <row r="672" spans="1:11" x14ac:dyDescent="0.2">
      <c r="A672" s="430">
        <v>45778</v>
      </c>
      <c r="B672">
        <v>463.2</v>
      </c>
      <c r="C672">
        <v>722.5</v>
      </c>
      <c r="D672">
        <v>2.2000000000000002</v>
      </c>
      <c r="E672">
        <v>138.19999999999999</v>
      </c>
      <c r="F672">
        <v>13.6</v>
      </c>
      <c r="G672">
        <v>148.4</v>
      </c>
      <c r="H672">
        <v>17.600000000000001</v>
      </c>
      <c r="I672">
        <v>37.1</v>
      </c>
      <c r="J672">
        <v>10.3</v>
      </c>
      <c r="K672">
        <f t="shared" si="10"/>
        <v>1553.1</v>
      </c>
    </row>
    <row r="673" spans="1:11" x14ac:dyDescent="0.2">
      <c r="A673" s="430">
        <v>45779</v>
      </c>
      <c r="B673">
        <v>331.8</v>
      </c>
      <c r="C673">
        <v>425.4</v>
      </c>
      <c r="D673">
        <v>8.6</v>
      </c>
      <c r="E673"/>
      <c r="F673">
        <v>24</v>
      </c>
      <c r="G673"/>
      <c r="H673">
        <v>4</v>
      </c>
      <c r="I673">
        <v>33.799999999999997</v>
      </c>
      <c r="J673">
        <v>4.9000000000000004</v>
      </c>
      <c r="K673">
        <f t="shared" si="10"/>
        <v>832.5</v>
      </c>
    </row>
    <row r="674" spans="1:11" x14ac:dyDescent="0.2">
      <c r="A674" s="430">
        <v>45780</v>
      </c>
      <c r="B674">
        <v>448</v>
      </c>
      <c r="C674">
        <v>590.5</v>
      </c>
      <c r="D674">
        <v>6.7</v>
      </c>
      <c r="E674">
        <v>133.1</v>
      </c>
      <c r="F674">
        <v>34.1</v>
      </c>
      <c r="G674">
        <v>142.69999999999999</v>
      </c>
      <c r="H674">
        <v>21.5</v>
      </c>
      <c r="I674">
        <v>25.2</v>
      </c>
      <c r="J674">
        <v>12.7</v>
      </c>
      <c r="K674">
        <f t="shared" si="10"/>
        <v>1414.5</v>
      </c>
    </row>
    <row r="675" spans="1:11" x14ac:dyDescent="0.2">
      <c r="A675" s="430">
        <v>45781</v>
      </c>
      <c r="B675">
        <v>431.2</v>
      </c>
      <c r="C675">
        <v>553.5</v>
      </c>
      <c r="D675">
        <v>10.3</v>
      </c>
      <c r="E675">
        <v>33.200000000000003</v>
      </c>
      <c r="F675">
        <v>7.6</v>
      </c>
      <c r="G675">
        <v>124.4</v>
      </c>
      <c r="H675">
        <v>1.7</v>
      </c>
      <c r="I675">
        <v>46.3</v>
      </c>
      <c r="J675">
        <v>5.4</v>
      </c>
      <c r="K675">
        <f t="shared" si="10"/>
        <v>1213.6000000000001</v>
      </c>
    </row>
    <row r="676" spans="1:11" x14ac:dyDescent="0.2">
      <c r="A676" s="430">
        <v>45782</v>
      </c>
      <c r="B676">
        <v>381.3</v>
      </c>
      <c r="C676">
        <v>412.6</v>
      </c>
      <c r="D676">
        <v>11.7</v>
      </c>
      <c r="E676"/>
      <c r="F676">
        <v>17.5</v>
      </c>
      <c r="G676"/>
      <c r="H676">
        <v>14.9</v>
      </c>
      <c r="I676">
        <v>16.7</v>
      </c>
      <c r="J676">
        <v>3.1</v>
      </c>
      <c r="K676">
        <f t="shared" si="10"/>
        <v>857.80000000000018</v>
      </c>
    </row>
    <row r="677" spans="1:11" x14ac:dyDescent="0.2">
      <c r="A677" s="430">
        <v>45783</v>
      </c>
      <c r="B677">
        <v>404</v>
      </c>
      <c r="C677">
        <v>484.9</v>
      </c>
      <c r="D677">
        <v>8.8000000000000007</v>
      </c>
      <c r="E677"/>
      <c r="F677">
        <v>3.4</v>
      </c>
      <c r="G677">
        <v>4.5</v>
      </c>
      <c r="H677">
        <v>2.8</v>
      </c>
      <c r="I677">
        <v>29.3</v>
      </c>
      <c r="J677">
        <v>7.5</v>
      </c>
      <c r="K677">
        <f t="shared" si="10"/>
        <v>945.19999999999982</v>
      </c>
    </row>
    <row r="678" spans="1:11" x14ac:dyDescent="0.2">
      <c r="A678" s="430">
        <v>45784</v>
      </c>
      <c r="B678">
        <v>492.5</v>
      </c>
      <c r="C678">
        <v>714.3</v>
      </c>
      <c r="D678">
        <v>2.9</v>
      </c>
      <c r="E678">
        <v>145.6</v>
      </c>
      <c r="F678">
        <v>6.5</v>
      </c>
      <c r="G678">
        <v>166.7</v>
      </c>
      <c r="H678">
        <v>29.3</v>
      </c>
      <c r="I678">
        <v>12.3</v>
      </c>
      <c r="J678">
        <v>9.9</v>
      </c>
      <c r="K678">
        <f t="shared" si="10"/>
        <v>1580</v>
      </c>
    </row>
    <row r="679" spans="1:11" x14ac:dyDescent="0.2">
      <c r="A679" s="430">
        <v>45785</v>
      </c>
      <c r="B679">
        <v>502.3</v>
      </c>
      <c r="C679">
        <v>783.4</v>
      </c>
      <c r="D679">
        <v>8.5</v>
      </c>
      <c r="E679">
        <v>132.9</v>
      </c>
      <c r="F679">
        <v>8.9</v>
      </c>
      <c r="G679">
        <v>149.6</v>
      </c>
      <c r="H679">
        <v>20.7</v>
      </c>
      <c r="I679">
        <v>20.7</v>
      </c>
      <c r="J679">
        <v>8</v>
      </c>
      <c r="K679">
        <f t="shared" si="10"/>
        <v>1635.0000000000002</v>
      </c>
    </row>
    <row r="680" spans="1:11" x14ac:dyDescent="0.2">
      <c r="A680" s="430">
        <v>45786</v>
      </c>
      <c r="B680">
        <v>504.2</v>
      </c>
      <c r="C680">
        <v>605.70000000000005</v>
      </c>
      <c r="D680">
        <v>5.0999999999999996</v>
      </c>
      <c r="E680">
        <v>150.6</v>
      </c>
      <c r="F680">
        <v>22.3</v>
      </c>
      <c r="G680">
        <v>152.9</v>
      </c>
      <c r="H680">
        <v>21.7</v>
      </c>
      <c r="I680">
        <v>18.2</v>
      </c>
      <c r="J680">
        <v>3.9</v>
      </c>
      <c r="K680">
        <f t="shared" si="10"/>
        <v>1484.6000000000001</v>
      </c>
    </row>
    <row r="681" spans="1:11" x14ac:dyDescent="0.2">
      <c r="A681" s="430">
        <v>45787</v>
      </c>
      <c r="B681">
        <v>539.5</v>
      </c>
      <c r="C681">
        <v>989.5</v>
      </c>
      <c r="D681">
        <v>2</v>
      </c>
      <c r="E681">
        <v>136.5</v>
      </c>
      <c r="F681">
        <v>49.6</v>
      </c>
      <c r="G681">
        <v>142.69999999999999</v>
      </c>
      <c r="H681">
        <v>21.7</v>
      </c>
      <c r="I681">
        <v>39.1</v>
      </c>
      <c r="J681">
        <v>5</v>
      </c>
      <c r="K681">
        <f t="shared" si="10"/>
        <v>1925.6</v>
      </c>
    </row>
    <row r="682" spans="1:11" x14ac:dyDescent="0.2">
      <c r="A682" s="430">
        <v>45788</v>
      </c>
      <c r="B682">
        <v>483.2</v>
      </c>
      <c r="C682">
        <v>497.5</v>
      </c>
      <c r="D682">
        <v>8.5</v>
      </c>
      <c r="E682">
        <v>30</v>
      </c>
      <c r="F682">
        <v>33.1</v>
      </c>
      <c r="G682">
        <v>134.69999999999999</v>
      </c>
      <c r="H682">
        <v>4.5</v>
      </c>
      <c r="I682">
        <v>56.8</v>
      </c>
      <c r="J682">
        <v>9.6999999999999993</v>
      </c>
      <c r="K682">
        <f t="shared" si="10"/>
        <v>1258</v>
      </c>
    </row>
    <row r="683" spans="1:11" x14ac:dyDescent="0.2">
      <c r="A683" s="430">
        <v>45789</v>
      </c>
      <c r="B683">
        <v>447.9</v>
      </c>
      <c r="C683">
        <v>402.7</v>
      </c>
      <c r="D683">
        <v>6</v>
      </c>
      <c r="E683"/>
      <c r="F683">
        <v>31.4</v>
      </c>
      <c r="G683"/>
      <c r="H683">
        <v>16.2</v>
      </c>
      <c r="I683">
        <v>19.7</v>
      </c>
      <c r="J683">
        <v>7.1</v>
      </c>
      <c r="K683">
        <f t="shared" si="10"/>
        <v>931</v>
      </c>
    </row>
    <row r="684" spans="1:11" x14ac:dyDescent="0.2">
      <c r="A684" s="430">
        <v>45790</v>
      </c>
      <c r="B684">
        <v>522.1</v>
      </c>
      <c r="C684">
        <v>738.5</v>
      </c>
      <c r="D684">
        <v>7.2</v>
      </c>
      <c r="E684">
        <v>70.599999999999994</v>
      </c>
      <c r="F684">
        <v>19.899999999999999</v>
      </c>
      <c r="G684">
        <v>152.6</v>
      </c>
      <c r="H684">
        <v>20.7</v>
      </c>
      <c r="I684">
        <v>12.9</v>
      </c>
      <c r="J684">
        <v>12.5</v>
      </c>
      <c r="K684">
        <f t="shared" si="10"/>
        <v>1557</v>
      </c>
    </row>
    <row r="685" spans="1:11" x14ac:dyDescent="0.2">
      <c r="A685" s="430">
        <v>45791</v>
      </c>
      <c r="B685">
        <v>445.8</v>
      </c>
      <c r="C685">
        <v>724.6</v>
      </c>
      <c r="D685">
        <v>9.5</v>
      </c>
      <c r="E685">
        <v>125</v>
      </c>
      <c r="F685">
        <v>26.9</v>
      </c>
      <c r="G685">
        <v>141.19999999999999</v>
      </c>
      <c r="H685">
        <v>13.7</v>
      </c>
      <c r="I685">
        <v>18.3</v>
      </c>
      <c r="J685">
        <v>3.5</v>
      </c>
      <c r="K685">
        <f t="shared" si="10"/>
        <v>1508.5000000000002</v>
      </c>
    </row>
    <row r="686" spans="1:11" x14ac:dyDescent="0.2">
      <c r="A686" s="430">
        <v>45792</v>
      </c>
      <c r="B686">
        <v>550.4</v>
      </c>
      <c r="C686">
        <v>793.3</v>
      </c>
      <c r="D686">
        <v>2.6</v>
      </c>
      <c r="E686">
        <v>120</v>
      </c>
      <c r="F686">
        <v>6</v>
      </c>
      <c r="G686">
        <v>143</v>
      </c>
      <c r="H686">
        <v>22.2</v>
      </c>
      <c r="I686">
        <v>25.4</v>
      </c>
      <c r="J686">
        <v>6.8</v>
      </c>
      <c r="K686">
        <f t="shared" si="10"/>
        <v>1669.6999999999998</v>
      </c>
    </row>
    <row r="687" spans="1:11" x14ac:dyDescent="0.2">
      <c r="A687" s="430">
        <v>45793</v>
      </c>
      <c r="B687">
        <v>506.2</v>
      </c>
      <c r="C687">
        <v>787.1</v>
      </c>
      <c r="D687">
        <v>7.1</v>
      </c>
      <c r="E687">
        <v>123.3</v>
      </c>
      <c r="F687">
        <v>21.1</v>
      </c>
      <c r="G687">
        <v>143</v>
      </c>
      <c r="H687">
        <v>15.8</v>
      </c>
      <c r="I687">
        <v>37.700000000000003</v>
      </c>
      <c r="J687">
        <v>2.2999999999999998</v>
      </c>
      <c r="K687">
        <f t="shared" si="10"/>
        <v>1643.5999999999997</v>
      </c>
    </row>
    <row r="688" spans="1:11" x14ac:dyDescent="0.2">
      <c r="A688" s="430">
        <v>45794</v>
      </c>
      <c r="B688">
        <v>524.70000000000005</v>
      </c>
      <c r="C688">
        <v>597.1</v>
      </c>
      <c r="D688">
        <v>6</v>
      </c>
      <c r="E688">
        <v>127.6</v>
      </c>
      <c r="F688">
        <v>20.8</v>
      </c>
      <c r="G688">
        <v>153.1</v>
      </c>
      <c r="H688">
        <v>12.7</v>
      </c>
      <c r="I688">
        <v>43.8</v>
      </c>
      <c r="J688">
        <v>4.7</v>
      </c>
      <c r="K688">
        <f t="shared" si="10"/>
        <v>1490.5</v>
      </c>
    </row>
    <row r="689" spans="1:11" x14ac:dyDescent="0.2">
      <c r="A689" s="430">
        <v>45795</v>
      </c>
      <c r="B689">
        <v>447.6</v>
      </c>
      <c r="C689">
        <v>592.6</v>
      </c>
      <c r="D689">
        <v>14.8</v>
      </c>
      <c r="E689">
        <v>26.1</v>
      </c>
      <c r="F689">
        <v>11.5</v>
      </c>
      <c r="G689">
        <v>104.9</v>
      </c>
      <c r="H689">
        <v>5.0999999999999996</v>
      </c>
      <c r="I689">
        <v>23.1</v>
      </c>
      <c r="J689">
        <v>15.6</v>
      </c>
      <c r="K689">
        <f t="shared" si="10"/>
        <v>1241.2999999999997</v>
      </c>
    </row>
    <row r="690" spans="1:11" x14ac:dyDescent="0.2">
      <c r="A690" s="430">
        <v>45796</v>
      </c>
      <c r="B690">
        <v>458.7</v>
      </c>
      <c r="C690">
        <v>303.10000000000002</v>
      </c>
      <c r="D690">
        <v>2.2000000000000002</v>
      </c>
      <c r="E690"/>
      <c r="F690">
        <v>11.5</v>
      </c>
      <c r="G690"/>
      <c r="H690">
        <v>19.100000000000001</v>
      </c>
      <c r="I690">
        <v>23.8</v>
      </c>
      <c r="J690">
        <v>21.1</v>
      </c>
      <c r="K690">
        <f t="shared" si="10"/>
        <v>839.5</v>
      </c>
    </row>
    <row r="691" spans="1:11" x14ac:dyDescent="0.2">
      <c r="A691" s="430">
        <v>45797</v>
      </c>
      <c r="B691">
        <v>495.9</v>
      </c>
      <c r="C691">
        <v>880</v>
      </c>
      <c r="D691">
        <v>4.5</v>
      </c>
      <c r="E691">
        <v>133</v>
      </c>
      <c r="F691">
        <v>19.3</v>
      </c>
      <c r="G691">
        <v>154</v>
      </c>
      <c r="H691">
        <v>20.9</v>
      </c>
      <c r="I691">
        <v>33.700000000000003</v>
      </c>
      <c r="J691">
        <v>12.1</v>
      </c>
      <c r="K691">
        <f t="shared" si="10"/>
        <v>1753.4</v>
      </c>
    </row>
    <row r="692" spans="1:11" x14ac:dyDescent="0.2">
      <c r="A692" s="430">
        <v>45798</v>
      </c>
      <c r="B692">
        <v>475.9</v>
      </c>
      <c r="C692">
        <v>663.1</v>
      </c>
      <c r="D692">
        <v>4.9000000000000004</v>
      </c>
      <c r="E692">
        <v>91.9</v>
      </c>
      <c r="F692">
        <v>20.6</v>
      </c>
      <c r="G692">
        <v>149.80000000000001</v>
      </c>
      <c r="H692">
        <v>18.100000000000001</v>
      </c>
      <c r="I692">
        <v>20.8</v>
      </c>
      <c r="J692">
        <v>6.5</v>
      </c>
      <c r="K692">
        <f t="shared" si="10"/>
        <v>1451.6</v>
      </c>
    </row>
    <row r="693" spans="1:11" x14ac:dyDescent="0.2">
      <c r="A693" s="430">
        <v>45799</v>
      </c>
      <c r="B693">
        <v>508.3</v>
      </c>
      <c r="C693">
        <v>745.1</v>
      </c>
      <c r="D693">
        <v>1.6</v>
      </c>
      <c r="E693">
        <v>129.69999999999999</v>
      </c>
      <c r="F693">
        <v>6.5</v>
      </c>
      <c r="G693">
        <v>146.5</v>
      </c>
      <c r="H693">
        <v>26.8</v>
      </c>
      <c r="I693">
        <v>30.5</v>
      </c>
      <c r="J693">
        <v>11.5</v>
      </c>
      <c r="K693">
        <f t="shared" si="10"/>
        <v>1606.5</v>
      </c>
    </row>
    <row r="694" spans="1:11" x14ac:dyDescent="0.2">
      <c r="A694" s="430">
        <v>45800</v>
      </c>
      <c r="B694">
        <v>556.1</v>
      </c>
      <c r="C694">
        <v>723.7</v>
      </c>
      <c r="D694">
        <v>8</v>
      </c>
      <c r="E694">
        <v>134.6</v>
      </c>
      <c r="F694">
        <v>27.8</v>
      </c>
      <c r="G694">
        <v>150.19999999999999</v>
      </c>
      <c r="H694">
        <v>23.5</v>
      </c>
      <c r="I694">
        <v>51.7</v>
      </c>
      <c r="J694">
        <v>8.1999999999999993</v>
      </c>
      <c r="K694">
        <f t="shared" si="10"/>
        <v>1683.8000000000002</v>
      </c>
    </row>
    <row r="695" spans="1:11" x14ac:dyDescent="0.2">
      <c r="A695" s="430">
        <v>45801</v>
      </c>
      <c r="B695">
        <v>489.3</v>
      </c>
      <c r="C695">
        <v>710.3</v>
      </c>
      <c r="D695">
        <v>4.7</v>
      </c>
      <c r="E695">
        <v>76.599999999999994</v>
      </c>
      <c r="F695">
        <v>28.6</v>
      </c>
      <c r="G695">
        <v>141.69999999999999</v>
      </c>
      <c r="H695">
        <v>18.100000000000001</v>
      </c>
      <c r="I695">
        <v>33.299999999999997</v>
      </c>
      <c r="J695">
        <v>9.5</v>
      </c>
      <c r="K695">
        <f t="shared" si="10"/>
        <v>1512.0999999999997</v>
      </c>
    </row>
    <row r="696" spans="1:11" x14ac:dyDescent="0.2">
      <c r="A696" s="430">
        <v>45802</v>
      </c>
      <c r="B696">
        <v>463.3</v>
      </c>
      <c r="C696">
        <v>496.2</v>
      </c>
      <c r="D696">
        <v>3.1</v>
      </c>
      <c r="E696">
        <v>33.6</v>
      </c>
      <c r="F696">
        <v>13.9</v>
      </c>
      <c r="G696">
        <v>142.5</v>
      </c>
      <c r="H696">
        <v>3.2</v>
      </c>
      <c r="I696">
        <v>21.4</v>
      </c>
      <c r="J696">
        <v>4.0999999999999996</v>
      </c>
      <c r="K696">
        <f t="shared" si="10"/>
        <v>1181.3</v>
      </c>
    </row>
    <row r="697" spans="1:11" x14ac:dyDescent="0.2">
      <c r="A697" s="430">
        <v>45803</v>
      </c>
      <c r="B697">
        <v>413.7</v>
      </c>
      <c r="C697">
        <v>343.1</v>
      </c>
      <c r="D697">
        <v>7.9</v>
      </c>
      <c r="E697"/>
      <c r="F697">
        <v>8.6</v>
      </c>
      <c r="G697"/>
      <c r="H697">
        <v>17.3</v>
      </c>
      <c r="I697">
        <v>23.1</v>
      </c>
      <c r="J697">
        <v>9.1999999999999993</v>
      </c>
      <c r="K697">
        <f t="shared" si="10"/>
        <v>822.9</v>
      </c>
    </row>
    <row r="698" spans="1:11" x14ac:dyDescent="0.2">
      <c r="A698" s="430">
        <v>45804</v>
      </c>
      <c r="B698">
        <v>444.7</v>
      </c>
      <c r="C698">
        <v>753.8</v>
      </c>
      <c r="D698">
        <v>5</v>
      </c>
      <c r="E698">
        <v>130</v>
      </c>
      <c r="F698">
        <v>6</v>
      </c>
      <c r="G698">
        <v>146.69999999999999</v>
      </c>
      <c r="H698">
        <v>17.7</v>
      </c>
      <c r="I698">
        <v>25.5</v>
      </c>
      <c r="J698">
        <v>13.6</v>
      </c>
      <c r="K698">
        <f t="shared" si="10"/>
        <v>1543</v>
      </c>
    </row>
    <row r="699" spans="1:11" x14ac:dyDescent="0.2">
      <c r="A699" s="430">
        <v>45805</v>
      </c>
      <c r="B699">
        <v>575.1</v>
      </c>
      <c r="C699">
        <v>727</v>
      </c>
      <c r="D699">
        <v>7.6</v>
      </c>
      <c r="E699">
        <v>75.7</v>
      </c>
      <c r="F699">
        <v>16.399999999999999</v>
      </c>
      <c r="G699">
        <v>119.2</v>
      </c>
      <c r="H699">
        <v>20</v>
      </c>
      <c r="I699">
        <v>18.600000000000001</v>
      </c>
      <c r="J699">
        <v>11.7</v>
      </c>
      <c r="K699">
        <f t="shared" si="10"/>
        <v>1571.3</v>
      </c>
    </row>
    <row r="700" spans="1:11" x14ac:dyDescent="0.2">
      <c r="A700" s="430">
        <v>45806</v>
      </c>
      <c r="B700">
        <v>527.1</v>
      </c>
      <c r="C700">
        <v>864.7</v>
      </c>
      <c r="D700">
        <v>4</v>
      </c>
      <c r="E700">
        <v>67.599999999999994</v>
      </c>
      <c r="F700">
        <v>10</v>
      </c>
      <c r="G700">
        <v>119.7</v>
      </c>
      <c r="H700">
        <v>12.9</v>
      </c>
      <c r="I700">
        <v>29.8</v>
      </c>
      <c r="J700">
        <v>5.6</v>
      </c>
      <c r="K700">
        <f t="shared" si="10"/>
        <v>1641.4</v>
      </c>
    </row>
    <row r="701" spans="1:11" x14ac:dyDescent="0.2">
      <c r="A701" s="430">
        <v>45807</v>
      </c>
      <c r="B701">
        <v>449.1</v>
      </c>
      <c r="C701">
        <v>638.70000000000005</v>
      </c>
      <c r="D701">
        <v>2.9</v>
      </c>
      <c r="E701">
        <v>64.400000000000006</v>
      </c>
      <c r="F701">
        <v>8.1</v>
      </c>
      <c r="G701">
        <v>124.2</v>
      </c>
      <c r="H701">
        <v>10.6</v>
      </c>
      <c r="I701">
        <v>36.200000000000003</v>
      </c>
      <c r="J701">
        <v>8.1999999999999993</v>
      </c>
      <c r="K701">
        <f t="shared" si="10"/>
        <v>1342.4000000000003</v>
      </c>
    </row>
    <row r="702" spans="1:11" x14ac:dyDescent="0.2">
      <c r="A702" s="430">
        <v>45808</v>
      </c>
      <c r="B702">
        <v>414</v>
      </c>
      <c r="C702">
        <v>533.4</v>
      </c>
      <c r="D702">
        <v>17</v>
      </c>
      <c r="E702">
        <v>71.2</v>
      </c>
      <c r="F702">
        <v>27.5</v>
      </c>
      <c r="G702">
        <v>106.3</v>
      </c>
      <c r="H702">
        <v>11.6</v>
      </c>
      <c r="I702">
        <v>58.4</v>
      </c>
      <c r="J702">
        <v>12.7</v>
      </c>
      <c r="K702">
        <f t="shared" si="10"/>
        <v>1252.0999999999999</v>
      </c>
    </row>
    <row r="703" spans="1:11" x14ac:dyDescent="0.2">
      <c r="A703" s="430">
        <v>45809</v>
      </c>
      <c r="B703">
        <v>398.8</v>
      </c>
      <c r="C703">
        <v>133</v>
      </c>
      <c r="D703">
        <v>9.6999999999999993</v>
      </c>
      <c r="E703"/>
      <c r="F703">
        <v>12.4</v>
      </c>
      <c r="G703"/>
      <c r="H703"/>
      <c r="I703">
        <v>1.6</v>
      </c>
      <c r="J703">
        <v>10.6</v>
      </c>
      <c r="K703">
        <f t="shared" si="10"/>
        <v>566.1</v>
      </c>
    </row>
    <row r="704" spans="1:11" x14ac:dyDescent="0.2">
      <c r="A704" s="430">
        <v>45810</v>
      </c>
      <c r="B704">
        <v>398.4</v>
      </c>
      <c r="C704">
        <v>389.9</v>
      </c>
      <c r="D704">
        <v>9</v>
      </c>
      <c r="E704"/>
      <c r="F704">
        <v>11.4</v>
      </c>
      <c r="G704"/>
      <c r="H704">
        <v>3.2</v>
      </c>
      <c r="I704">
        <v>29.4</v>
      </c>
      <c r="J704">
        <v>10</v>
      </c>
      <c r="K704">
        <f t="shared" si="10"/>
        <v>851.3</v>
      </c>
    </row>
    <row r="705" spans="1:11" x14ac:dyDescent="0.2">
      <c r="A705" s="430">
        <v>45811</v>
      </c>
      <c r="B705">
        <v>483.6</v>
      </c>
      <c r="C705">
        <v>520.70000000000005</v>
      </c>
      <c r="D705">
        <v>15</v>
      </c>
      <c r="E705">
        <v>56.9</v>
      </c>
      <c r="F705">
        <v>18.2</v>
      </c>
      <c r="G705">
        <v>129.9</v>
      </c>
      <c r="H705">
        <v>8.6</v>
      </c>
      <c r="I705">
        <v>24.9</v>
      </c>
      <c r="J705">
        <v>5.7</v>
      </c>
      <c r="K705">
        <f t="shared" si="10"/>
        <v>1263.5000000000002</v>
      </c>
    </row>
    <row r="706" spans="1:11" x14ac:dyDescent="0.2">
      <c r="A706" s="430">
        <v>45812</v>
      </c>
      <c r="B706">
        <v>405.6</v>
      </c>
      <c r="C706">
        <v>559.9</v>
      </c>
      <c r="D706">
        <v>7.3</v>
      </c>
      <c r="E706">
        <v>68.5</v>
      </c>
      <c r="F706">
        <v>27.8</v>
      </c>
      <c r="G706">
        <v>117.7</v>
      </c>
      <c r="H706">
        <v>8.8000000000000007</v>
      </c>
      <c r="I706">
        <v>23.2</v>
      </c>
      <c r="J706">
        <v>12.3</v>
      </c>
      <c r="K706">
        <f t="shared" si="10"/>
        <v>1231.0999999999999</v>
      </c>
    </row>
    <row r="707" spans="1:11" x14ac:dyDescent="0.2">
      <c r="A707" s="430">
        <v>45813</v>
      </c>
      <c r="B707">
        <v>391.3</v>
      </c>
      <c r="C707">
        <v>492</v>
      </c>
      <c r="D707">
        <v>6.1</v>
      </c>
      <c r="E707">
        <v>70.900000000000006</v>
      </c>
      <c r="F707">
        <v>28.7</v>
      </c>
      <c r="G707">
        <v>111.6</v>
      </c>
      <c r="H707">
        <v>5.2</v>
      </c>
      <c r="I707">
        <v>26.4</v>
      </c>
      <c r="J707">
        <v>5</v>
      </c>
      <c r="K707">
        <f t="shared" ref="K707:K732" si="11">SUM(B707:J707)</f>
        <v>1137.2</v>
      </c>
    </row>
    <row r="708" spans="1:11" x14ac:dyDescent="0.2">
      <c r="A708" s="430">
        <v>45814</v>
      </c>
      <c r="B708">
        <v>378.4</v>
      </c>
      <c r="C708">
        <v>588.4</v>
      </c>
      <c r="D708">
        <v>3.5</v>
      </c>
      <c r="E708">
        <v>59.6</v>
      </c>
      <c r="F708">
        <v>15.3</v>
      </c>
      <c r="G708">
        <v>120.4</v>
      </c>
      <c r="H708">
        <v>9.4</v>
      </c>
      <c r="I708">
        <v>55.1</v>
      </c>
      <c r="J708">
        <v>8.1999999999999993</v>
      </c>
      <c r="K708">
        <f t="shared" si="11"/>
        <v>1238.3</v>
      </c>
    </row>
    <row r="709" spans="1:11" x14ac:dyDescent="0.2">
      <c r="A709" s="430">
        <v>45815</v>
      </c>
      <c r="B709">
        <v>399.8</v>
      </c>
      <c r="C709">
        <v>388.9</v>
      </c>
      <c r="D709">
        <v>5.2</v>
      </c>
      <c r="E709">
        <v>67.400000000000006</v>
      </c>
      <c r="F709">
        <v>25.5</v>
      </c>
      <c r="G709">
        <v>113.9</v>
      </c>
      <c r="H709">
        <v>10.199999999999999</v>
      </c>
      <c r="I709">
        <v>64.5</v>
      </c>
      <c r="J709">
        <v>10</v>
      </c>
      <c r="K709">
        <f t="shared" si="11"/>
        <v>1085.4000000000001</v>
      </c>
    </row>
    <row r="710" spans="1:11" x14ac:dyDescent="0.2">
      <c r="A710" s="430">
        <v>45816</v>
      </c>
      <c r="B710">
        <v>347</v>
      </c>
      <c r="C710">
        <v>339.4</v>
      </c>
      <c r="D710">
        <v>14.7</v>
      </c>
      <c r="E710">
        <v>41.4</v>
      </c>
      <c r="F710">
        <v>8</v>
      </c>
      <c r="G710">
        <v>111.1</v>
      </c>
      <c r="H710"/>
      <c r="I710">
        <v>22</v>
      </c>
      <c r="J710">
        <v>10.5</v>
      </c>
      <c r="K710">
        <f t="shared" si="11"/>
        <v>894.1</v>
      </c>
    </row>
    <row r="711" spans="1:11" x14ac:dyDescent="0.2">
      <c r="A711" s="430">
        <v>45817</v>
      </c>
      <c r="B711">
        <v>347.3</v>
      </c>
      <c r="C711">
        <v>49.1</v>
      </c>
      <c r="D711">
        <v>12</v>
      </c>
      <c r="E711"/>
      <c r="F711">
        <v>35.4</v>
      </c>
      <c r="G711"/>
      <c r="H711"/>
      <c r="I711">
        <v>14.2</v>
      </c>
      <c r="J711"/>
      <c r="K711">
        <f t="shared" si="11"/>
        <v>458</v>
      </c>
    </row>
    <row r="712" spans="1:11" x14ac:dyDescent="0.2">
      <c r="A712" s="430">
        <v>45818</v>
      </c>
      <c r="B712">
        <v>391.4</v>
      </c>
      <c r="C712">
        <v>527.5</v>
      </c>
      <c r="D712">
        <v>12.9</v>
      </c>
      <c r="E712">
        <v>46.8</v>
      </c>
      <c r="F712">
        <v>8.6</v>
      </c>
      <c r="G712">
        <v>102.4</v>
      </c>
      <c r="H712">
        <v>8.9</v>
      </c>
      <c r="I712">
        <v>36.799999999999997</v>
      </c>
      <c r="J712">
        <v>7.3</v>
      </c>
      <c r="K712">
        <f t="shared" si="11"/>
        <v>1142.5999999999999</v>
      </c>
    </row>
    <row r="713" spans="1:11" x14ac:dyDescent="0.2">
      <c r="A713" s="430">
        <v>45819</v>
      </c>
      <c r="B713">
        <v>413.8</v>
      </c>
      <c r="C713">
        <v>446.2</v>
      </c>
      <c r="D713">
        <v>7.9</v>
      </c>
      <c r="E713">
        <v>50.6</v>
      </c>
      <c r="F713">
        <v>12.4</v>
      </c>
      <c r="G713">
        <v>115</v>
      </c>
      <c r="H713">
        <v>9.6</v>
      </c>
      <c r="I713">
        <v>28.6</v>
      </c>
      <c r="J713">
        <v>7.4</v>
      </c>
      <c r="K713">
        <f t="shared" si="11"/>
        <v>1091.5</v>
      </c>
    </row>
    <row r="714" spans="1:11" x14ac:dyDescent="0.2">
      <c r="A714" s="430">
        <v>45820</v>
      </c>
      <c r="B714">
        <v>385.9</v>
      </c>
      <c r="C714">
        <v>502.5</v>
      </c>
      <c r="D714">
        <v>6.7</v>
      </c>
      <c r="E714">
        <v>51.2</v>
      </c>
      <c r="F714">
        <v>3.8</v>
      </c>
      <c r="G714">
        <v>117.2</v>
      </c>
      <c r="H714">
        <v>6.1</v>
      </c>
      <c r="I714">
        <v>24.1</v>
      </c>
      <c r="J714">
        <v>9.9</v>
      </c>
      <c r="K714">
        <f t="shared" si="11"/>
        <v>1107.3999999999999</v>
      </c>
    </row>
    <row r="715" spans="1:11" x14ac:dyDescent="0.2">
      <c r="A715" s="430">
        <v>45821</v>
      </c>
      <c r="B715">
        <v>386.8</v>
      </c>
      <c r="C715">
        <v>525.4</v>
      </c>
      <c r="D715">
        <v>11.1</v>
      </c>
      <c r="E715">
        <v>55.7</v>
      </c>
      <c r="F715">
        <v>19.600000000000001</v>
      </c>
      <c r="G715">
        <v>111.4</v>
      </c>
      <c r="H715">
        <v>15.1</v>
      </c>
      <c r="I715">
        <v>25</v>
      </c>
      <c r="J715">
        <v>8.1</v>
      </c>
      <c r="K715">
        <f t="shared" si="11"/>
        <v>1158.2</v>
      </c>
    </row>
    <row r="716" spans="1:11" x14ac:dyDescent="0.2">
      <c r="A716" s="430">
        <v>45822</v>
      </c>
      <c r="B716">
        <v>434.7</v>
      </c>
      <c r="C716">
        <v>438.2</v>
      </c>
      <c r="D716">
        <v>15.4</v>
      </c>
      <c r="E716">
        <v>55.1</v>
      </c>
      <c r="F716">
        <v>9.8000000000000007</v>
      </c>
      <c r="G716">
        <v>91.1</v>
      </c>
      <c r="H716">
        <v>5.8</v>
      </c>
      <c r="I716">
        <v>35.1</v>
      </c>
      <c r="J716">
        <v>14.2</v>
      </c>
      <c r="K716">
        <f t="shared" si="11"/>
        <v>1099.3999999999999</v>
      </c>
    </row>
    <row r="717" spans="1:11" x14ac:dyDescent="0.2">
      <c r="A717" s="430">
        <v>45823</v>
      </c>
      <c r="B717">
        <v>319.2</v>
      </c>
      <c r="C717">
        <v>386.3</v>
      </c>
      <c r="D717">
        <v>12.4</v>
      </c>
      <c r="E717">
        <v>23.4</v>
      </c>
      <c r="F717">
        <v>19.7</v>
      </c>
      <c r="G717">
        <v>99</v>
      </c>
      <c r="H717"/>
      <c r="I717"/>
      <c r="J717">
        <v>9.5</v>
      </c>
      <c r="K717">
        <f t="shared" si="11"/>
        <v>869.5</v>
      </c>
    </row>
    <row r="718" spans="1:11" x14ac:dyDescent="0.2">
      <c r="A718" s="430">
        <v>45824</v>
      </c>
      <c r="B718">
        <v>286.89999999999998</v>
      </c>
      <c r="C718">
        <v>149.19999999999999</v>
      </c>
      <c r="D718">
        <v>5</v>
      </c>
      <c r="E718"/>
      <c r="F718">
        <v>1.9</v>
      </c>
      <c r="G718"/>
      <c r="H718"/>
      <c r="I718">
        <v>10.199999999999999</v>
      </c>
      <c r="J718">
        <v>8.6</v>
      </c>
      <c r="K718">
        <f t="shared" si="11"/>
        <v>461.79999999999995</v>
      </c>
    </row>
    <row r="719" spans="1:11" x14ac:dyDescent="0.2">
      <c r="A719" s="430">
        <v>45825</v>
      </c>
      <c r="B719">
        <v>338.8</v>
      </c>
      <c r="C719">
        <v>437</v>
      </c>
      <c r="D719">
        <v>4.5999999999999996</v>
      </c>
      <c r="E719">
        <v>60.1</v>
      </c>
      <c r="F719">
        <v>21.3</v>
      </c>
      <c r="G719">
        <v>120.9</v>
      </c>
      <c r="H719">
        <v>6.8</v>
      </c>
      <c r="I719">
        <v>5.5</v>
      </c>
      <c r="J719">
        <v>13.6</v>
      </c>
      <c r="K719">
        <f t="shared" si="11"/>
        <v>1008.5999999999999</v>
      </c>
    </row>
    <row r="720" spans="1:11" x14ac:dyDescent="0.2">
      <c r="A720" s="430">
        <v>45826</v>
      </c>
      <c r="B720">
        <v>381.7</v>
      </c>
      <c r="C720">
        <v>416.8</v>
      </c>
      <c r="D720">
        <v>8.1</v>
      </c>
      <c r="E720">
        <v>51.3</v>
      </c>
      <c r="F720">
        <v>3</v>
      </c>
      <c r="G720">
        <v>121.9</v>
      </c>
      <c r="H720">
        <v>7.9</v>
      </c>
      <c r="I720">
        <v>24.3</v>
      </c>
      <c r="J720">
        <v>3.8</v>
      </c>
      <c r="K720">
        <f t="shared" si="11"/>
        <v>1018.7999999999998</v>
      </c>
    </row>
    <row r="721" spans="1:11" x14ac:dyDescent="0.2">
      <c r="A721" s="430">
        <v>45827</v>
      </c>
      <c r="B721">
        <v>479.7</v>
      </c>
      <c r="C721">
        <v>517.9</v>
      </c>
      <c r="D721">
        <v>3.2</v>
      </c>
      <c r="E721">
        <v>63.2</v>
      </c>
      <c r="F721">
        <v>2.8</v>
      </c>
      <c r="G721">
        <v>129.4</v>
      </c>
      <c r="H721">
        <v>9.4</v>
      </c>
      <c r="I721">
        <v>22.2</v>
      </c>
      <c r="J721">
        <v>13.6</v>
      </c>
      <c r="K721">
        <f t="shared" si="11"/>
        <v>1241.4000000000001</v>
      </c>
    </row>
    <row r="722" spans="1:11" x14ac:dyDescent="0.2">
      <c r="A722" s="430">
        <v>45828</v>
      </c>
      <c r="B722">
        <v>365.6</v>
      </c>
      <c r="C722">
        <v>494.4</v>
      </c>
      <c r="D722">
        <v>6.4</v>
      </c>
      <c r="E722">
        <v>63.5</v>
      </c>
      <c r="F722">
        <v>9.4</v>
      </c>
      <c r="G722">
        <v>121</v>
      </c>
      <c r="H722">
        <v>8.1</v>
      </c>
      <c r="I722">
        <v>28.4</v>
      </c>
      <c r="J722">
        <v>7.5</v>
      </c>
      <c r="K722">
        <f t="shared" si="11"/>
        <v>1104.3</v>
      </c>
    </row>
    <row r="723" spans="1:11" x14ac:dyDescent="0.2">
      <c r="A723" s="430">
        <v>45829</v>
      </c>
      <c r="B723">
        <v>415.7</v>
      </c>
      <c r="C723">
        <v>406.3</v>
      </c>
      <c r="D723">
        <v>2.2999999999999998</v>
      </c>
      <c r="E723">
        <v>49.5</v>
      </c>
      <c r="F723">
        <v>35.4</v>
      </c>
      <c r="G723">
        <v>111.2</v>
      </c>
      <c r="H723">
        <v>10.6</v>
      </c>
      <c r="I723">
        <v>17.3</v>
      </c>
      <c r="J723">
        <v>10.199999999999999</v>
      </c>
      <c r="K723">
        <f t="shared" si="11"/>
        <v>1058.5</v>
      </c>
    </row>
    <row r="724" spans="1:11" x14ac:dyDescent="0.2">
      <c r="A724" s="430">
        <v>45830</v>
      </c>
      <c r="B724">
        <v>461.7</v>
      </c>
      <c r="C724">
        <v>342.4</v>
      </c>
      <c r="D724">
        <v>8.4</v>
      </c>
      <c r="E724">
        <v>26.1</v>
      </c>
      <c r="F724">
        <v>26.9</v>
      </c>
      <c r="G724">
        <v>92.6</v>
      </c>
      <c r="H724">
        <v>4.9000000000000004</v>
      </c>
      <c r="I724">
        <v>33.9</v>
      </c>
      <c r="J724">
        <v>27.4</v>
      </c>
      <c r="K724">
        <f t="shared" si="11"/>
        <v>1024.3</v>
      </c>
    </row>
    <row r="725" spans="1:11" x14ac:dyDescent="0.2">
      <c r="A725" s="430">
        <v>45831</v>
      </c>
      <c r="B725">
        <v>299.7</v>
      </c>
      <c r="C725">
        <v>135</v>
      </c>
      <c r="D725">
        <v>9.8000000000000007</v>
      </c>
      <c r="E725"/>
      <c r="F725">
        <v>17.5</v>
      </c>
      <c r="G725"/>
      <c r="H725">
        <v>3.8</v>
      </c>
      <c r="I725">
        <v>37.700000000000003</v>
      </c>
      <c r="J725">
        <v>8.6999999999999993</v>
      </c>
      <c r="K725">
        <f t="shared" si="11"/>
        <v>512.20000000000005</v>
      </c>
    </row>
    <row r="726" spans="1:11" x14ac:dyDescent="0.2">
      <c r="A726" s="430">
        <v>45832</v>
      </c>
      <c r="B726">
        <v>414.7</v>
      </c>
      <c r="C726">
        <v>463.2</v>
      </c>
      <c r="D726">
        <v>17.600000000000001</v>
      </c>
      <c r="E726">
        <v>48.4</v>
      </c>
      <c r="F726">
        <v>24.2</v>
      </c>
      <c r="G726">
        <v>140.5</v>
      </c>
      <c r="H726">
        <v>8</v>
      </c>
      <c r="I726">
        <v>11.9</v>
      </c>
      <c r="J726">
        <v>15.3</v>
      </c>
      <c r="K726">
        <f t="shared" si="11"/>
        <v>1143.8</v>
      </c>
    </row>
    <row r="727" spans="1:11" x14ac:dyDescent="0.2">
      <c r="A727" s="430">
        <v>45833</v>
      </c>
      <c r="B727">
        <v>456.9</v>
      </c>
      <c r="C727">
        <v>500.6</v>
      </c>
      <c r="D727">
        <v>10.3</v>
      </c>
      <c r="E727">
        <v>64.599999999999994</v>
      </c>
      <c r="F727">
        <v>5</v>
      </c>
      <c r="G727">
        <v>107.5</v>
      </c>
      <c r="H727">
        <v>10.1</v>
      </c>
      <c r="I727">
        <v>20.9</v>
      </c>
      <c r="J727">
        <v>10.199999999999999</v>
      </c>
      <c r="K727">
        <f t="shared" si="11"/>
        <v>1186.0999999999999</v>
      </c>
    </row>
    <row r="728" spans="1:11" x14ac:dyDescent="0.2">
      <c r="A728" s="430">
        <v>45834</v>
      </c>
      <c r="B728">
        <v>532.6</v>
      </c>
      <c r="C728">
        <v>534.6</v>
      </c>
      <c r="D728">
        <v>13.1</v>
      </c>
      <c r="E728">
        <v>59.2</v>
      </c>
      <c r="F728">
        <v>3.6</v>
      </c>
      <c r="G728">
        <v>117.3</v>
      </c>
      <c r="H728">
        <v>8.6</v>
      </c>
      <c r="I728">
        <v>4.0999999999999996</v>
      </c>
      <c r="J728">
        <v>9</v>
      </c>
      <c r="K728">
        <f t="shared" si="11"/>
        <v>1282.0999999999997</v>
      </c>
    </row>
    <row r="729" spans="1:11" x14ac:dyDescent="0.2">
      <c r="A729" s="430">
        <v>45835</v>
      </c>
      <c r="B729">
        <v>436</v>
      </c>
      <c r="C729">
        <v>442.4</v>
      </c>
      <c r="D729">
        <v>6.8</v>
      </c>
      <c r="E729">
        <v>51.3</v>
      </c>
      <c r="F729">
        <v>12.5</v>
      </c>
      <c r="G729">
        <v>116.9</v>
      </c>
      <c r="H729">
        <v>10.3</v>
      </c>
      <c r="I729">
        <v>26.1</v>
      </c>
      <c r="J729">
        <v>11.6</v>
      </c>
      <c r="K729">
        <f t="shared" si="11"/>
        <v>1113.8999999999996</v>
      </c>
    </row>
    <row r="730" spans="1:11" x14ac:dyDescent="0.2">
      <c r="A730" s="430">
        <v>45836</v>
      </c>
      <c r="B730">
        <v>403</v>
      </c>
      <c r="C730">
        <v>457.5</v>
      </c>
      <c r="D730">
        <v>9.4</v>
      </c>
      <c r="E730">
        <v>51.1</v>
      </c>
      <c r="F730">
        <v>8.1</v>
      </c>
      <c r="G730">
        <v>105.4</v>
      </c>
      <c r="H730">
        <v>5.2</v>
      </c>
      <c r="I730">
        <v>15</v>
      </c>
      <c r="J730">
        <v>13.2</v>
      </c>
      <c r="K730">
        <f t="shared" si="11"/>
        <v>1067.9000000000001</v>
      </c>
    </row>
    <row r="731" spans="1:11" x14ac:dyDescent="0.2">
      <c r="A731" s="430">
        <v>45837</v>
      </c>
      <c r="B731">
        <v>482.9</v>
      </c>
      <c r="C731">
        <v>339.6</v>
      </c>
      <c r="D731">
        <v>9.8000000000000007</v>
      </c>
      <c r="E731">
        <v>14.8</v>
      </c>
      <c r="F731">
        <v>16.600000000000001</v>
      </c>
      <c r="G731">
        <v>92.3</v>
      </c>
      <c r="H731"/>
      <c r="I731">
        <v>28.4</v>
      </c>
      <c r="J731">
        <v>7.8</v>
      </c>
      <c r="K731">
        <f t="shared" si="11"/>
        <v>992.19999999999982</v>
      </c>
    </row>
    <row r="732" spans="1:11" x14ac:dyDescent="0.2">
      <c r="A732" s="430">
        <v>45838</v>
      </c>
      <c r="B732">
        <v>316</v>
      </c>
      <c r="C732">
        <v>101.1</v>
      </c>
      <c r="D732">
        <v>12.1</v>
      </c>
      <c r="E732"/>
      <c r="F732">
        <v>0.8</v>
      </c>
      <c r="G732"/>
      <c r="H732">
        <v>10.5</v>
      </c>
      <c r="I732">
        <v>21.6</v>
      </c>
      <c r="J732">
        <v>9.6</v>
      </c>
      <c r="K732">
        <f t="shared" si="11"/>
        <v>471.7000000000001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33FD-9C6D-40AA-B37D-D7B9D2D9A167}">
  <dimension ref="A1:U3437"/>
  <sheetViews>
    <sheetView workbookViewId="0">
      <pane ySplit="5" topLeftCell="A165" activePane="bottomLeft" state="frozen"/>
      <selection pane="bottomLeft"/>
    </sheetView>
  </sheetViews>
  <sheetFormatPr baseColWidth="10" defaultColWidth="13.6640625" defaultRowHeight="14" x14ac:dyDescent="0.2"/>
  <cols>
    <col min="1" max="1" width="13.6640625" style="50"/>
    <col min="2" max="9" width="13.6640625" style="39"/>
    <col min="10" max="10" width="13.6640625" style="45"/>
    <col min="11" max="14" width="13.6640625" style="39"/>
    <col min="15" max="15" width="13.6640625" style="45"/>
    <col min="16" max="16" width="13.6640625" style="34"/>
    <col min="17" max="16384" width="13.6640625" style="31"/>
  </cols>
  <sheetData>
    <row r="1" spans="1:16" s="21" customFormat="1" x14ac:dyDescent="0.2">
      <c r="A1" s="19" t="s">
        <v>654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s="24" customFormat="1" ht="47.25" customHeight="1" x14ac:dyDescent="0.2">
      <c r="A2" s="22" t="s">
        <v>655</v>
      </c>
      <c r="B2" s="678" t="s">
        <v>656</v>
      </c>
      <c r="C2" s="679"/>
      <c r="D2" s="678" t="s">
        <v>657</v>
      </c>
      <c r="E2" s="679"/>
      <c r="F2" s="678" t="s">
        <v>658</v>
      </c>
      <c r="G2" s="679"/>
      <c r="H2" s="678" t="s">
        <v>659</v>
      </c>
      <c r="I2" s="679"/>
      <c r="J2" s="23" t="s">
        <v>660</v>
      </c>
      <c r="K2" s="678" t="s">
        <v>661</v>
      </c>
      <c r="L2" s="679"/>
      <c r="M2" s="678" t="s">
        <v>662</v>
      </c>
      <c r="N2" s="679"/>
      <c r="O2" s="23" t="s">
        <v>663</v>
      </c>
      <c r="P2" s="23" t="s">
        <v>664</v>
      </c>
    </row>
    <row r="3" spans="1:16" s="21" customFormat="1" x14ac:dyDescent="0.2">
      <c r="A3" s="19" t="s">
        <v>665</v>
      </c>
      <c r="B3" s="20" t="s">
        <v>666</v>
      </c>
      <c r="C3" s="20" t="s">
        <v>667</v>
      </c>
      <c r="D3" s="20" t="s">
        <v>668</v>
      </c>
      <c r="E3" s="20" t="s">
        <v>667</v>
      </c>
      <c r="F3" s="20" t="s">
        <v>669</v>
      </c>
      <c r="G3" s="20" t="s">
        <v>667</v>
      </c>
      <c r="H3" s="20" t="s">
        <v>670</v>
      </c>
      <c r="I3" s="20" t="s">
        <v>667</v>
      </c>
      <c r="J3" s="20" t="s">
        <v>671</v>
      </c>
      <c r="K3" s="20" t="s">
        <v>672</v>
      </c>
      <c r="L3" s="20" t="s">
        <v>673</v>
      </c>
      <c r="M3" s="20" t="s">
        <v>674</v>
      </c>
      <c r="N3" s="20" t="s">
        <v>675</v>
      </c>
      <c r="O3" s="20" t="s">
        <v>673</v>
      </c>
      <c r="P3" s="20" t="s">
        <v>673</v>
      </c>
    </row>
    <row r="4" spans="1:16" s="21" customFormat="1" x14ac:dyDescent="0.2">
      <c r="A4" s="19" t="s">
        <v>676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 s="21" customFormat="1" x14ac:dyDescent="0.2">
      <c r="A5" s="19" t="s">
        <v>677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x14ac:dyDescent="0.2">
      <c r="A6" s="25">
        <v>40544</v>
      </c>
      <c r="B6" s="26">
        <v>30</v>
      </c>
      <c r="C6" s="26">
        <f t="shared" ref="C6:C69" si="0">B6*5</f>
        <v>150</v>
      </c>
      <c r="D6" s="26">
        <v>3285</v>
      </c>
      <c r="E6" s="26">
        <f t="shared" ref="E6:E69" si="1">D6*2.5</f>
        <v>8212.5</v>
      </c>
      <c r="F6" s="26"/>
      <c r="G6" s="26"/>
      <c r="H6" s="26">
        <v>290</v>
      </c>
      <c r="I6" s="26">
        <f t="shared" ref="I6:I69" si="2">H6*2.5</f>
        <v>725</v>
      </c>
      <c r="J6" s="27">
        <f t="shared" ref="J6:J69" si="3">C6+E6+I6</f>
        <v>9087.5</v>
      </c>
      <c r="K6" s="28"/>
      <c r="L6" s="28"/>
      <c r="M6" s="28"/>
      <c r="N6" s="28"/>
      <c r="O6" s="29"/>
      <c r="P6" s="30">
        <f t="shared" ref="P6:P69" si="4">J6+O6</f>
        <v>9087.5</v>
      </c>
    </row>
    <row r="7" spans="1:16" x14ac:dyDescent="0.2">
      <c r="A7" s="25">
        <v>40575</v>
      </c>
      <c r="B7" s="26">
        <v>10</v>
      </c>
      <c r="C7" s="26">
        <f t="shared" si="0"/>
        <v>50</v>
      </c>
      <c r="D7" s="26">
        <v>2690</v>
      </c>
      <c r="E7" s="26">
        <f t="shared" si="1"/>
        <v>6725</v>
      </c>
      <c r="F7" s="26"/>
      <c r="G7" s="26"/>
      <c r="H7" s="26">
        <v>100</v>
      </c>
      <c r="I7" s="26">
        <f t="shared" si="2"/>
        <v>250</v>
      </c>
      <c r="J7" s="27">
        <f t="shared" si="3"/>
        <v>7025</v>
      </c>
      <c r="K7" s="28"/>
      <c r="L7" s="28"/>
      <c r="M7" s="28"/>
      <c r="N7" s="28"/>
      <c r="O7" s="29"/>
      <c r="P7" s="30">
        <f t="shared" si="4"/>
        <v>7025</v>
      </c>
    </row>
    <row r="8" spans="1:16" x14ac:dyDescent="0.2">
      <c r="A8" s="25">
        <v>40603</v>
      </c>
      <c r="B8" s="26">
        <v>15</v>
      </c>
      <c r="C8" s="26">
        <f t="shared" si="0"/>
        <v>75</v>
      </c>
      <c r="D8" s="26">
        <v>3040</v>
      </c>
      <c r="E8" s="26">
        <f t="shared" si="1"/>
        <v>7600</v>
      </c>
      <c r="F8" s="26"/>
      <c r="G8" s="26"/>
      <c r="H8" s="26">
        <v>240</v>
      </c>
      <c r="I8" s="26">
        <f t="shared" si="2"/>
        <v>600</v>
      </c>
      <c r="J8" s="27">
        <f t="shared" si="3"/>
        <v>8275</v>
      </c>
      <c r="K8" s="28"/>
      <c r="L8" s="28"/>
      <c r="M8" s="28"/>
      <c r="N8" s="28"/>
      <c r="O8" s="29"/>
      <c r="P8" s="30">
        <f t="shared" si="4"/>
        <v>8275</v>
      </c>
    </row>
    <row r="9" spans="1:16" x14ac:dyDescent="0.2">
      <c r="A9" s="25">
        <v>40634</v>
      </c>
      <c r="B9" s="26">
        <v>25</v>
      </c>
      <c r="C9" s="26">
        <f t="shared" si="0"/>
        <v>125</v>
      </c>
      <c r="D9" s="26">
        <v>3495</v>
      </c>
      <c r="E9" s="26">
        <f t="shared" si="1"/>
        <v>8737.5</v>
      </c>
      <c r="F9" s="26"/>
      <c r="G9" s="26"/>
      <c r="H9" s="26">
        <v>255</v>
      </c>
      <c r="I9" s="26">
        <f t="shared" si="2"/>
        <v>637.5</v>
      </c>
      <c r="J9" s="27">
        <f t="shared" si="3"/>
        <v>9500</v>
      </c>
      <c r="K9" s="28"/>
      <c r="L9" s="28"/>
      <c r="M9" s="28"/>
      <c r="N9" s="28"/>
      <c r="O9" s="29"/>
      <c r="P9" s="30">
        <f t="shared" si="4"/>
        <v>9500</v>
      </c>
    </row>
    <row r="10" spans="1:16" x14ac:dyDescent="0.2">
      <c r="A10" s="25">
        <v>40664</v>
      </c>
      <c r="B10" s="26">
        <v>35</v>
      </c>
      <c r="C10" s="26">
        <f t="shared" si="0"/>
        <v>175</v>
      </c>
      <c r="D10" s="26">
        <v>3295</v>
      </c>
      <c r="E10" s="26">
        <f t="shared" si="1"/>
        <v>8237.5</v>
      </c>
      <c r="F10" s="26"/>
      <c r="G10" s="26"/>
      <c r="H10" s="26">
        <v>235</v>
      </c>
      <c r="I10" s="26">
        <f t="shared" si="2"/>
        <v>587.5</v>
      </c>
      <c r="J10" s="27">
        <f t="shared" si="3"/>
        <v>9000</v>
      </c>
      <c r="K10" s="28"/>
      <c r="L10" s="28"/>
      <c r="M10" s="28"/>
      <c r="N10" s="28"/>
      <c r="O10" s="29"/>
      <c r="P10" s="30">
        <f t="shared" si="4"/>
        <v>9000</v>
      </c>
    </row>
    <row r="11" spans="1:16" x14ac:dyDescent="0.2">
      <c r="A11" s="25">
        <v>40695</v>
      </c>
      <c r="B11" s="26">
        <v>45</v>
      </c>
      <c r="C11" s="26">
        <f t="shared" si="0"/>
        <v>225</v>
      </c>
      <c r="D11" s="26">
        <v>4720</v>
      </c>
      <c r="E11" s="26">
        <f t="shared" si="1"/>
        <v>11800</v>
      </c>
      <c r="F11" s="26"/>
      <c r="G11" s="26"/>
      <c r="H11" s="26">
        <v>285</v>
      </c>
      <c r="I11" s="26">
        <f t="shared" si="2"/>
        <v>712.5</v>
      </c>
      <c r="J11" s="27">
        <f t="shared" si="3"/>
        <v>12737.5</v>
      </c>
      <c r="K11" s="28"/>
      <c r="L11" s="28"/>
      <c r="M11" s="28"/>
      <c r="N11" s="28"/>
      <c r="O11" s="29"/>
      <c r="P11" s="30">
        <f t="shared" si="4"/>
        <v>12737.5</v>
      </c>
    </row>
    <row r="12" spans="1:16" x14ac:dyDescent="0.2">
      <c r="A12" s="25">
        <v>40725</v>
      </c>
      <c r="B12" s="26">
        <v>45</v>
      </c>
      <c r="C12" s="26">
        <f t="shared" si="0"/>
        <v>225</v>
      </c>
      <c r="D12" s="26">
        <v>2490</v>
      </c>
      <c r="E12" s="26">
        <f t="shared" si="1"/>
        <v>6225</v>
      </c>
      <c r="F12" s="26"/>
      <c r="G12" s="26"/>
      <c r="H12" s="26">
        <v>190</v>
      </c>
      <c r="I12" s="26">
        <f t="shared" si="2"/>
        <v>475</v>
      </c>
      <c r="J12" s="27">
        <f t="shared" si="3"/>
        <v>6925</v>
      </c>
      <c r="K12" s="28"/>
      <c r="L12" s="28"/>
      <c r="M12" s="28"/>
      <c r="N12" s="28"/>
      <c r="O12" s="29"/>
      <c r="P12" s="30">
        <f t="shared" si="4"/>
        <v>6925</v>
      </c>
    </row>
    <row r="13" spans="1:16" x14ac:dyDescent="0.2">
      <c r="A13" s="25">
        <v>40756</v>
      </c>
      <c r="B13" s="26">
        <v>30</v>
      </c>
      <c r="C13" s="26">
        <f t="shared" si="0"/>
        <v>150</v>
      </c>
      <c r="D13" s="26">
        <v>2245</v>
      </c>
      <c r="E13" s="26">
        <f t="shared" si="1"/>
        <v>5612.5</v>
      </c>
      <c r="F13" s="26"/>
      <c r="G13" s="26"/>
      <c r="H13" s="26">
        <v>160</v>
      </c>
      <c r="I13" s="26">
        <f t="shared" si="2"/>
        <v>400</v>
      </c>
      <c r="J13" s="27">
        <f t="shared" si="3"/>
        <v>6162.5</v>
      </c>
      <c r="K13" s="28"/>
      <c r="L13" s="28"/>
      <c r="M13" s="28"/>
      <c r="N13" s="28"/>
      <c r="O13" s="29"/>
      <c r="P13" s="30">
        <f t="shared" si="4"/>
        <v>6162.5</v>
      </c>
    </row>
    <row r="14" spans="1:16" x14ac:dyDescent="0.2">
      <c r="A14" s="25">
        <v>40787</v>
      </c>
      <c r="B14" s="26">
        <v>30</v>
      </c>
      <c r="C14" s="26">
        <f t="shared" si="0"/>
        <v>150</v>
      </c>
      <c r="D14" s="26">
        <v>2390</v>
      </c>
      <c r="E14" s="26">
        <f t="shared" si="1"/>
        <v>5975</v>
      </c>
      <c r="F14" s="26"/>
      <c r="G14" s="26"/>
      <c r="H14" s="26">
        <v>385</v>
      </c>
      <c r="I14" s="26">
        <f t="shared" si="2"/>
        <v>962.5</v>
      </c>
      <c r="J14" s="27">
        <f t="shared" si="3"/>
        <v>7087.5</v>
      </c>
      <c r="K14" s="28"/>
      <c r="L14" s="28"/>
      <c r="M14" s="28"/>
      <c r="N14" s="28"/>
      <c r="O14" s="29"/>
      <c r="P14" s="30">
        <f t="shared" si="4"/>
        <v>7087.5</v>
      </c>
    </row>
    <row r="15" spans="1:16" x14ac:dyDescent="0.2">
      <c r="A15" s="25">
        <v>40817</v>
      </c>
      <c r="B15" s="26">
        <v>45</v>
      </c>
      <c r="C15" s="26">
        <f t="shared" si="0"/>
        <v>225</v>
      </c>
      <c r="D15" s="26">
        <v>3845</v>
      </c>
      <c r="E15" s="26">
        <f t="shared" si="1"/>
        <v>9612.5</v>
      </c>
      <c r="F15" s="26"/>
      <c r="G15" s="26"/>
      <c r="H15" s="26">
        <v>470</v>
      </c>
      <c r="I15" s="26">
        <f t="shared" si="2"/>
        <v>1175</v>
      </c>
      <c r="J15" s="27">
        <f t="shared" si="3"/>
        <v>11012.5</v>
      </c>
      <c r="K15" s="28"/>
      <c r="L15" s="28"/>
      <c r="M15" s="28"/>
      <c r="N15" s="28"/>
      <c r="O15" s="29"/>
      <c r="P15" s="30">
        <f t="shared" si="4"/>
        <v>11012.5</v>
      </c>
    </row>
    <row r="16" spans="1:16" x14ac:dyDescent="0.2">
      <c r="A16" s="25">
        <v>40848</v>
      </c>
      <c r="B16" s="26">
        <v>55</v>
      </c>
      <c r="C16" s="26">
        <f t="shared" si="0"/>
        <v>275</v>
      </c>
      <c r="D16" s="26">
        <v>3630</v>
      </c>
      <c r="E16" s="26">
        <f t="shared" si="1"/>
        <v>9075</v>
      </c>
      <c r="F16" s="26"/>
      <c r="G16" s="26"/>
      <c r="H16" s="26">
        <v>240</v>
      </c>
      <c r="I16" s="26">
        <f t="shared" si="2"/>
        <v>600</v>
      </c>
      <c r="J16" s="27">
        <f t="shared" si="3"/>
        <v>9950</v>
      </c>
      <c r="K16" s="28"/>
      <c r="L16" s="28"/>
      <c r="M16" s="28"/>
      <c r="N16" s="28"/>
      <c r="O16" s="29"/>
      <c r="P16" s="30">
        <f t="shared" si="4"/>
        <v>9950</v>
      </c>
    </row>
    <row r="17" spans="1:16" x14ac:dyDescent="0.2">
      <c r="A17" s="25">
        <v>40878</v>
      </c>
      <c r="B17" s="26">
        <v>30</v>
      </c>
      <c r="C17" s="26">
        <f t="shared" si="0"/>
        <v>150</v>
      </c>
      <c r="D17" s="26">
        <v>3595</v>
      </c>
      <c r="E17" s="26">
        <f t="shared" si="1"/>
        <v>8987.5</v>
      </c>
      <c r="F17" s="26"/>
      <c r="G17" s="26"/>
      <c r="H17" s="26">
        <v>210</v>
      </c>
      <c r="I17" s="26">
        <f t="shared" si="2"/>
        <v>525</v>
      </c>
      <c r="J17" s="27">
        <f t="shared" si="3"/>
        <v>9662.5</v>
      </c>
      <c r="K17" s="28"/>
      <c r="L17" s="28"/>
      <c r="M17" s="28"/>
      <c r="N17" s="28"/>
      <c r="O17" s="29"/>
      <c r="P17" s="30">
        <f t="shared" si="4"/>
        <v>9662.5</v>
      </c>
    </row>
    <row r="18" spans="1:16" x14ac:dyDescent="0.2">
      <c r="A18" s="25">
        <v>40909</v>
      </c>
      <c r="B18" s="26">
        <v>27</v>
      </c>
      <c r="C18" s="26">
        <f t="shared" si="0"/>
        <v>135</v>
      </c>
      <c r="D18" s="26">
        <v>3180</v>
      </c>
      <c r="E18" s="26">
        <f t="shared" si="1"/>
        <v>7950</v>
      </c>
      <c r="F18" s="26"/>
      <c r="G18" s="26"/>
      <c r="H18" s="26">
        <v>205</v>
      </c>
      <c r="I18" s="26">
        <f t="shared" si="2"/>
        <v>512.5</v>
      </c>
      <c r="J18" s="27">
        <f t="shared" si="3"/>
        <v>8597.5</v>
      </c>
      <c r="K18" s="28"/>
      <c r="L18" s="28"/>
      <c r="M18" s="28"/>
      <c r="N18" s="28"/>
      <c r="O18" s="29"/>
      <c r="P18" s="30">
        <f t="shared" si="4"/>
        <v>8597.5</v>
      </c>
    </row>
    <row r="19" spans="1:16" x14ac:dyDescent="0.2">
      <c r="A19" s="25">
        <v>40940</v>
      </c>
      <c r="B19" s="26">
        <v>33</v>
      </c>
      <c r="C19" s="26">
        <f t="shared" si="0"/>
        <v>165</v>
      </c>
      <c r="D19" s="26">
        <v>2385</v>
      </c>
      <c r="E19" s="26">
        <f t="shared" si="1"/>
        <v>5962.5</v>
      </c>
      <c r="F19" s="26"/>
      <c r="G19" s="26"/>
      <c r="H19" s="26">
        <v>180</v>
      </c>
      <c r="I19" s="26">
        <f t="shared" si="2"/>
        <v>450</v>
      </c>
      <c r="J19" s="27">
        <f t="shared" si="3"/>
        <v>6577.5</v>
      </c>
      <c r="K19" s="28"/>
      <c r="L19" s="28"/>
      <c r="M19" s="28"/>
      <c r="N19" s="28"/>
      <c r="O19" s="29"/>
      <c r="P19" s="30">
        <f t="shared" si="4"/>
        <v>6577.5</v>
      </c>
    </row>
    <row r="20" spans="1:16" x14ac:dyDescent="0.2">
      <c r="A20" s="25">
        <v>40969</v>
      </c>
      <c r="B20" s="26">
        <v>33</v>
      </c>
      <c r="C20" s="26">
        <f t="shared" si="0"/>
        <v>165</v>
      </c>
      <c r="D20" s="26">
        <v>3610</v>
      </c>
      <c r="E20" s="26">
        <f t="shared" si="1"/>
        <v>9025</v>
      </c>
      <c r="F20" s="26"/>
      <c r="G20" s="26"/>
      <c r="H20" s="26">
        <v>300</v>
      </c>
      <c r="I20" s="26">
        <f t="shared" si="2"/>
        <v>750</v>
      </c>
      <c r="J20" s="27">
        <f t="shared" si="3"/>
        <v>9940</v>
      </c>
      <c r="K20" s="28"/>
      <c r="L20" s="28"/>
      <c r="M20" s="28"/>
      <c r="N20" s="28"/>
      <c r="O20" s="29"/>
      <c r="P20" s="30">
        <f t="shared" si="4"/>
        <v>9940</v>
      </c>
    </row>
    <row r="21" spans="1:16" x14ac:dyDescent="0.2">
      <c r="A21" s="25">
        <v>41000</v>
      </c>
      <c r="B21" s="26">
        <v>15</v>
      </c>
      <c r="C21" s="26">
        <f t="shared" si="0"/>
        <v>75</v>
      </c>
      <c r="D21" s="26">
        <v>3050</v>
      </c>
      <c r="E21" s="26">
        <f t="shared" si="1"/>
        <v>7625</v>
      </c>
      <c r="F21" s="26"/>
      <c r="G21" s="26"/>
      <c r="H21" s="26">
        <v>485</v>
      </c>
      <c r="I21" s="26">
        <f t="shared" si="2"/>
        <v>1212.5</v>
      </c>
      <c r="J21" s="27">
        <f t="shared" si="3"/>
        <v>8912.5</v>
      </c>
      <c r="K21" s="28"/>
      <c r="L21" s="28"/>
      <c r="M21" s="28"/>
      <c r="N21" s="28"/>
      <c r="O21" s="29"/>
      <c r="P21" s="30">
        <f t="shared" si="4"/>
        <v>8912.5</v>
      </c>
    </row>
    <row r="22" spans="1:16" x14ac:dyDescent="0.2">
      <c r="A22" s="25">
        <v>41030</v>
      </c>
      <c r="B22" s="26">
        <v>36</v>
      </c>
      <c r="C22" s="26">
        <f t="shared" si="0"/>
        <v>180</v>
      </c>
      <c r="D22" s="26">
        <v>3235</v>
      </c>
      <c r="E22" s="26">
        <f t="shared" si="1"/>
        <v>8087.5</v>
      </c>
      <c r="F22" s="26"/>
      <c r="G22" s="26"/>
      <c r="H22" s="26">
        <v>220</v>
      </c>
      <c r="I22" s="26">
        <f t="shared" si="2"/>
        <v>550</v>
      </c>
      <c r="J22" s="27">
        <f t="shared" si="3"/>
        <v>8817.5</v>
      </c>
      <c r="K22" s="28"/>
      <c r="L22" s="28"/>
      <c r="M22" s="28"/>
      <c r="N22" s="28"/>
      <c r="O22" s="29"/>
      <c r="P22" s="30">
        <f t="shared" si="4"/>
        <v>8817.5</v>
      </c>
    </row>
    <row r="23" spans="1:16" x14ac:dyDescent="0.2">
      <c r="A23" s="25">
        <v>41061</v>
      </c>
      <c r="B23" s="26">
        <v>66</v>
      </c>
      <c r="C23" s="26">
        <f t="shared" si="0"/>
        <v>330</v>
      </c>
      <c r="D23" s="26">
        <v>3345</v>
      </c>
      <c r="E23" s="26">
        <f t="shared" si="1"/>
        <v>8362.5</v>
      </c>
      <c r="F23" s="26"/>
      <c r="G23" s="26"/>
      <c r="H23" s="26">
        <v>220</v>
      </c>
      <c r="I23" s="26">
        <f t="shared" si="2"/>
        <v>550</v>
      </c>
      <c r="J23" s="27">
        <f t="shared" si="3"/>
        <v>9242.5</v>
      </c>
      <c r="K23" s="28"/>
      <c r="L23" s="28"/>
      <c r="M23" s="28"/>
      <c r="N23" s="28"/>
      <c r="O23" s="29"/>
      <c r="P23" s="30">
        <f t="shared" si="4"/>
        <v>9242.5</v>
      </c>
    </row>
    <row r="24" spans="1:16" x14ac:dyDescent="0.2">
      <c r="A24" s="25">
        <v>41091</v>
      </c>
      <c r="B24" s="26">
        <v>18</v>
      </c>
      <c r="C24" s="26">
        <f t="shared" si="0"/>
        <v>90</v>
      </c>
      <c r="D24" s="26">
        <v>2535</v>
      </c>
      <c r="E24" s="26">
        <f t="shared" si="1"/>
        <v>6337.5</v>
      </c>
      <c r="F24" s="26"/>
      <c r="G24" s="26"/>
      <c r="H24" s="26">
        <v>195</v>
      </c>
      <c r="I24" s="26">
        <f t="shared" si="2"/>
        <v>487.5</v>
      </c>
      <c r="J24" s="27">
        <f t="shared" si="3"/>
        <v>6915</v>
      </c>
      <c r="K24" s="28"/>
      <c r="L24" s="28"/>
      <c r="M24" s="28"/>
      <c r="N24" s="28"/>
      <c r="O24" s="29"/>
      <c r="P24" s="30">
        <f t="shared" si="4"/>
        <v>6915</v>
      </c>
    </row>
    <row r="25" spans="1:16" x14ac:dyDescent="0.2">
      <c r="A25" s="25">
        <v>41122</v>
      </c>
      <c r="B25" s="26">
        <v>48</v>
      </c>
      <c r="C25" s="26">
        <f t="shared" si="0"/>
        <v>240</v>
      </c>
      <c r="D25" s="26">
        <v>2485</v>
      </c>
      <c r="E25" s="26">
        <f t="shared" si="1"/>
        <v>6212.5</v>
      </c>
      <c r="F25" s="26"/>
      <c r="G25" s="26"/>
      <c r="H25" s="26">
        <v>320</v>
      </c>
      <c r="I25" s="26">
        <f t="shared" si="2"/>
        <v>800</v>
      </c>
      <c r="J25" s="27">
        <f t="shared" si="3"/>
        <v>7252.5</v>
      </c>
      <c r="K25" s="28"/>
      <c r="L25" s="28"/>
      <c r="M25" s="28"/>
      <c r="N25" s="28"/>
      <c r="O25" s="29"/>
      <c r="P25" s="30">
        <f t="shared" si="4"/>
        <v>7252.5</v>
      </c>
    </row>
    <row r="26" spans="1:16" x14ac:dyDescent="0.2">
      <c r="A26" s="25">
        <v>41153</v>
      </c>
      <c r="B26" s="26">
        <v>30</v>
      </c>
      <c r="C26" s="26">
        <f t="shared" si="0"/>
        <v>150</v>
      </c>
      <c r="D26" s="26">
        <v>2955</v>
      </c>
      <c r="E26" s="26">
        <f t="shared" si="1"/>
        <v>7387.5</v>
      </c>
      <c r="F26" s="26"/>
      <c r="G26" s="26"/>
      <c r="H26" s="26">
        <v>850</v>
      </c>
      <c r="I26" s="26">
        <f t="shared" si="2"/>
        <v>2125</v>
      </c>
      <c r="J26" s="27">
        <f t="shared" si="3"/>
        <v>9662.5</v>
      </c>
      <c r="K26" s="28"/>
      <c r="L26" s="28"/>
      <c r="M26" s="28"/>
      <c r="N26" s="28"/>
      <c r="O26" s="29"/>
      <c r="P26" s="30">
        <f t="shared" si="4"/>
        <v>9662.5</v>
      </c>
    </row>
    <row r="27" spans="1:16" x14ac:dyDescent="0.2">
      <c r="A27" s="25">
        <v>41183</v>
      </c>
      <c r="B27" s="26">
        <v>42</v>
      </c>
      <c r="C27" s="26">
        <f t="shared" si="0"/>
        <v>210</v>
      </c>
      <c r="D27" s="26">
        <v>2775</v>
      </c>
      <c r="E27" s="26">
        <f t="shared" si="1"/>
        <v>6937.5</v>
      </c>
      <c r="F27" s="26"/>
      <c r="G27" s="26"/>
      <c r="H27" s="26">
        <v>400</v>
      </c>
      <c r="I27" s="26">
        <f t="shared" si="2"/>
        <v>1000</v>
      </c>
      <c r="J27" s="27">
        <f t="shared" si="3"/>
        <v>8147.5</v>
      </c>
      <c r="K27" s="28"/>
      <c r="L27" s="28"/>
      <c r="M27" s="28"/>
      <c r="N27" s="28"/>
      <c r="O27" s="29"/>
      <c r="P27" s="30">
        <f t="shared" si="4"/>
        <v>8147.5</v>
      </c>
    </row>
    <row r="28" spans="1:16" x14ac:dyDescent="0.2">
      <c r="A28" s="25">
        <v>41214</v>
      </c>
      <c r="B28" s="26">
        <v>24</v>
      </c>
      <c r="C28" s="26">
        <f t="shared" si="0"/>
        <v>120</v>
      </c>
      <c r="D28" s="26">
        <v>3220</v>
      </c>
      <c r="E28" s="26">
        <f t="shared" si="1"/>
        <v>8050</v>
      </c>
      <c r="F28" s="26"/>
      <c r="G28" s="26"/>
      <c r="H28" s="26">
        <v>940</v>
      </c>
      <c r="I28" s="26">
        <f t="shared" si="2"/>
        <v>2350</v>
      </c>
      <c r="J28" s="27">
        <f t="shared" si="3"/>
        <v>10520</v>
      </c>
      <c r="K28" s="28"/>
      <c r="L28" s="28"/>
      <c r="M28" s="28"/>
      <c r="N28" s="28"/>
      <c r="O28" s="29"/>
      <c r="P28" s="30">
        <f t="shared" si="4"/>
        <v>10520</v>
      </c>
    </row>
    <row r="29" spans="1:16" x14ac:dyDescent="0.2">
      <c r="A29" s="25">
        <v>41244</v>
      </c>
      <c r="B29" s="26">
        <v>36</v>
      </c>
      <c r="C29" s="26">
        <f t="shared" si="0"/>
        <v>180</v>
      </c>
      <c r="D29" s="26">
        <v>3835</v>
      </c>
      <c r="E29" s="26">
        <f t="shared" si="1"/>
        <v>9587.5</v>
      </c>
      <c r="F29" s="26"/>
      <c r="G29" s="26"/>
      <c r="H29" s="26">
        <v>810</v>
      </c>
      <c r="I29" s="26">
        <f t="shared" si="2"/>
        <v>2025</v>
      </c>
      <c r="J29" s="27">
        <f t="shared" si="3"/>
        <v>11792.5</v>
      </c>
      <c r="K29" s="28"/>
      <c r="L29" s="28"/>
      <c r="M29" s="28"/>
      <c r="N29" s="28"/>
      <c r="O29" s="29"/>
      <c r="P29" s="30">
        <f t="shared" si="4"/>
        <v>11792.5</v>
      </c>
    </row>
    <row r="30" spans="1:16" x14ac:dyDescent="0.2">
      <c r="A30" s="25">
        <v>41275</v>
      </c>
      <c r="B30" s="26">
        <v>33</v>
      </c>
      <c r="C30" s="26">
        <f t="shared" si="0"/>
        <v>165</v>
      </c>
      <c r="D30" s="26">
        <v>2995</v>
      </c>
      <c r="E30" s="26">
        <f t="shared" si="1"/>
        <v>7487.5</v>
      </c>
      <c r="F30" s="26"/>
      <c r="G30" s="26"/>
      <c r="H30" s="26">
        <v>730</v>
      </c>
      <c r="I30" s="26">
        <f t="shared" si="2"/>
        <v>1825</v>
      </c>
      <c r="J30" s="27">
        <f t="shared" si="3"/>
        <v>9477.5</v>
      </c>
      <c r="K30" s="28"/>
      <c r="L30" s="28"/>
      <c r="M30" s="28"/>
      <c r="N30" s="28"/>
      <c r="O30" s="29"/>
      <c r="P30" s="30">
        <f t="shared" si="4"/>
        <v>9477.5</v>
      </c>
    </row>
    <row r="31" spans="1:16" x14ac:dyDescent="0.2">
      <c r="A31" s="25">
        <v>41306</v>
      </c>
      <c r="B31" s="26">
        <v>21</v>
      </c>
      <c r="C31" s="26">
        <f t="shared" si="0"/>
        <v>105</v>
      </c>
      <c r="D31" s="26">
        <v>2665</v>
      </c>
      <c r="E31" s="26">
        <f t="shared" si="1"/>
        <v>6662.5</v>
      </c>
      <c r="F31" s="26"/>
      <c r="G31" s="26"/>
      <c r="H31" s="26">
        <v>180</v>
      </c>
      <c r="I31" s="26">
        <f t="shared" si="2"/>
        <v>450</v>
      </c>
      <c r="J31" s="27">
        <f t="shared" si="3"/>
        <v>7217.5</v>
      </c>
      <c r="K31" s="28"/>
      <c r="L31" s="28"/>
      <c r="M31" s="28"/>
      <c r="N31" s="28"/>
      <c r="O31" s="29"/>
      <c r="P31" s="30">
        <f t="shared" si="4"/>
        <v>7217.5</v>
      </c>
    </row>
    <row r="32" spans="1:16" x14ac:dyDescent="0.2">
      <c r="A32" s="25">
        <v>41334</v>
      </c>
      <c r="B32" s="26">
        <v>54</v>
      </c>
      <c r="C32" s="26">
        <f t="shared" si="0"/>
        <v>270</v>
      </c>
      <c r="D32" s="26">
        <v>2825</v>
      </c>
      <c r="E32" s="26">
        <f t="shared" si="1"/>
        <v>7062.5</v>
      </c>
      <c r="F32" s="26"/>
      <c r="G32" s="26"/>
      <c r="H32" s="26">
        <v>380</v>
      </c>
      <c r="I32" s="26">
        <f t="shared" si="2"/>
        <v>950</v>
      </c>
      <c r="J32" s="27">
        <f t="shared" si="3"/>
        <v>8282.5</v>
      </c>
      <c r="K32" s="28"/>
      <c r="L32" s="28"/>
      <c r="M32" s="28"/>
      <c r="N32" s="28"/>
      <c r="O32" s="29"/>
      <c r="P32" s="30">
        <f t="shared" si="4"/>
        <v>8282.5</v>
      </c>
    </row>
    <row r="33" spans="1:16" x14ac:dyDescent="0.2">
      <c r="A33" s="25">
        <v>41365</v>
      </c>
      <c r="B33" s="26">
        <v>36</v>
      </c>
      <c r="C33" s="26">
        <f t="shared" si="0"/>
        <v>180</v>
      </c>
      <c r="D33" s="26">
        <v>2920</v>
      </c>
      <c r="E33" s="26">
        <f t="shared" si="1"/>
        <v>7300</v>
      </c>
      <c r="F33" s="26"/>
      <c r="G33" s="26"/>
      <c r="H33" s="26">
        <v>500</v>
      </c>
      <c r="I33" s="26">
        <f t="shared" si="2"/>
        <v>1250</v>
      </c>
      <c r="J33" s="27">
        <f t="shared" si="3"/>
        <v>8730</v>
      </c>
      <c r="K33" s="28"/>
      <c r="L33" s="28"/>
      <c r="M33" s="28"/>
      <c r="N33" s="28"/>
      <c r="O33" s="29"/>
      <c r="P33" s="30">
        <f t="shared" si="4"/>
        <v>8730</v>
      </c>
    </row>
    <row r="34" spans="1:16" x14ac:dyDescent="0.2">
      <c r="A34" s="25">
        <v>41395</v>
      </c>
      <c r="B34" s="26">
        <v>33</v>
      </c>
      <c r="C34" s="26">
        <f t="shared" si="0"/>
        <v>165</v>
      </c>
      <c r="D34" s="26">
        <v>3535</v>
      </c>
      <c r="E34" s="26">
        <f t="shared" si="1"/>
        <v>8837.5</v>
      </c>
      <c r="F34" s="26"/>
      <c r="G34" s="26"/>
      <c r="H34" s="26">
        <v>1310</v>
      </c>
      <c r="I34" s="26">
        <f t="shared" si="2"/>
        <v>3275</v>
      </c>
      <c r="J34" s="27">
        <f t="shared" si="3"/>
        <v>12277.5</v>
      </c>
      <c r="K34" s="28"/>
      <c r="L34" s="28"/>
      <c r="M34" s="28"/>
      <c r="N34" s="28"/>
      <c r="O34" s="29"/>
      <c r="P34" s="30">
        <f t="shared" si="4"/>
        <v>12277.5</v>
      </c>
    </row>
    <row r="35" spans="1:16" x14ac:dyDescent="0.2">
      <c r="A35" s="25">
        <v>41426</v>
      </c>
      <c r="B35" s="26">
        <v>30</v>
      </c>
      <c r="C35" s="26">
        <f t="shared" si="0"/>
        <v>150</v>
      </c>
      <c r="D35" s="26">
        <v>3105</v>
      </c>
      <c r="E35" s="26">
        <f t="shared" si="1"/>
        <v>7762.5</v>
      </c>
      <c r="F35" s="26"/>
      <c r="G35" s="26"/>
      <c r="H35" s="26">
        <v>275</v>
      </c>
      <c r="I35" s="26">
        <f t="shared" si="2"/>
        <v>687.5</v>
      </c>
      <c r="J35" s="27">
        <f t="shared" si="3"/>
        <v>8600</v>
      </c>
      <c r="K35" s="28"/>
      <c r="L35" s="28"/>
      <c r="M35" s="28"/>
      <c r="N35" s="28"/>
      <c r="O35" s="29"/>
      <c r="P35" s="30">
        <f t="shared" si="4"/>
        <v>8600</v>
      </c>
    </row>
    <row r="36" spans="1:16" x14ac:dyDescent="0.2">
      <c r="A36" s="25">
        <v>41456</v>
      </c>
      <c r="B36" s="26">
        <v>30</v>
      </c>
      <c r="C36" s="26">
        <f t="shared" si="0"/>
        <v>150</v>
      </c>
      <c r="D36" s="26">
        <v>2740</v>
      </c>
      <c r="E36" s="26">
        <f t="shared" si="1"/>
        <v>6850</v>
      </c>
      <c r="F36" s="26"/>
      <c r="G36" s="26"/>
      <c r="H36" s="26">
        <v>350</v>
      </c>
      <c r="I36" s="26">
        <f t="shared" si="2"/>
        <v>875</v>
      </c>
      <c r="J36" s="27">
        <f t="shared" si="3"/>
        <v>7875</v>
      </c>
      <c r="K36" s="26">
        <v>1838</v>
      </c>
      <c r="L36" s="26">
        <f t="shared" ref="L36:L99" si="5">K36</f>
        <v>1838</v>
      </c>
      <c r="M36" s="26">
        <v>1768</v>
      </c>
      <c r="N36" s="26">
        <f t="shared" ref="N36:N99" si="6">M36*1.6</f>
        <v>2828.8</v>
      </c>
      <c r="O36" s="32">
        <f t="shared" ref="O36:O62" si="7">L36+N36</f>
        <v>4666.8</v>
      </c>
      <c r="P36" s="30">
        <f t="shared" si="4"/>
        <v>12541.8</v>
      </c>
    </row>
    <row r="37" spans="1:16" x14ac:dyDescent="0.2">
      <c r="A37" s="25">
        <v>41487</v>
      </c>
      <c r="B37" s="26">
        <v>42</v>
      </c>
      <c r="C37" s="26">
        <f t="shared" si="0"/>
        <v>210</v>
      </c>
      <c r="D37" s="26">
        <v>3055</v>
      </c>
      <c r="E37" s="26">
        <f t="shared" si="1"/>
        <v>7637.5</v>
      </c>
      <c r="F37" s="26"/>
      <c r="G37" s="26"/>
      <c r="H37" s="26">
        <v>295</v>
      </c>
      <c r="I37" s="26">
        <f t="shared" si="2"/>
        <v>737.5</v>
      </c>
      <c r="J37" s="27">
        <f t="shared" si="3"/>
        <v>8585</v>
      </c>
      <c r="K37" s="26">
        <v>3852</v>
      </c>
      <c r="L37" s="26">
        <f t="shared" si="5"/>
        <v>3852</v>
      </c>
      <c r="M37" s="26">
        <v>2376</v>
      </c>
      <c r="N37" s="26">
        <f t="shared" si="6"/>
        <v>3801.6000000000004</v>
      </c>
      <c r="O37" s="32">
        <f t="shared" si="7"/>
        <v>7653.6</v>
      </c>
      <c r="P37" s="30">
        <f t="shared" si="4"/>
        <v>16238.6</v>
      </c>
    </row>
    <row r="38" spans="1:16" x14ac:dyDescent="0.2">
      <c r="A38" s="25">
        <v>41518</v>
      </c>
      <c r="B38" s="26">
        <v>24</v>
      </c>
      <c r="C38" s="26">
        <f t="shared" si="0"/>
        <v>120</v>
      </c>
      <c r="D38" s="26">
        <v>2740</v>
      </c>
      <c r="E38" s="26">
        <f t="shared" si="1"/>
        <v>6850</v>
      </c>
      <c r="F38" s="26"/>
      <c r="G38" s="26"/>
      <c r="H38" s="26">
        <v>365</v>
      </c>
      <c r="I38" s="26">
        <f t="shared" si="2"/>
        <v>912.5</v>
      </c>
      <c r="J38" s="27">
        <f t="shared" si="3"/>
        <v>7882.5</v>
      </c>
      <c r="K38" s="26">
        <v>3660</v>
      </c>
      <c r="L38" s="26">
        <f t="shared" si="5"/>
        <v>3660</v>
      </c>
      <c r="M38" s="26">
        <v>2462</v>
      </c>
      <c r="N38" s="26">
        <f t="shared" si="6"/>
        <v>3939.2000000000003</v>
      </c>
      <c r="O38" s="32">
        <f t="shared" si="7"/>
        <v>7599.2000000000007</v>
      </c>
      <c r="P38" s="30">
        <f t="shared" si="4"/>
        <v>15481.7</v>
      </c>
    </row>
    <row r="39" spans="1:16" x14ac:dyDescent="0.2">
      <c r="A39" s="25">
        <v>41548</v>
      </c>
      <c r="B39" s="26">
        <v>70</v>
      </c>
      <c r="C39" s="26">
        <f t="shared" si="0"/>
        <v>350</v>
      </c>
      <c r="D39" s="26">
        <v>3175</v>
      </c>
      <c r="E39" s="26">
        <f t="shared" si="1"/>
        <v>7937.5</v>
      </c>
      <c r="F39" s="26"/>
      <c r="G39" s="26"/>
      <c r="H39" s="26">
        <v>390</v>
      </c>
      <c r="I39" s="26">
        <f t="shared" si="2"/>
        <v>975</v>
      </c>
      <c r="J39" s="27">
        <f t="shared" si="3"/>
        <v>9262.5</v>
      </c>
      <c r="K39" s="26">
        <v>4692</v>
      </c>
      <c r="L39" s="26">
        <f t="shared" si="5"/>
        <v>4692</v>
      </c>
      <c r="M39" s="26">
        <v>3447</v>
      </c>
      <c r="N39" s="26">
        <f t="shared" si="6"/>
        <v>5515.2000000000007</v>
      </c>
      <c r="O39" s="32">
        <f t="shared" si="7"/>
        <v>10207.200000000001</v>
      </c>
      <c r="P39" s="30">
        <f t="shared" si="4"/>
        <v>19469.7</v>
      </c>
    </row>
    <row r="40" spans="1:16" x14ac:dyDescent="0.2">
      <c r="A40" s="25">
        <v>41579</v>
      </c>
      <c r="B40" s="26">
        <v>45</v>
      </c>
      <c r="C40" s="26">
        <f t="shared" si="0"/>
        <v>225</v>
      </c>
      <c r="D40" s="26">
        <v>4155</v>
      </c>
      <c r="E40" s="26">
        <f t="shared" si="1"/>
        <v>10387.5</v>
      </c>
      <c r="F40" s="26"/>
      <c r="G40" s="26"/>
      <c r="H40" s="26">
        <v>675</v>
      </c>
      <c r="I40" s="26">
        <f t="shared" si="2"/>
        <v>1687.5</v>
      </c>
      <c r="J40" s="27">
        <f t="shared" si="3"/>
        <v>12300</v>
      </c>
      <c r="K40" s="26">
        <v>3721</v>
      </c>
      <c r="L40" s="26">
        <f t="shared" si="5"/>
        <v>3721</v>
      </c>
      <c r="M40" s="26">
        <v>1672</v>
      </c>
      <c r="N40" s="26">
        <f t="shared" si="6"/>
        <v>2675.2000000000003</v>
      </c>
      <c r="O40" s="32">
        <f t="shared" si="7"/>
        <v>6396.2000000000007</v>
      </c>
      <c r="P40" s="30">
        <f t="shared" si="4"/>
        <v>18696.2</v>
      </c>
    </row>
    <row r="41" spans="1:16" x14ac:dyDescent="0.2">
      <c r="A41" s="25">
        <v>41609</v>
      </c>
      <c r="B41" s="26">
        <v>25</v>
      </c>
      <c r="C41" s="26">
        <f t="shared" si="0"/>
        <v>125</v>
      </c>
      <c r="D41" s="26">
        <v>3275</v>
      </c>
      <c r="E41" s="26">
        <f t="shared" si="1"/>
        <v>8187.5</v>
      </c>
      <c r="F41" s="26"/>
      <c r="G41" s="26"/>
      <c r="H41" s="26">
        <v>500</v>
      </c>
      <c r="I41" s="26">
        <f t="shared" si="2"/>
        <v>1250</v>
      </c>
      <c r="J41" s="27">
        <f t="shared" si="3"/>
        <v>9562.5</v>
      </c>
      <c r="K41" s="26">
        <v>3720</v>
      </c>
      <c r="L41" s="26">
        <f t="shared" si="5"/>
        <v>3720</v>
      </c>
      <c r="M41" s="26">
        <v>3240</v>
      </c>
      <c r="N41" s="26">
        <f t="shared" si="6"/>
        <v>5184</v>
      </c>
      <c r="O41" s="32">
        <f t="shared" si="7"/>
        <v>8904</v>
      </c>
      <c r="P41" s="30">
        <f t="shared" si="4"/>
        <v>18466.5</v>
      </c>
    </row>
    <row r="42" spans="1:16" x14ac:dyDescent="0.2">
      <c r="A42" s="25">
        <v>41640</v>
      </c>
      <c r="B42" s="26">
        <v>20</v>
      </c>
      <c r="C42" s="26">
        <f t="shared" si="0"/>
        <v>100</v>
      </c>
      <c r="D42" s="26">
        <v>3075</v>
      </c>
      <c r="E42" s="26">
        <f t="shared" si="1"/>
        <v>7687.5</v>
      </c>
      <c r="F42" s="26"/>
      <c r="G42" s="26"/>
      <c r="H42" s="26">
        <v>890</v>
      </c>
      <c r="I42" s="26">
        <f t="shared" si="2"/>
        <v>2225</v>
      </c>
      <c r="J42" s="27">
        <f t="shared" si="3"/>
        <v>10012.5</v>
      </c>
      <c r="K42" s="26">
        <v>4140</v>
      </c>
      <c r="L42" s="26">
        <f t="shared" si="5"/>
        <v>4140</v>
      </c>
      <c r="M42" s="26">
        <v>2550</v>
      </c>
      <c r="N42" s="26">
        <f t="shared" si="6"/>
        <v>4080</v>
      </c>
      <c r="O42" s="32">
        <f t="shared" si="7"/>
        <v>8220</v>
      </c>
      <c r="P42" s="30">
        <f t="shared" si="4"/>
        <v>18232.5</v>
      </c>
    </row>
    <row r="43" spans="1:16" x14ac:dyDescent="0.2">
      <c r="A43" s="25">
        <v>41671</v>
      </c>
      <c r="B43" s="26">
        <v>83</v>
      </c>
      <c r="C43" s="26">
        <f t="shared" si="0"/>
        <v>415</v>
      </c>
      <c r="D43" s="26">
        <v>2695</v>
      </c>
      <c r="E43" s="26">
        <f t="shared" si="1"/>
        <v>6737.5</v>
      </c>
      <c r="F43" s="26"/>
      <c r="G43" s="26"/>
      <c r="H43" s="26">
        <v>655</v>
      </c>
      <c r="I43" s="26">
        <f t="shared" si="2"/>
        <v>1637.5</v>
      </c>
      <c r="J43" s="27">
        <f t="shared" si="3"/>
        <v>8790</v>
      </c>
      <c r="K43" s="26">
        <v>3264</v>
      </c>
      <c r="L43" s="26">
        <f t="shared" si="5"/>
        <v>3264</v>
      </c>
      <c r="M43" s="26">
        <v>1908</v>
      </c>
      <c r="N43" s="26">
        <f t="shared" si="6"/>
        <v>3052.8</v>
      </c>
      <c r="O43" s="32">
        <f t="shared" si="7"/>
        <v>6316.8</v>
      </c>
      <c r="P43" s="30">
        <f t="shared" si="4"/>
        <v>15106.8</v>
      </c>
    </row>
    <row r="44" spans="1:16" x14ac:dyDescent="0.2">
      <c r="A44" s="25">
        <v>41699</v>
      </c>
      <c r="B44" s="26">
        <v>70</v>
      </c>
      <c r="C44" s="26">
        <f t="shared" si="0"/>
        <v>350</v>
      </c>
      <c r="D44" s="26">
        <v>2765</v>
      </c>
      <c r="E44" s="26">
        <f t="shared" si="1"/>
        <v>6912.5</v>
      </c>
      <c r="F44" s="26"/>
      <c r="G44" s="26"/>
      <c r="H44" s="26">
        <v>260</v>
      </c>
      <c r="I44" s="26">
        <f t="shared" si="2"/>
        <v>650</v>
      </c>
      <c r="J44" s="27">
        <f t="shared" si="3"/>
        <v>7912.5</v>
      </c>
      <c r="K44" s="26">
        <v>5208</v>
      </c>
      <c r="L44" s="26">
        <f t="shared" si="5"/>
        <v>5208</v>
      </c>
      <c r="M44" s="26">
        <v>2956</v>
      </c>
      <c r="N44" s="26">
        <f t="shared" si="6"/>
        <v>4729.6000000000004</v>
      </c>
      <c r="O44" s="32">
        <f t="shared" si="7"/>
        <v>9937.6</v>
      </c>
      <c r="P44" s="30">
        <f t="shared" si="4"/>
        <v>17850.099999999999</v>
      </c>
    </row>
    <row r="45" spans="1:16" x14ac:dyDescent="0.2">
      <c r="A45" s="25">
        <v>41730</v>
      </c>
      <c r="B45" s="26">
        <v>25</v>
      </c>
      <c r="C45" s="26">
        <f t="shared" si="0"/>
        <v>125</v>
      </c>
      <c r="D45" s="26">
        <v>3055</v>
      </c>
      <c r="E45" s="26">
        <f t="shared" si="1"/>
        <v>7637.5</v>
      </c>
      <c r="F45" s="26"/>
      <c r="G45" s="26"/>
      <c r="H45" s="26">
        <v>700</v>
      </c>
      <c r="I45" s="26">
        <f t="shared" si="2"/>
        <v>1750</v>
      </c>
      <c r="J45" s="27">
        <f t="shared" si="3"/>
        <v>9512.5</v>
      </c>
      <c r="K45" s="26">
        <v>4428</v>
      </c>
      <c r="L45" s="26">
        <f t="shared" si="5"/>
        <v>4428</v>
      </c>
      <c r="M45" s="26">
        <v>2244</v>
      </c>
      <c r="N45" s="26">
        <f t="shared" si="6"/>
        <v>3590.4</v>
      </c>
      <c r="O45" s="32">
        <f t="shared" si="7"/>
        <v>8018.4</v>
      </c>
      <c r="P45" s="30">
        <f t="shared" si="4"/>
        <v>17530.900000000001</v>
      </c>
    </row>
    <row r="46" spans="1:16" x14ac:dyDescent="0.2">
      <c r="A46" s="25">
        <v>41760</v>
      </c>
      <c r="B46" s="26">
        <v>30</v>
      </c>
      <c r="C46" s="26">
        <f t="shared" si="0"/>
        <v>150</v>
      </c>
      <c r="D46" s="26">
        <v>3340</v>
      </c>
      <c r="E46" s="26">
        <f t="shared" si="1"/>
        <v>8350</v>
      </c>
      <c r="F46" s="26"/>
      <c r="G46" s="26"/>
      <c r="H46" s="26">
        <v>865</v>
      </c>
      <c r="I46" s="26">
        <f t="shared" si="2"/>
        <v>2162.5</v>
      </c>
      <c r="J46" s="27">
        <f t="shared" si="3"/>
        <v>10662.5</v>
      </c>
      <c r="K46" s="26">
        <v>4862</v>
      </c>
      <c r="L46" s="26">
        <f t="shared" si="5"/>
        <v>4862</v>
      </c>
      <c r="M46" s="26">
        <v>3068</v>
      </c>
      <c r="N46" s="26">
        <f t="shared" si="6"/>
        <v>4908.8</v>
      </c>
      <c r="O46" s="32">
        <f t="shared" si="7"/>
        <v>9770.7999999999993</v>
      </c>
      <c r="P46" s="30">
        <f>J46+O46</f>
        <v>20433.3</v>
      </c>
    </row>
    <row r="47" spans="1:16" x14ac:dyDescent="0.2">
      <c r="A47" s="25">
        <v>41791</v>
      </c>
      <c r="B47" s="26">
        <v>45</v>
      </c>
      <c r="C47" s="26">
        <f t="shared" si="0"/>
        <v>225</v>
      </c>
      <c r="D47" s="26">
        <v>2695</v>
      </c>
      <c r="E47" s="26">
        <f t="shared" si="1"/>
        <v>6737.5</v>
      </c>
      <c r="F47" s="26"/>
      <c r="G47" s="26"/>
      <c r="H47" s="26">
        <v>830</v>
      </c>
      <c r="I47" s="26">
        <f t="shared" si="2"/>
        <v>2075</v>
      </c>
      <c r="J47" s="27">
        <f t="shared" si="3"/>
        <v>9037.5</v>
      </c>
      <c r="K47" s="26">
        <v>3756</v>
      </c>
      <c r="L47" s="26">
        <f t="shared" si="5"/>
        <v>3756</v>
      </c>
      <c r="M47" s="26">
        <v>2556</v>
      </c>
      <c r="N47" s="26">
        <f t="shared" si="6"/>
        <v>4089.6000000000004</v>
      </c>
      <c r="O47" s="32">
        <f t="shared" si="7"/>
        <v>7845.6</v>
      </c>
      <c r="P47" s="30">
        <f t="shared" si="4"/>
        <v>16883.099999999999</v>
      </c>
    </row>
    <row r="48" spans="1:16" x14ac:dyDescent="0.2">
      <c r="A48" s="25">
        <v>41821</v>
      </c>
      <c r="B48" s="33">
        <v>60</v>
      </c>
      <c r="C48" s="34">
        <f t="shared" si="0"/>
        <v>300</v>
      </c>
      <c r="D48" s="34">
        <v>2315</v>
      </c>
      <c r="E48" s="35">
        <f t="shared" si="1"/>
        <v>5787.5</v>
      </c>
      <c r="F48" s="35"/>
      <c r="G48" s="35"/>
      <c r="H48" s="34">
        <v>210</v>
      </c>
      <c r="I48" s="35">
        <f t="shared" si="2"/>
        <v>525</v>
      </c>
      <c r="J48" s="36">
        <f t="shared" si="3"/>
        <v>6612.5</v>
      </c>
      <c r="K48" s="34">
        <v>1956</v>
      </c>
      <c r="L48" s="35">
        <f t="shared" si="5"/>
        <v>1956</v>
      </c>
      <c r="M48" s="34">
        <v>2928</v>
      </c>
      <c r="N48" s="35">
        <f t="shared" si="6"/>
        <v>4684.8</v>
      </c>
      <c r="O48" s="37">
        <f>L48+N48</f>
        <v>6640.8</v>
      </c>
      <c r="P48" s="38">
        <f t="shared" si="4"/>
        <v>13253.3</v>
      </c>
    </row>
    <row r="49" spans="1:16" x14ac:dyDescent="0.2">
      <c r="A49" s="25">
        <v>41852</v>
      </c>
      <c r="B49" s="33">
        <v>35</v>
      </c>
      <c r="C49" s="35">
        <f t="shared" si="0"/>
        <v>175</v>
      </c>
      <c r="D49" s="34">
        <v>2515</v>
      </c>
      <c r="E49" s="35">
        <f t="shared" si="1"/>
        <v>6287.5</v>
      </c>
      <c r="F49" s="35"/>
      <c r="G49" s="35"/>
      <c r="H49" s="34">
        <v>360</v>
      </c>
      <c r="I49" s="35">
        <f t="shared" si="2"/>
        <v>900</v>
      </c>
      <c r="J49" s="36">
        <f t="shared" si="3"/>
        <v>7362.5</v>
      </c>
      <c r="K49" s="34">
        <v>1980</v>
      </c>
      <c r="L49" s="35">
        <f t="shared" si="5"/>
        <v>1980</v>
      </c>
      <c r="M49" s="34">
        <v>1464</v>
      </c>
      <c r="N49" s="35">
        <f t="shared" si="6"/>
        <v>2342.4</v>
      </c>
      <c r="O49" s="37">
        <f t="shared" si="7"/>
        <v>4322.3999999999996</v>
      </c>
      <c r="P49" s="38">
        <f t="shared" si="4"/>
        <v>11684.9</v>
      </c>
    </row>
    <row r="50" spans="1:16" x14ac:dyDescent="0.2">
      <c r="A50" s="25">
        <v>41883</v>
      </c>
      <c r="B50" s="33">
        <v>30</v>
      </c>
      <c r="C50" s="35">
        <f t="shared" si="0"/>
        <v>150</v>
      </c>
      <c r="D50" s="34">
        <v>3075</v>
      </c>
      <c r="E50" s="35">
        <f t="shared" si="1"/>
        <v>7687.5</v>
      </c>
      <c r="F50" s="35"/>
      <c r="G50" s="35"/>
      <c r="H50" s="34">
        <v>520</v>
      </c>
      <c r="I50" s="35">
        <f t="shared" si="2"/>
        <v>1300</v>
      </c>
      <c r="J50" s="36">
        <f t="shared" si="3"/>
        <v>9137.5</v>
      </c>
      <c r="K50" s="34">
        <v>5364</v>
      </c>
      <c r="L50" s="35">
        <f t="shared" si="5"/>
        <v>5364</v>
      </c>
      <c r="M50" s="34">
        <v>3156</v>
      </c>
      <c r="N50" s="35">
        <f t="shared" si="6"/>
        <v>5049.6000000000004</v>
      </c>
      <c r="O50" s="37">
        <f t="shared" si="7"/>
        <v>10413.6</v>
      </c>
      <c r="P50" s="38">
        <f t="shared" si="4"/>
        <v>19551.099999999999</v>
      </c>
    </row>
    <row r="51" spans="1:16" x14ac:dyDescent="0.2">
      <c r="A51" s="25">
        <v>41913</v>
      </c>
      <c r="B51" s="33">
        <v>35</v>
      </c>
      <c r="C51" s="35">
        <f t="shared" si="0"/>
        <v>175</v>
      </c>
      <c r="D51" s="34">
        <v>2790</v>
      </c>
      <c r="E51" s="35">
        <f t="shared" si="1"/>
        <v>6975</v>
      </c>
      <c r="F51" s="35"/>
      <c r="G51" s="35"/>
      <c r="H51" s="34">
        <v>1055</v>
      </c>
      <c r="I51" s="35">
        <f t="shared" si="2"/>
        <v>2637.5</v>
      </c>
      <c r="J51" s="36">
        <f t="shared" si="3"/>
        <v>9787.5</v>
      </c>
      <c r="K51" s="34">
        <v>4716</v>
      </c>
      <c r="L51" s="35">
        <f t="shared" si="5"/>
        <v>4716</v>
      </c>
      <c r="M51" s="34">
        <v>2712</v>
      </c>
      <c r="N51" s="35">
        <f t="shared" si="6"/>
        <v>4339.2</v>
      </c>
      <c r="O51" s="37">
        <f t="shared" si="7"/>
        <v>9055.2000000000007</v>
      </c>
      <c r="P51" s="38">
        <f t="shared" si="4"/>
        <v>18842.7</v>
      </c>
    </row>
    <row r="52" spans="1:16" x14ac:dyDescent="0.2">
      <c r="A52" s="25">
        <v>41944</v>
      </c>
      <c r="B52" s="33">
        <v>45</v>
      </c>
      <c r="C52" s="35">
        <f t="shared" si="0"/>
        <v>225</v>
      </c>
      <c r="D52" s="34">
        <v>2985</v>
      </c>
      <c r="E52" s="35">
        <f t="shared" si="1"/>
        <v>7462.5</v>
      </c>
      <c r="F52" s="35"/>
      <c r="G52" s="35"/>
      <c r="H52" s="34">
        <v>1215</v>
      </c>
      <c r="I52" s="35">
        <f t="shared" si="2"/>
        <v>3037.5</v>
      </c>
      <c r="J52" s="36">
        <f t="shared" si="3"/>
        <v>10725</v>
      </c>
      <c r="K52" s="34">
        <v>4603</v>
      </c>
      <c r="L52" s="35">
        <f t="shared" si="5"/>
        <v>4603</v>
      </c>
      <c r="M52" s="34">
        <v>3039</v>
      </c>
      <c r="N52" s="35">
        <f t="shared" si="6"/>
        <v>4862.4000000000005</v>
      </c>
      <c r="O52" s="37">
        <f t="shared" si="7"/>
        <v>9465.4000000000015</v>
      </c>
      <c r="P52" s="38">
        <f t="shared" si="4"/>
        <v>20190.400000000001</v>
      </c>
    </row>
    <row r="53" spans="1:16" x14ac:dyDescent="0.2">
      <c r="A53" s="25">
        <v>41974</v>
      </c>
      <c r="B53" s="33">
        <v>65</v>
      </c>
      <c r="C53" s="35">
        <f t="shared" si="0"/>
        <v>325</v>
      </c>
      <c r="D53" s="34">
        <v>3030</v>
      </c>
      <c r="E53" s="35">
        <f t="shared" si="1"/>
        <v>7575</v>
      </c>
      <c r="F53" s="35"/>
      <c r="G53" s="35"/>
      <c r="H53" s="34">
        <v>890</v>
      </c>
      <c r="I53" s="35">
        <f t="shared" si="2"/>
        <v>2225</v>
      </c>
      <c r="J53" s="36">
        <f t="shared" si="3"/>
        <v>10125</v>
      </c>
      <c r="K53" s="34">
        <v>4800</v>
      </c>
      <c r="L53" s="35">
        <f t="shared" si="5"/>
        <v>4800</v>
      </c>
      <c r="M53" s="34">
        <v>1848</v>
      </c>
      <c r="N53" s="35">
        <f t="shared" si="6"/>
        <v>2956.8</v>
      </c>
      <c r="O53" s="37">
        <f t="shared" si="7"/>
        <v>7756.8</v>
      </c>
      <c r="P53" s="38">
        <f t="shared" si="4"/>
        <v>17881.8</v>
      </c>
    </row>
    <row r="54" spans="1:16" x14ac:dyDescent="0.2">
      <c r="A54" s="25">
        <v>42005</v>
      </c>
      <c r="B54" s="33">
        <v>65</v>
      </c>
      <c r="C54" s="35">
        <f t="shared" si="0"/>
        <v>325</v>
      </c>
      <c r="D54" s="34">
        <v>2710</v>
      </c>
      <c r="E54" s="35">
        <f t="shared" si="1"/>
        <v>6775</v>
      </c>
      <c r="F54" s="35"/>
      <c r="G54" s="35"/>
      <c r="H54" s="34">
        <v>490</v>
      </c>
      <c r="I54" s="35">
        <f t="shared" si="2"/>
        <v>1225</v>
      </c>
      <c r="J54" s="36">
        <f t="shared" si="3"/>
        <v>8325</v>
      </c>
      <c r="K54" s="34">
        <v>3540</v>
      </c>
      <c r="L54" s="35">
        <f t="shared" si="5"/>
        <v>3540</v>
      </c>
      <c r="M54" s="34">
        <v>1624</v>
      </c>
      <c r="N54" s="35">
        <f t="shared" si="6"/>
        <v>2598.4</v>
      </c>
      <c r="O54" s="37">
        <f t="shared" si="7"/>
        <v>6138.4</v>
      </c>
      <c r="P54" s="38">
        <f t="shared" si="4"/>
        <v>14463.4</v>
      </c>
    </row>
    <row r="55" spans="1:16" x14ac:dyDescent="0.2">
      <c r="A55" s="25">
        <v>42036</v>
      </c>
      <c r="B55" s="33">
        <v>20</v>
      </c>
      <c r="C55" s="34">
        <f t="shared" si="0"/>
        <v>100</v>
      </c>
      <c r="D55" s="34">
        <v>2295</v>
      </c>
      <c r="E55" s="35">
        <f t="shared" si="1"/>
        <v>5737.5</v>
      </c>
      <c r="F55" s="35"/>
      <c r="G55" s="35"/>
      <c r="H55" s="34">
        <v>580</v>
      </c>
      <c r="I55" s="35">
        <f t="shared" si="2"/>
        <v>1450</v>
      </c>
      <c r="J55" s="36">
        <f t="shared" si="3"/>
        <v>7287.5</v>
      </c>
      <c r="K55" s="34">
        <v>6060</v>
      </c>
      <c r="L55" s="35">
        <f t="shared" si="5"/>
        <v>6060</v>
      </c>
      <c r="M55" s="34">
        <v>3387</v>
      </c>
      <c r="N55" s="35">
        <f t="shared" si="6"/>
        <v>5419.2000000000007</v>
      </c>
      <c r="O55" s="37">
        <f t="shared" si="7"/>
        <v>11479.2</v>
      </c>
      <c r="P55" s="38">
        <f t="shared" si="4"/>
        <v>18766.7</v>
      </c>
    </row>
    <row r="56" spans="1:16" x14ac:dyDescent="0.2">
      <c r="A56" s="25">
        <v>42064</v>
      </c>
      <c r="B56" s="33">
        <v>70</v>
      </c>
      <c r="C56" s="35">
        <f t="shared" si="0"/>
        <v>350</v>
      </c>
      <c r="D56" s="34">
        <v>2265</v>
      </c>
      <c r="E56" s="35">
        <f t="shared" si="1"/>
        <v>5662.5</v>
      </c>
      <c r="F56" s="35"/>
      <c r="G56" s="35"/>
      <c r="H56" s="34">
        <v>605</v>
      </c>
      <c r="I56" s="35">
        <f t="shared" si="2"/>
        <v>1512.5</v>
      </c>
      <c r="J56" s="36">
        <f t="shared" si="3"/>
        <v>7525</v>
      </c>
      <c r="K56" s="34">
        <v>5088</v>
      </c>
      <c r="L56" s="35">
        <f t="shared" si="5"/>
        <v>5088</v>
      </c>
      <c r="M56" s="34">
        <v>2701</v>
      </c>
      <c r="N56" s="35">
        <f t="shared" si="6"/>
        <v>4321.6000000000004</v>
      </c>
      <c r="O56" s="37">
        <f t="shared" si="7"/>
        <v>9409.6</v>
      </c>
      <c r="P56" s="38">
        <f t="shared" si="4"/>
        <v>16934.599999999999</v>
      </c>
    </row>
    <row r="57" spans="1:16" x14ac:dyDescent="0.2">
      <c r="A57" s="25">
        <v>42095</v>
      </c>
      <c r="B57" s="33">
        <v>45</v>
      </c>
      <c r="C57" s="35">
        <f t="shared" si="0"/>
        <v>225</v>
      </c>
      <c r="D57" s="34">
        <v>2465</v>
      </c>
      <c r="E57" s="35">
        <f t="shared" si="1"/>
        <v>6162.5</v>
      </c>
      <c r="F57" s="35"/>
      <c r="G57" s="35"/>
      <c r="H57" s="34">
        <v>665</v>
      </c>
      <c r="I57" s="35">
        <f t="shared" si="2"/>
        <v>1662.5</v>
      </c>
      <c r="J57" s="36">
        <f t="shared" si="3"/>
        <v>8050</v>
      </c>
      <c r="K57" s="34">
        <v>2448</v>
      </c>
      <c r="L57" s="35">
        <f t="shared" si="5"/>
        <v>2448</v>
      </c>
      <c r="M57" s="34">
        <v>1368</v>
      </c>
      <c r="N57" s="35">
        <f t="shared" si="6"/>
        <v>2188.8000000000002</v>
      </c>
      <c r="O57" s="37">
        <f t="shared" si="7"/>
        <v>4636.8</v>
      </c>
      <c r="P57" s="38">
        <f t="shared" si="4"/>
        <v>12686.8</v>
      </c>
    </row>
    <row r="58" spans="1:16" x14ac:dyDescent="0.2">
      <c r="A58" s="25">
        <v>42125</v>
      </c>
      <c r="B58" s="33">
        <v>45</v>
      </c>
      <c r="C58" s="35">
        <f t="shared" si="0"/>
        <v>225</v>
      </c>
      <c r="D58" s="34">
        <v>2830</v>
      </c>
      <c r="E58" s="35">
        <f t="shared" si="1"/>
        <v>7075</v>
      </c>
      <c r="F58" s="35"/>
      <c r="G58" s="35"/>
      <c r="H58" s="34">
        <v>600</v>
      </c>
      <c r="I58" s="35">
        <f t="shared" si="2"/>
        <v>1500</v>
      </c>
      <c r="J58" s="36">
        <f t="shared" si="3"/>
        <v>8800</v>
      </c>
      <c r="K58" s="34">
        <v>5604</v>
      </c>
      <c r="L58" s="35">
        <f t="shared" si="5"/>
        <v>5604</v>
      </c>
      <c r="M58" s="34">
        <v>2907</v>
      </c>
      <c r="N58" s="35">
        <f t="shared" si="6"/>
        <v>4651.2</v>
      </c>
      <c r="O58" s="37">
        <f t="shared" si="7"/>
        <v>10255.200000000001</v>
      </c>
      <c r="P58" s="38">
        <f t="shared" si="4"/>
        <v>19055.2</v>
      </c>
    </row>
    <row r="59" spans="1:16" x14ac:dyDescent="0.2">
      <c r="A59" s="25">
        <v>42156</v>
      </c>
      <c r="B59" s="33">
        <v>45</v>
      </c>
      <c r="C59" s="35">
        <f t="shared" si="0"/>
        <v>225</v>
      </c>
      <c r="D59" s="34">
        <v>2445</v>
      </c>
      <c r="E59" s="35">
        <f t="shared" si="1"/>
        <v>6112.5</v>
      </c>
      <c r="F59" s="35"/>
      <c r="G59" s="35"/>
      <c r="H59" s="34">
        <v>410</v>
      </c>
      <c r="I59" s="35">
        <f t="shared" si="2"/>
        <v>1025</v>
      </c>
      <c r="J59" s="36">
        <f t="shared" si="3"/>
        <v>7362.5</v>
      </c>
      <c r="K59" s="34">
        <v>3876</v>
      </c>
      <c r="L59" s="35">
        <f t="shared" si="5"/>
        <v>3876</v>
      </c>
      <c r="M59" s="34">
        <v>1956</v>
      </c>
      <c r="N59" s="35">
        <f t="shared" si="6"/>
        <v>3129.6000000000004</v>
      </c>
      <c r="O59" s="37">
        <f t="shared" si="7"/>
        <v>7005.6</v>
      </c>
      <c r="P59" s="38">
        <f t="shared" si="4"/>
        <v>14368.1</v>
      </c>
    </row>
    <row r="60" spans="1:16" x14ac:dyDescent="0.2">
      <c r="A60" s="25">
        <v>42186</v>
      </c>
      <c r="B60" s="26">
        <v>75</v>
      </c>
      <c r="C60" s="39">
        <f t="shared" si="0"/>
        <v>375</v>
      </c>
      <c r="D60" s="39">
        <v>2020</v>
      </c>
      <c r="E60" s="40">
        <f t="shared" si="1"/>
        <v>5050</v>
      </c>
      <c r="F60" s="40"/>
      <c r="G60" s="40"/>
      <c r="H60" s="39">
        <v>210</v>
      </c>
      <c r="I60" s="40">
        <f t="shared" si="2"/>
        <v>525</v>
      </c>
      <c r="J60" s="41">
        <f t="shared" si="3"/>
        <v>5950</v>
      </c>
      <c r="K60" s="39">
        <v>6432</v>
      </c>
      <c r="L60" s="40">
        <f t="shared" si="5"/>
        <v>6432</v>
      </c>
      <c r="M60" s="39">
        <v>2796</v>
      </c>
      <c r="N60" s="40">
        <f t="shared" si="6"/>
        <v>4473.6000000000004</v>
      </c>
      <c r="O60" s="42">
        <f t="shared" si="7"/>
        <v>10905.6</v>
      </c>
      <c r="P60" s="38">
        <f>J60+O60</f>
        <v>16855.599999999999</v>
      </c>
    </row>
    <row r="61" spans="1:16" x14ac:dyDescent="0.2">
      <c r="A61" s="43">
        <v>42217</v>
      </c>
      <c r="B61" s="39">
        <v>25</v>
      </c>
      <c r="C61" s="40">
        <f t="shared" si="0"/>
        <v>125</v>
      </c>
      <c r="D61" s="39">
        <v>2230</v>
      </c>
      <c r="E61" s="40">
        <f t="shared" si="1"/>
        <v>5575</v>
      </c>
      <c r="F61" s="40"/>
      <c r="G61" s="40"/>
      <c r="H61" s="39">
        <v>300</v>
      </c>
      <c r="I61" s="40">
        <f t="shared" si="2"/>
        <v>750</v>
      </c>
      <c r="J61" s="41">
        <f t="shared" si="3"/>
        <v>6450</v>
      </c>
      <c r="K61" s="39">
        <v>3612</v>
      </c>
      <c r="L61" s="40">
        <f t="shared" si="5"/>
        <v>3612</v>
      </c>
      <c r="M61" s="39">
        <v>2364</v>
      </c>
      <c r="N61" s="40">
        <f t="shared" si="6"/>
        <v>3782.4</v>
      </c>
      <c r="O61" s="42">
        <f t="shared" si="7"/>
        <v>7394.4</v>
      </c>
      <c r="P61" s="38">
        <f t="shared" si="4"/>
        <v>13844.4</v>
      </c>
    </row>
    <row r="62" spans="1:16" x14ac:dyDescent="0.2">
      <c r="A62" s="43">
        <v>42248</v>
      </c>
      <c r="B62" s="39">
        <v>35</v>
      </c>
      <c r="C62" s="40">
        <f t="shared" si="0"/>
        <v>175</v>
      </c>
      <c r="D62" s="39">
        <v>2795</v>
      </c>
      <c r="E62" s="40">
        <f t="shared" si="1"/>
        <v>6987.5</v>
      </c>
      <c r="F62" s="40"/>
      <c r="G62" s="40"/>
      <c r="H62" s="39">
        <v>1125</v>
      </c>
      <c r="I62" s="40">
        <f t="shared" si="2"/>
        <v>2812.5</v>
      </c>
      <c r="J62" s="41">
        <f t="shared" si="3"/>
        <v>9975</v>
      </c>
      <c r="K62" s="39">
        <v>3144</v>
      </c>
      <c r="L62" s="40">
        <f t="shared" si="5"/>
        <v>3144</v>
      </c>
      <c r="M62" s="39">
        <v>1848</v>
      </c>
      <c r="N62" s="40">
        <f t="shared" si="6"/>
        <v>2956.8</v>
      </c>
      <c r="O62" s="42">
        <f t="shared" si="7"/>
        <v>6100.8</v>
      </c>
      <c r="P62" s="38">
        <f t="shared" si="4"/>
        <v>16075.8</v>
      </c>
    </row>
    <row r="63" spans="1:16" x14ac:dyDescent="0.2">
      <c r="A63" s="43">
        <v>42278</v>
      </c>
      <c r="B63" s="39">
        <v>65</v>
      </c>
      <c r="C63" s="40">
        <f t="shared" si="0"/>
        <v>325</v>
      </c>
      <c r="D63" s="39">
        <v>2905</v>
      </c>
      <c r="E63" s="40">
        <f t="shared" si="1"/>
        <v>7262.5</v>
      </c>
      <c r="F63" s="40"/>
      <c r="G63" s="40"/>
      <c r="H63" s="39">
        <v>1110</v>
      </c>
      <c r="I63" s="40">
        <f t="shared" si="2"/>
        <v>2775</v>
      </c>
      <c r="J63" s="41">
        <f t="shared" si="3"/>
        <v>10362.5</v>
      </c>
      <c r="K63" s="39">
        <v>4560</v>
      </c>
      <c r="L63" s="40">
        <f t="shared" si="5"/>
        <v>4560</v>
      </c>
      <c r="M63" s="39">
        <v>1872</v>
      </c>
      <c r="N63" s="40">
        <f t="shared" si="6"/>
        <v>2995.2000000000003</v>
      </c>
      <c r="O63" s="42">
        <f>L63+N63</f>
        <v>7555.2000000000007</v>
      </c>
      <c r="P63" s="38">
        <f t="shared" si="4"/>
        <v>17917.7</v>
      </c>
    </row>
    <row r="64" spans="1:16" x14ac:dyDescent="0.2">
      <c r="A64" s="43">
        <v>42309</v>
      </c>
      <c r="B64" s="39">
        <v>40</v>
      </c>
      <c r="C64" s="40">
        <f t="shared" si="0"/>
        <v>200</v>
      </c>
      <c r="D64" s="39">
        <v>2525</v>
      </c>
      <c r="E64" s="40">
        <f t="shared" si="1"/>
        <v>6312.5</v>
      </c>
      <c r="F64" s="40"/>
      <c r="G64" s="40"/>
      <c r="H64" s="39">
        <v>640</v>
      </c>
      <c r="I64" s="40">
        <f t="shared" si="2"/>
        <v>1600</v>
      </c>
      <c r="J64" s="41">
        <f t="shared" si="3"/>
        <v>8112.5</v>
      </c>
      <c r="K64" s="39">
        <v>4440</v>
      </c>
      <c r="L64" s="40">
        <f t="shared" si="5"/>
        <v>4440</v>
      </c>
      <c r="M64" s="39">
        <v>1800</v>
      </c>
      <c r="N64" s="40">
        <f t="shared" si="6"/>
        <v>2880</v>
      </c>
      <c r="O64" s="42">
        <f t="shared" ref="O64:O127" si="8">L64+N64</f>
        <v>7320</v>
      </c>
      <c r="P64" s="38">
        <f t="shared" si="4"/>
        <v>15432.5</v>
      </c>
    </row>
    <row r="65" spans="1:16" x14ac:dyDescent="0.2">
      <c r="A65" s="43">
        <v>42339</v>
      </c>
      <c r="B65" s="39">
        <v>40</v>
      </c>
      <c r="C65" s="40">
        <f t="shared" si="0"/>
        <v>200</v>
      </c>
      <c r="D65" s="39">
        <v>2960</v>
      </c>
      <c r="E65" s="40">
        <f t="shared" si="1"/>
        <v>7400</v>
      </c>
      <c r="F65" s="40"/>
      <c r="G65" s="40"/>
      <c r="H65" s="39">
        <v>730</v>
      </c>
      <c r="I65" s="40">
        <f t="shared" si="2"/>
        <v>1825</v>
      </c>
      <c r="J65" s="41">
        <f t="shared" si="3"/>
        <v>9425</v>
      </c>
      <c r="K65" s="39">
        <v>7548</v>
      </c>
      <c r="L65" s="40">
        <f t="shared" si="5"/>
        <v>7548</v>
      </c>
      <c r="M65" s="39">
        <v>3696</v>
      </c>
      <c r="N65" s="40">
        <f t="shared" si="6"/>
        <v>5913.6</v>
      </c>
      <c r="O65" s="42">
        <f t="shared" si="8"/>
        <v>13461.6</v>
      </c>
      <c r="P65" s="38">
        <f t="shared" si="4"/>
        <v>22886.6</v>
      </c>
    </row>
    <row r="66" spans="1:16" x14ac:dyDescent="0.2">
      <c r="A66" s="43">
        <v>42370</v>
      </c>
      <c r="B66" s="39">
        <v>15</v>
      </c>
      <c r="C66" s="40">
        <f t="shared" si="0"/>
        <v>75</v>
      </c>
      <c r="D66" s="39">
        <v>2680</v>
      </c>
      <c r="E66" s="40">
        <f t="shared" si="1"/>
        <v>6700</v>
      </c>
      <c r="F66" s="40"/>
      <c r="G66" s="40"/>
      <c r="H66" s="39">
        <v>660</v>
      </c>
      <c r="I66" s="40">
        <f t="shared" si="2"/>
        <v>1650</v>
      </c>
      <c r="J66" s="41">
        <f t="shared" si="3"/>
        <v>8425</v>
      </c>
      <c r="K66" s="39">
        <v>3542</v>
      </c>
      <c r="L66" s="40">
        <f t="shared" si="5"/>
        <v>3542</v>
      </c>
      <c r="M66" s="39">
        <v>1744</v>
      </c>
      <c r="N66" s="40">
        <f t="shared" si="6"/>
        <v>2790.4</v>
      </c>
      <c r="O66" s="42">
        <f t="shared" si="8"/>
        <v>6332.4</v>
      </c>
      <c r="P66" s="38">
        <f t="shared" si="4"/>
        <v>14757.4</v>
      </c>
    </row>
    <row r="67" spans="1:16" x14ac:dyDescent="0.2">
      <c r="A67" s="43">
        <v>42401</v>
      </c>
      <c r="B67" s="39">
        <v>40</v>
      </c>
      <c r="C67" s="39">
        <f t="shared" si="0"/>
        <v>200</v>
      </c>
      <c r="D67" s="39">
        <v>2660</v>
      </c>
      <c r="E67" s="40">
        <f t="shared" si="1"/>
        <v>6650</v>
      </c>
      <c r="F67" s="40"/>
      <c r="G67" s="40"/>
      <c r="H67" s="39">
        <v>640</v>
      </c>
      <c r="I67" s="40">
        <f t="shared" si="2"/>
        <v>1600</v>
      </c>
      <c r="J67" s="41">
        <f t="shared" si="3"/>
        <v>8450</v>
      </c>
      <c r="K67" s="39">
        <v>2580</v>
      </c>
      <c r="L67" s="40">
        <f t="shared" si="5"/>
        <v>2580</v>
      </c>
      <c r="M67" s="39">
        <v>962</v>
      </c>
      <c r="N67" s="40">
        <f t="shared" si="6"/>
        <v>1539.2</v>
      </c>
      <c r="O67" s="42">
        <f t="shared" si="8"/>
        <v>4119.2</v>
      </c>
      <c r="P67" s="38">
        <f t="shared" si="4"/>
        <v>12569.2</v>
      </c>
    </row>
    <row r="68" spans="1:16" x14ac:dyDescent="0.2">
      <c r="A68" s="43">
        <v>42430</v>
      </c>
      <c r="B68" s="39">
        <v>45</v>
      </c>
      <c r="C68" s="40">
        <f t="shared" si="0"/>
        <v>225</v>
      </c>
      <c r="D68" s="39">
        <v>2545</v>
      </c>
      <c r="E68" s="40">
        <f t="shared" si="1"/>
        <v>6362.5</v>
      </c>
      <c r="F68" s="40"/>
      <c r="G68" s="40"/>
      <c r="H68" s="39">
        <v>580</v>
      </c>
      <c r="I68" s="40">
        <f t="shared" si="2"/>
        <v>1450</v>
      </c>
      <c r="J68" s="41">
        <f t="shared" si="3"/>
        <v>8037.5</v>
      </c>
      <c r="K68" s="39">
        <v>8044</v>
      </c>
      <c r="L68" s="40">
        <f t="shared" si="5"/>
        <v>8044</v>
      </c>
      <c r="M68" s="39">
        <v>3134</v>
      </c>
      <c r="N68" s="40">
        <f t="shared" si="6"/>
        <v>5014.4000000000005</v>
      </c>
      <c r="O68" s="42">
        <f t="shared" si="8"/>
        <v>13058.400000000001</v>
      </c>
      <c r="P68" s="38">
        <f t="shared" si="4"/>
        <v>21095.9</v>
      </c>
    </row>
    <row r="69" spans="1:16" x14ac:dyDescent="0.2">
      <c r="A69" s="43">
        <v>42461</v>
      </c>
      <c r="B69" s="39">
        <v>40</v>
      </c>
      <c r="C69" s="40">
        <f t="shared" si="0"/>
        <v>200</v>
      </c>
      <c r="D69" s="39">
        <v>2710</v>
      </c>
      <c r="E69" s="40">
        <f t="shared" si="1"/>
        <v>6775</v>
      </c>
      <c r="F69" s="40"/>
      <c r="G69" s="40"/>
      <c r="H69" s="39">
        <v>565</v>
      </c>
      <c r="I69" s="40">
        <f t="shared" si="2"/>
        <v>1412.5</v>
      </c>
      <c r="J69" s="41">
        <f t="shared" si="3"/>
        <v>8387.5</v>
      </c>
      <c r="K69" s="39">
        <v>5304</v>
      </c>
      <c r="L69" s="40">
        <f t="shared" si="5"/>
        <v>5304</v>
      </c>
      <c r="M69" s="39">
        <v>2208</v>
      </c>
      <c r="N69" s="40">
        <f t="shared" si="6"/>
        <v>3532.8</v>
      </c>
      <c r="O69" s="42">
        <f t="shared" si="8"/>
        <v>8836.7999999999993</v>
      </c>
      <c r="P69" s="38">
        <f t="shared" si="4"/>
        <v>17224.3</v>
      </c>
    </row>
    <row r="70" spans="1:16" x14ac:dyDescent="0.2">
      <c r="A70" s="43">
        <v>42491</v>
      </c>
      <c r="B70" s="39">
        <v>25</v>
      </c>
      <c r="C70" s="40">
        <f t="shared" ref="C70:C133" si="9">B70*5</f>
        <v>125</v>
      </c>
      <c r="D70" s="39">
        <v>2705</v>
      </c>
      <c r="E70" s="40">
        <f t="shared" ref="E70:E133" si="10">D70*2.5</f>
        <v>6762.5</v>
      </c>
      <c r="F70" s="40"/>
      <c r="G70" s="40"/>
      <c r="H70" s="39">
        <v>405</v>
      </c>
      <c r="I70" s="40">
        <f t="shared" ref="I70:I133" si="11">H70*2.5</f>
        <v>1012.5</v>
      </c>
      <c r="J70" s="41">
        <f t="shared" ref="J70:J130" si="12">C70+E70+I70</f>
        <v>7900</v>
      </c>
      <c r="K70" s="39">
        <v>4920</v>
      </c>
      <c r="L70" s="40">
        <f t="shared" si="5"/>
        <v>4920</v>
      </c>
      <c r="M70" s="39">
        <v>1948</v>
      </c>
      <c r="N70" s="40">
        <f t="shared" si="6"/>
        <v>3116.8</v>
      </c>
      <c r="O70" s="42">
        <f t="shared" si="8"/>
        <v>8036.8</v>
      </c>
      <c r="P70" s="38">
        <f>J70+O70</f>
        <v>15936.8</v>
      </c>
    </row>
    <row r="71" spans="1:16" x14ac:dyDescent="0.2">
      <c r="A71" s="43">
        <v>42522</v>
      </c>
      <c r="B71" s="39">
        <v>65</v>
      </c>
      <c r="C71" s="40">
        <f t="shared" si="9"/>
        <v>325</v>
      </c>
      <c r="D71" s="39">
        <v>2635</v>
      </c>
      <c r="E71" s="40">
        <f t="shared" si="10"/>
        <v>6587.5</v>
      </c>
      <c r="F71" s="40"/>
      <c r="G71" s="40"/>
      <c r="H71" s="39">
        <v>545</v>
      </c>
      <c r="I71" s="40">
        <f t="shared" si="11"/>
        <v>1362.5</v>
      </c>
      <c r="J71" s="41">
        <f t="shared" si="12"/>
        <v>8275</v>
      </c>
      <c r="K71" s="39">
        <v>4860</v>
      </c>
      <c r="L71" s="40">
        <f t="shared" si="5"/>
        <v>4860</v>
      </c>
      <c r="M71" s="39">
        <v>2220</v>
      </c>
      <c r="N71" s="40">
        <f t="shared" si="6"/>
        <v>3552</v>
      </c>
      <c r="O71" s="42">
        <f t="shared" si="8"/>
        <v>8412</v>
      </c>
      <c r="P71" s="38">
        <f>J71+O71</f>
        <v>16687</v>
      </c>
    </row>
    <row r="72" spans="1:16" x14ac:dyDescent="0.2">
      <c r="A72" s="43">
        <v>42552</v>
      </c>
      <c r="B72" s="33">
        <v>54</v>
      </c>
      <c r="C72" s="34">
        <f t="shared" si="9"/>
        <v>270</v>
      </c>
      <c r="D72" s="34">
        <v>2420</v>
      </c>
      <c r="E72" s="35">
        <f t="shared" si="10"/>
        <v>6050</v>
      </c>
      <c r="F72" s="35"/>
      <c r="G72" s="35"/>
      <c r="H72" s="34">
        <v>420</v>
      </c>
      <c r="I72" s="35">
        <f t="shared" si="11"/>
        <v>1050</v>
      </c>
      <c r="J72" s="36">
        <f t="shared" si="12"/>
        <v>7370</v>
      </c>
      <c r="K72" s="34">
        <v>3708</v>
      </c>
      <c r="L72" s="35">
        <f t="shared" si="5"/>
        <v>3708</v>
      </c>
      <c r="M72" s="34">
        <v>1116</v>
      </c>
      <c r="N72" s="35">
        <f t="shared" si="6"/>
        <v>1785.6000000000001</v>
      </c>
      <c r="O72" s="37">
        <f t="shared" si="8"/>
        <v>5493.6</v>
      </c>
      <c r="P72" s="38">
        <f>J72+O72</f>
        <v>12863.6</v>
      </c>
    </row>
    <row r="73" spans="1:16" x14ac:dyDescent="0.2">
      <c r="A73" s="43">
        <v>42583</v>
      </c>
      <c r="B73" s="33">
        <v>45</v>
      </c>
      <c r="C73" s="35">
        <f t="shared" si="9"/>
        <v>225</v>
      </c>
      <c r="D73" s="34">
        <v>2305</v>
      </c>
      <c r="E73" s="35">
        <f t="shared" si="10"/>
        <v>5762.5</v>
      </c>
      <c r="F73" s="35"/>
      <c r="G73" s="35"/>
      <c r="H73" s="34">
        <v>415</v>
      </c>
      <c r="I73" s="35">
        <f t="shared" si="11"/>
        <v>1037.5</v>
      </c>
      <c r="J73" s="36">
        <f t="shared" si="12"/>
        <v>7025</v>
      </c>
      <c r="K73" s="34">
        <v>4200</v>
      </c>
      <c r="L73" s="35">
        <f t="shared" si="5"/>
        <v>4200</v>
      </c>
      <c r="M73" s="34">
        <v>2004</v>
      </c>
      <c r="N73" s="35">
        <f t="shared" si="6"/>
        <v>3206.4</v>
      </c>
      <c r="O73" s="37">
        <f t="shared" si="8"/>
        <v>7406.4</v>
      </c>
      <c r="P73" s="38">
        <f t="shared" ref="P73:P130" si="13">J73+O73</f>
        <v>14431.4</v>
      </c>
    </row>
    <row r="74" spans="1:16" x14ac:dyDescent="0.2">
      <c r="A74" s="43">
        <v>42614</v>
      </c>
      <c r="B74" s="33">
        <v>48</v>
      </c>
      <c r="C74" s="35">
        <f t="shared" si="9"/>
        <v>240</v>
      </c>
      <c r="D74" s="34">
        <v>2220</v>
      </c>
      <c r="E74" s="35">
        <f t="shared" si="10"/>
        <v>5550</v>
      </c>
      <c r="F74" s="35"/>
      <c r="G74" s="35"/>
      <c r="H74" s="34">
        <v>1180</v>
      </c>
      <c r="I74" s="35">
        <f t="shared" si="11"/>
        <v>2950</v>
      </c>
      <c r="J74" s="36">
        <f t="shared" si="12"/>
        <v>8740</v>
      </c>
      <c r="K74" s="34">
        <v>3792</v>
      </c>
      <c r="L74" s="35">
        <f t="shared" si="5"/>
        <v>3792</v>
      </c>
      <c r="M74" s="34">
        <v>2234</v>
      </c>
      <c r="N74" s="35">
        <f t="shared" si="6"/>
        <v>3574.4</v>
      </c>
      <c r="O74" s="37">
        <f t="shared" si="8"/>
        <v>7366.4</v>
      </c>
      <c r="P74" s="38">
        <f t="shared" si="13"/>
        <v>16106.4</v>
      </c>
    </row>
    <row r="75" spans="1:16" x14ac:dyDescent="0.2">
      <c r="A75" s="43">
        <v>42644</v>
      </c>
      <c r="B75" s="33">
        <v>48</v>
      </c>
      <c r="C75" s="35">
        <f t="shared" si="9"/>
        <v>240</v>
      </c>
      <c r="D75" s="34">
        <v>2195</v>
      </c>
      <c r="E75" s="35">
        <f t="shared" si="10"/>
        <v>5487.5</v>
      </c>
      <c r="F75" s="35"/>
      <c r="G75" s="35"/>
      <c r="H75" s="34">
        <v>1410</v>
      </c>
      <c r="I75" s="35">
        <f t="shared" si="11"/>
        <v>3525</v>
      </c>
      <c r="J75" s="36">
        <f t="shared" si="12"/>
        <v>9252.5</v>
      </c>
      <c r="K75" s="34">
        <v>6900</v>
      </c>
      <c r="L75" s="35">
        <f t="shared" si="5"/>
        <v>6900</v>
      </c>
      <c r="M75" s="34">
        <v>2064</v>
      </c>
      <c r="N75" s="35">
        <f t="shared" si="6"/>
        <v>3302.4</v>
      </c>
      <c r="O75" s="37">
        <f>L75+N75</f>
        <v>10202.4</v>
      </c>
      <c r="P75" s="38">
        <f t="shared" si="13"/>
        <v>19454.900000000001</v>
      </c>
    </row>
    <row r="76" spans="1:16" x14ac:dyDescent="0.2">
      <c r="A76" s="43">
        <v>42675</v>
      </c>
      <c r="B76" s="33">
        <v>48</v>
      </c>
      <c r="C76" s="35">
        <f t="shared" si="9"/>
        <v>240</v>
      </c>
      <c r="D76" s="34">
        <v>2140</v>
      </c>
      <c r="E76" s="35">
        <f t="shared" si="10"/>
        <v>5350</v>
      </c>
      <c r="F76" s="35"/>
      <c r="G76" s="35"/>
      <c r="H76" s="34">
        <v>1470</v>
      </c>
      <c r="I76" s="35">
        <f t="shared" si="11"/>
        <v>3675</v>
      </c>
      <c r="J76" s="36">
        <f t="shared" si="12"/>
        <v>9265</v>
      </c>
      <c r="K76" s="34">
        <v>6288</v>
      </c>
      <c r="L76" s="35">
        <f t="shared" si="5"/>
        <v>6288</v>
      </c>
      <c r="M76" s="34">
        <v>1836</v>
      </c>
      <c r="N76" s="35">
        <f t="shared" si="6"/>
        <v>2937.6000000000004</v>
      </c>
      <c r="O76" s="37">
        <f t="shared" si="8"/>
        <v>9225.6</v>
      </c>
      <c r="P76" s="38">
        <f t="shared" si="13"/>
        <v>18490.599999999999</v>
      </c>
    </row>
    <row r="77" spans="1:16" x14ac:dyDescent="0.2">
      <c r="A77" s="43">
        <v>42705</v>
      </c>
      <c r="B77" s="33">
        <v>57</v>
      </c>
      <c r="C77" s="35">
        <f t="shared" si="9"/>
        <v>285</v>
      </c>
      <c r="D77" s="34">
        <v>2195</v>
      </c>
      <c r="E77" s="35">
        <f t="shared" si="10"/>
        <v>5487.5</v>
      </c>
      <c r="F77" s="35"/>
      <c r="G77" s="35"/>
      <c r="H77" s="34">
        <v>1405</v>
      </c>
      <c r="I77" s="35">
        <f t="shared" si="11"/>
        <v>3512.5</v>
      </c>
      <c r="J77" s="36">
        <f t="shared" si="12"/>
        <v>9285</v>
      </c>
      <c r="K77" s="34">
        <v>5736</v>
      </c>
      <c r="L77" s="35">
        <f t="shared" si="5"/>
        <v>5736</v>
      </c>
      <c r="M77" s="34">
        <v>2760</v>
      </c>
      <c r="N77" s="35">
        <f t="shared" si="6"/>
        <v>4416</v>
      </c>
      <c r="O77" s="37">
        <f t="shared" si="8"/>
        <v>10152</v>
      </c>
      <c r="P77" s="38">
        <f t="shared" si="13"/>
        <v>19437</v>
      </c>
    </row>
    <row r="78" spans="1:16" x14ac:dyDescent="0.2">
      <c r="A78" s="43">
        <v>42736</v>
      </c>
      <c r="B78" s="33">
        <v>39</v>
      </c>
      <c r="C78" s="35">
        <f t="shared" si="9"/>
        <v>195</v>
      </c>
      <c r="D78" s="34">
        <v>1975</v>
      </c>
      <c r="E78" s="35">
        <f t="shared" si="10"/>
        <v>4937.5</v>
      </c>
      <c r="F78" s="35"/>
      <c r="G78" s="35"/>
      <c r="H78" s="34">
        <v>985</v>
      </c>
      <c r="I78" s="35">
        <f t="shared" si="11"/>
        <v>2462.5</v>
      </c>
      <c r="J78" s="36">
        <f t="shared" si="12"/>
        <v>7595</v>
      </c>
      <c r="K78" s="34">
        <v>4080</v>
      </c>
      <c r="L78" s="35">
        <f t="shared" si="5"/>
        <v>4080</v>
      </c>
      <c r="M78" s="34">
        <v>2004</v>
      </c>
      <c r="N78" s="35">
        <f t="shared" si="6"/>
        <v>3206.4</v>
      </c>
      <c r="O78" s="37">
        <f t="shared" si="8"/>
        <v>7286.4</v>
      </c>
      <c r="P78" s="38">
        <f t="shared" si="13"/>
        <v>14881.4</v>
      </c>
    </row>
    <row r="79" spans="1:16" x14ac:dyDescent="0.2">
      <c r="A79" s="43">
        <v>42767</v>
      </c>
      <c r="B79" s="33">
        <v>39</v>
      </c>
      <c r="C79" s="34">
        <f t="shared" si="9"/>
        <v>195</v>
      </c>
      <c r="D79" s="34">
        <v>1980</v>
      </c>
      <c r="E79" s="35">
        <f t="shared" si="10"/>
        <v>4950</v>
      </c>
      <c r="F79" s="35"/>
      <c r="G79" s="35"/>
      <c r="H79" s="34">
        <v>925</v>
      </c>
      <c r="I79" s="35">
        <f t="shared" si="11"/>
        <v>2312.5</v>
      </c>
      <c r="J79" s="36">
        <f t="shared" si="12"/>
        <v>7457.5</v>
      </c>
      <c r="K79" s="34">
        <v>3727</v>
      </c>
      <c r="L79" s="35">
        <f t="shared" si="5"/>
        <v>3727</v>
      </c>
      <c r="M79" s="34">
        <v>933</v>
      </c>
      <c r="N79" s="35">
        <f t="shared" si="6"/>
        <v>1492.8000000000002</v>
      </c>
      <c r="O79" s="37">
        <f t="shared" si="8"/>
        <v>5219.8</v>
      </c>
      <c r="P79" s="38">
        <f t="shared" si="13"/>
        <v>12677.3</v>
      </c>
    </row>
    <row r="80" spans="1:16" x14ac:dyDescent="0.2">
      <c r="A80" s="43">
        <v>42795</v>
      </c>
      <c r="B80" s="33">
        <v>18</v>
      </c>
      <c r="C80" s="35">
        <f t="shared" si="9"/>
        <v>90</v>
      </c>
      <c r="D80" s="34">
        <v>1865</v>
      </c>
      <c r="E80" s="35">
        <f t="shared" si="10"/>
        <v>4662.5</v>
      </c>
      <c r="F80" s="35"/>
      <c r="G80" s="35"/>
      <c r="H80" s="34">
        <v>1085</v>
      </c>
      <c r="I80" s="35">
        <f t="shared" si="11"/>
        <v>2712.5</v>
      </c>
      <c r="J80" s="36">
        <f t="shared" si="12"/>
        <v>7465</v>
      </c>
      <c r="K80" s="34">
        <v>6420</v>
      </c>
      <c r="L80" s="35">
        <f t="shared" si="5"/>
        <v>6420</v>
      </c>
      <c r="M80" s="34">
        <v>3600</v>
      </c>
      <c r="N80" s="35">
        <f t="shared" si="6"/>
        <v>5760</v>
      </c>
      <c r="O80" s="37">
        <f t="shared" si="8"/>
        <v>12180</v>
      </c>
      <c r="P80" s="38">
        <f t="shared" si="13"/>
        <v>19645</v>
      </c>
    </row>
    <row r="81" spans="1:16" x14ac:dyDescent="0.2">
      <c r="A81" s="43">
        <v>42826</v>
      </c>
      <c r="B81" s="33">
        <v>39</v>
      </c>
      <c r="C81" s="35">
        <f t="shared" si="9"/>
        <v>195</v>
      </c>
      <c r="D81" s="34">
        <v>2010</v>
      </c>
      <c r="E81" s="35">
        <f t="shared" si="10"/>
        <v>5025</v>
      </c>
      <c r="F81" s="35"/>
      <c r="G81" s="35"/>
      <c r="H81" s="34">
        <v>1045</v>
      </c>
      <c r="I81" s="35">
        <f t="shared" si="11"/>
        <v>2612.5</v>
      </c>
      <c r="J81" s="36">
        <f t="shared" si="12"/>
        <v>7832.5</v>
      </c>
      <c r="K81" s="34">
        <v>3036</v>
      </c>
      <c r="L81" s="35">
        <f t="shared" si="5"/>
        <v>3036</v>
      </c>
      <c r="M81" s="34">
        <v>2292</v>
      </c>
      <c r="N81" s="35">
        <f t="shared" si="6"/>
        <v>3667.2000000000003</v>
      </c>
      <c r="O81" s="37">
        <f t="shared" si="8"/>
        <v>6703.2000000000007</v>
      </c>
      <c r="P81" s="38">
        <f t="shared" si="13"/>
        <v>14535.7</v>
      </c>
    </row>
    <row r="82" spans="1:16" x14ac:dyDescent="0.2">
      <c r="A82" s="43">
        <v>42856</v>
      </c>
      <c r="B82" s="33">
        <v>48</v>
      </c>
      <c r="C82" s="35">
        <f t="shared" si="9"/>
        <v>240</v>
      </c>
      <c r="D82" s="34">
        <v>2320</v>
      </c>
      <c r="E82" s="35">
        <f t="shared" si="10"/>
        <v>5800</v>
      </c>
      <c r="F82" s="35"/>
      <c r="G82" s="35"/>
      <c r="H82" s="34">
        <v>1270</v>
      </c>
      <c r="I82" s="35">
        <f t="shared" si="11"/>
        <v>3175</v>
      </c>
      <c r="J82" s="36">
        <f t="shared" si="12"/>
        <v>9215</v>
      </c>
      <c r="K82" s="34">
        <v>5508</v>
      </c>
      <c r="L82" s="35">
        <f t="shared" si="5"/>
        <v>5508</v>
      </c>
      <c r="M82" s="34">
        <v>3552</v>
      </c>
      <c r="N82" s="35">
        <f t="shared" si="6"/>
        <v>5683.2000000000007</v>
      </c>
      <c r="O82" s="37">
        <f t="shared" si="8"/>
        <v>11191.2</v>
      </c>
      <c r="P82" s="38">
        <f t="shared" si="13"/>
        <v>20406.2</v>
      </c>
    </row>
    <row r="83" spans="1:16" x14ac:dyDescent="0.2">
      <c r="A83" s="43">
        <v>42887</v>
      </c>
      <c r="B83" s="33">
        <v>42</v>
      </c>
      <c r="C83" s="35">
        <f t="shared" si="9"/>
        <v>210</v>
      </c>
      <c r="D83" s="34">
        <v>2010</v>
      </c>
      <c r="E83" s="35">
        <f t="shared" si="10"/>
        <v>5025</v>
      </c>
      <c r="F83" s="35"/>
      <c r="G83" s="35"/>
      <c r="H83" s="34">
        <v>900</v>
      </c>
      <c r="I83" s="35">
        <f t="shared" si="11"/>
        <v>2250</v>
      </c>
      <c r="J83" s="36">
        <f t="shared" si="12"/>
        <v>7485</v>
      </c>
      <c r="K83" s="34">
        <v>3516</v>
      </c>
      <c r="L83" s="35">
        <f t="shared" si="5"/>
        <v>3516</v>
      </c>
      <c r="M83" s="34">
        <v>2427</v>
      </c>
      <c r="N83" s="35">
        <f t="shared" si="6"/>
        <v>3883.2000000000003</v>
      </c>
      <c r="O83" s="37">
        <f t="shared" si="8"/>
        <v>7399.2000000000007</v>
      </c>
      <c r="P83" s="38">
        <f t="shared" si="13"/>
        <v>14884.2</v>
      </c>
    </row>
    <row r="84" spans="1:16" x14ac:dyDescent="0.2">
      <c r="A84" s="43">
        <v>42917</v>
      </c>
      <c r="B84" s="26">
        <v>57</v>
      </c>
      <c r="C84" s="39">
        <f t="shared" si="9"/>
        <v>285</v>
      </c>
      <c r="D84" s="39">
        <v>1815</v>
      </c>
      <c r="E84" s="40">
        <f t="shared" si="10"/>
        <v>4537.5</v>
      </c>
      <c r="F84" s="40"/>
      <c r="G84" s="40"/>
      <c r="H84" s="39">
        <v>890</v>
      </c>
      <c r="I84" s="40">
        <f t="shared" si="11"/>
        <v>2225</v>
      </c>
      <c r="J84" s="41">
        <f t="shared" si="12"/>
        <v>7047.5</v>
      </c>
      <c r="K84" s="39">
        <v>2448</v>
      </c>
      <c r="L84" s="40">
        <f t="shared" si="5"/>
        <v>2448</v>
      </c>
      <c r="M84" s="39">
        <v>1728</v>
      </c>
      <c r="N84" s="40">
        <f t="shared" si="6"/>
        <v>2764.8</v>
      </c>
      <c r="O84" s="42">
        <f t="shared" si="8"/>
        <v>5212.8</v>
      </c>
      <c r="P84" s="44">
        <f t="shared" si="13"/>
        <v>12260.3</v>
      </c>
    </row>
    <row r="85" spans="1:16" x14ac:dyDescent="0.2">
      <c r="A85" s="43">
        <v>42948</v>
      </c>
      <c r="B85" s="26">
        <v>21</v>
      </c>
      <c r="C85" s="40">
        <f t="shared" si="9"/>
        <v>105</v>
      </c>
      <c r="D85" s="39">
        <v>1670</v>
      </c>
      <c r="E85" s="40">
        <f t="shared" si="10"/>
        <v>4175</v>
      </c>
      <c r="F85" s="40"/>
      <c r="G85" s="40"/>
      <c r="H85" s="39">
        <v>530</v>
      </c>
      <c r="I85" s="40">
        <f t="shared" si="11"/>
        <v>1325</v>
      </c>
      <c r="J85" s="41">
        <f t="shared" si="12"/>
        <v>5605</v>
      </c>
      <c r="K85" s="39">
        <v>2484</v>
      </c>
      <c r="L85" s="40">
        <f t="shared" si="5"/>
        <v>2484</v>
      </c>
      <c r="M85" s="39">
        <v>1752</v>
      </c>
      <c r="N85" s="40">
        <f t="shared" si="6"/>
        <v>2803.2000000000003</v>
      </c>
      <c r="O85" s="42">
        <f t="shared" si="8"/>
        <v>5287.2000000000007</v>
      </c>
      <c r="P85" s="44">
        <f t="shared" si="13"/>
        <v>10892.2</v>
      </c>
    </row>
    <row r="86" spans="1:16" x14ac:dyDescent="0.2">
      <c r="A86" s="43">
        <v>42979</v>
      </c>
      <c r="B86" s="26">
        <v>30</v>
      </c>
      <c r="C86" s="40">
        <f t="shared" si="9"/>
        <v>150</v>
      </c>
      <c r="D86" s="39">
        <v>2065</v>
      </c>
      <c r="E86" s="40">
        <f t="shared" si="10"/>
        <v>5162.5</v>
      </c>
      <c r="F86" s="40"/>
      <c r="G86" s="40"/>
      <c r="H86" s="39">
        <v>1150</v>
      </c>
      <c r="I86" s="40">
        <f t="shared" si="11"/>
        <v>2875</v>
      </c>
      <c r="J86" s="41">
        <f t="shared" si="12"/>
        <v>8187.5</v>
      </c>
      <c r="K86" s="39">
        <v>3936</v>
      </c>
      <c r="L86" s="40">
        <f t="shared" si="5"/>
        <v>3936</v>
      </c>
      <c r="M86" s="39">
        <v>3216</v>
      </c>
      <c r="N86" s="40">
        <f t="shared" si="6"/>
        <v>5145.6000000000004</v>
      </c>
      <c r="O86" s="42">
        <f t="shared" si="8"/>
        <v>9081.6</v>
      </c>
      <c r="P86" s="44">
        <f t="shared" si="13"/>
        <v>17269.099999999999</v>
      </c>
    </row>
    <row r="87" spans="1:16" x14ac:dyDescent="0.2">
      <c r="A87" s="43">
        <v>43009</v>
      </c>
      <c r="B87" s="26">
        <v>48</v>
      </c>
      <c r="C87" s="40">
        <f t="shared" si="9"/>
        <v>240</v>
      </c>
      <c r="D87" s="39">
        <v>2000</v>
      </c>
      <c r="E87" s="40">
        <f t="shared" si="10"/>
        <v>5000</v>
      </c>
      <c r="F87" s="40"/>
      <c r="G87" s="40"/>
      <c r="H87" s="39">
        <v>1440</v>
      </c>
      <c r="I87" s="40">
        <f t="shared" si="11"/>
        <v>3600</v>
      </c>
      <c r="J87" s="41">
        <f t="shared" si="12"/>
        <v>8840</v>
      </c>
      <c r="K87" s="39">
        <v>4704</v>
      </c>
      <c r="L87" s="40">
        <f t="shared" si="5"/>
        <v>4704</v>
      </c>
      <c r="M87" s="39">
        <v>4332</v>
      </c>
      <c r="N87" s="40">
        <f t="shared" si="6"/>
        <v>6931.2000000000007</v>
      </c>
      <c r="O87" s="42">
        <f t="shared" si="8"/>
        <v>11635.2</v>
      </c>
      <c r="P87" s="44">
        <f t="shared" si="13"/>
        <v>20475.2</v>
      </c>
    </row>
    <row r="88" spans="1:16" x14ac:dyDescent="0.2">
      <c r="A88" s="43">
        <v>43040</v>
      </c>
      <c r="B88" s="26">
        <v>93</v>
      </c>
      <c r="C88" s="40">
        <f t="shared" si="9"/>
        <v>465</v>
      </c>
      <c r="D88" s="39">
        <v>1915</v>
      </c>
      <c r="E88" s="40">
        <f t="shared" si="10"/>
        <v>4787.5</v>
      </c>
      <c r="F88" s="40"/>
      <c r="G88" s="40"/>
      <c r="H88" s="39">
        <v>1560</v>
      </c>
      <c r="I88" s="40">
        <f t="shared" si="11"/>
        <v>3900</v>
      </c>
      <c r="J88" s="41">
        <f t="shared" si="12"/>
        <v>9152.5</v>
      </c>
      <c r="K88" s="39">
        <v>4356</v>
      </c>
      <c r="L88" s="40">
        <f t="shared" si="5"/>
        <v>4356</v>
      </c>
      <c r="M88" s="39">
        <v>3040</v>
      </c>
      <c r="N88" s="40">
        <f t="shared" si="6"/>
        <v>4864</v>
      </c>
      <c r="O88" s="42">
        <f t="shared" si="8"/>
        <v>9220</v>
      </c>
      <c r="P88" s="44">
        <f>J88+O88</f>
        <v>18372.5</v>
      </c>
    </row>
    <row r="89" spans="1:16" x14ac:dyDescent="0.2">
      <c r="A89" s="43">
        <v>43070</v>
      </c>
      <c r="B89" s="26">
        <v>51</v>
      </c>
      <c r="C89" s="40">
        <f t="shared" si="9"/>
        <v>255</v>
      </c>
      <c r="D89" s="39">
        <v>1665</v>
      </c>
      <c r="E89" s="40">
        <f t="shared" si="10"/>
        <v>4162.5</v>
      </c>
      <c r="F89" s="40"/>
      <c r="G89" s="40"/>
      <c r="H89" s="39">
        <v>1725</v>
      </c>
      <c r="I89" s="40">
        <f t="shared" si="11"/>
        <v>4312.5</v>
      </c>
      <c r="J89" s="41">
        <f t="shared" si="12"/>
        <v>8730</v>
      </c>
      <c r="K89" s="39">
        <v>4246</v>
      </c>
      <c r="L89" s="40">
        <f t="shared" si="5"/>
        <v>4246</v>
      </c>
      <c r="M89" s="39">
        <v>2950</v>
      </c>
      <c r="N89" s="40">
        <f t="shared" si="6"/>
        <v>4720</v>
      </c>
      <c r="O89" s="42">
        <f t="shared" si="8"/>
        <v>8966</v>
      </c>
      <c r="P89" s="44">
        <f t="shared" si="13"/>
        <v>17696</v>
      </c>
    </row>
    <row r="90" spans="1:16" x14ac:dyDescent="0.2">
      <c r="A90" s="43">
        <v>43101</v>
      </c>
      <c r="B90" s="26">
        <v>42</v>
      </c>
      <c r="C90" s="40">
        <f t="shared" si="9"/>
        <v>210</v>
      </c>
      <c r="D90" s="39">
        <v>1500</v>
      </c>
      <c r="E90" s="40">
        <f t="shared" si="10"/>
        <v>3750</v>
      </c>
      <c r="F90" s="40"/>
      <c r="G90" s="40"/>
      <c r="H90" s="39">
        <v>1355</v>
      </c>
      <c r="I90" s="40">
        <f t="shared" si="11"/>
        <v>3387.5</v>
      </c>
      <c r="J90" s="41">
        <f t="shared" si="12"/>
        <v>7347.5</v>
      </c>
      <c r="K90" s="39">
        <v>3432</v>
      </c>
      <c r="L90" s="40">
        <f t="shared" si="5"/>
        <v>3432</v>
      </c>
      <c r="M90" s="39">
        <v>2552</v>
      </c>
      <c r="N90" s="40">
        <f t="shared" si="6"/>
        <v>4083.2000000000003</v>
      </c>
      <c r="O90" s="42">
        <f t="shared" si="8"/>
        <v>7515.2000000000007</v>
      </c>
      <c r="P90" s="44">
        <f t="shared" si="13"/>
        <v>14862.7</v>
      </c>
    </row>
    <row r="91" spans="1:16" x14ac:dyDescent="0.2">
      <c r="A91" s="43">
        <v>43132</v>
      </c>
      <c r="B91" s="26">
        <v>39</v>
      </c>
      <c r="C91" s="39">
        <f t="shared" si="9"/>
        <v>195</v>
      </c>
      <c r="D91" s="39">
        <v>1700</v>
      </c>
      <c r="E91" s="40">
        <f t="shared" si="10"/>
        <v>4250</v>
      </c>
      <c r="F91" s="40"/>
      <c r="G91" s="40"/>
      <c r="H91" s="39">
        <v>1300</v>
      </c>
      <c r="I91" s="40">
        <f t="shared" si="11"/>
        <v>3250</v>
      </c>
      <c r="J91" s="41">
        <f t="shared" si="12"/>
        <v>7695</v>
      </c>
      <c r="K91" s="39">
        <v>3216</v>
      </c>
      <c r="L91" s="40">
        <f t="shared" si="5"/>
        <v>3216</v>
      </c>
      <c r="M91" s="39">
        <v>2448</v>
      </c>
      <c r="N91" s="40">
        <f t="shared" si="6"/>
        <v>3916.8</v>
      </c>
      <c r="O91" s="42">
        <f t="shared" si="8"/>
        <v>7132.8</v>
      </c>
      <c r="P91" s="44">
        <f t="shared" si="13"/>
        <v>14827.8</v>
      </c>
    </row>
    <row r="92" spans="1:16" x14ac:dyDescent="0.2">
      <c r="A92" s="43">
        <v>43160</v>
      </c>
      <c r="B92" s="26">
        <v>69</v>
      </c>
      <c r="C92" s="40">
        <f t="shared" si="9"/>
        <v>345</v>
      </c>
      <c r="D92" s="39">
        <v>1705</v>
      </c>
      <c r="E92" s="40">
        <f t="shared" si="10"/>
        <v>4262.5</v>
      </c>
      <c r="F92" s="40"/>
      <c r="G92" s="40"/>
      <c r="H92" s="39">
        <v>1180</v>
      </c>
      <c r="I92" s="40">
        <f t="shared" si="11"/>
        <v>2950</v>
      </c>
      <c r="J92" s="41">
        <f t="shared" si="12"/>
        <v>7557.5</v>
      </c>
      <c r="K92" s="39">
        <v>5964</v>
      </c>
      <c r="L92" s="40">
        <f t="shared" si="5"/>
        <v>5964</v>
      </c>
      <c r="M92" s="39">
        <v>3948</v>
      </c>
      <c r="N92" s="40">
        <f t="shared" si="6"/>
        <v>6316.8</v>
      </c>
      <c r="O92" s="42">
        <f>L92+N92</f>
        <v>12280.8</v>
      </c>
      <c r="P92" s="44">
        <f t="shared" si="13"/>
        <v>19838.3</v>
      </c>
    </row>
    <row r="93" spans="1:16" x14ac:dyDescent="0.2">
      <c r="A93" s="43">
        <v>43191</v>
      </c>
      <c r="B93" s="26">
        <v>30</v>
      </c>
      <c r="C93" s="40">
        <f t="shared" si="9"/>
        <v>150</v>
      </c>
      <c r="D93" s="39">
        <v>1545</v>
      </c>
      <c r="E93" s="40">
        <f t="shared" si="10"/>
        <v>3862.5</v>
      </c>
      <c r="F93" s="40"/>
      <c r="G93" s="40"/>
      <c r="H93" s="39">
        <v>1110</v>
      </c>
      <c r="I93" s="40">
        <f t="shared" si="11"/>
        <v>2775</v>
      </c>
      <c r="J93" s="41">
        <f t="shared" si="12"/>
        <v>6787.5</v>
      </c>
      <c r="K93" s="39">
        <v>4548</v>
      </c>
      <c r="L93" s="40">
        <f t="shared" si="5"/>
        <v>4548</v>
      </c>
      <c r="M93" s="39">
        <v>2736</v>
      </c>
      <c r="N93" s="40">
        <f t="shared" si="6"/>
        <v>4377.6000000000004</v>
      </c>
      <c r="O93" s="42">
        <f t="shared" si="8"/>
        <v>8925.6</v>
      </c>
      <c r="P93" s="44">
        <f t="shared" si="13"/>
        <v>15713.1</v>
      </c>
    </row>
    <row r="94" spans="1:16" x14ac:dyDescent="0.2">
      <c r="A94" s="43">
        <v>43221</v>
      </c>
      <c r="B94" s="26">
        <v>66</v>
      </c>
      <c r="C94" s="40">
        <f t="shared" si="9"/>
        <v>330</v>
      </c>
      <c r="D94" s="39">
        <v>1630</v>
      </c>
      <c r="E94" s="40">
        <f t="shared" si="10"/>
        <v>4075</v>
      </c>
      <c r="F94" s="40"/>
      <c r="G94" s="40"/>
      <c r="H94" s="39">
        <v>1450</v>
      </c>
      <c r="I94" s="40">
        <f t="shared" si="11"/>
        <v>3625</v>
      </c>
      <c r="J94" s="41">
        <f t="shared" si="12"/>
        <v>8030</v>
      </c>
      <c r="K94" s="39">
        <v>4608</v>
      </c>
      <c r="L94" s="40">
        <f t="shared" si="5"/>
        <v>4608</v>
      </c>
      <c r="M94" s="39">
        <v>2736</v>
      </c>
      <c r="N94" s="40">
        <f t="shared" si="6"/>
        <v>4377.6000000000004</v>
      </c>
      <c r="O94" s="42">
        <f t="shared" si="8"/>
        <v>8985.6</v>
      </c>
      <c r="P94" s="44">
        <f t="shared" si="13"/>
        <v>17015.599999999999</v>
      </c>
    </row>
    <row r="95" spans="1:16" x14ac:dyDescent="0.2">
      <c r="A95" s="43">
        <v>43252</v>
      </c>
      <c r="B95" s="26">
        <v>63</v>
      </c>
      <c r="C95" s="40">
        <f t="shared" si="9"/>
        <v>315</v>
      </c>
      <c r="D95" s="39">
        <v>1535</v>
      </c>
      <c r="E95" s="40">
        <f t="shared" si="10"/>
        <v>3837.5</v>
      </c>
      <c r="F95" s="40"/>
      <c r="G95" s="40"/>
      <c r="H95" s="39">
        <v>1505</v>
      </c>
      <c r="I95" s="40">
        <f t="shared" si="11"/>
        <v>3762.5</v>
      </c>
      <c r="J95" s="41">
        <f t="shared" si="12"/>
        <v>7915</v>
      </c>
      <c r="K95" s="39">
        <v>3636</v>
      </c>
      <c r="L95" s="40">
        <f t="shared" si="5"/>
        <v>3636</v>
      </c>
      <c r="M95" s="39">
        <v>2880</v>
      </c>
      <c r="N95" s="40">
        <f t="shared" si="6"/>
        <v>4608</v>
      </c>
      <c r="O95" s="42">
        <f t="shared" si="8"/>
        <v>8244</v>
      </c>
      <c r="P95" s="44">
        <f t="shared" si="13"/>
        <v>16159</v>
      </c>
    </row>
    <row r="96" spans="1:16" x14ac:dyDescent="0.2">
      <c r="A96" s="43">
        <v>43282</v>
      </c>
      <c r="B96" s="34">
        <v>24</v>
      </c>
      <c r="C96" s="34">
        <f t="shared" si="9"/>
        <v>120</v>
      </c>
      <c r="D96" s="34">
        <v>1300</v>
      </c>
      <c r="E96" s="35">
        <f t="shared" si="10"/>
        <v>3250</v>
      </c>
      <c r="F96" s="35"/>
      <c r="G96" s="35"/>
      <c r="H96" s="34">
        <v>1365</v>
      </c>
      <c r="I96" s="35">
        <f t="shared" si="11"/>
        <v>3412.5</v>
      </c>
      <c r="J96" s="36">
        <f t="shared" si="12"/>
        <v>6782.5</v>
      </c>
      <c r="K96" s="34">
        <v>3091</v>
      </c>
      <c r="L96" s="35">
        <f t="shared" si="5"/>
        <v>3091</v>
      </c>
      <c r="M96" s="34">
        <v>2604</v>
      </c>
      <c r="N96" s="35">
        <f t="shared" si="6"/>
        <v>4166.4000000000005</v>
      </c>
      <c r="O96" s="37">
        <f t="shared" si="8"/>
        <v>7257.4000000000005</v>
      </c>
      <c r="P96" s="38">
        <f t="shared" si="13"/>
        <v>14039.900000000001</v>
      </c>
    </row>
    <row r="97" spans="1:16" x14ac:dyDescent="0.2">
      <c r="A97" s="43">
        <v>43313</v>
      </c>
      <c r="B97" s="34">
        <v>30</v>
      </c>
      <c r="C97" s="35">
        <f t="shared" si="9"/>
        <v>150</v>
      </c>
      <c r="D97" s="34">
        <v>1200</v>
      </c>
      <c r="E97" s="35">
        <f t="shared" si="10"/>
        <v>3000</v>
      </c>
      <c r="F97" s="35"/>
      <c r="G97" s="35"/>
      <c r="H97" s="34">
        <v>1225</v>
      </c>
      <c r="I97" s="35">
        <f t="shared" si="11"/>
        <v>3062.5</v>
      </c>
      <c r="J97" s="36">
        <f t="shared" si="12"/>
        <v>6212.5</v>
      </c>
      <c r="K97" s="34">
        <v>3264</v>
      </c>
      <c r="L97" s="35">
        <f t="shared" si="5"/>
        <v>3264</v>
      </c>
      <c r="M97" s="34">
        <v>2376</v>
      </c>
      <c r="N97" s="35">
        <f t="shared" si="6"/>
        <v>3801.6000000000004</v>
      </c>
      <c r="O97" s="37">
        <f t="shared" si="8"/>
        <v>7065.6</v>
      </c>
      <c r="P97" s="38">
        <f t="shared" si="13"/>
        <v>13278.1</v>
      </c>
    </row>
    <row r="98" spans="1:16" x14ac:dyDescent="0.2">
      <c r="A98" s="43">
        <v>43344</v>
      </c>
      <c r="B98" s="34">
        <v>42</v>
      </c>
      <c r="C98" s="35">
        <f t="shared" si="9"/>
        <v>210</v>
      </c>
      <c r="D98" s="34">
        <v>1645</v>
      </c>
      <c r="E98" s="35">
        <f t="shared" si="10"/>
        <v>4112.5</v>
      </c>
      <c r="F98" s="35"/>
      <c r="G98" s="35"/>
      <c r="H98" s="34">
        <v>1665</v>
      </c>
      <c r="I98" s="35">
        <f t="shared" si="11"/>
        <v>4162.5</v>
      </c>
      <c r="J98" s="36">
        <f t="shared" si="12"/>
        <v>8485</v>
      </c>
      <c r="K98" s="34">
        <v>4577</v>
      </c>
      <c r="L98" s="35">
        <f t="shared" si="5"/>
        <v>4577</v>
      </c>
      <c r="M98" s="34">
        <v>2529</v>
      </c>
      <c r="N98" s="35">
        <f t="shared" si="6"/>
        <v>4046.4</v>
      </c>
      <c r="O98" s="37">
        <f t="shared" si="8"/>
        <v>8623.4</v>
      </c>
      <c r="P98" s="38">
        <f t="shared" si="13"/>
        <v>17108.400000000001</v>
      </c>
    </row>
    <row r="99" spans="1:16" x14ac:dyDescent="0.2">
      <c r="A99" s="43">
        <v>43374</v>
      </c>
      <c r="B99" s="34">
        <v>24</v>
      </c>
      <c r="C99" s="35">
        <f t="shared" si="9"/>
        <v>120</v>
      </c>
      <c r="D99" s="34">
        <v>1685</v>
      </c>
      <c r="E99" s="35">
        <f t="shared" si="10"/>
        <v>4212.5</v>
      </c>
      <c r="F99" s="35"/>
      <c r="G99" s="35"/>
      <c r="H99" s="34">
        <v>2020</v>
      </c>
      <c r="I99" s="35">
        <f t="shared" si="11"/>
        <v>5050</v>
      </c>
      <c r="J99" s="36">
        <f t="shared" si="12"/>
        <v>9382.5</v>
      </c>
      <c r="K99" s="34">
        <v>4824</v>
      </c>
      <c r="L99" s="35">
        <f t="shared" si="5"/>
        <v>4824</v>
      </c>
      <c r="M99" s="34">
        <v>4020</v>
      </c>
      <c r="N99" s="35">
        <f t="shared" si="6"/>
        <v>6432</v>
      </c>
      <c r="O99" s="37">
        <f t="shared" si="8"/>
        <v>11256</v>
      </c>
      <c r="P99" s="38">
        <f t="shared" si="13"/>
        <v>20638.5</v>
      </c>
    </row>
    <row r="100" spans="1:16" x14ac:dyDescent="0.2">
      <c r="A100" s="43">
        <v>43405</v>
      </c>
      <c r="B100" s="34">
        <v>27</v>
      </c>
      <c r="C100" s="35">
        <f t="shared" si="9"/>
        <v>135</v>
      </c>
      <c r="D100" s="34">
        <v>1695</v>
      </c>
      <c r="E100" s="35">
        <f t="shared" si="10"/>
        <v>4237.5</v>
      </c>
      <c r="F100" s="35"/>
      <c r="G100" s="35"/>
      <c r="H100" s="34">
        <v>1260</v>
      </c>
      <c r="I100" s="35">
        <f t="shared" si="11"/>
        <v>3150</v>
      </c>
      <c r="J100" s="36">
        <f t="shared" si="12"/>
        <v>7522.5</v>
      </c>
      <c r="K100" s="34">
        <v>5000</v>
      </c>
      <c r="L100" s="35">
        <f t="shared" ref="L100:L164" si="14">K100</f>
        <v>5000</v>
      </c>
      <c r="M100" s="34">
        <v>3888</v>
      </c>
      <c r="N100" s="35">
        <f t="shared" ref="N100:N165" si="15">M100*1.6</f>
        <v>6220.8</v>
      </c>
      <c r="O100" s="37">
        <f t="shared" si="8"/>
        <v>11220.8</v>
      </c>
      <c r="P100" s="38">
        <f t="shared" si="13"/>
        <v>18743.3</v>
      </c>
    </row>
    <row r="101" spans="1:16" x14ac:dyDescent="0.2">
      <c r="A101" s="43">
        <v>43435</v>
      </c>
      <c r="B101" s="34">
        <v>30</v>
      </c>
      <c r="C101" s="35">
        <f t="shared" si="9"/>
        <v>150</v>
      </c>
      <c r="D101" s="34">
        <v>1540</v>
      </c>
      <c r="E101" s="35">
        <f t="shared" si="10"/>
        <v>3850</v>
      </c>
      <c r="F101" s="35"/>
      <c r="G101" s="35"/>
      <c r="H101" s="34">
        <v>1250</v>
      </c>
      <c r="I101" s="35">
        <f t="shared" si="11"/>
        <v>3125</v>
      </c>
      <c r="J101" s="36">
        <f t="shared" si="12"/>
        <v>7125</v>
      </c>
      <c r="K101" s="34">
        <v>4812</v>
      </c>
      <c r="L101" s="35">
        <f t="shared" si="14"/>
        <v>4812</v>
      </c>
      <c r="M101" s="34">
        <v>3528</v>
      </c>
      <c r="N101" s="35">
        <f t="shared" si="15"/>
        <v>5644.8</v>
      </c>
      <c r="O101" s="37">
        <f t="shared" si="8"/>
        <v>10456.799999999999</v>
      </c>
      <c r="P101" s="38">
        <f t="shared" si="13"/>
        <v>17581.8</v>
      </c>
    </row>
    <row r="102" spans="1:16" x14ac:dyDescent="0.2">
      <c r="A102" s="43">
        <v>43466</v>
      </c>
      <c r="B102" s="34">
        <v>9</v>
      </c>
      <c r="C102" s="35">
        <f t="shared" si="9"/>
        <v>45</v>
      </c>
      <c r="D102" s="34">
        <v>1545</v>
      </c>
      <c r="E102" s="35">
        <f t="shared" si="10"/>
        <v>3862.5</v>
      </c>
      <c r="F102" s="35"/>
      <c r="G102" s="35"/>
      <c r="H102" s="34">
        <v>1310</v>
      </c>
      <c r="I102" s="35">
        <f t="shared" si="11"/>
        <v>3275</v>
      </c>
      <c r="J102" s="36">
        <f t="shared" si="12"/>
        <v>7182.5</v>
      </c>
      <c r="K102" s="34">
        <v>4032</v>
      </c>
      <c r="L102" s="35">
        <f t="shared" si="14"/>
        <v>4032</v>
      </c>
      <c r="M102" s="34">
        <v>3792</v>
      </c>
      <c r="N102" s="35">
        <f t="shared" si="15"/>
        <v>6067.2000000000007</v>
      </c>
      <c r="O102" s="37">
        <f t="shared" si="8"/>
        <v>10099.200000000001</v>
      </c>
      <c r="P102" s="38">
        <f t="shared" si="13"/>
        <v>17281.7</v>
      </c>
    </row>
    <row r="103" spans="1:16" x14ac:dyDescent="0.2">
      <c r="A103" s="43">
        <v>43497</v>
      </c>
      <c r="B103" s="34">
        <v>24</v>
      </c>
      <c r="C103" s="34">
        <f t="shared" si="9"/>
        <v>120</v>
      </c>
      <c r="D103" s="34">
        <v>2335</v>
      </c>
      <c r="E103" s="35">
        <f t="shared" si="10"/>
        <v>5837.5</v>
      </c>
      <c r="F103" s="35"/>
      <c r="G103" s="35"/>
      <c r="H103" s="34">
        <v>0</v>
      </c>
      <c r="I103" s="35">
        <f t="shared" si="11"/>
        <v>0</v>
      </c>
      <c r="J103" s="36">
        <f t="shared" si="12"/>
        <v>5957.5</v>
      </c>
      <c r="K103" s="34">
        <v>2652</v>
      </c>
      <c r="L103" s="35">
        <f t="shared" si="14"/>
        <v>2652</v>
      </c>
      <c r="M103" s="34">
        <v>2172</v>
      </c>
      <c r="N103" s="35">
        <f t="shared" si="15"/>
        <v>3475.2000000000003</v>
      </c>
      <c r="O103" s="37">
        <f t="shared" si="8"/>
        <v>6127.2000000000007</v>
      </c>
      <c r="P103" s="38">
        <f t="shared" si="13"/>
        <v>12084.7</v>
      </c>
    </row>
    <row r="104" spans="1:16" x14ac:dyDescent="0.2">
      <c r="A104" s="43">
        <v>43525</v>
      </c>
      <c r="B104" s="34">
        <v>30</v>
      </c>
      <c r="C104" s="35">
        <f t="shared" si="9"/>
        <v>150</v>
      </c>
      <c r="D104" s="34">
        <v>1400</v>
      </c>
      <c r="E104" s="35">
        <f t="shared" si="10"/>
        <v>3500</v>
      </c>
      <c r="F104" s="35"/>
      <c r="G104" s="35"/>
      <c r="H104" s="34">
        <v>1515</v>
      </c>
      <c r="I104" s="35">
        <f t="shared" si="11"/>
        <v>3787.5</v>
      </c>
      <c r="J104" s="36">
        <f t="shared" si="12"/>
        <v>7437.5</v>
      </c>
      <c r="K104" s="34">
        <v>5136</v>
      </c>
      <c r="L104" s="35">
        <f t="shared" si="14"/>
        <v>5136</v>
      </c>
      <c r="M104" s="34">
        <v>3744</v>
      </c>
      <c r="N104" s="35">
        <f t="shared" si="15"/>
        <v>5990.4000000000005</v>
      </c>
      <c r="O104" s="37">
        <f t="shared" si="8"/>
        <v>11126.400000000001</v>
      </c>
      <c r="P104" s="38">
        <f t="shared" si="13"/>
        <v>18563.900000000001</v>
      </c>
    </row>
    <row r="105" spans="1:16" x14ac:dyDescent="0.2">
      <c r="A105" s="43">
        <v>43556</v>
      </c>
      <c r="B105" s="34">
        <v>30</v>
      </c>
      <c r="C105" s="35">
        <f t="shared" si="9"/>
        <v>150</v>
      </c>
      <c r="D105" s="34">
        <v>1575</v>
      </c>
      <c r="E105" s="35">
        <f t="shared" si="10"/>
        <v>3937.5</v>
      </c>
      <c r="F105" s="35"/>
      <c r="G105" s="35"/>
      <c r="H105" s="34">
        <v>1165</v>
      </c>
      <c r="I105" s="35">
        <f t="shared" si="11"/>
        <v>2912.5</v>
      </c>
      <c r="J105" s="36">
        <f t="shared" si="12"/>
        <v>7000</v>
      </c>
      <c r="K105" s="34">
        <v>5364</v>
      </c>
      <c r="L105" s="35">
        <f t="shared" si="14"/>
        <v>5364</v>
      </c>
      <c r="M105" s="34">
        <v>4152</v>
      </c>
      <c r="N105" s="35">
        <f t="shared" si="15"/>
        <v>6643.2000000000007</v>
      </c>
      <c r="O105" s="37">
        <f t="shared" si="8"/>
        <v>12007.2</v>
      </c>
      <c r="P105" s="38">
        <f t="shared" si="13"/>
        <v>19007.2</v>
      </c>
    </row>
    <row r="106" spans="1:16" x14ac:dyDescent="0.2">
      <c r="A106" s="43">
        <v>43586</v>
      </c>
      <c r="B106" s="34">
        <v>21</v>
      </c>
      <c r="C106" s="35">
        <f t="shared" si="9"/>
        <v>105</v>
      </c>
      <c r="D106" s="34">
        <v>1350</v>
      </c>
      <c r="E106" s="35">
        <f t="shared" si="10"/>
        <v>3375</v>
      </c>
      <c r="F106" s="35"/>
      <c r="G106" s="35"/>
      <c r="H106" s="34">
        <v>1265</v>
      </c>
      <c r="I106" s="35">
        <f t="shared" si="11"/>
        <v>3162.5</v>
      </c>
      <c r="J106" s="36">
        <f t="shared" si="12"/>
        <v>6642.5</v>
      </c>
      <c r="K106" s="34">
        <v>5292</v>
      </c>
      <c r="L106" s="35">
        <f t="shared" si="14"/>
        <v>5292</v>
      </c>
      <c r="M106" s="34">
        <v>4116</v>
      </c>
      <c r="N106" s="35">
        <f t="shared" si="15"/>
        <v>6585.6</v>
      </c>
      <c r="O106" s="37">
        <f t="shared" si="8"/>
        <v>11877.6</v>
      </c>
      <c r="P106" s="38">
        <f t="shared" si="13"/>
        <v>18520.099999999999</v>
      </c>
    </row>
    <row r="107" spans="1:16" x14ac:dyDescent="0.2">
      <c r="A107" s="43">
        <v>43617</v>
      </c>
      <c r="B107" s="34">
        <v>21</v>
      </c>
      <c r="C107" s="35">
        <f t="shared" si="9"/>
        <v>105</v>
      </c>
      <c r="D107" s="34">
        <v>1440</v>
      </c>
      <c r="E107" s="35">
        <f t="shared" si="10"/>
        <v>3600</v>
      </c>
      <c r="F107" s="35"/>
      <c r="G107" s="35"/>
      <c r="H107" s="34">
        <v>1290</v>
      </c>
      <c r="I107" s="35">
        <f t="shared" si="11"/>
        <v>3225</v>
      </c>
      <c r="J107" s="36">
        <f t="shared" si="12"/>
        <v>6930</v>
      </c>
      <c r="K107" s="34">
        <v>3348</v>
      </c>
      <c r="L107" s="35">
        <f t="shared" si="14"/>
        <v>3348</v>
      </c>
      <c r="M107" s="34">
        <v>2940</v>
      </c>
      <c r="N107" s="35">
        <f t="shared" si="15"/>
        <v>4704</v>
      </c>
      <c r="O107" s="37">
        <f t="shared" si="8"/>
        <v>8052</v>
      </c>
      <c r="P107" s="38">
        <f>J107+O107</f>
        <v>14982</v>
      </c>
    </row>
    <row r="108" spans="1:16" x14ac:dyDescent="0.2">
      <c r="A108" s="43">
        <v>43647</v>
      </c>
      <c r="B108" s="39">
        <v>41</v>
      </c>
      <c r="C108" s="39">
        <f t="shared" si="9"/>
        <v>205</v>
      </c>
      <c r="D108" s="39">
        <v>1345</v>
      </c>
      <c r="E108" s="40">
        <f t="shared" si="10"/>
        <v>3362.5</v>
      </c>
      <c r="F108" s="40"/>
      <c r="G108" s="40"/>
      <c r="H108" s="39">
        <v>670</v>
      </c>
      <c r="I108" s="39">
        <f t="shared" si="11"/>
        <v>1675</v>
      </c>
      <c r="J108" s="41">
        <f t="shared" si="12"/>
        <v>5242.5</v>
      </c>
      <c r="K108" s="39">
        <v>3336</v>
      </c>
      <c r="L108" s="39">
        <f t="shared" si="14"/>
        <v>3336</v>
      </c>
      <c r="M108" s="39">
        <v>2916</v>
      </c>
      <c r="N108" s="40">
        <f t="shared" si="15"/>
        <v>4665.6000000000004</v>
      </c>
      <c r="O108" s="42">
        <f t="shared" si="8"/>
        <v>8001.6</v>
      </c>
      <c r="P108" s="44">
        <f t="shared" si="13"/>
        <v>13244.1</v>
      </c>
    </row>
    <row r="109" spans="1:16" x14ac:dyDescent="0.2">
      <c r="A109" s="43">
        <v>43678</v>
      </c>
      <c r="B109" s="39">
        <v>41</v>
      </c>
      <c r="C109" s="39">
        <f t="shared" si="9"/>
        <v>205</v>
      </c>
      <c r="D109" s="39">
        <v>1345</v>
      </c>
      <c r="E109" s="40">
        <f t="shared" si="10"/>
        <v>3362.5</v>
      </c>
      <c r="F109" s="40"/>
      <c r="G109" s="40"/>
      <c r="H109" s="39">
        <v>670</v>
      </c>
      <c r="I109" s="39">
        <f t="shared" si="11"/>
        <v>1675</v>
      </c>
      <c r="J109" s="41">
        <f t="shared" si="12"/>
        <v>5242.5</v>
      </c>
      <c r="K109" s="39">
        <v>3948</v>
      </c>
      <c r="L109" s="39">
        <f t="shared" si="14"/>
        <v>3948</v>
      </c>
      <c r="M109" s="39">
        <v>3568</v>
      </c>
      <c r="N109" s="40">
        <f t="shared" si="15"/>
        <v>5708.8</v>
      </c>
      <c r="O109" s="42">
        <f t="shared" si="8"/>
        <v>9656.7999999999993</v>
      </c>
      <c r="P109" s="44">
        <f t="shared" si="13"/>
        <v>14899.3</v>
      </c>
    </row>
    <row r="110" spans="1:16" x14ac:dyDescent="0.2">
      <c r="A110" s="43">
        <v>43709</v>
      </c>
      <c r="B110" s="39">
        <v>41</v>
      </c>
      <c r="C110" s="39">
        <f t="shared" si="9"/>
        <v>205</v>
      </c>
      <c r="D110" s="39">
        <v>1345</v>
      </c>
      <c r="E110" s="40">
        <f t="shared" si="10"/>
        <v>3362.5</v>
      </c>
      <c r="F110" s="40"/>
      <c r="G110" s="40"/>
      <c r="H110" s="39">
        <v>670</v>
      </c>
      <c r="I110" s="39">
        <f t="shared" si="11"/>
        <v>1675</v>
      </c>
      <c r="J110" s="41">
        <f t="shared" si="12"/>
        <v>5242.5</v>
      </c>
      <c r="K110" s="39">
        <v>4140</v>
      </c>
      <c r="L110" s="39">
        <f t="shared" si="14"/>
        <v>4140</v>
      </c>
      <c r="M110" s="39">
        <v>3924</v>
      </c>
      <c r="N110" s="40">
        <f t="shared" si="15"/>
        <v>6278.4000000000005</v>
      </c>
      <c r="O110" s="42">
        <f t="shared" si="8"/>
        <v>10418.400000000001</v>
      </c>
      <c r="P110" s="44">
        <f t="shared" si="13"/>
        <v>15660.900000000001</v>
      </c>
    </row>
    <row r="111" spans="1:16" x14ac:dyDescent="0.2">
      <c r="A111" s="43">
        <v>43739</v>
      </c>
      <c r="B111" s="39">
        <v>41</v>
      </c>
      <c r="C111" s="39">
        <f t="shared" si="9"/>
        <v>205</v>
      </c>
      <c r="D111" s="39">
        <v>1345</v>
      </c>
      <c r="E111" s="40">
        <f t="shared" si="10"/>
        <v>3362.5</v>
      </c>
      <c r="F111" s="40"/>
      <c r="G111" s="40"/>
      <c r="H111" s="39">
        <v>670</v>
      </c>
      <c r="I111" s="39">
        <f t="shared" si="11"/>
        <v>1675</v>
      </c>
      <c r="J111" s="41">
        <f t="shared" si="12"/>
        <v>5242.5</v>
      </c>
      <c r="K111" s="39">
        <v>4888</v>
      </c>
      <c r="L111" s="39">
        <f t="shared" si="14"/>
        <v>4888</v>
      </c>
      <c r="M111" s="39">
        <v>3768</v>
      </c>
      <c r="N111" s="40">
        <f t="shared" si="15"/>
        <v>6028.8</v>
      </c>
      <c r="O111" s="42">
        <f t="shared" si="8"/>
        <v>10916.8</v>
      </c>
      <c r="P111" s="44">
        <f t="shared" si="13"/>
        <v>16159.3</v>
      </c>
    </row>
    <row r="112" spans="1:16" x14ac:dyDescent="0.2">
      <c r="A112" s="43">
        <v>43770</v>
      </c>
      <c r="B112" s="39">
        <v>41</v>
      </c>
      <c r="C112" s="39">
        <f t="shared" si="9"/>
        <v>205</v>
      </c>
      <c r="D112" s="39">
        <v>1345</v>
      </c>
      <c r="E112" s="40">
        <f t="shared" si="10"/>
        <v>3362.5</v>
      </c>
      <c r="F112" s="40"/>
      <c r="G112" s="40"/>
      <c r="H112" s="39">
        <v>670</v>
      </c>
      <c r="I112" s="39">
        <f t="shared" si="11"/>
        <v>1675</v>
      </c>
      <c r="J112" s="41">
        <f t="shared" si="12"/>
        <v>5242.5</v>
      </c>
      <c r="K112" s="39">
        <v>4236</v>
      </c>
      <c r="L112" s="39">
        <f t="shared" si="14"/>
        <v>4236</v>
      </c>
      <c r="M112" s="39">
        <v>4140</v>
      </c>
      <c r="N112" s="40">
        <f t="shared" si="15"/>
        <v>6624</v>
      </c>
      <c r="O112" s="42">
        <f t="shared" si="8"/>
        <v>10860</v>
      </c>
      <c r="P112" s="44">
        <f t="shared" si="13"/>
        <v>16102.5</v>
      </c>
    </row>
    <row r="113" spans="1:18" x14ac:dyDescent="0.2">
      <c r="A113" s="43">
        <v>43800</v>
      </c>
      <c r="B113" s="39">
        <v>41</v>
      </c>
      <c r="C113" s="39">
        <f t="shared" si="9"/>
        <v>205</v>
      </c>
      <c r="D113" s="39">
        <v>1345</v>
      </c>
      <c r="E113" s="40">
        <f t="shared" si="10"/>
        <v>3362.5</v>
      </c>
      <c r="F113" s="40"/>
      <c r="G113" s="40"/>
      <c r="H113" s="39">
        <v>670</v>
      </c>
      <c r="I113" s="39">
        <f t="shared" si="11"/>
        <v>1675</v>
      </c>
      <c r="J113" s="41">
        <f t="shared" si="12"/>
        <v>5242.5</v>
      </c>
      <c r="K113" s="39">
        <v>2808</v>
      </c>
      <c r="L113" s="39">
        <f t="shared" si="14"/>
        <v>2808</v>
      </c>
      <c r="M113" s="39">
        <v>1968</v>
      </c>
      <c r="N113" s="40">
        <f t="shared" si="15"/>
        <v>3148.8</v>
      </c>
      <c r="O113" s="42">
        <f t="shared" si="8"/>
        <v>5956.8</v>
      </c>
      <c r="P113" s="44">
        <f t="shared" si="13"/>
        <v>11199.3</v>
      </c>
    </row>
    <row r="114" spans="1:18" x14ac:dyDescent="0.2">
      <c r="A114" s="43">
        <v>43831</v>
      </c>
      <c r="B114" s="39">
        <v>41</v>
      </c>
      <c r="C114" s="39">
        <f t="shared" si="9"/>
        <v>205</v>
      </c>
      <c r="D114" s="39">
        <v>1345</v>
      </c>
      <c r="E114" s="40">
        <f t="shared" si="10"/>
        <v>3362.5</v>
      </c>
      <c r="F114" s="40"/>
      <c r="G114" s="40"/>
      <c r="H114" s="39">
        <v>670</v>
      </c>
      <c r="I114" s="39">
        <f t="shared" si="11"/>
        <v>1675</v>
      </c>
      <c r="J114" s="41">
        <f t="shared" si="12"/>
        <v>5242.5</v>
      </c>
      <c r="K114" s="39">
        <v>2676</v>
      </c>
      <c r="L114" s="39">
        <f t="shared" si="14"/>
        <v>2676</v>
      </c>
      <c r="M114" s="39">
        <v>3456</v>
      </c>
      <c r="N114" s="40">
        <f t="shared" si="15"/>
        <v>5529.6</v>
      </c>
      <c r="O114" s="42">
        <f t="shared" si="8"/>
        <v>8205.6</v>
      </c>
      <c r="P114" s="44">
        <f>J114+O114</f>
        <v>13448.1</v>
      </c>
    </row>
    <row r="115" spans="1:18" x14ac:dyDescent="0.2">
      <c r="A115" s="43">
        <v>43862</v>
      </c>
      <c r="B115" s="39">
        <v>41</v>
      </c>
      <c r="C115" s="39">
        <f t="shared" si="9"/>
        <v>205</v>
      </c>
      <c r="D115" s="39">
        <v>1345</v>
      </c>
      <c r="E115" s="40">
        <f t="shared" si="10"/>
        <v>3362.5</v>
      </c>
      <c r="F115" s="40"/>
      <c r="G115" s="40"/>
      <c r="H115" s="39">
        <v>670</v>
      </c>
      <c r="I115" s="39">
        <f t="shared" si="11"/>
        <v>1675</v>
      </c>
      <c r="J115" s="41">
        <f t="shared" si="12"/>
        <v>5242.5</v>
      </c>
      <c r="K115" s="39">
        <v>1680</v>
      </c>
      <c r="L115" s="39">
        <f t="shared" si="14"/>
        <v>1680</v>
      </c>
      <c r="M115" s="39">
        <v>1296</v>
      </c>
      <c r="N115" s="40">
        <f t="shared" si="15"/>
        <v>2073.6</v>
      </c>
      <c r="O115" s="42">
        <f t="shared" si="8"/>
        <v>3753.6</v>
      </c>
      <c r="P115" s="44">
        <f t="shared" si="13"/>
        <v>8996.1</v>
      </c>
    </row>
    <row r="116" spans="1:18" x14ac:dyDescent="0.2">
      <c r="A116" s="43">
        <v>43891</v>
      </c>
      <c r="B116" s="39">
        <v>41</v>
      </c>
      <c r="C116" s="39">
        <f t="shared" si="9"/>
        <v>205</v>
      </c>
      <c r="D116" s="39">
        <v>1345</v>
      </c>
      <c r="E116" s="40">
        <f t="shared" si="10"/>
        <v>3362.5</v>
      </c>
      <c r="F116" s="40"/>
      <c r="G116" s="40"/>
      <c r="H116" s="39">
        <v>670</v>
      </c>
      <c r="I116" s="39">
        <f t="shared" si="11"/>
        <v>1675</v>
      </c>
      <c r="J116" s="41">
        <f t="shared" si="12"/>
        <v>5242.5</v>
      </c>
      <c r="K116" s="39">
        <v>2352</v>
      </c>
      <c r="L116" s="39">
        <f t="shared" si="14"/>
        <v>2352</v>
      </c>
      <c r="M116" s="39">
        <v>2784</v>
      </c>
      <c r="N116" s="40">
        <f t="shared" si="15"/>
        <v>4454.4000000000005</v>
      </c>
      <c r="O116" s="42">
        <f t="shared" si="8"/>
        <v>6806.4000000000005</v>
      </c>
      <c r="P116" s="44">
        <f t="shared" si="13"/>
        <v>12048.900000000001</v>
      </c>
    </row>
    <row r="117" spans="1:18" x14ac:dyDescent="0.2">
      <c r="A117" s="43">
        <v>43922</v>
      </c>
      <c r="B117" s="39">
        <v>41</v>
      </c>
      <c r="C117" s="39">
        <f t="shared" si="9"/>
        <v>205</v>
      </c>
      <c r="D117" s="39">
        <v>1345</v>
      </c>
      <c r="E117" s="40">
        <f t="shared" si="10"/>
        <v>3362.5</v>
      </c>
      <c r="F117" s="40"/>
      <c r="G117" s="40"/>
      <c r="H117" s="39">
        <v>670</v>
      </c>
      <c r="I117" s="39">
        <f t="shared" si="11"/>
        <v>1675</v>
      </c>
      <c r="J117" s="41">
        <f t="shared" si="12"/>
        <v>5242.5</v>
      </c>
      <c r="K117" s="39">
        <v>1876</v>
      </c>
      <c r="L117" s="39">
        <f t="shared" si="14"/>
        <v>1876</v>
      </c>
      <c r="M117" s="39">
        <v>2208</v>
      </c>
      <c r="N117" s="40">
        <f t="shared" si="15"/>
        <v>3532.8</v>
      </c>
      <c r="O117" s="42">
        <f t="shared" si="8"/>
        <v>5408.8</v>
      </c>
      <c r="P117" s="44">
        <f t="shared" si="13"/>
        <v>10651.3</v>
      </c>
    </row>
    <row r="118" spans="1:18" x14ac:dyDescent="0.2">
      <c r="A118" s="43">
        <v>43952</v>
      </c>
      <c r="B118" s="39">
        <v>41</v>
      </c>
      <c r="C118" s="39">
        <f t="shared" si="9"/>
        <v>205</v>
      </c>
      <c r="D118" s="39">
        <v>1345</v>
      </c>
      <c r="E118" s="40">
        <f t="shared" si="10"/>
        <v>3362.5</v>
      </c>
      <c r="F118" s="40"/>
      <c r="G118" s="40"/>
      <c r="H118" s="39">
        <v>670</v>
      </c>
      <c r="I118" s="39">
        <f t="shared" si="11"/>
        <v>1675</v>
      </c>
      <c r="J118" s="41">
        <f t="shared" si="12"/>
        <v>5242.5</v>
      </c>
      <c r="K118" s="39">
        <v>2844</v>
      </c>
      <c r="L118" s="39">
        <f t="shared" si="14"/>
        <v>2844</v>
      </c>
      <c r="M118" s="39">
        <v>3144</v>
      </c>
      <c r="N118" s="40">
        <f t="shared" si="15"/>
        <v>5030.4000000000005</v>
      </c>
      <c r="O118" s="42">
        <f t="shared" si="8"/>
        <v>7874.4000000000005</v>
      </c>
      <c r="P118" s="44">
        <f t="shared" si="13"/>
        <v>13116.900000000001</v>
      </c>
    </row>
    <row r="119" spans="1:18" x14ac:dyDescent="0.2">
      <c r="A119" s="43">
        <v>43983</v>
      </c>
      <c r="B119" s="39">
        <v>50</v>
      </c>
      <c r="C119" s="39">
        <f t="shared" si="9"/>
        <v>250</v>
      </c>
      <c r="D119" s="39">
        <v>1346</v>
      </c>
      <c r="E119" s="40">
        <f t="shared" si="10"/>
        <v>3365</v>
      </c>
      <c r="F119" s="40"/>
      <c r="G119" s="40"/>
      <c r="H119" s="39">
        <v>670</v>
      </c>
      <c r="I119" s="39">
        <f t="shared" si="11"/>
        <v>1675</v>
      </c>
      <c r="J119" s="41">
        <f t="shared" si="12"/>
        <v>5290</v>
      </c>
      <c r="K119" s="39">
        <v>2688</v>
      </c>
      <c r="L119" s="39">
        <f t="shared" si="14"/>
        <v>2688</v>
      </c>
      <c r="M119" s="39">
        <v>2808</v>
      </c>
      <c r="N119" s="40">
        <f t="shared" si="15"/>
        <v>4492.8</v>
      </c>
      <c r="O119" s="42">
        <f t="shared" si="8"/>
        <v>7180.8</v>
      </c>
      <c r="P119" s="44">
        <f t="shared" si="13"/>
        <v>12470.8</v>
      </c>
    </row>
    <row r="120" spans="1:18" x14ac:dyDescent="0.2">
      <c r="A120" s="43">
        <v>44013</v>
      </c>
      <c r="B120" s="39">
        <v>20</v>
      </c>
      <c r="C120" s="39">
        <f t="shared" si="9"/>
        <v>100</v>
      </c>
      <c r="D120" s="39">
        <v>938</v>
      </c>
      <c r="E120" s="39">
        <f t="shared" si="10"/>
        <v>2345</v>
      </c>
      <c r="H120" s="39">
        <v>378</v>
      </c>
      <c r="I120" s="39">
        <f t="shared" si="11"/>
        <v>945</v>
      </c>
      <c r="J120" s="45">
        <f t="shared" si="12"/>
        <v>3390</v>
      </c>
      <c r="K120" s="39">
        <v>3419</v>
      </c>
      <c r="L120" s="39">
        <f t="shared" si="14"/>
        <v>3419</v>
      </c>
      <c r="M120" s="39">
        <v>3575</v>
      </c>
      <c r="N120" s="40">
        <f t="shared" si="15"/>
        <v>5720</v>
      </c>
      <c r="O120" s="42">
        <f t="shared" si="8"/>
        <v>9139</v>
      </c>
      <c r="P120" s="44">
        <f t="shared" si="13"/>
        <v>12529</v>
      </c>
    </row>
    <row r="121" spans="1:18" x14ac:dyDescent="0.2">
      <c r="A121" s="43">
        <v>44044</v>
      </c>
      <c r="B121" s="39">
        <v>20</v>
      </c>
      <c r="C121" s="39">
        <f t="shared" si="9"/>
        <v>100</v>
      </c>
      <c r="D121" s="39">
        <v>938</v>
      </c>
      <c r="E121" s="39">
        <f t="shared" si="10"/>
        <v>2345</v>
      </c>
      <c r="H121" s="39">
        <v>378</v>
      </c>
      <c r="I121" s="39">
        <f t="shared" si="11"/>
        <v>945</v>
      </c>
      <c r="J121" s="45">
        <f t="shared" si="12"/>
        <v>3390</v>
      </c>
      <c r="K121" s="39">
        <v>2533</v>
      </c>
      <c r="L121" s="39">
        <f t="shared" si="14"/>
        <v>2533</v>
      </c>
      <c r="M121" s="39">
        <v>2716</v>
      </c>
      <c r="N121" s="40">
        <f t="shared" si="15"/>
        <v>4345.6000000000004</v>
      </c>
      <c r="O121" s="42">
        <f t="shared" si="8"/>
        <v>6878.6</v>
      </c>
      <c r="P121" s="44">
        <f t="shared" si="13"/>
        <v>10268.6</v>
      </c>
    </row>
    <row r="122" spans="1:18" x14ac:dyDescent="0.2">
      <c r="A122" s="43">
        <v>44075</v>
      </c>
      <c r="B122" s="39">
        <v>20</v>
      </c>
      <c r="C122" s="39">
        <f t="shared" si="9"/>
        <v>100</v>
      </c>
      <c r="D122" s="39">
        <v>938</v>
      </c>
      <c r="E122" s="39">
        <f t="shared" si="10"/>
        <v>2345</v>
      </c>
      <c r="H122" s="39">
        <v>378</v>
      </c>
      <c r="I122" s="39">
        <f t="shared" si="11"/>
        <v>945</v>
      </c>
      <c r="J122" s="45">
        <f t="shared" si="12"/>
        <v>3390</v>
      </c>
      <c r="K122" s="39">
        <v>3406</v>
      </c>
      <c r="L122" s="39">
        <f t="shared" si="14"/>
        <v>3406</v>
      </c>
      <c r="M122" s="39">
        <v>3480</v>
      </c>
      <c r="N122" s="40">
        <f t="shared" si="15"/>
        <v>5568</v>
      </c>
      <c r="O122" s="42">
        <f t="shared" si="8"/>
        <v>8974</v>
      </c>
      <c r="P122" s="44">
        <f t="shared" si="13"/>
        <v>12364</v>
      </c>
    </row>
    <row r="123" spans="1:18" x14ac:dyDescent="0.2">
      <c r="A123" s="43">
        <v>44105</v>
      </c>
      <c r="B123" s="39">
        <v>20</v>
      </c>
      <c r="C123" s="39">
        <f t="shared" si="9"/>
        <v>100</v>
      </c>
      <c r="D123" s="39">
        <v>938</v>
      </c>
      <c r="E123" s="39">
        <f t="shared" si="10"/>
        <v>2345</v>
      </c>
      <c r="H123" s="39">
        <v>378</v>
      </c>
      <c r="I123" s="39">
        <f t="shared" si="11"/>
        <v>945</v>
      </c>
      <c r="J123" s="45">
        <f t="shared" si="12"/>
        <v>3390</v>
      </c>
      <c r="K123" s="39">
        <v>3456</v>
      </c>
      <c r="L123" s="39">
        <f t="shared" si="14"/>
        <v>3456</v>
      </c>
      <c r="M123" s="39">
        <v>3643</v>
      </c>
      <c r="N123" s="40">
        <f t="shared" si="15"/>
        <v>5828.8</v>
      </c>
      <c r="O123" s="42">
        <f t="shared" si="8"/>
        <v>9284.7999999999993</v>
      </c>
      <c r="P123" s="44">
        <f t="shared" si="13"/>
        <v>12674.8</v>
      </c>
    </row>
    <row r="124" spans="1:18" x14ac:dyDescent="0.2">
      <c r="A124" s="43">
        <v>44136</v>
      </c>
      <c r="B124" s="39">
        <v>20</v>
      </c>
      <c r="C124" s="39">
        <f t="shared" si="9"/>
        <v>100</v>
      </c>
      <c r="D124" s="39">
        <v>938</v>
      </c>
      <c r="E124" s="39">
        <f t="shared" si="10"/>
        <v>2345</v>
      </c>
      <c r="H124" s="39">
        <v>378</v>
      </c>
      <c r="I124" s="39">
        <f t="shared" si="11"/>
        <v>945</v>
      </c>
      <c r="J124" s="45">
        <f t="shared" si="12"/>
        <v>3390</v>
      </c>
      <c r="K124" s="39">
        <v>3039</v>
      </c>
      <c r="L124" s="39">
        <f t="shared" si="14"/>
        <v>3039</v>
      </c>
      <c r="M124" s="39">
        <v>2914</v>
      </c>
      <c r="N124" s="40">
        <f t="shared" si="15"/>
        <v>4662.4000000000005</v>
      </c>
      <c r="O124" s="42">
        <f t="shared" si="8"/>
        <v>7701.4000000000005</v>
      </c>
      <c r="P124" s="44">
        <f t="shared" si="13"/>
        <v>11091.400000000001</v>
      </c>
    </row>
    <row r="125" spans="1:18" x14ac:dyDescent="0.2">
      <c r="A125" s="43">
        <v>44166</v>
      </c>
      <c r="B125" s="39">
        <v>20</v>
      </c>
      <c r="C125" s="39">
        <f t="shared" si="9"/>
        <v>100</v>
      </c>
      <c r="D125" s="39">
        <v>938</v>
      </c>
      <c r="E125" s="39">
        <f t="shared" si="10"/>
        <v>2345</v>
      </c>
      <c r="H125" s="39">
        <v>378</v>
      </c>
      <c r="I125" s="39">
        <f t="shared" si="11"/>
        <v>945</v>
      </c>
      <c r="J125" s="45">
        <f t="shared" si="12"/>
        <v>3390</v>
      </c>
      <c r="K125" s="39">
        <v>3408</v>
      </c>
      <c r="L125" s="39">
        <f t="shared" si="14"/>
        <v>3408</v>
      </c>
      <c r="M125" s="39">
        <v>3116</v>
      </c>
      <c r="N125" s="40">
        <f t="shared" si="15"/>
        <v>4985.6000000000004</v>
      </c>
      <c r="O125" s="42">
        <f t="shared" si="8"/>
        <v>8393.6</v>
      </c>
      <c r="P125" s="44">
        <f t="shared" si="13"/>
        <v>11783.6</v>
      </c>
    </row>
    <row r="126" spans="1:18" x14ac:dyDescent="0.2">
      <c r="A126" s="43">
        <v>44197</v>
      </c>
      <c r="B126" s="39">
        <v>20</v>
      </c>
      <c r="C126" s="39">
        <f t="shared" si="9"/>
        <v>100</v>
      </c>
      <c r="D126" s="39">
        <v>938</v>
      </c>
      <c r="E126" s="39">
        <f t="shared" si="10"/>
        <v>2345</v>
      </c>
      <c r="H126" s="39">
        <v>378</v>
      </c>
      <c r="I126" s="39">
        <f t="shared" si="11"/>
        <v>945</v>
      </c>
      <c r="J126" s="45">
        <f t="shared" si="12"/>
        <v>3390</v>
      </c>
      <c r="K126" s="39">
        <v>2407</v>
      </c>
      <c r="L126" s="39">
        <f t="shared" si="14"/>
        <v>2407</v>
      </c>
      <c r="M126" s="39">
        <v>2411</v>
      </c>
      <c r="N126" s="40">
        <f t="shared" si="15"/>
        <v>3857.6000000000004</v>
      </c>
      <c r="O126" s="42">
        <f t="shared" si="8"/>
        <v>6264.6</v>
      </c>
      <c r="P126" s="44">
        <f t="shared" si="13"/>
        <v>9654.6</v>
      </c>
    </row>
    <row r="127" spans="1:18" x14ac:dyDescent="0.2">
      <c r="A127" s="43">
        <v>44228</v>
      </c>
      <c r="B127" s="39">
        <v>20</v>
      </c>
      <c r="C127" s="39">
        <f t="shared" si="9"/>
        <v>100</v>
      </c>
      <c r="D127" s="39">
        <v>938</v>
      </c>
      <c r="E127" s="39">
        <f t="shared" si="10"/>
        <v>2345</v>
      </c>
      <c r="H127" s="39">
        <v>378</v>
      </c>
      <c r="I127" s="39">
        <f t="shared" si="11"/>
        <v>945</v>
      </c>
      <c r="J127" s="45">
        <f t="shared" si="12"/>
        <v>3390</v>
      </c>
      <c r="K127" s="39">
        <v>2619</v>
      </c>
      <c r="L127" s="39">
        <f t="shared" si="14"/>
        <v>2619</v>
      </c>
      <c r="M127" s="39">
        <v>2524</v>
      </c>
      <c r="N127" s="40">
        <f t="shared" si="15"/>
        <v>4038.4</v>
      </c>
      <c r="O127" s="42">
        <f t="shared" si="8"/>
        <v>6657.4</v>
      </c>
      <c r="P127" s="44">
        <f t="shared" si="13"/>
        <v>10047.4</v>
      </c>
      <c r="R127" s="46"/>
    </row>
    <row r="128" spans="1:18" x14ac:dyDescent="0.2">
      <c r="A128" s="43">
        <v>44256</v>
      </c>
      <c r="B128" s="39">
        <v>20</v>
      </c>
      <c r="C128" s="39">
        <f t="shared" si="9"/>
        <v>100</v>
      </c>
      <c r="D128" s="39">
        <v>938</v>
      </c>
      <c r="E128" s="39">
        <f t="shared" si="10"/>
        <v>2345</v>
      </c>
      <c r="H128" s="39">
        <v>378</v>
      </c>
      <c r="I128" s="39">
        <f t="shared" si="11"/>
        <v>945</v>
      </c>
      <c r="J128" s="45">
        <f t="shared" si="12"/>
        <v>3390</v>
      </c>
      <c r="K128" s="39">
        <v>3478</v>
      </c>
      <c r="L128" s="39">
        <f t="shared" si="14"/>
        <v>3478</v>
      </c>
      <c r="M128" s="39">
        <v>3187</v>
      </c>
      <c r="N128" s="40">
        <f t="shared" si="15"/>
        <v>5099.2000000000007</v>
      </c>
      <c r="O128" s="42">
        <f t="shared" ref="O128:O130" si="16">L128+N128</f>
        <v>8577.2000000000007</v>
      </c>
      <c r="P128" s="44">
        <f t="shared" si="13"/>
        <v>11967.2</v>
      </c>
    </row>
    <row r="129" spans="1:21" x14ac:dyDescent="0.2">
      <c r="A129" s="43">
        <v>44287</v>
      </c>
      <c r="B129" s="39">
        <v>20</v>
      </c>
      <c r="C129" s="39">
        <f t="shared" si="9"/>
        <v>100</v>
      </c>
      <c r="D129" s="39">
        <v>938</v>
      </c>
      <c r="E129" s="39">
        <f t="shared" si="10"/>
        <v>2345</v>
      </c>
      <c r="H129" s="39">
        <v>378</v>
      </c>
      <c r="I129" s="39">
        <f t="shared" si="11"/>
        <v>945</v>
      </c>
      <c r="J129" s="45">
        <f t="shared" si="12"/>
        <v>3390</v>
      </c>
      <c r="K129" s="39">
        <v>3986</v>
      </c>
      <c r="L129" s="39">
        <f t="shared" si="14"/>
        <v>3986</v>
      </c>
      <c r="M129" s="39">
        <v>3896</v>
      </c>
      <c r="N129" s="40">
        <f t="shared" si="15"/>
        <v>6233.6</v>
      </c>
      <c r="O129" s="42">
        <f t="shared" si="16"/>
        <v>10219.6</v>
      </c>
      <c r="P129" s="44">
        <f t="shared" si="13"/>
        <v>13609.6</v>
      </c>
    </row>
    <row r="130" spans="1:21" x14ac:dyDescent="0.2">
      <c r="A130" s="43">
        <v>44317</v>
      </c>
      <c r="B130" s="39">
        <v>20</v>
      </c>
      <c r="C130" s="39">
        <f t="shared" si="9"/>
        <v>100</v>
      </c>
      <c r="D130" s="39">
        <v>938</v>
      </c>
      <c r="E130" s="39">
        <f t="shared" si="10"/>
        <v>2345</v>
      </c>
      <c r="H130" s="39">
        <v>378</v>
      </c>
      <c r="I130" s="39">
        <f t="shared" si="11"/>
        <v>945</v>
      </c>
      <c r="J130" s="45">
        <f t="shared" si="12"/>
        <v>3390</v>
      </c>
      <c r="K130" s="39">
        <v>3722</v>
      </c>
      <c r="L130" s="39">
        <f t="shared" si="14"/>
        <v>3722</v>
      </c>
      <c r="M130" s="39">
        <v>3426</v>
      </c>
      <c r="N130" s="40">
        <f t="shared" si="15"/>
        <v>5481.6</v>
      </c>
      <c r="O130" s="42">
        <f t="shared" si="16"/>
        <v>9203.6</v>
      </c>
      <c r="P130" s="44">
        <f t="shared" si="13"/>
        <v>12593.6</v>
      </c>
    </row>
    <row r="131" spans="1:21" x14ac:dyDescent="0.2">
      <c r="A131" s="43">
        <v>44348</v>
      </c>
      <c r="B131" s="39">
        <v>22</v>
      </c>
      <c r="C131" s="39">
        <f t="shared" si="9"/>
        <v>110</v>
      </c>
      <c r="D131" s="39">
        <v>942</v>
      </c>
      <c r="E131" s="39">
        <f t="shared" si="10"/>
        <v>2355</v>
      </c>
      <c r="H131" s="39">
        <v>388</v>
      </c>
      <c r="I131" s="39">
        <f t="shared" si="11"/>
        <v>970</v>
      </c>
      <c r="J131" s="45">
        <f>C131+E131+I131</f>
        <v>3435</v>
      </c>
      <c r="K131" s="39">
        <v>3557</v>
      </c>
      <c r="L131" s="39">
        <f>K131</f>
        <v>3557</v>
      </c>
      <c r="M131" s="39">
        <v>3688</v>
      </c>
      <c r="N131" s="40">
        <f t="shared" si="15"/>
        <v>5900.8</v>
      </c>
      <c r="O131" s="42">
        <f>L131+N131</f>
        <v>9457.7999999999993</v>
      </c>
      <c r="P131" s="44">
        <f>J131+O131</f>
        <v>12892.8</v>
      </c>
      <c r="Q131" s="46"/>
    </row>
    <row r="132" spans="1:21" x14ac:dyDescent="0.2">
      <c r="A132" s="43">
        <v>44378</v>
      </c>
      <c r="B132" s="39">
        <v>20</v>
      </c>
      <c r="C132" s="39">
        <f t="shared" si="9"/>
        <v>100</v>
      </c>
      <c r="D132" s="39">
        <v>682</v>
      </c>
      <c r="E132" s="39">
        <f t="shared" si="10"/>
        <v>1705</v>
      </c>
      <c r="H132" s="39">
        <v>919</v>
      </c>
      <c r="I132" s="39">
        <f t="shared" si="11"/>
        <v>2297.5</v>
      </c>
      <c r="J132" s="45">
        <f>C132+E132+I132</f>
        <v>4102.5</v>
      </c>
      <c r="K132" s="47" t="s">
        <v>678</v>
      </c>
      <c r="L132" s="47" t="str">
        <f t="shared" si="14"/>
        <v> 2712</v>
      </c>
      <c r="M132" s="48">
        <v>2844</v>
      </c>
      <c r="N132" s="40">
        <f>M132*1.6</f>
        <v>4550.4000000000005</v>
      </c>
      <c r="O132" s="42">
        <v>7262</v>
      </c>
      <c r="P132" s="44">
        <f t="shared" ref="P132:P141" si="17">J132+O132</f>
        <v>11364.5</v>
      </c>
    </row>
    <row r="133" spans="1:21" x14ac:dyDescent="0.2">
      <c r="A133" s="43">
        <v>44409</v>
      </c>
      <c r="B133" s="39">
        <v>20</v>
      </c>
      <c r="C133" s="39">
        <f t="shared" si="9"/>
        <v>100</v>
      </c>
      <c r="D133" s="39">
        <v>682</v>
      </c>
      <c r="E133" s="39">
        <f t="shared" si="10"/>
        <v>1705</v>
      </c>
      <c r="H133" s="39">
        <v>919</v>
      </c>
      <c r="I133" s="39">
        <f t="shared" si="11"/>
        <v>2297.5</v>
      </c>
      <c r="J133" s="45">
        <f t="shared" ref="J133:J167" si="18">C133+E133+I133</f>
        <v>4102.5</v>
      </c>
      <c r="K133" s="47" t="s">
        <v>679</v>
      </c>
      <c r="L133" s="47" t="str">
        <f t="shared" si="14"/>
        <v> 3396</v>
      </c>
      <c r="M133" s="48">
        <v>3588</v>
      </c>
      <c r="N133" s="40">
        <f t="shared" si="15"/>
        <v>5740.8</v>
      </c>
      <c r="O133" s="45">
        <v>9137</v>
      </c>
      <c r="P133" s="44">
        <f t="shared" si="17"/>
        <v>13239.5</v>
      </c>
    </row>
    <row r="134" spans="1:21" x14ac:dyDescent="0.2">
      <c r="A134" s="43">
        <v>44440</v>
      </c>
      <c r="B134" s="39">
        <v>20</v>
      </c>
      <c r="C134" s="39">
        <f t="shared" ref="C134:C167" si="19">B134*5</f>
        <v>100</v>
      </c>
      <c r="D134" s="39">
        <v>682</v>
      </c>
      <c r="E134" s="39">
        <f t="shared" ref="E134:E167" si="20">D134*2.5</f>
        <v>1705</v>
      </c>
      <c r="H134" s="39">
        <v>919</v>
      </c>
      <c r="I134" s="39">
        <f t="shared" ref="I134:I167" si="21">H134*2.5</f>
        <v>2297.5</v>
      </c>
      <c r="J134" s="45">
        <f t="shared" si="18"/>
        <v>4102.5</v>
      </c>
      <c r="K134" s="47" t="s">
        <v>680</v>
      </c>
      <c r="L134" s="47" t="str">
        <f t="shared" si="14"/>
        <v> 3864</v>
      </c>
      <c r="M134" s="48">
        <v>4020</v>
      </c>
      <c r="N134" s="40">
        <f t="shared" si="15"/>
        <v>6432</v>
      </c>
      <c r="O134" s="45">
        <v>10296</v>
      </c>
      <c r="P134" s="44">
        <f t="shared" si="17"/>
        <v>14398.5</v>
      </c>
    </row>
    <row r="135" spans="1:21" x14ac:dyDescent="0.2">
      <c r="A135" s="43">
        <v>44470</v>
      </c>
      <c r="B135" s="39">
        <v>20</v>
      </c>
      <c r="C135" s="39">
        <f t="shared" si="19"/>
        <v>100</v>
      </c>
      <c r="D135" s="39">
        <v>682</v>
      </c>
      <c r="E135" s="39">
        <f t="shared" si="20"/>
        <v>1705</v>
      </c>
      <c r="H135" s="39">
        <v>919</v>
      </c>
      <c r="I135" s="39">
        <f t="shared" si="21"/>
        <v>2297.5</v>
      </c>
      <c r="J135" s="45">
        <f t="shared" si="18"/>
        <v>4102.5</v>
      </c>
      <c r="K135" s="47" t="s">
        <v>681</v>
      </c>
      <c r="L135" s="47" t="str">
        <f t="shared" si="14"/>
        <v> 5436</v>
      </c>
      <c r="M135" s="48">
        <v>4644</v>
      </c>
      <c r="N135" s="39">
        <f t="shared" si="15"/>
        <v>7430.4000000000005</v>
      </c>
      <c r="O135" s="45">
        <v>12866</v>
      </c>
      <c r="P135" s="44">
        <f t="shared" si="17"/>
        <v>16968.5</v>
      </c>
    </row>
    <row r="136" spans="1:21" x14ac:dyDescent="0.2">
      <c r="A136" s="43">
        <v>44501</v>
      </c>
      <c r="B136" s="39">
        <v>20</v>
      </c>
      <c r="C136" s="39">
        <f t="shared" si="19"/>
        <v>100</v>
      </c>
      <c r="D136" s="39">
        <v>682</v>
      </c>
      <c r="E136" s="39">
        <f t="shared" si="20"/>
        <v>1705</v>
      </c>
      <c r="H136" s="39">
        <v>919</v>
      </c>
      <c r="I136" s="39">
        <f t="shared" si="21"/>
        <v>2297.5</v>
      </c>
      <c r="J136" s="45">
        <f t="shared" si="18"/>
        <v>4102.5</v>
      </c>
      <c r="K136" s="47" t="s">
        <v>682</v>
      </c>
      <c r="L136" s="47" t="str">
        <f t="shared" si="14"/>
        <v> 4212</v>
      </c>
      <c r="M136" s="48">
        <v>4140</v>
      </c>
      <c r="N136" s="39">
        <f t="shared" si="15"/>
        <v>6624</v>
      </c>
      <c r="O136" s="45">
        <v>10836</v>
      </c>
      <c r="P136" s="44">
        <f t="shared" si="17"/>
        <v>14938.5</v>
      </c>
    </row>
    <row r="137" spans="1:21" x14ac:dyDescent="0.2">
      <c r="A137" s="43">
        <v>44531</v>
      </c>
      <c r="B137" s="39">
        <v>20</v>
      </c>
      <c r="C137" s="39">
        <f t="shared" si="19"/>
        <v>100</v>
      </c>
      <c r="D137" s="39">
        <v>682</v>
      </c>
      <c r="E137" s="39">
        <f t="shared" si="20"/>
        <v>1705</v>
      </c>
      <c r="H137" s="39">
        <v>919</v>
      </c>
      <c r="I137" s="39">
        <f t="shared" si="21"/>
        <v>2297.5</v>
      </c>
      <c r="J137" s="45">
        <f t="shared" si="18"/>
        <v>4102.5</v>
      </c>
      <c r="K137" s="47" t="s">
        <v>683</v>
      </c>
      <c r="L137" s="47" t="str">
        <f>K137</f>
        <v> 5868</v>
      </c>
      <c r="M137" s="48">
        <v>5040</v>
      </c>
      <c r="N137" s="39">
        <f t="shared" si="15"/>
        <v>8064</v>
      </c>
      <c r="O137" s="45">
        <v>13932</v>
      </c>
      <c r="P137" s="44">
        <f t="shared" si="17"/>
        <v>18034.5</v>
      </c>
    </row>
    <row r="138" spans="1:21" x14ac:dyDescent="0.2">
      <c r="A138" s="43">
        <v>44562</v>
      </c>
      <c r="B138" s="39">
        <v>20</v>
      </c>
      <c r="C138" s="39">
        <f t="shared" si="19"/>
        <v>100</v>
      </c>
      <c r="D138" s="39">
        <v>682</v>
      </c>
      <c r="E138" s="39">
        <f t="shared" si="20"/>
        <v>1705</v>
      </c>
      <c r="H138" s="39">
        <v>919</v>
      </c>
      <c r="I138" s="39">
        <f t="shared" si="21"/>
        <v>2297.5</v>
      </c>
      <c r="J138" s="45">
        <f t="shared" si="18"/>
        <v>4102.5</v>
      </c>
      <c r="K138" s="47" t="s">
        <v>684</v>
      </c>
      <c r="L138" s="47" t="str">
        <f t="shared" si="14"/>
        <v> 3852</v>
      </c>
      <c r="M138" s="48">
        <v>3350</v>
      </c>
      <c r="N138" s="39">
        <f t="shared" si="15"/>
        <v>5360</v>
      </c>
      <c r="O138" s="45">
        <v>9212</v>
      </c>
      <c r="P138" s="44">
        <f t="shared" si="17"/>
        <v>13314.5</v>
      </c>
    </row>
    <row r="139" spans="1:21" x14ac:dyDescent="0.2">
      <c r="A139" s="43">
        <v>44593</v>
      </c>
      <c r="B139" s="39">
        <v>20</v>
      </c>
      <c r="C139" s="39">
        <f t="shared" si="19"/>
        <v>100</v>
      </c>
      <c r="D139" s="39">
        <v>682</v>
      </c>
      <c r="E139" s="39">
        <f t="shared" si="20"/>
        <v>1705</v>
      </c>
      <c r="H139" s="39">
        <v>919</v>
      </c>
      <c r="I139" s="39">
        <f t="shared" si="21"/>
        <v>2297.5</v>
      </c>
      <c r="J139" s="45">
        <f t="shared" si="18"/>
        <v>4102.5</v>
      </c>
      <c r="K139" s="47" t="s">
        <v>685</v>
      </c>
      <c r="L139" s="47" t="str">
        <f t="shared" si="14"/>
        <v> 1848</v>
      </c>
      <c r="M139" s="48">
        <v>1800</v>
      </c>
      <c r="N139" s="39">
        <f t="shared" si="15"/>
        <v>2880</v>
      </c>
      <c r="O139" s="45">
        <v>4728</v>
      </c>
      <c r="P139" s="44">
        <f t="shared" si="17"/>
        <v>8830.5</v>
      </c>
    </row>
    <row r="140" spans="1:21" x14ac:dyDescent="0.2">
      <c r="A140" s="43">
        <v>44621</v>
      </c>
      <c r="B140" s="39">
        <v>20</v>
      </c>
      <c r="C140" s="39">
        <f t="shared" si="19"/>
        <v>100</v>
      </c>
      <c r="D140" s="39">
        <v>682</v>
      </c>
      <c r="E140" s="39">
        <f t="shared" si="20"/>
        <v>1705</v>
      </c>
      <c r="H140" s="39">
        <v>919</v>
      </c>
      <c r="I140" s="39">
        <f t="shared" si="21"/>
        <v>2297.5</v>
      </c>
      <c r="J140" s="45">
        <f t="shared" si="18"/>
        <v>4102.5</v>
      </c>
      <c r="K140" s="47" t="s">
        <v>686</v>
      </c>
      <c r="L140" s="47" t="str">
        <f t="shared" si="14"/>
        <v> 1800</v>
      </c>
      <c r="M140" s="48">
        <v>2412</v>
      </c>
      <c r="N140" s="39">
        <f t="shared" si="15"/>
        <v>3859.2000000000003</v>
      </c>
      <c r="O140" s="45">
        <v>5659</v>
      </c>
      <c r="P140" s="44">
        <f t="shared" si="17"/>
        <v>9761.5</v>
      </c>
    </row>
    <row r="141" spans="1:21" x14ac:dyDescent="0.2">
      <c r="A141" s="43">
        <v>44652</v>
      </c>
      <c r="B141" s="39">
        <v>20</v>
      </c>
      <c r="C141" s="39">
        <f t="shared" si="19"/>
        <v>100</v>
      </c>
      <c r="D141" s="39">
        <v>682</v>
      </c>
      <c r="E141" s="39">
        <f t="shared" si="20"/>
        <v>1705</v>
      </c>
      <c r="H141" s="39">
        <v>919</v>
      </c>
      <c r="I141" s="39">
        <f t="shared" si="21"/>
        <v>2297.5</v>
      </c>
      <c r="J141" s="45">
        <f>C141+E141+I141</f>
        <v>4102.5</v>
      </c>
      <c r="K141" s="47" t="s">
        <v>687</v>
      </c>
      <c r="L141" s="47" t="str">
        <f t="shared" si="14"/>
        <v> 2664</v>
      </c>
      <c r="M141" s="48">
        <v>2524</v>
      </c>
      <c r="N141" s="39">
        <f t="shared" si="15"/>
        <v>4038.4</v>
      </c>
      <c r="O141" s="45">
        <v>6702</v>
      </c>
      <c r="P141" s="44">
        <f t="shared" si="17"/>
        <v>10804.5</v>
      </c>
    </row>
    <row r="142" spans="1:21" x14ac:dyDescent="0.2">
      <c r="A142" s="43">
        <v>44682</v>
      </c>
      <c r="B142" s="39">
        <v>20</v>
      </c>
      <c r="C142" s="39">
        <f t="shared" si="19"/>
        <v>100</v>
      </c>
      <c r="D142" s="39">
        <v>682</v>
      </c>
      <c r="E142" s="39">
        <f t="shared" si="20"/>
        <v>1705</v>
      </c>
      <c r="H142" s="39">
        <v>919</v>
      </c>
      <c r="I142" s="39">
        <f t="shared" si="21"/>
        <v>2297.5</v>
      </c>
      <c r="J142" s="45">
        <f>C142+E142+I142</f>
        <v>4102.5</v>
      </c>
      <c r="K142" s="47" t="s">
        <v>688</v>
      </c>
      <c r="L142" s="47" t="str">
        <f t="shared" si="14"/>
        <v> 3096</v>
      </c>
      <c r="M142" s="48">
        <v>2928</v>
      </c>
      <c r="N142" s="39">
        <f t="shared" si="15"/>
        <v>4684.8</v>
      </c>
      <c r="O142" s="45">
        <v>7780</v>
      </c>
      <c r="P142" s="44">
        <f>J142+O142</f>
        <v>11882.5</v>
      </c>
    </row>
    <row r="143" spans="1:21" x14ac:dyDescent="0.2">
      <c r="A143" s="43">
        <v>44713</v>
      </c>
      <c r="B143" s="39">
        <v>30</v>
      </c>
      <c r="C143" s="39">
        <f t="shared" si="19"/>
        <v>150</v>
      </c>
      <c r="D143" s="39">
        <v>684</v>
      </c>
      <c r="E143" s="39">
        <f t="shared" si="20"/>
        <v>1710</v>
      </c>
      <c r="H143" s="39">
        <v>923</v>
      </c>
      <c r="I143" s="39">
        <f t="shared" si="21"/>
        <v>2307.5</v>
      </c>
      <c r="J143" s="45">
        <f t="shared" si="18"/>
        <v>4167.5</v>
      </c>
      <c r="K143" s="47" t="s">
        <v>689</v>
      </c>
      <c r="L143" s="47" t="str">
        <f t="shared" si="14"/>
        <v> 3876</v>
      </c>
      <c r="M143" s="48">
        <v>3360</v>
      </c>
      <c r="N143" s="39">
        <f t="shared" si="15"/>
        <v>5376</v>
      </c>
      <c r="O143" s="45">
        <v>9252</v>
      </c>
      <c r="P143" s="44">
        <f>J143+O143</f>
        <v>13419.5</v>
      </c>
      <c r="R143" s="31" t="s">
        <v>690</v>
      </c>
      <c r="S143" s="31" t="s">
        <v>691</v>
      </c>
      <c r="T143" s="31" t="s">
        <v>692</v>
      </c>
      <c r="U143" s="31" t="s">
        <v>693</v>
      </c>
    </row>
    <row r="144" spans="1:21" x14ac:dyDescent="0.2">
      <c r="A144" s="43">
        <v>44743</v>
      </c>
      <c r="B144" s="39">
        <v>36</v>
      </c>
      <c r="C144" s="39">
        <f t="shared" si="19"/>
        <v>180</v>
      </c>
      <c r="D144" s="39">
        <v>1291</v>
      </c>
      <c r="E144" s="39">
        <f t="shared" si="20"/>
        <v>3227.5</v>
      </c>
      <c r="H144" s="39">
        <v>367</v>
      </c>
      <c r="I144" s="39">
        <f t="shared" si="21"/>
        <v>917.5</v>
      </c>
      <c r="J144" s="45">
        <f t="shared" si="18"/>
        <v>4325</v>
      </c>
      <c r="K144" s="39">
        <v>2592</v>
      </c>
      <c r="L144" s="47">
        <f t="shared" si="14"/>
        <v>2592</v>
      </c>
      <c r="M144" s="39">
        <v>1920</v>
      </c>
      <c r="N144" s="39">
        <f t="shared" si="15"/>
        <v>3072</v>
      </c>
      <c r="O144" s="45">
        <f>L144+N144</f>
        <v>5664</v>
      </c>
      <c r="P144" s="44">
        <f t="shared" ref="P144:P154" si="22">J144+O144</f>
        <v>9989</v>
      </c>
    </row>
    <row r="145" spans="1:18" x14ac:dyDescent="0.2">
      <c r="A145" s="43">
        <v>44774</v>
      </c>
      <c r="B145" s="39">
        <v>36</v>
      </c>
      <c r="C145" s="39">
        <f t="shared" si="19"/>
        <v>180</v>
      </c>
      <c r="D145" s="39">
        <v>1291</v>
      </c>
      <c r="E145" s="39">
        <f t="shared" si="20"/>
        <v>3227.5</v>
      </c>
      <c r="H145" s="39">
        <v>367</v>
      </c>
      <c r="I145" s="39">
        <f t="shared" si="21"/>
        <v>917.5</v>
      </c>
      <c r="J145" s="45">
        <f t="shared" si="18"/>
        <v>4325</v>
      </c>
      <c r="K145" s="39">
        <v>2796</v>
      </c>
      <c r="L145" s="47">
        <f t="shared" si="14"/>
        <v>2796</v>
      </c>
      <c r="M145" s="39">
        <v>4152</v>
      </c>
      <c r="N145" s="39">
        <f t="shared" si="15"/>
        <v>6643.2000000000007</v>
      </c>
      <c r="O145" s="49">
        <f t="shared" ref="O145:O179" si="23">L145+N145</f>
        <v>9439.2000000000007</v>
      </c>
      <c r="P145" s="44">
        <f t="shared" si="22"/>
        <v>13764.2</v>
      </c>
    </row>
    <row r="146" spans="1:18" x14ac:dyDescent="0.2">
      <c r="A146" s="43">
        <v>44805</v>
      </c>
      <c r="B146" s="39">
        <v>36</v>
      </c>
      <c r="C146" s="39">
        <f t="shared" si="19"/>
        <v>180</v>
      </c>
      <c r="D146" s="39">
        <v>1291</v>
      </c>
      <c r="E146" s="39">
        <f t="shared" si="20"/>
        <v>3227.5</v>
      </c>
      <c r="H146" s="39">
        <v>367</v>
      </c>
      <c r="I146" s="39">
        <f t="shared" si="21"/>
        <v>917.5</v>
      </c>
      <c r="J146" s="45">
        <f t="shared" si="18"/>
        <v>4325</v>
      </c>
      <c r="K146" s="39">
        <v>5676</v>
      </c>
      <c r="L146" s="47">
        <f t="shared" si="14"/>
        <v>5676</v>
      </c>
      <c r="M146" s="39">
        <v>4992</v>
      </c>
      <c r="N146" s="39">
        <f t="shared" si="15"/>
        <v>7987.2000000000007</v>
      </c>
      <c r="O146" s="49">
        <f t="shared" si="23"/>
        <v>13663.2</v>
      </c>
      <c r="P146" s="44">
        <f t="shared" si="22"/>
        <v>17988.2</v>
      </c>
    </row>
    <row r="147" spans="1:18" x14ac:dyDescent="0.2">
      <c r="A147" s="43">
        <v>44835</v>
      </c>
      <c r="B147" s="39">
        <v>36</v>
      </c>
      <c r="C147" s="39">
        <f t="shared" si="19"/>
        <v>180</v>
      </c>
      <c r="D147" s="39">
        <v>1291</v>
      </c>
      <c r="E147" s="39">
        <f t="shared" si="20"/>
        <v>3227.5</v>
      </c>
      <c r="H147" s="39">
        <v>367</v>
      </c>
      <c r="I147" s="39">
        <f t="shared" si="21"/>
        <v>917.5</v>
      </c>
      <c r="J147" s="45">
        <f t="shared" si="18"/>
        <v>4325</v>
      </c>
      <c r="K147" s="39">
        <v>5652</v>
      </c>
      <c r="L147" s="47">
        <f t="shared" si="14"/>
        <v>5652</v>
      </c>
      <c r="M147" s="39">
        <v>5004</v>
      </c>
      <c r="N147" s="39">
        <f t="shared" si="15"/>
        <v>8006.4000000000005</v>
      </c>
      <c r="O147" s="49">
        <f t="shared" si="23"/>
        <v>13658.400000000001</v>
      </c>
      <c r="P147" s="44">
        <f t="shared" si="22"/>
        <v>17983.400000000001</v>
      </c>
    </row>
    <row r="148" spans="1:18" x14ac:dyDescent="0.2">
      <c r="A148" s="43">
        <v>44866</v>
      </c>
      <c r="B148" s="39">
        <v>36</v>
      </c>
      <c r="C148" s="39">
        <f t="shared" si="19"/>
        <v>180</v>
      </c>
      <c r="D148" s="39">
        <v>1291</v>
      </c>
      <c r="E148" s="39">
        <f t="shared" si="20"/>
        <v>3227.5</v>
      </c>
      <c r="H148" s="39">
        <v>367</v>
      </c>
      <c r="I148" s="39">
        <f t="shared" si="21"/>
        <v>917.5</v>
      </c>
      <c r="J148" s="45">
        <f t="shared" si="18"/>
        <v>4325</v>
      </c>
      <c r="K148" s="39">
        <v>5196</v>
      </c>
      <c r="L148" s="47">
        <f t="shared" si="14"/>
        <v>5196</v>
      </c>
      <c r="M148" s="39">
        <v>5496</v>
      </c>
      <c r="N148" s="39">
        <f t="shared" si="15"/>
        <v>8793.6</v>
      </c>
      <c r="O148" s="49">
        <f t="shared" si="23"/>
        <v>13989.6</v>
      </c>
      <c r="P148" s="44">
        <f t="shared" si="22"/>
        <v>18314.599999999999</v>
      </c>
    </row>
    <row r="149" spans="1:18" x14ac:dyDescent="0.2">
      <c r="A149" s="43">
        <v>44896</v>
      </c>
      <c r="B149" s="39">
        <v>36</v>
      </c>
      <c r="C149" s="39">
        <f t="shared" si="19"/>
        <v>180</v>
      </c>
      <c r="D149" s="39">
        <v>1291</v>
      </c>
      <c r="E149" s="39">
        <f t="shared" si="20"/>
        <v>3227.5</v>
      </c>
      <c r="H149" s="39">
        <v>367</v>
      </c>
      <c r="I149" s="39">
        <f t="shared" si="21"/>
        <v>917.5</v>
      </c>
      <c r="J149" s="45">
        <f t="shared" si="18"/>
        <v>4325</v>
      </c>
      <c r="K149" s="39">
        <v>5688</v>
      </c>
      <c r="L149" s="47">
        <f t="shared" si="14"/>
        <v>5688</v>
      </c>
      <c r="M149" s="39">
        <v>3978</v>
      </c>
      <c r="N149" s="39">
        <f t="shared" si="15"/>
        <v>6364.8</v>
      </c>
      <c r="O149" s="49">
        <f t="shared" si="23"/>
        <v>12052.8</v>
      </c>
      <c r="P149" s="44">
        <f>J149+O149</f>
        <v>16377.8</v>
      </c>
    </row>
    <row r="150" spans="1:18" x14ac:dyDescent="0.2">
      <c r="A150" s="43">
        <v>44927</v>
      </c>
      <c r="B150" s="39">
        <v>36</v>
      </c>
      <c r="C150" s="39">
        <f t="shared" si="19"/>
        <v>180</v>
      </c>
      <c r="D150" s="39">
        <v>1291</v>
      </c>
      <c r="E150" s="39">
        <f t="shared" si="20"/>
        <v>3227.5</v>
      </c>
      <c r="H150" s="39">
        <v>367</v>
      </c>
      <c r="I150" s="39">
        <f t="shared" si="21"/>
        <v>917.5</v>
      </c>
      <c r="J150" s="45">
        <f t="shared" si="18"/>
        <v>4325</v>
      </c>
      <c r="K150" s="39">
        <v>3756</v>
      </c>
      <c r="L150" s="47">
        <f t="shared" si="14"/>
        <v>3756</v>
      </c>
      <c r="M150" s="39">
        <v>2520</v>
      </c>
      <c r="N150" s="39">
        <f t="shared" si="15"/>
        <v>4032</v>
      </c>
      <c r="O150" s="49">
        <f t="shared" si="23"/>
        <v>7788</v>
      </c>
      <c r="P150" s="44">
        <f t="shared" si="22"/>
        <v>12113</v>
      </c>
    </row>
    <row r="151" spans="1:18" x14ac:dyDescent="0.2">
      <c r="A151" s="43">
        <v>44958</v>
      </c>
      <c r="B151" s="39">
        <v>36</v>
      </c>
      <c r="C151" s="39">
        <f t="shared" si="19"/>
        <v>180</v>
      </c>
      <c r="D151" s="39">
        <v>1291</v>
      </c>
      <c r="E151" s="39">
        <f t="shared" si="20"/>
        <v>3227.5</v>
      </c>
      <c r="H151" s="39">
        <v>367</v>
      </c>
      <c r="I151" s="39">
        <f t="shared" si="21"/>
        <v>917.5</v>
      </c>
      <c r="J151" s="45">
        <f t="shared" si="18"/>
        <v>4325</v>
      </c>
      <c r="K151" s="39">
        <v>3132</v>
      </c>
      <c r="L151" s="47">
        <f t="shared" si="14"/>
        <v>3132</v>
      </c>
      <c r="M151" s="39">
        <v>3556</v>
      </c>
      <c r="N151" s="39">
        <f t="shared" si="15"/>
        <v>5689.6</v>
      </c>
      <c r="O151" s="49">
        <f t="shared" si="23"/>
        <v>8821.6</v>
      </c>
      <c r="P151" s="44">
        <f t="shared" si="22"/>
        <v>13146.6</v>
      </c>
    </row>
    <row r="152" spans="1:18" x14ac:dyDescent="0.2">
      <c r="A152" s="43">
        <v>44986</v>
      </c>
      <c r="B152" s="39">
        <v>36</v>
      </c>
      <c r="C152" s="39">
        <f>B152*5</f>
        <v>180</v>
      </c>
      <c r="D152" s="39">
        <v>1291</v>
      </c>
      <c r="E152" s="39">
        <f t="shared" si="20"/>
        <v>3227.5</v>
      </c>
      <c r="H152" s="39">
        <v>367</v>
      </c>
      <c r="I152" s="39">
        <f t="shared" si="21"/>
        <v>917.5</v>
      </c>
      <c r="J152" s="45">
        <f t="shared" si="18"/>
        <v>4325</v>
      </c>
      <c r="K152" s="39">
        <v>6020</v>
      </c>
      <c r="L152" s="47">
        <f t="shared" si="14"/>
        <v>6020</v>
      </c>
      <c r="M152" s="39">
        <v>4716</v>
      </c>
      <c r="N152" s="39">
        <f t="shared" si="15"/>
        <v>7545.6</v>
      </c>
      <c r="O152" s="49">
        <f t="shared" si="23"/>
        <v>13565.6</v>
      </c>
      <c r="P152" s="44">
        <f t="shared" si="22"/>
        <v>17890.599999999999</v>
      </c>
    </row>
    <row r="153" spans="1:18" x14ac:dyDescent="0.2">
      <c r="A153" s="43">
        <v>45017</v>
      </c>
      <c r="B153" s="39">
        <v>36</v>
      </c>
      <c r="C153" s="39">
        <f t="shared" si="19"/>
        <v>180</v>
      </c>
      <c r="D153" s="39">
        <v>1291</v>
      </c>
      <c r="E153" s="39">
        <f t="shared" si="20"/>
        <v>3227.5</v>
      </c>
      <c r="H153" s="39">
        <v>367</v>
      </c>
      <c r="I153" s="39">
        <f t="shared" si="21"/>
        <v>917.5</v>
      </c>
      <c r="J153" s="45">
        <f t="shared" si="18"/>
        <v>4325</v>
      </c>
      <c r="K153" s="39">
        <v>4512</v>
      </c>
      <c r="L153" s="47">
        <f t="shared" si="14"/>
        <v>4512</v>
      </c>
      <c r="M153" s="39">
        <v>3912</v>
      </c>
      <c r="N153" s="39">
        <f t="shared" si="15"/>
        <v>6259.2000000000007</v>
      </c>
      <c r="O153" s="49">
        <f t="shared" si="23"/>
        <v>10771.2</v>
      </c>
      <c r="P153" s="44">
        <f t="shared" si="22"/>
        <v>15096.2</v>
      </c>
    </row>
    <row r="154" spans="1:18" x14ac:dyDescent="0.2">
      <c r="A154" s="43">
        <v>45047</v>
      </c>
      <c r="B154" s="39">
        <v>36</v>
      </c>
      <c r="C154" s="39">
        <f t="shared" si="19"/>
        <v>180</v>
      </c>
      <c r="D154" s="39">
        <v>1291</v>
      </c>
      <c r="E154" s="39">
        <f t="shared" si="20"/>
        <v>3227.5</v>
      </c>
      <c r="H154" s="39">
        <v>367</v>
      </c>
      <c r="I154" s="39">
        <f t="shared" si="21"/>
        <v>917.5</v>
      </c>
      <c r="J154" s="45">
        <f t="shared" si="18"/>
        <v>4325</v>
      </c>
      <c r="K154" s="39">
        <v>4464</v>
      </c>
      <c r="L154" s="47">
        <f t="shared" si="14"/>
        <v>4464</v>
      </c>
      <c r="M154" s="39">
        <v>4044</v>
      </c>
      <c r="N154" s="39">
        <f t="shared" si="15"/>
        <v>6470.4000000000005</v>
      </c>
      <c r="O154" s="49">
        <f t="shared" si="23"/>
        <v>10934.400000000001</v>
      </c>
      <c r="P154" s="44">
        <f t="shared" si="22"/>
        <v>15259.400000000001</v>
      </c>
      <c r="Q154" s="46">
        <f>SUM(B48:B59)+SUM(D48:D59)+SUM(H48:H59)</f>
        <v>39880</v>
      </c>
    </row>
    <row r="155" spans="1:18" x14ac:dyDescent="0.2">
      <c r="A155" s="43">
        <v>45078</v>
      </c>
      <c r="B155" s="39">
        <v>38</v>
      </c>
      <c r="C155" s="39">
        <f t="shared" si="19"/>
        <v>190</v>
      </c>
      <c r="D155" s="39">
        <v>1295</v>
      </c>
      <c r="E155" s="39">
        <f t="shared" si="20"/>
        <v>3237.5</v>
      </c>
      <c r="H155" s="39">
        <v>371</v>
      </c>
      <c r="I155" s="39">
        <f t="shared" si="21"/>
        <v>927.5</v>
      </c>
      <c r="J155" s="45">
        <f>C155+E155+I155</f>
        <v>4355</v>
      </c>
      <c r="K155" s="39">
        <v>4920</v>
      </c>
      <c r="L155" s="47">
        <f t="shared" si="14"/>
        <v>4920</v>
      </c>
      <c r="M155" s="39">
        <v>4148</v>
      </c>
      <c r="N155" s="39">
        <f t="shared" si="15"/>
        <v>6636.8</v>
      </c>
      <c r="O155" s="49">
        <f t="shared" si="23"/>
        <v>11556.8</v>
      </c>
      <c r="P155" s="44">
        <f>J155+O155</f>
        <v>15911.8</v>
      </c>
      <c r="Q155" s="31">
        <v>20338</v>
      </c>
    </row>
    <row r="156" spans="1:18" x14ac:dyDescent="0.2">
      <c r="A156" s="43">
        <v>45108</v>
      </c>
      <c r="B156" s="39">
        <v>22</v>
      </c>
      <c r="C156" s="39">
        <f t="shared" si="19"/>
        <v>110</v>
      </c>
      <c r="D156" s="39">
        <v>615</v>
      </c>
      <c r="E156" s="39">
        <f t="shared" si="20"/>
        <v>1537.5</v>
      </c>
      <c r="F156" s="39">
        <v>0</v>
      </c>
      <c r="G156" s="39">
        <f>F156*5</f>
        <v>0</v>
      </c>
      <c r="H156" s="39">
        <v>195</v>
      </c>
      <c r="I156" s="39">
        <f t="shared" si="21"/>
        <v>487.5</v>
      </c>
      <c r="J156" s="45">
        <f t="shared" si="18"/>
        <v>2135</v>
      </c>
      <c r="K156" s="39">
        <v>4203</v>
      </c>
      <c r="L156" s="47">
        <f>K156</f>
        <v>4203</v>
      </c>
      <c r="M156" s="39">
        <v>3528</v>
      </c>
      <c r="N156" s="39">
        <f t="shared" si="15"/>
        <v>5644.8</v>
      </c>
      <c r="O156" s="49">
        <f t="shared" si="23"/>
        <v>9847.7999999999993</v>
      </c>
      <c r="P156" s="44">
        <f t="shared" ref="P156:P179" si="24">J156+O156</f>
        <v>11982.8</v>
      </c>
      <c r="Q156" s="31">
        <f>SUM(B156:B167)+SUM(D156:D167)+SUM(H156:H167)</f>
        <v>13799</v>
      </c>
      <c r="R156" s="46">
        <f>(Q156-Q155)/Q155*100</f>
        <v>-32.151637329137571</v>
      </c>
    </row>
    <row r="157" spans="1:18" x14ac:dyDescent="0.2">
      <c r="A157" s="43">
        <v>45139</v>
      </c>
      <c r="B157" s="39">
        <v>27</v>
      </c>
      <c r="C157" s="39">
        <f t="shared" si="19"/>
        <v>135</v>
      </c>
      <c r="D157" s="39">
        <v>616</v>
      </c>
      <c r="E157" s="39">
        <f t="shared" si="20"/>
        <v>1540</v>
      </c>
      <c r="F157" s="39">
        <v>5</v>
      </c>
      <c r="G157" s="39">
        <f t="shared" ref="G157:G167" si="25">F157*5</f>
        <v>25</v>
      </c>
      <c r="H157" s="39">
        <f>575-5</f>
        <v>570</v>
      </c>
      <c r="I157" s="39">
        <f t="shared" si="21"/>
        <v>1425</v>
      </c>
      <c r="J157" s="45">
        <f t="shared" si="18"/>
        <v>3100</v>
      </c>
      <c r="K157" s="39">
        <v>4203</v>
      </c>
      <c r="L157" s="47">
        <f t="shared" si="14"/>
        <v>4203</v>
      </c>
      <c r="M157" s="39">
        <v>3528</v>
      </c>
      <c r="N157" s="39">
        <f t="shared" si="15"/>
        <v>5644.8</v>
      </c>
      <c r="O157" s="49">
        <f t="shared" si="23"/>
        <v>9847.7999999999993</v>
      </c>
      <c r="P157" s="44">
        <f t="shared" si="24"/>
        <v>12947.8</v>
      </c>
    </row>
    <row r="158" spans="1:18" x14ac:dyDescent="0.2">
      <c r="A158" s="43">
        <v>45170</v>
      </c>
      <c r="B158" s="39">
        <v>12</v>
      </c>
      <c r="C158" s="39">
        <f t="shared" si="19"/>
        <v>60</v>
      </c>
      <c r="D158" s="39">
        <v>530</v>
      </c>
      <c r="E158" s="39">
        <f t="shared" si="20"/>
        <v>1325</v>
      </c>
      <c r="F158" s="39">
        <v>5</v>
      </c>
      <c r="G158" s="39">
        <f t="shared" si="25"/>
        <v>25</v>
      </c>
      <c r="H158" s="39">
        <f>360-5</f>
        <v>355</v>
      </c>
      <c r="I158" s="39">
        <f t="shared" si="21"/>
        <v>887.5</v>
      </c>
      <c r="J158" s="45">
        <f t="shared" si="18"/>
        <v>2272.5</v>
      </c>
      <c r="K158" s="39">
        <v>4203</v>
      </c>
      <c r="L158" s="47">
        <f t="shared" si="14"/>
        <v>4203</v>
      </c>
      <c r="M158" s="39">
        <v>3528</v>
      </c>
      <c r="N158" s="39">
        <f t="shared" si="15"/>
        <v>5644.8</v>
      </c>
      <c r="O158" s="49">
        <f t="shared" si="23"/>
        <v>9847.7999999999993</v>
      </c>
      <c r="P158" s="44">
        <f t="shared" si="24"/>
        <v>12120.3</v>
      </c>
    </row>
    <row r="159" spans="1:18" x14ac:dyDescent="0.2">
      <c r="A159" s="43">
        <v>45200</v>
      </c>
      <c r="B159" s="39">
        <v>19</v>
      </c>
      <c r="C159" s="39">
        <f t="shared" si="19"/>
        <v>95</v>
      </c>
      <c r="D159" s="39">
        <v>700</v>
      </c>
      <c r="E159" s="39">
        <f t="shared" si="20"/>
        <v>1750</v>
      </c>
      <c r="F159" s="39">
        <v>5</v>
      </c>
      <c r="G159" s="39">
        <f t="shared" si="25"/>
        <v>25</v>
      </c>
      <c r="H159" s="39">
        <f>310-5</f>
        <v>305</v>
      </c>
      <c r="I159" s="39">
        <f t="shared" si="21"/>
        <v>762.5</v>
      </c>
      <c r="J159" s="45">
        <f t="shared" si="18"/>
        <v>2607.5</v>
      </c>
      <c r="K159" s="39">
        <v>4203</v>
      </c>
      <c r="L159" s="47">
        <f>K159</f>
        <v>4203</v>
      </c>
      <c r="M159" s="39">
        <v>3528</v>
      </c>
      <c r="N159" s="39">
        <f t="shared" si="15"/>
        <v>5644.8</v>
      </c>
      <c r="O159" s="49">
        <f t="shared" si="23"/>
        <v>9847.7999999999993</v>
      </c>
      <c r="P159" s="44">
        <f t="shared" si="24"/>
        <v>12455.3</v>
      </c>
      <c r="Q159" s="335"/>
    </row>
    <row r="160" spans="1:18" x14ac:dyDescent="0.2">
      <c r="A160" s="43">
        <v>45231</v>
      </c>
      <c r="B160" s="39">
        <v>6</v>
      </c>
      <c r="C160" s="39">
        <f t="shared" si="19"/>
        <v>30</v>
      </c>
      <c r="D160" s="39">
        <v>866</v>
      </c>
      <c r="E160" s="39">
        <f t="shared" si="20"/>
        <v>2165</v>
      </c>
      <c r="G160" s="39">
        <f t="shared" si="25"/>
        <v>0</v>
      </c>
      <c r="H160" s="39">
        <v>155</v>
      </c>
      <c r="I160" s="39">
        <f t="shared" si="21"/>
        <v>387.5</v>
      </c>
      <c r="J160" s="45">
        <f t="shared" si="18"/>
        <v>2582.5</v>
      </c>
      <c r="K160" s="39">
        <v>6936</v>
      </c>
      <c r="L160" s="47">
        <f t="shared" si="14"/>
        <v>6936</v>
      </c>
      <c r="M160" s="39">
        <v>5844</v>
      </c>
      <c r="N160" s="39">
        <f t="shared" si="15"/>
        <v>9350.4</v>
      </c>
      <c r="O160" s="49">
        <f t="shared" si="23"/>
        <v>16286.4</v>
      </c>
      <c r="P160" s="44">
        <f t="shared" si="24"/>
        <v>18868.900000000001</v>
      </c>
      <c r="Q160" s="46"/>
    </row>
    <row r="161" spans="1:18" x14ac:dyDescent="0.2">
      <c r="A161" s="43">
        <v>45261</v>
      </c>
      <c r="B161" s="39">
        <v>9</v>
      </c>
      <c r="C161" s="39">
        <f t="shared" si="19"/>
        <v>45</v>
      </c>
      <c r="D161" s="39">
        <v>815</v>
      </c>
      <c r="E161" s="39">
        <f t="shared" si="20"/>
        <v>2037.5</v>
      </c>
      <c r="G161" s="39">
        <f t="shared" si="25"/>
        <v>0</v>
      </c>
      <c r="H161" s="39">
        <v>825</v>
      </c>
      <c r="I161" s="39">
        <f t="shared" si="21"/>
        <v>2062.5</v>
      </c>
      <c r="J161" s="45">
        <f t="shared" si="18"/>
        <v>4145</v>
      </c>
      <c r="K161" s="39">
        <v>5220</v>
      </c>
      <c r="L161" s="47">
        <f t="shared" si="14"/>
        <v>5220</v>
      </c>
      <c r="M161" s="39">
        <v>4068</v>
      </c>
      <c r="N161" s="39">
        <f t="shared" si="15"/>
        <v>6508.8</v>
      </c>
      <c r="O161" s="49">
        <f t="shared" si="23"/>
        <v>11728.8</v>
      </c>
      <c r="P161" s="44">
        <f t="shared" si="24"/>
        <v>15873.8</v>
      </c>
    </row>
    <row r="162" spans="1:18" x14ac:dyDescent="0.2">
      <c r="A162" s="43">
        <v>45292</v>
      </c>
      <c r="B162" s="39">
        <v>80</v>
      </c>
      <c r="C162" s="39">
        <f t="shared" si="19"/>
        <v>400</v>
      </c>
      <c r="D162" s="39">
        <v>610</v>
      </c>
      <c r="E162" s="39">
        <f t="shared" si="20"/>
        <v>1525</v>
      </c>
      <c r="G162" s="39">
        <f t="shared" si="25"/>
        <v>0</v>
      </c>
      <c r="H162" s="39">
        <v>420</v>
      </c>
      <c r="I162" s="39">
        <f t="shared" si="21"/>
        <v>1050</v>
      </c>
      <c r="J162" s="45">
        <f t="shared" si="18"/>
        <v>2975</v>
      </c>
      <c r="K162" s="39">
        <v>4608</v>
      </c>
      <c r="L162" s="47">
        <f t="shared" si="14"/>
        <v>4608</v>
      </c>
      <c r="M162" s="39">
        <v>3576</v>
      </c>
      <c r="N162" s="39">
        <f t="shared" si="15"/>
        <v>5721.6</v>
      </c>
      <c r="O162" s="49">
        <f t="shared" si="23"/>
        <v>10329.6</v>
      </c>
      <c r="P162" s="44">
        <f t="shared" si="24"/>
        <v>13304.6</v>
      </c>
      <c r="R162" s="31" t="s">
        <v>694</v>
      </c>
    </row>
    <row r="163" spans="1:18" x14ac:dyDescent="0.2">
      <c r="A163" s="43">
        <v>45323</v>
      </c>
      <c r="B163" s="39">
        <v>25</v>
      </c>
      <c r="C163" s="39">
        <f t="shared" si="19"/>
        <v>125</v>
      </c>
      <c r="D163" s="39">
        <v>610</v>
      </c>
      <c r="E163" s="39">
        <f t="shared" si="20"/>
        <v>1525</v>
      </c>
      <c r="G163" s="39">
        <f t="shared" si="25"/>
        <v>0</v>
      </c>
      <c r="H163" s="39">
        <v>635</v>
      </c>
      <c r="I163" s="39">
        <f t="shared" si="21"/>
        <v>1587.5</v>
      </c>
      <c r="J163" s="45">
        <f t="shared" si="18"/>
        <v>3237.5</v>
      </c>
      <c r="K163" s="39">
        <v>3912</v>
      </c>
      <c r="L163" s="47">
        <f t="shared" si="14"/>
        <v>3912</v>
      </c>
      <c r="M163" s="39">
        <v>3684</v>
      </c>
      <c r="N163" s="39">
        <f t="shared" si="15"/>
        <v>5894.4000000000005</v>
      </c>
      <c r="O163" s="49">
        <f t="shared" si="23"/>
        <v>9806.4000000000015</v>
      </c>
      <c r="P163" s="44">
        <f>J163+O163</f>
        <v>13043.900000000001</v>
      </c>
      <c r="R163" s="31" t="s">
        <v>695</v>
      </c>
    </row>
    <row r="164" spans="1:18" x14ac:dyDescent="0.2">
      <c r="A164" s="43">
        <v>45352</v>
      </c>
      <c r="B164" s="39">
        <v>51</v>
      </c>
      <c r="C164" s="39">
        <f t="shared" si="19"/>
        <v>255</v>
      </c>
      <c r="D164" s="39">
        <v>530</v>
      </c>
      <c r="E164" s="39">
        <f t="shared" si="20"/>
        <v>1325</v>
      </c>
      <c r="G164" s="39">
        <f t="shared" si="25"/>
        <v>0</v>
      </c>
      <c r="H164" s="39">
        <v>725</v>
      </c>
      <c r="I164" s="39">
        <f t="shared" si="21"/>
        <v>1812.5</v>
      </c>
      <c r="J164" s="45">
        <f t="shared" si="18"/>
        <v>3392.5</v>
      </c>
      <c r="K164" s="39">
        <v>5320</v>
      </c>
      <c r="L164" s="39">
        <f t="shared" si="14"/>
        <v>5320</v>
      </c>
      <c r="M164" s="39">
        <v>4644</v>
      </c>
      <c r="N164" s="39">
        <f t="shared" si="15"/>
        <v>7430.4000000000005</v>
      </c>
      <c r="O164" s="45">
        <f t="shared" si="23"/>
        <v>12750.400000000001</v>
      </c>
      <c r="P164" s="44">
        <f>J164+O164</f>
        <v>16142.900000000001</v>
      </c>
    </row>
    <row r="165" spans="1:18" x14ac:dyDescent="0.2">
      <c r="A165" s="43">
        <v>45383</v>
      </c>
      <c r="B165" s="39">
        <v>7</v>
      </c>
      <c r="C165" s="39">
        <f t="shared" si="19"/>
        <v>35</v>
      </c>
      <c r="D165" s="39">
        <v>485</v>
      </c>
      <c r="E165" s="39">
        <f t="shared" si="20"/>
        <v>1212.5</v>
      </c>
      <c r="G165" s="39">
        <f t="shared" si="25"/>
        <v>0</v>
      </c>
      <c r="H165" s="39">
        <v>295</v>
      </c>
      <c r="I165" s="39">
        <f t="shared" si="21"/>
        <v>737.5</v>
      </c>
      <c r="J165" s="45">
        <f t="shared" si="18"/>
        <v>1985</v>
      </c>
      <c r="K165" s="39">
        <v>4872</v>
      </c>
      <c r="L165" s="39">
        <v>4344</v>
      </c>
      <c r="M165" s="39">
        <v>4344</v>
      </c>
      <c r="N165" s="39">
        <f t="shared" si="15"/>
        <v>6950.4000000000005</v>
      </c>
      <c r="O165" s="45">
        <f t="shared" si="23"/>
        <v>11294.400000000001</v>
      </c>
      <c r="P165" s="44">
        <f t="shared" si="24"/>
        <v>13279.400000000001</v>
      </c>
    </row>
    <row r="166" spans="1:18" x14ac:dyDescent="0.2">
      <c r="A166" s="43">
        <v>45413</v>
      </c>
      <c r="B166" s="39">
        <v>19</v>
      </c>
      <c r="C166" s="39">
        <f t="shared" si="19"/>
        <v>95</v>
      </c>
      <c r="D166" s="39">
        <v>1060</v>
      </c>
      <c r="E166" s="39">
        <f t="shared" si="20"/>
        <v>2650</v>
      </c>
      <c r="G166" s="39">
        <f t="shared" si="25"/>
        <v>0</v>
      </c>
      <c r="H166" s="39">
        <v>770</v>
      </c>
      <c r="I166" s="39">
        <f t="shared" si="21"/>
        <v>1925</v>
      </c>
      <c r="J166" s="45">
        <f t="shared" si="18"/>
        <v>4670</v>
      </c>
      <c r="K166" s="39">
        <v>6156</v>
      </c>
      <c r="L166" s="39">
        <f t="shared" ref="L166:L179" si="26">K166</f>
        <v>6156</v>
      </c>
      <c r="M166" s="39">
        <v>5124</v>
      </c>
      <c r="N166" s="39">
        <f t="shared" ref="N166:N178" si="27">M166*1.6</f>
        <v>8198.4</v>
      </c>
      <c r="O166" s="45">
        <f t="shared" si="23"/>
        <v>14354.4</v>
      </c>
      <c r="P166" s="44">
        <f t="shared" si="24"/>
        <v>19024.400000000001</v>
      </c>
    </row>
    <row r="167" spans="1:18" x14ac:dyDescent="0.2">
      <c r="A167" s="43">
        <v>45444</v>
      </c>
      <c r="B167" s="39">
        <v>30</v>
      </c>
      <c r="C167" s="39">
        <f t="shared" si="19"/>
        <v>150</v>
      </c>
      <c r="D167" s="39">
        <v>675</v>
      </c>
      <c r="E167" s="39">
        <f t="shared" si="20"/>
        <v>1687.5</v>
      </c>
      <c r="G167" s="39">
        <f t="shared" si="25"/>
        <v>0</v>
      </c>
      <c r="H167" s="39">
        <v>130</v>
      </c>
      <c r="I167" s="39">
        <f t="shared" si="21"/>
        <v>325</v>
      </c>
      <c r="J167" s="45">
        <f t="shared" si="18"/>
        <v>2162.5</v>
      </c>
      <c r="K167" s="39">
        <v>3264</v>
      </c>
      <c r="L167" s="39">
        <f t="shared" si="26"/>
        <v>3264</v>
      </c>
      <c r="M167" s="39">
        <v>2544</v>
      </c>
      <c r="N167" s="39">
        <f t="shared" si="27"/>
        <v>4070.4</v>
      </c>
      <c r="O167" s="45">
        <f t="shared" si="23"/>
        <v>7334.4</v>
      </c>
      <c r="P167" s="44">
        <f t="shared" si="24"/>
        <v>9496.9</v>
      </c>
    </row>
    <row r="168" spans="1:18" x14ac:dyDescent="0.2">
      <c r="A168" s="43">
        <v>45474</v>
      </c>
      <c r="B168" s="39">
        <v>0</v>
      </c>
      <c r="C168" s="39">
        <f t="shared" ref="C168:C177" si="28">B168*5</f>
        <v>0</v>
      </c>
      <c r="D168" s="39">
        <f>340+30</f>
        <v>370</v>
      </c>
      <c r="E168" s="39">
        <f t="shared" ref="E168:E179" si="29">D168*2.5</f>
        <v>925</v>
      </c>
      <c r="G168" s="39">
        <f t="shared" ref="G168:G179" si="30">F168*5</f>
        <v>0</v>
      </c>
      <c r="H168" s="39">
        <v>205</v>
      </c>
      <c r="I168" s="39">
        <f t="shared" ref="I168:I179" si="31">H168*2.5</f>
        <v>512.5</v>
      </c>
      <c r="J168" s="45">
        <f>C168+E168+I168</f>
        <v>1437.5</v>
      </c>
      <c r="K168" s="39">
        <v>4116</v>
      </c>
      <c r="L168" s="39">
        <f t="shared" si="26"/>
        <v>4116</v>
      </c>
      <c r="M168" s="39">
        <v>3744</v>
      </c>
      <c r="N168" s="39">
        <f t="shared" si="27"/>
        <v>5990.4000000000005</v>
      </c>
      <c r="O168" s="45">
        <f t="shared" si="23"/>
        <v>10106.400000000001</v>
      </c>
      <c r="P168" s="44">
        <f t="shared" si="24"/>
        <v>11543.900000000001</v>
      </c>
    </row>
    <row r="169" spans="1:18" x14ac:dyDescent="0.2">
      <c r="A169" s="43">
        <v>45505</v>
      </c>
      <c r="B169" s="39">
        <f>12+60</f>
        <v>72</v>
      </c>
      <c r="C169" s="39">
        <f t="shared" si="28"/>
        <v>360</v>
      </c>
      <c r="D169" s="39">
        <f>540+80+30</f>
        <v>650</v>
      </c>
      <c r="E169" s="39">
        <f t="shared" si="29"/>
        <v>1625</v>
      </c>
      <c r="F169" s="39">
        <f>8+5</f>
        <v>13</v>
      </c>
      <c r="G169" s="39">
        <f t="shared" si="30"/>
        <v>65</v>
      </c>
      <c r="H169" s="39">
        <v>1000</v>
      </c>
      <c r="I169" s="39">
        <f t="shared" si="31"/>
        <v>2500</v>
      </c>
      <c r="J169" s="45">
        <f>C169+E169+I169</f>
        <v>4485</v>
      </c>
      <c r="K169" s="39">
        <v>3696</v>
      </c>
      <c r="L169" s="39">
        <f t="shared" si="26"/>
        <v>3696</v>
      </c>
      <c r="M169" s="39">
        <v>3456</v>
      </c>
      <c r="N169" s="39">
        <f t="shared" si="27"/>
        <v>5529.6</v>
      </c>
      <c r="O169" s="45">
        <f t="shared" si="23"/>
        <v>9225.6</v>
      </c>
      <c r="P169" s="44">
        <f t="shared" si="24"/>
        <v>13710.6</v>
      </c>
    </row>
    <row r="170" spans="1:18" x14ac:dyDescent="0.2">
      <c r="A170" s="43">
        <v>45536</v>
      </c>
      <c r="B170" s="39">
        <v>10</v>
      </c>
      <c r="C170" s="39">
        <f t="shared" si="28"/>
        <v>50</v>
      </c>
      <c r="D170" s="39">
        <f>390+100</f>
        <v>490</v>
      </c>
      <c r="E170" s="39">
        <f t="shared" si="29"/>
        <v>1225</v>
      </c>
      <c r="F170" s="39">
        <v>5</v>
      </c>
      <c r="G170" s="39">
        <f t="shared" si="30"/>
        <v>25</v>
      </c>
      <c r="H170" s="39">
        <f>265+50+40+100+50+50+5+50+25</f>
        <v>635</v>
      </c>
      <c r="I170" s="39">
        <f t="shared" si="31"/>
        <v>1587.5</v>
      </c>
      <c r="J170" s="45">
        <f>C170+E170+I170</f>
        <v>2862.5</v>
      </c>
      <c r="K170" s="39">
        <v>4800</v>
      </c>
      <c r="L170" s="39">
        <f t="shared" si="26"/>
        <v>4800</v>
      </c>
      <c r="M170" s="39">
        <v>4020</v>
      </c>
      <c r="N170" s="39">
        <f t="shared" si="27"/>
        <v>6432</v>
      </c>
      <c r="O170" s="45">
        <f t="shared" si="23"/>
        <v>11232</v>
      </c>
      <c r="P170" s="44">
        <f t="shared" si="24"/>
        <v>14094.5</v>
      </c>
    </row>
    <row r="171" spans="1:18" x14ac:dyDescent="0.2">
      <c r="A171" s="43">
        <v>45566</v>
      </c>
      <c r="B171" s="39">
        <v>15</v>
      </c>
      <c r="C171" s="39">
        <f t="shared" si="28"/>
        <v>75</v>
      </c>
      <c r="D171" s="39">
        <v>930</v>
      </c>
      <c r="E171" s="39">
        <f t="shared" si="29"/>
        <v>2325</v>
      </c>
      <c r="G171" s="39">
        <f t="shared" si="30"/>
        <v>0</v>
      </c>
      <c r="H171" s="39">
        <f>5+20+200+50+30+100+15+50+15+5+30</f>
        <v>520</v>
      </c>
      <c r="I171" s="39">
        <f t="shared" si="31"/>
        <v>1300</v>
      </c>
      <c r="J171" s="45">
        <f t="shared" ref="J171:J178" si="32">C171+E171+I171</f>
        <v>3700</v>
      </c>
      <c r="K171" s="39">
        <v>6408</v>
      </c>
      <c r="L171" s="39">
        <f t="shared" si="26"/>
        <v>6408</v>
      </c>
      <c r="M171" s="39">
        <v>5340</v>
      </c>
      <c r="N171" s="39">
        <f t="shared" si="27"/>
        <v>8544</v>
      </c>
      <c r="O171" s="45">
        <f t="shared" si="23"/>
        <v>14952</v>
      </c>
      <c r="P171" s="44">
        <f t="shared" si="24"/>
        <v>18652</v>
      </c>
    </row>
    <row r="172" spans="1:18" x14ac:dyDescent="0.2">
      <c r="A172" s="43">
        <v>45597</v>
      </c>
      <c r="B172" s="39">
        <v>7</v>
      </c>
      <c r="C172" s="39">
        <f t="shared" si="28"/>
        <v>35</v>
      </c>
      <c r="D172" s="39">
        <v>550</v>
      </c>
      <c r="E172" s="39">
        <f t="shared" si="29"/>
        <v>1375</v>
      </c>
      <c r="G172" s="39">
        <f t="shared" si="30"/>
        <v>0</v>
      </c>
      <c r="H172" s="39">
        <f>30+50+5+5+70+10+40+40+5+125+50+55+50+100+40</f>
        <v>675</v>
      </c>
      <c r="I172" s="39">
        <f t="shared" si="31"/>
        <v>1687.5</v>
      </c>
      <c r="J172" s="45">
        <f t="shared" si="32"/>
        <v>3097.5</v>
      </c>
      <c r="K172" s="39">
        <v>5028</v>
      </c>
      <c r="L172" s="39">
        <f t="shared" si="26"/>
        <v>5028</v>
      </c>
      <c r="M172" s="39">
        <v>4392</v>
      </c>
      <c r="N172" s="39">
        <f t="shared" si="27"/>
        <v>7027.2000000000007</v>
      </c>
      <c r="O172" s="45">
        <f t="shared" si="23"/>
        <v>12055.2</v>
      </c>
      <c r="P172" s="44">
        <f t="shared" si="24"/>
        <v>15152.7</v>
      </c>
    </row>
    <row r="173" spans="1:18" x14ac:dyDescent="0.2">
      <c r="A173" s="43">
        <v>45627</v>
      </c>
      <c r="B173" s="39">
        <v>7</v>
      </c>
      <c r="C173" s="39">
        <f t="shared" si="28"/>
        <v>35</v>
      </c>
      <c r="D173" s="39">
        <v>785</v>
      </c>
      <c r="E173" s="39">
        <f t="shared" si="29"/>
        <v>1962.5</v>
      </c>
      <c r="G173" s="39">
        <f t="shared" si="30"/>
        <v>0</v>
      </c>
      <c r="H173" s="39">
        <f>30+50+25+200+25+50+5+15+30</f>
        <v>430</v>
      </c>
      <c r="I173" s="39">
        <f t="shared" si="31"/>
        <v>1075</v>
      </c>
      <c r="J173" s="45">
        <f t="shared" si="32"/>
        <v>3072.5</v>
      </c>
      <c r="K173" s="39">
        <v>4392</v>
      </c>
      <c r="L173" s="39">
        <f t="shared" si="26"/>
        <v>4392</v>
      </c>
      <c r="M173" s="39">
        <v>4116</v>
      </c>
      <c r="N173" s="39">
        <f t="shared" si="27"/>
        <v>6585.6</v>
      </c>
      <c r="O173" s="45">
        <f t="shared" si="23"/>
        <v>10977.6</v>
      </c>
      <c r="P173" s="44">
        <f t="shared" si="24"/>
        <v>14050.1</v>
      </c>
    </row>
    <row r="174" spans="1:18" x14ac:dyDescent="0.2">
      <c r="A174" s="43">
        <v>45658</v>
      </c>
      <c r="B174" s="39">
        <f>6+4</f>
        <v>10</v>
      </c>
      <c r="C174" s="39">
        <f t="shared" si="28"/>
        <v>50</v>
      </c>
      <c r="D174" s="39">
        <f>450+30</f>
        <v>480</v>
      </c>
      <c r="E174" s="39">
        <f t="shared" si="29"/>
        <v>1200</v>
      </c>
      <c r="G174" s="39">
        <f t="shared" si="30"/>
        <v>0</v>
      </c>
      <c r="H174" s="39">
        <f>60+25+15+35+50+200+200+200+50+50+25+100</f>
        <v>1010</v>
      </c>
      <c r="I174" s="39">
        <f t="shared" si="31"/>
        <v>2525</v>
      </c>
      <c r="J174" s="45">
        <f t="shared" si="32"/>
        <v>3775</v>
      </c>
      <c r="K174" s="39">
        <v>4152</v>
      </c>
      <c r="L174" s="39">
        <f t="shared" si="26"/>
        <v>4152</v>
      </c>
      <c r="M174" s="39">
        <v>2928</v>
      </c>
      <c r="N174" s="39">
        <f t="shared" si="27"/>
        <v>4684.8</v>
      </c>
      <c r="O174" s="45">
        <f t="shared" si="23"/>
        <v>8836.7999999999993</v>
      </c>
      <c r="P174" s="44">
        <f t="shared" si="24"/>
        <v>12611.8</v>
      </c>
    </row>
    <row r="175" spans="1:18" x14ac:dyDescent="0.2">
      <c r="A175" s="43">
        <v>45689</v>
      </c>
      <c r="B175" s="39">
        <f>17+33+5+5</f>
        <v>60</v>
      </c>
      <c r="C175" s="39">
        <f t="shared" si="28"/>
        <v>300</v>
      </c>
      <c r="D175" s="39">
        <f>680+50+70</f>
        <v>800</v>
      </c>
      <c r="E175" s="39">
        <f t="shared" si="29"/>
        <v>2000</v>
      </c>
      <c r="G175" s="39">
        <f t="shared" si="30"/>
        <v>0</v>
      </c>
      <c r="H175" s="39">
        <f>45+5+20+5+30+5+50+20+30+5+5+10</f>
        <v>230</v>
      </c>
      <c r="I175" s="39">
        <f t="shared" si="31"/>
        <v>575</v>
      </c>
      <c r="J175" s="45">
        <f t="shared" si="32"/>
        <v>2875</v>
      </c>
      <c r="K175" s="39">
        <v>5148</v>
      </c>
      <c r="L175" s="39">
        <f t="shared" si="26"/>
        <v>5148</v>
      </c>
      <c r="M175" s="39">
        <v>3732</v>
      </c>
      <c r="N175" s="39">
        <f t="shared" si="27"/>
        <v>5971.2000000000007</v>
      </c>
      <c r="O175" s="45">
        <f t="shared" si="23"/>
        <v>11119.2</v>
      </c>
      <c r="P175" s="44">
        <f t="shared" si="24"/>
        <v>13994.2</v>
      </c>
    </row>
    <row r="176" spans="1:18" x14ac:dyDescent="0.2">
      <c r="A176" s="43">
        <v>45717</v>
      </c>
      <c r="B176" s="39">
        <f>24+15</f>
        <v>39</v>
      </c>
      <c r="C176" s="39">
        <f t="shared" si="28"/>
        <v>195</v>
      </c>
      <c r="D176" s="39">
        <f>660+50</f>
        <v>710</v>
      </c>
      <c r="E176" s="39">
        <f t="shared" si="29"/>
        <v>1775</v>
      </c>
      <c r="G176" s="39">
        <f t="shared" si="30"/>
        <v>0</v>
      </c>
      <c r="H176" s="39">
        <f>45+50+10+15+10+50+5+250+40+30+15+75+25+15+5+10</f>
        <v>650</v>
      </c>
      <c r="I176" s="39">
        <f t="shared" si="31"/>
        <v>1625</v>
      </c>
      <c r="J176" s="45">
        <f t="shared" si="32"/>
        <v>3595</v>
      </c>
      <c r="K176" s="39">
        <v>5244</v>
      </c>
      <c r="L176" s="39">
        <f t="shared" si="26"/>
        <v>5244</v>
      </c>
      <c r="M176" s="39">
        <v>3588</v>
      </c>
      <c r="N176" s="39">
        <f t="shared" si="27"/>
        <v>5740.8</v>
      </c>
      <c r="O176" s="45">
        <f t="shared" si="23"/>
        <v>10984.8</v>
      </c>
      <c r="P176" s="44">
        <f t="shared" si="24"/>
        <v>14579.8</v>
      </c>
    </row>
    <row r="177" spans="1:17" x14ac:dyDescent="0.2">
      <c r="A177" s="43">
        <v>45748</v>
      </c>
      <c r="B177" s="39">
        <v>26</v>
      </c>
      <c r="C177" s="39">
        <f t="shared" si="28"/>
        <v>130</v>
      </c>
      <c r="D177" s="39">
        <f>50+570+20</f>
        <v>640</v>
      </c>
      <c r="E177" s="39">
        <f t="shared" si="29"/>
        <v>1600</v>
      </c>
      <c r="G177" s="39">
        <f t="shared" si="30"/>
        <v>0</v>
      </c>
      <c r="H177" s="39">
        <f>10+10+75+200+25+5+50+20+50</f>
        <v>445</v>
      </c>
      <c r="I177" s="39">
        <f t="shared" si="31"/>
        <v>1112.5</v>
      </c>
      <c r="J177" s="45">
        <f t="shared" si="32"/>
        <v>2842.5</v>
      </c>
      <c r="K177" s="39">
        <v>5568</v>
      </c>
      <c r="L177" s="39">
        <f t="shared" si="26"/>
        <v>5568</v>
      </c>
      <c r="M177" s="39">
        <v>4788</v>
      </c>
      <c r="N177" s="39">
        <f t="shared" si="27"/>
        <v>7660.8</v>
      </c>
      <c r="O177" s="45">
        <f t="shared" si="23"/>
        <v>13228.8</v>
      </c>
      <c r="P177" s="44">
        <f t="shared" si="24"/>
        <v>16071.3</v>
      </c>
    </row>
    <row r="178" spans="1:17" x14ac:dyDescent="0.2">
      <c r="A178" s="43">
        <v>45778</v>
      </c>
      <c r="B178" s="39">
        <f>25+25</f>
        <v>50</v>
      </c>
      <c r="C178" s="39">
        <f>B178*5</f>
        <v>250</v>
      </c>
      <c r="D178" s="39">
        <f>30+755</f>
        <v>785</v>
      </c>
      <c r="E178" s="39">
        <f t="shared" si="29"/>
        <v>1962.5</v>
      </c>
      <c r="G178" s="39">
        <f t="shared" si="30"/>
        <v>0</v>
      </c>
      <c r="H178" s="39">
        <f>25+50+50+10+200+200+30+50+30+5+40+20+50+125+25</f>
        <v>910</v>
      </c>
      <c r="I178" s="39">
        <f t="shared" si="31"/>
        <v>2275</v>
      </c>
      <c r="J178" s="45">
        <f t="shared" si="32"/>
        <v>4487.5</v>
      </c>
      <c r="K178" s="39">
        <v>5364</v>
      </c>
      <c r="L178" s="39">
        <f t="shared" si="26"/>
        <v>5364</v>
      </c>
      <c r="M178" s="39">
        <v>3300</v>
      </c>
      <c r="N178" s="39">
        <f t="shared" si="27"/>
        <v>5280</v>
      </c>
      <c r="O178" s="45">
        <f t="shared" si="23"/>
        <v>10644</v>
      </c>
      <c r="P178" s="44">
        <f t="shared" si="24"/>
        <v>15131.5</v>
      </c>
      <c r="Q178" s="46"/>
    </row>
    <row r="179" spans="1:17" x14ac:dyDescent="0.2">
      <c r="A179" s="43">
        <v>45809</v>
      </c>
      <c r="B179" s="39">
        <v>0</v>
      </c>
      <c r="C179" s="39">
        <v>10</v>
      </c>
      <c r="D179" s="39">
        <v>380</v>
      </c>
      <c r="E179" s="39">
        <f t="shared" si="29"/>
        <v>950</v>
      </c>
      <c r="G179" s="39">
        <f t="shared" si="30"/>
        <v>0</v>
      </c>
      <c r="H179" s="39">
        <f>75+25+50+5+500+100+25</f>
        <v>780</v>
      </c>
      <c r="I179" s="39">
        <f t="shared" si="31"/>
        <v>1950</v>
      </c>
      <c r="J179" s="45">
        <f>C179+E179+I179</f>
        <v>2910</v>
      </c>
      <c r="K179" s="39">
        <v>3636</v>
      </c>
      <c r="L179" s="39">
        <f t="shared" si="26"/>
        <v>3636</v>
      </c>
      <c r="M179" s="39">
        <v>3093</v>
      </c>
      <c r="N179" s="39">
        <f>M179*1.6</f>
        <v>4948.8</v>
      </c>
      <c r="O179" s="45">
        <f t="shared" si="23"/>
        <v>8584.7999999999993</v>
      </c>
      <c r="P179" s="44">
        <f t="shared" si="24"/>
        <v>11494.8</v>
      </c>
    </row>
    <row r="180" spans="1:17" x14ac:dyDescent="0.2">
      <c r="P180" s="44"/>
    </row>
    <row r="181" spans="1:17" x14ac:dyDescent="0.2">
      <c r="P181" s="44"/>
    </row>
    <row r="182" spans="1:17" x14ac:dyDescent="0.2">
      <c r="N182" s="499"/>
      <c r="P182" s="44"/>
    </row>
    <row r="183" spans="1:17" x14ac:dyDescent="0.2">
      <c r="P183" s="44"/>
    </row>
    <row r="184" spans="1:17" x14ac:dyDescent="0.2">
      <c r="P184" s="44"/>
    </row>
    <row r="185" spans="1:17" x14ac:dyDescent="0.2">
      <c r="P185" s="44"/>
    </row>
    <row r="186" spans="1:17" x14ac:dyDescent="0.2">
      <c r="P186" s="44"/>
    </row>
    <row r="187" spans="1:17" x14ac:dyDescent="0.2">
      <c r="P187" s="44"/>
    </row>
    <row r="188" spans="1:17" x14ac:dyDescent="0.2">
      <c r="P188" s="44"/>
    </row>
    <row r="189" spans="1:17" x14ac:dyDescent="0.2">
      <c r="P189" s="44"/>
    </row>
    <row r="190" spans="1:17" x14ac:dyDescent="0.2">
      <c r="P190" s="44"/>
    </row>
    <row r="191" spans="1:17" x14ac:dyDescent="0.2">
      <c r="P191" s="44"/>
    </row>
    <row r="192" spans="1:17" x14ac:dyDescent="0.2">
      <c r="P192" s="44"/>
    </row>
    <row r="193" spans="16:16" x14ac:dyDescent="0.2">
      <c r="P193" s="44"/>
    </row>
    <row r="194" spans="16:16" x14ac:dyDescent="0.2">
      <c r="P194" s="44"/>
    </row>
    <row r="195" spans="16:16" x14ac:dyDescent="0.2">
      <c r="P195" s="44"/>
    </row>
    <row r="196" spans="16:16" x14ac:dyDescent="0.2">
      <c r="P196" s="44"/>
    </row>
    <row r="197" spans="16:16" x14ac:dyDescent="0.2">
      <c r="P197" s="44"/>
    </row>
    <row r="198" spans="16:16" x14ac:dyDescent="0.2">
      <c r="P198" s="44"/>
    </row>
    <row r="199" spans="16:16" x14ac:dyDescent="0.2">
      <c r="P199" s="44"/>
    </row>
    <row r="200" spans="16:16" x14ac:dyDescent="0.2">
      <c r="P200" s="44"/>
    </row>
    <row r="201" spans="16:16" x14ac:dyDescent="0.2">
      <c r="P201" s="44"/>
    </row>
    <row r="202" spans="16:16" x14ac:dyDescent="0.2">
      <c r="P202" s="44"/>
    </row>
    <row r="203" spans="16:16" x14ac:dyDescent="0.2">
      <c r="P203" s="44"/>
    </row>
    <row r="204" spans="16:16" x14ac:dyDescent="0.2">
      <c r="P204" s="44"/>
    </row>
    <row r="205" spans="16:16" x14ac:dyDescent="0.2">
      <c r="P205" s="44"/>
    </row>
    <row r="206" spans="16:16" x14ac:dyDescent="0.2">
      <c r="P206" s="44"/>
    </row>
    <row r="207" spans="16:16" x14ac:dyDescent="0.2">
      <c r="P207" s="44"/>
    </row>
    <row r="208" spans="16:16" x14ac:dyDescent="0.2">
      <c r="P208" s="44"/>
    </row>
    <row r="209" spans="16:16" x14ac:dyDescent="0.2">
      <c r="P209" s="44"/>
    </row>
    <row r="210" spans="16:16" x14ac:dyDescent="0.2">
      <c r="P210" s="44"/>
    </row>
    <row r="211" spans="16:16" x14ac:dyDescent="0.2">
      <c r="P211" s="44"/>
    </row>
    <row r="212" spans="16:16" x14ac:dyDescent="0.2">
      <c r="P212" s="44"/>
    </row>
    <row r="213" spans="16:16" x14ac:dyDescent="0.2">
      <c r="P213" s="44"/>
    </row>
    <row r="214" spans="16:16" x14ac:dyDescent="0.2">
      <c r="P214" s="44"/>
    </row>
    <row r="215" spans="16:16" x14ac:dyDescent="0.2">
      <c r="P215" s="44"/>
    </row>
    <row r="216" spans="16:16" x14ac:dyDescent="0.2">
      <c r="P216" s="44"/>
    </row>
    <row r="217" spans="16:16" x14ac:dyDescent="0.2">
      <c r="P217" s="44"/>
    </row>
    <row r="218" spans="16:16" x14ac:dyDescent="0.2">
      <c r="P218" s="44"/>
    </row>
    <row r="219" spans="16:16" x14ac:dyDescent="0.2">
      <c r="P219" s="44"/>
    </row>
    <row r="220" spans="16:16" x14ac:dyDescent="0.2">
      <c r="P220" s="44"/>
    </row>
    <row r="221" spans="16:16" x14ac:dyDescent="0.2">
      <c r="P221" s="44"/>
    </row>
    <row r="222" spans="16:16" x14ac:dyDescent="0.2">
      <c r="P222" s="44"/>
    </row>
    <row r="223" spans="16:16" x14ac:dyDescent="0.2">
      <c r="P223" s="44"/>
    </row>
    <row r="224" spans="16:16" x14ac:dyDescent="0.2">
      <c r="P224" s="44"/>
    </row>
    <row r="225" spans="16:16" x14ac:dyDescent="0.2">
      <c r="P225" s="44"/>
    </row>
    <row r="226" spans="16:16" x14ac:dyDescent="0.2">
      <c r="P226" s="44"/>
    </row>
    <row r="227" spans="16:16" x14ac:dyDescent="0.2">
      <c r="P227" s="44"/>
    </row>
    <row r="228" spans="16:16" x14ac:dyDescent="0.2">
      <c r="P228" s="44"/>
    </row>
    <row r="229" spans="16:16" x14ac:dyDescent="0.2">
      <c r="P229" s="44"/>
    </row>
    <row r="230" spans="16:16" x14ac:dyDescent="0.2">
      <c r="P230" s="44"/>
    </row>
    <row r="231" spans="16:16" x14ac:dyDescent="0.2">
      <c r="P231" s="44"/>
    </row>
    <row r="232" spans="16:16" x14ac:dyDescent="0.2">
      <c r="P232" s="44"/>
    </row>
    <row r="233" spans="16:16" x14ac:dyDescent="0.2">
      <c r="P233" s="44"/>
    </row>
    <row r="234" spans="16:16" x14ac:dyDescent="0.2">
      <c r="P234" s="44"/>
    </row>
    <row r="235" spans="16:16" x14ac:dyDescent="0.2">
      <c r="P235" s="44"/>
    </row>
    <row r="236" spans="16:16" x14ac:dyDescent="0.2">
      <c r="P236" s="44"/>
    </row>
    <row r="237" spans="16:16" x14ac:dyDescent="0.2">
      <c r="P237" s="415"/>
    </row>
    <row r="238" spans="16:16" x14ac:dyDescent="0.2">
      <c r="P238" s="415"/>
    </row>
    <row r="239" spans="16:16" x14ac:dyDescent="0.2">
      <c r="P239" s="415"/>
    </row>
    <row r="240" spans="16:16" x14ac:dyDescent="0.2">
      <c r="P240" s="415"/>
    </row>
    <row r="241" spans="16:16" x14ac:dyDescent="0.2">
      <c r="P241" s="415"/>
    </row>
    <row r="242" spans="16:16" x14ac:dyDescent="0.2">
      <c r="P242" s="415"/>
    </row>
    <row r="243" spans="16:16" x14ac:dyDescent="0.2">
      <c r="P243" s="415"/>
    </row>
    <row r="244" spans="16:16" x14ac:dyDescent="0.2">
      <c r="P244" s="415"/>
    </row>
    <row r="245" spans="16:16" x14ac:dyDescent="0.2">
      <c r="P245" s="415"/>
    </row>
    <row r="246" spans="16:16" x14ac:dyDescent="0.2">
      <c r="P246" s="415"/>
    </row>
    <row r="247" spans="16:16" x14ac:dyDescent="0.2">
      <c r="P247" s="415"/>
    </row>
    <row r="248" spans="16:16" x14ac:dyDescent="0.2">
      <c r="P248" s="415"/>
    </row>
    <row r="249" spans="16:16" x14ac:dyDescent="0.2">
      <c r="P249" s="415"/>
    </row>
    <row r="250" spans="16:16" x14ac:dyDescent="0.2">
      <c r="P250" s="415"/>
    </row>
    <row r="251" spans="16:16" x14ac:dyDescent="0.2">
      <c r="P251" s="415"/>
    </row>
    <row r="252" spans="16:16" x14ac:dyDescent="0.2">
      <c r="P252" s="415"/>
    </row>
    <row r="253" spans="16:16" x14ac:dyDescent="0.2">
      <c r="P253" s="415"/>
    </row>
    <row r="254" spans="16:16" x14ac:dyDescent="0.2">
      <c r="P254" s="415"/>
    </row>
    <row r="255" spans="16:16" x14ac:dyDescent="0.2">
      <c r="P255" s="415"/>
    </row>
    <row r="256" spans="16:16" x14ac:dyDescent="0.2">
      <c r="P256" s="415"/>
    </row>
    <row r="257" spans="16:16" x14ac:dyDescent="0.2">
      <c r="P257" s="415"/>
    </row>
    <row r="258" spans="16:16" x14ac:dyDescent="0.2">
      <c r="P258" s="415"/>
    </row>
    <row r="259" spans="16:16" x14ac:dyDescent="0.2">
      <c r="P259" s="415"/>
    </row>
    <row r="260" spans="16:16" x14ac:dyDescent="0.2">
      <c r="P260" s="415"/>
    </row>
    <row r="261" spans="16:16" x14ac:dyDescent="0.2">
      <c r="P261" s="415"/>
    </row>
    <row r="262" spans="16:16" x14ac:dyDescent="0.2">
      <c r="P262" s="415"/>
    </row>
    <row r="263" spans="16:16" x14ac:dyDescent="0.2">
      <c r="P263" s="415"/>
    </row>
    <row r="264" spans="16:16" x14ac:dyDescent="0.2">
      <c r="P264" s="415"/>
    </row>
    <row r="265" spans="16:16" x14ac:dyDescent="0.2">
      <c r="P265" s="415"/>
    </row>
    <row r="266" spans="16:16" x14ac:dyDescent="0.2">
      <c r="P266" s="415"/>
    </row>
    <row r="267" spans="16:16" x14ac:dyDescent="0.2">
      <c r="P267" s="415"/>
    </row>
    <row r="268" spans="16:16" x14ac:dyDescent="0.2">
      <c r="P268" s="415"/>
    </row>
    <row r="269" spans="16:16" x14ac:dyDescent="0.2">
      <c r="P269" s="415"/>
    </row>
    <row r="270" spans="16:16" x14ac:dyDescent="0.2">
      <c r="P270" s="415"/>
    </row>
    <row r="271" spans="16:16" x14ac:dyDescent="0.2">
      <c r="P271" s="415"/>
    </row>
    <row r="272" spans="16:16" x14ac:dyDescent="0.2">
      <c r="P272" s="415"/>
    </row>
    <row r="273" spans="16:16" x14ac:dyDescent="0.2">
      <c r="P273" s="415"/>
    </row>
    <row r="274" spans="16:16" x14ac:dyDescent="0.2">
      <c r="P274" s="415"/>
    </row>
    <row r="275" spans="16:16" x14ac:dyDescent="0.2">
      <c r="P275" s="415"/>
    </row>
    <row r="276" spans="16:16" x14ac:dyDescent="0.2">
      <c r="P276" s="415"/>
    </row>
    <row r="277" spans="16:16" x14ac:dyDescent="0.2">
      <c r="P277" s="415"/>
    </row>
    <row r="278" spans="16:16" x14ac:dyDescent="0.2">
      <c r="P278" s="415"/>
    </row>
    <row r="279" spans="16:16" x14ac:dyDescent="0.2">
      <c r="P279" s="415"/>
    </row>
    <row r="280" spans="16:16" x14ac:dyDescent="0.2">
      <c r="P280" s="415"/>
    </row>
    <row r="281" spans="16:16" x14ac:dyDescent="0.2">
      <c r="P281" s="415"/>
    </row>
    <row r="282" spans="16:16" x14ac:dyDescent="0.2">
      <c r="P282" s="415"/>
    </row>
    <row r="283" spans="16:16" x14ac:dyDescent="0.2">
      <c r="P283" s="415"/>
    </row>
    <row r="284" spans="16:16" x14ac:dyDescent="0.2">
      <c r="P284" s="415"/>
    </row>
    <row r="285" spans="16:16" x14ac:dyDescent="0.2">
      <c r="P285" s="415"/>
    </row>
    <row r="286" spans="16:16" x14ac:dyDescent="0.2">
      <c r="P286" s="415"/>
    </row>
    <row r="287" spans="16:16" x14ac:dyDescent="0.2">
      <c r="P287" s="415"/>
    </row>
    <row r="288" spans="16:16" x14ac:dyDescent="0.2">
      <c r="P288" s="415"/>
    </row>
    <row r="289" spans="16:16" x14ac:dyDescent="0.2">
      <c r="P289" s="415"/>
    </row>
    <row r="290" spans="16:16" x14ac:dyDescent="0.2">
      <c r="P290" s="415"/>
    </row>
    <row r="291" spans="16:16" x14ac:dyDescent="0.2">
      <c r="P291" s="415"/>
    </row>
    <row r="292" spans="16:16" x14ac:dyDescent="0.2">
      <c r="P292" s="415"/>
    </row>
    <row r="293" spans="16:16" x14ac:dyDescent="0.2">
      <c r="P293" s="415"/>
    </row>
    <row r="294" spans="16:16" x14ac:dyDescent="0.2">
      <c r="P294" s="415"/>
    </row>
    <row r="295" spans="16:16" x14ac:dyDescent="0.2">
      <c r="P295" s="415"/>
    </row>
    <row r="296" spans="16:16" x14ac:dyDescent="0.2">
      <c r="P296" s="415"/>
    </row>
    <row r="297" spans="16:16" x14ac:dyDescent="0.2">
      <c r="P297" s="415"/>
    </row>
    <row r="298" spans="16:16" x14ac:dyDescent="0.2">
      <c r="P298" s="415"/>
    </row>
    <row r="299" spans="16:16" x14ac:dyDescent="0.2">
      <c r="P299" s="415"/>
    </row>
    <row r="300" spans="16:16" x14ac:dyDescent="0.2">
      <c r="P300" s="415"/>
    </row>
    <row r="301" spans="16:16" x14ac:dyDescent="0.2">
      <c r="P301" s="415"/>
    </row>
    <row r="302" spans="16:16" x14ac:dyDescent="0.2">
      <c r="P302" s="415"/>
    </row>
    <row r="303" spans="16:16" x14ac:dyDescent="0.2">
      <c r="P303" s="415"/>
    </row>
    <row r="304" spans="16:16" x14ac:dyDescent="0.2">
      <c r="P304" s="415"/>
    </row>
    <row r="305" spans="16:16" x14ac:dyDescent="0.2">
      <c r="P305" s="415"/>
    </row>
    <row r="306" spans="16:16" x14ac:dyDescent="0.2">
      <c r="P306" s="415"/>
    </row>
    <row r="307" spans="16:16" x14ac:dyDescent="0.2">
      <c r="P307" s="415"/>
    </row>
    <row r="308" spans="16:16" x14ac:dyDescent="0.2">
      <c r="P308" s="415"/>
    </row>
    <row r="309" spans="16:16" x14ac:dyDescent="0.2">
      <c r="P309" s="415"/>
    </row>
    <row r="310" spans="16:16" x14ac:dyDescent="0.2">
      <c r="P310" s="415"/>
    </row>
    <row r="311" spans="16:16" x14ac:dyDescent="0.2">
      <c r="P311" s="415"/>
    </row>
    <row r="312" spans="16:16" x14ac:dyDescent="0.2">
      <c r="P312" s="415"/>
    </row>
    <row r="313" spans="16:16" x14ac:dyDescent="0.2">
      <c r="P313" s="415"/>
    </row>
    <row r="314" spans="16:16" x14ac:dyDescent="0.2">
      <c r="P314" s="415"/>
    </row>
    <row r="315" spans="16:16" x14ac:dyDescent="0.2">
      <c r="P315" s="415"/>
    </row>
    <row r="316" spans="16:16" x14ac:dyDescent="0.2">
      <c r="P316" s="415"/>
    </row>
    <row r="317" spans="16:16" x14ac:dyDescent="0.2">
      <c r="P317" s="415"/>
    </row>
    <row r="318" spans="16:16" x14ac:dyDescent="0.2">
      <c r="P318" s="415"/>
    </row>
    <row r="319" spans="16:16" x14ac:dyDescent="0.2">
      <c r="P319" s="415"/>
    </row>
    <row r="320" spans="16:16" x14ac:dyDescent="0.2">
      <c r="P320" s="415"/>
    </row>
    <row r="321" spans="16:16" x14ac:dyDescent="0.2">
      <c r="P321" s="415"/>
    </row>
    <row r="322" spans="16:16" x14ac:dyDescent="0.2">
      <c r="P322" s="415"/>
    </row>
    <row r="323" spans="16:16" x14ac:dyDescent="0.2">
      <c r="P323" s="415"/>
    </row>
    <row r="324" spans="16:16" x14ac:dyDescent="0.2">
      <c r="P324" s="415"/>
    </row>
    <row r="325" spans="16:16" x14ac:dyDescent="0.2">
      <c r="P325" s="415"/>
    </row>
    <row r="326" spans="16:16" x14ac:dyDescent="0.2">
      <c r="P326" s="415"/>
    </row>
    <row r="327" spans="16:16" x14ac:dyDescent="0.2">
      <c r="P327" s="415"/>
    </row>
    <row r="328" spans="16:16" x14ac:dyDescent="0.2">
      <c r="P328" s="415"/>
    </row>
    <row r="329" spans="16:16" x14ac:dyDescent="0.2">
      <c r="P329" s="415"/>
    </row>
    <row r="330" spans="16:16" x14ac:dyDescent="0.2">
      <c r="P330" s="415"/>
    </row>
    <row r="331" spans="16:16" x14ac:dyDescent="0.2">
      <c r="P331" s="415"/>
    </row>
    <row r="332" spans="16:16" x14ac:dyDescent="0.2">
      <c r="P332" s="415"/>
    </row>
    <row r="333" spans="16:16" x14ac:dyDescent="0.2">
      <c r="P333" s="415"/>
    </row>
    <row r="334" spans="16:16" x14ac:dyDescent="0.2">
      <c r="P334" s="415"/>
    </row>
    <row r="335" spans="16:16" x14ac:dyDescent="0.2">
      <c r="P335" s="415"/>
    </row>
    <row r="336" spans="16:16" x14ac:dyDescent="0.2">
      <c r="P336" s="415"/>
    </row>
    <row r="337" spans="16:16" x14ac:dyDescent="0.2">
      <c r="P337" s="415"/>
    </row>
    <row r="338" spans="16:16" x14ac:dyDescent="0.2">
      <c r="P338" s="415"/>
    </row>
    <row r="339" spans="16:16" x14ac:dyDescent="0.2">
      <c r="P339" s="415"/>
    </row>
    <row r="340" spans="16:16" x14ac:dyDescent="0.2">
      <c r="P340" s="415"/>
    </row>
    <row r="341" spans="16:16" x14ac:dyDescent="0.2">
      <c r="P341" s="415"/>
    </row>
    <row r="342" spans="16:16" x14ac:dyDescent="0.2">
      <c r="P342" s="415"/>
    </row>
    <row r="343" spans="16:16" x14ac:dyDescent="0.2">
      <c r="P343" s="415"/>
    </row>
    <row r="344" spans="16:16" x14ac:dyDescent="0.2">
      <c r="P344" s="415"/>
    </row>
    <row r="345" spans="16:16" x14ac:dyDescent="0.2">
      <c r="P345" s="415"/>
    </row>
    <row r="346" spans="16:16" x14ac:dyDescent="0.2">
      <c r="P346" s="415"/>
    </row>
    <row r="347" spans="16:16" x14ac:dyDescent="0.2">
      <c r="P347" s="415"/>
    </row>
    <row r="348" spans="16:16" x14ac:dyDescent="0.2">
      <c r="P348" s="415"/>
    </row>
    <row r="349" spans="16:16" x14ac:dyDescent="0.2">
      <c r="P349" s="415"/>
    </row>
    <row r="350" spans="16:16" x14ac:dyDescent="0.2">
      <c r="P350" s="415"/>
    </row>
    <row r="351" spans="16:16" x14ac:dyDescent="0.2">
      <c r="P351" s="415"/>
    </row>
    <row r="352" spans="16:16" x14ac:dyDescent="0.2">
      <c r="P352" s="415"/>
    </row>
    <row r="353" spans="16:16" x14ac:dyDescent="0.2">
      <c r="P353" s="415"/>
    </row>
    <row r="354" spans="16:16" x14ac:dyDescent="0.2">
      <c r="P354" s="415"/>
    </row>
    <row r="355" spans="16:16" x14ac:dyDescent="0.2">
      <c r="P355" s="415"/>
    </row>
    <row r="356" spans="16:16" x14ac:dyDescent="0.2">
      <c r="P356" s="415"/>
    </row>
    <row r="357" spans="16:16" x14ac:dyDescent="0.2">
      <c r="P357" s="415"/>
    </row>
    <row r="358" spans="16:16" x14ac:dyDescent="0.2">
      <c r="P358" s="415"/>
    </row>
    <row r="359" spans="16:16" x14ac:dyDescent="0.2">
      <c r="P359" s="415"/>
    </row>
    <row r="360" spans="16:16" x14ac:dyDescent="0.2">
      <c r="P360" s="415"/>
    </row>
    <row r="361" spans="16:16" x14ac:dyDescent="0.2">
      <c r="P361" s="415"/>
    </row>
    <row r="362" spans="16:16" x14ac:dyDescent="0.2">
      <c r="P362" s="415"/>
    </row>
    <row r="363" spans="16:16" x14ac:dyDescent="0.2">
      <c r="P363" s="415"/>
    </row>
    <row r="364" spans="16:16" x14ac:dyDescent="0.2">
      <c r="P364" s="415"/>
    </row>
    <row r="365" spans="16:16" x14ac:dyDescent="0.2">
      <c r="P365" s="415"/>
    </row>
    <row r="366" spans="16:16" x14ac:dyDescent="0.2">
      <c r="P366" s="415"/>
    </row>
    <row r="367" spans="16:16" x14ac:dyDescent="0.2">
      <c r="P367" s="415"/>
    </row>
    <row r="368" spans="16:16" x14ac:dyDescent="0.2">
      <c r="P368" s="415"/>
    </row>
    <row r="369" spans="16:16" x14ac:dyDescent="0.2">
      <c r="P369" s="415"/>
    </row>
    <row r="370" spans="16:16" x14ac:dyDescent="0.2">
      <c r="P370" s="415"/>
    </row>
    <row r="371" spans="16:16" x14ac:dyDescent="0.2">
      <c r="P371" s="415"/>
    </row>
    <row r="372" spans="16:16" x14ac:dyDescent="0.2">
      <c r="P372" s="415"/>
    </row>
    <row r="373" spans="16:16" x14ac:dyDescent="0.2">
      <c r="P373" s="415"/>
    </row>
    <row r="374" spans="16:16" x14ac:dyDescent="0.2">
      <c r="P374" s="415"/>
    </row>
    <row r="375" spans="16:16" x14ac:dyDescent="0.2">
      <c r="P375" s="415"/>
    </row>
    <row r="376" spans="16:16" x14ac:dyDescent="0.2">
      <c r="P376" s="415"/>
    </row>
    <row r="377" spans="16:16" x14ac:dyDescent="0.2">
      <c r="P377" s="415"/>
    </row>
    <row r="378" spans="16:16" x14ac:dyDescent="0.2">
      <c r="P378" s="415"/>
    </row>
    <row r="379" spans="16:16" x14ac:dyDescent="0.2">
      <c r="P379" s="415"/>
    </row>
    <row r="380" spans="16:16" x14ac:dyDescent="0.2">
      <c r="P380" s="415"/>
    </row>
    <row r="381" spans="16:16" x14ac:dyDescent="0.2">
      <c r="P381" s="415"/>
    </row>
    <row r="382" spans="16:16" x14ac:dyDescent="0.2">
      <c r="P382" s="415"/>
    </row>
    <row r="383" spans="16:16" x14ac:dyDescent="0.2">
      <c r="P383" s="415"/>
    </row>
    <row r="384" spans="16:16" x14ac:dyDescent="0.2">
      <c r="P384" s="415"/>
    </row>
    <row r="385" spans="16:16" x14ac:dyDescent="0.2">
      <c r="P385" s="415"/>
    </row>
    <row r="386" spans="16:16" x14ac:dyDescent="0.2">
      <c r="P386" s="415"/>
    </row>
    <row r="387" spans="16:16" x14ac:dyDescent="0.2">
      <c r="P387" s="415"/>
    </row>
    <row r="388" spans="16:16" x14ac:dyDescent="0.2">
      <c r="P388" s="415"/>
    </row>
    <row r="389" spans="16:16" x14ac:dyDescent="0.2">
      <c r="P389" s="415"/>
    </row>
    <row r="390" spans="16:16" x14ac:dyDescent="0.2">
      <c r="P390" s="415"/>
    </row>
    <row r="391" spans="16:16" x14ac:dyDescent="0.2">
      <c r="P391" s="415"/>
    </row>
    <row r="392" spans="16:16" x14ac:dyDescent="0.2">
      <c r="P392" s="415"/>
    </row>
    <row r="393" spans="16:16" x14ac:dyDescent="0.2">
      <c r="P393" s="415"/>
    </row>
    <row r="394" spans="16:16" x14ac:dyDescent="0.2">
      <c r="P394" s="415"/>
    </row>
    <row r="395" spans="16:16" x14ac:dyDescent="0.2">
      <c r="P395" s="415"/>
    </row>
    <row r="396" spans="16:16" x14ac:dyDescent="0.2">
      <c r="P396" s="415"/>
    </row>
    <row r="397" spans="16:16" x14ac:dyDescent="0.2">
      <c r="P397" s="415"/>
    </row>
    <row r="398" spans="16:16" x14ac:dyDescent="0.2">
      <c r="P398" s="415"/>
    </row>
    <row r="399" spans="16:16" x14ac:dyDescent="0.2">
      <c r="P399" s="415"/>
    </row>
    <row r="400" spans="16:16" x14ac:dyDescent="0.2">
      <c r="P400" s="415"/>
    </row>
    <row r="401" spans="16:16" x14ac:dyDescent="0.2">
      <c r="P401" s="415"/>
    </row>
    <row r="402" spans="16:16" x14ac:dyDescent="0.2">
      <c r="P402" s="415"/>
    </row>
    <row r="403" spans="16:16" x14ac:dyDescent="0.2">
      <c r="P403" s="415"/>
    </row>
    <row r="404" spans="16:16" x14ac:dyDescent="0.2">
      <c r="P404" s="415"/>
    </row>
    <row r="405" spans="16:16" x14ac:dyDescent="0.2">
      <c r="P405" s="415"/>
    </row>
    <row r="406" spans="16:16" x14ac:dyDescent="0.2">
      <c r="P406" s="415"/>
    </row>
    <row r="407" spans="16:16" x14ac:dyDescent="0.2">
      <c r="P407" s="415"/>
    </row>
    <row r="408" spans="16:16" x14ac:dyDescent="0.2">
      <c r="P408" s="415"/>
    </row>
    <row r="409" spans="16:16" x14ac:dyDescent="0.2">
      <c r="P409" s="415"/>
    </row>
    <row r="410" spans="16:16" x14ac:dyDescent="0.2">
      <c r="P410" s="415"/>
    </row>
    <row r="411" spans="16:16" x14ac:dyDescent="0.2">
      <c r="P411" s="415"/>
    </row>
    <row r="412" spans="16:16" x14ac:dyDescent="0.2">
      <c r="P412" s="415"/>
    </row>
    <row r="413" spans="16:16" x14ac:dyDescent="0.2">
      <c r="P413" s="415"/>
    </row>
    <row r="414" spans="16:16" x14ac:dyDescent="0.2">
      <c r="P414" s="415"/>
    </row>
    <row r="415" spans="16:16" x14ac:dyDescent="0.2">
      <c r="P415" s="415"/>
    </row>
    <row r="416" spans="16:16" x14ac:dyDescent="0.2">
      <c r="P416" s="415"/>
    </row>
    <row r="417" spans="16:16" x14ac:dyDescent="0.2">
      <c r="P417" s="415"/>
    </row>
    <row r="418" spans="16:16" x14ac:dyDescent="0.2">
      <c r="P418" s="415"/>
    </row>
    <row r="419" spans="16:16" x14ac:dyDescent="0.2">
      <c r="P419" s="415"/>
    </row>
    <row r="420" spans="16:16" x14ac:dyDescent="0.2">
      <c r="P420" s="415"/>
    </row>
    <row r="421" spans="16:16" x14ac:dyDescent="0.2">
      <c r="P421" s="415"/>
    </row>
    <row r="422" spans="16:16" x14ac:dyDescent="0.2">
      <c r="P422" s="415"/>
    </row>
    <row r="423" spans="16:16" x14ac:dyDescent="0.2">
      <c r="P423" s="415"/>
    </row>
    <row r="424" spans="16:16" x14ac:dyDescent="0.2">
      <c r="P424" s="415"/>
    </row>
    <row r="425" spans="16:16" x14ac:dyDescent="0.2">
      <c r="P425" s="415"/>
    </row>
    <row r="426" spans="16:16" x14ac:dyDescent="0.2">
      <c r="P426" s="415"/>
    </row>
    <row r="427" spans="16:16" x14ac:dyDescent="0.2">
      <c r="P427" s="415"/>
    </row>
    <row r="428" spans="16:16" x14ac:dyDescent="0.2">
      <c r="P428" s="415"/>
    </row>
    <row r="429" spans="16:16" x14ac:dyDescent="0.2">
      <c r="P429" s="415"/>
    </row>
    <row r="430" spans="16:16" x14ac:dyDescent="0.2">
      <c r="P430" s="415"/>
    </row>
    <row r="431" spans="16:16" x14ac:dyDescent="0.2">
      <c r="P431" s="415"/>
    </row>
    <row r="432" spans="16:16" x14ac:dyDescent="0.2">
      <c r="P432" s="415"/>
    </row>
    <row r="433" spans="16:16" x14ac:dyDescent="0.2">
      <c r="P433" s="415"/>
    </row>
    <row r="434" spans="16:16" x14ac:dyDescent="0.2">
      <c r="P434" s="415"/>
    </row>
    <row r="435" spans="16:16" x14ac:dyDescent="0.2">
      <c r="P435" s="415"/>
    </row>
    <row r="436" spans="16:16" x14ac:dyDescent="0.2">
      <c r="P436" s="415"/>
    </row>
    <row r="437" spans="16:16" x14ac:dyDescent="0.2">
      <c r="P437" s="415"/>
    </row>
    <row r="438" spans="16:16" x14ac:dyDescent="0.2">
      <c r="P438" s="415"/>
    </row>
    <row r="439" spans="16:16" x14ac:dyDescent="0.2">
      <c r="P439" s="415"/>
    </row>
    <row r="440" spans="16:16" x14ac:dyDescent="0.2">
      <c r="P440" s="415"/>
    </row>
    <row r="441" spans="16:16" x14ac:dyDescent="0.2">
      <c r="P441" s="415"/>
    </row>
    <row r="442" spans="16:16" x14ac:dyDescent="0.2">
      <c r="P442" s="415"/>
    </row>
    <row r="443" spans="16:16" x14ac:dyDescent="0.2">
      <c r="P443" s="415"/>
    </row>
    <row r="444" spans="16:16" x14ac:dyDescent="0.2">
      <c r="P444" s="415"/>
    </row>
    <row r="445" spans="16:16" x14ac:dyDescent="0.2">
      <c r="P445" s="415"/>
    </row>
    <row r="446" spans="16:16" x14ac:dyDescent="0.2">
      <c r="P446" s="415"/>
    </row>
    <row r="447" spans="16:16" x14ac:dyDescent="0.2">
      <c r="P447" s="415"/>
    </row>
    <row r="448" spans="16:16" x14ac:dyDescent="0.2">
      <c r="P448" s="415"/>
    </row>
    <row r="449" spans="16:16" x14ac:dyDescent="0.2">
      <c r="P449" s="415"/>
    </row>
    <row r="450" spans="16:16" x14ac:dyDescent="0.2">
      <c r="P450" s="415"/>
    </row>
    <row r="451" spans="16:16" x14ac:dyDescent="0.2">
      <c r="P451" s="415"/>
    </row>
    <row r="452" spans="16:16" x14ac:dyDescent="0.2">
      <c r="P452" s="415"/>
    </row>
    <row r="453" spans="16:16" x14ac:dyDescent="0.2">
      <c r="P453" s="415"/>
    </row>
    <row r="454" spans="16:16" x14ac:dyDescent="0.2">
      <c r="P454" s="415"/>
    </row>
    <row r="455" spans="16:16" x14ac:dyDescent="0.2">
      <c r="P455" s="415"/>
    </row>
    <row r="456" spans="16:16" x14ac:dyDescent="0.2">
      <c r="P456" s="415"/>
    </row>
    <row r="457" spans="16:16" x14ac:dyDescent="0.2">
      <c r="P457" s="415"/>
    </row>
    <row r="458" spans="16:16" x14ac:dyDescent="0.2">
      <c r="P458" s="415"/>
    </row>
    <row r="459" spans="16:16" x14ac:dyDescent="0.2">
      <c r="P459" s="415"/>
    </row>
    <row r="460" spans="16:16" x14ac:dyDescent="0.2">
      <c r="P460" s="415"/>
    </row>
    <row r="461" spans="16:16" x14ac:dyDescent="0.2">
      <c r="P461" s="415"/>
    </row>
    <row r="462" spans="16:16" x14ac:dyDescent="0.2">
      <c r="P462" s="415"/>
    </row>
    <row r="463" spans="16:16" x14ac:dyDescent="0.2">
      <c r="P463" s="415"/>
    </row>
    <row r="464" spans="16:16" x14ac:dyDescent="0.2">
      <c r="P464" s="415"/>
    </row>
    <row r="465" spans="16:16" x14ac:dyDescent="0.2">
      <c r="P465" s="415"/>
    </row>
    <row r="466" spans="16:16" x14ac:dyDescent="0.2">
      <c r="P466" s="415"/>
    </row>
    <row r="467" spans="16:16" x14ac:dyDescent="0.2">
      <c r="P467" s="415"/>
    </row>
    <row r="468" spans="16:16" x14ac:dyDescent="0.2">
      <c r="P468" s="415"/>
    </row>
    <row r="469" spans="16:16" x14ac:dyDescent="0.2">
      <c r="P469" s="415"/>
    </row>
    <row r="470" spans="16:16" x14ac:dyDescent="0.2">
      <c r="P470" s="415"/>
    </row>
    <row r="471" spans="16:16" x14ac:dyDescent="0.2">
      <c r="P471" s="415"/>
    </row>
    <row r="472" spans="16:16" x14ac:dyDescent="0.2">
      <c r="P472" s="415"/>
    </row>
    <row r="473" spans="16:16" x14ac:dyDescent="0.2">
      <c r="P473" s="415"/>
    </row>
    <row r="474" spans="16:16" x14ac:dyDescent="0.2">
      <c r="P474" s="415"/>
    </row>
    <row r="475" spans="16:16" x14ac:dyDescent="0.2">
      <c r="P475" s="415"/>
    </row>
    <row r="476" spans="16:16" x14ac:dyDescent="0.2">
      <c r="P476" s="415"/>
    </row>
    <row r="477" spans="16:16" x14ac:dyDescent="0.2">
      <c r="P477" s="415"/>
    </row>
    <row r="478" spans="16:16" x14ac:dyDescent="0.2">
      <c r="P478" s="415"/>
    </row>
    <row r="479" spans="16:16" x14ac:dyDescent="0.2">
      <c r="P479" s="415"/>
    </row>
    <row r="480" spans="16:16" x14ac:dyDescent="0.2">
      <c r="P480" s="415"/>
    </row>
    <row r="481" spans="16:16" x14ac:dyDescent="0.2">
      <c r="P481" s="415"/>
    </row>
    <row r="482" spans="16:16" x14ac:dyDescent="0.2">
      <c r="P482" s="415"/>
    </row>
    <row r="483" spans="16:16" x14ac:dyDescent="0.2">
      <c r="P483" s="415"/>
    </row>
    <row r="484" spans="16:16" x14ac:dyDescent="0.2">
      <c r="P484" s="415"/>
    </row>
    <row r="485" spans="16:16" x14ac:dyDescent="0.2">
      <c r="P485" s="415"/>
    </row>
    <row r="486" spans="16:16" x14ac:dyDescent="0.2">
      <c r="P486" s="415"/>
    </row>
    <row r="487" spans="16:16" x14ac:dyDescent="0.2">
      <c r="P487" s="415"/>
    </row>
    <row r="488" spans="16:16" x14ac:dyDescent="0.2">
      <c r="P488" s="415"/>
    </row>
    <row r="489" spans="16:16" x14ac:dyDescent="0.2">
      <c r="P489" s="415"/>
    </row>
    <row r="490" spans="16:16" x14ac:dyDescent="0.2">
      <c r="P490" s="415"/>
    </row>
    <row r="491" spans="16:16" x14ac:dyDescent="0.2">
      <c r="P491" s="415"/>
    </row>
    <row r="492" spans="16:16" x14ac:dyDescent="0.2">
      <c r="P492" s="415"/>
    </row>
    <row r="493" spans="16:16" x14ac:dyDescent="0.2">
      <c r="P493" s="415"/>
    </row>
    <row r="494" spans="16:16" x14ac:dyDescent="0.2">
      <c r="P494" s="415"/>
    </row>
    <row r="495" spans="16:16" x14ac:dyDescent="0.2">
      <c r="P495" s="415"/>
    </row>
    <row r="496" spans="16:16" x14ac:dyDescent="0.2">
      <c r="P496" s="415"/>
    </row>
    <row r="497" spans="16:16" x14ac:dyDescent="0.2">
      <c r="P497" s="415"/>
    </row>
    <row r="498" spans="16:16" x14ac:dyDescent="0.2">
      <c r="P498" s="415"/>
    </row>
    <row r="499" spans="16:16" x14ac:dyDescent="0.2">
      <c r="P499" s="415"/>
    </row>
    <row r="500" spans="16:16" x14ac:dyDescent="0.2">
      <c r="P500" s="415"/>
    </row>
    <row r="501" spans="16:16" x14ac:dyDescent="0.2">
      <c r="P501" s="415"/>
    </row>
    <row r="502" spans="16:16" x14ac:dyDescent="0.2">
      <c r="P502" s="415"/>
    </row>
    <row r="503" spans="16:16" x14ac:dyDescent="0.2">
      <c r="P503" s="415"/>
    </row>
    <row r="504" spans="16:16" x14ac:dyDescent="0.2">
      <c r="P504" s="415"/>
    </row>
    <row r="505" spans="16:16" x14ac:dyDescent="0.2">
      <c r="P505" s="415"/>
    </row>
    <row r="506" spans="16:16" x14ac:dyDescent="0.2">
      <c r="P506" s="415"/>
    </row>
    <row r="507" spans="16:16" x14ac:dyDescent="0.2">
      <c r="P507" s="415"/>
    </row>
    <row r="508" spans="16:16" x14ac:dyDescent="0.2">
      <c r="P508" s="415"/>
    </row>
    <row r="509" spans="16:16" x14ac:dyDescent="0.2">
      <c r="P509" s="415"/>
    </row>
    <row r="510" spans="16:16" x14ac:dyDescent="0.2">
      <c r="P510" s="415"/>
    </row>
    <row r="511" spans="16:16" x14ac:dyDescent="0.2">
      <c r="P511" s="415"/>
    </row>
    <row r="512" spans="16:16" x14ac:dyDescent="0.2">
      <c r="P512" s="415"/>
    </row>
    <row r="513" spans="16:16" x14ac:dyDescent="0.2">
      <c r="P513" s="415"/>
    </row>
    <row r="514" spans="16:16" x14ac:dyDescent="0.2">
      <c r="P514" s="415"/>
    </row>
    <row r="515" spans="16:16" x14ac:dyDescent="0.2">
      <c r="P515" s="415"/>
    </row>
    <row r="516" spans="16:16" x14ac:dyDescent="0.2">
      <c r="P516" s="415"/>
    </row>
    <row r="517" spans="16:16" x14ac:dyDescent="0.2">
      <c r="P517" s="415"/>
    </row>
    <row r="518" spans="16:16" x14ac:dyDescent="0.2">
      <c r="P518" s="415"/>
    </row>
    <row r="519" spans="16:16" x14ac:dyDescent="0.2">
      <c r="P519" s="415"/>
    </row>
    <row r="520" spans="16:16" x14ac:dyDescent="0.2">
      <c r="P520" s="415"/>
    </row>
    <row r="521" spans="16:16" x14ac:dyDescent="0.2">
      <c r="P521" s="415"/>
    </row>
    <row r="522" spans="16:16" x14ac:dyDescent="0.2">
      <c r="P522" s="415"/>
    </row>
    <row r="523" spans="16:16" x14ac:dyDescent="0.2">
      <c r="P523" s="415"/>
    </row>
    <row r="524" spans="16:16" x14ac:dyDescent="0.2">
      <c r="P524" s="415"/>
    </row>
    <row r="525" spans="16:16" x14ac:dyDescent="0.2">
      <c r="P525" s="415"/>
    </row>
    <row r="526" spans="16:16" x14ac:dyDescent="0.2">
      <c r="P526" s="415"/>
    </row>
    <row r="527" spans="16:16" x14ac:dyDescent="0.2">
      <c r="P527" s="415"/>
    </row>
    <row r="528" spans="16:16" x14ac:dyDescent="0.2">
      <c r="P528" s="415"/>
    </row>
    <row r="529" spans="16:16" x14ac:dyDescent="0.2">
      <c r="P529" s="415"/>
    </row>
    <row r="530" spans="16:16" x14ac:dyDescent="0.2">
      <c r="P530" s="415"/>
    </row>
    <row r="531" spans="16:16" x14ac:dyDescent="0.2">
      <c r="P531" s="415"/>
    </row>
    <row r="532" spans="16:16" x14ac:dyDescent="0.2">
      <c r="P532" s="415"/>
    </row>
    <row r="533" spans="16:16" x14ac:dyDescent="0.2">
      <c r="P533" s="415"/>
    </row>
    <row r="534" spans="16:16" x14ac:dyDescent="0.2">
      <c r="P534" s="415"/>
    </row>
    <row r="535" spans="16:16" x14ac:dyDescent="0.2">
      <c r="P535" s="415"/>
    </row>
    <row r="536" spans="16:16" x14ac:dyDescent="0.2">
      <c r="P536" s="415"/>
    </row>
    <row r="537" spans="16:16" x14ac:dyDescent="0.2">
      <c r="P537" s="415"/>
    </row>
    <row r="538" spans="16:16" x14ac:dyDescent="0.2">
      <c r="P538" s="415"/>
    </row>
    <row r="539" spans="16:16" x14ac:dyDescent="0.2">
      <c r="P539" s="415"/>
    </row>
    <row r="540" spans="16:16" x14ac:dyDescent="0.2">
      <c r="P540" s="415"/>
    </row>
    <row r="541" spans="16:16" x14ac:dyDescent="0.2">
      <c r="P541" s="415"/>
    </row>
    <row r="542" spans="16:16" x14ac:dyDescent="0.2">
      <c r="P542" s="415"/>
    </row>
    <row r="543" spans="16:16" x14ac:dyDescent="0.2">
      <c r="P543" s="415"/>
    </row>
    <row r="544" spans="16:16" x14ac:dyDescent="0.2">
      <c r="P544" s="415"/>
    </row>
    <row r="545" spans="16:16" x14ac:dyDescent="0.2">
      <c r="P545" s="415"/>
    </row>
    <row r="546" spans="16:16" x14ac:dyDescent="0.2">
      <c r="P546" s="415"/>
    </row>
    <row r="547" spans="16:16" x14ac:dyDescent="0.2">
      <c r="P547" s="415"/>
    </row>
    <row r="548" spans="16:16" x14ac:dyDescent="0.2">
      <c r="P548" s="415"/>
    </row>
    <row r="549" spans="16:16" x14ac:dyDescent="0.2">
      <c r="P549" s="415"/>
    </row>
    <row r="550" spans="16:16" x14ac:dyDescent="0.2">
      <c r="P550" s="415"/>
    </row>
    <row r="551" spans="16:16" x14ac:dyDescent="0.2">
      <c r="P551" s="415"/>
    </row>
    <row r="552" spans="16:16" x14ac:dyDescent="0.2">
      <c r="P552" s="415"/>
    </row>
    <row r="553" spans="16:16" x14ac:dyDescent="0.2">
      <c r="P553" s="415"/>
    </row>
    <row r="554" spans="16:16" x14ac:dyDescent="0.2">
      <c r="P554" s="415"/>
    </row>
    <row r="555" spans="16:16" x14ac:dyDescent="0.2">
      <c r="P555" s="415"/>
    </row>
    <row r="556" spans="16:16" x14ac:dyDescent="0.2">
      <c r="P556" s="415"/>
    </row>
    <row r="557" spans="16:16" x14ac:dyDescent="0.2">
      <c r="P557" s="415"/>
    </row>
    <row r="558" spans="16:16" x14ac:dyDescent="0.2">
      <c r="P558" s="415"/>
    </row>
    <row r="559" spans="16:16" x14ac:dyDescent="0.2">
      <c r="P559" s="415"/>
    </row>
    <row r="560" spans="16:16" x14ac:dyDescent="0.2">
      <c r="P560" s="415"/>
    </row>
    <row r="561" spans="16:16" x14ac:dyDescent="0.2">
      <c r="P561" s="415"/>
    </row>
    <row r="562" spans="16:16" x14ac:dyDescent="0.2">
      <c r="P562" s="415"/>
    </row>
    <row r="563" spans="16:16" x14ac:dyDescent="0.2">
      <c r="P563" s="415"/>
    </row>
    <row r="564" spans="16:16" x14ac:dyDescent="0.2">
      <c r="P564" s="415"/>
    </row>
    <row r="565" spans="16:16" x14ac:dyDescent="0.2">
      <c r="P565" s="415"/>
    </row>
    <row r="566" spans="16:16" x14ac:dyDescent="0.2">
      <c r="P566" s="415"/>
    </row>
    <row r="567" spans="16:16" x14ac:dyDescent="0.2">
      <c r="P567" s="415"/>
    </row>
    <row r="568" spans="16:16" x14ac:dyDescent="0.2">
      <c r="P568" s="415"/>
    </row>
    <row r="569" spans="16:16" x14ac:dyDescent="0.2">
      <c r="P569" s="415"/>
    </row>
    <row r="570" spans="16:16" x14ac:dyDescent="0.2">
      <c r="P570" s="415"/>
    </row>
    <row r="571" spans="16:16" x14ac:dyDescent="0.2">
      <c r="P571" s="415"/>
    </row>
    <row r="572" spans="16:16" x14ac:dyDescent="0.2">
      <c r="P572" s="415"/>
    </row>
    <row r="573" spans="16:16" x14ac:dyDescent="0.2">
      <c r="P573" s="415"/>
    </row>
    <row r="574" spans="16:16" x14ac:dyDescent="0.2">
      <c r="P574" s="415"/>
    </row>
    <row r="575" spans="16:16" x14ac:dyDescent="0.2">
      <c r="P575" s="415"/>
    </row>
    <row r="576" spans="16:16" x14ac:dyDescent="0.2">
      <c r="P576" s="415"/>
    </row>
    <row r="577" spans="16:16" x14ac:dyDescent="0.2">
      <c r="P577" s="415"/>
    </row>
    <row r="578" spans="16:16" x14ac:dyDescent="0.2">
      <c r="P578" s="415"/>
    </row>
    <row r="579" spans="16:16" x14ac:dyDescent="0.2">
      <c r="P579" s="415"/>
    </row>
    <row r="580" spans="16:16" x14ac:dyDescent="0.2">
      <c r="P580" s="415"/>
    </row>
    <row r="581" spans="16:16" x14ac:dyDescent="0.2">
      <c r="P581" s="415"/>
    </row>
    <row r="582" spans="16:16" x14ac:dyDescent="0.2">
      <c r="P582" s="415"/>
    </row>
    <row r="583" spans="16:16" x14ac:dyDescent="0.2">
      <c r="P583" s="415"/>
    </row>
    <row r="584" spans="16:16" x14ac:dyDescent="0.2">
      <c r="P584" s="415"/>
    </row>
    <row r="585" spans="16:16" x14ac:dyDescent="0.2">
      <c r="P585" s="415"/>
    </row>
    <row r="586" spans="16:16" x14ac:dyDescent="0.2">
      <c r="P586" s="415"/>
    </row>
    <row r="587" spans="16:16" x14ac:dyDescent="0.2">
      <c r="P587" s="415"/>
    </row>
    <row r="588" spans="16:16" x14ac:dyDescent="0.2">
      <c r="P588" s="415"/>
    </row>
    <row r="589" spans="16:16" x14ac:dyDescent="0.2">
      <c r="P589" s="415"/>
    </row>
    <row r="590" spans="16:16" x14ac:dyDescent="0.2">
      <c r="P590" s="415"/>
    </row>
    <row r="591" spans="16:16" x14ac:dyDescent="0.2">
      <c r="P591" s="415"/>
    </row>
    <row r="592" spans="16:16" x14ac:dyDescent="0.2">
      <c r="P592" s="415"/>
    </row>
    <row r="593" spans="16:16" x14ac:dyDescent="0.2">
      <c r="P593" s="415"/>
    </row>
    <row r="594" spans="16:16" x14ac:dyDescent="0.2">
      <c r="P594" s="415"/>
    </row>
    <row r="595" spans="16:16" x14ac:dyDescent="0.2">
      <c r="P595" s="415"/>
    </row>
    <row r="596" spans="16:16" x14ac:dyDescent="0.2">
      <c r="P596" s="415"/>
    </row>
    <row r="597" spans="16:16" x14ac:dyDescent="0.2">
      <c r="P597" s="415"/>
    </row>
    <row r="598" spans="16:16" x14ac:dyDescent="0.2">
      <c r="P598" s="415"/>
    </row>
    <row r="599" spans="16:16" x14ac:dyDescent="0.2">
      <c r="P599" s="415"/>
    </row>
    <row r="600" spans="16:16" x14ac:dyDescent="0.2">
      <c r="P600" s="415"/>
    </row>
    <row r="601" spans="16:16" x14ac:dyDescent="0.2">
      <c r="P601" s="415"/>
    </row>
    <row r="602" spans="16:16" x14ac:dyDescent="0.2">
      <c r="P602" s="415"/>
    </row>
    <row r="603" spans="16:16" x14ac:dyDescent="0.2">
      <c r="P603" s="415"/>
    </row>
    <row r="604" spans="16:16" x14ac:dyDescent="0.2">
      <c r="P604" s="415"/>
    </row>
    <row r="605" spans="16:16" x14ac:dyDescent="0.2">
      <c r="P605" s="415"/>
    </row>
    <row r="606" spans="16:16" x14ac:dyDescent="0.2">
      <c r="P606" s="415"/>
    </row>
    <row r="607" spans="16:16" x14ac:dyDescent="0.2">
      <c r="P607" s="415"/>
    </row>
    <row r="608" spans="16:16" x14ac:dyDescent="0.2">
      <c r="P608" s="415"/>
    </row>
    <row r="609" spans="16:16" x14ac:dyDescent="0.2">
      <c r="P609" s="415"/>
    </row>
    <row r="610" spans="16:16" x14ac:dyDescent="0.2">
      <c r="P610" s="415"/>
    </row>
    <row r="611" spans="16:16" x14ac:dyDescent="0.2">
      <c r="P611" s="415"/>
    </row>
    <row r="612" spans="16:16" x14ac:dyDescent="0.2">
      <c r="P612" s="415"/>
    </row>
    <row r="613" spans="16:16" x14ac:dyDescent="0.2">
      <c r="P613" s="415"/>
    </row>
    <row r="614" spans="16:16" x14ac:dyDescent="0.2">
      <c r="P614" s="415"/>
    </row>
    <row r="615" spans="16:16" x14ac:dyDescent="0.2">
      <c r="P615" s="415"/>
    </row>
    <row r="616" spans="16:16" x14ac:dyDescent="0.2">
      <c r="P616" s="415"/>
    </row>
    <row r="617" spans="16:16" x14ac:dyDescent="0.2">
      <c r="P617" s="415"/>
    </row>
    <row r="618" spans="16:16" x14ac:dyDescent="0.2">
      <c r="P618" s="415"/>
    </row>
    <row r="619" spans="16:16" x14ac:dyDescent="0.2">
      <c r="P619" s="415"/>
    </row>
    <row r="620" spans="16:16" x14ac:dyDescent="0.2">
      <c r="P620" s="415"/>
    </row>
    <row r="621" spans="16:16" x14ac:dyDescent="0.2">
      <c r="P621" s="415"/>
    </row>
    <row r="622" spans="16:16" x14ac:dyDescent="0.2">
      <c r="P622" s="415"/>
    </row>
    <row r="623" spans="16:16" x14ac:dyDescent="0.2">
      <c r="P623" s="415"/>
    </row>
    <row r="624" spans="16:16" x14ac:dyDescent="0.2">
      <c r="P624" s="415"/>
    </row>
    <row r="625" spans="16:16" x14ac:dyDescent="0.2">
      <c r="P625" s="415"/>
    </row>
    <row r="626" spans="16:16" x14ac:dyDescent="0.2">
      <c r="P626" s="415"/>
    </row>
    <row r="627" spans="16:16" x14ac:dyDescent="0.2">
      <c r="P627" s="415"/>
    </row>
    <row r="628" spans="16:16" x14ac:dyDescent="0.2">
      <c r="P628" s="415"/>
    </row>
    <row r="629" spans="16:16" x14ac:dyDescent="0.2">
      <c r="P629" s="415"/>
    </row>
    <row r="630" spans="16:16" x14ac:dyDescent="0.2">
      <c r="P630" s="415"/>
    </row>
    <row r="631" spans="16:16" x14ac:dyDescent="0.2">
      <c r="P631" s="415"/>
    </row>
    <row r="632" spans="16:16" x14ac:dyDescent="0.2">
      <c r="P632" s="415"/>
    </row>
    <row r="633" spans="16:16" x14ac:dyDescent="0.2">
      <c r="P633" s="415"/>
    </row>
    <row r="634" spans="16:16" x14ac:dyDescent="0.2">
      <c r="P634" s="415"/>
    </row>
    <row r="635" spans="16:16" x14ac:dyDescent="0.2">
      <c r="P635" s="415"/>
    </row>
    <row r="636" spans="16:16" x14ac:dyDescent="0.2">
      <c r="P636" s="415"/>
    </row>
    <row r="637" spans="16:16" x14ac:dyDescent="0.2">
      <c r="P637" s="415"/>
    </row>
    <row r="638" spans="16:16" x14ac:dyDescent="0.2">
      <c r="P638" s="415"/>
    </row>
    <row r="639" spans="16:16" x14ac:dyDescent="0.2">
      <c r="P639" s="415"/>
    </row>
    <row r="640" spans="16:16" x14ac:dyDescent="0.2">
      <c r="P640" s="415"/>
    </row>
    <row r="641" spans="16:16" x14ac:dyDescent="0.2">
      <c r="P641" s="415"/>
    </row>
    <row r="642" spans="16:16" x14ac:dyDescent="0.2">
      <c r="P642" s="415"/>
    </row>
    <row r="643" spans="16:16" x14ac:dyDescent="0.2">
      <c r="P643" s="415"/>
    </row>
    <row r="644" spans="16:16" x14ac:dyDescent="0.2">
      <c r="P644" s="415"/>
    </row>
    <row r="645" spans="16:16" x14ac:dyDescent="0.2">
      <c r="P645" s="415"/>
    </row>
    <row r="646" spans="16:16" x14ac:dyDescent="0.2">
      <c r="P646" s="415"/>
    </row>
    <row r="647" spans="16:16" x14ac:dyDescent="0.2">
      <c r="P647" s="415"/>
    </row>
    <row r="648" spans="16:16" x14ac:dyDescent="0.2">
      <c r="P648" s="415"/>
    </row>
    <row r="649" spans="16:16" x14ac:dyDescent="0.2">
      <c r="P649" s="415"/>
    </row>
    <row r="650" spans="16:16" x14ac:dyDescent="0.2">
      <c r="P650" s="415"/>
    </row>
    <row r="651" spans="16:16" x14ac:dyDescent="0.2">
      <c r="P651" s="415"/>
    </row>
    <row r="652" spans="16:16" x14ac:dyDescent="0.2">
      <c r="P652" s="415"/>
    </row>
    <row r="653" spans="16:16" x14ac:dyDescent="0.2">
      <c r="P653" s="415"/>
    </row>
    <row r="654" spans="16:16" x14ac:dyDescent="0.2">
      <c r="P654" s="415"/>
    </row>
    <row r="655" spans="16:16" x14ac:dyDescent="0.2">
      <c r="P655" s="415"/>
    </row>
    <row r="656" spans="16:16" x14ac:dyDescent="0.2">
      <c r="P656" s="415"/>
    </row>
    <row r="657" spans="16:16" x14ac:dyDescent="0.2">
      <c r="P657" s="415"/>
    </row>
    <row r="658" spans="16:16" x14ac:dyDescent="0.2">
      <c r="P658" s="415"/>
    </row>
    <row r="659" spans="16:16" x14ac:dyDescent="0.2">
      <c r="P659" s="415"/>
    </row>
    <row r="660" spans="16:16" x14ac:dyDescent="0.2">
      <c r="P660" s="415"/>
    </row>
    <row r="661" spans="16:16" x14ac:dyDescent="0.2">
      <c r="P661" s="415"/>
    </row>
    <row r="662" spans="16:16" x14ac:dyDescent="0.2">
      <c r="P662" s="415"/>
    </row>
    <row r="663" spans="16:16" x14ac:dyDescent="0.2">
      <c r="P663" s="415"/>
    </row>
    <row r="664" spans="16:16" x14ac:dyDescent="0.2">
      <c r="P664" s="415"/>
    </row>
    <row r="665" spans="16:16" x14ac:dyDescent="0.2">
      <c r="P665" s="415"/>
    </row>
    <row r="666" spans="16:16" x14ac:dyDescent="0.2">
      <c r="P666" s="415"/>
    </row>
    <row r="667" spans="16:16" x14ac:dyDescent="0.2">
      <c r="P667" s="415"/>
    </row>
    <row r="668" spans="16:16" x14ac:dyDescent="0.2">
      <c r="P668" s="415"/>
    </row>
    <row r="669" spans="16:16" x14ac:dyDescent="0.2">
      <c r="P669" s="415"/>
    </row>
    <row r="670" spans="16:16" x14ac:dyDescent="0.2">
      <c r="P670" s="415"/>
    </row>
    <row r="671" spans="16:16" x14ac:dyDescent="0.2">
      <c r="P671" s="415"/>
    </row>
    <row r="672" spans="16:16" x14ac:dyDescent="0.2">
      <c r="P672" s="415"/>
    </row>
    <row r="673" spans="16:16" x14ac:dyDescent="0.2">
      <c r="P673" s="415"/>
    </row>
    <row r="674" spans="16:16" x14ac:dyDescent="0.2">
      <c r="P674" s="415"/>
    </row>
    <row r="675" spans="16:16" x14ac:dyDescent="0.2">
      <c r="P675" s="415"/>
    </row>
    <row r="676" spans="16:16" x14ac:dyDescent="0.2">
      <c r="P676" s="415"/>
    </row>
    <row r="677" spans="16:16" x14ac:dyDescent="0.2">
      <c r="P677" s="415"/>
    </row>
    <row r="678" spans="16:16" x14ac:dyDescent="0.2">
      <c r="P678" s="415"/>
    </row>
    <row r="679" spans="16:16" x14ac:dyDescent="0.2">
      <c r="P679" s="415"/>
    </row>
    <row r="680" spans="16:16" x14ac:dyDescent="0.2">
      <c r="P680" s="415"/>
    </row>
    <row r="681" spans="16:16" x14ac:dyDescent="0.2">
      <c r="P681" s="415"/>
    </row>
    <row r="682" spans="16:16" x14ac:dyDescent="0.2">
      <c r="P682" s="415"/>
    </row>
    <row r="683" spans="16:16" x14ac:dyDescent="0.2">
      <c r="P683" s="415"/>
    </row>
    <row r="684" spans="16:16" x14ac:dyDescent="0.2">
      <c r="P684" s="415"/>
    </row>
    <row r="685" spans="16:16" x14ac:dyDescent="0.2">
      <c r="P685" s="415"/>
    </row>
    <row r="686" spans="16:16" x14ac:dyDescent="0.2">
      <c r="P686" s="415"/>
    </row>
    <row r="687" spans="16:16" x14ac:dyDescent="0.2">
      <c r="P687" s="415"/>
    </row>
    <row r="688" spans="16:16" x14ac:dyDescent="0.2">
      <c r="P688" s="415"/>
    </row>
    <row r="689" spans="16:16" x14ac:dyDescent="0.2">
      <c r="P689" s="415"/>
    </row>
    <row r="690" spans="16:16" x14ac:dyDescent="0.2">
      <c r="P690" s="415"/>
    </row>
    <row r="691" spans="16:16" x14ac:dyDescent="0.2">
      <c r="P691" s="415"/>
    </row>
    <row r="692" spans="16:16" x14ac:dyDescent="0.2">
      <c r="P692" s="415"/>
    </row>
    <row r="693" spans="16:16" x14ac:dyDescent="0.2">
      <c r="P693" s="415"/>
    </row>
    <row r="694" spans="16:16" x14ac:dyDescent="0.2">
      <c r="P694" s="415"/>
    </row>
    <row r="695" spans="16:16" x14ac:dyDescent="0.2">
      <c r="P695" s="415"/>
    </row>
    <row r="696" spans="16:16" x14ac:dyDescent="0.2">
      <c r="P696" s="415"/>
    </row>
    <row r="697" spans="16:16" x14ac:dyDescent="0.2">
      <c r="P697" s="415"/>
    </row>
    <row r="698" spans="16:16" x14ac:dyDescent="0.2">
      <c r="P698" s="415"/>
    </row>
    <row r="699" spans="16:16" x14ac:dyDescent="0.2">
      <c r="P699" s="415"/>
    </row>
    <row r="700" spans="16:16" x14ac:dyDescent="0.2">
      <c r="P700" s="415"/>
    </row>
    <row r="701" spans="16:16" x14ac:dyDescent="0.2">
      <c r="P701" s="415"/>
    </row>
    <row r="702" spans="16:16" x14ac:dyDescent="0.2">
      <c r="P702" s="415"/>
    </row>
    <row r="703" spans="16:16" x14ac:dyDescent="0.2">
      <c r="P703" s="415"/>
    </row>
    <row r="704" spans="16:16" x14ac:dyDescent="0.2">
      <c r="P704" s="415"/>
    </row>
    <row r="705" spans="16:16" x14ac:dyDescent="0.2">
      <c r="P705" s="415"/>
    </row>
    <row r="706" spans="16:16" x14ac:dyDescent="0.2">
      <c r="P706" s="415"/>
    </row>
    <row r="707" spans="16:16" x14ac:dyDescent="0.2">
      <c r="P707" s="415"/>
    </row>
    <row r="708" spans="16:16" x14ac:dyDescent="0.2">
      <c r="P708" s="415"/>
    </row>
    <row r="709" spans="16:16" x14ac:dyDescent="0.2">
      <c r="P709" s="415"/>
    </row>
    <row r="710" spans="16:16" x14ac:dyDescent="0.2">
      <c r="P710" s="415"/>
    </row>
    <row r="711" spans="16:16" x14ac:dyDescent="0.2">
      <c r="P711" s="415"/>
    </row>
    <row r="712" spans="16:16" x14ac:dyDescent="0.2">
      <c r="P712" s="415"/>
    </row>
    <row r="713" spans="16:16" x14ac:dyDescent="0.2">
      <c r="P713" s="415"/>
    </row>
    <row r="714" spans="16:16" x14ac:dyDescent="0.2">
      <c r="P714" s="415"/>
    </row>
    <row r="715" spans="16:16" x14ac:dyDescent="0.2">
      <c r="P715" s="415"/>
    </row>
    <row r="716" spans="16:16" x14ac:dyDescent="0.2">
      <c r="P716" s="415"/>
    </row>
    <row r="717" spans="16:16" x14ac:dyDescent="0.2">
      <c r="P717" s="415"/>
    </row>
    <row r="718" spans="16:16" x14ac:dyDescent="0.2">
      <c r="P718" s="415"/>
    </row>
    <row r="719" spans="16:16" x14ac:dyDescent="0.2">
      <c r="P719" s="415"/>
    </row>
    <row r="720" spans="16:16" x14ac:dyDescent="0.2">
      <c r="P720" s="415"/>
    </row>
    <row r="721" spans="16:16" x14ac:dyDescent="0.2">
      <c r="P721" s="415"/>
    </row>
    <row r="722" spans="16:16" x14ac:dyDescent="0.2">
      <c r="P722" s="415"/>
    </row>
    <row r="723" spans="16:16" x14ac:dyDescent="0.2">
      <c r="P723" s="415"/>
    </row>
    <row r="724" spans="16:16" x14ac:dyDescent="0.2">
      <c r="P724" s="415"/>
    </row>
    <row r="725" spans="16:16" x14ac:dyDescent="0.2">
      <c r="P725" s="415"/>
    </row>
    <row r="726" spans="16:16" x14ac:dyDescent="0.2">
      <c r="P726" s="415"/>
    </row>
    <row r="727" spans="16:16" x14ac:dyDescent="0.2">
      <c r="P727" s="415"/>
    </row>
    <row r="728" spans="16:16" x14ac:dyDescent="0.2">
      <c r="P728" s="415"/>
    </row>
    <row r="729" spans="16:16" x14ac:dyDescent="0.2">
      <c r="P729" s="415"/>
    </row>
    <row r="730" spans="16:16" x14ac:dyDescent="0.2">
      <c r="P730" s="415"/>
    </row>
    <row r="731" spans="16:16" x14ac:dyDescent="0.2">
      <c r="P731" s="415"/>
    </row>
    <row r="732" spans="16:16" x14ac:dyDescent="0.2">
      <c r="P732" s="415"/>
    </row>
    <row r="733" spans="16:16" x14ac:dyDescent="0.2">
      <c r="P733" s="415"/>
    </row>
    <row r="734" spans="16:16" x14ac:dyDescent="0.2">
      <c r="P734" s="415"/>
    </row>
    <row r="735" spans="16:16" x14ac:dyDescent="0.2">
      <c r="P735" s="415"/>
    </row>
    <row r="736" spans="16:16" x14ac:dyDescent="0.2">
      <c r="P736" s="415"/>
    </row>
    <row r="737" spans="16:16" x14ac:dyDescent="0.2">
      <c r="P737" s="415"/>
    </row>
    <row r="738" spans="16:16" x14ac:dyDescent="0.2">
      <c r="P738" s="415"/>
    </row>
    <row r="739" spans="16:16" x14ac:dyDescent="0.2">
      <c r="P739" s="415"/>
    </row>
    <row r="740" spans="16:16" x14ac:dyDescent="0.2">
      <c r="P740" s="415"/>
    </row>
    <row r="741" spans="16:16" x14ac:dyDescent="0.2">
      <c r="P741" s="415"/>
    </row>
    <row r="742" spans="16:16" x14ac:dyDescent="0.2">
      <c r="P742" s="415"/>
    </row>
    <row r="743" spans="16:16" x14ac:dyDescent="0.2">
      <c r="P743" s="415"/>
    </row>
    <row r="744" spans="16:16" x14ac:dyDescent="0.2">
      <c r="P744" s="415"/>
    </row>
    <row r="745" spans="16:16" x14ac:dyDescent="0.2">
      <c r="P745" s="415"/>
    </row>
    <row r="746" spans="16:16" x14ac:dyDescent="0.2">
      <c r="P746" s="415"/>
    </row>
    <row r="747" spans="16:16" x14ac:dyDescent="0.2">
      <c r="P747" s="415"/>
    </row>
    <row r="748" spans="16:16" x14ac:dyDescent="0.2">
      <c r="P748" s="415"/>
    </row>
    <row r="749" spans="16:16" x14ac:dyDescent="0.2">
      <c r="P749" s="415"/>
    </row>
    <row r="750" spans="16:16" x14ac:dyDescent="0.2">
      <c r="P750" s="415"/>
    </row>
    <row r="751" spans="16:16" x14ac:dyDescent="0.2">
      <c r="P751" s="415"/>
    </row>
    <row r="752" spans="16:16" x14ac:dyDescent="0.2">
      <c r="P752" s="415"/>
    </row>
    <row r="753" spans="16:16" x14ac:dyDescent="0.2">
      <c r="P753" s="415"/>
    </row>
    <row r="754" spans="16:16" x14ac:dyDescent="0.2">
      <c r="P754" s="415"/>
    </row>
    <row r="755" spans="16:16" x14ac:dyDescent="0.2">
      <c r="P755" s="415"/>
    </row>
    <row r="756" spans="16:16" x14ac:dyDescent="0.2">
      <c r="P756" s="415"/>
    </row>
    <row r="757" spans="16:16" x14ac:dyDescent="0.2">
      <c r="P757" s="415"/>
    </row>
    <row r="758" spans="16:16" x14ac:dyDescent="0.2">
      <c r="P758" s="415"/>
    </row>
    <row r="759" spans="16:16" x14ac:dyDescent="0.2">
      <c r="P759" s="415"/>
    </row>
    <row r="760" spans="16:16" x14ac:dyDescent="0.2">
      <c r="P760" s="415"/>
    </row>
    <row r="761" spans="16:16" x14ac:dyDescent="0.2">
      <c r="P761" s="415"/>
    </row>
    <row r="762" spans="16:16" x14ac:dyDescent="0.2">
      <c r="P762" s="415"/>
    </row>
    <row r="763" spans="16:16" x14ac:dyDescent="0.2">
      <c r="P763" s="415"/>
    </row>
    <row r="764" spans="16:16" x14ac:dyDescent="0.2">
      <c r="P764" s="415"/>
    </row>
    <row r="765" spans="16:16" x14ac:dyDescent="0.2">
      <c r="P765" s="415"/>
    </row>
    <row r="766" spans="16:16" x14ac:dyDescent="0.2">
      <c r="P766" s="415"/>
    </row>
    <row r="767" spans="16:16" x14ac:dyDescent="0.2">
      <c r="P767" s="415"/>
    </row>
    <row r="768" spans="16:16" x14ac:dyDescent="0.2">
      <c r="P768" s="415"/>
    </row>
    <row r="769" spans="16:16" x14ac:dyDescent="0.2">
      <c r="P769" s="415"/>
    </row>
    <row r="770" spans="16:16" x14ac:dyDescent="0.2">
      <c r="P770" s="415"/>
    </row>
    <row r="771" spans="16:16" x14ac:dyDescent="0.2">
      <c r="P771" s="415"/>
    </row>
    <row r="772" spans="16:16" x14ac:dyDescent="0.2">
      <c r="P772" s="415"/>
    </row>
    <row r="773" spans="16:16" x14ac:dyDescent="0.2">
      <c r="P773" s="415"/>
    </row>
    <row r="774" spans="16:16" x14ac:dyDescent="0.2">
      <c r="P774" s="415"/>
    </row>
    <row r="775" spans="16:16" x14ac:dyDescent="0.2">
      <c r="P775" s="415"/>
    </row>
    <row r="776" spans="16:16" x14ac:dyDescent="0.2">
      <c r="P776" s="415"/>
    </row>
    <row r="777" spans="16:16" x14ac:dyDescent="0.2">
      <c r="P777" s="415"/>
    </row>
    <row r="778" spans="16:16" x14ac:dyDescent="0.2">
      <c r="P778" s="415"/>
    </row>
    <row r="779" spans="16:16" x14ac:dyDescent="0.2">
      <c r="P779" s="415"/>
    </row>
    <row r="780" spans="16:16" x14ac:dyDescent="0.2">
      <c r="P780" s="415"/>
    </row>
    <row r="781" spans="16:16" x14ac:dyDescent="0.2">
      <c r="P781" s="415"/>
    </row>
    <row r="782" spans="16:16" x14ac:dyDescent="0.2">
      <c r="P782" s="415"/>
    </row>
    <row r="783" spans="16:16" x14ac:dyDescent="0.2">
      <c r="P783" s="415"/>
    </row>
    <row r="784" spans="16:16" x14ac:dyDescent="0.2">
      <c r="P784" s="415"/>
    </row>
    <row r="785" spans="16:16" x14ac:dyDescent="0.2">
      <c r="P785" s="415"/>
    </row>
    <row r="786" spans="16:16" x14ac:dyDescent="0.2">
      <c r="P786" s="415"/>
    </row>
    <row r="787" spans="16:16" x14ac:dyDescent="0.2">
      <c r="P787" s="415"/>
    </row>
    <row r="788" spans="16:16" x14ac:dyDescent="0.2">
      <c r="P788" s="415"/>
    </row>
    <row r="789" spans="16:16" x14ac:dyDescent="0.2">
      <c r="P789" s="415"/>
    </row>
    <row r="790" spans="16:16" x14ac:dyDescent="0.2">
      <c r="P790" s="415"/>
    </row>
    <row r="791" spans="16:16" x14ac:dyDescent="0.2">
      <c r="P791" s="415"/>
    </row>
    <row r="792" spans="16:16" x14ac:dyDescent="0.2">
      <c r="P792" s="415"/>
    </row>
    <row r="793" spans="16:16" x14ac:dyDescent="0.2">
      <c r="P793" s="415"/>
    </row>
    <row r="794" spans="16:16" x14ac:dyDescent="0.2">
      <c r="P794" s="415"/>
    </row>
    <row r="795" spans="16:16" x14ac:dyDescent="0.2">
      <c r="P795" s="415"/>
    </row>
    <row r="796" spans="16:16" x14ac:dyDescent="0.2">
      <c r="P796" s="415"/>
    </row>
    <row r="797" spans="16:16" x14ac:dyDescent="0.2">
      <c r="P797" s="415"/>
    </row>
    <row r="798" spans="16:16" x14ac:dyDescent="0.2">
      <c r="P798" s="415"/>
    </row>
    <row r="799" spans="16:16" x14ac:dyDescent="0.2">
      <c r="P799" s="415"/>
    </row>
    <row r="800" spans="16:16" x14ac:dyDescent="0.2">
      <c r="P800" s="415"/>
    </row>
    <row r="801" spans="16:16" x14ac:dyDescent="0.2">
      <c r="P801" s="415"/>
    </row>
    <row r="802" spans="16:16" x14ac:dyDescent="0.2">
      <c r="P802" s="415"/>
    </row>
    <row r="803" spans="16:16" x14ac:dyDescent="0.2">
      <c r="P803" s="415"/>
    </row>
    <row r="804" spans="16:16" x14ac:dyDescent="0.2">
      <c r="P804" s="415"/>
    </row>
    <row r="805" spans="16:16" x14ac:dyDescent="0.2">
      <c r="P805" s="415"/>
    </row>
    <row r="806" spans="16:16" x14ac:dyDescent="0.2">
      <c r="P806" s="415"/>
    </row>
    <row r="807" spans="16:16" x14ac:dyDescent="0.2">
      <c r="P807" s="415"/>
    </row>
    <row r="808" spans="16:16" x14ac:dyDescent="0.2">
      <c r="P808" s="415"/>
    </row>
    <row r="809" spans="16:16" x14ac:dyDescent="0.2">
      <c r="P809" s="415"/>
    </row>
    <row r="810" spans="16:16" x14ac:dyDescent="0.2">
      <c r="P810" s="415"/>
    </row>
    <row r="811" spans="16:16" x14ac:dyDescent="0.2">
      <c r="P811" s="415"/>
    </row>
    <row r="812" spans="16:16" x14ac:dyDescent="0.2">
      <c r="P812" s="415"/>
    </row>
    <row r="813" spans="16:16" x14ac:dyDescent="0.2">
      <c r="P813" s="415"/>
    </row>
    <row r="814" spans="16:16" x14ac:dyDescent="0.2">
      <c r="P814" s="415"/>
    </row>
    <row r="815" spans="16:16" x14ac:dyDescent="0.2">
      <c r="P815" s="415"/>
    </row>
    <row r="816" spans="16:16" x14ac:dyDescent="0.2">
      <c r="P816" s="415"/>
    </row>
    <row r="817" spans="16:16" x14ac:dyDescent="0.2">
      <c r="P817" s="415"/>
    </row>
    <row r="818" spans="16:16" x14ac:dyDescent="0.2">
      <c r="P818" s="415"/>
    </row>
    <row r="819" spans="16:16" x14ac:dyDescent="0.2">
      <c r="P819" s="415"/>
    </row>
    <row r="820" spans="16:16" x14ac:dyDescent="0.2">
      <c r="P820" s="415"/>
    </row>
    <row r="821" spans="16:16" x14ac:dyDescent="0.2">
      <c r="P821" s="415"/>
    </row>
    <row r="822" spans="16:16" x14ac:dyDescent="0.2">
      <c r="P822" s="415"/>
    </row>
    <row r="823" spans="16:16" x14ac:dyDescent="0.2">
      <c r="P823" s="415"/>
    </row>
    <row r="824" spans="16:16" x14ac:dyDescent="0.2">
      <c r="P824" s="415"/>
    </row>
    <row r="825" spans="16:16" x14ac:dyDescent="0.2">
      <c r="P825" s="415"/>
    </row>
    <row r="826" spans="16:16" x14ac:dyDescent="0.2">
      <c r="P826" s="415"/>
    </row>
    <row r="827" spans="16:16" x14ac:dyDescent="0.2">
      <c r="P827" s="415"/>
    </row>
    <row r="828" spans="16:16" x14ac:dyDescent="0.2">
      <c r="P828" s="415"/>
    </row>
    <row r="829" spans="16:16" x14ac:dyDescent="0.2">
      <c r="P829" s="415"/>
    </row>
    <row r="830" spans="16:16" x14ac:dyDescent="0.2">
      <c r="P830" s="415"/>
    </row>
    <row r="831" spans="16:16" x14ac:dyDescent="0.2">
      <c r="P831" s="415"/>
    </row>
    <row r="832" spans="16:16" x14ac:dyDescent="0.2">
      <c r="P832" s="415"/>
    </row>
    <row r="833" spans="16:16" x14ac:dyDescent="0.2">
      <c r="P833" s="415"/>
    </row>
    <row r="834" spans="16:16" x14ac:dyDescent="0.2">
      <c r="P834" s="415"/>
    </row>
    <row r="835" spans="16:16" x14ac:dyDescent="0.2">
      <c r="P835" s="415"/>
    </row>
    <row r="836" spans="16:16" x14ac:dyDescent="0.2">
      <c r="P836" s="415"/>
    </row>
    <row r="837" spans="16:16" x14ac:dyDescent="0.2">
      <c r="P837" s="415"/>
    </row>
    <row r="838" spans="16:16" x14ac:dyDescent="0.2">
      <c r="P838" s="415"/>
    </row>
    <row r="839" spans="16:16" x14ac:dyDescent="0.2">
      <c r="P839" s="415"/>
    </row>
    <row r="840" spans="16:16" x14ac:dyDescent="0.2">
      <c r="P840" s="415"/>
    </row>
    <row r="841" spans="16:16" x14ac:dyDescent="0.2">
      <c r="P841" s="415"/>
    </row>
    <row r="842" spans="16:16" x14ac:dyDescent="0.2">
      <c r="P842" s="415"/>
    </row>
    <row r="843" spans="16:16" x14ac:dyDescent="0.2">
      <c r="P843" s="415"/>
    </row>
    <row r="844" spans="16:16" x14ac:dyDescent="0.2">
      <c r="P844" s="415"/>
    </row>
    <row r="845" spans="16:16" x14ac:dyDescent="0.2">
      <c r="P845" s="415"/>
    </row>
    <row r="846" spans="16:16" x14ac:dyDescent="0.2">
      <c r="P846" s="415"/>
    </row>
    <row r="847" spans="16:16" x14ac:dyDescent="0.2">
      <c r="P847" s="415"/>
    </row>
    <row r="848" spans="16:16" x14ac:dyDescent="0.2">
      <c r="P848" s="415"/>
    </row>
    <row r="849" spans="16:16" x14ac:dyDescent="0.2">
      <c r="P849" s="415"/>
    </row>
    <row r="850" spans="16:16" x14ac:dyDescent="0.2">
      <c r="P850" s="415"/>
    </row>
    <row r="851" spans="16:16" x14ac:dyDescent="0.2">
      <c r="P851" s="415"/>
    </row>
    <row r="852" spans="16:16" x14ac:dyDescent="0.2">
      <c r="P852" s="415"/>
    </row>
    <row r="853" spans="16:16" x14ac:dyDescent="0.2">
      <c r="P853" s="415"/>
    </row>
    <row r="854" spans="16:16" x14ac:dyDescent="0.2">
      <c r="P854" s="415"/>
    </row>
    <row r="855" spans="16:16" x14ac:dyDescent="0.2">
      <c r="P855" s="415"/>
    </row>
    <row r="856" spans="16:16" x14ac:dyDescent="0.2">
      <c r="P856" s="415"/>
    </row>
    <row r="857" spans="16:16" x14ac:dyDescent="0.2">
      <c r="P857" s="415"/>
    </row>
    <row r="858" spans="16:16" x14ac:dyDescent="0.2">
      <c r="P858" s="415"/>
    </row>
    <row r="859" spans="16:16" x14ac:dyDescent="0.2">
      <c r="P859" s="415"/>
    </row>
    <row r="860" spans="16:16" x14ac:dyDescent="0.2">
      <c r="P860" s="415"/>
    </row>
    <row r="861" spans="16:16" x14ac:dyDescent="0.2">
      <c r="P861" s="415"/>
    </row>
    <row r="862" spans="16:16" x14ac:dyDescent="0.2">
      <c r="P862" s="415"/>
    </row>
    <row r="863" spans="16:16" x14ac:dyDescent="0.2">
      <c r="P863" s="415"/>
    </row>
    <row r="864" spans="16:16" x14ac:dyDescent="0.2">
      <c r="P864" s="415"/>
    </row>
    <row r="865" spans="16:16" x14ac:dyDescent="0.2">
      <c r="P865" s="415"/>
    </row>
    <row r="866" spans="16:16" x14ac:dyDescent="0.2">
      <c r="P866" s="415"/>
    </row>
    <row r="867" spans="16:16" x14ac:dyDescent="0.2">
      <c r="P867" s="415"/>
    </row>
    <row r="868" spans="16:16" x14ac:dyDescent="0.2">
      <c r="P868" s="415"/>
    </row>
    <row r="869" spans="16:16" x14ac:dyDescent="0.2">
      <c r="P869" s="415"/>
    </row>
    <row r="870" spans="16:16" x14ac:dyDescent="0.2">
      <c r="P870" s="415"/>
    </row>
    <row r="871" spans="16:16" x14ac:dyDescent="0.2">
      <c r="P871" s="415"/>
    </row>
    <row r="872" spans="16:16" x14ac:dyDescent="0.2">
      <c r="P872" s="415"/>
    </row>
    <row r="873" spans="16:16" x14ac:dyDescent="0.2">
      <c r="P873" s="415"/>
    </row>
    <row r="874" spans="16:16" x14ac:dyDescent="0.2">
      <c r="P874" s="415"/>
    </row>
    <row r="875" spans="16:16" x14ac:dyDescent="0.2">
      <c r="P875" s="415"/>
    </row>
    <row r="876" spans="16:16" x14ac:dyDescent="0.2">
      <c r="P876" s="415"/>
    </row>
    <row r="877" spans="16:16" x14ac:dyDescent="0.2">
      <c r="P877" s="415"/>
    </row>
    <row r="878" spans="16:16" x14ac:dyDescent="0.2">
      <c r="P878" s="415"/>
    </row>
    <row r="879" spans="16:16" x14ac:dyDescent="0.2">
      <c r="P879" s="415"/>
    </row>
    <row r="880" spans="16:16" x14ac:dyDescent="0.2">
      <c r="P880" s="415"/>
    </row>
    <row r="881" spans="16:16" x14ac:dyDescent="0.2">
      <c r="P881" s="415"/>
    </row>
    <row r="882" spans="16:16" x14ac:dyDescent="0.2">
      <c r="P882" s="415"/>
    </row>
    <row r="883" spans="16:16" x14ac:dyDescent="0.2">
      <c r="P883" s="415"/>
    </row>
    <row r="884" spans="16:16" x14ac:dyDescent="0.2">
      <c r="P884" s="415"/>
    </row>
    <row r="885" spans="16:16" x14ac:dyDescent="0.2">
      <c r="P885" s="415"/>
    </row>
    <row r="886" spans="16:16" x14ac:dyDescent="0.2">
      <c r="P886" s="415"/>
    </row>
    <row r="887" spans="16:16" x14ac:dyDescent="0.2">
      <c r="P887" s="415"/>
    </row>
    <row r="888" spans="16:16" x14ac:dyDescent="0.2">
      <c r="P888" s="415"/>
    </row>
    <row r="889" spans="16:16" x14ac:dyDescent="0.2">
      <c r="P889" s="415"/>
    </row>
    <row r="890" spans="16:16" x14ac:dyDescent="0.2">
      <c r="P890" s="415"/>
    </row>
    <row r="891" spans="16:16" x14ac:dyDescent="0.2">
      <c r="P891" s="415"/>
    </row>
    <row r="892" spans="16:16" x14ac:dyDescent="0.2">
      <c r="P892" s="415"/>
    </row>
    <row r="893" spans="16:16" x14ac:dyDescent="0.2">
      <c r="P893" s="415"/>
    </row>
    <row r="894" spans="16:16" x14ac:dyDescent="0.2">
      <c r="P894" s="415"/>
    </row>
    <row r="895" spans="16:16" x14ac:dyDescent="0.2">
      <c r="P895" s="415"/>
    </row>
    <row r="896" spans="16:16" x14ac:dyDescent="0.2">
      <c r="P896" s="415"/>
    </row>
    <row r="897" spans="16:16" x14ac:dyDescent="0.2">
      <c r="P897" s="415"/>
    </row>
    <row r="898" spans="16:16" x14ac:dyDescent="0.2">
      <c r="P898" s="415"/>
    </row>
    <row r="899" spans="16:16" x14ac:dyDescent="0.2">
      <c r="P899" s="415"/>
    </row>
    <row r="900" spans="16:16" x14ac:dyDescent="0.2">
      <c r="P900" s="415"/>
    </row>
    <row r="901" spans="16:16" x14ac:dyDescent="0.2">
      <c r="P901" s="415"/>
    </row>
    <row r="902" spans="16:16" x14ac:dyDescent="0.2">
      <c r="P902" s="415"/>
    </row>
    <row r="903" spans="16:16" x14ac:dyDescent="0.2">
      <c r="P903" s="415"/>
    </row>
    <row r="904" spans="16:16" x14ac:dyDescent="0.2">
      <c r="P904" s="415"/>
    </row>
    <row r="905" spans="16:16" x14ac:dyDescent="0.2">
      <c r="P905" s="415"/>
    </row>
    <row r="906" spans="16:16" x14ac:dyDescent="0.2">
      <c r="P906" s="415"/>
    </row>
    <row r="907" spans="16:16" x14ac:dyDescent="0.2">
      <c r="P907" s="415"/>
    </row>
    <row r="908" spans="16:16" x14ac:dyDescent="0.2">
      <c r="P908" s="415"/>
    </row>
    <row r="909" spans="16:16" x14ac:dyDescent="0.2">
      <c r="P909" s="415"/>
    </row>
    <row r="910" spans="16:16" x14ac:dyDescent="0.2">
      <c r="P910" s="415"/>
    </row>
    <row r="911" spans="16:16" x14ac:dyDescent="0.2">
      <c r="P911" s="415"/>
    </row>
    <row r="912" spans="16:16" x14ac:dyDescent="0.2">
      <c r="P912" s="415"/>
    </row>
    <row r="913" spans="16:16" x14ac:dyDescent="0.2">
      <c r="P913" s="415"/>
    </row>
    <row r="914" spans="16:16" x14ac:dyDescent="0.2">
      <c r="P914" s="415"/>
    </row>
    <row r="915" spans="16:16" x14ac:dyDescent="0.2">
      <c r="P915" s="415"/>
    </row>
    <row r="916" spans="16:16" x14ac:dyDescent="0.2">
      <c r="P916" s="415"/>
    </row>
    <row r="917" spans="16:16" x14ac:dyDescent="0.2">
      <c r="P917" s="415"/>
    </row>
    <row r="918" spans="16:16" x14ac:dyDescent="0.2">
      <c r="P918" s="415"/>
    </row>
    <row r="919" spans="16:16" x14ac:dyDescent="0.2">
      <c r="P919" s="415"/>
    </row>
    <row r="920" spans="16:16" x14ac:dyDescent="0.2">
      <c r="P920" s="415"/>
    </row>
    <row r="921" spans="16:16" x14ac:dyDescent="0.2">
      <c r="P921" s="415"/>
    </row>
    <row r="922" spans="16:16" x14ac:dyDescent="0.2">
      <c r="P922" s="415"/>
    </row>
    <row r="923" spans="16:16" x14ac:dyDescent="0.2">
      <c r="P923" s="415"/>
    </row>
    <row r="924" spans="16:16" x14ac:dyDescent="0.2">
      <c r="P924" s="415"/>
    </row>
    <row r="925" spans="16:16" x14ac:dyDescent="0.2">
      <c r="P925" s="415"/>
    </row>
    <row r="926" spans="16:16" x14ac:dyDescent="0.2">
      <c r="P926" s="415"/>
    </row>
    <row r="927" spans="16:16" x14ac:dyDescent="0.2">
      <c r="P927" s="415"/>
    </row>
    <row r="928" spans="16:16" x14ac:dyDescent="0.2">
      <c r="P928" s="415"/>
    </row>
    <row r="929" spans="16:16" x14ac:dyDescent="0.2">
      <c r="P929" s="415"/>
    </row>
    <row r="930" spans="16:16" x14ac:dyDescent="0.2">
      <c r="P930" s="415"/>
    </row>
    <row r="931" spans="16:16" x14ac:dyDescent="0.2">
      <c r="P931" s="415"/>
    </row>
    <row r="932" spans="16:16" x14ac:dyDescent="0.2">
      <c r="P932" s="415"/>
    </row>
    <row r="933" spans="16:16" x14ac:dyDescent="0.2">
      <c r="P933" s="415"/>
    </row>
    <row r="934" spans="16:16" x14ac:dyDescent="0.2">
      <c r="P934" s="415"/>
    </row>
    <row r="935" spans="16:16" x14ac:dyDescent="0.2">
      <c r="P935" s="415"/>
    </row>
    <row r="936" spans="16:16" x14ac:dyDescent="0.2">
      <c r="P936" s="415"/>
    </row>
    <row r="937" spans="16:16" x14ac:dyDescent="0.2">
      <c r="P937" s="415"/>
    </row>
    <row r="938" spans="16:16" x14ac:dyDescent="0.2">
      <c r="P938" s="415"/>
    </row>
    <row r="939" spans="16:16" x14ac:dyDescent="0.2">
      <c r="P939" s="415"/>
    </row>
    <row r="940" spans="16:16" x14ac:dyDescent="0.2">
      <c r="P940" s="415"/>
    </row>
    <row r="941" spans="16:16" x14ac:dyDescent="0.2">
      <c r="P941" s="415"/>
    </row>
    <row r="942" spans="16:16" x14ac:dyDescent="0.2">
      <c r="P942" s="415"/>
    </row>
    <row r="943" spans="16:16" x14ac:dyDescent="0.2">
      <c r="P943" s="415"/>
    </row>
    <row r="944" spans="16:16" x14ac:dyDescent="0.2">
      <c r="P944" s="415"/>
    </row>
    <row r="945" spans="16:16" x14ac:dyDescent="0.2">
      <c r="P945" s="415"/>
    </row>
    <row r="946" spans="16:16" x14ac:dyDescent="0.2">
      <c r="P946" s="415"/>
    </row>
    <row r="947" spans="16:16" x14ac:dyDescent="0.2">
      <c r="P947" s="415"/>
    </row>
    <row r="948" spans="16:16" x14ac:dyDescent="0.2">
      <c r="P948" s="415"/>
    </row>
    <row r="949" spans="16:16" x14ac:dyDescent="0.2">
      <c r="P949" s="415"/>
    </row>
    <row r="950" spans="16:16" x14ac:dyDescent="0.2">
      <c r="P950" s="415"/>
    </row>
    <row r="951" spans="16:16" x14ac:dyDescent="0.2">
      <c r="P951" s="415"/>
    </row>
    <row r="952" spans="16:16" x14ac:dyDescent="0.2">
      <c r="P952" s="415"/>
    </row>
    <row r="953" spans="16:16" x14ac:dyDescent="0.2">
      <c r="P953" s="415"/>
    </row>
    <row r="954" spans="16:16" x14ac:dyDescent="0.2">
      <c r="P954" s="415"/>
    </row>
    <row r="955" spans="16:16" x14ac:dyDescent="0.2">
      <c r="P955" s="415"/>
    </row>
    <row r="956" spans="16:16" x14ac:dyDescent="0.2">
      <c r="P956" s="415"/>
    </row>
    <row r="957" spans="16:16" x14ac:dyDescent="0.2">
      <c r="P957" s="415"/>
    </row>
    <row r="958" spans="16:16" x14ac:dyDescent="0.2">
      <c r="P958" s="415"/>
    </row>
    <row r="959" spans="16:16" x14ac:dyDescent="0.2">
      <c r="P959" s="415"/>
    </row>
    <row r="960" spans="16:16" x14ac:dyDescent="0.2">
      <c r="P960" s="415"/>
    </row>
    <row r="961" spans="16:16" x14ac:dyDescent="0.2">
      <c r="P961" s="415"/>
    </row>
    <row r="962" spans="16:16" x14ac:dyDescent="0.2">
      <c r="P962" s="415"/>
    </row>
    <row r="963" spans="16:16" x14ac:dyDescent="0.2">
      <c r="P963" s="415"/>
    </row>
    <row r="964" spans="16:16" x14ac:dyDescent="0.2">
      <c r="P964" s="415"/>
    </row>
    <row r="965" spans="16:16" x14ac:dyDescent="0.2">
      <c r="P965" s="415"/>
    </row>
    <row r="966" spans="16:16" x14ac:dyDescent="0.2">
      <c r="P966" s="415"/>
    </row>
    <row r="967" spans="16:16" x14ac:dyDescent="0.2">
      <c r="P967" s="415"/>
    </row>
    <row r="968" spans="16:16" x14ac:dyDescent="0.2">
      <c r="P968" s="415"/>
    </row>
    <row r="969" spans="16:16" x14ac:dyDescent="0.2">
      <c r="P969" s="415"/>
    </row>
    <row r="970" spans="16:16" x14ac:dyDescent="0.2">
      <c r="P970" s="415"/>
    </row>
    <row r="971" spans="16:16" x14ac:dyDescent="0.2">
      <c r="P971" s="415"/>
    </row>
    <row r="972" spans="16:16" x14ac:dyDescent="0.2">
      <c r="P972" s="415"/>
    </row>
    <row r="973" spans="16:16" x14ac:dyDescent="0.2">
      <c r="P973" s="415"/>
    </row>
    <row r="974" spans="16:16" x14ac:dyDescent="0.2">
      <c r="P974" s="415"/>
    </row>
    <row r="975" spans="16:16" x14ac:dyDescent="0.2">
      <c r="P975" s="415"/>
    </row>
    <row r="976" spans="16:16" x14ac:dyDescent="0.2">
      <c r="P976" s="415"/>
    </row>
    <row r="977" spans="16:16" x14ac:dyDescent="0.2">
      <c r="P977" s="415"/>
    </row>
    <row r="978" spans="16:16" x14ac:dyDescent="0.2">
      <c r="P978" s="415"/>
    </row>
    <row r="979" spans="16:16" x14ac:dyDescent="0.2">
      <c r="P979" s="415"/>
    </row>
    <row r="980" spans="16:16" x14ac:dyDescent="0.2">
      <c r="P980" s="415"/>
    </row>
    <row r="981" spans="16:16" x14ac:dyDescent="0.2">
      <c r="P981" s="415"/>
    </row>
    <row r="982" spans="16:16" x14ac:dyDescent="0.2">
      <c r="P982" s="415"/>
    </row>
    <row r="983" spans="16:16" x14ac:dyDescent="0.2">
      <c r="P983" s="415"/>
    </row>
    <row r="984" spans="16:16" x14ac:dyDescent="0.2">
      <c r="P984" s="415"/>
    </row>
    <row r="985" spans="16:16" x14ac:dyDescent="0.2">
      <c r="P985" s="415"/>
    </row>
    <row r="986" spans="16:16" x14ac:dyDescent="0.2">
      <c r="P986" s="415"/>
    </row>
    <row r="987" spans="16:16" x14ac:dyDescent="0.2">
      <c r="P987" s="415"/>
    </row>
    <row r="988" spans="16:16" x14ac:dyDescent="0.2">
      <c r="P988" s="415"/>
    </row>
    <row r="989" spans="16:16" x14ac:dyDescent="0.2">
      <c r="P989" s="415"/>
    </row>
    <row r="990" spans="16:16" x14ac:dyDescent="0.2">
      <c r="P990" s="415"/>
    </row>
    <row r="991" spans="16:16" x14ac:dyDescent="0.2">
      <c r="P991" s="415"/>
    </row>
    <row r="992" spans="16:16" x14ac:dyDescent="0.2">
      <c r="P992" s="415"/>
    </row>
    <row r="993" spans="16:16" x14ac:dyDescent="0.2">
      <c r="P993" s="415"/>
    </row>
    <row r="994" spans="16:16" x14ac:dyDescent="0.2">
      <c r="P994" s="415"/>
    </row>
    <row r="995" spans="16:16" x14ac:dyDescent="0.2">
      <c r="P995" s="415"/>
    </row>
    <row r="996" spans="16:16" x14ac:dyDescent="0.2">
      <c r="P996" s="415"/>
    </row>
    <row r="997" spans="16:16" x14ac:dyDescent="0.2">
      <c r="P997" s="415"/>
    </row>
    <row r="998" spans="16:16" x14ac:dyDescent="0.2">
      <c r="P998" s="415"/>
    </row>
    <row r="999" spans="16:16" x14ac:dyDescent="0.2">
      <c r="P999" s="415"/>
    </row>
    <row r="1000" spans="16:16" x14ac:dyDescent="0.2">
      <c r="P1000" s="415"/>
    </row>
    <row r="1001" spans="16:16" x14ac:dyDescent="0.2">
      <c r="P1001" s="415"/>
    </row>
    <row r="1002" spans="16:16" x14ac:dyDescent="0.2">
      <c r="P1002" s="415"/>
    </row>
    <row r="1003" spans="16:16" x14ac:dyDescent="0.2">
      <c r="P1003" s="415"/>
    </row>
    <row r="1004" spans="16:16" x14ac:dyDescent="0.2">
      <c r="P1004" s="415"/>
    </row>
    <row r="1005" spans="16:16" x14ac:dyDescent="0.2">
      <c r="P1005" s="415"/>
    </row>
    <row r="1006" spans="16:16" x14ac:dyDescent="0.2">
      <c r="P1006" s="415"/>
    </row>
    <row r="1007" spans="16:16" x14ac:dyDescent="0.2">
      <c r="P1007" s="415"/>
    </row>
    <row r="1008" spans="16:16" x14ac:dyDescent="0.2">
      <c r="P1008" s="415"/>
    </row>
    <row r="1009" spans="16:16" x14ac:dyDescent="0.2">
      <c r="P1009" s="415"/>
    </row>
    <row r="1010" spans="16:16" x14ac:dyDescent="0.2">
      <c r="P1010" s="415"/>
    </row>
    <row r="1011" spans="16:16" x14ac:dyDescent="0.2">
      <c r="P1011" s="415"/>
    </row>
    <row r="1012" spans="16:16" x14ac:dyDescent="0.2">
      <c r="P1012" s="415"/>
    </row>
    <row r="1013" spans="16:16" x14ac:dyDescent="0.2">
      <c r="P1013" s="415"/>
    </row>
    <row r="1014" spans="16:16" x14ac:dyDescent="0.2">
      <c r="P1014" s="415"/>
    </row>
    <row r="1015" spans="16:16" x14ac:dyDescent="0.2">
      <c r="P1015" s="415"/>
    </row>
    <row r="1016" spans="16:16" x14ac:dyDescent="0.2">
      <c r="P1016" s="415"/>
    </row>
    <row r="1017" spans="16:16" x14ac:dyDescent="0.2">
      <c r="P1017" s="415"/>
    </row>
    <row r="1018" spans="16:16" x14ac:dyDescent="0.2">
      <c r="P1018" s="415"/>
    </row>
    <row r="1019" spans="16:16" x14ac:dyDescent="0.2">
      <c r="P1019" s="415"/>
    </row>
    <row r="1020" spans="16:16" x14ac:dyDescent="0.2">
      <c r="P1020" s="415"/>
    </row>
    <row r="1021" spans="16:16" x14ac:dyDescent="0.2">
      <c r="P1021" s="415"/>
    </row>
    <row r="1022" spans="16:16" x14ac:dyDescent="0.2">
      <c r="P1022" s="415"/>
    </row>
    <row r="1023" spans="16:16" x14ac:dyDescent="0.2">
      <c r="P1023" s="415"/>
    </row>
    <row r="1024" spans="16:16" x14ac:dyDescent="0.2">
      <c r="P1024" s="415"/>
    </row>
    <row r="1025" spans="16:16" x14ac:dyDescent="0.2">
      <c r="P1025" s="415"/>
    </row>
    <row r="1026" spans="16:16" x14ac:dyDescent="0.2">
      <c r="P1026" s="415"/>
    </row>
    <row r="1027" spans="16:16" x14ac:dyDescent="0.2">
      <c r="P1027" s="415"/>
    </row>
    <row r="1028" spans="16:16" x14ac:dyDescent="0.2">
      <c r="P1028" s="415"/>
    </row>
    <row r="1029" spans="16:16" x14ac:dyDescent="0.2">
      <c r="P1029" s="415"/>
    </row>
    <row r="1030" spans="16:16" x14ac:dyDescent="0.2">
      <c r="P1030" s="415"/>
    </row>
    <row r="1031" spans="16:16" x14ac:dyDescent="0.2">
      <c r="P1031" s="415"/>
    </row>
    <row r="1032" spans="16:16" x14ac:dyDescent="0.2">
      <c r="P1032" s="415"/>
    </row>
    <row r="1033" spans="16:16" x14ac:dyDescent="0.2">
      <c r="P1033" s="415"/>
    </row>
    <row r="1034" spans="16:16" x14ac:dyDescent="0.2">
      <c r="P1034" s="415"/>
    </row>
    <row r="1035" spans="16:16" x14ac:dyDescent="0.2">
      <c r="P1035" s="415"/>
    </row>
    <row r="1036" spans="16:16" x14ac:dyDescent="0.2">
      <c r="P1036" s="415"/>
    </row>
    <row r="1037" spans="16:16" x14ac:dyDescent="0.2">
      <c r="P1037" s="415"/>
    </row>
    <row r="1038" spans="16:16" x14ac:dyDescent="0.2">
      <c r="P1038" s="415"/>
    </row>
    <row r="1039" spans="16:16" x14ac:dyDescent="0.2">
      <c r="P1039" s="415"/>
    </row>
    <row r="1040" spans="16:16" x14ac:dyDescent="0.2">
      <c r="P1040" s="415"/>
    </row>
    <row r="1041" spans="16:16" x14ac:dyDescent="0.2">
      <c r="P1041" s="415"/>
    </row>
    <row r="1042" spans="16:16" x14ac:dyDescent="0.2">
      <c r="P1042" s="415"/>
    </row>
    <row r="1043" spans="16:16" x14ac:dyDescent="0.2">
      <c r="P1043" s="415"/>
    </row>
    <row r="1044" spans="16:16" x14ac:dyDescent="0.2">
      <c r="P1044" s="415"/>
    </row>
    <row r="1045" spans="16:16" x14ac:dyDescent="0.2">
      <c r="P1045" s="415"/>
    </row>
    <row r="1046" spans="16:16" x14ac:dyDescent="0.2">
      <c r="P1046" s="415"/>
    </row>
    <row r="1047" spans="16:16" x14ac:dyDescent="0.2">
      <c r="P1047" s="415"/>
    </row>
    <row r="1048" spans="16:16" x14ac:dyDescent="0.2">
      <c r="P1048" s="415"/>
    </row>
    <row r="1049" spans="16:16" x14ac:dyDescent="0.2">
      <c r="P1049" s="415"/>
    </row>
    <row r="1050" spans="16:16" x14ac:dyDescent="0.2">
      <c r="P1050" s="415"/>
    </row>
    <row r="1051" spans="16:16" x14ac:dyDescent="0.2">
      <c r="P1051" s="415"/>
    </row>
    <row r="1052" spans="16:16" x14ac:dyDescent="0.2">
      <c r="P1052" s="415"/>
    </row>
    <row r="1053" spans="16:16" x14ac:dyDescent="0.2">
      <c r="P1053" s="415"/>
    </row>
    <row r="1054" spans="16:16" x14ac:dyDescent="0.2">
      <c r="P1054" s="415"/>
    </row>
    <row r="1055" spans="16:16" x14ac:dyDescent="0.2">
      <c r="P1055" s="415"/>
    </row>
    <row r="1056" spans="16:16" x14ac:dyDescent="0.2">
      <c r="P1056" s="415"/>
    </row>
    <row r="1057" spans="16:16" x14ac:dyDescent="0.2">
      <c r="P1057" s="415"/>
    </row>
    <row r="1058" spans="16:16" x14ac:dyDescent="0.2">
      <c r="P1058" s="415"/>
    </row>
    <row r="1059" spans="16:16" x14ac:dyDescent="0.2">
      <c r="P1059" s="415"/>
    </row>
    <row r="1060" spans="16:16" x14ac:dyDescent="0.2">
      <c r="P1060" s="415"/>
    </row>
    <row r="1061" spans="16:16" x14ac:dyDescent="0.2">
      <c r="P1061" s="415"/>
    </row>
    <row r="1062" spans="16:16" x14ac:dyDescent="0.2">
      <c r="P1062" s="415"/>
    </row>
    <row r="1063" spans="16:16" x14ac:dyDescent="0.2">
      <c r="P1063" s="415"/>
    </row>
    <row r="1064" spans="16:16" x14ac:dyDescent="0.2">
      <c r="P1064" s="415"/>
    </row>
    <row r="1065" spans="16:16" x14ac:dyDescent="0.2">
      <c r="P1065" s="415"/>
    </row>
    <row r="1066" spans="16:16" x14ac:dyDescent="0.2">
      <c r="P1066" s="415"/>
    </row>
    <row r="1067" spans="16:16" x14ac:dyDescent="0.2">
      <c r="P1067" s="415"/>
    </row>
    <row r="1068" spans="16:16" x14ac:dyDescent="0.2">
      <c r="P1068" s="415"/>
    </row>
    <row r="1069" spans="16:16" x14ac:dyDescent="0.2">
      <c r="P1069" s="415"/>
    </row>
    <row r="1070" spans="16:16" x14ac:dyDescent="0.2">
      <c r="P1070" s="415"/>
    </row>
    <row r="1071" spans="16:16" x14ac:dyDescent="0.2">
      <c r="P1071" s="415"/>
    </row>
    <row r="1072" spans="16:16" x14ac:dyDescent="0.2">
      <c r="P1072" s="415"/>
    </row>
    <row r="1073" spans="16:16" x14ac:dyDescent="0.2">
      <c r="P1073" s="415"/>
    </row>
    <row r="1074" spans="16:16" x14ac:dyDescent="0.2">
      <c r="P1074" s="415"/>
    </row>
    <row r="1075" spans="16:16" x14ac:dyDescent="0.2">
      <c r="P1075" s="415"/>
    </row>
    <row r="1076" spans="16:16" x14ac:dyDescent="0.2">
      <c r="P1076" s="415"/>
    </row>
    <row r="1077" spans="16:16" x14ac:dyDescent="0.2">
      <c r="P1077" s="415"/>
    </row>
    <row r="1078" spans="16:16" x14ac:dyDescent="0.2">
      <c r="P1078" s="415"/>
    </row>
    <row r="1079" spans="16:16" x14ac:dyDescent="0.2">
      <c r="P1079" s="415"/>
    </row>
    <row r="1080" spans="16:16" x14ac:dyDescent="0.2">
      <c r="P1080" s="415"/>
    </row>
    <row r="1081" spans="16:16" x14ac:dyDescent="0.2">
      <c r="P1081" s="415"/>
    </row>
    <row r="1082" spans="16:16" x14ac:dyDescent="0.2">
      <c r="P1082" s="415"/>
    </row>
    <row r="1083" spans="16:16" x14ac:dyDescent="0.2">
      <c r="P1083" s="415"/>
    </row>
    <row r="1084" spans="16:16" x14ac:dyDescent="0.2">
      <c r="P1084" s="415"/>
    </row>
    <row r="1085" spans="16:16" x14ac:dyDescent="0.2">
      <c r="P1085" s="415"/>
    </row>
    <row r="1086" spans="16:16" x14ac:dyDescent="0.2">
      <c r="P1086" s="415"/>
    </row>
    <row r="1087" spans="16:16" x14ac:dyDescent="0.2">
      <c r="P1087" s="415"/>
    </row>
    <row r="1088" spans="16:16" x14ac:dyDescent="0.2">
      <c r="P1088" s="415"/>
    </row>
    <row r="1089" spans="16:16" x14ac:dyDescent="0.2">
      <c r="P1089" s="415"/>
    </row>
    <row r="1090" spans="16:16" x14ac:dyDescent="0.2">
      <c r="P1090" s="415"/>
    </row>
    <row r="1091" spans="16:16" x14ac:dyDescent="0.2">
      <c r="P1091" s="415"/>
    </row>
    <row r="1092" spans="16:16" x14ac:dyDescent="0.2">
      <c r="P1092" s="415"/>
    </row>
    <row r="1093" spans="16:16" x14ac:dyDescent="0.2">
      <c r="P1093" s="415"/>
    </row>
    <row r="1094" spans="16:16" x14ac:dyDescent="0.2">
      <c r="P1094" s="415"/>
    </row>
    <row r="1095" spans="16:16" x14ac:dyDescent="0.2">
      <c r="P1095" s="415"/>
    </row>
    <row r="1096" spans="16:16" x14ac:dyDescent="0.2">
      <c r="P1096" s="415"/>
    </row>
    <row r="1097" spans="16:16" x14ac:dyDescent="0.2">
      <c r="P1097" s="415"/>
    </row>
    <row r="1098" spans="16:16" x14ac:dyDescent="0.2">
      <c r="P1098" s="415"/>
    </row>
    <row r="1099" spans="16:16" x14ac:dyDescent="0.2">
      <c r="P1099" s="415"/>
    </row>
    <row r="1100" spans="16:16" x14ac:dyDescent="0.2">
      <c r="P1100" s="415"/>
    </row>
    <row r="1101" spans="16:16" x14ac:dyDescent="0.2">
      <c r="P1101" s="415"/>
    </row>
    <row r="1102" spans="16:16" x14ac:dyDescent="0.2">
      <c r="P1102" s="415"/>
    </row>
    <row r="1103" spans="16:16" x14ac:dyDescent="0.2">
      <c r="P1103" s="415"/>
    </row>
    <row r="1104" spans="16:16" x14ac:dyDescent="0.2">
      <c r="P1104" s="415"/>
    </row>
    <row r="1105" spans="16:16" x14ac:dyDescent="0.2">
      <c r="P1105" s="415"/>
    </row>
    <row r="1106" spans="16:16" x14ac:dyDescent="0.2">
      <c r="P1106" s="415"/>
    </row>
    <row r="1107" spans="16:16" x14ac:dyDescent="0.2">
      <c r="P1107" s="415"/>
    </row>
    <row r="1108" spans="16:16" x14ac:dyDescent="0.2">
      <c r="P1108" s="415"/>
    </row>
    <row r="1109" spans="16:16" x14ac:dyDescent="0.2">
      <c r="P1109" s="415"/>
    </row>
    <row r="1110" spans="16:16" x14ac:dyDescent="0.2">
      <c r="P1110" s="415"/>
    </row>
    <row r="1111" spans="16:16" x14ac:dyDescent="0.2">
      <c r="P1111" s="415"/>
    </row>
    <row r="1112" spans="16:16" x14ac:dyDescent="0.2">
      <c r="P1112" s="415"/>
    </row>
    <row r="1113" spans="16:16" x14ac:dyDescent="0.2">
      <c r="P1113" s="415"/>
    </row>
    <row r="1114" spans="16:16" x14ac:dyDescent="0.2">
      <c r="P1114" s="415"/>
    </row>
    <row r="1115" spans="16:16" x14ac:dyDescent="0.2">
      <c r="P1115" s="415"/>
    </row>
    <row r="1116" spans="16:16" x14ac:dyDescent="0.2">
      <c r="P1116" s="415"/>
    </row>
    <row r="1117" spans="16:16" x14ac:dyDescent="0.2">
      <c r="P1117" s="415"/>
    </row>
    <row r="1118" spans="16:16" x14ac:dyDescent="0.2">
      <c r="P1118" s="415"/>
    </row>
    <row r="1119" spans="16:16" x14ac:dyDescent="0.2">
      <c r="P1119" s="415"/>
    </row>
    <row r="1120" spans="16:16" x14ac:dyDescent="0.2">
      <c r="P1120" s="415"/>
    </row>
    <row r="1121" spans="16:16" x14ac:dyDescent="0.2">
      <c r="P1121" s="415"/>
    </row>
    <row r="1122" spans="16:16" x14ac:dyDescent="0.2">
      <c r="P1122" s="415"/>
    </row>
    <row r="1123" spans="16:16" x14ac:dyDescent="0.2">
      <c r="P1123" s="415"/>
    </row>
    <row r="1124" spans="16:16" x14ac:dyDescent="0.2">
      <c r="P1124" s="415"/>
    </row>
    <row r="1125" spans="16:16" x14ac:dyDescent="0.2">
      <c r="P1125" s="415"/>
    </row>
    <row r="1126" spans="16:16" x14ac:dyDescent="0.2">
      <c r="P1126" s="415"/>
    </row>
    <row r="1127" spans="16:16" x14ac:dyDescent="0.2">
      <c r="P1127" s="415"/>
    </row>
    <row r="1128" spans="16:16" x14ac:dyDescent="0.2">
      <c r="P1128" s="415"/>
    </row>
    <row r="1129" spans="16:16" x14ac:dyDescent="0.2">
      <c r="P1129" s="415"/>
    </row>
    <row r="1130" spans="16:16" x14ac:dyDescent="0.2">
      <c r="P1130" s="415"/>
    </row>
    <row r="1131" spans="16:16" x14ac:dyDescent="0.2">
      <c r="P1131" s="415"/>
    </row>
    <row r="1132" spans="16:16" x14ac:dyDescent="0.2">
      <c r="P1132" s="415"/>
    </row>
    <row r="1133" spans="16:16" x14ac:dyDescent="0.2">
      <c r="P1133" s="415"/>
    </row>
    <row r="1134" spans="16:16" x14ac:dyDescent="0.2">
      <c r="P1134" s="415"/>
    </row>
    <row r="1135" spans="16:16" x14ac:dyDescent="0.2">
      <c r="P1135" s="415"/>
    </row>
    <row r="1136" spans="16:16" x14ac:dyDescent="0.2">
      <c r="P1136" s="415"/>
    </row>
    <row r="1137" spans="16:16" x14ac:dyDescent="0.2">
      <c r="P1137" s="415"/>
    </row>
    <row r="1138" spans="16:16" x14ac:dyDescent="0.2">
      <c r="P1138" s="415"/>
    </row>
    <row r="1139" spans="16:16" x14ac:dyDescent="0.2">
      <c r="P1139" s="415"/>
    </row>
    <row r="1140" spans="16:16" x14ac:dyDescent="0.2">
      <c r="P1140" s="415"/>
    </row>
    <row r="1141" spans="16:16" x14ac:dyDescent="0.2">
      <c r="P1141" s="415"/>
    </row>
    <row r="1142" spans="16:16" x14ac:dyDescent="0.2">
      <c r="P1142" s="415"/>
    </row>
    <row r="1143" spans="16:16" x14ac:dyDescent="0.2">
      <c r="P1143" s="415"/>
    </row>
    <row r="1144" spans="16:16" x14ac:dyDescent="0.2">
      <c r="P1144" s="415"/>
    </row>
    <row r="1145" spans="16:16" x14ac:dyDescent="0.2">
      <c r="P1145" s="415"/>
    </row>
    <row r="1146" spans="16:16" x14ac:dyDescent="0.2">
      <c r="P1146" s="415"/>
    </row>
    <row r="1147" spans="16:16" x14ac:dyDescent="0.2">
      <c r="P1147" s="415"/>
    </row>
    <row r="1148" spans="16:16" x14ac:dyDescent="0.2">
      <c r="P1148" s="415"/>
    </row>
    <row r="1149" spans="16:16" x14ac:dyDescent="0.2">
      <c r="P1149" s="415"/>
    </row>
    <row r="1150" spans="16:16" x14ac:dyDescent="0.2">
      <c r="P1150" s="415"/>
    </row>
    <row r="1151" spans="16:16" x14ac:dyDescent="0.2">
      <c r="P1151" s="415"/>
    </row>
    <row r="1152" spans="16:16" x14ac:dyDescent="0.2">
      <c r="P1152" s="415"/>
    </row>
    <row r="1153" spans="16:16" x14ac:dyDescent="0.2">
      <c r="P1153" s="415"/>
    </row>
    <row r="1154" spans="16:16" x14ac:dyDescent="0.2">
      <c r="P1154" s="415"/>
    </row>
    <row r="1155" spans="16:16" x14ac:dyDescent="0.2">
      <c r="P1155" s="415"/>
    </row>
    <row r="1156" spans="16:16" x14ac:dyDescent="0.2">
      <c r="P1156" s="415"/>
    </row>
    <row r="1157" spans="16:16" x14ac:dyDescent="0.2">
      <c r="P1157" s="415"/>
    </row>
    <row r="1158" spans="16:16" x14ac:dyDescent="0.2">
      <c r="P1158" s="415"/>
    </row>
    <row r="1159" spans="16:16" x14ac:dyDescent="0.2">
      <c r="P1159" s="415"/>
    </row>
    <row r="1160" spans="16:16" x14ac:dyDescent="0.2">
      <c r="P1160" s="415"/>
    </row>
    <row r="1161" spans="16:16" x14ac:dyDescent="0.2">
      <c r="P1161" s="415"/>
    </row>
    <row r="1162" spans="16:16" x14ac:dyDescent="0.2">
      <c r="P1162" s="415"/>
    </row>
    <row r="1163" spans="16:16" x14ac:dyDescent="0.2">
      <c r="P1163" s="415"/>
    </row>
    <row r="1164" spans="16:16" x14ac:dyDescent="0.2">
      <c r="P1164" s="415"/>
    </row>
    <row r="1165" spans="16:16" x14ac:dyDescent="0.2">
      <c r="P1165" s="415"/>
    </row>
    <row r="1166" spans="16:16" x14ac:dyDescent="0.2">
      <c r="P1166" s="415"/>
    </row>
    <row r="1167" spans="16:16" x14ac:dyDescent="0.2">
      <c r="P1167" s="415"/>
    </row>
    <row r="1168" spans="16:16" x14ac:dyDescent="0.2">
      <c r="P1168" s="415"/>
    </row>
    <row r="1169" spans="16:16" x14ac:dyDescent="0.2">
      <c r="P1169" s="415"/>
    </row>
    <row r="1170" spans="16:16" x14ac:dyDescent="0.2">
      <c r="P1170" s="415"/>
    </row>
    <row r="1171" spans="16:16" x14ac:dyDescent="0.2">
      <c r="P1171" s="415"/>
    </row>
    <row r="1172" spans="16:16" x14ac:dyDescent="0.2">
      <c r="P1172" s="415"/>
    </row>
    <row r="1173" spans="16:16" x14ac:dyDescent="0.2">
      <c r="P1173" s="415"/>
    </row>
    <row r="1174" spans="16:16" x14ac:dyDescent="0.2">
      <c r="P1174" s="415"/>
    </row>
    <row r="1175" spans="16:16" x14ac:dyDescent="0.2">
      <c r="P1175" s="415"/>
    </row>
    <row r="1176" spans="16:16" x14ac:dyDescent="0.2">
      <c r="P1176" s="415"/>
    </row>
    <row r="1177" spans="16:16" x14ac:dyDescent="0.2">
      <c r="P1177" s="415"/>
    </row>
    <row r="1178" spans="16:16" x14ac:dyDescent="0.2">
      <c r="P1178" s="415"/>
    </row>
    <row r="1179" spans="16:16" x14ac:dyDescent="0.2">
      <c r="P1179" s="415"/>
    </row>
    <row r="1180" spans="16:16" x14ac:dyDescent="0.2">
      <c r="P1180" s="415"/>
    </row>
    <row r="1181" spans="16:16" x14ac:dyDescent="0.2">
      <c r="P1181" s="415"/>
    </row>
    <row r="1182" spans="16:16" x14ac:dyDescent="0.2">
      <c r="P1182" s="415"/>
    </row>
    <row r="1183" spans="16:16" x14ac:dyDescent="0.2">
      <c r="P1183" s="415"/>
    </row>
    <row r="1184" spans="16:16" x14ac:dyDescent="0.2">
      <c r="P1184" s="415"/>
    </row>
    <row r="1185" spans="16:16" x14ac:dyDescent="0.2">
      <c r="P1185" s="415"/>
    </row>
    <row r="1186" spans="16:16" x14ac:dyDescent="0.2">
      <c r="P1186" s="415"/>
    </row>
    <row r="1187" spans="16:16" x14ac:dyDescent="0.2">
      <c r="P1187" s="415"/>
    </row>
    <row r="1188" spans="16:16" x14ac:dyDescent="0.2">
      <c r="P1188" s="415"/>
    </row>
    <row r="1189" spans="16:16" x14ac:dyDescent="0.2">
      <c r="P1189" s="415"/>
    </row>
    <row r="1190" spans="16:16" x14ac:dyDescent="0.2">
      <c r="P1190" s="415"/>
    </row>
    <row r="1191" spans="16:16" x14ac:dyDescent="0.2">
      <c r="P1191" s="415"/>
    </row>
    <row r="1192" spans="16:16" x14ac:dyDescent="0.2">
      <c r="P1192" s="415"/>
    </row>
    <row r="1193" spans="16:16" x14ac:dyDescent="0.2">
      <c r="P1193" s="415"/>
    </row>
    <row r="1194" spans="16:16" x14ac:dyDescent="0.2">
      <c r="P1194" s="415"/>
    </row>
    <row r="1195" spans="16:16" x14ac:dyDescent="0.2">
      <c r="P1195" s="415"/>
    </row>
    <row r="1196" spans="16:16" x14ac:dyDescent="0.2">
      <c r="P1196" s="415"/>
    </row>
    <row r="1197" spans="16:16" x14ac:dyDescent="0.2">
      <c r="P1197" s="415"/>
    </row>
    <row r="1198" spans="16:16" x14ac:dyDescent="0.2">
      <c r="P1198" s="415"/>
    </row>
    <row r="1199" spans="16:16" x14ac:dyDescent="0.2">
      <c r="P1199" s="415"/>
    </row>
    <row r="1200" spans="16:16" x14ac:dyDescent="0.2">
      <c r="P1200" s="415"/>
    </row>
    <row r="1201" spans="16:16" x14ac:dyDescent="0.2">
      <c r="P1201" s="415"/>
    </row>
    <row r="1202" spans="16:16" x14ac:dyDescent="0.2">
      <c r="P1202" s="415"/>
    </row>
    <row r="1203" spans="16:16" x14ac:dyDescent="0.2">
      <c r="P1203" s="415"/>
    </row>
    <row r="1204" spans="16:16" x14ac:dyDescent="0.2">
      <c r="P1204" s="415"/>
    </row>
    <row r="1205" spans="16:16" x14ac:dyDescent="0.2">
      <c r="P1205" s="415"/>
    </row>
    <row r="1206" spans="16:16" x14ac:dyDescent="0.2">
      <c r="P1206" s="415"/>
    </row>
    <row r="1207" spans="16:16" x14ac:dyDescent="0.2">
      <c r="P1207" s="415"/>
    </row>
    <row r="1208" spans="16:16" x14ac:dyDescent="0.2">
      <c r="P1208" s="415"/>
    </row>
    <row r="1209" spans="16:16" x14ac:dyDescent="0.2">
      <c r="P1209" s="415"/>
    </row>
    <row r="1210" spans="16:16" x14ac:dyDescent="0.2">
      <c r="P1210" s="415"/>
    </row>
    <row r="1211" spans="16:16" x14ac:dyDescent="0.2">
      <c r="P1211" s="415"/>
    </row>
    <row r="1212" spans="16:16" x14ac:dyDescent="0.2">
      <c r="P1212" s="415"/>
    </row>
    <row r="1213" spans="16:16" x14ac:dyDescent="0.2">
      <c r="P1213" s="415"/>
    </row>
    <row r="1214" spans="16:16" x14ac:dyDescent="0.2">
      <c r="P1214" s="415"/>
    </row>
    <row r="1215" spans="16:16" x14ac:dyDescent="0.2">
      <c r="P1215" s="415"/>
    </row>
    <row r="1216" spans="16:16" x14ac:dyDescent="0.2">
      <c r="P1216" s="415"/>
    </row>
    <row r="1217" spans="16:16" x14ac:dyDescent="0.2">
      <c r="P1217" s="415"/>
    </row>
    <row r="1218" spans="16:16" x14ac:dyDescent="0.2">
      <c r="P1218" s="415"/>
    </row>
    <row r="1219" spans="16:16" x14ac:dyDescent="0.2">
      <c r="P1219" s="415"/>
    </row>
    <row r="1220" spans="16:16" x14ac:dyDescent="0.2">
      <c r="P1220" s="415"/>
    </row>
    <row r="1221" spans="16:16" x14ac:dyDescent="0.2">
      <c r="P1221" s="415"/>
    </row>
    <row r="1222" spans="16:16" x14ac:dyDescent="0.2">
      <c r="P1222" s="415"/>
    </row>
    <row r="1223" spans="16:16" x14ac:dyDescent="0.2">
      <c r="P1223" s="415"/>
    </row>
    <row r="1224" spans="16:16" x14ac:dyDescent="0.2">
      <c r="P1224" s="415"/>
    </row>
    <row r="1225" spans="16:16" x14ac:dyDescent="0.2">
      <c r="P1225" s="415"/>
    </row>
    <row r="1226" spans="16:16" x14ac:dyDescent="0.2">
      <c r="P1226" s="415"/>
    </row>
    <row r="1227" spans="16:16" x14ac:dyDescent="0.2">
      <c r="P1227" s="415"/>
    </row>
    <row r="1228" spans="16:16" x14ac:dyDescent="0.2">
      <c r="P1228" s="415"/>
    </row>
    <row r="1229" spans="16:16" x14ac:dyDescent="0.2">
      <c r="P1229" s="415"/>
    </row>
    <row r="1230" spans="16:16" x14ac:dyDescent="0.2">
      <c r="P1230" s="415"/>
    </row>
    <row r="1231" spans="16:16" x14ac:dyDescent="0.2">
      <c r="P1231" s="415"/>
    </row>
    <row r="1232" spans="16:16" x14ac:dyDescent="0.2">
      <c r="P1232" s="415"/>
    </row>
    <row r="1233" spans="16:16" x14ac:dyDescent="0.2">
      <c r="P1233" s="415"/>
    </row>
    <row r="1234" spans="16:16" x14ac:dyDescent="0.2">
      <c r="P1234" s="415"/>
    </row>
    <row r="1235" spans="16:16" x14ac:dyDescent="0.2">
      <c r="P1235" s="415"/>
    </row>
    <row r="1236" spans="16:16" x14ac:dyDescent="0.2">
      <c r="P1236" s="415"/>
    </row>
    <row r="1237" spans="16:16" x14ac:dyDescent="0.2">
      <c r="P1237" s="415"/>
    </row>
    <row r="1238" spans="16:16" x14ac:dyDescent="0.2">
      <c r="P1238" s="415"/>
    </row>
    <row r="1239" spans="16:16" x14ac:dyDescent="0.2">
      <c r="P1239" s="415"/>
    </row>
    <row r="1240" spans="16:16" x14ac:dyDescent="0.2">
      <c r="P1240" s="415"/>
    </row>
    <row r="1241" spans="16:16" x14ac:dyDescent="0.2">
      <c r="P1241" s="415"/>
    </row>
    <row r="1242" spans="16:16" x14ac:dyDescent="0.2">
      <c r="P1242" s="415"/>
    </row>
    <row r="1243" spans="16:16" x14ac:dyDescent="0.2">
      <c r="P1243" s="415"/>
    </row>
    <row r="1244" spans="16:16" x14ac:dyDescent="0.2">
      <c r="P1244" s="415"/>
    </row>
    <row r="1245" spans="16:16" x14ac:dyDescent="0.2">
      <c r="P1245" s="415"/>
    </row>
    <row r="1246" spans="16:16" x14ac:dyDescent="0.2">
      <c r="P1246" s="415"/>
    </row>
    <row r="1247" spans="16:16" x14ac:dyDescent="0.2">
      <c r="P1247" s="415"/>
    </row>
    <row r="1248" spans="16:16" x14ac:dyDescent="0.2">
      <c r="P1248" s="415"/>
    </row>
    <row r="1249" spans="16:16" x14ac:dyDescent="0.2">
      <c r="P1249" s="415"/>
    </row>
    <row r="1250" spans="16:16" x14ac:dyDescent="0.2">
      <c r="P1250" s="415"/>
    </row>
    <row r="1251" spans="16:16" x14ac:dyDescent="0.2">
      <c r="P1251" s="415"/>
    </row>
    <row r="1252" spans="16:16" x14ac:dyDescent="0.2">
      <c r="P1252" s="415"/>
    </row>
    <row r="1253" spans="16:16" x14ac:dyDescent="0.2">
      <c r="P1253" s="415"/>
    </row>
    <row r="1254" spans="16:16" x14ac:dyDescent="0.2">
      <c r="P1254" s="415"/>
    </row>
    <row r="1255" spans="16:16" x14ac:dyDescent="0.2">
      <c r="P1255" s="415"/>
    </row>
    <row r="1256" spans="16:16" x14ac:dyDescent="0.2">
      <c r="P1256" s="415"/>
    </row>
    <row r="1257" spans="16:16" x14ac:dyDescent="0.2">
      <c r="P1257" s="415"/>
    </row>
    <row r="1258" spans="16:16" x14ac:dyDescent="0.2">
      <c r="P1258" s="415"/>
    </row>
    <row r="1259" spans="16:16" x14ac:dyDescent="0.2">
      <c r="P1259" s="415"/>
    </row>
    <row r="1260" spans="16:16" x14ac:dyDescent="0.2">
      <c r="P1260" s="415"/>
    </row>
    <row r="1261" spans="16:16" x14ac:dyDescent="0.2">
      <c r="P1261" s="415"/>
    </row>
    <row r="1262" spans="16:16" x14ac:dyDescent="0.2">
      <c r="P1262" s="415"/>
    </row>
    <row r="1263" spans="16:16" x14ac:dyDescent="0.2">
      <c r="P1263" s="415"/>
    </row>
    <row r="1264" spans="16:16" x14ac:dyDescent="0.2">
      <c r="P1264" s="415"/>
    </row>
    <row r="1265" spans="16:16" x14ac:dyDescent="0.2">
      <c r="P1265" s="415"/>
    </row>
    <row r="1266" spans="16:16" x14ac:dyDescent="0.2">
      <c r="P1266" s="415"/>
    </row>
    <row r="1267" spans="16:16" x14ac:dyDescent="0.2">
      <c r="P1267" s="415"/>
    </row>
    <row r="1268" spans="16:16" x14ac:dyDescent="0.2">
      <c r="P1268" s="415"/>
    </row>
    <row r="1269" spans="16:16" x14ac:dyDescent="0.2">
      <c r="P1269" s="415"/>
    </row>
    <row r="1270" spans="16:16" x14ac:dyDescent="0.2">
      <c r="P1270" s="415"/>
    </row>
    <row r="1271" spans="16:16" x14ac:dyDescent="0.2">
      <c r="P1271" s="415"/>
    </row>
    <row r="1272" spans="16:16" x14ac:dyDescent="0.2">
      <c r="P1272" s="415"/>
    </row>
    <row r="1273" spans="16:16" x14ac:dyDescent="0.2">
      <c r="P1273" s="415"/>
    </row>
    <row r="1274" spans="16:16" x14ac:dyDescent="0.2">
      <c r="P1274" s="415"/>
    </row>
    <row r="1275" spans="16:16" x14ac:dyDescent="0.2">
      <c r="P1275" s="415"/>
    </row>
    <row r="1276" spans="16:16" x14ac:dyDescent="0.2">
      <c r="P1276" s="415"/>
    </row>
    <row r="1277" spans="16:16" x14ac:dyDescent="0.2">
      <c r="P1277" s="415"/>
    </row>
    <row r="1278" spans="16:16" x14ac:dyDescent="0.2">
      <c r="P1278" s="415"/>
    </row>
    <row r="1279" spans="16:16" x14ac:dyDescent="0.2">
      <c r="P1279" s="415"/>
    </row>
    <row r="1280" spans="16:16" x14ac:dyDescent="0.2">
      <c r="P1280" s="415"/>
    </row>
    <row r="1281" spans="16:16" x14ac:dyDescent="0.2">
      <c r="P1281" s="415"/>
    </row>
    <row r="1282" spans="16:16" x14ac:dyDescent="0.2">
      <c r="P1282" s="415"/>
    </row>
    <row r="1283" spans="16:16" x14ac:dyDescent="0.2">
      <c r="P1283" s="415"/>
    </row>
    <row r="1284" spans="16:16" x14ac:dyDescent="0.2">
      <c r="P1284" s="415"/>
    </row>
    <row r="1285" spans="16:16" x14ac:dyDescent="0.2">
      <c r="P1285" s="415"/>
    </row>
    <row r="1286" spans="16:16" x14ac:dyDescent="0.2">
      <c r="P1286" s="415"/>
    </row>
    <row r="1287" spans="16:16" x14ac:dyDescent="0.2">
      <c r="P1287" s="415"/>
    </row>
    <row r="1288" spans="16:16" x14ac:dyDescent="0.2">
      <c r="P1288" s="415"/>
    </row>
    <row r="1289" spans="16:16" x14ac:dyDescent="0.2">
      <c r="P1289" s="415"/>
    </row>
    <row r="1290" spans="16:16" x14ac:dyDescent="0.2">
      <c r="P1290" s="415"/>
    </row>
    <row r="1291" spans="16:16" x14ac:dyDescent="0.2">
      <c r="P1291" s="415"/>
    </row>
    <row r="1292" spans="16:16" x14ac:dyDescent="0.2">
      <c r="P1292" s="415"/>
    </row>
    <row r="1293" spans="16:16" x14ac:dyDescent="0.2">
      <c r="P1293" s="415"/>
    </row>
    <row r="1294" spans="16:16" x14ac:dyDescent="0.2">
      <c r="P1294" s="415"/>
    </row>
    <row r="1295" spans="16:16" x14ac:dyDescent="0.2">
      <c r="P1295" s="415"/>
    </row>
    <row r="1296" spans="16:16" x14ac:dyDescent="0.2">
      <c r="P1296" s="415"/>
    </row>
    <row r="1297" spans="16:16" x14ac:dyDescent="0.2">
      <c r="P1297" s="415"/>
    </row>
    <row r="1298" spans="16:16" x14ac:dyDescent="0.2">
      <c r="P1298" s="415"/>
    </row>
    <row r="1299" spans="16:16" x14ac:dyDescent="0.2">
      <c r="P1299" s="415"/>
    </row>
    <row r="1300" spans="16:16" x14ac:dyDescent="0.2">
      <c r="P1300" s="415"/>
    </row>
    <row r="1301" spans="16:16" x14ac:dyDescent="0.2">
      <c r="P1301" s="415"/>
    </row>
    <row r="1302" spans="16:16" x14ac:dyDescent="0.2">
      <c r="P1302" s="415"/>
    </row>
    <row r="1303" spans="16:16" x14ac:dyDescent="0.2">
      <c r="P1303" s="415"/>
    </row>
    <row r="1304" spans="16:16" x14ac:dyDescent="0.2">
      <c r="P1304" s="415"/>
    </row>
    <row r="1305" spans="16:16" x14ac:dyDescent="0.2">
      <c r="P1305" s="415"/>
    </row>
    <row r="1306" spans="16:16" x14ac:dyDescent="0.2">
      <c r="P1306" s="415"/>
    </row>
    <row r="1307" spans="16:16" x14ac:dyDescent="0.2">
      <c r="P1307" s="415"/>
    </row>
    <row r="1308" spans="16:16" x14ac:dyDescent="0.2">
      <c r="P1308" s="415"/>
    </row>
    <row r="1309" spans="16:16" x14ac:dyDescent="0.2">
      <c r="P1309" s="415"/>
    </row>
    <row r="1310" spans="16:16" x14ac:dyDescent="0.2">
      <c r="P1310" s="415"/>
    </row>
    <row r="1311" spans="16:16" x14ac:dyDescent="0.2">
      <c r="P1311" s="415"/>
    </row>
    <row r="1312" spans="16:16" x14ac:dyDescent="0.2">
      <c r="P1312" s="415"/>
    </row>
    <row r="1313" spans="16:16" x14ac:dyDescent="0.2">
      <c r="P1313" s="415"/>
    </row>
    <row r="1314" spans="16:16" x14ac:dyDescent="0.2">
      <c r="P1314" s="415"/>
    </row>
    <row r="1315" spans="16:16" x14ac:dyDescent="0.2">
      <c r="P1315" s="415"/>
    </row>
    <row r="1316" spans="16:16" x14ac:dyDescent="0.2">
      <c r="P1316" s="415"/>
    </row>
    <row r="1317" spans="16:16" x14ac:dyDescent="0.2">
      <c r="P1317" s="415"/>
    </row>
    <row r="1318" spans="16:16" x14ac:dyDescent="0.2">
      <c r="P1318" s="415"/>
    </row>
    <row r="1319" spans="16:16" x14ac:dyDescent="0.2">
      <c r="P1319" s="415"/>
    </row>
    <row r="1320" spans="16:16" x14ac:dyDescent="0.2">
      <c r="P1320" s="415"/>
    </row>
    <row r="1321" spans="16:16" x14ac:dyDescent="0.2">
      <c r="P1321" s="415"/>
    </row>
    <row r="1322" spans="16:16" x14ac:dyDescent="0.2">
      <c r="P1322" s="415"/>
    </row>
    <row r="1323" spans="16:16" x14ac:dyDescent="0.2">
      <c r="P1323" s="415"/>
    </row>
    <row r="1324" spans="16:16" x14ac:dyDescent="0.2">
      <c r="P1324" s="415"/>
    </row>
    <row r="1325" spans="16:16" x14ac:dyDescent="0.2">
      <c r="P1325" s="415"/>
    </row>
    <row r="1326" spans="16:16" x14ac:dyDescent="0.2">
      <c r="P1326" s="415"/>
    </row>
    <row r="1327" spans="16:16" x14ac:dyDescent="0.2">
      <c r="P1327" s="415"/>
    </row>
    <row r="1328" spans="16:16" x14ac:dyDescent="0.2">
      <c r="P1328" s="415"/>
    </row>
    <row r="1329" spans="16:16" x14ac:dyDescent="0.2">
      <c r="P1329" s="415"/>
    </row>
    <row r="1330" spans="16:16" x14ac:dyDescent="0.2">
      <c r="P1330" s="415"/>
    </row>
    <row r="1331" spans="16:16" x14ac:dyDescent="0.2">
      <c r="P1331" s="415"/>
    </row>
    <row r="1332" spans="16:16" x14ac:dyDescent="0.2">
      <c r="P1332" s="415"/>
    </row>
    <row r="1333" spans="16:16" x14ac:dyDescent="0.2">
      <c r="P1333" s="415"/>
    </row>
    <row r="1334" spans="16:16" x14ac:dyDescent="0.2">
      <c r="P1334" s="415"/>
    </row>
    <row r="1335" spans="16:16" x14ac:dyDescent="0.2">
      <c r="P1335" s="415"/>
    </row>
    <row r="1336" spans="16:16" x14ac:dyDescent="0.2">
      <c r="P1336" s="415"/>
    </row>
    <row r="1337" spans="16:16" x14ac:dyDescent="0.2">
      <c r="P1337" s="415"/>
    </row>
    <row r="1338" spans="16:16" x14ac:dyDescent="0.2">
      <c r="P1338" s="415"/>
    </row>
    <row r="1339" spans="16:16" x14ac:dyDescent="0.2">
      <c r="P1339" s="415"/>
    </row>
    <row r="1340" spans="16:16" x14ac:dyDescent="0.2">
      <c r="P1340" s="415"/>
    </row>
    <row r="1341" spans="16:16" x14ac:dyDescent="0.2">
      <c r="P1341" s="415"/>
    </row>
    <row r="1342" spans="16:16" x14ac:dyDescent="0.2">
      <c r="P1342" s="415"/>
    </row>
    <row r="1343" spans="16:16" x14ac:dyDescent="0.2">
      <c r="P1343" s="415"/>
    </row>
    <row r="1344" spans="16:16" x14ac:dyDescent="0.2">
      <c r="P1344" s="415"/>
    </row>
    <row r="1345" spans="16:16" x14ac:dyDescent="0.2">
      <c r="P1345" s="415"/>
    </row>
    <row r="1346" spans="16:16" x14ac:dyDescent="0.2">
      <c r="P1346" s="415"/>
    </row>
    <row r="1347" spans="16:16" x14ac:dyDescent="0.2">
      <c r="P1347" s="415"/>
    </row>
    <row r="1348" spans="16:16" x14ac:dyDescent="0.2">
      <c r="P1348" s="415"/>
    </row>
    <row r="1349" spans="16:16" x14ac:dyDescent="0.2">
      <c r="P1349" s="415"/>
    </row>
    <row r="1350" spans="16:16" x14ac:dyDescent="0.2">
      <c r="P1350" s="415"/>
    </row>
    <row r="1351" spans="16:16" x14ac:dyDescent="0.2">
      <c r="P1351" s="415"/>
    </row>
    <row r="1352" spans="16:16" x14ac:dyDescent="0.2">
      <c r="P1352" s="415"/>
    </row>
    <row r="1353" spans="16:16" x14ac:dyDescent="0.2">
      <c r="P1353" s="415"/>
    </row>
    <row r="1354" spans="16:16" x14ac:dyDescent="0.2">
      <c r="P1354" s="415"/>
    </row>
    <row r="1355" spans="16:16" x14ac:dyDescent="0.2">
      <c r="P1355" s="415"/>
    </row>
    <row r="1356" spans="16:16" x14ac:dyDescent="0.2">
      <c r="P1356" s="415"/>
    </row>
    <row r="1357" spans="16:16" x14ac:dyDescent="0.2">
      <c r="P1357" s="415"/>
    </row>
    <row r="1358" spans="16:16" x14ac:dyDescent="0.2">
      <c r="P1358" s="415"/>
    </row>
    <row r="1359" spans="16:16" x14ac:dyDescent="0.2">
      <c r="P1359" s="415"/>
    </row>
    <row r="1360" spans="16:16" x14ac:dyDescent="0.2">
      <c r="P1360" s="415"/>
    </row>
    <row r="1361" spans="16:16" x14ac:dyDescent="0.2">
      <c r="P1361" s="415"/>
    </row>
    <row r="1362" spans="16:16" x14ac:dyDescent="0.2">
      <c r="P1362" s="415"/>
    </row>
    <row r="1363" spans="16:16" x14ac:dyDescent="0.2">
      <c r="P1363" s="415"/>
    </row>
    <row r="1364" spans="16:16" x14ac:dyDescent="0.2">
      <c r="P1364" s="415"/>
    </row>
    <row r="1365" spans="16:16" x14ac:dyDescent="0.2">
      <c r="P1365" s="415"/>
    </row>
    <row r="1366" spans="16:16" x14ac:dyDescent="0.2">
      <c r="P1366" s="415"/>
    </row>
    <row r="1367" spans="16:16" x14ac:dyDescent="0.2">
      <c r="P1367" s="415"/>
    </row>
    <row r="1368" spans="16:16" x14ac:dyDescent="0.2">
      <c r="P1368" s="415"/>
    </row>
    <row r="1369" spans="16:16" x14ac:dyDescent="0.2">
      <c r="P1369" s="415"/>
    </row>
    <row r="1370" spans="16:16" x14ac:dyDescent="0.2">
      <c r="P1370" s="415"/>
    </row>
    <row r="1371" spans="16:16" x14ac:dyDescent="0.2">
      <c r="P1371" s="415"/>
    </row>
    <row r="1372" spans="16:16" x14ac:dyDescent="0.2">
      <c r="P1372" s="415"/>
    </row>
    <row r="1373" spans="16:16" x14ac:dyDescent="0.2">
      <c r="P1373" s="415"/>
    </row>
    <row r="1374" spans="16:16" x14ac:dyDescent="0.2">
      <c r="P1374" s="415"/>
    </row>
    <row r="1375" spans="16:16" x14ac:dyDescent="0.2">
      <c r="P1375" s="415"/>
    </row>
    <row r="1376" spans="16:16" x14ac:dyDescent="0.2">
      <c r="P1376" s="415"/>
    </row>
    <row r="1377" spans="16:16" x14ac:dyDescent="0.2">
      <c r="P1377" s="415"/>
    </row>
    <row r="1378" spans="16:16" x14ac:dyDescent="0.2">
      <c r="P1378" s="415"/>
    </row>
    <row r="1379" spans="16:16" x14ac:dyDescent="0.2">
      <c r="P1379" s="415"/>
    </row>
    <row r="1380" spans="16:16" x14ac:dyDescent="0.2">
      <c r="P1380" s="415"/>
    </row>
    <row r="1381" spans="16:16" x14ac:dyDescent="0.2">
      <c r="P1381" s="415"/>
    </row>
    <row r="1382" spans="16:16" x14ac:dyDescent="0.2">
      <c r="P1382" s="415"/>
    </row>
    <row r="1383" spans="16:16" x14ac:dyDescent="0.2">
      <c r="P1383" s="415"/>
    </row>
    <row r="1384" spans="16:16" x14ac:dyDescent="0.2">
      <c r="P1384" s="415"/>
    </row>
    <row r="1385" spans="16:16" x14ac:dyDescent="0.2">
      <c r="P1385" s="415"/>
    </row>
    <row r="1386" spans="16:16" x14ac:dyDescent="0.2">
      <c r="P1386" s="415"/>
    </row>
    <row r="1387" spans="16:16" x14ac:dyDescent="0.2">
      <c r="P1387" s="415"/>
    </row>
    <row r="1388" spans="16:16" x14ac:dyDescent="0.2">
      <c r="P1388" s="415"/>
    </row>
    <row r="1389" spans="16:16" x14ac:dyDescent="0.2">
      <c r="P1389" s="415"/>
    </row>
    <row r="1390" spans="16:16" x14ac:dyDescent="0.2">
      <c r="P1390" s="415"/>
    </row>
    <row r="1391" spans="16:16" x14ac:dyDescent="0.2">
      <c r="P1391" s="415"/>
    </row>
    <row r="1392" spans="16:16" x14ac:dyDescent="0.2">
      <c r="P1392" s="415"/>
    </row>
    <row r="1393" spans="16:16" x14ac:dyDescent="0.2">
      <c r="P1393" s="415"/>
    </row>
    <row r="1394" spans="16:16" x14ac:dyDescent="0.2">
      <c r="P1394" s="415"/>
    </row>
    <row r="1395" spans="16:16" x14ac:dyDescent="0.2">
      <c r="P1395" s="415"/>
    </row>
    <row r="1396" spans="16:16" x14ac:dyDescent="0.2">
      <c r="P1396" s="415"/>
    </row>
    <row r="1397" spans="16:16" x14ac:dyDescent="0.2">
      <c r="P1397" s="415"/>
    </row>
    <row r="1398" spans="16:16" x14ac:dyDescent="0.2">
      <c r="P1398" s="415"/>
    </row>
    <row r="1399" spans="16:16" x14ac:dyDescent="0.2">
      <c r="P1399" s="415"/>
    </row>
    <row r="1400" spans="16:16" x14ac:dyDescent="0.2">
      <c r="P1400" s="415"/>
    </row>
    <row r="1401" spans="16:16" x14ac:dyDescent="0.2">
      <c r="P1401" s="415"/>
    </row>
    <row r="1402" spans="16:16" x14ac:dyDescent="0.2">
      <c r="P1402" s="415"/>
    </row>
    <row r="1403" spans="16:16" x14ac:dyDescent="0.2">
      <c r="P1403" s="415"/>
    </row>
    <row r="1404" spans="16:16" x14ac:dyDescent="0.2">
      <c r="P1404" s="415"/>
    </row>
    <row r="1405" spans="16:16" x14ac:dyDescent="0.2">
      <c r="P1405" s="415"/>
    </row>
    <row r="1406" spans="16:16" x14ac:dyDescent="0.2">
      <c r="P1406" s="415"/>
    </row>
    <row r="1407" spans="16:16" x14ac:dyDescent="0.2">
      <c r="P1407" s="415"/>
    </row>
    <row r="1408" spans="16:16" x14ac:dyDescent="0.2">
      <c r="P1408" s="415"/>
    </row>
    <row r="1409" spans="16:16" x14ac:dyDescent="0.2">
      <c r="P1409" s="415"/>
    </row>
    <row r="1410" spans="16:16" x14ac:dyDescent="0.2">
      <c r="P1410" s="415"/>
    </row>
    <row r="1411" spans="16:16" x14ac:dyDescent="0.2">
      <c r="P1411" s="415"/>
    </row>
    <row r="1412" spans="16:16" x14ac:dyDescent="0.2">
      <c r="P1412" s="415"/>
    </row>
    <row r="1413" spans="16:16" x14ac:dyDescent="0.2">
      <c r="P1413" s="415"/>
    </row>
    <row r="1414" spans="16:16" x14ac:dyDescent="0.2">
      <c r="P1414" s="415"/>
    </row>
    <row r="1415" spans="16:16" x14ac:dyDescent="0.2">
      <c r="P1415" s="415"/>
    </row>
    <row r="1416" spans="16:16" x14ac:dyDescent="0.2">
      <c r="P1416" s="415"/>
    </row>
    <row r="1417" spans="16:16" x14ac:dyDescent="0.2">
      <c r="P1417" s="415"/>
    </row>
    <row r="1418" spans="16:16" x14ac:dyDescent="0.2">
      <c r="P1418" s="415"/>
    </row>
    <row r="1419" spans="16:16" x14ac:dyDescent="0.2">
      <c r="P1419" s="415"/>
    </row>
    <row r="1420" spans="16:16" x14ac:dyDescent="0.2">
      <c r="P1420" s="415"/>
    </row>
    <row r="1421" spans="16:16" x14ac:dyDescent="0.2">
      <c r="P1421" s="415"/>
    </row>
    <row r="1422" spans="16:16" x14ac:dyDescent="0.2">
      <c r="P1422" s="415"/>
    </row>
    <row r="1423" spans="16:16" x14ac:dyDescent="0.2">
      <c r="P1423" s="415"/>
    </row>
    <row r="1424" spans="16:16" x14ac:dyDescent="0.2">
      <c r="P1424" s="415"/>
    </row>
    <row r="1425" spans="16:16" x14ac:dyDescent="0.2">
      <c r="P1425" s="415"/>
    </row>
    <row r="1426" spans="16:16" x14ac:dyDescent="0.2">
      <c r="P1426" s="415"/>
    </row>
    <row r="1427" spans="16:16" x14ac:dyDescent="0.2">
      <c r="P1427" s="415"/>
    </row>
    <row r="1428" spans="16:16" x14ac:dyDescent="0.2">
      <c r="P1428" s="415"/>
    </row>
    <row r="1429" spans="16:16" x14ac:dyDescent="0.2">
      <c r="P1429" s="415"/>
    </row>
    <row r="1430" spans="16:16" x14ac:dyDescent="0.2">
      <c r="P1430" s="415"/>
    </row>
    <row r="1431" spans="16:16" x14ac:dyDescent="0.2">
      <c r="P1431" s="415"/>
    </row>
    <row r="1432" spans="16:16" x14ac:dyDescent="0.2">
      <c r="P1432" s="415"/>
    </row>
    <row r="1433" spans="16:16" x14ac:dyDescent="0.2">
      <c r="P1433" s="415"/>
    </row>
    <row r="1434" spans="16:16" x14ac:dyDescent="0.2">
      <c r="P1434" s="415"/>
    </row>
    <row r="1435" spans="16:16" x14ac:dyDescent="0.2">
      <c r="P1435" s="415"/>
    </row>
    <row r="1436" spans="16:16" x14ac:dyDescent="0.2">
      <c r="P1436" s="415"/>
    </row>
    <row r="1437" spans="16:16" x14ac:dyDescent="0.2">
      <c r="P1437" s="415"/>
    </row>
    <row r="1438" spans="16:16" x14ac:dyDescent="0.2">
      <c r="P1438" s="415"/>
    </row>
    <row r="1439" spans="16:16" x14ac:dyDescent="0.2">
      <c r="P1439" s="415"/>
    </row>
    <row r="1440" spans="16:16" x14ac:dyDescent="0.2">
      <c r="P1440" s="415"/>
    </row>
    <row r="1441" spans="16:16" x14ac:dyDescent="0.2">
      <c r="P1441" s="415"/>
    </row>
    <row r="1442" spans="16:16" x14ac:dyDescent="0.2">
      <c r="P1442" s="415"/>
    </row>
    <row r="1443" spans="16:16" x14ac:dyDescent="0.2">
      <c r="P1443" s="415"/>
    </row>
    <row r="1444" spans="16:16" x14ac:dyDescent="0.2">
      <c r="P1444" s="415"/>
    </row>
    <row r="1445" spans="16:16" x14ac:dyDescent="0.2">
      <c r="P1445" s="415"/>
    </row>
    <row r="1446" spans="16:16" x14ac:dyDescent="0.2">
      <c r="P1446" s="415"/>
    </row>
    <row r="1447" spans="16:16" x14ac:dyDescent="0.2">
      <c r="P1447" s="415"/>
    </row>
    <row r="1448" spans="16:16" x14ac:dyDescent="0.2">
      <c r="P1448" s="415"/>
    </row>
    <row r="1449" spans="16:16" x14ac:dyDescent="0.2">
      <c r="P1449" s="415"/>
    </row>
    <row r="1450" spans="16:16" x14ac:dyDescent="0.2">
      <c r="P1450" s="415"/>
    </row>
    <row r="1451" spans="16:16" x14ac:dyDescent="0.2">
      <c r="P1451" s="415"/>
    </row>
    <row r="1452" spans="16:16" x14ac:dyDescent="0.2">
      <c r="P1452" s="415"/>
    </row>
    <row r="1453" spans="16:16" x14ac:dyDescent="0.2">
      <c r="P1453" s="415"/>
    </row>
    <row r="1454" spans="16:16" x14ac:dyDescent="0.2">
      <c r="P1454" s="415"/>
    </row>
    <row r="1455" spans="16:16" x14ac:dyDescent="0.2">
      <c r="P1455" s="415"/>
    </row>
    <row r="1456" spans="16:16" x14ac:dyDescent="0.2">
      <c r="P1456" s="415"/>
    </row>
    <row r="1457" spans="16:16" x14ac:dyDescent="0.2">
      <c r="P1457" s="415"/>
    </row>
    <row r="1458" spans="16:16" x14ac:dyDescent="0.2">
      <c r="P1458" s="415"/>
    </row>
    <row r="1459" spans="16:16" x14ac:dyDescent="0.2">
      <c r="P1459" s="415"/>
    </row>
    <row r="1460" spans="16:16" x14ac:dyDescent="0.2">
      <c r="P1460" s="415"/>
    </row>
    <row r="1461" spans="16:16" x14ac:dyDescent="0.2">
      <c r="P1461" s="415"/>
    </row>
    <row r="1462" spans="16:16" x14ac:dyDescent="0.2">
      <c r="P1462" s="415"/>
    </row>
    <row r="1463" spans="16:16" x14ac:dyDescent="0.2">
      <c r="P1463" s="415"/>
    </row>
    <row r="1464" spans="16:16" x14ac:dyDescent="0.2">
      <c r="P1464" s="415"/>
    </row>
    <row r="1465" spans="16:16" x14ac:dyDescent="0.2">
      <c r="P1465" s="415"/>
    </row>
    <row r="1466" spans="16:16" x14ac:dyDescent="0.2">
      <c r="P1466" s="415"/>
    </row>
    <row r="1467" spans="16:16" x14ac:dyDescent="0.2">
      <c r="P1467" s="415"/>
    </row>
    <row r="1468" spans="16:16" x14ac:dyDescent="0.2">
      <c r="P1468" s="415"/>
    </row>
    <row r="1469" spans="16:16" x14ac:dyDescent="0.2">
      <c r="P1469" s="415"/>
    </row>
    <row r="1470" spans="16:16" x14ac:dyDescent="0.2">
      <c r="P1470" s="415"/>
    </row>
    <row r="1471" spans="16:16" x14ac:dyDescent="0.2">
      <c r="P1471" s="415"/>
    </row>
    <row r="1472" spans="16:16" x14ac:dyDescent="0.2">
      <c r="P1472" s="415"/>
    </row>
    <row r="1473" spans="16:16" x14ac:dyDescent="0.2">
      <c r="P1473" s="415"/>
    </row>
    <row r="1474" spans="16:16" x14ac:dyDescent="0.2">
      <c r="P1474" s="415"/>
    </row>
    <row r="1475" spans="16:16" x14ac:dyDescent="0.2">
      <c r="P1475" s="415"/>
    </row>
    <row r="1476" spans="16:16" x14ac:dyDescent="0.2">
      <c r="P1476" s="415"/>
    </row>
    <row r="1477" spans="16:16" x14ac:dyDescent="0.2">
      <c r="P1477" s="415"/>
    </row>
    <row r="1478" spans="16:16" x14ac:dyDescent="0.2">
      <c r="P1478" s="415"/>
    </row>
    <row r="1479" spans="16:16" x14ac:dyDescent="0.2">
      <c r="P1479" s="415"/>
    </row>
    <row r="1480" spans="16:16" x14ac:dyDescent="0.2">
      <c r="P1480" s="415"/>
    </row>
    <row r="1481" spans="16:16" x14ac:dyDescent="0.2">
      <c r="P1481" s="415"/>
    </row>
    <row r="1482" spans="16:16" x14ac:dyDescent="0.2">
      <c r="P1482" s="415"/>
    </row>
    <row r="1483" spans="16:16" x14ac:dyDescent="0.2">
      <c r="P1483" s="415"/>
    </row>
    <row r="1484" spans="16:16" x14ac:dyDescent="0.2">
      <c r="P1484" s="415"/>
    </row>
    <row r="1485" spans="16:16" x14ac:dyDescent="0.2">
      <c r="P1485" s="415"/>
    </row>
    <row r="1486" spans="16:16" x14ac:dyDescent="0.2">
      <c r="P1486" s="415"/>
    </row>
    <row r="1487" spans="16:16" x14ac:dyDescent="0.2">
      <c r="P1487" s="415"/>
    </row>
    <row r="1488" spans="16:16" x14ac:dyDescent="0.2">
      <c r="P1488" s="415"/>
    </row>
    <row r="1489" spans="16:16" x14ac:dyDescent="0.2">
      <c r="P1489" s="415"/>
    </row>
    <row r="1490" spans="16:16" x14ac:dyDescent="0.2">
      <c r="P1490" s="415"/>
    </row>
    <row r="1491" spans="16:16" x14ac:dyDescent="0.2">
      <c r="P1491" s="415"/>
    </row>
    <row r="1492" spans="16:16" x14ac:dyDescent="0.2">
      <c r="P1492" s="415"/>
    </row>
    <row r="1493" spans="16:16" x14ac:dyDescent="0.2">
      <c r="P1493" s="415"/>
    </row>
    <row r="1494" spans="16:16" x14ac:dyDescent="0.2">
      <c r="P1494" s="415"/>
    </row>
    <row r="1495" spans="16:16" x14ac:dyDescent="0.2">
      <c r="P1495" s="415"/>
    </row>
    <row r="1496" spans="16:16" x14ac:dyDescent="0.2">
      <c r="P1496" s="415"/>
    </row>
    <row r="1497" spans="16:16" x14ac:dyDescent="0.2">
      <c r="P1497" s="415"/>
    </row>
    <row r="1498" spans="16:16" x14ac:dyDescent="0.2">
      <c r="P1498" s="415"/>
    </row>
    <row r="1499" spans="16:16" x14ac:dyDescent="0.2">
      <c r="P1499" s="415"/>
    </row>
    <row r="1500" spans="16:16" x14ac:dyDescent="0.2">
      <c r="P1500" s="415"/>
    </row>
    <row r="1501" spans="16:16" x14ac:dyDescent="0.2">
      <c r="P1501" s="415"/>
    </row>
    <row r="1502" spans="16:16" x14ac:dyDescent="0.2">
      <c r="P1502" s="415"/>
    </row>
    <row r="1503" spans="16:16" x14ac:dyDescent="0.2">
      <c r="P1503" s="415"/>
    </row>
    <row r="1504" spans="16:16" x14ac:dyDescent="0.2">
      <c r="P1504" s="415"/>
    </row>
    <row r="1505" spans="16:16" x14ac:dyDescent="0.2">
      <c r="P1505" s="415"/>
    </row>
    <row r="1506" spans="16:16" x14ac:dyDescent="0.2">
      <c r="P1506" s="415"/>
    </row>
    <row r="1507" spans="16:16" x14ac:dyDescent="0.2">
      <c r="P1507" s="415"/>
    </row>
    <row r="1508" spans="16:16" x14ac:dyDescent="0.2">
      <c r="P1508" s="415"/>
    </row>
    <row r="1509" spans="16:16" x14ac:dyDescent="0.2">
      <c r="P1509" s="415"/>
    </row>
    <row r="1510" spans="16:16" x14ac:dyDescent="0.2">
      <c r="P1510" s="415"/>
    </row>
    <row r="1511" spans="16:16" x14ac:dyDescent="0.2">
      <c r="P1511" s="415"/>
    </row>
    <row r="1512" spans="16:16" x14ac:dyDescent="0.2">
      <c r="P1512" s="415"/>
    </row>
    <row r="1513" spans="16:16" x14ac:dyDescent="0.2">
      <c r="P1513" s="415"/>
    </row>
    <row r="1514" spans="16:16" x14ac:dyDescent="0.2">
      <c r="P1514" s="415"/>
    </row>
    <row r="1515" spans="16:16" x14ac:dyDescent="0.2">
      <c r="P1515" s="415"/>
    </row>
    <row r="1516" spans="16:16" x14ac:dyDescent="0.2">
      <c r="P1516" s="415"/>
    </row>
    <row r="1517" spans="16:16" x14ac:dyDescent="0.2">
      <c r="P1517" s="415"/>
    </row>
    <row r="1518" spans="16:16" x14ac:dyDescent="0.2">
      <c r="P1518" s="415"/>
    </row>
    <row r="1519" spans="16:16" x14ac:dyDescent="0.2">
      <c r="P1519" s="415"/>
    </row>
    <row r="1520" spans="16:16" x14ac:dyDescent="0.2">
      <c r="P1520" s="415"/>
    </row>
    <row r="1521" spans="16:16" x14ac:dyDescent="0.2">
      <c r="P1521" s="415"/>
    </row>
    <row r="1522" spans="16:16" x14ac:dyDescent="0.2">
      <c r="P1522" s="415"/>
    </row>
    <row r="1523" spans="16:16" x14ac:dyDescent="0.2">
      <c r="P1523" s="415"/>
    </row>
    <row r="1524" spans="16:16" x14ac:dyDescent="0.2">
      <c r="P1524" s="415"/>
    </row>
    <row r="1525" spans="16:16" x14ac:dyDescent="0.2">
      <c r="P1525" s="415"/>
    </row>
    <row r="1526" spans="16:16" x14ac:dyDescent="0.2">
      <c r="P1526" s="415"/>
    </row>
    <row r="1527" spans="16:16" x14ac:dyDescent="0.2">
      <c r="P1527" s="415"/>
    </row>
    <row r="1528" spans="16:16" x14ac:dyDescent="0.2">
      <c r="P1528" s="415"/>
    </row>
    <row r="1529" spans="16:16" x14ac:dyDescent="0.2">
      <c r="P1529" s="415"/>
    </row>
    <row r="1530" spans="16:16" x14ac:dyDescent="0.2">
      <c r="P1530" s="415"/>
    </row>
    <row r="1531" spans="16:16" x14ac:dyDescent="0.2">
      <c r="P1531" s="415"/>
    </row>
    <row r="1532" spans="16:16" x14ac:dyDescent="0.2">
      <c r="P1532" s="415"/>
    </row>
    <row r="1533" spans="16:16" x14ac:dyDescent="0.2">
      <c r="P1533" s="415"/>
    </row>
    <row r="1534" spans="16:16" x14ac:dyDescent="0.2">
      <c r="P1534" s="415"/>
    </row>
    <row r="1535" spans="16:16" x14ac:dyDescent="0.2">
      <c r="P1535" s="415"/>
    </row>
    <row r="1536" spans="16:16" x14ac:dyDescent="0.2">
      <c r="P1536" s="415"/>
    </row>
    <row r="1537" spans="16:16" x14ac:dyDescent="0.2">
      <c r="P1537" s="415"/>
    </row>
    <row r="1538" spans="16:16" x14ac:dyDescent="0.2">
      <c r="P1538" s="415"/>
    </row>
    <row r="1539" spans="16:16" x14ac:dyDescent="0.2">
      <c r="P1539" s="415"/>
    </row>
    <row r="1540" spans="16:16" x14ac:dyDescent="0.2">
      <c r="P1540" s="415"/>
    </row>
    <row r="1541" spans="16:16" x14ac:dyDescent="0.2">
      <c r="P1541" s="415"/>
    </row>
    <row r="1542" spans="16:16" x14ac:dyDescent="0.2">
      <c r="P1542" s="415"/>
    </row>
    <row r="1543" spans="16:16" x14ac:dyDescent="0.2">
      <c r="P1543" s="415"/>
    </row>
    <row r="1544" spans="16:16" x14ac:dyDescent="0.2">
      <c r="P1544" s="415"/>
    </row>
    <row r="1545" spans="16:16" x14ac:dyDescent="0.2">
      <c r="P1545" s="415"/>
    </row>
    <row r="1546" spans="16:16" x14ac:dyDescent="0.2">
      <c r="P1546" s="415"/>
    </row>
    <row r="1547" spans="16:16" x14ac:dyDescent="0.2">
      <c r="P1547" s="415"/>
    </row>
    <row r="1548" spans="16:16" x14ac:dyDescent="0.2">
      <c r="P1548" s="415"/>
    </row>
    <row r="1549" spans="16:16" x14ac:dyDescent="0.2">
      <c r="P1549" s="415"/>
    </row>
    <row r="1550" spans="16:16" x14ac:dyDescent="0.2">
      <c r="P1550" s="415"/>
    </row>
    <row r="1551" spans="16:16" x14ac:dyDescent="0.2">
      <c r="P1551" s="415"/>
    </row>
    <row r="1552" spans="16:16" x14ac:dyDescent="0.2">
      <c r="P1552" s="415"/>
    </row>
    <row r="1553" spans="16:16" x14ac:dyDescent="0.2">
      <c r="P1553" s="415"/>
    </row>
    <row r="1554" spans="16:16" x14ac:dyDescent="0.2">
      <c r="P1554" s="415"/>
    </row>
    <row r="1555" spans="16:16" x14ac:dyDescent="0.2">
      <c r="P1555" s="415"/>
    </row>
    <row r="1556" spans="16:16" x14ac:dyDescent="0.2">
      <c r="P1556" s="415"/>
    </row>
    <row r="1557" spans="16:16" x14ac:dyDescent="0.2">
      <c r="P1557" s="415"/>
    </row>
    <row r="1558" spans="16:16" x14ac:dyDescent="0.2">
      <c r="P1558" s="415"/>
    </row>
    <row r="1559" spans="16:16" x14ac:dyDescent="0.2">
      <c r="P1559" s="415"/>
    </row>
    <row r="1560" spans="16:16" x14ac:dyDescent="0.2">
      <c r="P1560" s="415"/>
    </row>
    <row r="1561" spans="16:16" x14ac:dyDescent="0.2">
      <c r="P1561" s="415"/>
    </row>
    <row r="1562" spans="16:16" x14ac:dyDescent="0.2">
      <c r="P1562" s="415"/>
    </row>
    <row r="1563" spans="16:16" x14ac:dyDescent="0.2">
      <c r="P1563" s="415"/>
    </row>
    <row r="1564" spans="16:16" x14ac:dyDescent="0.2">
      <c r="P1564" s="415"/>
    </row>
    <row r="1565" spans="16:16" x14ac:dyDescent="0.2">
      <c r="P1565" s="415"/>
    </row>
    <row r="1566" spans="16:16" x14ac:dyDescent="0.2">
      <c r="P1566" s="415"/>
    </row>
    <row r="1567" spans="16:16" x14ac:dyDescent="0.2">
      <c r="P1567" s="415"/>
    </row>
    <row r="1568" spans="16:16" x14ac:dyDescent="0.2">
      <c r="P1568" s="415"/>
    </row>
    <row r="1569" spans="16:16" x14ac:dyDescent="0.2">
      <c r="P1569" s="415"/>
    </row>
    <row r="1570" spans="16:16" x14ac:dyDescent="0.2">
      <c r="P1570" s="415"/>
    </row>
    <row r="1571" spans="16:16" x14ac:dyDescent="0.2">
      <c r="P1571" s="415"/>
    </row>
    <row r="1572" spans="16:16" x14ac:dyDescent="0.2">
      <c r="P1572" s="415"/>
    </row>
    <row r="1573" spans="16:16" x14ac:dyDescent="0.2">
      <c r="P1573" s="415"/>
    </row>
    <row r="1574" spans="16:16" x14ac:dyDescent="0.2">
      <c r="P1574" s="415"/>
    </row>
    <row r="1575" spans="16:16" x14ac:dyDescent="0.2">
      <c r="P1575" s="415"/>
    </row>
    <row r="1576" spans="16:16" x14ac:dyDescent="0.2">
      <c r="P1576" s="415"/>
    </row>
    <row r="1577" spans="16:16" x14ac:dyDescent="0.2">
      <c r="P1577" s="415"/>
    </row>
    <row r="1578" spans="16:16" x14ac:dyDescent="0.2">
      <c r="P1578" s="415"/>
    </row>
    <row r="1579" spans="16:16" x14ac:dyDescent="0.2">
      <c r="P1579" s="415"/>
    </row>
    <row r="1580" spans="16:16" x14ac:dyDescent="0.2">
      <c r="P1580" s="415"/>
    </row>
    <row r="1581" spans="16:16" x14ac:dyDescent="0.2">
      <c r="P1581" s="415"/>
    </row>
    <row r="1582" spans="16:16" x14ac:dyDescent="0.2">
      <c r="P1582" s="415"/>
    </row>
    <row r="1583" spans="16:16" x14ac:dyDescent="0.2">
      <c r="P1583" s="415"/>
    </row>
    <row r="1584" spans="16:16" x14ac:dyDescent="0.2">
      <c r="P1584" s="415"/>
    </row>
    <row r="1585" spans="16:16" x14ac:dyDescent="0.2">
      <c r="P1585" s="415"/>
    </row>
    <row r="1586" spans="16:16" x14ac:dyDescent="0.2">
      <c r="P1586" s="415"/>
    </row>
    <row r="1587" spans="16:16" x14ac:dyDescent="0.2">
      <c r="P1587" s="415"/>
    </row>
    <row r="1588" spans="16:16" x14ac:dyDescent="0.2">
      <c r="P1588" s="415"/>
    </row>
    <row r="1589" spans="16:16" x14ac:dyDescent="0.2">
      <c r="P1589" s="415"/>
    </row>
    <row r="1590" spans="16:16" x14ac:dyDescent="0.2">
      <c r="P1590" s="415"/>
    </row>
    <row r="1591" spans="16:16" x14ac:dyDescent="0.2">
      <c r="P1591" s="415"/>
    </row>
    <row r="1592" spans="16:16" x14ac:dyDescent="0.2">
      <c r="P1592" s="415"/>
    </row>
    <row r="1593" spans="16:16" x14ac:dyDescent="0.2">
      <c r="P1593" s="415"/>
    </row>
    <row r="1594" spans="16:16" x14ac:dyDescent="0.2">
      <c r="P1594" s="415"/>
    </row>
    <row r="1595" spans="16:16" x14ac:dyDescent="0.2">
      <c r="P1595" s="415"/>
    </row>
    <row r="1596" spans="16:16" x14ac:dyDescent="0.2">
      <c r="P1596" s="415"/>
    </row>
    <row r="1597" spans="16:16" x14ac:dyDescent="0.2">
      <c r="P1597" s="415"/>
    </row>
    <row r="1598" spans="16:16" x14ac:dyDescent="0.2">
      <c r="P1598" s="415"/>
    </row>
    <row r="1599" spans="16:16" x14ac:dyDescent="0.2">
      <c r="P1599" s="415"/>
    </row>
    <row r="1600" spans="16:16" x14ac:dyDescent="0.2">
      <c r="P1600" s="415"/>
    </row>
    <row r="1601" spans="16:16" x14ac:dyDescent="0.2">
      <c r="P1601" s="415"/>
    </row>
    <row r="1602" spans="16:16" x14ac:dyDescent="0.2">
      <c r="P1602" s="415"/>
    </row>
    <row r="1603" spans="16:16" x14ac:dyDescent="0.2">
      <c r="P1603" s="415"/>
    </row>
    <row r="1604" spans="16:16" x14ac:dyDescent="0.2">
      <c r="P1604" s="415"/>
    </row>
    <row r="1605" spans="16:16" x14ac:dyDescent="0.2">
      <c r="P1605" s="415"/>
    </row>
    <row r="1606" spans="16:16" x14ac:dyDescent="0.2">
      <c r="P1606" s="415"/>
    </row>
    <row r="1607" spans="16:16" x14ac:dyDescent="0.2">
      <c r="P1607" s="415"/>
    </row>
    <row r="1608" spans="16:16" x14ac:dyDescent="0.2">
      <c r="P1608" s="415"/>
    </row>
    <row r="1609" spans="16:16" x14ac:dyDescent="0.2">
      <c r="P1609" s="415"/>
    </row>
    <row r="1610" spans="16:16" x14ac:dyDescent="0.2">
      <c r="P1610" s="415"/>
    </row>
    <row r="1611" spans="16:16" x14ac:dyDescent="0.2">
      <c r="P1611" s="415"/>
    </row>
    <row r="1612" spans="16:16" x14ac:dyDescent="0.2">
      <c r="P1612" s="415"/>
    </row>
    <row r="1613" spans="16:16" x14ac:dyDescent="0.2">
      <c r="P1613" s="415"/>
    </row>
    <row r="1614" spans="16:16" x14ac:dyDescent="0.2">
      <c r="P1614" s="415"/>
    </row>
    <row r="1615" spans="16:16" x14ac:dyDescent="0.2">
      <c r="P1615" s="415"/>
    </row>
    <row r="1616" spans="16:16" x14ac:dyDescent="0.2">
      <c r="P1616" s="415"/>
    </row>
    <row r="1617" spans="16:16" x14ac:dyDescent="0.2">
      <c r="P1617" s="415"/>
    </row>
    <row r="1618" spans="16:16" x14ac:dyDescent="0.2">
      <c r="P1618" s="415"/>
    </row>
    <row r="1619" spans="16:16" x14ac:dyDescent="0.2">
      <c r="P1619" s="415"/>
    </row>
    <row r="1620" spans="16:16" x14ac:dyDescent="0.2">
      <c r="P1620" s="415"/>
    </row>
    <row r="1621" spans="16:16" x14ac:dyDescent="0.2">
      <c r="P1621" s="415"/>
    </row>
    <row r="1622" spans="16:16" x14ac:dyDescent="0.2">
      <c r="P1622" s="415"/>
    </row>
    <row r="1623" spans="16:16" x14ac:dyDescent="0.2">
      <c r="P1623" s="415"/>
    </row>
    <row r="1624" spans="16:16" x14ac:dyDescent="0.2">
      <c r="P1624" s="415"/>
    </row>
    <row r="1625" spans="16:16" x14ac:dyDescent="0.2">
      <c r="P1625" s="415"/>
    </row>
    <row r="1626" spans="16:16" x14ac:dyDescent="0.2">
      <c r="P1626" s="415"/>
    </row>
    <row r="1627" spans="16:16" x14ac:dyDescent="0.2">
      <c r="P1627" s="415"/>
    </row>
    <row r="1628" spans="16:16" x14ac:dyDescent="0.2">
      <c r="P1628" s="415"/>
    </row>
    <row r="1629" spans="16:16" x14ac:dyDescent="0.2">
      <c r="P1629" s="415"/>
    </row>
    <row r="1630" spans="16:16" x14ac:dyDescent="0.2">
      <c r="P1630" s="415"/>
    </row>
    <row r="1631" spans="16:16" x14ac:dyDescent="0.2">
      <c r="P1631" s="415"/>
    </row>
    <row r="1632" spans="16:16" x14ac:dyDescent="0.2">
      <c r="P1632" s="415"/>
    </row>
    <row r="1633" spans="16:16" x14ac:dyDescent="0.2">
      <c r="P1633" s="415"/>
    </row>
    <row r="1634" spans="16:16" x14ac:dyDescent="0.2">
      <c r="P1634" s="415"/>
    </row>
    <row r="1635" spans="16:16" x14ac:dyDescent="0.2">
      <c r="P1635" s="415"/>
    </row>
    <row r="1636" spans="16:16" x14ac:dyDescent="0.2">
      <c r="P1636" s="415"/>
    </row>
    <row r="1637" spans="16:16" x14ac:dyDescent="0.2">
      <c r="P1637" s="415"/>
    </row>
    <row r="1638" spans="16:16" x14ac:dyDescent="0.2">
      <c r="P1638" s="415"/>
    </row>
    <row r="1639" spans="16:16" x14ac:dyDescent="0.2">
      <c r="P1639" s="415"/>
    </row>
    <row r="1640" spans="16:16" x14ac:dyDescent="0.2">
      <c r="P1640" s="415"/>
    </row>
    <row r="1641" spans="16:16" x14ac:dyDescent="0.2">
      <c r="P1641" s="415"/>
    </row>
    <row r="1642" spans="16:16" x14ac:dyDescent="0.2">
      <c r="P1642" s="415"/>
    </row>
    <row r="1643" spans="16:16" x14ac:dyDescent="0.2">
      <c r="P1643" s="415"/>
    </row>
    <row r="1644" spans="16:16" x14ac:dyDescent="0.2">
      <c r="P1644" s="415"/>
    </row>
    <row r="1645" spans="16:16" x14ac:dyDescent="0.2">
      <c r="P1645" s="415"/>
    </row>
    <row r="1646" spans="16:16" x14ac:dyDescent="0.2">
      <c r="P1646" s="415"/>
    </row>
    <row r="1647" spans="16:16" x14ac:dyDescent="0.2">
      <c r="P1647" s="415"/>
    </row>
    <row r="1648" spans="16:16" x14ac:dyDescent="0.2">
      <c r="P1648" s="415"/>
    </row>
    <row r="1649" spans="16:16" x14ac:dyDescent="0.2">
      <c r="P1649" s="415"/>
    </row>
    <row r="1650" spans="16:16" x14ac:dyDescent="0.2">
      <c r="P1650" s="415"/>
    </row>
    <row r="1651" spans="16:16" x14ac:dyDescent="0.2">
      <c r="P1651" s="415"/>
    </row>
    <row r="1652" spans="16:16" x14ac:dyDescent="0.2">
      <c r="P1652" s="415"/>
    </row>
    <row r="1653" spans="16:16" x14ac:dyDescent="0.2">
      <c r="P1653" s="415"/>
    </row>
    <row r="1654" spans="16:16" x14ac:dyDescent="0.2">
      <c r="P1654" s="415"/>
    </row>
    <row r="1655" spans="16:16" x14ac:dyDescent="0.2">
      <c r="P1655" s="415"/>
    </row>
    <row r="1656" spans="16:16" x14ac:dyDescent="0.2">
      <c r="P1656" s="415"/>
    </row>
    <row r="1657" spans="16:16" x14ac:dyDescent="0.2">
      <c r="P1657" s="415"/>
    </row>
    <row r="1658" spans="16:16" x14ac:dyDescent="0.2">
      <c r="P1658" s="415"/>
    </row>
    <row r="1659" spans="16:16" x14ac:dyDescent="0.2">
      <c r="P1659" s="415"/>
    </row>
    <row r="1660" spans="16:16" x14ac:dyDescent="0.2">
      <c r="P1660" s="415"/>
    </row>
    <row r="1661" spans="16:16" x14ac:dyDescent="0.2">
      <c r="P1661" s="415"/>
    </row>
    <row r="1662" spans="16:16" x14ac:dyDescent="0.2">
      <c r="P1662" s="415"/>
    </row>
    <row r="1663" spans="16:16" x14ac:dyDescent="0.2">
      <c r="P1663" s="415"/>
    </row>
    <row r="1664" spans="16:16" x14ac:dyDescent="0.2">
      <c r="P1664" s="415"/>
    </row>
    <row r="1665" spans="16:16" x14ac:dyDescent="0.2">
      <c r="P1665" s="415"/>
    </row>
    <row r="1666" spans="16:16" x14ac:dyDescent="0.2">
      <c r="P1666" s="415"/>
    </row>
    <row r="1667" spans="16:16" x14ac:dyDescent="0.2">
      <c r="P1667" s="415"/>
    </row>
    <row r="1668" spans="16:16" x14ac:dyDescent="0.2">
      <c r="P1668" s="415"/>
    </row>
    <row r="1669" spans="16:16" x14ac:dyDescent="0.2">
      <c r="P1669" s="415"/>
    </row>
    <row r="1670" spans="16:16" x14ac:dyDescent="0.2">
      <c r="P1670" s="415"/>
    </row>
    <row r="1671" spans="16:16" x14ac:dyDescent="0.2">
      <c r="P1671" s="415"/>
    </row>
    <row r="1672" spans="16:16" x14ac:dyDescent="0.2">
      <c r="P1672" s="415"/>
    </row>
    <row r="1673" spans="16:16" x14ac:dyDescent="0.2">
      <c r="P1673" s="415"/>
    </row>
    <row r="1674" spans="16:16" x14ac:dyDescent="0.2">
      <c r="P1674" s="415"/>
    </row>
    <row r="1675" spans="16:16" x14ac:dyDescent="0.2">
      <c r="P1675" s="415"/>
    </row>
    <row r="1676" spans="16:16" x14ac:dyDescent="0.2">
      <c r="P1676" s="415"/>
    </row>
    <row r="1677" spans="16:16" x14ac:dyDescent="0.2">
      <c r="P1677" s="415"/>
    </row>
    <row r="1678" spans="16:16" x14ac:dyDescent="0.2">
      <c r="P1678" s="415"/>
    </row>
    <row r="1679" spans="16:16" x14ac:dyDescent="0.2">
      <c r="P1679" s="415"/>
    </row>
    <row r="1680" spans="16:16" x14ac:dyDescent="0.2">
      <c r="P1680" s="415"/>
    </row>
    <row r="1681" spans="16:16" x14ac:dyDescent="0.2">
      <c r="P1681" s="415"/>
    </row>
    <row r="1682" spans="16:16" x14ac:dyDescent="0.2">
      <c r="P1682" s="415"/>
    </row>
    <row r="1683" spans="16:16" x14ac:dyDescent="0.2">
      <c r="P1683" s="415"/>
    </row>
    <row r="1684" spans="16:16" x14ac:dyDescent="0.2">
      <c r="P1684" s="415"/>
    </row>
    <row r="1685" spans="16:16" x14ac:dyDescent="0.2">
      <c r="P1685" s="415"/>
    </row>
    <row r="1686" spans="16:16" x14ac:dyDescent="0.2">
      <c r="P1686" s="415"/>
    </row>
    <row r="1687" spans="16:16" x14ac:dyDescent="0.2">
      <c r="P1687" s="415"/>
    </row>
    <row r="1688" spans="16:16" x14ac:dyDescent="0.2">
      <c r="P1688" s="415"/>
    </row>
    <row r="1689" spans="16:16" x14ac:dyDescent="0.2">
      <c r="P1689" s="415"/>
    </row>
    <row r="1690" spans="16:16" x14ac:dyDescent="0.2">
      <c r="P1690" s="415"/>
    </row>
    <row r="1691" spans="16:16" x14ac:dyDescent="0.2">
      <c r="P1691" s="415"/>
    </row>
    <row r="1692" spans="16:16" x14ac:dyDescent="0.2">
      <c r="P1692" s="415"/>
    </row>
    <row r="1693" spans="16:16" x14ac:dyDescent="0.2">
      <c r="P1693" s="415"/>
    </row>
    <row r="1694" spans="16:16" x14ac:dyDescent="0.2">
      <c r="P1694" s="415"/>
    </row>
    <row r="1695" spans="16:16" x14ac:dyDescent="0.2">
      <c r="P1695" s="415"/>
    </row>
    <row r="1696" spans="16:16" x14ac:dyDescent="0.2">
      <c r="P1696" s="415"/>
    </row>
    <row r="1697" spans="16:16" x14ac:dyDescent="0.2">
      <c r="P1697" s="415"/>
    </row>
    <row r="1698" spans="16:16" x14ac:dyDescent="0.2">
      <c r="P1698" s="415"/>
    </row>
    <row r="1699" spans="16:16" x14ac:dyDescent="0.2">
      <c r="P1699" s="415"/>
    </row>
    <row r="1700" spans="16:16" x14ac:dyDescent="0.2">
      <c r="P1700" s="415"/>
    </row>
    <row r="1701" spans="16:16" x14ac:dyDescent="0.2">
      <c r="P1701" s="415"/>
    </row>
    <row r="1702" spans="16:16" x14ac:dyDescent="0.2">
      <c r="P1702" s="415"/>
    </row>
    <row r="1703" spans="16:16" x14ac:dyDescent="0.2">
      <c r="P1703" s="415"/>
    </row>
    <row r="1704" spans="16:16" x14ac:dyDescent="0.2">
      <c r="P1704" s="415"/>
    </row>
    <row r="1705" spans="16:16" x14ac:dyDescent="0.2">
      <c r="P1705" s="415"/>
    </row>
    <row r="1706" spans="16:16" x14ac:dyDescent="0.2">
      <c r="P1706" s="415"/>
    </row>
    <row r="1707" spans="16:16" x14ac:dyDescent="0.2">
      <c r="P1707" s="415"/>
    </row>
    <row r="1708" spans="16:16" x14ac:dyDescent="0.2">
      <c r="P1708" s="415"/>
    </row>
    <row r="1709" spans="16:16" x14ac:dyDescent="0.2">
      <c r="P1709" s="415"/>
    </row>
    <row r="1710" spans="16:16" x14ac:dyDescent="0.2">
      <c r="P1710" s="415"/>
    </row>
    <row r="1711" spans="16:16" x14ac:dyDescent="0.2">
      <c r="P1711" s="415"/>
    </row>
    <row r="1712" spans="16:16" x14ac:dyDescent="0.2">
      <c r="P1712" s="415"/>
    </row>
    <row r="1713" spans="16:16" x14ac:dyDescent="0.2">
      <c r="P1713" s="415"/>
    </row>
    <row r="1714" spans="16:16" x14ac:dyDescent="0.2">
      <c r="P1714" s="415"/>
    </row>
    <row r="1715" spans="16:16" x14ac:dyDescent="0.2">
      <c r="P1715" s="415"/>
    </row>
    <row r="1716" spans="16:16" x14ac:dyDescent="0.2">
      <c r="P1716" s="415"/>
    </row>
    <row r="1717" spans="16:16" x14ac:dyDescent="0.2">
      <c r="P1717" s="415"/>
    </row>
    <row r="1718" spans="16:16" x14ac:dyDescent="0.2">
      <c r="P1718" s="415"/>
    </row>
    <row r="1719" spans="16:16" x14ac:dyDescent="0.2">
      <c r="P1719" s="415"/>
    </row>
    <row r="1720" spans="16:16" x14ac:dyDescent="0.2">
      <c r="P1720" s="415"/>
    </row>
    <row r="1721" spans="16:16" x14ac:dyDescent="0.2">
      <c r="P1721" s="415"/>
    </row>
    <row r="1722" spans="16:16" x14ac:dyDescent="0.2">
      <c r="P1722" s="415"/>
    </row>
    <row r="1723" spans="16:16" x14ac:dyDescent="0.2">
      <c r="P1723" s="415"/>
    </row>
    <row r="1724" spans="16:16" x14ac:dyDescent="0.2">
      <c r="P1724" s="415"/>
    </row>
    <row r="1725" spans="16:16" x14ac:dyDescent="0.2">
      <c r="P1725" s="415"/>
    </row>
    <row r="1726" spans="16:16" x14ac:dyDescent="0.2">
      <c r="P1726" s="415"/>
    </row>
    <row r="1727" spans="16:16" x14ac:dyDescent="0.2">
      <c r="P1727" s="415"/>
    </row>
    <row r="1728" spans="16:16" x14ac:dyDescent="0.2">
      <c r="P1728" s="415"/>
    </row>
    <row r="1729" spans="16:16" x14ac:dyDescent="0.2">
      <c r="P1729" s="415"/>
    </row>
    <row r="1730" spans="16:16" x14ac:dyDescent="0.2">
      <c r="P1730" s="415"/>
    </row>
    <row r="1731" spans="16:16" x14ac:dyDescent="0.2">
      <c r="P1731" s="415"/>
    </row>
    <row r="1732" spans="16:16" x14ac:dyDescent="0.2">
      <c r="P1732" s="415"/>
    </row>
    <row r="1733" spans="16:16" x14ac:dyDescent="0.2">
      <c r="P1733" s="415"/>
    </row>
    <row r="1734" spans="16:16" x14ac:dyDescent="0.2">
      <c r="P1734" s="415"/>
    </row>
    <row r="1735" spans="16:16" x14ac:dyDescent="0.2">
      <c r="P1735" s="415"/>
    </row>
    <row r="1736" spans="16:16" x14ac:dyDescent="0.2">
      <c r="P1736" s="415"/>
    </row>
    <row r="1737" spans="16:16" x14ac:dyDescent="0.2">
      <c r="P1737" s="415"/>
    </row>
    <row r="1738" spans="16:16" x14ac:dyDescent="0.2">
      <c r="P1738" s="415"/>
    </row>
    <row r="1739" spans="16:16" x14ac:dyDescent="0.2">
      <c r="P1739" s="415"/>
    </row>
    <row r="1740" spans="16:16" x14ac:dyDescent="0.2">
      <c r="P1740" s="415"/>
    </row>
    <row r="1741" spans="16:16" x14ac:dyDescent="0.2">
      <c r="P1741" s="415"/>
    </row>
    <row r="1742" spans="16:16" x14ac:dyDescent="0.2">
      <c r="P1742" s="415"/>
    </row>
    <row r="1743" spans="16:16" x14ac:dyDescent="0.2">
      <c r="P1743" s="415"/>
    </row>
    <row r="1744" spans="16:16" x14ac:dyDescent="0.2">
      <c r="P1744" s="415"/>
    </row>
    <row r="1745" spans="16:16" x14ac:dyDescent="0.2">
      <c r="P1745" s="415"/>
    </row>
    <row r="1746" spans="16:16" x14ac:dyDescent="0.2">
      <c r="P1746" s="415"/>
    </row>
    <row r="1747" spans="16:16" x14ac:dyDescent="0.2">
      <c r="P1747" s="415"/>
    </row>
    <row r="1748" spans="16:16" x14ac:dyDescent="0.2">
      <c r="P1748" s="415"/>
    </row>
    <row r="1749" spans="16:16" x14ac:dyDescent="0.2">
      <c r="P1749" s="415"/>
    </row>
    <row r="1750" spans="16:16" x14ac:dyDescent="0.2">
      <c r="P1750" s="415"/>
    </row>
    <row r="1751" spans="16:16" x14ac:dyDescent="0.2">
      <c r="P1751" s="415"/>
    </row>
    <row r="1752" spans="16:16" x14ac:dyDescent="0.2">
      <c r="P1752" s="415"/>
    </row>
    <row r="1753" spans="16:16" x14ac:dyDescent="0.2">
      <c r="P1753" s="415"/>
    </row>
    <row r="1754" spans="16:16" x14ac:dyDescent="0.2">
      <c r="P1754" s="415"/>
    </row>
    <row r="1755" spans="16:16" x14ac:dyDescent="0.2">
      <c r="P1755" s="415"/>
    </row>
    <row r="1756" spans="16:16" x14ac:dyDescent="0.2">
      <c r="P1756" s="415"/>
    </row>
    <row r="1757" spans="16:16" x14ac:dyDescent="0.2">
      <c r="P1757" s="415"/>
    </row>
    <row r="1758" spans="16:16" x14ac:dyDescent="0.2">
      <c r="P1758" s="415"/>
    </row>
    <row r="1759" spans="16:16" x14ac:dyDescent="0.2">
      <c r="P1759" s="415"/>
    </row>
    <row r="1760" spans="16:16" x14ac:dyDescent="0.2">
      <c r="P1760" s="415"/>
    </row>
    <row r="1761" spans="16:16" x14ac:dyDescent="0.2">
      <c r="P1761" s="415"/>
    </row>
    <row r="1762" spans="16:16" x14ac:dyDescent="0.2">
      <c r="P1762" s="415"/>
    </row>
    <row r="1763" spans="16:16" x14ac:dyDescent="0.2">
      <c r="P1763" s="415"/>
    </row>
    <row r="1764" spans="16:16" x14ac:dyDescent="0.2">
      <c r="P1764" s="415"/>
    </row>
    <row r="1765" spans="16:16" x14ac:dyDescent="0.2">
      <c r="P1765" s="415"/>
    </row>
    <row r="1766" spans="16:16" x14ac:dyDescent="0.2">
      <c r="P1766" s="415"/>
    </row>
    <row r="1767" spans="16:16" x14ac:dyDescent="0.2">
      <c r="P1767" s="415"/>
    </row>
    <row r="1768" spans="16:16" x14ac:dyDescent="0.2">
      <c r="P1768" s="415"/>
    </row>
    <row r="1769" spans="16:16" x14ac:dyDescent="0.2">
      <c r="P1769" s="415"/>
    </row>
    <row r="1770" spans="16:16" x14ac:dyDescent="0.2">
      <c r="P1770" s="415"/>
    </row>
    <row r="1771" spans="16:16" x14ac:dyDescent="0.2">
      <c r="P1771" s="415"/>
    </row>
    <row r="1772" spans="16:16" x14ac:dyDescent="0.2">
      <c r="P1772" s="415"/>
    </row>
    <row r="1773" spans="16:16" x14ac:dyDescent="0.2">
      <c r="P1773" s="415"/>
    </row>
    <row r="1774" spans="16:16" x14ac:dyDescent="0.2">
      <c r="P1774" s="415"/>
    </row>
    <row r="1775" spans="16:16" x14ac:dyDescent="0.2">
      <c r="P1775" s="415"/>
    </row>
    <row r="1776" spans="16:16" x14ac:dyDescent="0.2">
      <c r="P1776" s="415"/>
    </row>
    <row r="1777" spans="16:16" x14ac:dyDescent="0.2">
      <c r="P1777" s="415"/>
    </row>
    <row r="1778" spans="16:16" x14ac:dyDescent="0.2">
      <c r="P1778" s="415"/>
    </row>
    <row r="1779" spans="16:16" x14ac:dyDescent="0.2">
      <c r="P1779" s="415"/>
    </row>
    <row r="1780" spans="16:16" x14ac:dyDescent="0.2">
      <c r="P1780" s="415"/>
    </row>
    <row r="1781" spans="16:16" x14ac:dyDescent="0.2">
      <c r="P1781" s="415"/>
    </row>
    <row r="1782" spans="16:16" x14ac:dyDescent="0.2">
      <c r="P1782" s="415"/>
    </row>
    <row r="1783" spans="16:16" x14ac:dyDescent="0.2">
      <c r="P1783" s="415"/>
    </row>
    <row r="1784" spans="16:16" x14ac:dyDescent="0.2">
      <c r="P1784" s="415"/>
    </row>
    <row r="1785" spans="16:16" x14ac:dyDescent="0.2">
      <c r="P1785" s="415"/>
    </row>
    <row r="1786" spans="16:16" x14ac:dyDescent="0.2">
      <c r="P1786" s="415"/>
    </row>
    <row r="1787" spans="16:16" x14ac:dyDescent="0.2">
      <c r="P1787" s="415"/>
    </row>
    <row r="1788" spans="16:16" x14ac:dyDescent="0.2">
      <c r="P1788" s="415"/>
    </row>
    <row r="1789" spans="16:16" x14ac:dyDescent="0.2">
      <c r="P1789" s="415"/>
    </row>
    <row r="1790" spans="16:16" x14ac:dyDescent="0.2">
      <c r="P1790" s="415"/>
    </row>
    <row r="1791" spans="16:16" x14ac:dyDescent="0.2">
      <c r="P1791" s="415"/>
    </row>
    <row r="1792" spans="16:16" x14ac:dyDescent="0.2">
      <c r="P1792" s="415"/>
    </row>
    <row r="1793" spans="16:16" x14ac:dyDescent="0.2">
      <c r="P1793" s="415"/>
    </row>
    <row r="1794" spans="16:16" x14ac:dyDescent="0.2">
      <c r="P1794" s="415"/>
    </row>
    <row r="1795" spans="16:16" x14ac:dyDescent="0.2">
      <c r="P1795" s="415"/>
    </row>
    <row r="1796" spans="16:16" x14ac:dyDescent="0.2">
      <c r="P1796" s="415"/>
    </row>
    <row r="1797" spans="16:16" x14ac:dyDescent="0.2">
      <c r="P1797" s="415"/>
    </row>
    <row r="1798" spans="16:16" x14ac:dyDescent="0.2">
      <c r="P1798" s="415"/>
    </row>
    <row r="1799" spans="16:16" x14ac:dyDescent="0.2">
      <c r="P1799" s="415"/>
    </row>
    <row r="1800" spans="16:16" x14ac:dyDescent="0.2">
      <c r="P1800" s="415"/>
    </row>
    <row r="1801" spans="16:16" x14ac:dyDescent="0.2">
      <c r="P1801" s="415"/>
    </row>
    <row r="1802" spans="16:16" x14ac:dyDescent="0.2">
      <c r="P1802" s="415"/>
    </row>
    <row r="1803" spans="16:16" x14ac:dyDescent="0.2">
      <c r="P1803" s="415"/>
    </row>
    <row r="1804" spans="16:16" x14ac:dyDescent="0.2">
      <c r="P1804" s="415"/>
    </row>
    <row r="1805" spans="16:16" x14ac:dyDescent="0.2">
      <c r="P1805" s="415"/>
    </row>
    <row r="1806" spans="16:16" x14ac:dyDescent="0.2">
      <c r="P1806" s="415"/>
    </row>
    <row r="1807" spans="16:16" x14ac:dyDescent="0.2">
      <c r="P1807" s="415"/>
    </row>
    <row r="1808" spans="16:16" x14ac:dyDescent="0.2">
      <c r="P1808" s="415"/>
    </row>
    <row r="1809" spans="16:16" x14ac:dyDescent="0.2">
      <c r="P1809" s="415"/>
    </row>
    <row r="1810" spans="16:16" x14ac:dyDescent="0.2">
      <c r="P1810" s="415"/>
    </row>
    <row r="1811" spans="16:16" x14ac:dyDescent="0.2">
      <c r="P1811" s="415"/>
    </row>
    <row r="1812" spans="16:16" x14ac:dyDescent="0.2">
      <c r="P1812" s="415"/>
    </row>
    <row r="1813" spans="16:16" x14ac:dyDescent="0.2">
      <c r="P1813" s="415"/>
    </row>
    <row r="1814" spans="16:16" x14ac:dyDescent="0.2">
      <c r="P1814" s="415"/>
    </row>
    <row r="1815" spans="16:16" x14ac:dyDescent="0.2">
      <c r="P1815" s="415"/>
    </row>
    <row r="1816" spans="16:16" x14ac:dyDescent="0.2">
      <c r="P1816" s="415"/>
    </row>
    <row r="1817" spans="16:16" x14ac:dyDescent="0.2">
      <c r="P1817" s="415"/>
    </row>
    <row r="1818" spans="16:16" x14ac:dyDescent="0.2">
      <c r="P1818" s="415"/>
    </row>
    <row r="1819" spans="16:16" x14ac:dyDescent="0.2">
      <c r="P1819" s="415"/>
    </row>
    <row r="1820" spans="16:16" x14ac:dyDescent="0.2">
      <c r="P1820" s="415"/>
    </row>
    <row r="1821" spans="16:16" x14ac:dyDescent="0.2">
      <c r="P1821" s="415"/>
    </row>
    <row r="1822" spans="16:16" x14ac:dyDescent="0.2">
      <c r="P1822" s="415"/>
    </row>
    <row r="1823" spans="16:16" x14ac:dyDescent="0.2">
      <c r="P1823" s="415"/>
    </row>
    <row r="1824" spans="16:16" x14ac:dyDescent="0.2">
      <c r="P1824" s="415"/>
    </row>
    <row r="1825" spans="16:16" x14ac:dyDescent="0.2">
      <c r="P1825" s="415"/>
    </row>
    <row r="1826" spans="16:16" x14ac:dyDescent="0.2">
      <c r="P1826" s="415"/>
    </row>
    <row r="1827" spans="16:16" x14ac:dyDescent="0.2">
      <c r="P1827" s="415"/>
    </row>
    <row r="1828" spans="16:16" x14ac:dyDescent="0.2">
      <c r="P1828" s="415"/>
    </row>
    <row r="1829" spans="16:16" x14ac:dyDescent="0.2">
      <c r="P1829" s="415"/>
    </row>
    <row r="1830" spans="16:16" x14ac:dyDescent="0.2">
      <c r="P1830" s="415"/>
    </row>
    <row r="1831" spans="16:16" x14ac:dyDescent="0.2">
      <c r="P1831" s="415"/>
    </row>
    <row r="1832" spans="16:16" x14ac:dyDescent="0.2">
      <c r="P1832" s="415"/>
    </row>
    <row r="1833" spans="16:16" x14ac:dyDescent="0.2">
      <c r="P1833" s="415"/>
    </row>
    <row r="1834" spans="16:16" x14ac:dyDescent="0.2">
      <c r="P1834" s="415"/>
    </row>
    <row r="1835" spans="16:16" x14ac:dyDescent="0.2">
      <c r="P1835" s="415"/>
    </row>
    <row r="1836" spans="16:16" x14ac:dyDescent="0.2">
      <c r="P1836" s="415"/>
    </row>
    <row r="1837" spans="16:16" x14ac:dyDescent="0.2">
      <c r="P1837" s="415"/>
    </row>
    <row r="1838" spans="16:16" x14ac:dyDescent="0.2">
      <c r="P1838" s="415"/>
    </row>
    <row r="1839" spans="16:16" x14ac:dyDescent="0.2">
      <c r="P1839" s="415"/>
    </row>
    <row r="1840" spans="16:16" x14ac:dyDescent="0.2">
      <c r="P1840" s="415"/>
    </row>
    <row r="1841" spans="16:16" x14ac:dyDescent="0.2">
      <c r="P1841" s="415"/>
    </row>
    <row r="1842" spans="16:16" x14ac:dyDescent="0.2">
      <c r="P1842" s="415"/>
    </row>
    <row r="1843" spans="16:16" x14ac:dyDescent="0.2">
      <c r="P1843" s="415"/>
    </row>
    <row r="1844" spans="16:16" x14ac:dyDescent="0.2">
      <c r="P1844" s="415"/>
    </row>
    <row r="1845" spans="16:16" x14ac:dyDescent="0.2">
      <c r="P1845" s="415"/>
    </row>
    <row r="1846" spans="16:16" x14ac:dyDescent="0.2">
      <c r="P1846" s="415"/>
    </row>
    <row r="1847" spans="16:16" x14ac:dyDescent="0.2">
      <c r="P1847" s="415"/>
    </row>
    <row r="1848" spans="16:16" x14ac:dyDescent="0.2">
      <c r="P1848" s="415"/>
    </row>
    <row r="1849" spans="16:16" x14ac:dyDescent="0.2">
      <c r="P1849" s="415"/>
    </row>
    <row r="1850" spans="16:16" x14ac:dyDescent="0.2">
      <c r="P1850" s="415"/>
    </row>
    <row r="1851" spans="16:16" x14ac:dyDescent="0.2">
      <c r="P1851" s="415"/>
    </row>
    <row r="1852" spans="16:16" x14ac:dyDescent="0.2">
      <c r="P1852" s="415"/>
    </row>
    <row r="1853" spans="16:16" x14ac:dyDescent="0.2">
      <c r="P1853" s="415"/>
    </row>
    <row r="1854" spans="16:16" x14ac:dyDescent="0.2">
      <c r="P1854" s="415"/>
    </row>
    <row r="1855" spans="16:16" x14ac:dyDescent="0.2">
      <c r="P1855" s="415"/>
    </row>
    <row r="1856" spans="16:16" x14ac:dyDescent="0.2">
      <c r="P1856" s="415"/>
    </row>
    <row r="1857" spans="16:16" x14ac:dyDescent="0.2">
      <c r="P1857" s="415"/>
    </row>
    <row r="1858" spans="16:16" x14ac:dyDescent="0.2">
      <c r="P1858" s="415"/>
    </row>
    <row r="1859" spans="16:16" x14ac:dyDescent="0.2">
      <c r="P1859" s="415"/>
    </row>
    <row r="1860" spans="16:16" x14ac:dyDescent="0.2">
      <c r="P1860" s="415"/>
    </row>
    <row r="1861" spans="16:16" x14ac:dyDescent="0.2">
      <c r="P1861" s="415"/>
    </row>
    <row r="1862" spans="16:16" x14ac:dyDescent="0.2">
      <c r="P1862" s="415"/>
    </row>
    <row r="1863" spans="16:16" x14ac:dyDescent="0.2">
      <c r="P1863" s="415"/>
    </row>
    <row r="1864" spans="16:16" x14ac:dyDescent="0.2">
      <c r="P1864" s="415"/>
    </row>
    <row r="1865" spans="16:16" x14ac:dyDescent="0.2">
      <c r="P1865" s="415"/>
    </row>
    <row r="1866" spans="16:16" x14ac:dyDescent="0.2">
      <c r="P1866" s="415"/>
    </row>
    <row r="1867" spans="16:16" x14ac:dyDescent="0.2">
      <c r="P1867" s="415"/>
    </row>
    <row r="1868" spans="16:16" x14ac:dyDescent="0.2">
      <c r="P1868" s="415"/>
    </row>
    <row r="1869" spans="16:16" x14ac:dyDescent="0.2">
      <c r="P1869" s="415"/>
    </row>
    <row r="1870" spans="16:16" x14ac:dyDescent="0.2">
      <c r="P1870" s="415"/>
    </row>
    <row r="1871" spans="16:16" x14ac:dyDescent="0.2">
      <c r="P1871" s="415"/>
    </row>
    <row r="1872" spans="16:16" x14ac:dyDescent="0.2">
      <c r="P1872" s="415"/>
    </row>
    <row r="1873" spans="16:16" x14ac:dyDescent="0.2">
      <c r="P1873" s="415"/>
    </row>
    <row r="1874" spans="16:16" x14ac:dyDescent="0.2">
      <c r="P1874" s="415"/>
    </row>
    <row r="1875" spans="16:16" x14ac:dyDescent="0.2">
      <c r="P1875" s="415"/>
    </row>
    <row r="1876" spans="16:16" x14ac:dyDescent="0.2">
      <c r="P1876" s="415"/>
    </row>
    <row r="1877" spans="16:16" x14ac:dyDescent="0.2">
      <c r="P1877" s="415"/>
    </row>
    <row r="1878" spans="16:16" x14ac:dyDescent="0.2">
      <c r="P1878" s="415"/>
    </row>
    <row r="1879" spans="16:16" x14ac:dyDescent="0.2">
      <c r="P1879" s="415"/>
    </row>
    <row r="1880" spans="16:16" x14ac:dyDescent="0.2">
      <c r="P1880" s="415"/>
    </row>
    <row r="1881" spans="16:16" x14ac:dyDescent="0.2">
      <c r="P1881" s="415"/>
    </row>
    <row r="1882" spans="16:16" x14ac:dyDescent="0.2">
      <c r="P1882" s="415"/>
    </row>
    <row r="1883" spans="16:16" x14ac:dyDescent="0.2">
      <c r="P1883" s="415"/>
    </row>
    <row r="1884" spans="16:16" x14ac:dyDescent="0.2">
      <c r="P1884" s="415"/>
    </row>
    <row r="1885" spans="16:16" x14ac:dyDescent="0.2">
      <c r="P1885" s="415"/>
    </row>
    <row r="1886" spans="16:16" x14ac:dyDescent="0.2">
      <c r="P1886" s="415"/>
    </row>
    <row r="1887" spans="16:16" x14ac:dyDescent="0.2">
      <c r="P1887" s="415"/>
    </row>
    <row r="1888" spans="16:16" x14ac:dyDescent="0.2">
      <c r="P1888" s="415"/>
    </row>
    <row r="1889" spans="16:16" x14ac:dyDescent="0.2">
      <c r="P1889" s="415"/>
    </row>
    <row r="1890" spans="16:16" x14ac:dyDescent="0.2">
      <c r="P1890" s="415"/>
    </row>
    <row r="1891" spans="16:16" x14ac:dyDescent="0.2">
      <c r="P1891" s="415"/>
    </row>
    <row r="1892" spans="16:16" x14ac:dyDescent="0.2">
      <c r="P1892" s="415"/>
    </row>
    <row r="1893" spans="16:16" x14ac:dyDescent="0.2">
      <c r="P1893" s="415"/>
    </row>
    <row r="1894" spans="16:16" x14ac:dyDescent="0.2">
      <c r="P1894" s="415"/>
    </row>
    <row r="1895" spans="16:16" x14ac:dyDescent="0.2">
      <c r="P1895" s="415"/>
    </row>
    <row r="1896" spans="16:16" x14ac:dyDescent="0.2">
      <c r="P1896" s="415"/>
    </row>
    <row r="1897" spans="16:16" x14ac:dyDescent="0.2">
      <c r="P1897" s="415"/>
    </row>
    <row r="1898" spans="16:16" x14ac:dyDescent="0.2">
      <c r="P1898" s="415"/>
    </row>
    <row r="1899" spans="16:16" x14ac:dyDescent="0.2">
      <c r="P1899" s="415"/>
    </row>
    <row r="1900" spans="16:16" x14ac:dyDescent="0.2">
      <c r="P1900" s="415"/>
    </row>
    <row r="1901" spans="16:16" x14ac:dyDescent="0.2">
      <c r="P1901" s="415"/>
    </row>
    <row r="1902" spans="16:16" x14ac:dyDescent="0.2">
      <c r="P1902" s="415"/>
    </row>
    <row r="1903" spans="16:16" x14ac:dyDescent="0.2">
      <c r="P1903" s="415"/>
    </row>
    <row r="1904" spans="16:16" x14ac:dyDescent="0.2">
      <c r="P1904" s="415"/>
    </row>
    <row r="1905" spans="16:16" x14ac:dyDescent="0.2">
      <c r="P1905" s="415"/>
    </row>
    <row r="1906" spans="16:16" x14ac:dyDescent="0.2">
      <c r="P1906" s="415"/>
    </row>
    <row r="1907" spans="16:16" x14ac:dyDescent="0.2">
      <c r="P1907" s="415"/>
    </row>
    <row r="1908" spans="16:16" x14ac:dyDescent="0.2">
      <c r="P1908" s="415"/>
    </row>
    <row r="1909" spans="16:16" x14ac:dyDescent="0.2">
      <c r="P1909" s="415"/>
    </row>
    <row r="1910" spans="16:16" x14ac:dyDescent="0.2">
      <c r="P1910" s="415"/>
    </row>
    <row r="1911" spans="16:16" x14ac:dyDescent="0.2">
      <c r="P1911" s="415"/>
    </row>
    <row r="1912" spans="16:16" x14ac:dyDescent="0.2">
      <c r="P1912" s="415"/>
    </row>
    <row r="1913" spans="16:16" x14ac:dyDescent="0.2">
      <c r="P1913" s="415"/>
    </row>
    <row r="1914" spans="16:16" x14ac:dyDescent="0.2">
      <c r="P1914" s="415"/>
    </row>
    <row r="1915" spans="16:16" x14ac:dyDescent="0.2">
      <c r="P1915" s="415"/>
    </row>
    <row r="1916" spans="16:16" x14ac:dyDescent="0.2">
      <c r="P1916" s="415"/>
    </row>
    <row r="1917" spans="16:16" x14ac:dyDescent="0.2">
      <c r="P1917" s="415"/>
    </row>
    <row r="1918" spans="16:16" x14ac:dyDescent="0.2">
      <c r="P1918" s="415"/>
    </row>
    <row r="1919" spans="16:16" x14ac:dyDescent="0.2">
      <c r="P1919" s="415"/>
    </row>
    <row r="1920" spans="16:16" x14ac:dyDescent="0.2">
      <c r="P1920" s="415"/>
    </row>
    <row r="1921" spans="16:16" x14ac:dyDescent="0.2">
      <c r="P1921" s="415"/>
    </row>
    <row r="1922" spans="16:16" x14ac:dyDescent="0.2">
      <c r="P1922" s="415"/>
    </row>
    <row r="1923" spans="16:16" x14ac:dyDescent="0.2">
      <c r="P1923" s="415"/>
    </row>
    <row r="1924" spans="16:16" x14ac:dyDescent="0.2">
      <c r="P1924" s="415"/>
    </row>
    <row r="1925" spans="16:16" x14ac:dyDescent="0.2">
      <c r="P1925" s="415"/>
    </row>
    <row r="1926" spans="16:16" x14ac:dyDescent="0.2">
      <c r="P1926" s="415"/>
    </row>
    <row r="1927" spans="16:16" x14ac:dyDescent="0.2">
      <c r="P1927" s="415"/>
    </row>
    <row r="1928" spans="16:16" x14ac:dyDescent="0.2">
      <c r="P1928" s="415"/>
    </row>
    <row r="1929" spans="16:16" x14ac:dyDescent="0.2">
      <c r="P1929" s="415"/>
    </row>
    <row r="1930" spans="16:16" x14ac:dyDescent="0.2">
      <c r="P1930" s="415"/>
    </row>
    <row r="1931" spans="16:16" x14ac:dyDescent="0.2">
      <c r="P1931" s="415"/>
    </row>
    <row r="1932" spans="16:16" x14ac:dyDescent="0.2">
      <c r="P1932" s="415"/>
    </row>
    <row r="1933" spans="16:16" x14ac:dyDescent="0.2">
      <c r="P1933" s="415"/>
    </row>
    <row r="1934" spans="16:16" x14ac:dyDescent="0.2">
      <c r="P1934" s="415"/>
    </row>
    <row r="1935" spans="16:16" x14ac:dyDescent="0.2">
      <c r="P1935" s="415"/>
    </row>
    <row r="1936" spans="16:16" x14ac:dyDescent="0.2">
      <c r="P1936" s="415"/>
    </row>
    <row r="1937" spans="16:16" x14ac:dyDescent="0.2">
      <c r="P1937" s="415"/>
    </row>
    <row r="1938" spans="16:16" x14ac:dyDescent="0.2">
      <c r="P1938" s="415"/>
    </row>
    <row r="1939" spans="16:16" x14ac:dyDescent="0.2">
      <c r="P1939" s="415"/>
    </row>
    <row r="1940" spans="16:16" x14ac:dyDescent="0.2">
      <c r="P1940" s="415"/>
    </row>
    <row r="1941" spans="16:16" x14ac:dyDescent="0.2">
      <c r="P1941" s="415"/>
    </row>
    <row r="1942" spans="16:16" x14ac:dyDescent="0.2">
      <c r="P1942" s="415"/>
    </row>
    <row r="1943" spans="16:16" x14ac:dyDescent="0.2">
      <c r="P1943" s="415"/>
    </row>
    <row r="1944" spans="16:16" x14ac:dyDescent="0.2">
      <c r="P1944" s="415"/>
    </row>
    <row r="1945" spans="16:16" x14ac:dyDescent="0.2">
      <c r="P1945" s="415"/>
    </row>
    <row r="1946" spans="16:16" x14ac:dyDescent="0.2">
      <c r="P1946" s="415"/>
    </row>
    <row r="1947" spans="16:16" x14ac:dyDescent="0.2">
      <c r="P1947" s="415"/>
    </row>
    <row r="1948" spans="16:16" x14ac:dyDescent="0.2">
      <c r="P1948" s="415"/>
    </row>
    <row r="1949" spans="16:16" x14ac:dyDescent="0.2">
      <c r="P1949" s="415"/>
    </row>
    <row r="1950" spans="16:16" x14ac:dyDescent="0.2">
      <c r="P1950" s="415"/>
    </row>
    <row r="1951" spans="16:16" x14ac:dyDescent="0.2">
      <c r="P1951" s="415"/>
    </row>
    <row r="1952" spans="16:16" x14ac:dyDescent="0.2">
      <c r="P1952" s="415"/>
    </row>
    <row r="1953" spans="16:16" x14ac:dyDescent="0.2">
      <c r="P1953" s="415"/>
    </row>
    <row r="1954" spans="16:16" x14ac:dyDescent="0.2">
      <c r="P1954" s="415"/>
    </row>
    <row r="1955" spans="16:16" x14ac:dyDescent="0.2">
      <c r="P1955" s="415"/>
    </row>
    <row r="1956" spans="16:16" x14ac:dyDescent="0.2">
      <c r="P1956" s="415"/>
    </row>
    <row r="1957" spans="16:16" x14ac:dyDescent="0.2">
      <c r="P1957" s="415"/>
    </row>
    <row r="1958" spans="16:16" x14ac:dyDescent="0.2">
      <c r="P1958" s="415"/>
    </row>
    <row r="1959" spans="16:16" x14ac:dyDescent="0.2">
      <c r="P1959" s="415"/>
    </row>
    <row r="1960" spans="16:16" x14ac:dyDescent="0.2">
      <c r="P1960" s="415"/>
    </row>
    <row r="1961" spans="16:16" x14ac:dyDescent="0.2">
      <c r="P1961" s="415"/>
    </row>
    <row r="1962" spans="16:16" x14ac:dyDescent="0.2">
      <c r="P1962" s="415"/>
    </row>
    <row r="1963" spans="16:16" x14ac:dyDescent="0.2">
      <c r="P1963" s="415"/>
    </row>
    <row r="1964" spans="16:16" x14ac:dyDescent="0.2">
      <c r="P1964" s="415"/>
    </row>
    <row r="1965" spans="16:16" x14ac:dyDescent="0.2">
      <c r="P1965" s="415"/>
    </row>
    <row r="1966" spans="16:16" x14ac:dyDescent="0.2">
      <c r="P1966" s="415"/>
    </row>
    <row r="1967" spans="16:16" x14ac:dyDescent="0.2">
      <c r="P1967" s="415"/>
    </row>
    <row r="1968" spans="16:16" x14ac:dyDescent="0.2">
      <c r="P1968" s="415"/>
    </row>
    <row r="1969" spans="16:16" x14ac:dyDescent="0.2">
      <c r="P1969" s="415"/>
    </row>
    <row r="1970" spans="16:16" x14ac:dyDescent="0.2">
      <c r="P1970" s="415"/>
    </row>
    <row r="1971" spans="16:16" x14ac:dyDescent="0.2">
      <c r="P1971" s="415"/>
    </row>
    <row r="1972" spans="16:16" x14ac:dyDescent="0.2">
      <c r="P1972" s="415"/>
    </row>
    <row r="1973" spans="16:16" x14ac:dyDescent="0.2">
      <c r="P1973" s="415"/>
    </row>
    <row r="1974" spans="16:16" x14ac:dyDescent="0.2">
      <c r="P1974" s="415"/>
    </row>
    <row r="1975" spans="16:16" x14ac:dyDescent="0.2">
      <c r="P1975" s="415"/>
    </row>
    <row r="1976" spans="16:16" x14ac:dyDescent="0.2">
      <c r="P1976" s="415"/>
    </row>
    <row r="1977" spans="16:16" x14ac:dyDescent="0.2">
      <c r="P1977" s="415"/>
    </row>
    <row r="1978" spans="16:16" x14ac:dyDescent="0.2">
      <c r="P1978" s="415"/>
    </row>
    <row r="1979" spans="16:16" x14ac:dyDescent="0.2">
      <c r="P1979" s="415"/>
    </row>
    <row r="1980" spans="16:16" x14ac:dyDescent="0.2">
      <c r="P1980" s="415"/>
    </row>
    <row r="1981" spans="16:16" x14ac:dyDescent="0.2">
      <c r="P1981" s="415"/>
    </row>
    <row r="1982" spans="16:16" x14ac:dyDescent="0.2">
      <c r="P1982" s="415"/>
    </row>
    <row r="1983" spans="16:16" x14ac:dyDescent="0.2">
      <c r="P1983" s="415"/>
    </row>
    <row r="1984" spans="16:16" x14ac:dyDescent="0.2">
      <c r="P1984" s="415"/>
    </row>
    <row r="1985" spans="16:16" x14ac:dyDescent="0.2">
      <c r="P1985" s="415"/>
    </row>
    <row r="1986" spans="16:16" x14ac:dyDescent="0.2">
      <c r="P1986" s="415"/>
    </row>
    <row r="1987" spans="16:16" x14ac:dyDescent="0.2">
      <c r="P1987" s="415"/>
    </row>
    <row r="1988" spans="16:16" x14ac:dyDescent="0.2">
      <c r="P1988" s="415"/>
    </row>
    <row r="1989" spans="16:16" x14ac:dyDescent="0.2">
      <c r="P1989" s="415"/>
    </row>
    <row r="1990" spans="16:16" x14ac:dyDescent="0.2">
      <c r="P1990" s="415"/>
    </row>
    <row r="1991" spans="16:16" x14ac:dyDescent="0.2">
      <c r="P1991" s="415"/>
    </row>
    <row r="1992" spans="16:16" x14ac:dyDescent="0.2">
      <c r="P1992" s="415"/>
    </row>
    <row r="1993" spans="16:16" x14ac:dyDescent="0.2">
      <c r="P1993" s="415"/>
    </row>
    <row r="1994" spans="16:16" x14ac:dyDescent="0.2">
      <c r="P1994" s="415"/>
    </row>
    <row r="1995" spans="16:16" x14ac:dyDescent="0.2">
      <c r="P1995" s="415"/>
    </row>
    <row r="1996" spans="16:16" x14ac:dyDescent="0.2">
      <c r="P1996" s="415"/>
    </row>
    <row r="1997" spans="16:16" x14ac:dyDescent="0.2">
      <c r="P1997" s="415"/>
    </row>
    <row r="1998" spans="16:16" x14ac:dyDescent="0.2">
      <c r="P1998" s="415"/>
    </row>
    <row r="1999" spans="16:16" x14ac:dyDescent="0.2">
      <c r="P1999" s="415"/>
    </row>
    <row r="2000" spans="16:16" x14ac:dyDescent="0.2">
      <c r="P2000" s="415"/>
    </row>
    <row r="2001" spans="16:16" x14ac:dyDescent="0.2">
      <c r="P2001" s="415"/>
    </row>
    <row r="2002" spans="16:16" x14ac:dyDescent="0.2">
      <c r="P2002" s="415"/>
    </row>
    <row r="2003" spans="16:16" x14ac:dyDescent="0.2">
      <c r="P2003" s="415"/>
    </row>
    <row r="2004" spans="16:16" x14ac:dyDescent="0.2">
      <c r="P2004" s="415"/>
    </row>
    <row r="2005" spans="16:16" x14ac:dyDescent="0.2">
      <c r="P2005" s="415"/>
    </row>
    <row r="2006" spans="16:16" x14ac:dyDescent="0.2">
      <c r="P2006" s="415"/>
    </row>
    <row r="2007" spans="16:16" x14ac:dyDescent="0.2">
      <c r="P2007" s="415"/>
    </row>
    <row r="2008" spans="16:16" x14ac:dyDescent="0.2">
      <c r="P2008" s="415"/>
    </row>
    <row r="2009" spans="16:16" x14ac:dyDescent="0.2">
      <c r="P2009" s="415"/>
    </row>
    <row r="2010" spans="16:16" x14ac:dyDescent="0.2">
      <c r="P2010" s="415"/>
    </row>
    <row r="2011" spans="16:16" x14ac:dyDescent="0.2">
      <c r="P2011" s="415"/>
    </row>
    <row r="2012" spans="16:16" x14ac:dyDescent="0.2">
      <c r="P2012" s="415"/>
    </row>
    <row r="2013" spans="16:16" x14ac:dyDescent="0.2">
      <c r="P2013" s="415"/>
    </row>
    <row r="2014" spans="16:16" x14ac:dyDescent="0.2">
      <c r="P2014" s="415"/>
    </row>
    <row r="2015" spans="16:16" x14ac:dyDescent="0.2">
      <c r="P2015" s="415"/>
    </row>
    <row r="2016" spans="16:16" x14ac:dyDescent="0.2">
      <c r="P2016" s="415"/>
    </row>
    <row r="2017" spans="16:16" x14ac:dyDescent="0.2">
      <c r="P2017" s="415"/>
    </row>
    <row r="2018" spans="16:16" x14ac:dyDescent="0.2">
      <c r="P2018" s="415"/>
    </row>
    <row r="2019" spans="16:16" x14ac:dyDescent="0.2">
      <c r="P2019" s="415"/>
    </row>
    <row r="2020" spans="16:16" x14ac:dyDescent="0.2">
      <c r="P2020" s="415"/>
    </row>
    <row r="2021" spans="16:16" x14ac:dyDescent="0.2">
      <c r="P2021" s="415"/>
    </row>
    <row r="2022" spans="16:16" x14ac:dyDescent="0.2">
      <c r="P2022" s="415"/>
    </row>
    <row r="2023" spans="16:16" x14ac:dyDescent="0.2">
      <c r="P2023" s="415"/>
    </row>
    <row r="2024" spans="16:16" x14ac:dyDescent="0.2">
      <c r="P2024" s="415"/>
    </row>
    <row r="2025" spans="16:16" x14ac:dyDescent="0.2">
      <c r="P2025" s="415"/>
    </row>
    <row r="2026" spans="16:16" x14ac:dyDescent="0.2">
      <c r="P2026" s="415"/>
    </row>
    <row r="2027" spans="16:16" x14ac:dyDescent="0.2">
      <c r="P2027" s="415"/>
    </row>
    <row r="2028" spans="16:16" x14ac:dyDescent="0.2">
      <c r="P2028" s="415"/>
    </row>
    <row r="2029" spans="16:16" x14ac:dyDescent="0.2">
      <c r="P2029" s="415"/>
    </row>
    <row r="2030" spans="16:16" x14ac:dyDescent="0.2">
      <c r="P2030" s="415"/>
    </row>
    <row r="2031" spans="16:16" x14ac:dyDescent="0.2">
      <c r="P2031" s="415"/>
    </row>
    <row r="2032" spans="16:16" x14ac:dyDescent="0.2">
      <c r="P2032" s="415"/>
    </row>
    <row r="2033" spans="16:16" x14ac:dyDescent="0.2">
      <c r="P2033" s="415"/>
    </row>
    <row r="2034" spans="16:16" x14ac:dyDescent="0.2">
      <c r="P2034" s="415"/>
    </row>
    <row r="2035" spans="16:16" x14ac:dyDescent="0.2">
      <c r="P2035" s="415"/>
    </row>
    <row r="2036" spans="16:16" x14ac:dyDescent="0.2">
      <c r="P2036" s="415"/>
    </row>
    <row r="2037" spans="16:16" x14ac:dyDescent="0.2">
      <c r="P2037" s="415"/>
    </row>
    <row r="2038" spans="16:16" x14ac:dyDescent="0.2">
      <c r="P2038" s="415"/>
    </row>
    <row r="2039" spans="16:16" x14ac:dyDescent="0.2">
      <c r="P2039" s="415"/>
    </row>
    <row r="2040" spans="16:16" x14ac:dyDescent="0.2">
      <c r="P2040" s="415"/>
    </row>
    <row r="2041" spans="16:16" x14ac:dyDescent="0.2">
      <c r="P2041" s="415"/>
    </row>
    <row r="2042" spans="16:16" x14ac:dyDescent="0.2">
      <c r="P2042" s="415"/>
    </row>
    <row r="2043" spans="16:16" x14ac:dyDescent="0.2">
      <c r="P2043" s="415"/>
    </row>
    <row r="2044" spans="16:16" x14ac:dyDescent="0.2">
      <c r="P2044" s="415"/>
    </row>
    <row r="2045" spans="16:16" x14ac:dyDescent="0.2">
      <c r="P2045" s="415"/>
    </row>
    <row r="2046" spans="16:16" x14ac:dyDescent="0.2">
      <c r="P2046" s="415"/>
    </row>
    <row r="2047" spans="16:16" x14ac:dyDescent="0.2">
      <c r="P2047" s="415"/>
    </row>
    <row r="2048" spans="16:16" x14ac:dyDescent="0.2">
      <c r="P2048" s="415"/>
    </row>
    <row r="2049" spans="16:16" x14ac:dyDescent="0.2">
      <c r="P2049" s="415"/>
    </row>
    <row r="2050" spans="16:16" x14ac:dyDescent="0.2">
      <c r="P2050" s="415"/>
    </row>
    <row r="2051" spans="16:16" x14ac:dyDescent="0.2">
      <c r="P2051" s="415"/>
    </row>
    <row r="2052" spans="16:16" x14ac:dyDescent="0.2">
      <c r="P2052" s="415"/>
    </row>
    <row r="2053" spans="16:16" x14ac:dyDescent="0.2">
      <c r="P2053" s="415"/>
    </row>
    <row r="2054" spans="16:16" x14ac:dyDescent="0.2">
      <c r="P2054" s="415"/>
    </row>
    <row r="2055" spans="16:16" x14ac:dyDescent="0.2">
      <c r="P2055" s="415"/>
    </row>
    <row r="2056" spans="16:16" x14ac:dyDescent="0.2">
      <c r="P2056" s="415"/>
    </row>
    <row r="2057" spans="16:16" x14ac:dyDescent="0.2">
      <c r="P2057" s="415"/>
    </row>
    <row r="2058" spans="16:16" x14ac:dyDescent="0.2">
      <c r="P2058" s="415"/>
    </row>
    <row r="2059" spans="16:16" x14ac:dyDescent="0.2">
      <c r="P2059" s="415"/>
    </row>
    <row r="2060" spans="16:16" x14ac:dyDescent="0.2">
      <c r="P2060" s="415"/>
    </row>
    <row r="2061" spans="16:16" x14ac:dyDescent="0.2">
      <c r="P2061" s="415"/>
    </row>
    <row r="2062" spans="16:16" x14ac:dyDescent="0.2">
      <c r="P2062" s="415"/>
    </row>
    <row r="2063" spans="16:16" x14ac:dyDescent="0.2">
      <c r="P2063" s="415"/>
    </row>
    <row r="2064" spans="16:16" x14ac:dyDescent="0.2">
      <c r="P2064" s="415"/>
    </row>
    <row r="2065" spans="16:16" x14ac:dyDescent="0.2">
      <c r="P2065" s="415"/>
    </row>
    <row r="2066" spans="16:16" x14ac:dyDescent="0.2">
      <c r="P2066" s="415"/>
    </row>
    <row r="2067" spans="16:16" x14ac:dyDescent="0.2">
      <c r="P2067" s="415"/>
    </row>
    <row r="2068" spans="16:16" x14ac:dyDescent="0.2">
      <c r="P2068" s="415"/>
    </row>
    <row r="2069" spans="16:16" x14ac:dyDescent="0.2">
      <c r="P2069" s="415"/>
    </row>
    <row r="2070" spans="16:16" x14ac:dyDescent="0.2">
      <c r="P2070" s="415"/>
    </row>
    <row r="2071" spans="16:16" x14ac:dyDescent="0.2">
      <c r="P2071" s="415"/>
    </row>
    <row r="2072" spans="16:16" x14ac:dyDescent="0.2">
      <c r="P2072" s="415"/>
    </row>
    <row r="2073" spans="16:16" x14ac:dyDescent="0.2">
      <c r="P2073" s="415"/>
    </row>
    <row r="2074" spans="16:16" x14ac:dyDescent="0.2">
      <c r="P2074" s="415"/>
    </row>
    <row r="2075" spans="16:16" x14ac:dyDescent="0.2">
      <c r="P2075" s="415"/>
    </row>
    <row r="2076" spans="16:16" x14ac:dyDescent="0.2">
      <c r="P2076" s="415"/>
    </row>
    <row r="2077" spans="16:16" x14ac:dyDescent="0.2">
      <c r="P2077" s="415"/>
    </row>
    <row r="2078" spans="16:16" x14ac:dyDescent="0.2">
      <c r="P2078" s="415"/>
    </row>
    <row r="2079" spans="16:16" x14ac:dyDescent="0.2">
      <c r="P2079" s="415"/>
    </row>
    <row r="2080" spans="16:16" x14ac:dyDescent="0.2">
      <c r="P2080" s="415"/>
    </row>
    <row r="2081" spans="16:16" x14ac:dyDescent="0.2">
      <c r="P2081" s="415"/>
    </row>
    <row r="2082" spans="16:16" x14ac:dyDescent="0.2">
      <c r="P2082" s="415"/>
    </row>
    <row r="2083" spans="16:16" x14ac:dyDescent="0.2">
      <c r="P2083" s="415"/>
    </row>
    <row r="2084" spans="16:16" x14ac:dyDescent="0.2">
      <c r="P2084" s="415"/>
    </row>
    <row r="2085" spans="16:16" x14ac:dyDescent="0.2">
      <c r="P2085" s="415"/>
    </row>
    <row r="2086" spans="16:16" x14ac:dyDescent="0.2">
      <c r="P2086" s="415"/>
    </row>
    <row r="2087" spans="16:16" x14ac:dyDescent="0.2">
      <c r="P2087" s="415"/>
    </row>
    <row r="2088" spans="16:16" x14ac:dyDescent="0.2">
      <c r="P2088" s="415"/>
    </row>
    <row r="2089" spans="16:16" x14ac:dyDescent="0.2">
      <c r="P2089" s="415"/>
    </row>
    <row r="2090" spans="16:16" x14ac:dyDescent="0.2">
      <c r="P2090" s="415"/>
    </row>
    <row r="2091" spans="16:16" x14ac:dyDescent="0.2">
      <c r="P2091" s="415"/>
    </row>
    <row r="2092" spans="16:16" x14ac:dyDescent="0.2">
      <c r="P2092" s="415"/>
    </row>
    <row r="2093" spans="16:16" x14ac:dyDescent="0.2">
      <c r="P2093" s="415"/>
    </row>
    <row r="2094" spans="16:16" x14ac:dyDescent="0.2">
      <c r="P2094" s="415"/>
    </row>
    <row r="2095" spans="16:16" x14ac:dyDescent="0.2">
      <c r="P2095" s="415"/>
    </row>
    <row r="2096" spans="16:16" x14ac:dyDescent="0.2">
      <c r="P2096" s="415"/>
    </row>
    <row r="2097" spans="16:16" x14ac:dyDescent="0.2">
      <c r="P2097" s="415"/>
    </row>
    <row r="2098" spans="16:16" x14ac:dyDescent="0.2">
      <c r="P2098" s="415"/>
    </row>
    <row r="2099" spans="16:16" x14ac:dyDescent="0.2">
      <c r="P2099" s="415"/>
    </row>
    <row r="2100" spans="16:16" x14ac:dyDescent="0.2">
      <c r="P2100" s="415"/>
    </row>
    <row r="2101" spans="16:16" x14ac:dyDescent="0.2">
      <c r="P2101" s="415"/>
    </row>
    <row r="2102" spans="16:16" x14ac:dyDescent="0.2">
      <c r="P2102" s="415"/>
    </row>
    <row r="2103" spans="16:16" x14ac:dyDescent="0.2">
      <c r="P2103" s="415"/>
    </row>
    <row r="2104" spans="16:16" x14ac:dyDescent="0.2">
      <c r="P2104" s="415"/>
    </row>
    <row r="2105" spans="16:16" x14ac:dyDescent="0.2">
      <c r="P2105" s="415"/>
    </row>
    <row r="2106" spans="16:16" x14ac:dyDescent="0.2">
      <c r="P2106" s="415"/>
    </row>
    <row r="2107" spans="16:16" x14ac:dyDescent="0.2">
      <c r="P2107" s="415"/>
    </row>
    <row r="2108" spans="16:16" x14ac:dyDescent="0.2">
      <c r="P2108" s="415"/>
    </row>
    <row r="2109" spans="16:16" x14ac:dyDescent="0.2">
      <c r="P2109" s="415"/>
    </row>
    <row r="2110" spans="16:16" x14ac:dyDescent="0.2">
      <c r="P2110" s="415"/>
    </row>
    <row r="2111" spans="16:16" x14ac:dyDescent="0.2">
      <c r="P2111" s="415"/>
    </row>
    <row r="2112" spans="16:16" x14ac:dyDescent="0.2">
      <c r="P2112" s="415"/>
    </row>
    <row r="2113" spans="16:16" x14ac:dyDescent="0.2">
      <c r="P2113" s="415"/>
    </row>
    <row r="2114" spans="16:16" x14ac:dyDescent="0.2">
      <c r="P2114" s="415"/>
    </row>
    <row r="2115" spans="16:16" x14ac:dyDescent="0.2">
      <c r="P2115" s="415"/>
    </row>
    <row r="2116" spans="16:16" x14ac:dyDescent="0.2">
      <c r="P2116" s="415"/>
    </row>
    <row r="2117" spans="16:16" x14ac:dyDescent="0.2">
      <c r="P2117" s="415"/>
    </row>
    <row r="2118" spans="16:16" x14ac:dyDescent="0.2">
      <c r="P2118" s="415"/>
    </row>
    <row r="2119" spans="16:16" x14ac:dyDescent="0.2">
      <c r="P2119" s="415"/>
    </row>
    <row r="2120" spans="16:16" x14ac:dyDescent="0.2">
      <c r="P2120" s="415"/>
    </row>
    <row r="2121" spans="16:16" x14ac:dyDescent="0.2">
      <c r="P2121" s="415"/>
    </row>
    <row r="2122" spans="16:16" x14ac:dyDescent="0.2">
      <c r="P2122" s="415"/>
    </row>
    <row r="2123" spans="16:16" x14ac:dyDescent="0.2">
      <c r="P2123" s="415"/>
    </row>
    <row r="2124" spans="16:16" x14ac:dyDescent="0.2">
      <c r="P2124" s="415"/>
    </row>
    <row r="2125" spans="16:16" x14ac:dyDescent="0.2">
      <c r="P2125" s="415"/>
    </row>
    <row r="2126" spans="16:16" x14ac:dyDescent="0.2">
      <c r="P2126" s="415"/>
    </row>
    <row r="2127" spans="16:16" x14ac:dyDescent="0.2">
      <c r="P2127" s="415"/>
    </row>
    <row r="2128" spans="16:16" x14ac:dyDescent="0.2">
      <c r="P2128" s="415"/>
    </row>
    <row r="2129" spans="16:16" x14ac:dyDescent="0.2">
      <c r="P2129" s="415"/>
    </row>
    <row r="2130" spans="16:16" x14ac:dyDescent="0.2">
      <c r="P2130" s="415"/>
    </row>
    <row r="2131" spans="16:16" x14ac:dyDescent="0.2">
      <c r="P2131" s="415"/>
    </row>
    <row r="2132" spans="16:16" x14ac:dyDescent="0.2">
      <c r="P2132" s="415"/>
    </row>
    <row r="2133" spans="16:16" x14ac:dyDescent="0.2">
      <c r="P2133" s="415"/>
    </row>
    <row r="2134" spans="16:16" x14ac:dyDescent="0.2">
      <c r="P2134" s="415"/>
    </row>
    <row r="2135" spans="16:16" x14ac:dyDescent="0.2">
      <c r="P2135" s="415"/>
    </row>
    <row r="2136" spans="16:16" x14ac:dyDescent="0.2">
      <c r="P2136" s="415"/>
    </row>
    <row r="2137" spans="16:16" x14ac:dyDescent="0.2">
      <c r="P2137" s="415"/>
    </row>
    <row r="2138" spans="16:16" x14ac:dyDescent="0.2">
      <c r="P2138" s="415"/>
    </row>
    <row r="2139" spans="16:16" x14ac:dyDescent="0.2">
      <c r="P2139" s="415"/>
    </row>
    <row r="2140" spans="16:16" x14ac:dyDescent="0.2">
      <c r="P2140" s="415"/>
    </row>
    <row r="2141" spans="16:16" x14ac:dyDescent="0.2">
      <c r="P2141" s="415"/>
    </row>
    <row r="2142" spans="16:16" x14ac:dyDescent="0.2">
      <c r="P2142" s="415"/>
    </row>
    <row r="2143" spans="16:16" x14ac:dyDescent="0.2">
      <c r="P2143" s="415"/>
    </row>
    <row r="2144" spans="16:16" x14ac:dyDescent="0.2">
      <c r="P2144" s="415"/>
    </row>
    <row r="2145" spans="16:16" x14ac:dyDescent="0.2">
      <c r="P2145" s="415"/>
    </row>
    <row r="2146" spans="16:16" x14ac:dyDescent="0.2">
      <c r="P2146" s="415"/>
    </row>
    <row r="2147" spans="16:16" x14ac:dyDescent="0.2">
      <c r="P2147" s="415"/>
    </row>
    <row r="2148" spans="16:16" x14ac:dyDescent="0.2">
      <c r="P2148" s="415"/>
    </row>
    <row r="2149" spans="16:16" x14ac:dyDescent="0.2">
      <c r="P2149" s="415"/>
    </row>
    <row r="2150" spans="16:16" x14ac:dyDescent="0.2">
      <c r="P2150" s="415"/>
    </row>
    <row r="2151" spans="16:16" x14ac:dyDescent="0.2">
      <c r="P2151" s="415"/>
    </row>
    <row r="2152" spans="16:16" x14ac:dyDescent="0.2">
      <c r="P2152" s="415"/>
    </row>
    <row r="2153" spans="16:16" x14ac:dyDescent="0.2">
      <c r="P2153" s="415"/>
    </row>
    <row r="2154" spans="16:16" x14ac:dyDescent="0.2">
      <c r="P2154" s="415"/>
    </row>
    <row r="2155" spans="16:16" x14ac:dyDescent="0.2">
      <c r="P2155" s="415"/>
    </row>
    <row r="2156" spans="16:16" x14ac:dyDescent="0.2">
      <c r="P2156" s="415"/>
    </row>
    <row r="2157" spans="16:16" x14ac:dyDescent="0.2">
      <c r="P2157" s="415"/>
    </row>
    <row r="2158" spans="16:16" x14ac:dyDescent="0.2">
      <c r="P2158" s="415"/>
    </row>
    <row r="2159" spans="16:16" x14ac:dyDescent="0.2">
      <c r="P2159" s="415"/>
    </row>
    <row r="2160" spans="16:16" x14ac:dyDescent="0.2">
      <c r="P2160" s="415"/>
    </row>
    <row r="2161" spans="16:16" x14ac:dyDescent="0.2">
      <c r="P2161" s="415"/>
    </row>
    <row r="2162" spans="16:16" x14ac:dyDescent="0.2">
      <c r="P2162" s="415"/>
    </row>
    <row r="2163" spans="16:16" x14ac:dyDescent="0.2">
      <c r="P2163" s="415"/>
    </row>
    <row r="2164" spans="16:16" x14ac:dyDescent="0.2">
      <c r="P2164" s="415"/>
    </row>
    <row r="2165" spans="16:16" x14ac:dyDescent="0.2">
      <c r="P2165" s="415"/>
    </row>
    <row r="2166" spans="16:16" x14ac:dyDescent="0.2">
      <c r="P2166" s="415"/>
    </row>
    <row r="2167" spans="16:16" x14ac:dyDescent="0.2">
      <c r="P2167" s="415"/>
    </row>
    <row r="2168" spans="16:16" x14ac:dyDescent="0.2">
      <c r="P2168" s="415"/>
    </row>
    <row r="2169" spans="16:16" x14ac:dyDescent="0.2">
      <c r="P2169" s="415"/>
    </row>
    <row r="2170" spans="16:16" x14ac:dyDescent="0.2">
      <c r="P2170" s="415"/>
    </row>
    <row r="2171" spans="16:16" x14ac:dyDescent="0.2">
      <c r="P2171" s="415"/>
    </row>
    <row r="2172" spans="16:16" x14ac:dyDescent="0.2">
      <c r="P2172" s="415"/>
    </row>
    <row r="2173" spans="16:16" x14ac:dyDescent="0.2">
      <c r="P2173" s="415"/>
    </row>
    <row r="2174" spans="16:16" x14ac:dyDescent="0.2">
      <c r="P2174" s="415"/>
    </row>
    <row r="2175" spans="16:16" x14ac:dyDescent="0.2">
      <c r="P2175" s="415"/>
    </row>
    <row r="2176" spans="16:16" x14ac:dyDescent="0.2">
      <c r="P2176" s="415"/>
    </row>
    <row r="2177" spans="16:16" x14ac:dyDescent="0.2">
      <c r="P2177" s="415"/>
    </row>
    <row r="2178" spans="16:16" x14ac:dyDescent="0.2">
      <c r="P2178" s="415"/>
    </row>
    <row r="2179" spans="16:16" x14ac:dyDescent="0.2">
      <c r="P2179" s="415"/>
    </row>
    <row r="2180" spans="16:16" x14ac:dyDescent="0.2">
      <c r="P2180" s="415"/>
    </row>
    <row r="2181" spans="16:16" x14ac:dyDescent="0.2">
      <c r="P2181" s="415"/>
    </row>
    <row r="2182" spans="16:16" x14ac:dyDescent="0.2">
      <c r="P2182" s="415"/>
    </row>
    <row r="2183" spans="16:16" x14ac:dyDescent="0.2">
      <c r="P2183" s="415"/>
    </row>
    <row r="2184" spans="16:16" x14ac:dyDescent="0.2">
      <c r="P2184" s="415"/>
    </row>
    <row r="2185" spans="16:16" x14ac:dyDescent="0.2">
      <c r="P2185" s="415"/>
    </row>
    <row r="2186" spans="16:16" x14ac:dyDescent="0.2">
      <c r="P2186" s="415"/>
    </row>
    <row r="2187" spans="16:16" x14ac:dyDescent="0.2">
      <c r="P2187" s="415"/>
    </row>
    <row r="2188" spans="16:16" x14ac:dyDescent="0.2">
      <c r="P2188" s="415"/>
    </row>
    <row r="2189" spans="16:16" x14ac:dyDescent="0.2">
      <c r="P2189" s="415"/>
    </row>
    <row r="2190" spans="16:16" x14ac:dyDescent="0.2">
      <c r="P2190" s="415"/>
    </row>
    <row r="2191" spans="16:16" x14ac:dyDescent="0.2">
      <c r="P2191" s="415"/>
    </row>
    <row r="2192" spans="16:16" x14ac:dyDescent="0.2">
      <c r="P2192" s="415"/>
    </row>
    <row r="2193" spans="16:16" x14ac:dyDescent="0.2">
      <c r="P2193" s="415"/>
    </row>
    <row r="2194" spans="16:16" x14ac:dyDescent="0.2">
      <c r="P2194" s="415"/>
    </row>
    <row r="2195" spans="16:16" x14ac:dyDescent="0.2">
      <c r="P2195" s="415"/>
    </row>
    <row r="2196" spans="16:16" x14ac:dyDescent="0.2">
      <c r="P2196" s="415"/>
    </row>
    <row r="2197" spans="16:16" x14ac:dyDescent="0.2">
      <c r="P2197" s="415"/>
    </row>
    <row r="2198" spans="16:16" x14ac:dyDescent="0.2">
      <c r="P2198" s="415"/>
    </row>
    <row r="2199" spans="16:16" x14ac:dyDescent="0.2">
      <c r="P2199" s="415"/>
    </row>
    <row r="2200" spans="16:16" x14ac:dyDescent="0.2">
      <c r="P2200" s="415"/>
    </row>
    <row r="2201" spans="16:16" x14ac:dyDescent="0.2">
      <c r="P2201" s="415"/>
    </row>
    <row r="2202" spans="16:16" x14ac:dyDescent="0.2">
      <c r="P2202" s="415"/>
    </row>
    <row r="2203" spans="16:16" x14ac:dyDescent="0.2">
      <c r="P2203" s="415"/>
    </row>
    <row r="2204" spans="16:16" x14ac:dyDescent="0.2">
      <c r="P2204" s="415"/>
    </row>
    <row r="2205" spans="16:16" x14ac:dyDescent="0.2">
      <c r="P2205" s="415"/>
    </row>
    <row r="2206" spans="16:16" x14ac:dyDescent="0.2">
      <c r="P2206" s="415"/>
    </row>
    <row r="2207" spans="16:16" x14ac:dyDescent="0.2">
      <c r="P2207" s="415"/>
    </row>
    <row r="2208" spans="16:16" x14ac:dyDescent="0.2">
      <c r="P2208" s="415"/>
    </row>
    <row r="2209" spans="16:16" x14ac:dyDescent="0.2">
      <c r="P2209" s="415"/>
    </row>
    <row r="2210" spans="16:16" x14ac:dyDescent="0.2">
      <c r="P2210" s="415"/>
    </row>
    <row r="2211" spans="16:16" x14ac:dyDescent="0.2">
      <c r="P2211" s="415"/>
    </row>
    <row r="2212" spans="16:16" x14ac:dyDescent="0.2">
      <c r="P2212" s="415"/>
    </row>
    <row r="2213" spans="16:16" x14ac:dyDescent="0.2">
      <c r="P2213" s="415"/>
    </row>
    <row r="2214" spans="16:16" x14ac:dyDescent="0.2">
      <c r="P2214" s="415"/>
    </row>
    <row r="2215" spans="16:16" x14ac:dyDescent="0.2">
      <c r="P2215" s="415"/>
    </row>
    <row r="2216" spans="16:16" x14ac:dyDescent="0.2">
      <c r="P2216" s="415"/>
    </row>
    <row r="2217" spans="16:16" x14ac:dyDescent="0.2">
      <c r="P2217" s="415"/>
    </row>
    <row r="2218" spans="16:16" x14ac:dyDescent="0.2">
      <c r="P2218" s="415"/>
    </row>
    <row r="2219" spans="16:16" x14ac:dyDescent="0.2">
      <c r="P2219" s="415"/>
    </row>
    <row r="2220" spans="16:16" x14ac:dyDescent="0.2">
      <c r="P2220" s="415"/>
    </row>
    <row r="2221" spans="16:16" x14ac:dyDescent="0.2">
      <c r="P2221" s="415"/>
    </row>
    <row r="2222" spans="16:16" x14ac:dyDescent="0.2">
      <c r="P2222" s="415"/>
    </row>
    <row r="2223" spans="16:16" x14ac:dyDescent="0.2">
      <c r="P2223" s="415"/>
    </row>
    <row r="2224" spans="16:16" x14ac:dyDescent="0.2">
      <c r="P2224" s="415"/>
    </row>
    <row r="2225" spans="16:16" x14ac:dyDescent="0.2">
      <c r="P2225" s="415"/>
    </row>
    <row r="2226" spans="16:16" x14ac:dyDescent="0.2">
      <c r="P2226" s="415"/>
    </row>
    <row r="2227" spans="16:16" x14ac:dyDescent="0.2">
      <c r="P2227" s="415"/>
    </row>
    <row r="2228" spans="16:16" x14ac:dyDescent="0.2">
      <c r="P2228" s="415"/>
    </row>
    <row r="2229" spans="16:16" x14ac:dyDescent="0.2">
      <c r="P2229" s="415"/>
    </row>
    <row r="2230" spans="16:16" x14ac:dyDescent="0.2">
      <c r="P2230" s="415"/>
    </row>
    <row r="2231" spans="16:16" x14ac:dyDescent="0.2">
      <c r="P2231" s="415"/>
    </row>
    <row r="2232" spans="16:16" x14ac:dyDescent="0.2">
      <c r="P2232" s="415"/>
    </row>
    <row r="2233" spans="16:16" x14ac:dyDescent="0.2">
      <c r="P2233" s="415"/>
    </row>
    <row r="2234" spans="16:16" x14ac:dyDescent="0.2">
      <c r="P2234" s="415"/>
    </row>
    <row r="2235" spans="16:16" x14ac:dyDescent="0.2">
      <c r="P2235" s="415"/>
    </row>
    <row r="2236" spans="16:16" x14ac:dyDescent="0.2">
      <c r="P2236" s="415"/>
    </row>
    <row r="2237" spans="16:16" x14ac:dyDescent="0.2">
      <c r="P2237" s="415"/>
    </row>
    <row r="2238" spans="16:16" x14ac:dyDescent="0.2">
      <c r="P2238" s="415"/>
    </row>
    <row r="2239" spans="16:16" x14ac:dyDescent="0.2">
      <c r="P2239" s="415"/>
    </row>
    <row r="2240" spans="16:16" x14ac:dyDescent="0.2">
      <c r="P2240" s="415"/>
    </row>
    <row r="2241" spans="16:16" x14ac:dyDescent="0.2">
      <c r="P2241" s="415"/>
    </row>
    <row r="2242" spans="16:16" x14ac:dyDescent="0.2">
      <c r="P2242" s="415"/>
    </row>
    <row r="2243" spans="16:16" x14ac:dyDescent="0.2">
      <c r="P2243" s="415"/>
    </row>
    <row r="2244" spans="16:16" x14ac:dyDescent="0.2">
      <c r="P2244" s="415"/>
    </row>
    <row r="2245" spans="16:16" x14ac:dyDescent="0.2">
      <c r="P2245" s="415"/>
    </row>
    <row r="2246" spans="16:16" x14ac:dyDescent="0.2">
      <c r="P2246" s="415"/>
    </row>
    <row r="2247" spans="16:16" x14ac:dyDescent="0.2">
      <c r="P2247" s="415"/>
    </row>
    <row r="2248" spans="16:16" x14ac:dyDescent="0.2">
      <c r="P2248" s="415"/>
    </row>
    <row r="2249" spans="16:16" x14ac:dyDescent="0.2">
      <c r="P2249" s="415"/>
    </row>
    <row r="2250" spans="16:16" x14ac:dyDescent="0.2">
      <c r="P2250" s="415"/>
    </row>
    <row r="2251" spans="16:16" x14ac:dyDescent="0.2">
      <c r="P2251" s="415"/>
    </row>
    <row r="2252" spans="16:16" x14ac:dyDescent="0.2">
      <c r="P2252" s="415"/>
    </row>
    <row r="2253" spans="16:16" x14ac:dyDescent="0.2">
      <c r="P2253" s="415"/>
    </row>
    <row r="2254" spans="16:16" x14ac:dyDescent="0.2">
      <c r="P2254" s="415"/>
    </row>
    <row r="2255" spans="16:16" x14ac:dyDescent="0.2">
      <c r="P2255" s="415"/>
    </row>
    <row r="2256" spans="16:16" x14ac:dyDescent="0.2">
      <c r="P2256" s="415"/>
    </row>
    <row r="2257" spans="16:16" x14ac:dyDescent="0.2">
      <c r="P2257" s="415"/>
    </row>
    <row r="2258" spans="16:16" x14ac:dyDescent="0.2">
      <c r="P2258" s="415"/>
    </row>
    <row r="2259" spans="16:16" x14ac:dyDescent="0.2">
      <c r="P2259" s="415"/>
    </row>
    <row r="2260" spans="16:16" x14ac:dyDescent="0.2">
      <c r="P2260" s="415"/>
    </row>
    <row r="2261" spans="16:16" x14ac:dyDescent="0.2">
      <c r="P2261" s="415"/>
    </row>
    <row r="2262" spans="16:16" x14ac:dyDescent="0.2">
      <c r="P2262" s="415"/>
    </row>
    <row r="2263" spans="16:16" x14ac:dyDescent="0.2">
      <c r="P2263" s="415"/>
    </row>
    <row r="2264" spans="16:16" x14ac:dyDescent="0.2">
      <c r="P2264" s="415"/>
    </row>
    <row r="2265" spans="16:16" x14ac:dyDescent="0.2">
      <c r="P2265" s="415"/>
    </row>
    <row r="2266" spans="16:16" x14ac:dyDescent="0.2">
      <c r="P2266" s="415"/>
    </row>
    <row r="2267" spans="16:16" x14ac:dyDescent="0.2">
      <c r="P2267" s="415"/>
    </row>
    <row r="2268" spans="16:16" x14ac:dyDescent="0.2">
      <c r="P2268" s="415"/>
    </row>
    <row r="2269" spans="16:16" x14ac:dyDescent="0.2">
      <c r="P2269" s="415"/>
    </row>
    <row r="2270" spans="16:16" x14ac:dyDescent="0.2">
      <c r="P2270" s="415"/>
    </row>
    <row r="2271" spans="16:16" x14ac:dyDescent="0.2">
      <c r="P2271" s="415"/>
    </row>
    <row r="2272" spans="16:16" x14ac:dyDescent="0.2">
      <c r="P2272" s="415"/>
    </row>
    <row r="2273" spans="16:16" x14ac:dyDescent="0.2">
      <c r="P2273" s="415"/>
    </row>
    <row r="2274" spans="16:16" x14ac:dyDescent="0.2">
      <c r="P2274" s="415"/>
    </row>
    <row r="2275" spans="16:16" x14ac:dyDescent="0.2">
      <c r="P2275" s="415"/>
    </row>
    <row r="2276" spans="16:16" x14ac:dyDescent="0.2">
      <c r="P2276" s="415"/>
    </row>
    <row r="2277" spans="16:16" x14ac:dyDescent="0.2">
      <c r="P2277" s="415"/>
    </row>
    <row r="2278" spans="16:16" x14ac:dyDescent="0.2">
      <c r="P2278" s="415"/>
    </row>
    <row r="2279" spans="16:16" x14ac:dyDescent="0.2">
      <c r="P2279" s="415"/>
    </row>
    <row r="2280" spans="16:16" x14ac:dyDescent="0.2">
      <c r="P2280" s="415"/>
    </row>
    <row r="2281" spans="16:16" x14ac:dyDescent="0.2">
      <c r="P2281" s="415"/>
    </row>
    <row r="2282" spans="16:16" x14ac:dyDescent="0.2">
      <c r="P2282" s="415"/>
    </row>
    <row r="2283" spans="16:16" x14ac:dyDescent="0.2">
      <c r="P2283" s="415"/>
    </row>
    <row r="2284" spans="16:16" x14ac:dyDescent="0.2">
      <c r="P2284" s="415"/>
    </row>
    <row r="2285" spans="16:16" x14ac:dyDescent="0.2">
      <c r="P2285" s="415"/>
    </row>
    <row r="2286" spans="16:16" x14ac:dyDescent="0.2">
      <c r="P2286" s="415"/>
    </row>
    <row r="2287" spans="16:16" x14ac:dyDescent="0.2">
      <c r="P2287" s="415"/>
    </row>
    <row r="2288" spans="16:16" x14ac:dyDescent="0.2">
      <c r="P2288" s="415"/>
    </row>
    <row r="2289" spans="16:16" x14ac:dyDescent="0.2">
      <c r="P2289" s="415"/>
    </row>
    <row r="2290" spans="16:16" x14ac:dyDescent="0.2">
      <c r="P2290" s="415"/>
    </row>
    <row r="2291" spans="16:16" x14ac:dyDescent="0.2">
      <c r="P2291" s="415"/>
    </row>
    <row r="2292" spans="16:16" x14ac:dyDescent="0.2">
      <c r="P2292" s="415"/>
    </row>
    <row r="2293" spans="16:16" x14ac:dyDescent="0.2">
      <c r="P2293" s="415"/>
    </row>
    <row r="2294" spans="16:16" x14ac:dyDescent="0.2">
      <c r="P2294" s="415"/>
    </row>
    <row r="2295" spans="16:16" x14ac:dyDescent="0.2">
      <c r="P2295" s="415"/>
    </row>
    <row r="2296" spans="16:16" x14ac:dyDescent="0.2">
      <c r="P2296" s="415"/>
    </row>
    <row r="2297" spans="16:16" x14ac:dyDescent="0.2">
      <c r="P2297" s="415"/>
    </row>
    <row r="2298" spans="16:16" x14ac:dyDescent="0.2">
      <c r="P2298" s="415"/>
    </row>
    <row r="2299" spans="16:16" x14ac:dyDescent="0.2">
      <c r="P2299" s="415"/>
    </row>
    <row r="2300" spans="16:16" x14ac:dyDescent="0.2">
      <c r="P2300" s="415"/>
    </row>
    <row r="2301" spans="16:16" x14ac:dyDescent="0.2">
      <c r="P2301" s="415"/>
    </row>
    <row r="2302" spans="16:16" x14ac:dyDescent="0.2">
      <c r="P2302" s="415"/>
    </row>
    <row r="2303" spans="16:16" x14ac:dyDescent="0.2">
      <c r="P2303" s="415"/>
    </row>
    <row r="2304" spans="16:16" x14ac:dyDescent="0.2">
      <c r="P2304" s="415"/>
    </row>
    <row r="2305" spans="16:16" x14ac:dyDescent="0.2">
      <c r="P2305" s="415"/>
    </row>
    <row r="2306" spans="16:16" x14ac:dyDescent="0.2">
      <c r="P2306" s="415"/>
    </row>
    <row r="2307" spans="16:16" x14ac:dyDescent="0.2">
      <c r="P2307" s="415"/>
    </row>
    <row r="2308" spans="16:16" x14ac:dyDescent="0.2">
      <c r="P2308" s="415"/>
    </row>
    <row r="2309" spans="16:16" x14ac:dyDescent="0.2">
      <c r="P2309" s="415"/>
    </row>
    <row r="2310" spans="16:16" x14ac:dyDescent="0.2">
      <c r="P2310" s="415"/>
    </row>
    <row r="2311" spans="16:16" x14ac:dyDescent="0.2">
      <c r="P2311" s="415"/>
    </row>
    <row r="2312" spans="16:16" x14ac:dyDescent="0.2">
      <c r="P2312" s="415"/>
    </row>
    <row r="2313" spans="16:16" x14ac:dyDescent="0.2">
      <c r="P2313" s="415"/>
    </row>
    <row r="2314" spans="16:16" x14ac:dyDescent="0.2">
      <c r="P2314" s="415"/>
    </row>
    <row r="2315" spans="16:16" x14ac:dyDescent="0.2">
      <c r="P2315" s="415"/>
    </row>
    <row r="2316" spans="16:16" x14ac:dyDescent="0.2">
      <c r="P2316" s="415"/>
    </row>
    <row r="2317" spans="16:16" x14ac:dyDescent="0.2">
      <c r="P2317" s="415"/>
    </row>
    <row r="2318" spans="16:16" x14ac:dyDescent="0.2">
      <c r="P2318" s="415"/>
    </row>
    <row r="2319" spans="16:16" x14ac:dyDescent="0.2">
      <c r="P2319" s="415"/>
    </row>
    <row r="2320" spans="16:16" x14ac:dyDescent="0.2">
      <c r="P2320" s="415"/>
    </row>
    <row r="2321" spans="16:16" x14ac:dyDescent="0.2">
      <c r="P2321" s="415"/>
    </row>
    <row r="2322" spans="16:16" x14ac:dyDescent="0.2">
      <c r="P2322" s="415"/>
    </row>
    <row r="2323" spans="16:16" x14ac:dyDescent="0.2">
      <c r="P2323" s="415"/>
    </row>
    <row r="2324" spans="16:16" x14ac:dyDescent="0.2">
      <c r="P2324" s="415"/>
    </row>
    <row r="2325" spans="16:16" x14ac:dyDescent="0.2">
      <c r="P2325" s="415"/>
    </row>
    <row r="2326" spans="16:16" x14ac:dyDescent="0.2">
      <c r="P2326" s="415"/>
    </row>
    <row r="2327" spans="16:16" x14ac:dyDescent="0.2">
      <c r="P2327" s="415"/>
    </row>
    <row r="2328" spans="16:16" x14ac:dyDescent="0.2">
      <c r="P2328" s="415"/>
    </row>
    <row r="2329" spans="16:16" x14ac:dyDescent="0.2">
      <c r="P2329" s="415"/>
    </row>
    <row r="2330" spans="16:16" x14ac:dyDescent="0.2">
      <c r="P2330" s="415"/>
    </row>
    <row r="2331" spans="16:16" x14ac:dyDescent="0.2">
      <c r="P2331" s="415"/>
    </row>
    <row r="2332" spans="16:16" x14ac:dyDescent="0.2">
      <c r="P2332" s="415"/>
    </row>
    <row r="2333" spans="16:16" x14ac:dyDescent="0.2">
      <c r="P2333" s="415"/>
    </row>
    <row r="2334" spans="16:16" x14ac:dyDescent="0.2">
      <c r="P2334" s="415"/>
    </row>
    <row r="2335" spans="16:16" x14ac:dyDescent="0.2">
      <c r="P2335" s="415"/>
    </row>
    <row r="2336" spans="16:16" x14ac:dyDescent="0.2">
      <c r="P2336" s="415"/>
    </row>
    <row r="2337" spans="16:16" x14ac:dyDescent="0.2">
      <c r="P2337" s="415"/>
    </row>
    <row r="2338" spans="16:16" x14ac:dyDescent="0.2">
      <c r="P2338" s="415"/>
    </row>
    <row r="2339" spans="16:16" x14ac:dyDescent="0.2">
      <c r="P2339" s="415"/>
    </row>
    <row r="2340" spans="16:16" x14ac:dyDescent="0.2">
      <c r="P2340" s="415"/>
    </row>
    <row r="2341" spans="16:16" x14ac:dyDescent="0.2">
      <c r="P2341" s="415"/>
    </row>
    <row r="2342" spans="16:16" x14ac:dyDescent="0.2">
      <c r="P2342" s="415"/>
    </row>
    <row r="2343" spans="16:16" x14ac:dyDescent="0.2">
      <c r="P2343" s="415"/>
    </row>
    <row r="2344" spans="16:16" x14ac:dyDescent="0.2">
      <c r="P2344" s="415"/>
    </row>
    <row r="2345" spans="16:16" x14ac:dyDescent="0.2">
      <c r="P2345" s="415"/>
    </row>
    <row r="2346" spans="16:16" x14ac:dyDescent="0.2">
      <c r="P2346" s="415"/>
    </row>
    <row r="2347" spans="16:16" x14ac:dyDescent="0.2">
      <c r="P2347" s="415"/>
    </row>
    <row r="2348" spans="16:16" x14ac:dyDescent="0.2">
      <c r="P2348" s="415"/>
    </row>
    <row r="2349" spans="16:16" x14ac:dyDescent="0.2">
      <c r="P2349" s="415"/>
    </row>
    <row r="2350" spans="16:16" x14ac:dyDescent="0.2">
      <c r="P2350" s="415"/>
    </row>
    <row r="2351" spans="16:16" x14ac:dyDescent="0.2">
      <c r="P2351" s="415"/>
    </row>
    <row r="2352" spans="16:16" x14ac:dyDescent="0.2">
      <c r="P2352" s="415"/>
    </row>
    <row r="2353" spans="16:16" x14ac:dyDescent="0.2">
      <c r="P2353" s="415"/>
    </row>
    <row r="2354" spans="16:16" x14ac:dyDescent="0.2">
      <c r="P2354" s="415"/>
    </row>
    <row r="2355" spans="16:16" x14ac:dyDescent="0.2">
      <c r="P2355" s="415"/>
    </row>
    <row r="2356" spans="16:16" x14ac:dyDescent="0.2">
      <c r="P2356" s="415"/>
    </row>
    <row r="2357" spans="16:16" x14ac:dyDescent="0.2">
      <c r="P2357" s="415"/>
    </row>
    <row r="2358" spans="16:16" x14ac:dyDescent="0.2">
      <c r="P2358" s="415"/>
    </row>
    <row r="2359" spans="16:16" x14ac:dyDescent="0.2">
      <c r="P2359" s="415"/>
    </row>
    <row r="2360" spans="16:16" x14ac:dyDescent="0.2">
      <c r="P2360" s="415"/>
    </row>
    <row r="2361" spans="16:16" x14ac:dyDescent="0.2">
      <c r="P2361" s="415"/>
    </row>
    <row r="2362" spans="16:16" x14ac:dyDescent="0.2">
      <c r="P2362" s="415"/>
    </row>
    <row r="2363" spans="16:16" x14ac:dyDescent="0.2">
      <c r="P2363" s="415"/>
    </row>
    <row r="2364" spans="16:16" x14ac:dyDescent="0.2">
      <c r="P2364" s="415"/>
    </row>
    <row r="2365" spans="16:16" x14ac:dyDescent="0.2">
      <c r="P2365" s="415"/>
    </row>
    <row r="2366" spans="16:16" x14ac:dyDescent="0.2">
      <c r="P2366" s="415"/>
    </row>
    <row r="2367" spans="16:16" x14ac:dyDescent="0.2">
      <c r="P2367" s="415"/>
    </row>
    <row r="2368" spans="16:16" x14ac:dyDescent="0.2">
      <c r="P2368" s="415"/>
    </row>
    <row r="2369" spans="16:16" x14ac:dyDescent="0.2">
      <c r="P2369" s="415"/>
    </row>
    <row r="2370" spans="16:16" x14ac:dyDescent="0.2">
      <c r="P2370" s="415"/>
    </row>
    <row r="2371" spans="16:16" x14ac:dyDescent="0.2">
      <c r="P2371" s="415"/>
    </row>
    <row r="2372" spans="16:16" x14ac:dyDescent="0.2">
      <c r="P2372" s="415"/>
    </row>
    <row r="2373" spans="16:16" x14ac:dyDescent="0.2">
      <c r="P2373" s="415"/>
    </row>
    <row r="2374" spans="16:16" x14ac:dyDescent="0.2">
      <c r="P2374" s="415"/>
    </row>
    <row r="2375" spans="16:16" x14ac:dyDescent="0.2">
      <c r="P2375" s="415"/>
    </row>
    <row r="2376" spans="16:16" x14ac:dyDescent="0.2">
      <c r="P2376" s="415"/>
    </row>
    <row r="2377" spans="16:16" x14ac:dyDescent="0.2">
      <c r="P2377" s="415"/>
    </row>
    <row r="2378" spans="16:16" x14ac:dyDescent="0.2">
      <c r="P2378" s="415"/>
    </row>
    <row r="2379" spans="16:16" x14ac:dyDescent="0.2">
      <c r="P2379" s="415"/>
    </row>
    <row r="2380" spans="16:16" x14ac:dyDescent="0.2">
      <c r="P2380" s="415"/>
    </row>
    <row r="2381" spans="16:16" x14ac:dyDescent="0.2">
      <c r="P2381" s="415"/>
    </row>
    <row r="2382" spans="16:16" x14ac:dyDescent="0.2">
      <c r="P2382" s="415"/>
    </row>
    <row r="2383" spans="16:16" x14ac:dyDescent="0.2">
      <c r="P2383" s="415"/>
    </row>
    <row r="2384" spans="16:16" x14ac:dyDescent="0.2">
      <c r="P2384" s="415"/>
    </row>
    <row r="2385" spans="16:16" x14ac:dyDescent="0.2">
      <c r="P2385" s="415"/>
    </row>
    <row r="2386" spans="16:16" x14ac:dyDescent="0.2">
      <c r="P2386" s="415"/>
    </row>
    <row r="2387" spans="16:16" x14ac:dyDescent="0.2">
      <c r="P2387" s="415"/>
    </row>
    <row r="2388" spans="16:16" x14ac:dyDescent="0.2">
      <c r="P2388" s="415"/>
    </row>
    <row r="2389" spans="16:16" x14ac:dyDescent="0.2">
      <c r="P2389" s="415"/>
    </row>
    <row r="2390" spans="16:16" x14ac:dyDescent="0.2">
      <c r="P2390" s="415"/>
    </row>
    <row r="2391" spans="16:16" x14ac:dyDescent="0.2">
      <c r="P2391" s="415"/>
    </row>
    <row r="2392" spans="16:16" x14ac:dyDescent="0.2">
      <c r="P2392" s="415"/>
    </row>
    <row r="2393" spans="16:16" x14ac:dyDescent="0.2">
      <c r="P2393" s="415"/>
    </row>
    <row r="2394" spans="16:16" x14ac:dyDescent="0.2">
      <c r="P2394" s="415"/>
    </row>
    <row r="2395" spans="16:16" x14ac:dyDescent="0.2">
      <c r="P2395" s="415"/>
    </row>
    <row r="2396" spans="16:16" x14ac:dyDescent="0.2">
      <c r="P2396" s="415"/>
    </row>
    <row r="2397" spans="16:16" x14ac:dyDescent="0.2">
      <c r="P2397" s="415"/>
    </row>
    <row r="2398" spans="16:16" x14ac:dyDescent="0.2">
      <c r="P2398" s="415"/>
    </row>
    <row r="2399" spans="16:16" x14ac:dyDescent="0.2">
      <c r="P2399" s="415"/>
    </row>
    <row r="2400" spans="16:16" x14ac:dyDescent="0.2">
      <c r="P2400" s="415"/>
    </row>
    <row r="2401" spans="16:16" x14ac:dyDescent="0.2">
      <c r="P2401" s="415"/>
    </row>
    <row r="2402" spans="16:16" x14ac:dyDescent="0.2">
      <c r="P2402" s="415"/>
    </row>
    <row r="2403" spans="16:16" x14ac:dyDescent="0.2">
      <c r="P2403" s="415"/>
    </row>
    <row r="2404" spans="16:16" x14ac:dyDescent="0.2">
      <c r="P2404" s="415"/>
    </row>
    <row r="2405" spans="16:16" x14ac:dyDescent="0.2">
      <c r="P2405" s="415"/>
    </row>
    <row r="2406" spans="16:16" x14ac:dyDescent="0.2">
      <c r="P2406" s="415"/>
    </row>
    <row r="2407" spans="16:16" x14ac:dyDescent="0.2">
      <c r="P2407" s="415"/>
    </row>
    <row r="2408" spans="16:16" x14ac:dyDescent="0.2">
      <c r="P2408" s="415"/>
    </row>
    <row r="2409" spans="16:16" x14ac:dyDescent="0.2">
      <c r="P2409" s="415"/>
    </row>
    <row r="2410" spans="16:16" x14ac:dyDescent="0.2">
      <c r="P2410" s="415"/>
    </row>
    <row r="2411" spans="16:16" x14ac:dyDescent="0.2">
      <c r="P2411" s="415"/>
    </row>
    <row r="2412" spans="16:16" x14ac:dyDescent="0.2">
      <c r="P2412" s="415"/>
    </row>
    <row r="2413" spans="16:16" x14ac:dyDescent="0.2">
      <c r="P2413" s="415"/>
    </row>
    <row r="2414" spans="16:16" x14ac:dyDescent="0.2">
      <c r="P2414" s="415"/>
    </row>
    <row r="2415" spans="16:16" x14ac:dyDescent="0.2">
      <c r="P2415" s="415"/>
    </row>
    <row r="2416" spans="16:16" x14ac:dyDescent="0.2">
      <c r="P2416" s="415"/>
    </row>
    <row r="2417" spans="16:16" x14ac:dyDescent="0.2">
      <c r="P2417" s="415"/>
    </row>
    <row r="2418" spans="16:16" x14ac:dyDescent="0.2">
      <c r="P2418" s="415"/>
    </row>
    <row r="2419" spans="16:16" x14ac:dyDescent="0.2">
      <c r="P2419" s="415"/>
    </row>
    <row r="2420" spans="16:16" x14ac:dyDescent="0.2">
      <c r="P2420" s="415"/>
    </row>
    <row r="2421" spans="16:16" x14ac:dyDescent="0.2">
      <c r="P2421" s="415"/>
    </row>
    <row r="2422" spans="16:16" x14ac:dyDescent="0.2">
      <c r="P2422" s="415"/>
    </row>
    <row r="2423" spans="16:16" x14ac:dyDescent="0.2">
      <c r="P2423" s="415"/>
    </row>
    <row r="2424" spans="16:16" x14ac:dyDescent="0.2">
      <c r="P2424" s="415"/>
    </row>
    <row r="2425" spans="16:16" x14ac:dyDescent="0.2">
      <c r="P2425" s="415"/>
    </row>
    <row r="2426" spans="16:16" x14ac:dyDescent="0.2">
      <c r="P2426" s="415"/>
    </row>
    <row r="2427" spans="16:16" x14ac:dyDescent="0.2">
      <c r="P2427" s="415"/>
    </row>
    <row r="2428" spans="16:16" x14ac:dyDescent="0.2">
      <c r="P2428" s="415"/>
    </row>
    <row r="2429" spans="16:16" x14ac:dyDescent="0.2">
      <c r="P2429" s="415"/>
    </row>
    <row r="2430" spans="16:16" x14ac:dyDescent="0.2">
      <c r="P2430" s="415"/>
    </row>
    <row r="2431" spans="16:16" x14ac:dyDescent="0.2">
      <c r="P2431" s="415"/>
    </row>
    <row r="2432" spans="16:16" x14ac:dyDescent="0.2">
      <c r="P2432" s="415"/>
    </row>
    <row r="2433" spans="16:16" x14ac:dyDescent="0.2">
      <c r="P2433" s="415"/>
    </row>
    <row r="2434" spans="16:16" x14ac:dyDescent="0.2">
      <c r="P2434" s="415"/>
    </row>
    <row r="2435" spans="16:16" x14ac:dyDescent="0.2">
      <c r="P2435" s="415"/>
    </row>
    <row r="2436" spans="16:16" x14ac:dyDescent="0.2">
      <c r="P2436" s="415"/>
    </row>
    <row r="2437" spans="16:16" x14ac:dyDescent="0.2">
      <c r="P2437" s="415"/>
    </row>
    <row r="2438" spans="16:16" x14ac:dyDescent="0.2">
      <c r="P2438" s="415"/>
    </row>
    <row r="2439" spans="16:16" x14ac:dyDescent="0.2">
      <c r="P2439" s="415"/>
    </row>
    <row r="2440" spans="16:16" x14ac:dyDescent="0.2">
      <c r="P2440" s="415"/>
    </row>
    <row r="2441" spans="16:16" x14ac:dyDescent="0.2">
      <c r="P2441" s="415"/>
    </row>
    <row r="2442" spans="16:16" x14ac:dyDescent="0.2">
      <c r="P2442" s="415"/>
    </row>
    <row r="2443" spans="16:16" x14ac:dyDescent="0.2">
      <c r="P2443" s="415"/>
    </row>
    <row r="2444" spans="16:16" x14ac:dyDescent="0.2">
      <c r="P2444" s="415"/>
    </row>
    <row r="2445" spans="16:16" x14ac:dyDescent="0.2">
      <c r="P2445" s="415"/>
    </row>
    <row r="2446" spans="16:16" x14ac:dyDescent="0.2">
      <c r="P2446" s="415"/>
    </row>
    <row r="2447" spans="16:16" x14ac:dyDescent="0.2">
      <c r="P2447" s="415"/>
    </row>
    <row r="2448" spans="16:16" x14ac:dyDescent="0.2">
      <c r="P2448" s="415"/>
    </row>
    <row r="2449" spans="16:16" x14ac:dyDescent="0.2">
      <c r="P2449" s="415"/>
    </row>
    <row r="2450" spans="16:16" x14ac:dyDescent="0.2">
      <c r="P2450" s="415"/>
    </row>
    <row r="2451" spans="16:16" x14ac:dyDescent="0.2">
      <c r="P2451" s="415"/>
    </row>
    <row r="2452" spans="16:16" x14ac:dyDescent="0.2">
      <c r="P2452" s="415"/>
    </row>
    <row r="2453" spans="16:16" x14ac:dyDescent="0.2">
      <c r="P2453" s="415"/>
    </row>
    <row r="2454" spans="16:16" x14ac:dyDescent="0.2">
      <c r="P2454" s="415"/>
    </row>
    <row r="2455" spans="16:16" x14ac:dyDescent="0.2">
      <c r="P2455" s="415"/>
    </row>
    <row r="2456" spans="16:16" x14ac:dyDescent="0.2">
      <c r="P2456" s="415"/>
    </row>
    <row r="2457" spans="16:16" x14ac:dyDescent="0.2">
      <c r="P2457" s="415"/>
    </row>
    <row r="2458" spans="16:16" x14ac:dyDescent="0.2">
      <c r="P2458" s="415"/>
    </row>
    <row r="2459" spans="16:16" x14ac:dyDescent="0.2">
      <c r="P2459" s="415"/>
    </row>
    <row r="2460" spans="16:16" x14ac:dyDescent="0.2">
      <c r="P2460" s="415"/>
    </row>
    <row r="2461" spans="16:16" x14ac:dyDescent="0.2">
      <c r="P2461" s="415"/>
    </row>
    <row r="2462" spans="16:16" x14ac:dyDescent="0.2">
      <c r="P2462" s="415"/>
    </row>
    <row r="2463" spans="16:16" x14ac:dyDescent="0.2">
      <c r="P2463" s="415"/>
    </row>
    <row r="2464" spans="16:16" x14ac:dyDescent="0.2">
      <c r="P2464" s="415"/>
    </row>
    <row r="2465" spans="16:16" x14ac:dyDescent="0.2">
      <c r="P2465" s="415"/>
    </row>
    <row r="2466" spans="16:16" x14ac:dyDescent="0.2">
      <c r="P2466" s="415"/>
    </row>
    <row r="2467" spans="16:16" x14ac:dyDescent="0.2">
      <c r="P2467" s="415"/>
    </row>
    <row r="2468" spans="16:16" x14ac:dyDescent="0.2">
      <c r="P2468" s="415"/>
    </row>
    <row r="2469" spans="16:16" x14ac:dyDescent="0.2">
      <c r="P2469" s="415"/>
    </row>
    <row r="2470" spans="16:16" x14ac:dyDescent="0.2">
      <c r="P2470" s="415"/>
    </row>
    <row r="2471" spans="16:16" x14ac:dyDescent="0.2">
      <c r="P2471" s="415"/>
    </row>
    <row r="2472" spans="16:16" x14ac:dyDescent="0.2">
      <c r="P2472" s="415"/>
    </row>
    <row r="2473" spans="16:16" x14ac:dyDescent="0.2">
      <c r="P2473" s="415"/>
    </row>
    <row r="2474" spans="16:16" x14ac:dyDescent="0.2">
      <c r="P2474" s="415"/>
    </row>
    <row r="2475" spans="16:16" x14ac:dyDescent="0.2">
      <c r="P2475" s="415"/>
    </row>
    <row r="2476" spans="16:16" x14ac:dyDescent="0.2">
      <c r="P2476" s="415"/>
    </row>
    <row r="2477" spans="16:16" x14ac:dyDescent="0.2">
      <c r="P2477" s="415"/>
    </row>
    <row r="2478" spans="16:16" x14ac:dyDescent="0.2">
      <c r="P2478" s="415"/>
    </row>
    <row r="2479" spans="16:16" x14ac:dyDescent="0.2">
      <c r="P2479" s="415"/>
    </row>
    <row r="2480" spans="16:16" x14ac:dyDescent="0.2">
      <c r="P2480" s="415"/>
    </row>
    <row r="2481" spans="16:16" x14ac:dyDescent="0.2">
      <c r="P2481" s="415"/>
    </row>
    <row r="2482" spans="16:16" x14ac:dyDescent="0.2">
      <c r="P2482" s="415"/>
    </row>
    <row r="2483" spans="16:16" x14ac:dyDescent="0.2">
      <c r="P2483" s="415"/>
    </row>
    <row r="2484" spans="16:16" x14ac:dyDescent="0.2">
      <c r="P2484" s="415"/>
    </row>
    <row r="2485" spans="16:16" x14ac:dyDescent="0.2">
      <c r="P2485" s="415"/>
    </row>
    <row r="2486" spans="16:16" x14ac:dyDescent="0.2">
      <c r="P2486" s="415"/>
    </row>
    <row r="2487" spans="16:16" x14ac:dyDescent="0.2">
      <c r="P2487" s="415"/>
    </row>
    <row r="2488" spans="16:16" x14ac:dyDescent="0.2">
      <c r="P2488" s="415"/>
    </row>
    <row r="2489" spans="16:16" x14ac:dyDescent="0.2">
      <c r="P2489" s="415"/>
    </row>
    <row r="2490" spans="16:16" x14ac:dyDescent="0.2">
      <c r="P2490" s="415"/>
    </row>
    <row r="2491" spans="16:16" x14ac:dyDescent="0.2">
      <c r="P2491" s="415"/>
    </row>
    <row r="2492" spans="16:16" x14ac:dyDescent="0.2">
      <c r="P2492" s="415"/>
    </row>
    <row r="2493" spans="16:16" x14ac:dyDescent="0.2">
      <c r="P2493" s="415"/>
    </row>
    <row r="2494" spans="16:16" x14ac:dyDescent="0.2">
      <c r="P2494" s="415"/>
    </row>
    <row r="2495" spans="16:16" x14ac:dyDescent="0.2">
      <c r="P2495" s="415"/>
    </row>
    <row r="2496" spans="16:16" x14ac:dyDescent="0.2">
      <c r="P2496" s="415"/>
    </row>
    <row r="2497" spans="16:16" x14ac:dyDescent="0.2">
      <c r="P2497" s="415"/>
    </row>
    <row r="2498" spans="16:16" x14ac:dyDescent="0.2">
      <c r="P2498" s="415"/>
    </row>
    <row r="2499" spans="16:16" x14ac:dyDescent="0.2">
      <c r="P2499" s="415"/>
    </row>
    <row r="2500" spans="16:16" x14ac:dyDescent="0.2">
      <c r="P2500" s="415"/>
    </row>
    <row r="2501" spans="16:16" x14ac:dyDescent="0.2">
      <c r="P2501" s="415"/>
    </row>
    <row r="2502" spans="16:16" x14ac:dyDescent="0.2">
      <c r="P2502" s="415"/>
    </row>
    <row r="2503" spans="16:16" x14ac:dyDescent="0.2">
      <c r="P2503" s="415"/>
    </row>
    <row r="2504" spans="16:16" x14ac:dyDescent="0.2">
      <c r="P2504" s="415"/>
    </row>
    <row r="2505" spans="16:16" x14ac:dyDescent="0.2">
      <c r="P2505" s="415"/>
    </row>
    <row r="2506" spans="16:16" x14ac:dyDescent="0.2">
      <c r="P2506" s="415"/>
    </row>
    <row r="2507" spans="16:16" x14ac:dyDescent="0.2">
      <c r="P2507" s="415"/>
    </row>
    <row r="2508" spans="16:16" x14ac:dyDescent="0.2">
      <c r="P2508" s="415"/>
    </row>
    <row r="2509" spans="16:16" x14ac:dyDescent="0.2">
      <c r="P2509" s="415"/>
    </row>
    <row r="2510" spans="16:16" x14ac:dyDescent="0.2">
      <c r="P2510" s="415"/>
    </row>
    <row r="2511" spans="16:16" x14ac:dyDescent="0.2">
      <c r="P2511" s="415"/>
    </row>
    <row r="2512" spans="16:16" x14ac:dyDescent="0.2">
      <c r="P2512" s="415"/>
    </row>
    <row r="2513" spans="16:16" x14ac:dyDescent="0.2">
      <c r="P2513" s="415"/>
    </row>
    <row r="2514" spans="16:16" x14ac:dyDescent="0.2">
      <c r="P2514" s="415"/>
    </row>
    <row r="2515" spans="16:16" x14ac:dyDescent="0.2">
      <c r="P2515" s="415"/>
    </row>
    <row r="2516" spans="16:16" x14ac:dyDescent="0.2">
      <c r="P2516" s="415"/>
    </row>
    <row r="2517" spans="16:16" x14ac:dyDescent="0.2">
      <c r="P2517" s="415"/>
    </row>
    <row r="2518" spans="16:16" x14ac:dyDescent="0.2">
      <c r="P2518" s="415"/>
    </row>
    <row r="2519" spans="16:16" x14ac:dyDescent="0.2">
      <c r="P2519" s="415"/>
    </row>
    <row r="2520" spans="16:16" x14ac:dyDescent="0.2">
      <c r="P2520" s="415"/>
    </row>
    <row r="2521" spans="16:16" x14ac:dyDescent="0.2">
      <c r="P2521" s="415"/>
    </row>
    <row r="2522" spans="16:16" x14ac:dyDescent="0.2">
      <c r="P2522" s="415"/>
    </row>
    <row r="2523" spans="16:16" x14ac:dyDescent="0.2">
      <c r="P2523" s="415"/>
    </row>
    <row r="2524" spans="16:16" x14ac:dyDescent="0.2">
      <c r="P2524" s="415"/>
    </row>
    <row r="2525" spans="16:16" x14ac:dyDescent="0.2">
      <c r="P2525" s="415"/>
    </row>
    <row r="2526" spans="16:16" x14ac:dyDescent="0.2">
      <c r="P2526" s="415"/>
    </row>
    <row r="2527" spans="16:16" x14ac:dyDescent="0.2">
      <c r="P2527" s="415"/>
    </row>
    <row r="2528" spans="16:16" x14ac:dyDescent="0.2">
      <c r="P2528" s="415"/>
    </row>
    <row r="2529" spans="16:16" x14ac:dyDescent="0.2">
      <c r="P2529" s="415"/>
    </row>
    <row r="2530" spans="16:16" x14ac:dyDescent="0.2">
      <c r="P2530" s="415"/>
    </row>
    <row r="2531" spans="16:16" x14ac:dyDescent="0.2">
      <c r="P2531" s="415"/>
    </row>
    <row r="2532" spans="16:16" x14ac:dyDescent="0.2">
      <c r="P2532" s="415"/>
    </row>
    <row r="2533" spans="16:16" x14ac:dyDescent="0.2">
      <c r="P2533" s="415"/>
    </row>
    <row r="2534" spans="16:16" x14ac:dyDescent="0.2">
      <c r="P2534" s="415"/>
    </row>
    <row r="2535" spans="16:16" x14ac:dyDescent="0.2">
      <c r="P2535" s="415"/>
    </row>
    <row r="2536" spans="16:16" x14ac:dyDescent="0.2">
      <c r="P2536" s="415"/>
    </row>
    <row r="2537" spans="16:16" x14ac:dyDescent="0.2">
      <c r="P2537" s="415"/>
    </row>
    <row r="2538" spans="16:16" x14ac:dyDescent="0.2">
      <c r="P2538" s="415"/>
    </row>
    <row r="2539" spans="16:16" x14ac:dyDescent="0.2">
      <c r="P2539" s="415"/>
    </row>
    <row r="2540" spans="16:16" x14ac:dyDescent="0.2">
      <c r="P2540" s="415"/>
    </row>
    <row r="2541" spans="16:16" x14ac:dyDescent="0.2">
      <c r="P2541" s="415"/>
    </row>
    <row r="2542" spans="16:16" x14ac:dyDescent="0.2">
      <c r="P2542" s="415"/>
    </row>
    <row r="2543" spans="16:16" x14ac:dyDescent="0.2">
      <c r="P2543" s="415"/>
    </row>
    <row r="2544" spans="16:16" x14ac:dyDescent="0.2">
      <c r="P2544" s="415"/>
    </row>
    <row r="2545" spans="16:16" x14ac:dyDescent="0.2">
      <c r="P2545" s="415"/>
    </row>
    <row r="2546" spans="16:16" x14ac:dyDescent="0.2">
      <c r="P2546" s="415"/>
    </row>
    <row r="2547" spans="16:16" x14ac:dyDescent="0.2">
      <c r="P2547" s="415"/>
    </row>
    <row r="2548" spans="16:16" x14ac:dyDescent="0.2">
      <c r="P2548" s="415"/>
    </row>
    <row r="2549" spans="16:16" x14ac:dyDescent="0.2">
      <c r="P2549" s="415"/>
    </row>
    <row r="2550" spans="16:16" x14ac:dyDescent="0.2">
      <c r="P2550" s="415"/>
    </row>
    <row r="2551" spans="16:16" x14ac:dyDescent="0.2">
      <c r="P2551" s="415"/>
    </row>
    <row r="2552" spans="16:16" x14ac:dyDescent="0.2">
      <c r="P2552" s="415"/>
    </row>
    <row r="2553" spans="16:16" x14ac:dyDescent="0.2">
      <c r="P2553" s="415"/>
    </row>
    <row r="2554" spans="16:16" x14ac:dyDescent="0.2">
      <c r="P2554" s="415"/>
    </row>
    <row r="2555" spans="16:16" x14ac:dyDescent="0.2">
      <c r="P2555" s="415"/>
    </row>
    <row r="2556" spans="16:16" x14ac:dyDescent="0.2">
      <c r="P2556" s="415"/>
    </row>
    <row r="2557" spans="16:16" x14ac:dyDescent="0.2">
      <c r="P2557" s="415"/>
    </row>
    <row r="2558" spans="16:16" x14ac:dyDescent="0.2">
      <c r="P2558" s="415"/>
    </row>
    <row r="2559" spans="16:16" x14ac:dyDescent="0.2">
      <c r="P2559" s="415"/>
    </row>
    <row r="2560" spans="16:16" x14ac:dyDescent="0.2">
      <c r="P2560" s="415"/>
    </row>
    <row r="2561" spans="16:16" x14ac:dyDescent="0.2">
      <c r="P2561" s="415"/>
    </row>
    <row r="2562" spans="16:16" x14ac:dyDescent="0.2">
      <c r="P2562" s="415"/>
    </row>
    <row r="2563" spans="16:16" x14ac:dyDescent="0.2">
      <c r="P2563" s="415"/>
    </row>
    <row r="2564" spans="16:16" x14ac:dyDescent="0.2">
      <c r="P2564" s="415"/>
    </row>
    <row r="2565" spans="16:16" x14ac:dyDescent="0.2">
      <c r="P2565" s="415"/>
    </row>
    <row r="2566" spans="16:16" x14ac:dyDescent="0.2">
      <c r="P2566" s="415"/>
    </row>
    <row r="2567" spans="16:16" x14ac:dyDescent="0.2">
      <c r="P2567" s="415"/>
    </row>
    <row r="2568" spans="16:16" x14ac:dyDescent="0.2">
      <c r="P2568" s="415"/>
    </row>
    <row r="2569" spans="16:16" x14ac:dyDescent="0.2">
      <c r="P2569" s="415"/>
    </row>
    <row r="2570" spans="16:16" x14ac:dyDescent="0.2">
      <c r="P2570" s="415"/>
    </row>
    <row r="2571" spans="16:16" x14ac:dyDescent="0.2">
      <c r="P2571" s="415"/>
    </row>
    <row r="2572" spans="16:16" x14ac:dyDescent="0.2">
      <c r="P2572" s="415"/>
    </row>
    <row r="2573" spans="16:16" x14ac:dyDescent="0.2">
      <c r="P2573" s="415"/>
    </row>
    <row r="2574" spans="16:16" x14ac:dyDescent="0.2">
      <c r="P2574" s="415"/>
    </row>
    <row r="2575" spans="16:16" x14ac:dyDescent="0.2">
      <c r="P2575" s="415"/>
    </row>
    <row r="2576" spans="16:16" x14ac:dyDescent="0.2">
      <c r="P2576" s="415"/>
    </row>
    <row r="2577" spans="16:16" x14ac:dyDescent="0.2">
      <c r="P2577" s="415"/>
    </row>
    <row r="2578" spans="16:16" x14ac:dyDescent="0.2">
      <c r="P2578" s="415"/>
    </row>
    <row r="2579" spans="16:16" x14ac:dyDescent="0.2">
      <c r="P2579" s="415"/>
    </row>
    <row r="2580" spans="16:16" x14ac:dyDescent="0.2">
      <c r="P2580" s="415"/>
    </row>
    <row r="2581" spans="16:16" x14ac:dyDescent="0.2">
      <c r="P2581" s="415"/>
    </row>
    <row r="2582" spans="16:16" x14ac:dyDescent="0.2">
      <c r="P2582" s="415"/>
    </row>
    <row r="2583" spans="16:16" x14ac:dyDescent="0.2">
      <c r="P2583" s="415"/>
    </row>
    <row r="2584" spans="16:16" x14ac:dyDescent="0.2">
      <c r="P2584" s="415"/>
    </row>
    <row r="2585" spans="16:16" x14ac:dyDescent="0.2">
      <c r="P2585" s="415"/>
    </row>
    <row r="2586" spans="16:16" x14ac:dyDescent="0.2">
      <c r="P2586" s="415"/>
    </row>
    <row r="2587" spans="16:16" x14ac:dyDescent="0.2">
      <c r="P2587" s="415"/>
    </row>
    <row r="2588" spans="16:16" x14ac:dyDescent="0.2">
      <c r="P2588" s="415"/>
    </row>
    <row r="2589" spans="16:16" x14ac:dyDescent="0.2">
      <c r="P2589" s="415"/>
    </row>
    <row r="2590" spans="16:16" x14ac:dyDescent="0.2">
      <c r="P2590" s="415"/>
    </row>
    <row r="2591" spans="16:16" x14ac:dyDescent="0.2">
      <c r="P2591" s="415"/>
    </row>
    <row r="2592" spans="16:16" x14ac:dyDescent="0.2">
      <c r="P2592" s="415"/>
    </row>
    <row r="2593" spans="16:16" x14ac:dyDescent="0.2">
      <c r="P2593" s="415"/>
    </row>
    <row r="2594" spans="16:16" x14ac:dyDescent="0.2">
      <c r="P2594" s="415"/>
    </row>
    <row r="2595" spans="16:16" x14ac:dyDescent="0.2">
      <c r="P2595" s="415"/>
    </row>
    <row r="2596" spans="16:16" x14ac:dyDescent="0.2">
      <c r="P2596" s="415"/>
    </row>
    <row r="2597" spans="16:16" x14ac:dyDescent="0.2">
      <c r="P2597" s="415"/>
    </row>
    <row r="2598" spans="16:16" x14ac:dyDescent="0.2">
      <c r="P2598" s="415"/>
    </row>
    <row r="2599" spans="16:16" x14ac:dyDescent="0.2">
      <c r="P2599" s="415"/>
    </row>
    <row r="2600" spans="16:16" x14ac:dyDescent="0.2">
      <c r="P2600" s="415"/>
    </row>
    <row r="2601" spans="16:16" x14ac:dyDescent="0.2">
      <c r="P2601" s="415"/>
    </row>
    <row r="2602" spans="16:16" x14ac:dyDescent="0.2">
      <c r="P2602" s="415"/>
    </row>
    <row r="2603" spans="16:16" x14ac:dyDescent="0.2">
      <c r="P2603" s="415"/>
    </row>
    <row r="2604" spans="16:16" x14ac:dyDescent="0.2">
      <c r="P2604" s="415"/>
    </row>
    <row r="2605" spans="16:16" x14ac:dyDescent="0.2">
      <c r="P2605" s="415"/>
    </row>
    <row r="2606" spans="16:16" x14ac:dyDescent="0.2">
      <c r="P2606" s="415"/>
    </row>
    <row r="2607" spans="16:16" x14ac:dyDescent="0.2">
      <c r="P2607" s="415"/>
    </row>
    <row r="2608" spans="16:16" x14ac:dyDescent="0.2">
      <c r="P2608" s="415"/>
    </row>
    <row r="2609" spans="16:16" x14ac:dyDescent="0.2">
      <c r="P2609" s="415"/>
    </row>
    <row r="2610" spans="16:16" x14ac:dyDescent="0.2">
      <c r="P2610" s="415"/>
    </row>
    <row r="2611" spans="16:16" x14ac:dyDescent="0.2">
      <c r="P2611" s="415"/>
    </row>
    <row r="2612" spans="16:16" x14ac:dyDescent="0.2">
      <c r="P2612" s="415"/>
    </row>
    <row r="2613" spans="16:16" x14ac:dyDescent="0.2">
      <c r="P2613" s="415"/>
    </row>
    <row r="2614" spans="16:16" x14ac:dyDescent="0.2">
      <c r="P2614" s="415"/>
    </row>
    <row r="2615" spans="16:16" x14ac:dyDescent="0.2">
      <c r="P2615" s="415"/>
    </row>
    <row r="2616" spans="16:16" x14ac:dyDescent="0.2">
      <c r="P2616" s="415"/>
    </row>
    <row r="2617" spans="16:16" x14ac:dyDescent="0.2">
      <c r="P2617" s="415"/>
    </row>
    <row r="2618" spans="16:16" x14ac:dyDescent="0.2">
      <c r="P2618" s="415"/>
    </row>
    <row r="2619" spans="16:16" x14ac:dyDescent="0.2">
      <c r="P2619" s="415"/>
    </row>
    <row r="2620" spans="16:16" x14ac:dyDescent="0.2">
      <c r="P2620" s="415"/>
    </row>
    <row r="2621" spans="16:16" x14ac:dyDescent="0.2">
      <c r="P2621" s="415"/>
    </row>
    <row r="2622" spans="16:16" x14ac:dyDescent="0.2">
      <c r="P2622" s="415"/>
    </row>
    <row r="2623" spans="16:16" x14ac:dyDescent="0.2">
      <c r="P2623" s="415"/>
    </row>
    <row r="2624" spans="16:16" x14ac:dyDescent="0.2">
      <c r="P2624" s="415"/>
    </row>
    <row r="2625" spans="16:16" x14ac:dyDescent="0.2">
      <c r="P2625" s="415"/>
    </row>
    <row r="2626" spans="16:16" x14ac:dyDescent="0.2">
      <c r="P2626" s="415"/>
    </row>
    <row r="2627" spans="16:16" x14ac:dyDescent="0.2">
      <c r="P2627" s="415"/>
    </row>
    <row r="2628" spans="16:16" x14ac:dyDescent="0.2">
      <c r="P2628" s="415"/>
    </row>
    <row r="2629" spans="16:16" x14ac:dyDescent="0.2">
      <c r="P2629" s="415"/>
    </row>
    <row r="2630" spans="16:16" x14ac:dyDescent="0.2">
      <c r="P2630" s="415"/>
    </row>
    <row r="2631" spans="16:16" x14ac:dyDescent="0.2">
      <c r="P2631" s="415"/>
    </row>
    <row r="2632" spans="16:16" x14ac:dyDescent="0.2">
      <c r="P2632" s="415"/>
    </row>
    <row r="2633" spans="16:16" x14ac:dyDescent="0.2">
      <c r="P2633" s="415"/>
    </row>
    <row r="2634" spans="16:16" x14ac:dyDescent="0.2">
      <c r="P2634" s="415"/>
    </row>
    <row r="2635" spans="16:16" x14ac:dyDescent="0.2">
      <c r="P2635" s="415"/>
    </row>
    <row r="2636" spans="16:16" x14ac:dyDescent="0.2">
      <c r="P2636" s="415"/>
    </row>
    <row r="2637" spans="16:16" x14ac:dyDescent="0.2">
      <c r="P2637" s="415"/>
    </row>
    <row r="2638" spans="16:16" x14ac:dyDescent="0.2">
      <c r="P2638" s="415"/>
    </row>
    <row r="2639" spans="16:16" x14ac:dyDescent="0.2">
      <c r="P2639" s="415"/>
    </row>
    <row r="2640" spans="16:16" x14ac:dyDescent="0.2">
      <c r="P2640" s="415"/>
    </row>
    <row r="2641" spans="16:16" x14ac:dyDescent="0.2">
      <c r="P2641" s="415"/>
    </row>
    <row r="2642" spans="16:16" x14ac:dyDescent="0.2">
      <c r="P2642" s="415"/>
    </row>
    <row r="2643" spans="16:16" x14ac:dyDescent="0.2">
      <c r="P2643" s="415"/>
    </row>
    <row r="2644" spans="16:16" x14ac:dyDescent="0.2">
      <c r="P2644" s="415"/>
    </row>
    <row r="2645" spans="16:16" x14ac:dyDescent="0.2">
      <c r="P2645" s="415"/>
    </row>
    <row r="2646" spans="16:16" x14ac:dyDescent="0.2">
      <c r="P2646" s="415"/>
    </row>
    <row r="2647" spans="16:16" x14ac:dyDescent="0.2">
      <c r="P2647" s="415"/>
    </row>
    <row r="2648" spans="16:16" x14ac:dyDescent="0.2">
      <c r="P2648" s="415"/>
    </row>
    <row r="2649" spans="16:16" x14ac:dyDescent="0.2">
      <c r="P2649" s="415"/>
    </row>
    <row r="2650" spans="16:16" x14ac:dyDescent="0.2">
      <c r="P2650" s="415"/>
    </row>
    <row r="2651" spans="16:16" x14ac:dyDescent="0.2">
      <c r="P2651" s="415"/>
    </row>
    <row r="2652" spans="16:16" x14ac:dyDescent="0.2">
      <c r="P2652" s="415"/>
    </row>
    <row r="2653" spans="16:16" x14ac:dyDescent="0.2">
      <c r="P2653" s="415"/>
    </row>
    <row r="2654" spans="16:16" x14ac:dyDescent="0.2">
      <c r="P2654" s="415"/>
    </row>
    <row r="2655" spans="16:16" x14ac:dyDescent="0.2">
      <c r="P2655" s="415"/>
    </row>
    <row r="2656" spans="16:16" x14ac:dyDescent="0.2">
      <c r="P2656" s="415"/>
    </row>
    <row r="2657" spans="16:16" x14ac:dyDescent="0.2">
      <c r="P2657" s="415"/>
    </row>
    <row r="2658" spans="16:16" x14ac:dyDescent="0.2">
      <c r="P2658" s="415"/>
    </row>
    <row r="2659" spans="16:16" x14ac:dyDescent="0.2">
      <c r="P2659" s="415"/>
    </row>
    <row r="2660" spans="16:16" x14ac:dyDescent="0.2">
      <c r="P2660" s="415"/>
    </row>
    <row r="2661" spans="16:16" x14ac:dyDescent="0.2">
      <c r="P2661" s="415"/>
    </row>
    <row r="2662" spans="16:16" x14ac:dyDescent="0.2">
      <c r="P2662" s="415"/>
    </row>
    <row r="2663" spans="16:16" x14ac:dyDescent="0.2">
      <c r="P2663" s="415"/>
    </row>
    <row r="2664" spans="16:16" x14ac:dyDescent="0.2">
      <c r="P2664" s="415"/>
    </row>
    <row r="2665" spans="16:16" x14ac:dyDescent="0.2">
      <c r="P2665" s="415"/>
    </row>
    <row r="2666" spans="16:16" x14ac:dyDescent="0.2">
      <c r="P2666" s="415"/>
    </row>
    <row r="2667" spans="16:16" x14ac:dyDescent="0.2">
      <c r="P2667" s="415"/>
    </row>
    <row r="2668" spans="16:16" x14ac:dyDescent="0.2">
      <c r="P2668" s="415"/>
    </row>
    <row r="2669" spans="16:16" x14ac:dyDescent="0.2">
      <c r="P2669" s="415"/>
    </row>
    <row r="2670" spans="16:16" x14ac:dyDescent="0.2">
      <c r="P2670" s="415"/>
    </row>
    <row r="2671" spans="16:16" x14ac:dyDescent="0.2">
      <c r="P2671" s="415"/>
    </row>
    <row r="2672" spans="16:16" x14ac:dyDescent="0.2">
      <c r="P2672" s="415"/>
    </row>
    <row r="2673" spans="16:16" x14ac:dyDescent="0.2">
      <c r="P2673" s="415"/>
    </row>
    <row r="2674" spans="16:16" x14ac:dyDescent="0.2">
      <c r="P2674" s="415"/>
    </row>
    <row r="2675" spans="16:16" x14ac:dyDescent="0.2">
      <c r="P2675" s="415"/>
    </row>
    <row r="2676" spans="16:16" x14ac:dyDescent="0.2">
      <c r="P2676" s="415"/>
    </row>
    <row r="2677" spans="16:16" x14ac:dyDescent="0.2">
      <c r="P2677" s="415"/>
    </row>
    <row r="2678" spans="16:16" x14ac:dyDescent="0.2">
      <c r="P2678" s="415"/>
    </row>
    <row r="2679" spans="16:16" x14ac:dyDescent="0.2">
      <c r="P2679" s="415"/>
    </row>
    <row r="2680" spans="16:16" x14ac:dyDescent="0.2">
      <c r="P2680" s="415"/>
    </row>
    <row r="2681" spans="16:16" x14ac:dyDescent="0.2">
      <c r="P2681" s="415"/>
    </row>
    <row r="2682" spans="16:16" x14ac:dyDescent="0.2">
      <c r="P2682" s="415"/>
    </row>
    <row r="2683" spans="16:16" x14ac:dyDescent="0.2">
      <c r="P2683" s="415"/>
    </row>
    <row r="2684" spans="16:16" x14ac:dyDescent="0.2">
      <c r="P2684" s="415"/>
    </row>
    <row r="2685" spans="16:16" x14ac:dyDescent="0.2">
      <c r="P2685" s="415"/>
    </row>
    <row r="2686" spans="16:16" x14ac:dyDescent="0.2">
      <c r="P2686" s="415"/>
    </row>
    <row r="2687" spans="16:16" x14ac:dyDescent="0.2">
      <c r="P2687" s="415"/>
    </row>
    <row r="2688" spans="16:16" x14ac:dyDescent="0.2">
      <c r="P2688" s="415"/>
    </row>
    <row r="2689" spans="16:16" x14ac:dyDescent="0.2">
      <c r="P2689" s="415"/>
    </row>
    <row r="2690" spans="16:16" x14ac:dyDescent="0.2">
      <c r="P2690" s="415"/>
    </row>
    <row r="2691" spans="16:16" x14ac:dyDescent="0.2">
      <c r="P2691" s="415"/>
    </row>
    <row r="2692" spans="16:16" x14ac:dyDescent="0.2">
      <c r="P2692" s="415"/>
    </row>
    <row r="2693" spans="16:16" x14ac:dyDescent="0.2">
      <c r="P2693" s="415"/>
    </row>
    <row r="2694" spans="16:16" x14ac:dyDescent="0.2">
      <c r="P2694" s="415"/>
    </row>
    <row r="2695" spans="16:16" x14ac:dyDescent="0.2">
      <c r="P2695" s="415"/>
    </row>
    <row r="2696" spans="16:16" x14ac:dyDescent="0.2">
      <c r="P2696" s="415"/>
    </row>
    <row r="2697" spans="16:16" x14ac:dyDescent="0.2">
      <c r="P2697" s="415"/>
    </row>
    <row r="2698" spans="16:16" x14ac:dyDescent="0.2">
      <c r="P2698" s="415"/>
    </row>
    <row r="2699" spans="16:16" x14ac:dyDescent="0.2">
      <c r="P2699" s="415"/>
    </row>
    <row r="2700" spans="16:16" x14ac:dyDescent="0.2">
      <c r="P2700" s="415"/>
    </row>
    <row r="2701" spans="16:16" x14ac:dyDescent="0.2">
      <c r="P2701" s="415"/>
    </row>
    <row r="2702" spans="16:16" x14ac:dyDescent="0.2">
      <c r="P2702" s="415"/>
    </row>
    <row r="2703" spans="16:16" x14ac:dyDescent="0.2">
      <c r="P2703" s="415"/>
    </row>
    <row r="2704" spans="16:16" x14ac:dyDescent="0.2">
      <c r="P2704" s="415"/>
    </row>
    <row r="2705" spans="16:16" x14ac:dyDescent="0.2">
      <c r="P2705" s="415"/>
    </row>
    <row r="2706" spans="16:16" x14ac:dyDescent="0.2">
      <c r="P2706" s="415"/>
    </row>
    <row r="2707" spans="16:16" x14ac:dyDescent="0.2">
      <c r="P2707" s="415"/>
    </row>
    <row r="2708" spans="16:16" x14ac:dyDescent="0.2">
      <c r="P2708" s="415"/>
    </row>
    <row r="2709" spans="16:16" x14ac:dyDescent="0.2">
      <c r="P2709" s="415"/>
    </row>
    <row r="2710" spans="16:16" x14ac:dyDescent="0.2">
      <c r="P2710" s="415"/>
    </row>
    <row r="2711" spans="16:16" x14ac:dyDescent="0.2">
      <c r="P2711" s="415"/>
    </row>
    <row r="2712" spans="16:16" x14ac:dyDescent="0.2">
      <c r="P2712" s="415"/>
    </row>
    <row r="2713" spans="16:16" x14ac:dyDescent="0.2">
      <c r="P2713" s="415"/>
    </row>
    <row r="2714" spans="16:16" x14ac:dyDescent="0.2">
      <c r="P2714" s="415"/>
    </row>
    <row r="2715" spans="16:16" x14ac:dyDescent="0.2">
      <c r="P2715" s="415"/>
    </row>
    <row r="2716" spans="16:16" x14ac:dyDescent="0.2">
      <c r="P2716" s="415"/>
    </row>
    <row r="2717" spans="16:16" x14ac:dyDescent="0.2">
      <c r="P2717" s="415"/>
    </row>
    <row r="2718" spans="16:16" x14ac:dyDescent="0.2">
      <c r="P2718" s="415"/>
    </row>
    <row r="2719" spans="16:16" x14ac:dyDescent="0.2">
      <c r="P2719" s="415"/>
    </row>
    <row r="2720" spans="16:16" x14ac:dyDescent="0.2">
      <c r="P2720" s="415"/>
    </row>
    <row r="2721" spans="16:16" x14ac:dyDescent="0.2">
      <c r="P2721" s="415"/>
    </row>
    <row r="2722" spans="16:16" x14ac:dyDescent="0.2">
      <c r="P2722" s="415"/>
    </row>
    <row r="2723" spans="16:16" x14ac:dyDescent="0.2">
      <c r="P2723" s="415"/>
    </row>
    <row r="2724" spans="16:16" x14ac:dyDescent="0.2">
      <c r="P2724" s="415"/>
    </row>
    <row r="2725" spans="16:16" x14ac:dyDescent="0.2">
      <c r="P2725" s="415"/>
    </row>
    <row r="2726" spans="16:16" x14ac:dyDescent="0.2">
      <c r="P2726" s="415"/>
    </row>
    <row r="2727" spans="16:16" x14ac:dyDescent="0.2">
      <c r="P2727" s="415"/>
    </row>
    <row r="2728" spans="16:16" x14ac:dyDescent="0.2">
      <c r="P2728" s="415"/>
    </row>
    <row r="2729" spans="16:16" x14ac:dyDescent="0.2">
      <c r="P2729" s="415"/>
    </row>
    <row r="2730" spans="16:16" x14ac:dyDescent="0.2">
      <c r="P2730" s="415"/>
    </row>
    <row r="2731" spans="16:16" x14ac:dyDescent="0.2">
      <c r="P2731" s="415"/>
    </row>
    <row r="2732" spans="16:16" x14ac:dyDescent="0.2">
      <c r="P2732" s="415"/>
    </row>
    <row r="2733" spans="16:16" x14ac:dyDescent="0.2">
      <c r="P2733" s="415"/>
    </row>
    <row r="2734" spans="16:16" x14ac:dyDescent="0.2">
      <c r="P2734" s="415"/>
    </row>
    <row r="2735" spans="16:16" x14ac:dyDescent="0.2">
      <c r="P2735" s="415"/>
    </row>
    <row r="2736" spans="16:16" x14ac:dyDescent="0.2">
      <c r="P2736" s="415"/>
    </row>
    <row r="2737" spans="16:16" x14ac:dyDescent="0.2">
      <c r="P2737" s="415"/>
    </row>
    <row r="2738" spans="16:16" x14ac:dyDescent="0.2">
      <c r="P2738" s="415"/>
    </row>
    <row r="2739" spans="16:16" x14ac:dyDescent="0.2">
      <c r="P2739" s="415"/>
    </row>
    <row r="2740" spans="16:16" x14ac:dyDescent="0.2">
      <c r="P2740" s="415"/>
    </row>
    <row r="2741" spans="16:16" x14ac:dyDescent="0.2">
      <c r="P2741" s="415"/>
    </row>
    <row r="2742" spans="16:16" x14ac:dyDescent="0.2">
      <c r="P2742" s="415"/>
    </row>
    <row r="2743" spans="16:16" x14ac:dyDescent="0.2">
      <c r="P2743" s="415"/>
    </row>
    <row r="2744" spans="16:16" x14ac:dyDescent="0.2">
      <c r="P2744" s="415"/>
    </row>
    <row r="2745" spans="16:16" x14ac:dyDescent="0.2">
      <c r="P2745" s="415"/>
    </row>
    <row r="2746" spans="16:16" x14ac:dyDescent="0.2">
      <c r="P2746" s="415"/>
    </row>
    <row r="2747" spans="16:16" x14ac:dyDescent="0.2">
      <c r="P2747" s="415"/>
    </row>
    <row r="2748" spans="16:16" x14ac:dyDescent="0.2">
      <c r="P2748" s="415"/>
    </row>
    <row r="2749" spans="16:16" x14ac:dyDescent="0.2">
      <c r="P2749" s="415"/>
    </row>
    <row r="2750" spans="16:16" x14ac:dyDescent="0.2">
      <c r="P2750" s="415"/>
    </row>
    <row r="2751" spans="16:16" x14ac:dyDescent="0.2">
      <c r="P2751" s="415"/>
    </row>
    <row r="2752" spans="16:16" x14ac:dyDescent="0.2">
      <c r="P2752" s="415"/>
    </row>
    <row r="2753" spans="16:16" x14ac:dyDescent="0.2">
      <c r="P2753" s="415"/>
    </row>
    <row r="2754" spans="16:16" x14ac:dyDescent="0.2">
      <c r="P2754" s="415"/>
    </row>
    <row r="2755" spans="16:16" x14ac:dyDescent="0.2">
      <c r="P2755" s="415"/>
    </row>
    <row r="2756" spans="16:16" x14ac:dyDescent="0.2">
      <c r="P2756" s="415"/>
    </row>
    <row r="2757" spans="16:16" x14ac:dyDescent="0.2">
      <c r="P2757" s="415"/>
    </row>
    <row r="2758" spans="16:16" x14ac:dyDescent="0.2">
      <c r="P2758" s="415"/>
    </row>
    <row r="2759" spans="16:16" x14ac:dyDescent="0.2">
      <c r="P2759" s="415"/>
    </row>
    <row r="2760" spans="16:16" x14ac:dyDescent="0.2">
      <c r="P2760" s="415"/>
    </row>
    <row r="2761" spans="16:16" x14ac:dyDescent="0.2">
      <c r="P2761" s="415"/>
    </row>
    <row r="2762" spans="16:16" x14ac:dyDescent="0.2">
      <c r="P2762" s="415"/>
    </row>
    <row r="2763" spans="16:16" x14ac:dyDescent="0.2">
      <c r="P2763" s="415"/>
    </row>
    <row r="2764" spans="16:16" x14ac:dyDescent="0.2">
      <c r="P2764" s="415"/>
    </row>
    <row r="2765" spans="16:16" x14ac:dyDescent="0.2">
      <c r="P2765" s="415"/>
    </row>
    <row r="2766" spans="16:16" x14ac:dyDescent="0.2">
      <c r="P2766" s="415"/>
    </row>
    <row r="2767" spans="16:16" x14ac:dyDescent="0.2">
      <c r="P2767" s="415"/>
    </row>
    <row r="2768" spans="16:16" x14ac:dyDescent="0.2">
      <c r="P2768" s="415"/>
    </row>
    <row r="2769" spans="16:16" x14ac:dyDescent="0.2">
      <c r="P2769" s="415"/>
    </row>
    <row r="2770" spans="16:16" x14ac:dyDescent="0.2">
      <c r="P2770" s="415"/>
    </row>
    <row r="2771" spans="16:16" x14ac:dyDescent="0.2">
      <c r="P2771" s="415"/>
    </row>
    <row r="2772" spans="16:16" x14ac:dyDescent="0.2">
      <c r="P2772" s="415"/>
    </row>
    <row r="2773" spans="16:16" x14ac:dyDescent="0.2">
      <c r="P2773" s="415"/>
    </row>
    <row r="2774" spans="16:16" x14ac:dyDescent="0.2">
      <c r="P2774" s="415"/>
    </row>
    <row r="2775" spans="16:16" x14ac:dyDescent="0.2">
      <c r="P2775" s="415"/>
    </row>
    <row r="2776" spans="16:16" x14ac:dyDescent="0.2">
      <c r="P2776" s="415"/>
    </row>
    <row r="2777" spans="16:16" x14ac:dyDescent="0.2">
      <c r="P2777" s="415"/>
    </row>
    <row r="2778" spans="16:16" x14ac:dyDescent="0.2">
      <c r="P2778" s="415"/>
    </row>
    <row r="2779" spans="16:16" x14ac:dyDescent="0.2">
      <c r="P2779" s="415"/>
    </row>
    <row r="2780" spans="16:16" x14ac:dyDescent="0.2">
      <c r="P2780" s="415"/>
    </row>
    <row r="2781" spans="16:16" x14ac:dyDescent="0.2">
      <c r="P2781" s="415"/>
    </row>
    <row r="2782" spans="16:16" x14ac:dyDescent="0.2">
      <c r="P2782" s="415"/>
    </row>
    <row r="2783" spans="16:16" x14ac:dyDescent="0.2">
      <c r="P2783" s="415"/>
    </row>
    <row r="2784" spans="16:16" x14ac:dyDescent="0.2">
      <c r="P2784" s="415"/>
    </row>
    <row r="2785" spans="16:16" x14ac:dyDescent="0.2">
      <c r="P2785" s="415"/>
    </row>
    <row r="2786" spans="16:16" x14ac:dyDescent="0.2">
      <c r="P2786" s="415"/>
    </row>
    <row r="2787" spans="16:16" x14ac:dyDescent="0.2">
      <c r="P2787" s="415"/>
    </row>
    <row r="2788" spans="16:16" x14ac:dyDescent="0.2">
      <c r="P2788" s="415"/>
    </row>
    <row r="2789" spans="16:16" x14ac:dyDescent="0.2">
      <c r="P2789" s="415"/>
    </row>
    <row r="2790" spans="16:16" x14ac:dyDescent="0.2">
      <c r="P2790" s="415"/>
    </row>
    <row r="2791" spans="16:16" x14ac:dyDescent="0.2">
      <c r="P2791" s="415"/>
    </row>
    <row r="2792" spans="16:16" x14ac:dyDescent="0.2">
      <c r="P2792" s="415"/>
    </row>
    <row r="2793" spans="16:16" x14ac:dyDescent="0.2">
      <c r="P2793" s="415"/>
    </row>
    <row r="2794" spans="16:16" x14ac:dyDescent="0.2">
      <c r="P2794" s="415"/>
    </row>
    <row r="2795" spans="16:16" x14ac:dyDescent="0.2">
      <c r="P2795" s="415"/>
    </row>
    <row r="2796" spans="16:16" x14ac:dyDescent="0.2">
      <c r="P2796" s="415"/>
    </row>
    <row r="2797" spans="16:16" x14ac:dyDescent="0.2">
      <c r="P2797" s="415"/>
    </row>
    <row r="2798" spans="16:16" x14ac:dyDescent="0.2">
      <c r="P2798" s="415"/>
    </row>
    <row r="2799" spans="16:16" x14ac:dyDescent="0.2">
      <c r="P2799" s="415"/>
    </row>
    <row r="2800" spans="16:16" x14ac:dyDescent="0.2">
      <c r="P2800" s="415"/>
    </row>
    <row r="2801" spans="16:16" x14ac:dyDescent="0.2">
      <c r="P2801" s="415"/>
    </row>
    <row r="2802" spans="16:16" x14ac:dyDescent="0.2">
      <c r="P2802" s="415"/>
    </row>
    <row r="2803" spans="16:16" x14ac:dyDescent="0.2">
      <c r="P2803" s="415"/>
    </row>
    <row r="2804" spans="16:16" x14ac:dyDescent="0.2">
      <c r="P2804" s="415"/>
    </row>
    <row r="2805" spans="16:16" x14ac:dyDescent="0.2">
      <c r="P2805" s="415"/>
    </row>
    <row r="2806" spans="16:16" x14ac:dyDescent="0.2">
      <c r="P2806" s="415"/>
    </row>
    <row r="2807" spans="16:16" x14ac:dyDescent="0.2">
      <c r="P2807" s="415"/>
    </row>
    <row r="2808" spans="16:16" x14ac:dyDescent="0.2">
      <c r="P2808" s="415"/>
    </row>
    <row r="2809" spans="16:16" x14ac:dyDescent="0.2">
      <c r="P2809" s="415"/>
    </row>
    <row r="2810" spans="16:16" x14ac:dyDescent="0.2">
      <c r="P2810" s="415"/>
    </row>
    <row r="2811" spans="16:16" x14ac:dyDescent="0.2">
      <c r="P2811" s="415"/>
    </row>
    <row r="2812" spans="16:16" x14ac:dyDescent="0.2">
      <c r="P2812" s="415"/>
    </row>
    <row r="2813" spans="16:16" x14ac:dyDescent="0.2">
      <c r="P2813" s="415"/>
    </row>
    <row r="2814" spans="16:16" x14ac:dyDescent="0.2">
      <c r="P2814" s="415"/>
    </row>
    <row r="2815" spans="16:16" x14ac:dyDescent="0.2">
      <c r="P2815" s="415"/>
    </row>
    <row r="2816" spans="16:16" x14ac:dyDescent="0.2">
      <c r="P2816" s="415"/>
    </row>
    <row r="2817" spans="16:16" x14ac:dyDescent="0.2">
      <c r="P2817" s="415"/>
    </row>
    <row r="2818" spans="16:16" x14ac:dyDescent="0.2">
      <c r="P2818" s="415"/>
    </row>
    <row r="2819" spans="16:16" x14ac:dyDescent="0.2">
      <c r="P2819" s="415"/>
    </row>
    <row r="2820" spans="16:16" x14ac:dyDescent="0.2">
      <c r="P2820" s="415"/>
    </row>
    <row r="2821" spans="16:16" x14ac:dyDescent="0.2">
      <c r="P2821" s="415"/>
    </row>
    <row r="2822" spans="16:16" x14ac:dyDescent="0.2">
      <c r="P2822" s="415"/>
    </row>
    <row r="2823" spans="16:16" x14ac:dyDescent="0.2">
      <c r="P2823" s="415"/>
    </row>
    <row r="2824" spans="16:16" x14ac:dyDescent="0.2">
      <c r="P2824" s="415"/>
    </row>
    <row r="2825" spans="16:16" x14ac:dyDescent="0.2">
      <c r="P2825" s="415"/>
    </row>
    <row r="2826" spans="16:16" x14ac:dyDescent="0.2">
      <c r="P2826" s="415"/>
    </row>
    <row r="2827" spans="16:16" x14ac:dyDescent="0.2">
      <c r="P2827" s="415"/>
    </row>
    <row r="2828" spans="16:16" x14ac:dyDescent="0.2">
      <c r="P2828" s="415"/>
    </row>
    <row r="2829" spans="16:16" x14ac:dyDescent="0.2">
      <c r="P2829" s="415"/>
    </row>
    <row r="2830" spans="16:16" x14ac:dyDescent="0.2">
      <c r="P2830" s="415"/>
    </row>
    <row r="2831" spans="16:16" x14ac:dyDescent="0.2">
      <c r="P2831" s="415"/>
    </row>
    <row r="2832" spans="16:16" x14ac:dyDescent="0.2">
      <c r="P2832" s="415"/>
    </row>
    <row r="2833" spans="16:16" x14ac:dyDescent="0.2">
      <c r="P2833" s="415"/>
    </row>
    <row r="2834" spans="16:16" x14ac:dyDescent="0.2">
      <c r="P2834" s="415"/>
    </row>
    <row r="2835" spans="16:16" x14ac:dyDescent="0.2">
      <c r="P2835" s="415"/>
    </row>
    <row r="2836" spans="16:16" x14ac:dyDescent="0.2">
      <c r="P2836" s="415"/>
    </row>
    <row r="2837" spans="16:16" x14ac:dyDescent="0.2">
      <c r="P2837" s="415"/>
    </row>
    <row r="2838" spans="16:16" x14ac:dyDescent="0.2">
      <c r="P2838" s="415"/>
    </row>
    <row r="2839" spans="16:16" x14ac:dyDescent="0.2">
      <c r="P2839" s="415"/>
    </row>
    <row r="2840" spans="16:16" x14ac:dyDescent="0.2">
      <c r="P2840" s="415"/>
    </row>
    <row r="2841" spans="16:16" x14ac:dyDescent="0.2">
      <c r="P2841" s="415"/>
    </row>
    <row r="2842" spans="16:16" x14ac:dyDescent="0.2">
      <c r="P2842" s="415"/>
    </row>
    <row r="2843" spans="16:16" x14ac:dyDescent="0.2">
      <c r="P2843" s="415"/>
    </row>
    <row r="2844" spans="16:16" x14ac:dyDescent="0.2">
      <c r="P2844" s="415"/>
    </row>
    <row r="2845" spans="16:16" x14ac:dyDescent="0.2">
      <c r="P2845" s="415"/>
    </row>
    <row r="2846" spans="16:16" x14ac:dyDescent="0.2">
      <c r="P2846" s="415"/>
    </row>
    <row r="2847" spans="16:16" x14ac:dyDescent="0.2">
      <c r="P2847" s="415"/>
    </row>
    <row r="2848" spans="16:16" x14ac:dyDescent="0.2">
      <c r="P2848" s="415"/>
    </row>
    <row r="2849" spans="16:16" x14ac:dyDescent="0.2">
      <c r="P2849" s="415"/>
    </row>
    <row r="2850" spans="16:16" x14ac:dyDescent="0.2">
      <c r="P2850" s="415"/>
    </row>
    <row r="2851" spans="16:16" x14ac:dyDescent="0.2">
      <c r="P2851" s="415"/>
    </row>
    <row r="2852" spans="16:16" x14ac:dyDescent="0.2">
      <c r="P2852" s="415"/>
    </row>
    <row r="2853" spans="16:16" x14ac:dyDescent="0.2">
      <c r="P2853" s="415"/>
    </row>
    <row r="2854" spans="16:16" x14ac:dyDescent="0.2">
      <c r="P2854" s="415"/>
    </row>
    <row r="2855" spans="16:16" x14ac:dyDescent="0.2">
      <c r="P2855" s="415"/>
    </row>
    <row r="2856" spans="16:16" x14ac:dyDescent="0.2">
      <c r="P2856" s="415"/>
    </row>
    <row r="2857" spans="16:16" x14ac:dyDescent="0.2">
      <c r="P2857" s="415"/>
    </row>
    <row r="2858" spans="16:16" x14ac:dyDescent="0.2">
      <c r="P2858" s="415"/>
    </row>
    <row r="2859" spans="16:16" x14ac:dyDescent="0.2">
      <c r="P2859" s="415"/>
    </row>
    <row r="2860" spans="16:16" x14ac:dyDescent="0.2">
      <c r="P2860" s="415"/>
    </row>
    <row r="2861" spans="16:16" x14ac:dyDescent="0.2">
      <c r="P2861" s="415"/>
    </row>
    <row r="2862" spans="16:16" x14ac:dyDescent="0.2">
      <c r="P2862" s="415"/>
    </row>
    <row r="2863" spans="16:16" x14ac:dyDescent="0.2">
      <c r="P2863" s="415"/>
    </row>
    <row r="2864" spans="16:16" x14ac:dyDescent="0.2">
      <c r="P2864" s="415"/>
    </row>
    <row r="2865" spans="16:16" x14ac:dyDescent="0.2">
      <c r="P2865" s="415"/>
    </row>
    <row r="2866" spans="16:16" x14ac:dyDescent="0.2">
      <c r="P2866" s="415"/>
    </row>
    <row r="2867" spans="16:16" x14ac:dyDescent="0.2">
      <c r="P2867" s="415"/>
    </row>
    <row r="2868" spans="16:16" x14ac:dyDescent="0.2">
      <c r="P2868" s="415"/>
    </row>
    <row r="2869" spans="16:16" x14ac:dyDescent="0.2">
      <c r="P2869" s="415"/>
    </row>
    <row r="2870" spans="16:16" x14ac:dyDescent="0.2">
      <c r="P2870" s="415"/>
    </row>
    <row r="2871" spans="16:16" x14ac:dyDescent="0.2">
      <c r="P2871" s="415"/>
    </row>
    <row r="2872" spans="16:16" x14ac:dyDescent="0.2">
      <c r="P2872" s="415"/>
    </row>
    <row r="2873" spans="16:16" x14ac:dyDescent="0.2">
      <c r="P2873" s="415"/>
    </row>
    <row r="2874" spans="16:16" x14ac:dyDescent="0.2">
      <c r="P2874" s="415"/>
    </row>
    <row r="2875" spans="16:16" x14ac:dyDescent="0.2">
      <c r="P2875" s="415"/>
    </row>
    <row r="2876" spans="16:16" x14ac:dyDescent="0.2">
      <c r="P2876" s="415"/>
    </row>
    <row r="2877" spans="16:16" x14ac:dyDescent="0.2">
      <c r="P2877" s="415"/>
    </row>
    <row r="2878" spans="16:16" x14ac:dyDescent="0.2">
      <c r="P2878" s="415"/>
    </row>
    <row r="2879" spans="16:16" x14ac:dyDescent="0.2">
      <c r="P2879" s="415"/>
    </row>
    <row r="2880" spans="16:16" x14ac:dyDescent="0.2">
      <c r="P2880" s="415"/>
    </row>
    <row r="2881" spans="16:16" x14ac:dyDescent="0.2">
      <c r="P2881" s="415"/>
    </row>
    <row r="2882" spans="16:16" x14ac:dyDescent="0.2">
      <c r="P2882" s="415"/>
    </row>
    <row r="2883" spans="16:16" x14ac:dyDescent="0.2">
      <c r="P2883" s="415"/>
    </row>
    <row r="2884" spans="16:16" x14ac:dyDescent="0.2">
      <c r="P2884" s="415"/>
    </row>
    <row r="2885" spans="16:16" x14ac:dyDescent="0.2">
      <c r="P2885" s="415"/>
    </row>
    <row r="2886" spans="16:16" x14ac:dyDescent="0.2">
      <c r="P2886" s="415"/>
    </row>
    <row r="2887" spans="16:16" x14ac:dyDescent="0.2">
      <c r="P2887" s="415"/>
    </row>
    <row r="2888" spans="16:16" x14ac:dyDescent="0.2">
      <c r="P2888" s="415"/>
    </row>
    <row r="2889" spans="16:16" x14ac:dyDescent="0.2">
      <c r="P2889" s="415"/>
    </row>
    <row r="2890" spans="16:16" x14ac:dyDescent="0.2">
      <c r="P2890" s="415"/>
    </row>
    <row r="2891" spans="16:16" x14ac:dyDescent="0.2">
      <c r="P2891" s="415"/>
    </row>
    <row r="2892" spans="16:16" x14ac:dyDescent="0.2">
      <c r="P2892" s="415"/>
    </row>
    <row r="2893" spans="16:16" x14ac:dyDescent="0.2">
      <c r="P2893" s="415"/>
    </row>
    <row r="2894" spans="16:16" x14ac:dyDescent="0.2">
      <c r="P2894" s="415"/>
    </row>
    <row r="2895" spans="16:16" x14ac:dyDescent="0.2">
      <c r="P2895" s="415"/>
    </row>
    <row r="2896" spans="16:16" x14ac:dyDescent="0.2">
      <c r="P2896" s="415"/>
    </row>
    <row r="2897" spans="16:16" x14ac:dyDescent="0.2">
      <c r="P2897" s="415"/>
    </row>
    <row r="2898" spans="16:16" x14ac:dyDescent="0.2">
      <c r="P2898" s="415"/>
    </row>
    <row r="2899" spans="16:16" x14ac:dyDescent="0.2">
      <c r="P2899" s="415"/>
    </row>
    <row r="2900" spans="16:16" x14ac:dyDescent="0.2">
      <c r="P2900" s="415"/>
    </row>
    <row r="2901" spans="16:16" x14ac:dyDescent="0.2">
      <c r="P2901" s="415"/>
    </row>
    <row r="2902" spans="16:16" x14ac:dyDescent="0.2">
      <c r="P2902" s="415"/>
    </row>
    <row r="2903" spans="16:16" x14ac:dyDescent="0.2">
      <c r="P2903" s="415"/>
    </row>
    <row r="2904" spans="16:16" x14ac:dyDescent="0.2">
      <c r="P2904" s="415"/>
    </row>
    <row r="2905" spans="16:16" x14ac:dyDescent="0.2">
      <c r="P2905" s="415"/>
    </row>
    <row r="2906" spans="16:16" x14ac:dyDescent="0.2">
      <c r="P2906" s="415"/>
    </row>
    <row r="2907" spans="16:16" x14ac:dyDescent="0.2">
      <c r="P2907" s="415"/>
    </row>
    <row r="2908" spans="16:16" x14ac:dyDescent="0.2">
      <c r="P2908" s="415"/>
    </row>
    <row r="2909" spans="16:16" x14ac:dyDescent="0.2">
      <c r="P2909" s="415"/>
    </row>
    <row r="2910" spans="16:16" x14ac:dyDescent="0.2">
      <c r="P2910" s="415"/>
    </row>
    <row r="2911" spans="16:16" x14ac:dyDescent="0.2">
      <c r="P2911" s="415"/>
    </row>
    <row r="2912" spans="16:16" x14ac:dyDescent="0.2">
      <c r="P2912" s="415"/>
    </row>
    <row r="2913" spans="16:16" x14ac:dyDescent="0.2">
      <c r="P2913" s="415"/>
    </row>
    <row r="2914" spans="16:16" x14ac:dyDescent="0.2">
      <c r="P2914" s="415"/>
    </row>
    <row r="2915" spans="16:16" x14ac:dyDescent="0.2">
      <c r="P2915" s="415"/>
    </row>
    <row r="2916" spans="16:16" x14ac:dyDescent="0.2">
      <c r="P2916" s="415"/>
    </row>
    <row r="2917" spans="16:16" x14ac:dyDescent="0.2">
      <c r="P2917" s="415"/>
    </row>
    <row r="2918" spans="16:16" x14ac:dyDescent="0.2">
      <c r="P2918" s="415"/>
    </row>
    <row r="2919" spans="16:16" x14ac:dyDescent="0.2">
      <c r="P2919" s="415"/>
    </row>
    <row r="2920" spans="16:16" x14ac:dyDescent="0.2">
      <c r="P2920" s="415"/>
    </row>
    <row r="2921" spans="16:16" x14ac:dyDescent="0.2">
      <c r="P2921" s="415"/>
    </row>
    <row r="2922" spans="16:16" x14ac:dyDescent="0.2">
      <c r="P2922" s="415"/>
    </row>
    <row r="2923" spans="16:16" x14ac:dyDescent="0.2">
      <c r="P2923" s="415"/>
    </row>
    <row r="2924" spans="16:16" x14ac:dyDescent="0.2">
      <c r="P2924" s="415"/>
    </row>
    <row r="2925" spans="16:16" x14ac:dyDescent="0.2">
      <c r="P2925" s="415"/>
    </row>
    <row r="2926" spans="16:16" x14ac:dyDescent="0.2">
      <c r="P2926" s="415"/>
    </row>
    <row r="2927" spans="16:16" x14ac:dyDescent="0.2">
      <c r="P2927" s="415"/>
    </row>
    <row r="2928" spans="16:16" x14ac:dyDescent="0.2">
      <c r="P2928" s="415"/>
    </row>
    <row r="2929" spans="16:16" x14ac:dyDescent="0.2">
      <c r="P2929" s="415"/>
    </row>
    <row r="2930" spans="16:16" x14ac:dyDescent="0.2">
      <c r="P2930" s="415"/>
    </row>
    <row r="2931" spans="16:16" x14ac:dyDescent="0.2">
      <c r="P2931" s="415"/>
    </row>
    <row r="2932" spans="16:16" x14ac:dyDescent="0.2">
      <c r="P2932" s="415"/>
    </row>
    <row r="2933" spans="16:16" x14ac:dyDescent="0.2">
      <c r="P2933" s="415"/>
    </row>
    <row r="2934" spans="16:16" x14ac:dyDescent="0.2">
      <c r="P2934" s="415"/>
    </row>
    <row r="2935" spans="16:16" x14ac:dyDescent="0.2">
      <c r="P2935" s="415"/>
    </row>
    <row r="2936" spans="16:16" x14ac:dyDescent="0.2">
      <c r="P2936" s="415"/>
    </row>
    <row r="2937" spans="16:16" x14ac:dyDescent="0.2">
      <c r="P2937" s="415"/>
    </row>
    <row r="2938" spans="16:16" x14ac:dyDescent="0.2">
      <c r="P2938" s="415"/>
    </row>
    <row r="2939" spans="16:16" x14ac:dyDescent="0.2">
      <c r="P2939" s="415"/>
    </row>
    <row r="2940" spans="16:16" x14ac:dyDescent="0.2">
      <c r="P2940" s="415"/>
    </row>
    <row r="2941" spans="16:16" x14ac:dyDescent="0.2">
      <c r="P2941" s="415"/>
    </row>
    <row r="2942" spans="16:16" x14ac:dyDescent="0.2">
      <c r="P2942" s="415"/>
    </row>
    <row r="2943" spans="16:16" x14ac:dyDescent="0.2">
      <c r="P2943" s="415"/>
    </row>
    <row r="2944" spans="16:16" x14ac:dyDescent="0.2">
      <c r="P2944" s="415"/>
    </row>
    <row r="2945" spans="16:16" x14ac:dyDescent="0.2">
      <c r="P2945" s="415"/>
    </row>
    <row r="2946" spans="16:16" x14ac:dyDescent="0.2">
      <c r="P2946" s="415"/>
    </row>
    <row r="2947" spans="16:16" x14ac:dyDescent="0.2">
      <c r="P2947" s="415"/>
    </row>
    <row r="2948" spans="16:16" x14ac:dyDescent="0.2">
      <c r="P2948" s="415"/>
    </row>
    <row r="2949" spans="16:16" x14ac:dyDescent="0.2">
      <c r="P2949" s="415"/>
    </row>
    <row r="2950" spans="16:16" x14ac:dyDescent="0.2">
      <c r="P2950" s="415"/>
    </row>
    <row r="2951" spans="16:16" x14ac:dyDescent="0.2">
      <c r="P2951" s="415"/>
    </row>
    <row r="2952" spans="16:16" x14ac:dyDescent="0.2">
      <c r="P2952" s="415"/>
    </row>
    <row r="2953" spans="16:16" x14ac:dyDescent="0.2">
      <c r="P2953" s="415"/>
    </row>
    <row r="2954" spans="16:16" x14ac:dyDescent="0.2">
      <c r="P2954" s="415"/>
    </row>
    <row r="2955" spans="16:16" x14ac:dyDescent="0.2">
      <c r="P2955" s="415"/>
    </row>
    <row r="2956" spans="16:16" x14ac:dyDescent="0.2">
      <c r="P2956" s="415"/>
    </row>
    <row r="2957" spans="16:16" x14ac:dyDescent="0.2">
      <c r="P2957" s="415"/>
    </row>
    <row r="2958" spans="16:16" x14ac:dyDescent="0.2">
      <c r="P2958" s="415"/>
    </row>
    <row r="2959" spans="16:16" x14ac:dyDescent="0.2">
      <c r="P2959" s="415"/>
    </row>
    <row r="2960" spans="16:16" x14ac:dyDescent="0.2">
      <c r="P2960" s="415"/>
    </row>
    <row r="2961" spans="16:16" x14ac:dyDescent="0.2">
      <c r="P2961" s="415"/>
    </row>
    <row r="2962" spans="16:16" x14ac:dyDescent="0.2">
      <c r="P2962" s="415"/>
    </row>
    <row r="2963" spans="16:16" x14ac:dyDescent="0.2">
      <c r="P2963" s="415"/>
    </row>
    <row r="2964" spans="16:16" x14ac:dyDescent="0.2">
      <c r="P2964" s="415"/>
    </row>
    <row r="2965" spans="16:16" x14ac:dyDescent="0.2">
      <c r="P2965" s="415"/>
    </row>
    <row r="2966" spans="16:16" x14ac:dyDescent="0.2">
      <c r="P2966" s="415"/>
    </row>
    <row r="2967" spans="16:16" x14ac:dyDescent="0.2">
      <c r="P2967" s="415"/>
    </row>
    <row r="2968" spans="16:16" x14ac:dyDescent="0.2">
      <c r="P2968" s="415"/>
    </row>
    <row r="2969" spans="16:16" x14ac:dyDescent="0.2">
      <c r="P2969" s="415"/>
    </row>
    <row r="2970" spans="16:16" x14ac:dyDescent="0.2">
      <c r="P2970" s="415"/>
    </row>
    <row r="2971" spans="16:16" x14ac:dyDescent="0.2">
      <c r="P2971" s="415"/>
    </row>
    <row r="2972" spans="16:16" x14ac:dyDescent="0.2">
      <c r="P2972" s="415"/>
    </row>
    <row r="2973" spans="16:16" x14ac:dyDescent="0.2">
      <c r="P2973" s="415"/>
    </row>
    <row r="2974" spans="16:16" x14ac:dyDescent="0.2">
      <c r="P2974" s="415"/>
    </row>
    <row r="2975" spans="16:16" x14ac:dyDescent="0.2">
      <c r="P2975" s="415"/>
    </row>
    <row r="2976" spans="16:16" x14ac:dyDescent="0.2">
      <c r="P2976" s="415"/>
    </row>
    <row r="2977" spans="16:16" x14ac:dyDescent="0.2">
      <c r="P2977" s="415"/>
    </row>
    <row r="2978" spans="16:16" x14ac:dyDescent="0.2">
      <c r="P2978" s="415"/>
    </row>
    <row r="2979" spans="16:16" x14ac:dyDescent="0.2">
      <c r="P2979" s="415"/>
    </row>
    <row r="2980" spans="16:16" x14ac:dyDescent="0.2">
      <c r="P2980" s="415"/>
    </row>
    <row r="2981" spans="16:16" x14ac:dyDescent="0.2">
      <c r="P2981" s="415"/>
    </row>
    <row r="2982" spans="16:16" x14ac:dyDescent="0.2">
      <c r="P2982" s="415"/>
    </row>
    <row r="2983" spans="16:16" x14ac:dyDescent="0.2">
      <c r="P2983" s="415"/>
    </row>
    <row r="2984" spans="16:16" x14ac:dyDescent="0.2">
      <c r="P2984" s="415"/>
    </row>
    <row r="2985" spans="16:16" x14ac:dyDescent="0.2">
      <c r="P2985" s="415"/>
    </row>
    <row r="2986" spans="16:16" x14ac:dyDescent="0.2">
      <c r="P2986" s="415"/>
    </row>
    <row r="2987" spans="16:16" x14ac:dyDescent="0.2">
      <c r="P2987" s="415"/>
    </row>
    <row r="2988" spans="16:16" x14ac:dyDescent="0.2">
      <c r="P2988" s="415"/>
    </row>
    <row r="2989" spans="16:16" x14ac:dyDescent="0.2">
      <c r="P2989" s="415"/>
    </row>
    <row r="2990" spans="16:16" x14ac:dyDescent="0.2">
      <c r="P2990" s="415"/>
    </row>
    <row r="2991" spans="16:16" x14ac:dyDescent="0.2">
      <c r="P2991" s="415"/>
    </row>
    <row r="2992" spans="16:16" x14ac:dyDescent="0.2">
      <c r="P2992" s="415"/>
    </row>
    <row r="2993" spans="16:16" x14ac:dyDescent="0.2">
      <c r="P2993" s="415"/>
    </row>
    <row r="2994" spans="16:16" x14ac:dyDescent="0.2">
      <c r="P2994" s="415"/>
    </row>
    <row r="2995" spans="16:16" x14ac:dyDescent="0.2">
      <c r="P2995" s="415"/>
    </row>
    <row r="2996" spans="16:16" x14ac:dyDescent="0.2">
      <c r="P2996" s="415"/>
    </row>
    <row r="2997" spans="16:16" x14ac:dyDescent="0.2">
      <c r="P2997" s="415"/>
    </row>
    <row r="2998" spans="16:16" x14ac:dyDescent="0.2">
      <c r="P2998" s="415"/>
    </row>
    <row r="2999" spans="16:16" x14ac:dyDescent="0.2">
      <c r="P2999" s="415"/>
    </row>
    <row r="3000" spans="16:16" x14ac:dyDescent="0.2">
      <c r="P3000" s="415"/>
    </row>
    <row r="3001" spans="16:16" x14ac:dyDescent="0.2">
      <c r="P3001" s="415"/>
    </row>
    <row r="3002" spans="16:16" x14ac:dyDescent="0.2">
      <c r="P3002" s="415"/>
    </row>
    <row r="3003" spans="16:16" x14ac:dyDescent="0.2">
      <c r="P3003" s="415"/>
    </row>
    <row r="3004" spans="16:16" x14ac:dyDescent="0.2">
      <c r="P3004" s="415"/>
    </row>
    <row r="3005" spans="16:16" x14ac:dyDescent="0.2">
      <c r="P3005" s="415"/>
    </row>
    <row r="3006" spans="16:16" x14ac:dyDescent="0.2">
      <c r="P3006" s="415"/>
    </row>
    <row r="3007" spans="16:16" x14ac:dyDescent="0.2">
      <c r="P3007" s="415"/>
    </row>
    <row r="3008" spans="16:16" x14ac:dyDescent="0.2">
      <c r="P3008" s="415"/>
    </row>
    <row r="3009" spans="16:16" x14ac:dyDescent="0.2">
      <c r="P3009" s="415"/>
    </row>
    <row r="3010" spans="16:16" x14ac:dyDescent="0.2">
      <c r="P3010" s="415"/>
    </row>
    <row r="3011" spans="16:16" x14ac:dyDescent="0.2">
      <c r="P3011" s="415"/>
    </row>
    <row r="3012" spans="16:16" x14ac:dyDescent="0.2">
      <c r="P3012" s="415"/>
    </row>
    <row r="3013" spans="16:16" x14ac:dyDescent="0.2">
      <c r="P3013" s="415"/>
    </row>
    <row r="3014" spans="16:16" x14ac:dyDescent="0.2">
      <c r="P3014" s="415"/>
    </row>
    <row r="3015" spans="16:16" x14ac:dyDescent="0.2">
      <c r="P3015" s="415"/>
    </row>
    <row r="3016" spans="16:16" x14ac:dyDescent="0.2">
      <c r="P3016" s="415"/>
    </row>
    <row r="3017" spans="16:16" x14ac:dyDescent="0.2">
      <c r="P3017" s="415"/>
    </row>
    <row r="3018" spans="16:16" x14ac:dyDescent="0.2">
      <c r="P3018" s="415"/>
    </row>
    <row r="3019" spans="16:16" x14ac:dyDescent="0.2">
      <c r="P3019" s="415"/>
    </row>
    <row r="3020" spans="16:16" x14ac:dyDescent="0.2">
      <c r="P3020" s="415"/>
    </row>
    <row r="3021" spans="16:16" x14ac:dyDescent="0.2">
      <c r="P3021" s="415"/>
    </row>
    <row r="3022" spans="16:16" x14ac:dyDescent="0.2">
      <c r="P3022" s="415"/>
    </row>
    <row r="3023" spans="16:16" x14ac:dyDescent="0.2">
      <c r="P3023" s="415"/>
    </row>
    <row r="3024" spans="16:16" x14ac:dyDescent="0.2">
      <c r="P3024" s="415"/>
    </row>
    <row r="3025" spans="16:16" x14ac:dyDescent="0.2">
      <c r="P3025" s="415"/>
    </row>
    <row r="3026" spans="16:16" x14ac:dyDescent="0.2">
      <c r="P3026" s="415"/>
    </row>
    <row r="3027" spans="16:16" x14ac:dyDescent="0.2">
      <c r="P3027" s="415"/>
    </row>
    <row r="3028" spans="16:16" x14ac:dyDescent="0.2">
      <c r="P3028" s="415"/>
    </row>
    <row r="3029" spans="16:16" x14ac:dyDescent="0.2">
      <c r="P3029" s="415"/>
    </row>
    <row r="3030" spans="16:16" x14ac:dyDescent="0.2">
      <c r="P3030" s="415"/>
    </row>
    <row r="3031" spans="16:16" x14ac:dyDescent="0.2">
      <c r="P3031" s="415"/>
    </row>
    <row r="3032" spans="16:16" x14ac:dyDescent="0.2">
      <c r="P3032" s="415"/>
    </row>
    <row r="3033" spans="16:16" x14ac:dyDescent="0.2">
      <c r="P3033" s="415"/>
    </row>
    <row r="3034" spans="16:16" x14ac:dyDescent="0.2">
      <c r="P3034" s="415"/>
    </row>
    <row r="3035" spans="16:16" x14ac:dyDescent="0.2">
      <c r="P3035" s="415"/>
    </row>
    <row r="3036" spans="16:16" x14ac:dyDescent="0.2">
      <c r="P3036" s="415"/>
    </row>
    <row r="3037" spans="16:16" x14ac:dyDescent="0.2">
      <c r="P3037" s="415"/>
    </row>
    <row r="3038" spans="16:16" x14ac:dyDescent="0.2">
      <c r="P3038" s="415"/>
    </row>
    <row r="3039" spans="16:16" x14ac:dyDescent="0.2">
      <c r="P3039" s="415"/>
    </row>
    <row r="3040" spans="16:16" x14ac:dyDescent="0.2">
      <c r="P3040" s="415"/>
    </row>
    <row r="3041" spans="16:16" x14ac:dyDescent="0.2">
      <c r="P3041" s="415"/>
    </row>
    <row r="3042" spans="16:16" x14ac:dyDescent="0.2">
      <c r="P3042" s="415"/>
    </row>
    <row r="3043" spans="16:16" x14ac:dyDescent="0.2">
      <c r="P3043" s="415"/>
    </row>
    <row r="3044" spans="16:16" x14ac:dyDescent="0.2">
      <c r="P3044" s="415"/>
    </row>
    <row r="3045" spans="16:16" x14ac:dyDescent="0.2">
      <c r="P3045" s="415"/>
    </row>
    <row r="3046" spans="16:16" x14ac:dyDescent="0.2">
      <c r="P3046" s="415"/>
    </row>
    <row r="3047" spans="16:16" x14ac:dyDescent="0.2">
      <c r="P3047" s="415"/>
    </row>
    <row r="3048" spans="16:16" x14ac:dyDescent="0.2">
      <c r="P3048" s="415"/>
    </row>
    <row r="3049" spans="16:16" x14ac:dyDescent="0.2">
      <c r="P3049" s="415"/>
    </row>
    <row r="3050" spans="16:16" x14ac:dyDescent="0.2">
      <c r="P3050" s="415"/>
    </row>
    <row r="3051" spans="16:16" x14ac:dyDescent="0.2">
      <c r="P3051" s="415"/>
    </row>
    <row r="3052" spans="16:16" x14ac:dyDescent="0.2">
      <c r="P3052" s="415"/>
    </row>
    <row r="3053" spans="16:16" x14ac:dyDescent="0.2">
      <c r="P3053" s="415"/>
    </row>
    <row r="3054" spans="16:16" x14ac:dyDescent="0.2">
      <c r="P3054" s="415"/>
    </row>
    <row r="3055" spans="16:16" x14ac:dyDescent="0.2">
      <c r="P3055" s="415"/>
    </row>
    <row r="3056" spans="16:16" x14ac:dyDescent="0.2">
      <c r="P3056" s="415"/>
    </row>
    <row r="3057" spans="16:16" x14ac:dyDescent="0.2">
      <c r="P3057" s="415"/>
    </row>
    <row r="3058" spans="16:16" x14ac:dyDescent="0.2">
      <c r="P3058" s="415"/>
    </row>
    <row r="3059" spans="16:16" x14ac:dyDescent="0.2">
      <c r="P3059" s="415"/>
    </row>
    <row r="3060" spans="16:16" x14ac:dyDescent="0.2">
      <c r="P3060" s="415"/>
    </row>
    <row r="3061" spans="16:16" x14ac:dyDescent="0.2">
      <c r="P3061" s="415"/>
    </row>
    <row r="3062" spans="16:16" x14ac:dyDescent="0.2">
      <c r="P3062" s="415"/>
    </row>
    <row r="3063" spans="16:16" x14ac:dyDescent="0.2">
      <c r="P3063" s="415"/>
    </row>
    <row r="3064" spans="16:16" x14ac:dyDescent="0.2">
      <c r="P3064" s="415"/>
    </row>
    <row r="3065" spans="16:16" x14ac:dyDescent="0.2">
      <c r="P3065" s="415"/>
    </row>
    <row r="3066" spans="16:16" x14ac:dyDescent="0.2">
      <c r="P3066" s="415"/>
    </row>
    <row r="3067" spans="16:16" x14ac:dyDescent="0.2">
      <c r="P3067" s="415"/>
    </row>
    <row r="3068" spans="16:16" x14ac:dyDescent="0.2">
      <c r="P3068" s="415"/>
    </row>
    <row r="3069" spans="16:16" x14ac:dyDescent="0.2">
      <c r="P3069" s="415"/>
    </row>
    <row r="3070" spans="16:16" x14ac:dyDescent="0.2">
      <c r="P3070" s="415"/>
    </row>
    <row r="3071" spans="16:16" x14ac:dyDescent="0.2">
      <c r="P3071" s="415"/>
    </row>
    <row r="3072" spans="16:16" x14ac:dyDescent="0.2">
      <c r="P3072" s="415"/>
    </row>
    <row r="3073" spans="16:16" x14ac:dyDescent="0.2">
      <c r="P3073" s="415"/>
    </row>
    <row r="3074" spans="16:16" x14ac:dyDescent="0.2">
      <c r="P3074" s="415"/>
    </row>
    <row r="3075" spans="16:16" x14ac:dyDescent="0.2">
      <c r="P3075" s="415"/>
    </row>
    <row r="3076" spans="16:16" x14ac:dyDescent="0.2">
      <c r="P3076" s="415"/>
    </row>
    <row r="3077" spans="16:16" x14ac:dyDescent="0.2">
      <c r="P3077" s="415"/>
    </row>
    <row r="3078" spans="16:16" x14ac:dyDescent="0.2">
      <c r="P3078" s="415"/>
    </row>
    <row r="3079" spans="16:16" x14ac:dyDescent="0.2">
      <c r="P3079" s="415"/>
    </row>
    <row r="3080" spans="16:16" x14ac:dyDescent="0.2">
      <c r="P3080" s="415"/>
    </row>
    <row r="3081" spans="16:16" x14ac:dyDescent="0.2">
      <c r="P3081" s="415"/>
    </row>
    <row r="3082" spans="16:16" x14ac:dyDescent="0.2">
      <c r="P3082" s="415"/>
    </row>
    <row r="3083" spans="16:16" x14ac:dyDescent="0.2">
      <c r="P3083" s="415"/>
    </row>
    <row r="3084" spans="16:16" x14ac:dyDescent="0.2">
      <c r="P3084" s="415"/>
    </row>
    <row r="3085" spans="16:16" x14ac:dyDescent="0.2">
      <c r="P3085" s="415"/>
    </row>
    <row r="3086" spans="16:16" x14ac:dyDescent="0.2">
      <c r="P3086" s="415"/>
    </row>
    <row r="3087" spans="16:16" x14ac:dyDescent="0.2">
      <c r="P3087" s="415"/>
    </row>
    <row r="3088" spans="16:16" x14ac:dyDescent="0.2">
      <c r="P3088" s="415"/>
    </row>
    <row r="3089" spans="16:16" x14ac:dyDescent="0.2">
      <c r="P3089" s="415"/>
    </row>
    <row r="3090" spans="16:16" x14ac:dyDescent="0.2">
      <c r="P3090" s="415"/>
    </row>
    <row r="3091" spans="16:16" x14ac:dyDescent="0.2">
      <c r="P3091" s="415"/>
    </row>
    <row r="3092" spans="16:16" x14ac:dyDescent="0.2">
      <c r="P3092" s="415"/>
    </row>
    <row r="3093" spans="16:16" x14ac:dyDescent="0.2">
      <c r="P3093" s="415"/>
    </row>
    <row r="3094" spans="16:16" x14ac:dyDescent="0.2">
      <c r="P3094" s="415"/>
    </row>
    <row r="3095" spans="16:16" x14ac:dyDescent="0.2">
      <c r="P3095" s="415"/>
    </row>
    <row r="3096" spans="16:16" x14ac:dyDescent="0.2">
      <c r="P3096" s="415"/>
    </row>
    <row r="3097" spans="16:16" x14ac:dyDescent="0.2">
      <c r="P3097" s="415"/>
    </row>
    <row r="3098" spans="16:16" x14ac:dyDescent="0.2">
      <c r="P3098" s="415"/>
    </row>
    <row r="3099" spans="16:16" x14ac:dyDescent="0.2">
      <c r="P3099" s="415"/>
    </row>
    <row r="3100" spans="16:16" x14ac:dyDescent="0.2">
      <c r="P3100" s="415"/>
    </row>
    <row r="3101" spans="16:16" x14ac:dyDescent="0.2">
      <c r="P3101" s="415"/>
    </row>
    <row r="3102" spans="16:16" x14ac:dyDescent="0.2">
      <c r="P3102" s="415"/>
    </row>
    <row r="3103" spans="16:16" x14ac:dyDescent="0.2">
      <c r="P3103" s="415"/>
    </row>
    <row r="3104" spans="16:16" x14ac:dyDescent="0.2">
      <c r="P3104" s="415"/>
    </row>
    <row r="3105" spans="16:16" x14ac:dyDescent="0.2">
      <c r="P3105" s="415"/>
    </row>
    <row r="3106" spans="16:16" x14ac:dyDescent="0.2">
      <c r="P3106" s="415"/>
    </row>
    <row r="3107" spans="16:16" x14ac:dyDescent="0.2">
      <c r="P3107" s="415"/>
    </row>
    <row r="3108" spans="16:16" x14ac:dyDescent="0.2">
      <c r="P3108" s="415"/>
    </row>
    <row r="3109" spans="16:16" x14ac:dyDescent="0.2">
      <c r="P3109" s="415"/>
    </row>
    <row r="3110" spans="16:16" x14ac:dyDescent="0.2">
      <c r="P3110" s="415"/>
    </row>
    <row r="3111" spans="16:16" x14ac:dyDescent="0.2">
      <c r="P3111" s="415"/>
    </row>
    <row r="3112" spans="16:16" x14ac:dyDescent="0.2">
      <c r="P3112" s="415"/>
    </row>
    <row r="3113" spans="16:16" x14ac:dyDescent="0.2">
      <c r="P3113" s="415"/>
    </row>
    <row r="3114" spans="16:16" x14ac:dyDescent="0.2">
      <c r="P3114" s="415"/>
    </row>
    <row r="3115" spans="16:16" x14ac:dyDescent="0.2">
      <c r="P3115" s="415"/>
    </row>
    <row r="3116" spans="16:16" x14ac:dyDescent="0.2">
      <c r="P3116" s="415"/>
    </row>
    <row r="3117" spans="16:16" x14ac:dyDescent="0.2">
      <c r="P3117" s="415"/>
    </row>
    <row r="3118" spans="16:16" x14ac:dyDescent="0.2">
      <c r="P3118" s="415"/>
    </row>
    <row r="3119" spans="16:16" x14ac:dyDescent="0.2">
      <c r="P3119" s="415"/>
    </row>
    <row r="3120" spans="16:16" x14ac:dyDescent="0.2">
      <c r="P3120" s="415"/>
    </row>
    <row r="3121" spans="16:16" x14ac:dyDescent="0.2">
      <c r="P3121" s="415"/>
    </row>
    <row r="3122" spans="16:16" x14ac:dyDescent="0.2">
      <c r="P3122" s="415"/>
    </row>
    <row r="3123" spans="16:16" x14ac:dyDescent="0.2">
      <c r="P3123" s="415"/>
    </row>
    <row r="3124" spans="16:16" x14ac:dyDescent="0.2">
      <c r="P3124" s="415"/>
    </row>
    <row r="3125" spans="16:16" x14ac:dyDescent="0.2">
      <c r="P3125" s="415"/>
    </row>
    <row r="3126" spans="16:16" x14ac:dyDescent="0.2">
      <c r="P3126" s="415"/>
    </row>
    <row r="3127" spans="16:16" x14ac:dyDescent="0.2">
      <c r="P3127" s="415"/>
    </row>
    <row r="3128" spans="16:16" x14ac:dyDescent="0.2">
      <c r="P3128" s="415"/>
    </row>
    <row r="3129" spans="16:16" x14ac:dyDescent="0.2">
      <c r="P3129" s="415"/>
    </row>
    <row r="3130" spans="16:16" x14ac:dyDescent="0.2">
      <c r="P3130" s="415"/>
    </row>
    <row r="3131" spans="16:16" x14ac:dyDescent="0.2">
      <c r="P3131" s="415"/>
    </row>
    <row r="3132" spans="16:16" x14ac:dyDescent="0.2">
      <c r="P3132" s="415"/>
    </row>
    <row r="3133" spans="16:16" x14ac:dyDescent="0.2">
      <c r="P3133" s="415"/>
    </row>
    <row r="3134" spans="16:16" x14ac:dyDescent="0.2">
      <c r="P3134" s="415"/>
    </row>
    <row r="3135" spans="16:16" x14ac:dyDescent="0.2">
      <c r="P3135" s="415"/>
    </row>
    <row r="3136" spans="16:16" x14ac:dyDescent="0.2">
      <c r="P3136" s="415"/>
    </row>
    <row r="3137" spans="16:16" x14ac:dyDescent="0.2">
      <c r="P3137" s="415"/>
    </row>
    <row r="3138" spans="16:16" x14ac:dyDescent="0.2">
      <c r="P3138" s="415"/>
    </row>
    <row r="3139" spans="16:16" x14ac:dyDescent="0.2">
      <c r="P3139" s="415"/>
    </row>
    <row r="3140" spans="16:16" x14ac:dyDescent="0.2">
      <c r="P3140" s="415"/>
    </row>
    <row r="3141" spans="16:16" x14ac:dyDescent="0.2">
      <c r="P3141" s="415"/>
    </row>
    <row r="3142" spans="16:16" x14ac:dyDescent="0.2">
      <c r="P3142" s="415"/>
    </row>
    <row r="3143" spans="16:16" x14ac:dyDescent="0.2">
      <c r="P3143" s="415"/>
    </row>
    <row r="3144" spans="16:16" x14ac:dyDescent="0.2">
      <c r="P3144" s="415"/>
    </row>
    <row r="3145" spans="16:16" x14ac:dyDescent="0.2">
      <c r="P3145" s="415"/>
    </row>
    <row r="3146" spans="16:16" x14ac:dyDescent="0.2">
      <c r="P3146" s="415"/>
    </row>
    <row r="3147" spans="16:16" x14ac:dyDescent="0.2">
      <c r="P3147" s="415"/>
    </row>
    <row r="3148" spans="16:16" x14ac:dyDescent="0.2">
      <c r="P3148" s="415"/>
    </row>
    <row r="3149" spans="16:16" x14ac:dyDescent="0.2">
      <c r="P3149" s="415"/>
    </row>
    <row r="3150" spans="16:16" x14ac:dyDescent="0.2">
      <c r="P3150" s="415"/>
    </row>
    <row r="3151" spans="16:16" x14ac:dyDescent="0.2">
      <c r="P3151" s="415"/>
    </row>
    <row r="3152" spans="16:16" x14ac:dyDescent="0.2">
      <c r="P3152" s="415"/>
    </row>
    <row r="3153" spans="16:16" x14ac:dyDescent="0.2">
      <c r="P3153" s="415"/>
    </row>
    <row r="3154" spans="16:16" x14ac:dyDescent="0.2">
      <c r="P3154" s="415"/>
    </row>
    <row r="3155" spans="16:16" x14ac:dyDescent="0.2">
      <c r="P3155" s="415"/>
    </row>
    <row r="3156" spans="16:16" x14ac:dyDescent="0.2">
      <c r="P3156" s="415"/>
    </row>
    <row r="3157" spans="16:16" x14ac:dyDescent="0.2">
      <c r="P3157" s="415"/>
    </row>
    <row r="3158" spans="16:16" x14ac:dyDescent="0.2">
      <c r="P3158" s="415"/>
    </row>
    <row r="3159" spans="16:16" x14ac:dyDescent="0.2">
      <c r="P3159" s="415"/>
    </row>
    <row r="3160" spans="16:16" x14ac:dyDescent="0.2">
      <c r="P3160" s="415"/>
    </row>
    <row r="3161" spans="16:16" x14ac:dyDescent="0.2">
      <c r="P3161" s="415"/>
    </row>
    <row r="3162" spans="16:16" x14ac:dyDescent="0.2">
      <c r="P3162" s="415"/>
    </row>
    <row r="3163" spans="16:16" x14ac:dyDescent="0.2">
      <c r="P3163" s="415"/>
    </row>
    <row r="3164" spans="16:16" x14ac:dyDescent="0.2">
      <c r="P3164" s="415"/>
    </row>
    <row r="3165" spans="16:16" x14ac:dyDescent="0.2">
      <c r="P3165" s="415"/>
    </row>
    <row r="3166" spans="16:16" x14ac:dyDescent="0.2">
      <c r="P3166" s="415"/>
    </row>
    <row r="3167" spans="16:16" x14ac:dyDescent="0.2">
      <c r="P3167" s="415"/>
    </row>
    <row r="3168" spans="16:16" x14ac:dyDescent="0.2">
      <c r="P3168" s="415"/>
    </row>
    <row r="3169" spans="16:16" x14ac:dyDescent="0.2">
      <c r="P3169" s="415"/>
    </row>
    <row r="3170" spans="16:16" x14ac:dyDescent="0.2">
      <c r="P3170" s="415"/>
    </row>
    <row r="3171" spans="16:16" x14ac:dyDescent="0.2">
      <c r="P3171" s="415"/>
    </row>
    <row r="3172" spans="16:16" x14ac:dyDescent="0.2">
      <c r="P3172" s="415"/>
    </row>
    <row r="3173" spans="16:16" x14ac:dyDescent="0.2">
      <c r="P3173" s="415"/>
    </row>
    <row r="3174" spans="16:16" x14ac:dyDescent="0.2">
      <c r="P3174" s="415"/>
    </row>
    <row r="3175" spans="16:16" x14ac:dyDescent="0.2">
      <c r="P3175" s="415"/>
    </row>
    <row r="3176" spans="16:16" x14ac:dyDescent="0.2">
      <c r="P3176" s="415"/>
    </row>
    <row r="3177" spans="16:16" x14ac:dyDescent="0.2">
      <c r="P3177" s="415"/>
    </row>
    <row r="3178" spans="16:16" x14ac:dyDescent="0.2">
      <c r="P3178" s="415"/>
    </row>
    <row r="3179" spans="16:16" x14ac:dyDescent="0.2">
      <c r="P3179" s="415"/>
    </row>
    <row r="3180" spans="16:16" x14ac:dyDescent="0.2">
      <c r="P3180" s="415"/>
    </row>
    <row r="3181" spans="16:16" x14ac:dyDescent="0.2">
      <c r="P3181" s="415"/>
    </row>
    <row r="3182" spans="16:16" x14ac:dyDescent="0.2">
      <c r="P3182" s="415"/>
    </row>
    <row r="3183" spans="16:16" x14ac:dyDescent="0.2">
      <c r="P3183" s="415"/>
    </row>
    <row r="3184" spans="16:16" x14ac:dyDescent="0.2">
      <c r="P3184" s="415"/>
    </row>
    <row r="3185" spans="16:16" x14ac:dyDescent="0.2">
      <c r="P3185" s="415"/>
    </row>
    <row r="3186" spans="16:16" x14ac:dyDescent="0.2">
      <c r="P3186" s="415"/>
    </row>
    <row r="3187" spans="16:16" x14ac:dyDescent="0.2">
      <c r="P3187" s="415"/>
    </row>
    <row r="3188" spans="16:16" x14ac:dyDescent="0.2">
      <c r="P3188" s="415"/>
    </row>
    <row r="3189" spans="16:16" x14ac:dyDescent="0.2">
      <c r="P3189" s="415"/>
    </row>
    <row r="3190" spans="16:16" x14ac:dyDescent="0.2">
      <c r="P3190" s="415"/>
    </row>
    <row r="3191" spans="16:16" x14ac:dyDescent="0.2">
      <c r="P3191" s="415"/>
    </row>
    <row r="3192" spans="16:16" x14ac:dyDescent="0.2">
      <c r="P3192" s="415"/>
    </row>
    <row r="3193" spans="16:16" x14ac:dyDescent="0.2">
      <c r="P3193" s="415"/>
    </row>
    <row r="3194" spans="16:16" x14ac:dyDescent="0.2">
      <c r="P3194" s="415"/>
    </row>
    <row r="3195" spans="16:16" x14ac:dyDescent="0.2">
      <c r="P3195" s="415"/>
    </row>
    <row r="3196" spans="16:16" x14ac:dyDescent="0.2">
      <c r="P3196" s="415"/>
    </row>
    <row r="3197" spans="16:16" x14ac:dyDescent="0.2">
      <c r="P3197" s="415"/>
    </row>
    <row r="3198" spans="16:16" x14ac:dyDescent="0.2">
      <c r="P3198" s="415"/>
    </row>
    <row r="3199" spans="16:16" x14ac:dyDescent="0.2">
      <c r="P3199" s="415"/>
    </row>
    <row r="3200" spans="16:16" x14ac:dyDescent="0.2">
      <c r="P3200" s="415"/>
    </row>
    <row r="3201" spans="16:16" x14ac:dyDescent="0.2">
      <c r="P3201" s="415"/>
    </row>
    <row r="3202" spans="16:16" x14ac:dyDescent="0.2">
      <c r="P3202" s="415"/>
    </row>
    <row r="3203" spans="16:16" x14ac:dyDescent="0.2">
      <c r="P3203" s="415"/>
    </row>
    <row r="3204" spans="16:16" x14ac:dyDescent="0.2">
      <c r="P3204" s="415"/>
    </row>
    <row r="3205" spans="16:16" x14ac:dyDescent="0.2">
      <c r="P3205" s="415"/>
    </row>
    <row r="3206" spans="16:16" x14ac:dyDescent="0.2">
      <c r="P3206" s="415"/>
    </row>
    <row r="3207" spans="16:16" x14ac:dyDescent="0.2">
      <c r="P3207" s="415"/>
    </row>
    <row r="3208" spans="16:16" x14ac:dyDescent="0.2">
      <c r="P3208" s="415"/>
    </row>
    <row r="3209" spans="16:16" x14ac:dyDescent="0.2">
      <c r="P3209" s="415"/>
    </row>
    <row r="3210" spans="16:16" x14ac:dyDescent="0.2">
      <c r="P3210" s="415"/>
    </row>
    <row r="3211" spans="16:16" x14ac:dyDescent="0.2">
      <c r="P3211" s="415"/>
    </row>
    <row r="3212" spans="16:16" x14ac:dyDescent="0.2">
      <c r="P3212" s="415"/>
    </row>
    <row r="3213" spans="16:16" x14ac:dyDescent="0.2">
      <c r="P3213" s="415"/>
    </row>
    <row r="3214" spans="16:16" x14ac:dyDescent="0.2">
      <c r="P3214" s="415"/>
    </row>
    <row r="3215" spans="16:16" x14ac:dyDescent="0.2">
      <c r="P3215" s="415"/>
    </row>
    <row r="3216" spans="16:16" x14ac:dyDescent="0.2">
      <c r="P3216" s="415"/>
    </row>
    <row r="3217" spans="16:16" x14ac:dyDescent="0.2">
      <c r="P3217" s="415"/>
    </row>
    <row r="3218" spans="16:16" x14ac:dyDescent="0.2">
      <c r="P3218" s="415"/>
    </row>
    <row r="3219" spans="16:16" x14ac:dyDescent="0.2">
      <c r="P3219" s="415"/>
    </row>
    <row r="3220" spans="16:16" x14ac:dyDescent="0.2">
      <c r="P3220" s="415"/>
    </row>
    <row r="3221" spans="16:16" x14ac:dyDescent="0.2">
      <c r="P3221" s="415"/>
    </row>
    <row r="3222" spans="16:16" x14ac:dyDescent="0.2">
      <c r="P3222" s="415"/>
    </row>
    <row r="3223" spans="16:16" x14ac:dyDescent="0.2">
      <c r="P3223" s="415"/>
    </row>
    <row r="3224" spans="16:16" x14ac:dyDescent="0.2">
      <c r="P3224" s="415"/>
    </row>
    <row r="3225" spans="16:16" x14ac:dyDescent="0.2">
      <c r="P3225" s="415"/>
    </row>
    <row r="3226" spans="16:16" x14ac:dyDescent="0.2">
      <c r="P3226" s="415"/>
    </row>
    <row r="3227" spans="16:16" x14ac:dyDescent="0.2">
      <c r="P3227" s="415"/>
    </row>
    <row r="3228" spans="16:16" x14ac:dyDescent="0.2">
      <c r="P3228" s="415"/>
    </row>
    <row r="3229" spans="16:16" x14ac:dyDescent="0.2">
      <c r="P3229" s="415"/>
    </row>
    <row r="3230" spans="16:16" x14ac:dyDescent="0.2">
      <c r="P3230" s="415"/>
    </row>
    <row r="3231" spans="16:16" x14ac:dyDescent="0.2">
      <c r="P3231" s="415"/>
    </row>
    <row r="3232" spans="16:16" x14ac:dyDescent="0.2">
      <c r="P3232" s="415"/>
    </row>
    <row r="3233" spans="16:16" x14ac:dyDescent="0.2">
      <c r="P3233" s="415"/>
    </row>
    <row r="3234" spans="16:16" x14ac:dyDescent="0.2">
      <c r="P3234" s="415"/>
    </row>
    <row r="3235" spans="16:16" x14ac:dyDescent="0.2">
      <c r="P3235" s="415"/>
    </row>
    <row r="3236" spans="16:16" x14ac:dyDescent="0.2">
      <c r="P3236" s="415"/>
    </row>
    <row r="3237" spans="16:16" x14ac:dyDescent="0.2">
      <c r="P3237" s="415"/>
    </row>
    <row r="3238" spans="16:16" x14ac:dyDescent="0.2">
      <c r="P3238" s="415"/>
    </row>
    <row r="3239" spans="16:16" x14ac:dyDescent="0.2">
      <c r="P3239" s="415"/>
    </row>
    <row r="3240" spans="16:16" x14ac:dyDescent="0.2">
      <c r="P3240" s="415"/>
    </row>
    <row r="3241" spans="16:16" x14ac:dyDescent="0.2">
      <c r="P3241" s="415"/>
    </row>
    <row r="3242" spans="16:16" x14ac:dyDescent="0.2">
      <c r="P3242" s="415"/>
    </row>
    <row r="3243" spans="16:16" x14ac:dyDescent="0.2">
      <c r="P3243" s="415"/>
    </row>
    <row r="3244" spans="16:16" x14ac:dyDescent="0.2">
      <c r="P3244" s="415"/>
    </row>
    <row r="3245" spans="16:16" x14ac:dyDescent="0.2">
      <c r="P3245" s="415"/>
    </row>
    <row r="3246" spans="16:16" x14ac:dyDescent="0.2">
      <c r="P3246" s="415"/>
    </row>
    <row r="3247" spans="16:16" x14ac:dyDescent="0.2">
      <c r="P3247" s="415"/>
    </row>
    <row r="3248" spans="16:16" x14ac:dyDescent="0.2">
      <c r="P3248" s="415"/>
    </row>
    <row r="3249" spans="16:16" x14ac:dyDescent="0.2">
      <c r="P3249" s="415"/>
    </row>
    <row r="3250" spans="16:16" x14ac:dyDescent="0.2">
      <c r="P3250" s="415"/>
    </row>
    <row r="3251" spans="16:16" x14ac:dyDescent="0.2">
      <c r="P3251" s="415"/>
    </row>
    <row r="3252" spans="16:16" x14ac:dyDescent="0.2">
      <c r="P3252" s="415"/>
    </row>
    <row r="3253" spans="16:16" x14ac:dyDescent="0.2">
      <c r="P3253" s="415"/>
    </row>
    <row r="3254" spans="16:16" x14ac:dyDescent="0.2">
      <c r="P3254" s="415"/>
    </row>
    <row r="3255" spans="16:16" x14ac:dyDescent="0.2">
      <c r="P3255" s="415"/>
    </row>
    <row r="3256" spans="16:16" x14ac:dyDescent="0.2">
      <c r="P3256" s="415"/>
    </row>
    <row r="3257" spans="16:16" x14ac:dyDescent="0.2">
      <c r="P3257" s="415"/>
    </row>
    <row r="3258" spans="16:16" x14ac:dyDescent="0.2">
      <c r="P3258" s="415"/>
    </row>
    <row r="3259" spans="16:16" x14ac:dyDescent="0.2">
      <c r="P3259" s="415"/>
    </row>
    <row r="3260" spans="16:16" x14ac:dyDescent="0.2">
      <c r="P3260" s="415"/>
    </row>
    <row r="3261" spans="16:16" x14ac:dyDescent="0.2">
      <c r="P3261" s="415"/>
    </row>
    <row r="3262" spans="16:16" x14ac:dyDescent="0.2">
      <c r="P3262" s="415"/>
    </row>
    <row r="3263" spans="16:16" x14ac:dyDescent="0.2">
      <c r="P3263" s="415"/>
    </row>
    <row r="3264" spans="16:16" x14ac:dyDescent="0.2">
      <c r="P3264" s="415"/>
    </row>
    <row r="3265" spans="16:16" x14ac:dyDescent="0.2">
      <c r="P3265" s="415"/>
    </row>
    <row r="3266" spans="16:16" x14ac:dyDescent="0.2">
      <c r="P3266" s="415"/>
    </row>
    <row r="3267" spans="16:16" x14ac:dyDescent="0.2">
      <c r="P3267" s="415"/>
    </row>
    <row r="3268" spans="16:16" x14ac:dyDescent="0.2">
      <c r="P3268" s="415"/>
    </row>
    <row r="3269" spans="16:16" x14ac:dyDescent="0.2">
      <c r="P3269" s="415"/>
    </row>
    <row r="3270" spans="16:16" x14ac:dyDescent="0.2">
      <c r="P3270" s="415"/>
    </row>
    <row r="3271" spans="16:16" x14ac:dyDescent="0.2">
      <c r="P3271" s="415"/>
    </row>
    <row r="3272" spans="16:16" x14ac:dyDescent="0.2">
      <c r="P3272" s="415"/>
    </row>
    <row r="3273" spans="16:16" x14ac:dyDescent="0.2">
      <c r="P3273" s="415"/>
    </row>
    <row r="3274" spans="16:16" x14ac:dyDescent="0.2">
      <c r="P3274" s="415"/>
    </row>
    <row r="3275" spans="16:16" x14ac:dyDescent="0.2">
      <c r="P3275" s="415"/>
    </row>
    <row r="3276" spans="16:16" x14ac:dyDescent="0.2">
      <c r="P3276" s="415"/>
    </row>
    <row r="3277" spans="16:16" x14ac:dyDescent="0.2">
      <c r="P3277" s="415"/>
    </row>
    <row r="3278" spans="16:16" x14ac:dyDescent="0.2">
      <c r="P3278" s="415"/>
    </row>
    <row r="3279" spans="16:16" x14ac:dyDescent="0.2">
      <c r="P3279" s="415"/>
    </row>
    <row r="3280" spans="16:16" x14ac:dyDescent="0.2">
      <c r="P3280" s="415"/>
    </row>
    <row r="3281" spans="16:16" x14ac:dyDescent="0.2">
      <c r="P3281" s="415"/>
    </row>
    <row r="3282" spans="16:16" x14ac:dyDescent="0.2">
      <c r="P3282" s="415"/>
    </row>
    <row r="3283" spans="16:16" x14ac:dyDescent="0.2">
      <c r="P3283" s="415"/>
    </row>
    <row r="3284" spans="16:16" x14ac:dyDescent="0.2">
      <c r="P3284" s="415"/>
    </row>
    <row r="3285" spans="16:16" x14ac:dyDescent="0.2">
      <c r="P3285" s="415"/>
    </row>
    <row r="3286" spans="16:16" x14ac:dyDescent="0.2">
      <c r="P3286" s="415"/>
    </row>
    <row r="3287" spans="16:16" x14ac:dyDescent="0.2">
      <c r="P3287" s="415"/>
    </row>
    <row r="3288" spans="16:16" x14ac:dyDescent="0.2">
      <c r="P3288" s="415"/>
    </row>
    <row r="3289" spans="16:16" x14ac:dyDescent="0.2">
      <c r="P3289" s="415"/>
    </row>
    <row r="3290" spans="16:16" x14ac:dyDescent="0.2">
      <c r="P3290" s="415"/>
    </row>
    <row r="3291" spans="16:16" x14ac:dyDescent="0.2">
      <c r="P3291" s="415"/>
    </row>
    <row r="3292" spans="16:16" x14ac:dyDescent="0.2">
      <c r="P3292" s="415"/>
    </row>
    <row r="3293" spans="16:16" x14ac:dyDescent="0.2">
      <c r="P3293" s="415"/>
    </row>
    <row r="3294" spans="16:16" x14ac:dyDescent="0.2">
      <c r="P3294" s="415"/>
    </row>
    <row r="3295" spans="16:16" x14ac:dyDescent="0.2">
      <c r="P3295" s="415"/>
    </row>
    <row r="3296" spans="16:16" x14ac:dyDescent="0.2">
      <c r="P3296" s="415"/>
    </row>
    <row r="3297" spans="16:16" x14ac:dyDescent="0.2">
      <c r="P3297" s="415"/>
    </row>
    <row r="3298" spans="16:16" x14ac:dyDescent="0.2">
      <c r="P3298" s="415"/>
    </row>
    <row r="3299" spans="16:16" x14ac:dyDescent="0.2">
      <c r="P3299" s="415"/>
    </row>
    <row r="3300" spans="16:16" x14ac:dyDescent="0.2">
      <c r="P3300" s="415"/>
    </row>
    <row r="3301" spans="16:16" x14ac:dyDescent="0.2">
      <c r="P3301" s="415"/>
    </row>
    <row r="3302" spans="16:16" x14ac:dyDescent="0.2">
      <c r="P3302" s="415"/>
    </row>
    <row r="3303" spans="16:16" x14ac:dyDescent="0.2">
      <c r="P3303" s="415"/>
    </row>
    <row r="3304" spans="16:16" x14ac:dyDescent="0.2">
      <c r="P3304" s="415"/>
    </row>
    <row r="3305" spans="16:16" x14ac:dyDescent="0.2">
      <c r="P3305" s="415"/>
    </row>
    <row r="3306" spans="16:16" x14ac:dyDescent="0.2">
      <c r="P3306" s="415"/>
    </row>
    <row r="3307" spans="16:16" x14ac:dyDescent="0.2">
      <c r="P3307" s="415"/>
    </row>
    <row r="3308" spans="16:16" x14ac:dyDescent="0.2">
      <c r="P3308" s="415"/>
    </row>
    <row r="3309" spans="16:16" x14ac:dyDescent="0.2">
      <c r="P3309" s="415"/>
    </row>
    <row r="3310" spans="16:16" x14ac:dyDescent="0.2">
      <c r="P3310" s="415"/>
    </row>
    <row r="3311" spans="16:16" x14ac:dyDescent="0.2">
      <c r="P3311" s="415"/>
    </row>
    <row r="3312" spans="16:16" x14ac:dyDescent="0.2">
      <c r="P3312" s="415"/>
    </row>
    <row r="3313" spans="16:16" x14ac:dyDescent="0.2">
      <c r="P3313" s="415"/>
    </row>
    <row r="3314" spans="16:16" x14ac:dyDescent="0.2">
      <c r="P3314" s="415"/>
    </row>
    <row r="3315" spans="16:16" x14ac:dyDescent="0.2">
      <c r="P3315" s="415"/>
    </row>
    <row r="3316" spans="16:16" x14ac:dyDescent="0.2">
      <c r="P3316" s="415"/>
    </row>
    <row r="3317" spans="16:16" x14ac:dyDescent="0.2">
      <c r="P3317" s="415"/>
    </row>
    <row r="3318" spans="16:16" x14ac:dyDescent="0.2">
      <c r="P3318" s="415"/>
    </row>
    <row r="3319" spans="16:16" x14ac:dyDescent="0.2">
      <c r="P3319" s="415"/>
    </row>
    <row r="3320" spans="16:16" x14ac:dyDescent="0.2">
      <c r="P3320" s="415"/>
    </row>
    <row r="3321" spans="16:16" x14ac:dyDescent="0.2">
      <c r="P3321" s="415"/>
    </row>
    <row r="3322" spans="16:16" x14ac:dyDescent="0.2">
      <c r="P3322" s="415"/>
    </row>
    <row r="3323" spans="16:16" x14ac:dyDescent="0.2">
      <c r="P3323" s="415"/>
    </row>
    <row r="3324" spans="16:16" x14ac:dyDescent="0.2">
      <c r="P3324" s="415"/>
    </row>
    <row r="3325" spans="16:16" x14ac:dyDescent="0.2">
      <c r="P3325" s="415"/>
    </row>
    <row r="3326" spans="16:16" x14ac:dyDescent="0.2">
      <c r="P3326" s="415"/>
    </row>
    <row r="3327" spans="16:16" x14ac:dyDescent="0.2">
      <c r="P3327" s="415"/>
    </row>
    <row r="3328" spans="16:16" x14ac:dyDescent="0.2">
      <c r="P3328" s="415"/>
    </row>
    <row r="3329" spans="16:16" x14ac:dyDescent="0.2">
      <c r="P3329" s="415"/>
    </row>
    <row r="3330" spans="16:16" x14ac:dyDescent="0.2">
      <c r="P3330" s="415"/>
    </row>
    <row r="3331" spans="16:16" x14ac:dyDescent="0.2">
      <c r="P3331" s="415"/>
    </row>
    <row r="3332" spans="16:16" x14ac:dyDescent="0.2">
      <c r="P3332" s="415"/>
    </row>
    <row r="3333" spans="16:16" x14ac:dyDescent="0.2">
      <c r="P3333" s="415"/>
    </row>
    <row r="3334" spans="16:16" x14ac:dyDescent="0.2">
      <c r="P3334" s="415"/>
    </row>
    <row r="3335" spans="16:16" x14ac:dyDescent="0.2">
      <c r="P3335" s="415"/>
    </row>
    <row r="3336" spans="16:16" x14ac:dyDescent="0.2">
      <c r="P3336" s="415"/>
    </row>
    <row r="3337" spans="16:16" x14ac:dyDescent="0.2">
      <c r="P3337" s="415"/>
    </row>
    <row r="3338" spans="16:16" x14ac:dyDescent="0.2">
      <c r="P3338" s="415"/>
    </row>
    <row r="3339" spans="16:16" x14ac:dyDescent="0.2">
      <c r="P3339" s="415"/>
    </row>
    <row r="3340" spans="16:16" x14ac:dyDescent="0.2">
      <c r="P3340" s="415"/>
    </row>
    <row r="3341" spans="16:16" x14ac:dyDescent="0.2">
      <c r="P3341" s="415"/>
    </row>
    <row r="3342" spans="16:16" x14ac:dyDescent="0.2">
      <c r="P3342" s="415"/>
    </row>
    <row r="3343" spans="16:16" x14ac:dyDescent="0.2">
      <c r="P3343" s="415"/>
    </row>
    <row r="3344" spans="16:16" x14ac:dyDescent="0.2">
      <c r="P3344" s="415"/>
    </row>
    <row r="3345" spans="16:16" x14ac:dyDescent="0.2">
      <c r="P3345" s="415"/>
    </row>
    <row r="3346" spans="16:16" x14ac:dyDescent="0.2">
      <c r="P3346" s="415"/>
    </row>
    <row r="3347" spans="16:16" x14ac:dyDescent="0.2">
      <c r="P3347" s="415"/>
    </row>
    <row r="3348" spans="16:16" x14ac:dyDescent="0.2">
      <c r="P3348" s="415"/>
    </row>
    <row r="3349" spans="16:16" x14ac:dyDescent="0.2">
      <c r="P3349" s="415"/>
    </row>
    <row r="3350" spans="16:16" x14ac:dyDescent="0.2">
      <c r="P3350" s="415"/>
    </row>
    <row r="3351" spans="16:16" x14ac:dyDescent="0.2">
      <c r="P3351" s="415"/>
    </row>
    <row r="3352" spans="16:16" x14ac:dyDescent="0.2">
      <c r="P3352" s="415"/>
    </row>
    <row r="3353" spans="16:16" x14ac:dyDescent="0.2">
      <c r="P3353" s="415"/>
    </row>
    <row r="3354" spans="16:16" x14ac:dyDescent="0.2">
      <c r="P3354" s="415"/>
    </row>
    <row r="3355" spans="16:16" x14ac:dyDescent="0.2">
      <c r="P3355" s="415"/>
    </row>
    <row r="3356" spans="16:16" x14ac:dyDescent="0.2">
      <c r="P3356" s="415"/>
    </row>
    <row r="3357" spans="16:16" x14ac:dyDescent="0.2">
      <c r="P3357" s="415"/>
    </row>
    <row r="3358" spans="16:16" x14ac:dyDescent="0.2">
      <c r="P3358" s="415"/>
    </row>
    <row r="3359" spans="16:16" x14ac:dyDescent="0.2">
      <c r="P3359" s="415"/>
    </row>
    <row r="3360" spans="16:16" x14ac:dyDescent="0.2">
      <c r="P3360" s="415"/>
    </row>
    <row r="3361" spans="16:16" x14ac:dyDescent="0.2">
      <c r="P3361" s="415"/>
    </row>
    <row r="3362" spans="16:16" x14ac:dyDescent="0.2">
      <c r="P3362" s="415"/>
    </row>
    <row r="3363" spans="16:16" x14ac:dyDescent="0.2">
      <c r="P3363" s="415"/>
    </row>
    <row r="3364" spans="16:16" x14ac:dyDescent="0.2">
      <c r="P3364" s="415"/>
    </row>
    <row r="3365" spans="16:16" x14ac:dyDescent="0.2">
      <c r="P3365" s="415"/>
    </row>
    <row r="3366" spans="16:16" x14ac:dyDescent="0.2">
      <c r="P3366" s="415"/>
    </row>
    <row r="3367" spans="16:16" x14ac:dyDescent="0.2">
      <c r="P3367" s="415"/>
    </row>
    <row r="3368" spans="16:16" x14ac:dyDescent="0.2">
      <c r="P3368" s="415"/>
    </row>
    <row r="3369" spans="16:16" x14ac:dyDescent="0.2">
      <c r="P3369" s="415"/>
    </row>
    <row r="3370" spans="16:16" x14ac:dyDescent="0.2">
      <c r="P3370" s="415"/>
    </row>
    <row r="3371" spans="16:16" x14ac:dyDescent="0.2">
      <c r="P3371" s="415"/>
    </row>
    <row r="3372" spans="16:16" x14ac:dyDescent="0.2">
      <c r="P3372" s="415"/>
    </row>
    <row r="3373" spans="16:16" x14ac:dyDescent="0.2">
      <c r="P3373" s="415"/>
    </row>
    <row r="3374" spans="16:16" x14ac:dyDescent="0.2">
      <c r="P3374" s="415"/>
    </row>
    <row r="3375" spans="16:16" x14ac:dyDescent="0.2">
      <c r="P3375" s="415"/>
    </row>
    <row r="3376" spans="16:16" x14ac:dyDescent="0.2">
      <c r="P3376" s="415"/>
    </row>
    <row r="3377" spans="16:16" x14ac:dyDescent="0.2">
      <c r="P3377" s="415"/>
    </row>
    <row r="3378" spans="16:16" x14ac:dyDescent="0.2">
      <c r="P3378" s="415"/>
    </row>
    <row r="3379" spans="16:16" x14ac:dyDescent="0.2">
      <c r="P3379" s="415"/>
    </row>
    <row r="3380" spans="16:16" x14ac:dyDescent="0.2">
      <c r="P3380" s="415"/>
    </row>
    <row r="3381" spans="16:16" x14ac:dyDescent="0.2">
      <c r="P3381" s="415"/>
    </row>
    <row r="3382" spans="16:16" x14ac:dyDescent="0.2">
      <c r="P3382" s="415"/>
    </row>
    <row r="3383" spans="16:16" x14ac:dyDescent="0.2">
      <c r="P3383" s="415"/>
    </row>
    <row r="3384" spans="16:16" x14ac:dyDescent="0.2">
      <c r="P3384" s="415"/>
    </row>
    <row r="3385" spans="16:16" x14ac:dyDescent="0.2">
      <c r="P3385" s="415"/>
    </row>
    <row r="3386" spans="16:16" x14ac:dyDescent="0.2">
      <c r="P3386" s="415"/>
    </row>
    <row r="3387" spans="16:16" x14ac:dyDescent="0.2">
      <c r="P3387" s="415"/>
    </row>
    <row r="3388" spans="16:16" x14ac:dyDescent="0.2">
      <c r="P3388" s="415"/>
    </row>
    <row r="3389" spans="16:16" x14ac:dyDescent="0.2">
      <c r="P3389" s="415"/>
    </row>
    <row r="3390" spans="16:16" x14ac:dyDescent="0.2">
      <c r="P3390" s="415"/>
    </row>
    <row r="3391" spans="16:16" x14ac:dyDescent="0.2">
      <c r="P3391" s="415"/>
    </row>
    <row r="3392" spans="16:16" x14ac:dyDescent="0.2">
      <c r="P3392" s="415"/>
    </row>
    <row r="3393" spans="16:16" x14ac:dyDescent="0.2">
      <c r="P3393" s="415"/>
    </row>
    <row r="3394" spans="16:16" x14ac:dyDescent="0.2">
      <c r="P3394" s="415"/>
    </row>
    <row r="3395" spans="16:16" x14ac:dyDescent="0.2">
      <c r="P3395" s="415"/>
    </row>
    <row r="3396" spans="16:16" x14ac:dyDescent="0.2">
      <c r="P3396" s="415"/>
    </row>
    <row r="3397" spans="16:16" x14ac:dyDescent="0.2">
      <c r="P3397" s="415"/>
    </row>
    <row r="3398" spans="16:16" x14ac:dyDescent="0.2">
      <c r="P3398" s="415"/>
    </row>
    <row r="3399" spans="16:16" x14ac:dyDescent="0.2">
      <c r="P3399" s="415"/>
    </row>
    <row r="3400" spans="16:16" x14ac:dyDescent="0.2">
      <c r="P3400" s="415"/>
    </row>
    <row r="3401" spans="16:16" x14ac:dyDescent="0.2">
      <c r="P3401" s="415"/>
    </row>
    <row r="3402" spans="16:16" x14ac:dyDescent="0.2">
      <c r="P3402" s="415"/>
    </row>
    <row r="3403" spans="16:16" x14ac:dyDescent="0.2">
      <c r="P3403" s="415"/>
    </row>
    <row r="3404" spans="16:16" x14ac:dyDescent="0.2">
      <c r="P3404" s="415"/>
    </row>
    <row r="3405" spans="16:16" x14ac:dyDescent="0.2">
      <c r="P3405" s="415"/>
    </row>
    <row r="3406" spans="16:16" x14ac:dyDescent="0.2">
      <c r="P3406" s="415"/>
    </row>
    <row r="3407" spans="16:16" x14ac:dyDescent="0.2">
      <c r="P3407" s="415"/>
    </row>
    <row r="3408" spans="16:16" x14ac:dyDescent="0.2">
      <c r="P3408" s="415"/>
    </row>
    <row r="3409" spans="16:16" x14ac:dyDescent="0.2">
      <c r="P3409" s="415"/>
    </row>
    <row r="3410" spans="16:16" x14ac:dyDescent="0.2">
      <c r="P3410" s="415"/>
    </row>
    <row r="3411" spans="16:16" x14ac:dyDescent="0.2">
      <c r="P3411" s="415"/>
    </row>
    <row r="3412" spans="16:16" x14ac:dyDescent="0.2">
      <c r="P3412" s="415"/>
    </row>
    <row r="3413" spans="16:16" x14ac:dyDescent="0.2">
      <c r="P3413" s="415"/>
    </row>
    <row r="3414" spans="16:16" x14ac:dyDescent="0.2">
      <c r="P3414" s="415"/>
    </row>
    <row r="3415" spans="16:16" x14ac:dyDescent="0.2">
      <c r="P3415" s="415"/>
    </row>
    <row r="3416" spans="16:16" x14ac:dyDescent="0.2">
      <c r="P3416" s="415"/>
    </row>
    <row r="3417" spans="16:16" x14ac:dyDescent="0.2">
      <c r="P3417" s="415"/>
    </row>
    <row r="3418" spans="16:16" x14ac:dyDescent="0.2">
      <c r="P3418" s="415"/>
    </row>
    <row r="3419" spans="16:16" x14ac:dyDescent="0.2">
      <c r="P3419" s="415"/>
    </row>
    <row r="3420" spans="16:16" x14ac:dyDescent="0.2">
      <c r="P3420" s="415"/>
    </row>
    <row r="3421" spans="16:16" x14ac:dyDescent="0.2">
      <c r="P3421" s="415"/>
    </row>
    <row r="3422" spans="16:16" x14ac:dyDescent="0.2">
      <c r="P3422" s="415"/>
    </row>
    <row r="3423" spans="16:16" x14ac:dyDescent="0.2">
      <c r="P3423" s="415"/>
    </row>
    <row r="3424" spans="16:16" x14ac:dyDescent="0.2">
      <c r="P3424" s="415"/>
    </row>
    <row r="3425" spans="16:16" x14ac:dyDescent="0.2">
      <c r="P3425" s="415"/>
    </row>
    <row r="3426" spans="16:16" x14ac:dyDescent="0.2">
      <c r="P3426" s="415"/>
    </row>
    <row r="3427" spans="16:16" x14ac:dyDescent="0.2">
      <c r="P3427" s="415"/>
    </row>
    <row r="3428" spans="16:16" x14ac:dyDescent="0.2">
      <c r="P3428" s="415"/>
    </row>
    <row r="3429" spans="16:16" x14ac:dyDescent="0.2">
      <c r="P3429" s="415"/>
    </row>
    <row r="3430" spans="16:16" x14ac:dyDescent="0.2">
      <c r="P3430" s="415"/>
    </row>
    <row r="3431" spans="16:16" x14ac:dyDescent="0.2">
      <c r="P3431" s="415"/>
    </row>
    <row r="3432" spans="16:16" x14ac:dyDescent="0.2">
      <c r="P3432" s="415"/>
    </row>
    <row r="3433" spans="16:16" x14ac:dyDescent="0.2">
      <c r="P3433" s="415"/>
    </row>
    <row r="3434" spans="16:16" x14ac:dyDescent="0.2">
      <c r="P3434" s="415"/>
    </row>
    <row r="3435" spans="16:16" x14ac:dyDescent="0.2">
      <c r="P3435" s="415"/>
    </row>
    <row r="3436" spans="16:16" x14ac:dyDescent="0.2">
      <c r="P3436" s="415"/>
    </row>
    <row r="3437" spans="16:16" x14ac:dyDescent="0.2">
      <c r="P3437" s="415"/>
    </row>
  </sheetData>
  <mergeCells count="6">
    <mergeCell ref="M2:N2"/>
    <mergeCell ref="B2:C2"/>
    <mergeCell ref="D2:E2"/>
    <mergeCell ref="F2:G2"/>
    <mergeCell ref="H2:I2"/>
    <mergeCell ref="K2:L2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E0AA-B5D3-4032-9007-FA27E0977AD6}">
  <dimension ref="A1:D17"/>
  <sheetViews>
    <sheetView workbookViewId="0">
      <selection activeCell="E17" sqref="E17"/>
    </sheetView>
  </sheetViews>
  <sheetFormatPr baseColWidth="10" defaultColWidth="10.1640625" defaultRowHeight="16" x14ac:dyDescent="0.2"/>
  <cols>
    <col min="1" max="1" width="10.1640625" style="53"/>
    <col min="2" max="2" width="20.6640625" style="8" customWidth="1"/>
    <col min="3" max="4" width="15.6640625" style="8" customWidth="1"/>
    <col min="5" max="5" width="13.33203125" style="8" customWidth="1"/>
    <col min="6" max="16384" width="10.1640625" style="8"/>
  </cols>
  <sheetData>
    <row r="1" spans="1:4" x14ac:dyDescent="0.2">
      <c r="A1" s="51" t="s">
        <v>28</v>
      </c>
      <c r="B1" s="52" t="s">
        <v>696</v>
      </c>
      <c r="C1" s="52" t="s">
        <v>697</v>
      </c>
      <c r="D1" s="52" t="s">
        <v>82</v>
      </c>
    </row>
    <row r="2" spans="1:4" x14ac:dyDescent="0.2">
      <c r="A2" s="51" t="s">
        <v>134</v>
      </c>
      <c r="B2" s="9">
        <f>1000*37000</f>
        <v>37000000</v>
      </c>
      <c r="C2" s="9">
        <f>1000*3265</f>
        <v>3265000</v>
      </c>
      <c r="D2" s="9">
        <f>SUM(B2:C2)</f>
        <v>40265000</v>
      </c>
    </row>
    <row r="3" spans="1:4" x14ac:dyDescent="0.2">
      <c r="A3" s="51" t="s">
        <v>135</v>
      </c>
      <c r="B3" s="9">
        <f>1000*35850</f>
        <v>35850000</v>
      </c>
      <c r="C3" s="9">
        <f>1000*6890</f>
        <v>6890000</v>
      </c>
      <c r="D3" s="9">
        <f t="shared" ref="D3:D13" si="0">SUM(B3:C3)</f>
        <v>42740000</v>
      </c>
    </row>
    <row r="4" spans="1:4" x14ac:dyDescent="0.2">
      <c r="A4" s="51" t="s">
        <v>118</v>
      </c>
      <c r="B4" s="9">
        <f>1000*36765</f>
        <v>36765000</v>
      </c>
      <c r="C4" s="9">
        <f>1000*6775</f>
        <v>6775000</v>
      </c>
      <c r="D4" s="9">
        <f t="shared" si="0"/>
        <v>43540000</v>
      </c>
    </row>
    <row r="5" spans="1:4" x14ac:dyDescent="0.2">
      <c r="A5" s="51" t="s">
        <v>58</v>
      </c>
      <c r="B5" s="9">
        <f>1000*31720</f>
        <v>31720000</v>
      </c>
      <c r="C5" s="9">
        <f>1000*7600</f>
        <v>7600000</v>
      </c>
      <c r="D5" s="9">
        <f t="shared" si="0"/>
        <v>39320000</v>
      </c>
    </row>
    <row r="6" spans="1:4" x14ac:dyDescent="0.2">
      <c r="A6" s="51" t="s">
        <v>61</v>
      </c>
      <c r="B6" s="9">
        <f>1000*31370</f>
        <v>31370000</v>
      </c>
      <c r="C6" s="9">
        <f>1000*7510</f>
        <v>7510000</v>
      </c>
      <c r="D6" s="9">
        <f t="shared" si="0"/>
        <v>38880000</v>
      </c>
    </row>
    <row r="7" spans="1:4" x14ac:dyDescent="0.2">
      <c r="A7" s="51" t="s">
        <v>63</v>
      </c>
      <c r="B7" s="9">
        <f>1000*25635</f>
        <v>25635000</v>
      </c>
      <c r="C7" s="9">
        <f>1000*12510</f>
        <v>12510000</v>
      </c>
      <c r="D7" s="9">
        <f t="shared" si="0"/>
        <v>38145000</v>
      </c>
    </row>
    <row r="8" spans="1:4" x14ac:dyDescent="0.2">
      <c r="A8" s="51" t="s">
        <v>64</v>
      </c>
      <c r="B8" s="9">
        <f>1000*20745</f>
        <v>20745000</v>
      </c>
      <c r="C8" s="9">
        <f>1000*15195</f>
        <v>15195000</v>
      </c>
      <c r="D8" s="9">
        <f t="shared" si="0"/>
        <v>35940000</v>
      </c>
    </row>
    <row r="9" spans="1:4" x14ac:dyDescent="0.2">
      <c r="A9" s="51" t="s">
        <v>65</v>
      </c>
      <c r="B9" s="9">
        <f>1000*18710</f>
        <v>18710000</v>
      </c>
      <c r="C9" s="9">
        <f>1000*15330</f>
        <v>15330000</v>
      </c>
      <c r="D9" s="9">
        <f t="shared" si="0"/>
        <v>34040000</v>
      </c>
    </row>
    <row r="10" spans="1:4" x14ac:dyDescent="0.2">
      <c r="A10" s="51" t="s">
        <v>66</v>
      </c>
      <c r="B10" s="9">
        <f>1000*16141</f>
        <v>16141000</v>
      </c>
      <c r="C10" s="9">
        <f>1000*8040</f>
        <v>8040000</v>
      </c>
      <c r="D10" s="9">
        <f t="shared" si="0"/>
        <v>24181000</v>
      </c>
    </row>
    <row r="11" spans="1:4" x14ac:dyDescent="0.2">
      <c r="A11" s="51" t="s">
        <v>68</v>
      </c>
      <c r="B11" s="9">
        <f>1000*11502</f>
        <v>11502000</v>
      </c>
      <c r="C11" s="9">
        <f>1000*4546</f>
        <v>4546000</v>
      </c>
      <c r="D11" s="9">
        <f t="shared" si="0"/>
        <v>16048000</v>
      </c>
    </row>
    <row r="12" spans="1:4" x14ac:dyDescent="0.2">
      <c r="A12" s="51" t="s">
        <v>70</v>
      </c>
      <c r="B12" s="9">
        <f>1000*8436</f>
        <v>8436000</v>
      </c>
      <c r="C12" s="9">
        <f>1000*11032</f>
        <v>11032000</v>
      </c>
      <c r="D12" s="9">
        <f t="shared" si="0"/>
        <v>19468000</v>
      </c>
    </row>
    <row r="13" spans="1:4" x14ac:dyDescent="0.2">
      <c r="A13" s="51" t="s">
        <v>72</v>
      </c>
      <c r="B13" s="9">
        <f>1000*15930</f>
        <v>15930000</v>
      </c>
      <c r="C13" s="9">
        <f>1000*4408</f>
        <v>4408000</v>
      </c>
      <c r="D13" s="9">
        <f t="shared" si="0"/>
        <v>20338000</v>
      </c>
    </row>
    <row r="14" spans="1:4" x14ac:dyDescent="0.2">
      <c r="A14" s="51" t="s">
        <v>74</v>
      </c>
      <c r="B14" s="9">
        <f>(SUM('Monthly Paper Distribution'!B156:B167)+SUM('Monthly Paper Distribution'!D156:D167))*1000</f>
        <v>8419000</v>
      </c>
      <c r="C14" s="9">
        <f>(SUM('Monthly Paper Distribution'!F156:F167)+SUM('Monthly Paper Distribution'!H156:H167))*1000</f>
        <v>5395000</v>
      </c>
      <c r="D14" s="9">
        <f>SUM(B14:C14)</f>
        <v>13814000</v>
      </c>
    </row>
    <row r="15" spans="1:4" x14ac:dyDescent="0.2">
      <c r="A15" s="51" t="s">
        <v>76</v>
      </c>
      <c r="B15" s="9">
        <f>(SUM('Monthly Paper Distribution'!B168:B179)+SUM('Monthly Paper Distribution'!D168:D179))*1000</f>
        <v>7866000</v>
      </c>
      <c r="C15" s="9">
        <f>(SUM('Monthly Paper Distribution'!F168:F179)+SUM('Monthly Paper Distribution'!H168:H179))*1000</f>
        <v>7508000</v>
      </c>
      <c r="D15" s="9">
        <f>SUM(B15:C15)</f>
        <v>15374000</v>
      </c>
    </row>
    <row r="16" spans="1:4" x14ac:dyDescent="0.2">
      <c r="B16" s="515"/>
      <c r="C16" s="515"/>
    </row>
    <row r="17" spans="2:3" x14ac:dyDescent="0.2">
      <c r="B17" s="515"/>
      <c r="C17" s="515"/>
    </row>
  </sheetData>
  <phoneticPr fontId="9" type="noConversion"/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CBB3-D6D6-244C-8FAF-93D6748045E5}">
  <dimension ref="A1:N20"/>
  <sheetViews>
    <sheetView workbookViewId="0">
      <selection activeCell="C13" sqref="C13"/>
    </sheetView>
  </sheetViews>
  <sheetFormatPr baseColWidth="10" defaultColWidth="10.1640625" defaultRowHeight="16" x14ac:dyDescent="0.2"/>
  <cols>
    <col min="1" max="1" width="10.1640625" style="53"/>
    <col min="2" max="3" width="20.6640625" style="8" customWidth="1"/>
    <col min="4" max="7" width="15.6640625" style="8" customWidth="1"/>
    <col min="8" max="8" width="13.33203125" style="8" customWidth="1"/>
    <col min="9" max="16384" width="10.1640625" style="8"/>
  </cols>
  <sheetData>
    <row r="1" spans="1:14" ht="51" x14ac:dyDescent="0.2">
      <c r="A1" s="356" t="s">
        <v>28</v>
      </c>
      <c r="B1" s="196" t="s">
        <v>698</v>
      </c>
      <c r="C1" s="196" t="s">
        <v>699</v>
      </c>
      <c r="D1" s="196" t="s">
        <v>697</v>
      </c>
      <c r="E1" s="196" t="s">
        <v>700</v>
      </c>
      <c r="F1" s="196" t="s">
        <v>701</v>
      </c>
      <c r="G1" s="196" t="s">
        <v>702</v>
      </c>
      <c r="I1" s="680" t="s">
        <v>703</v>
      </c>
      <c r="J1" s="680"/>
      <c r="K1" s="680"/>
      <c r="L1" s="680"/>
      <c r="M1" s="680"/>
      <c r="N1" s="680"/>
    </row>
    <row r="2" spans="1:14" x14ac:dyDescent="0.2">
      <c r="A2" s="51" t="s">
        <v>134</v>
      </c>
      <c r="B2" s="357">
        <v>37000</v>
      </c>
      <c r="C2" s="357">
        <f>SUM('Monthly Paper Distribution'!B12:B23)+SUM('Monthly Paper Distribution'!D12:D23)</f>
        <v>37445</v>
      </c>
      <c r="D2" s="9">
        <v>3265</v>
      </c>
      <c r="E2" s="9">
        <f>SUM('Monthly Paper Distribution'!F12:F23)+SUM('Monthly Paper Distribution'!H12:H23)</f>
        <v>3265</v>
      </c>
      <c r="F2" s="9">
        <f t="shared" ref="F2:F14" si="0">B2+D2</f>
        <v>40265</v>
      </c>
      <c r="G2" s="9">
        <f t="shared" ref="G2:G14" si="1">C2+E2</f>
        <v>40710</v>
      </c>
    </row>
    <row r="3" spans="1:14" x14ac:dyDescent="0.2">
      <c r="A3" s="51" t="s">
        <v>135</v>
      </c>
      <c r="B3" s="357">
        <v>35850</v>
      </c>
      <c r="C3" s="357">
        <f>SUM('Monthly Paper Distribution'!B24:B35)+SUM('Monthly Paper Distribution'!D24:D35)</f>
        <v>36255</v>
      </c>
      <c r="D3" s="9">
        <v>6890</v>
      </c>
      <c r="E3" s="9">
        <f>SUM('Monthly Paper Distribution'!F24:F35)+SUM('Monthly Paper Distribution'!H24:H35)</f>
        <v>6890</v>
      </c>
      <c r="F3" s="9">
        <f t="shared" si="0"/>
        <v>42740</v>
      </c>
      <c r="G3" s="9">
        <f t="shared" si="1"/>
        <v>43145</v>
      </c>
    </row>
    <row r="4" spans="1:14" x14ac:dyDescent="0.2">
      <c r="A4" s="51" t="s">
        <v>118</v>
      </c>
      <c r="B4" s="357">
        <v>36765</v>
      </c>
      <c r="C4" s="357">
        <f>SUM('Monthly Paper Distribution'!B36:B47)+SUM('Monthly Paper Distribution'!D36:D47)</f>
        <v>37274</v>
      </c>
      <c r="D4" s="9">
        <v>6775</v>
      </c>
      <c r="E4" s="9">
        <f>SUM('Monthly Paper Distribution'!F36:F47)+SUM('Monthly Paper Distribution'!H36:H47)</f>
        <v>6775</v>
      </c>
      <c r="F4" s="9">
        <f t="shared" si="0"/>
        <v>43540</v>
      </c>
      <c r="G4" s="9">
        <f t="shared" si="1"/>
        <v>44049</v>
      </c>
    </row>
    <row r="5" spans="1:14" x14ac:dyDescent="0.2">
      <c r="A5" s="51" t="s">
        <v>58</v>
      </c>
      <c r="B5" s="357">
        <v>31720</v>
      </c>
      <c r="C5" s="357">
        <f>SUM('Monthly Paper Distribution'!B48:B59)+SUM('Monthly Paper Distribution'!D48:D59)</f>
        <v>32280</v>
      </c>
      <c r="D5" s="9">
        <v>7600</v>
      </c>
      <c r="E5" s="9">
        <f>SUM('Monthly Paper Distribution'!F48:F59)+SUM('Monthly Paper Distribution'!H48:H59)</f>
        <v>7600</v>
      </c>
      <c r="F5" s="9">
        <f t="shared" si="0"/>
        <v>39320</v>
      </c>
      <c r="G5" s="9">
        <f t="shared" si="1"/>
        <v>39880</v>
      </c>
    </row>
    <row r="6" spans="1:14" x14ac:dyDescent="0.2">
      <c r="A6" s="51" t="s">
        <v>61</v>
      </c>
      <c r="B6" s="357">
        <v>31370</v>
      </c>
      <c r="C6" s="357">
        <f>SUM('Monthly Paper Distribution'!B60:B71)+SUM('Monthly Paper Distribution'!D60:D71)</f>
        <v>31880</v>
      </c>
      <c r="D6" s="9">
        <v>7510</v>
      </c>
      <c r="E6" s="9">
        <f>SUM('Monthly Paper Distribution'!F60:F71)+SUM('Monthly Paper Distribution'!H60:H71)</f>
        <v>7510</v>
      </c>
      <c r="F6" s="9">
        <f t="shared" si="0"/>
        <v>38880</v>
      </c>
      <c r="G6" s="9">
        <f t="shared" si="1"/>
        <v>39390</v>
      </c>
    </row>
    <row r="7" spans="1:14" x14ac:dyDescent="0.2">
      <c r="A7" s="51" t="s">
        <v>63</v>
      </c>
      <c r="B7" s="357">
        <v>25635</v>
      </c>
      <c r="C7" s="357">
        <f>SUM('Monthly Paper Distribution'!B72:B83)+SUM('Monthly Paper Distribution'!D72:D83)</f>
        <v>26160</v>
      </c>
      <c r="D7" s="9">
        <v>12510</v>
      </c>
      <c r="E7" s="9">
        <f>SUM('Monthly Paper Distribution'!F72:F83)+SUM('Monthly Paper Distribution'!H72:H83)</f>
        <v>12510</v>
      </c>
      <c r="F7" s="9">
        <f t="shared" si="0"/>
        <v>38145</v>
      </c>
      <c r="G7" s="9">
        <f t="shared" si="1"/>
        <v>38670</v>
      </c>
    </row>
    <row r="8" spans="1:14" x14ac:dyDescent="0.2">
      <c r="A8" s="51" t="s">
        <v>64</v>
      </c>
      <c r="B8" s="357">
        <v>20745</v>
      </c>
      <c r="C8" s="357">
        <f>SUM('Monthly Paper Distribution'!B84:B95)+SUM('Monthly Paper Distribution'!D84:D95)</f>
        <v>21354</v>
      </c>
      <c r="D8" s="9">
        <v>15195</v>
      </c>
      <c r="E8" s="9">
        <f>SUM('Monthly Paper Distribution'!F84:F95)+SUM('Monthly Paper Distribution'!H84:H95)</f>
        <v>15195</v>
      </c>
      <c r="F8" s="9">
        <f t="shared" si="0"/>
        <v>35940</v>
      </c>
      <c r="G8" s="9">
        <f t="shared" si="1"/>
        <v>36549</v>
      </c>
    </row>
    <row r="9" spans="1:14" x14ac:dyDescent="0.2">
      <c r="A9" s="51" t="s">
        <v>65</v>
      </c>
      <c r="B9" s="357">
        <v>18710</v>
      </c>
      <c r="C9" s="357">
        <f>SUM('Monthly Paper Distribution'!B96:B107)+SUM('Monthly Paper Distribution'!D96:D107)</f>
        <v>19022</v>
      </c>
      <c r="D9" s="9">
        <v>15330</v>
      </c>
      <c r="E9" s="9">
        <f>SUM('Monthly Paper Distribution'!F96:F107)+SUM('Monthly Paper Distribution'!H96:H107)</f>
        <v>15330</v>
      </c>
      <c r="F9" s="9">
        <f t="shared" si="0"/>
        <v>34040</v>
      </c>
      <c r="G9" s="9">
        <f t="shared" si="1"/>
        <v>34352</v>
      </c>
    </row>
    <row r="10" spans="1:14" x14ac:dyDescent="0.2">
      <c r="A10" s="51" t="s">
        <v>66</v>
      </c>
      <c r="B10" s="357">
        <v>16141</v>
      </c>
      <c r="C10" s="357">
        <f>SUM('Monthly Paper Distribution'!B108:B119)+SUM('Monthly Paper Distribution'!D108:D119)</f>
        <v>16642</v>
      </c>
      <c r="D10" s="9">
        <v>8040</v>
      </c>
      <c r="E10" s="9">
        <f>SUM('Monthly Paper Distribution'!F108:F119)+SUM('Monthly Paper Distribution'!H108:H119)</f>
        <v>8040</v>
      </c>
      <c r="F10" s="9">
        <f t="shared" si="0"/>
        <v>24181</v>
      </c>
      <c r="G10" s="9">
        <f t="shared" si="1"/>
        <v>24682</v>
      </c>
    </row>
    <row r="11" spans="1:14" x14ac:dyDescent="0.2">
      <c r="A11" s="51" t="s">
        <v>68</v>
      </c>
      <c r="B11" s="9">
        <v>11502</v>
      </c>
      <c r="C11" s="9">
        <f>SUM('Monthly Paper Distribution'!B120:B131)+SUM('Monthly Paper Distribution'!D120:D131)</f>
        <v>11502</v>
      </c>
      <c r="D11" s="9">
        <v>4546</v>
      </c>
      <c r="E11" s="9">
        <f>SUM('Monthly Paper Distribution'!F120:F131)+SUM('Monthly Paper Distribution'!H120:H131)</f>
        <v>4546</v>
      </c>
      <c r="F11" s="9">
        <f t="shared" si="0"/>
        <v>16048</v>
      </c>
      <c r="G11" s="9">
        <f t="shared" si="1"/>
        <v>16048</v>
      </c>
    </row>
    <row r="12" spans="1:14" x14ac:dyDescent="0.2">
      <c r="A12" s="51" t="s">
        <v>70</v>
      </c>
      <c r="B12" s="9">
        <v>8436</v>
      </c>
      <c r="C12" s="9">
        <f>SUM('Monthly Paper Distribution'!B132:B143)+SUM('Monthly Paper Distribution'!D132:D143)</f>
        <v>8436</v>
      </c>
      <c r="D12" s="9">
        <v>11032</v>
      </c>
      <c r="E12" s="9">
        <f>SUM('Monthly Paper Distribution'!F132:F143)+SUM('Monthly Paper Distribution'!H132:H143)</f>
        <v>11032</v>
      </c>
      <c r="F12" s="9">
        <f t="shared" si="0"/>
        <v>19468</v>
      </c>
      <c r="G12" s="9">
        <f t="shared" si="1"/>
        <v>19468</v>
      </c>
    </row>
    <row r="13" spans="1:14" x14ac:dyDescent="0.2">
      <c r="A13" s="51" t="s">
        <v>72</v>
      </c>
      <c r="B13" s="9">
        <v>15930</v>
      </c>
      <c r="C13" s="9">
        <f>SUM('Monthly Paper Distribution'!B144:B155)+SUM('Monthly Paper Distribution'!D144:D155)</f>
        <v>15930</v>
      </c>
      <c r="D13" s="9">
        <v>4408</v>
      </c>
      <c r="E13" s="9">
        <f>SUM('Monthly Paper Distribution'!F144:F155)+SUM('Monthly Paper Distribution'!H144:H155)</f>
        <v>4408</v>
      </c>
      <c r="F13" s="9">
        <f t="shared" si="0"/>
        <v>20338</v>
      </c>
      <c r="G13" s="9">
        <f t="shared" si="1"/>
        <v>20338</v>
      </c>
      <c r="H13" s="207"/>
    </row>
    <row r="14" spans="1:14" x14ac:dyDescent="0.2">
      <c r="A14" s="51" t="s">
        <v>74</v>
      </c>
      <c r="B14" s="357">
        <v>8112</v>
      </c>
      <c r="C14" s="357">
        <f>SUM('Monthly Paper Distribution'!B156:B167)+SUM('Monthly Paper Distribution'!D156:D167)</f>
        <v>8419</v>
      </c>
      <c r="D14" s="357">
        <f>SUM('Monthly Paper Distribution'!H156:H167)</f>
        <v>5380</v>
      </c>
      <c r="E14" s="357">
        <f>SUM('Monthly Paper Distribution'!F156:F167)+SUM('Monthly Paper Distribution'!H156:H167)</f>
        <v>5395</v>
      </c>
      <c r="F14" s="9">
        <f t="shared" si="0"/>
        <v>13492</v>
      </c>
      <c r="G14" s="9">
        <f t="shared" si="1"/>
        <v>13814</v>
      </c>
    </row>
    <row r="15" spans="1:14" x14ac:dyDescent="0.2">
      <c r="B15" s="220"/>
      <c r="C15" s="220"/>
      <c r="D15" s="220"/>
      <c r="E15" s="220"/>
    </row>
    <row r="16" spans="1:14" x14ac:dyDescent="0.2">
      <c r="B16" s="9"/>
      <c r="C16" s="9"/>
      <c r="D16" s="9"/>
      <c r="E16" s="9"/>
    </row>
    <row r="19" spans="2:2" x14ac:dyDescent="0.2">
      <c r="B19" s="8" t="s">
        <v>704</v>
      </c>
    </row>
    <row r="20" spans="2:2" x14ac:dyDescent="0.2">
      <c r="B20" s="8" t="s">
        <v>705</v>
      </c>
    </row>
  </sheetData>
  <mergeCells count="1">
    <mergeCell ref="I1:N1"/>
  </mergeCells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9A70560454A24D9B372805159B7667" ma:contentTypeVersion="21" ma:contentTypeDescription="Create a new document." ma:contentTypeScope="" ma:versionID="14f976c721eda7b2b215a20b4d5a78d8">
  <xsd:schema xmlns:xsd="http://www.w3.org/2001/XMLSchema" xmlns:xs="http://www.w3.org/2001/XMLSchema" xmlns:p="http://schemas.microsoft.com/office/2006/metadata/properties" xmlns:ns2="bc76fe4c-a155-4cd4-b3ce-e749a30fe160" xmlns:ns3="be3055c3-5ee9-432b-9d2b-e9bb13d3524a" targetNamespace="http://schemas.microsoft.com/office/2006/metadata/properties" ma:root="true" ma:fieldsID="403c36ed6babb1ecd579e11e58fd3547" ns2:_="" ns3:_="">
    <xsd:import namespace="bc76fe4c-a155-4cd4-b3ce-e749a30fe160"/>
    <xsd:import namespace="be3055c3-5ee9-432b-9d2b-e9bb13d3524a"/>
    <xsd:element name="properties">
      <xsd:complexType>
        <xsd:sequence>
          <xsd:element name="documentManagement">
            <xsd:complexType>
              <xsd:all>
                <xsd:element ref="ns2:Marcusshortlist" minOccurs="0"/>
                <xsd:element ref="ns2:Skiee" minOccurs="0"/>
                <xsd:element ref="ns2:Loretta" minOccurs="0"/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6fe4c-a155-4cd4-b3ce-e749a30fe160" elementFormDefault="qualified">
    <xsd:import namespace="http://schemas.microsoft.com/office/2006/documentManagement/types"/>
    <xsd:import namespace="http://schemas.microsoft.com/office/infopath/2007/PartnerControls"/>
    <xsd:element name="Marcusshortlist" ma:index="1" nillable="true" ma:displayName="Marcus shortlist" ma:format="Dropdown" ma:internalName="Marcusshortlist" ma:readOnly="false">
      <xsd:simpleType>
        <xsd:restriction base="dms:Choice">
          <xsd:enumeration value="Yes"/>
          <xsd:enumeration value="Maybe"/>
          <xsd:enumeration value="No"/>
        </xsd:restriction>
      </xsd:simpleType>
    </xsd:element>
    <xsd:element name="Skiee" ma:index="2" nillable="true" ma:displayName="Skiee" ma:format="Dropdown" ma:internalName="Skiee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Loretta" ma:index="3" nillable="true" ma:displayName="Loretta" ma:format="Dropdown" ma:internalName="Loretta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Notes" ma:index="4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055c3-5ee9-432b-9d2b-e9bb13d352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04d644d6-ea8b-4050-b1ad-f9dfd9a46f14}" ma:internalName="TaxCatchAll" ma:readOnly="false" ma:showField="CatchAllData" ma:web="be3055c3-5ee9-432b-9d2b-e9bb13d352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76fe4c-a155-4cd4-b3ce-e749a30fe160">
      <Terms xmlns="http://schemas.microsoft.com/office/infopath/2007/PartnerControls"/>
    </lcf76f155ced4ddcb4097134ff3c332f>
    <TaxCatchAll xmlns="be3055c3-5ee9-432b-9d2b-e9bb13d3524a" xsi:nil="true"/>
    <SharedWithUsers xmlns="be3055c3-5ee9-432b-9d2b-e9bb13d3524a">
      <UserInfo>
        <DisplayName>MAKALINAO Constancia Maria Panganiban</DisplayName>
        <AccountId>218</AccountId>
        <AccountType/>
      </UserInfo>
    </SharedWithUsers>
    <Loretta xmlns="bc76fe4c-a155-4cd4-b3ce-e749a30fe160" xsi:nil="true"/>
    <Skiee xmlns="bc76fe4c-a155-4cd4-b3ce-e749a30fe160" xsi:nil="true"/>
    <Marcusshortlist xmlns="bc76fe4c-a155-4cd4-b3ce-e749a30fe160" xsi:nil="true"/>
    <Notes xmlns="bc76fe4c-a155-4cd4-b3ce-e749a30fe160" xsi:nil="true"/>
  </documentManagement>
</p:properties>
</file>

<file path=customXml/itemProps1.xml><?xml version="1.0" encoding="utf-8"?>
<ds:datastoreItem xmlns:ds="http://schemas.openxmlformats.org/officeDocument/2006/customXml" ds:itemID="{F3DFE132-C7CF-493F-A374-9392467AFC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76fe4c-a155-4cd4-b3ce-e749a30fe160"/>
    <ds:schemaRef ds:uri="be3055c3-5ee9-432b-9d2b-e9bb13d352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462AB4-4318-4262-AE18-7DBC92FB8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4A4F4A-87EB-412D-857C-87F8483EAE34}">
  <ds:schemaRefs>
    <ds:schemaRef ds:uri="bc76fe4c-a155-4cd4-b3ce-e749a30fe160"/>
    <ds:schemaRef ds:uri="http://schemas.openxmlformats.org/package/2006/metadata/core-properties"/>
    <ds:schemaRef ds:uri="be3055c3-5ee9-432b-9d2b-e9bb13d3524a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Table of Contents</vt:lpstr>
      <vt:lpstr>Annual Report (Energy)</vt:lpstr>
      <vt:lpstr>Monthly Renewable</vt:lpstr>
      <vt:lpstr>Yearly Renewable</vt:lpstr>
      <vt:lpstr>Monthly Electricity (Overview)</vt:lpstr>
      <vt:lpstr>Monthly Electricity (Processed)</vt:lpstr>
      <vt:lpstr>Monthly Electricity Reformatted</vt:lpstr>
      <vt:lpstr>Yearly Electricity (Overview)</vt:lpstr>
      <vt:lpstr>Yearly Electricity Reformatted</vt:lpstr>
      <vt:lpstr>Monthly Electricity (CHECK)</vt:lpstr>
      <vt:lpstr>Monthly Towngas (TGU)</vt:lpstr>
      <vt:lpstr>Yearly Towngas (TGU)</vt:lpstr>
      <vt:lpstr>Yearly Fuel</vt:lpstr>
      <vt:lpstr>Scope 1</vt:lpstr>
      <vt:lpstr>Scope 2</vt:lpstr>
      <vt:lpstr>Scope 3</vt:lpstr>
      <vt:lpstr>Yearly GHG (mCO2)</vt:lpstr>
      <vt:lpstr>Emission Factor (new)</vt:lpstr>
      <vt:lpstr>Emission Factor</vt:lpstr>
      <vt:lpstr>Annual Report (Water)</vt:lpstr>
      <vt:lpstr>Half-Year Report (Water)</vt:lpstr>
      <vt:lpstr>Monthly Potable (Overview)</vt:lpstr>
      <vt:lpstr>Yearly Potable (Overview)</vt:lpstr>
      <vt:lpstr>Monthly Seawater (m3)</vt:lpstr>
      <vt:lpstr>Yearly Seawater (m3)</vt:lpstr>
      <vt:lpstr>Monthly Potable (Meters)</vt:lpstr>
      <vt:lpstr>Category Water Data</vt:lpstr>
      <vt:lpstr>Annual Report (Waste)</vt:lpstr>
      <vt:lpstr>Half-Year Report (Waste)</vt:lpstr>
      <vt:lpstr>Raw Data (KG)</vt:lpstr>
      <vt:lpstr>Processed Waste (KG)</vt:lpstr>
      <vt:lpstr>Monthly Waste by Location (KG)</vt:lpstr>
      <vt:lpstr>Smart Waste Bin (Staff Quarter)</vt:lpstr>
      <vt:lpstr>Smart Waste Bin (Canteen)</vt:lpstr>
      <vt:lpstr>Raw Food Data (KG)</vt:lpstr>
      <vt:lpstr>Yearly Food Data</vt:lpstr>
      <vt:lpstr>Category Waste Data</vt:lpstr>
      <vt:lpstr>Monthly Recycling</vt:lpstr>
      <vt:lpstr>Yearly Recycling</vt:lpstr>
      <vt:lpstr>Daily Food Data</vt:lpstr>
      <vt:lpstr>Monthly Paper Distribution</vt:lpstr>
      <vt:lpstr>Yearly Paper Distribution</vt:lpstr>
      <vt:lpstr>Yearly Paper (match monthly)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 Law</dc:creator>
  <cp:keywords/>
  <dc:description/>
  <cp:lastModifiedBy>Chen Kai Xin Tiffany</cp:lastModifiedBy>
  <cp:revision/>
  <dcterms:created xsi:type="dcterms:W3CDTF">2024-02-01T23:41:14Z</dcterms:created>
  <dcterms:modified xsi:type="dcterms:W3CDTF">2026-07-16T03:55:43Z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0x010100A29A70560454A24D9B372805159B7667</vt:lpwstr>
  </property>
  <property fmtid="{D5CDD505-2E9C-101B-9397-08002B2CF9AE}" pid="3" name="MediaServiceImageTags">
    <vt:lpwstr/>
  </property>
</Properties>
</file>