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1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3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5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drawings/drawing16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7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8.xml" ContentType="application/vnd.openxmlformats-officedocument.drawing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drawings/drawing19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0.xml" ContentType="application/vnd.openxmlformats-officedocument.drawing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drawings/drawing21.xml" ContentType="application/vnd.openxmlformats-officedocument.drawing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2.xml" ContentType="application/vnd.openxmlformats-officedocument.spreadsheetml.comments+xml"/>
  <Override PartName="/xl/threadedComments/threadedComment3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ref/"/>
    </mc:Choice>
  </mc:AlternateContent>
  <xr:revisionPtr revIDLastSave="0" documentId="13_ncr:1_{A803EF62-ACBF-3840-8A38-1BD08709C3C1}" xr6:coauthVersionLast="47" xr6:coauthVersionMax="47" xr10:uidLastSave="{00000000-0000-0000-0000-000000000000}"/>
  <bookViews>
    <workbookView xWindow="0" yWindow="680" windowWidth="29400" windowHeight="15700" firstSheet="22" activeTab="29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Sheet1" sheetId="73" r:id="rId6"/>
    <sheet name="Monthly Electricity Reformatted" sheetId="55" r:id="rId7"/>
    <sheet name="Yearly Electricity (Overview)" sheetId="6" r:id="rId8"/>
    <sheet name="Yearly Electricity Reformatted" sheetId="61" r:id="rId9"/>
    <sheet name="Monthly Electricity (CHECK)" sheetId="72" r:id="rId10"/>
    <sheet name="Monthly Towngas (TGU)" sheetId="7" r:id="rId11"/>
    <sheet name="Yearly Towngas (TGU)" sheetId="8" r:id="rId12"/>
    <sheet name="Yearly Fuel" sheetId="62" r:id="rId13"/>
    <sheet name="Scope 1" sheetId="50" r:id="rId14"/>
    <sheet name="Scope 2" sheetId="65" r:id="rId15"/>
    <sheet name="Scope 3" sheetId="66" r:id="rId16"/>
    <sheet name="Yearly GHG (mCO2)" sheetId="12" r:id="rId17"/>
    <sheet name="Emission Factor (new)" sheetId="67" r:id="rId18"/>
    <sheet name="Emission Factor" sheetId="13" r:id="rId19"/>
    <sheet name="Annual Report (Water)" sheetId="14" r:id="rId20"/>
    <sheet name="Half-Year Report (Water)" sheetId="15" r:id="rId21"/>
    <sheet name="Monthly Potable (Overview)" sheetId="16" r:id="rId22"/>
    <sheet name="Yearly Potable (Overview)" sheetId="18" r:id="rId23"/>
    <sheet name="Monthly Seawater (m3)" sheetId="22" r:id="rId24"/>
    <sheet name="Yearly Seawater (m3)" sheetId="23" r:id="rId25"/>
    <sheet name="Monthly Potable (Meters)" sheetId="46" r:id="rId26"/>
    <sheet name="Category Water Data" sheetId="49" r:id="rId27"/>
    <sheet name="Annual Report (Waste)" sheetId="35" r:id="rId28"/>
    <sheet name="Half-Year Report (Waste)" sheetId="36" r:id="rId29"/>
    <sheet name="Raw Data (KG)" sheetId="38" r:id="rId30"/>
    <sheet name="Processed Waste (KG)" sheetId="74" r:id="rId31"/>
    <sheet name="Monthly Waste by Location (KG)" sheetId="63" r:id="rId32"/>
    <sheet name="Smart Waste Bin (Staff Quarter)" sheetId="71" r:id="rId33"/>
    <sheet name="Smart Waste Bin (Canteen)" sheetId="68" r:id="rId34"/>
    <sheet name="Raw Food Data (KG)" sheetId="39" r:id="rId35"/>
    <sheet name="Yearly Food Data" sheetId="53" r:id="rId36"/>
    <sheet name="Category Waste Data" sheetId="45" r:id="rId37"/>
    <sheet name="Monthly Recycling" sheetId="40" r:id="rId38"/>
    <sheet name="Yearly Recycling" sheetId="41" r:id="rId39"/>
    <sheet name="Daily Food Data" sheetId="64" r:id="rId40"/>
    <sheet name="Monthly Paper Distribution" sheetId="42" r:id="rId41"/>
    <sheet name="Yearly Paper Distribution" sheetId="43" r:id="rId42"/>
    <sheet name="Yearly Paper (match monthly)" sheetId="60" r:id="rId4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3" i="74" l="1"/>
  <c r="S142" i="74"/>
  <c r="S141" i="74"/>
  <c r="S140" i="74"/>
  <c r="S139" i="74"/>
  <c r="S138" i="74"/>
  <c r="S137" i="74"/>
  <c r="S136" i="74"/>
  <c r="S135" i="74"/>
  <c r="S134" i="74"/>
  <c r="E66" i="74"/>
  <c r="F62" i="74"/>
  <c r="E62" i="74"/>
  <c r="F59" i="74"/>
  <c r="E59" i="74"/>
  <c r="F55" i="74"/>
  <c r="D55" i="74"/>
  <c r="E54" i="74"/>
  <c r="D54" i="74"/>
  <c r="E51" i="74"/>
  <c r="D51" i="74"/>
  <c r="D49" i="74"/>
  <c r="B48" i="74"/>
  <c r="F47" i="74"/>
  <c r="E47" i="74"/>
  <c r="D47" i="74"/>
  <c r="B44" i="74"/>
  <c r="H146" i="38"/>
  <c r="X76" i="38"/>
  <c r="X69" i="38"/>
  <c r="L12" i="14"/>
  <c r="F35" i="7" l="1"/>
  <c r="G35" i="7" s="1"/>
  <c r="H35" i="7" s="1"/>
  <c r="F34" i="7"/>
  <c r="G34" i="7" s="1"/>
  <c r="H34" i="7" s="1"/>
  <c r="G75" i="48"/>
  <c r="P145" i="74" l="1"/>
  <c r="O25" i="74"/>
  <c r="G74" i="48"/>
  <c r="G47" i="48"/>
  <c r="G46" i="48"/>
  <c r="G73" i="48"/>
  <c r="P127" i="74" l="1"/>
  <c r="K146" i="40"/>
  <c r="L146" i="40" s="1"/>
  <c r="K147" i="40"/>
  <c r="K148" i="40"/>
  <c r="K149" i="40"/>
  <c r="K150" i="40"/>
  <c r="K151" i="40"/>
  <c r="L151" i="40" s="1"/>
  <c r="K152" i="40"/>
  <c r="L152" i="40" s="1"/>
  <c r="K153" i="40"/>
  <c r="K154" i="40"/>
  <c r="K155" i="40"/>
  <c r="K156" i="40"/>
  <c r="B146" i="40"/>
  <c r="C146" i="40"/>
  <c r="D146" i="40"/>
  <c r="E146" i="40"/>
  <c r="E17" i="41" s="1"/>
  <c r="F146" i="40"/>
  <c r="F17" i="41" s="1"/>
  <c r="G146" i="40"/>
  <c r="H146" i="40"/>
  <c r="H17" i="41" s="1"/>
  <c r="I146" i="40"/>
  <c r="I17" i="41" s="1"/>
  <c r="J146" i="40"/>
  <c r="B147" i="40"/>
  <c r="C147" i="40"/>
  <c r="D147" i="40"/>
  <c r="E147" i="40"/>
  <c r="F147" i="40"/>
  <c r="G147" i="40"/>
  <c r="H147" i="40"/>
  <c r="I147" i="40"/>
  <c r="J147" i="40"/>
  <c r="B148" i="40"/>
  <c r="C148" i="40"/>
  <c r="D148" i="40"/>
  <c r="E148" i="40"/>
  <c r="F148" i="40"/>
  <c r="G148" i="40"/>
  <c r="H148" i="40"/>
  <c r="I148" i="40"/>
  <c r="J148" i="40"/>
  <c r="B149" i="40"/>
  <c r="C149" i="40"/>
  <c r="D149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Q17" i="41"/>
  <c r="K17" i="41"/>
  <c r="L17" i="41"/>
  <c r="N17" i="41" s="1"/>
  <c r="J17" i="41"/>
  <c r="B17" i="41"/>
  <c r="C17" i="41"/>
  <c r="D17" i="41"/>
  <c r="G17" i="41"/>
  <c r="L150" i="40" l="1"/>
  <c r="L149" i="40"/>
  <c r="L148" i="40"/>
  <c r="L147" i="40"/>
  <c r="L153" i="40"/>
  <c r="L154" i="40"/>
  <c r="L156" i="40"/>
  <c r="L155" i="40"/>
  <c r="M17" i="41"/>
  <c r="P17" i="41" s="1"/>
  <c r="O17" i="41"/>
  <c r="N13" i="35" l="1"/>
  <c r="L13" i="35"/>
  <c r="P13" i="35" s="1"/>
  <c r="K13" i="35"/>
  <c r="I13" i="35"/>
  <c r="J13" i="35"/>
  <c r="G13" i="35"/>
  <c r="H13" i="35"/>
  <c r="E13" i="35"/>
  <c r="F13" i="35"/>
  <c r="C13" i="35"/>
  <c r="D13" i="35"/>
  <c r="B13" i="35"/>
  <c r="C13" i="23"/>
  <c r="D13" i="23" s="1"/>
  <c r="B13" i="23"/>
  <c r="B12" i="23"/>
  <c r="E8" i="23"/>
  <c r="M13" i="35" l="1"/>
  <c r="Q13" i="35"/>
  <c r="O13" i="35"/>
  <c r="Z105" i="22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F12" i="47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I45" i="55" l="1"/>
  <c r="I46" i="55"/>
  <c r="I47" i="55"/>
  <c r="I48" i="55"/>
  <c r="I49" i="55"/>
  <c r="AE5" i="6"/>
  <c r="AE6" i="6"/>
  <c r="AE7" i="6"/>
  <c r="AE8" i="6"/>
  <c r="AE9" i="6"/>
  <c r="AE10" i="6"/>
  <c r="AE11" i="6"/>
  <c r="AE12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C12" i="6"/>
  <c r="C11" i="6"/>
  <c r="C10" i="6"/>
  <c r="B10" i="6" s="1"/>
  <c r="C9" i="6"/>
  <c r="C8" i="6"/>
  <c r="B8" i="6" s="1"/>
  <c r="C7" i="6"/>
  <c r="B7" i="6" s="1"/>
  <c r="C6" i="6"/>
  <c r="B6" i="6" s="1"/>
  <c r="C5" i="6"/>
  <c r="B5" i="6" s="1"/>
  <c r="C4" i="6"/>
  <c r="B4" i="6" s="1"/>
  <c r="C3" i="6"/>
  <c r="B3" i="6" s="1"/>
  <c r="C2" i="6"/>
  <c r="B2" i="6" s="1"/>
  <c r="R2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J13" i="61" s="1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5" i="55"/>
  <c r="M66" i="55"/>
  <c r="M67" i="55"/>
  <c r="M68" i="55"/>
  <c r="M62" i="55"/>
  <c r="B63" i="55"/>
  <c r="B64" i="55"/>
  <c r="B65" i="55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O68" i="55"/>
  <c r="H64" i="55"/>
  <c r="I64" i="55"/>
  <c r="I63" i="55"/>
  <c r="H63" i="55"/>
  <c r="I62" i="55"/>
  <c r="H62" i="55"/>
  <c r="AA146" i="4"/>
  <c r="N68" i="55" s="1"/>
  <c r="AE142" i="4"/>
  <c r="AD142" i="4"/>
  <c r="AE141" i="4"/>
  <c r="AD141" i="4"/>
  <c r="M63" i="55" s="1"/>
  <c r="AE140" i="4"/>
  <c r="AF13" i="6" s="1"/>
  <c r="B13" i="2"/>
  <c r="C13" i="2"/>
  <c r="H14" i="61" l="1"/>
  <c r="I13" i="61"/>
  <c r="AE13" i="6"/>
  <c r="B9" i="6"/>
  <c r="M64" i="55"/>
  <c r="I12" i="61"/>
  <c r="I14" i="61"/>
  <c r="B12" i="6"/>
  <c r="G11" i="47"/>
  <c r="B13" i="6"/>
  <c r="G12" i="47"/>
  <c r="R65" i="55"/>
  <c r="B11" i="6"/>
  <c r="Q65" i="55"/>
  <c r="Q68" i="55"/>
  <c r="Q66" i="55"/>
  <c r="R67" i="55"/>
  <c r="R68" i="55"/>
  <c r="Q67" i="55"/>
  <c r="R66" i="55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90" i="39"/>
  <c r="Q7" i="41" l="1"/>
  <c r="T70" i="39"/>
  <c r="S70" i="39"/>
  <c r="R70" i="39"/>
  <c r="T82" i="39"/>
  <c r="S82" i="39"/>
  <c r="R82" i="39"/>
  <c r="L114" i="39"/>
  <c r="Q114" i="39" s="1"/>
  <c r="Q113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O8" i="61"/>
  <c r="O2" i="55"/>
  <c r="O3" i="55"/>
  <c r="Q8" i="61" l="1"/>
  <c r="R8" i="61" s="1"/>
  <c r="Q5" i="61"/>
  <c r="R5" i="61" s="1"/>
  <c r="Q4" i="61"/>
  <c r="R4" i="61" s="1"/>
  <c r="Q7" i="61"/>
  <c r="R7" i="61" s="1"/>
  <c r="Q3" i="61"/>
  <c r="R3" i="61" s="1"/>
  <c r="Q6" i="61"/>
  <c r="R6" i="61" s="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L10" i="72"/>
  <c r="L11" i="72"/>
  <c r="L12" i="72"/>
  <c r="L13" i="72"/>
  <c r="L14" i="72"/>
  <c r="L15" i="72"/>
  <c r="L16" i="72"/>
  <c r="L17" i="72"/>
  <c r="L18" i="72"/>
  <c r="L19" i="72"/>
  <c r="L20" i="72"/>
  <c r="L21" i="72"/>
  <c r="L22" i="72"/>
  <c r="L23" i="72"/>
  <c r="L24" i="72"/>
  <c r="L25" i="72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Q64" i="72"/>
  <c r="N64" i="72"/>
  <c r="K64" i="72"/>
  <c r="H64" i="72"/>
  <c r="E64" i="72"/>
  <c r="W63" i="72"/>
  <c r="T63" i="72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K59" i="72"/>
  <c r="H59" i="72"/>
  <c r="E59" i="72"/>
  <c r="B59" i="72"/>
  <c r="AD58" i="72"/>
  <c r="AA58" i="72"/>
  <c r="W58" i="72"/>
  <c r="Q58" i="72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K51" i="72"/>
  <c r="H51" i="72"/>
  <c r="E51" i="72"/>
  <c r="B51" i="72"/>
  <c r="AD50" i="72"/>
  <c r="AA50" i="72"/>
  <c r="W50" i="72"/>
  <c r="Q50" i="72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F12" i="72" s="1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V64" i="72" l="1"/>
  <c r="AI25" i="72"/>
  <c r="AI17" i="72"/>
  <c r="AI9" i="72"/>
  <c r="Y44" i="72"/>
  <c r="AF50" i="72"/>
  <c r="Y52" i="72"/>
  <c r="AF58" i="72"/>
  <c r="V63" i="72"/>
  <c r="AF30" i="72"/>
  <c r="S50" i="72"/>
  <c r="P51" i="72"/>
  <c r="S58" i="72"/>
  <c r="P59" i="72"/>
  <c r="Y60" i="72"/>
  <c r="J13" i="72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K39" i="72" l="1"/>
  <c r="AJ37" i="72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Q107" i="39"/>
  <c r="Q108" i="39"/>
  <c r="Q109" i="39"/>
  <c r="Q110" i="39"/>
  <c r="Q111" i="39"/>
  <c r="Q112" i="39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H147" i="38"/>
  <c r="H149" i="38"/>
  <c r="S14" i="35" l="1"/>
  <c r="S15" i="35" s="1"/>
  <c r="S12" i="35"/>
  <c r="AE64" i="72"/>
  <c r="AD64" i="72"/>
  <c r="AF64" i="72" s="1"/>
  <c r="F149" i="38"/>
  <c r="E149" i="38"/>
  <c r="H148" i="38"/>
  <c r="F148" i="38"/>
  <c r="E148" i="38"/>
  <c r="F147" i="38"/>
  <c r="E147" i="38"/>
  <c r="F146" i="38"/>
  <c r="E146" i="38"/>
  <c r="C150" i="45" l="1"/>
  <c r="E150" i="45"/>
  <c r="G150" i="45"/>
  <c r="B150" i="45"/>
  <c r="K49" i="45"/>
  <c r="M49" i="45"/>
  <c r="O49" i="45"/>
  <c r="J49" i="45"/>
  <c r="K48" i="45"/>
  <c r="M48" i="45"/>
  <c r="O48" i="45"/>
  <c r="J48" i="45"/>
  <c r="K47" i="45"/>
  <c r="M47" i="45"/>
  <c r="O47" i="45"/>
  <c r="J47" i="45"/>
  <c r="B148" i="45"/>
  <c r="C148" i="45"/>
  <c r="E148" i="45"/>
  <c r="G148" i="45"/>
  <c r="B137" i="45"/>
  <c r="C137" i="45"/>
  <c r="D137" i="45"/>
  <c r="E137" i="45"/>
  <c r="F137" i="45"/>
  <c r="G137" i="45"/>
  <c r="B138" i="45"/>
  <c r="C138" i="45"/>
  <c r="D138" i="45"/>
  <c r="E138" i="45"/>
  <c r="F138" i="45"/>
  <c r="G138" i="45"/>
  <c r="B139" i="45"/>
  <c r="C139" i="45"/>
  <c r="D139" i="45"/>
  <c r="E139" i="45"/>
  <c r="F139" i="45"/>
  <c r="G139" i="45"/>
  <c r="B140" i="45"/>
  <c r="C140" i="45"/>
  <c r="D140" i="45"/>
  <c r="E140" i="45"/>
  <c r="F140" i="45"/>
  <c r="G140" i="45"/>
  <c r="B141" i="45"/>
  <c r="C141" i="45"/>
  <c r="D141" i="45"/>
  <c r="E141" i="45"/>
  <c r="F141" i="45"/>
  <c r="G141" i="45"/>
  <c r="B142" i="45"/>
  <c r="C142" i="45"/>
  <c r="D142" i="45"/>
  <c r="E142" i="45"/>
  <c r="F142" i="45"/>
  <c r="G142" i="45"/>
  <c r="B143" i="45"/>
  <c r="C143" i="45"/>
  <c r="D143" i="45"/>
  <c r="E143" i="45"/>
  <c r="F143" i="45"/>
  <c r="G143" i="45"/>
  <c r="B144" i="45"/>
  <c r="C144" i="45"/>
  <c r="D144" i="45"/>
  <c r="E144" i="45"/>
  <c r="F144" i="45"/>
  <c r="G144" i="45"/>
  <c r="B145" i="45"/>
  <c r="C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R64" i="55" l="1"/>
  <c r="J14" i="61"/>
  <c r="AA64" i="72"/>
  <c r="AB64" i="72"/>
  <c r="AI64" i="72" s="1"/>
  <c r="M14" i="61"/>
  <c r="AA63" i="72"/>
  <c r="AB63" i="72"/>
  <c r="L48" i="45"/>
  <c r="L49" i="45"/>
  <c r="L47" i="45"/>
  <c r="K14" i="61"/>
  <c r="N62" i="55"/>
  <c r="R62" i="55" s="1"/>
  <c r="AD62" i="72"/>
  <c r="C62" i="72"/>
  <c r="AE62" i="72"/>
  <c r="N63" i="55"/>
  <c r="R63" i="55" s="1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R14" i="61" l="1"/>
  <c r="AC63" i="72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Q95" i="39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H26" i="66" s="1"/>
  <c r="D26" i="66"/>
  <c r="C26" i="66"/>
  <c r="E26" i="66" s="1"/>
  <c r="F25" i="66"/>
  <c r="D25" i="66"/>
  <c r="C25" i="66"/>
  <c r="G24" i="66"/>
  <c r="F24" i="66"/>
  <c r="H24" i="66" s="1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E37" i="66" l="1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Z145" i="38" l="1"/>
  <c r="K732" i="64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L14" i="41" l="1"/>
  <c r="Q14" i="41" s="1"/>
  <c r="U140" i="38"/>
  <c r="J140" i="40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K10" i="53" l="1"/>
  <c r="O14" i="41"/>
  <c r="N14" i="41"/>
  <c r="E145" i="38"/>
  <c r="H144" i="38"/>
  <c r="D144" i="40" s="1"/>
  <c r="H142" i="38"/>
  <c r="D142" i="40" s="1"/>
  <c r="E144" i="38"/>
  <c r="E143" i="38"/>
  <c r="E142" i="38"/>
  <c r="E141" i="38"/>
  <c r="E140" i="38"/>
  <c r="L10" i="53" l="1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G39" i="66"/>
  <c r="H39" i="66" s="1"/>
  <c r="I39" i="66" s="1"/>
  <c r="B143" i="40"/>
  <c r="L143" i="40" s="1"/>
  <c r="G40" i="66"/>
  <c r="H40" i="66" s="1"/>
  <c r="I40" i="66" s="1"/>
  <c r="B144" i="40"/>
  <c r="G41" i="66"/>
  <c r="H41" i="66" s="1"/>
  <c r="I41" i="66" s="1"/>
  <c r="B145" i="40"/>
  <c r="L145" i="40" s="1"/>
  <c r="G42" i="66"/>
  <c r="L144" i="40"/>
  <c r="L142" i="40"/>
  <c r="C57" i="55" l="1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C137" i="40"/>
  <c r="D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U137" i="38"/>
  <c r="E139" i="38"/>
  <c r="G36" i="66" s="1"/>
  <c r="H36" i="66" s="1"/>
  <c r="I36" i="66" s="1"/>
  <c r="E138" i="38"/>
  <c r="G35" i="66" s="1"/>
  <c r="H35" i="66" s="1"/>
  <c r="I35" i="66" s="1"/>
  <c r="B138" i="40" l="1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E137" i="38"/>
  <c r="G34" i="66" s="1"/>
  <c r="H34" i="66" s="1"/>
  <c r="I34" i="66" s="1"/>
  <c r="I15" i="12"/>
  <c r="AG11" i="2" s="1"/>
  <c r="Q7" i="35" l="1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D2" i="40"/>
  <c r="D3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5" i="40"/>
  <c r="D126" i="40"/>
  <c r="D127" i="40"/>
  <c r="D128" i="40"/>
  <c r="D129" i="40"/>
  <c r="D130" i="40"/>
  <c r="D131" i="40"/>
  <c r="D132" i="40"/>
  <c r="D133" i="40"/>
  <c r="D134" i="40"/>
  <c r="D135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G14" i="41"/>
  <c r="G10" i="35" s="1"/>
  <c r="I14" i="41"/>
  <c r="I10" i="35" s="1"/>
  <c r="H14" i="41"/>
  <c r="H10" i="35" s="1"/>
  <c r="E14" i="41"/>
  <c r="E10" i="35" s="1"/>
  <c r="D14" i="41"/>
  <c r="D10" i="35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Q14" i="36"/>
  <c r="Q15" i="36"/>
  <c r="Q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P3" i="55" l="1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P40" i="55"/>
  <c r="P41" i="55"/>
  <c r="P42" i="55"/>
  <c r="P43" i="55"/>
  <c r="P44" i="55"/>
  <c r="P45" i="55"/>
  <c r="P46" i="55"/>
  <c r="P47" i="55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Q47" i="55" l="1"/>
  <c r="Q39" i="55"/>
  <c r="R17" i="55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1" i="61" l="1"/>
  <c r="R10" i="61"/>
  <c r="R13" i="61"/>
  <c r="R12" i="61"/>
  <c r="Q9" i="61"/>
  <c r="R9" i="61" s="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I16" i="41" s="1"/>
  <c r="I12" i="35" s="1"/>
  <c r="H136" i="40"/>
  <c r="H16" i="41" s="1"/>
  <c r="H12" i="35" s="1"/>
  <c r="G136" i="40"/>
  <c r="G16" i="41" s="1"/>
  <c r="G12" i="35" s="1"/>
  <c r="E136" i="40"/>
  <c r="E16" i="41" s="1"/>
  <c r="E12" i="35" s="1"/>
  <c r="D136" i="40"/>
  <c r="D16" i="41" s="1"/>
  <c r="D12" i="35" s="1"/>
  <c r="C136" i="40"/>
  <c r="C16" i="41" s="1"/>
  <c r="C12" i="35" s="1"/>
  <c r="C14" i="35" s="1"/>
  <c r="B136" i="40"/>
  <c r="G134" i="45"/>
  <c r="G135" i="45"/>
  <c r="G136" i="45"/>
  <c r="D134" i="45"/>
  <c r="D135" i="45"/>
  <c r="D136" i="45"/>
  <c r="C135" i="45"/>
  <c r="C136" i="45"/>
  <c r="D148" i="45" l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L46" i="45"/>
  <c r="O46" i="45"/>
  <c r="U136" i="38"/>
  <c r="B136" i="38"/>
  <c r="U135" i="38"/>
  <c r="U134" i="38"/>
  <c r="B135" i="38"/>
  <c r="B134" i="38"/>
  <c r="L16" i="41" l="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N16" i="41" l="1"/>
  <c r="O16" i="41"/>
  <c r="L12" i="35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Q96" i="39"/>
  <c r="Q97" i="39"/>
  <c r="Q98" i="39"/>
  <c r="Q99" i="39"/>
  <c r="Q100" i="39"/>
  <c r="Q101" i="39"/>
  <c r="Q102" i="39"/>
  <c r="Q103" i="39"/>
  <c r="Q104" i="39"/>
  <c r="Q105" i="39"/>
  <c r="Q106" i="39"/>
  <c r="E134" i="38"/>
  <c r="G31" i="66" s="1"/>
  <c r="R106" i="39" l="1"/>
  <c r="S106" i="39" s="1"/>
  <c r="T106" i="39" s="1"/>
  <c r="AE14" i="2"/>
  <c r="AE13" i="2"/>
  <c r="AG12" i="2"/>
  <c r="AH13" i="2"/>
  <c r="AH14" i="2"/>
  <c r="E43" i="66"/>
  <c r="H31" i="66"/>
  <c r="G43" i="66"/>
  <c r="F139" i="40"/>
  <c r="L139" i="40" s="1"/>
  <c r="F138" i="40"/>
  <c r="L138" i="40" s="1"/>
  <c r="F137" i="40"/>
  <c r="L137" i="40" s="1"/>
  <c r="F134" i="40"/>
  <c r="F136" i="45"/>
  <c r="S16" i="36"/>
  <c r="F136" i="40"/>
  <c r="L136" i="40" s="1"/>
  <c r="F135" i="40"/>
  <c r="L135" i="40" s="1"/>
  <c r="S15" i="36"/>
  <c r="F135" i="45"/>
  <c r="B134" i="40"/>
  <c r="S14" i="36"/>
  <c r="F134" i="45"/>
  <c r="P14" i="36"/>
  <c r="C134" i="45"/>
  <c r="F15" i="12"/>
  <c r="E15" i="12"/>
  <c r="F148" i="45" l="1"/>
  <c r="H148" i="45" s="1"/>
  <c r="AG14" i="2"/>
  <c r="AG13" i="2"/>
  <c r="I31" i="66"/>
  <c r="H43" i="66"/>
  <c r="I43" i="66" s="1"/>
  <c r="L134" i="40"/>
  <c r="B16" i="41"/>
  <c r="B12" i="35" s="1"/>
  <c r="B14" i="35" s="1"/>
  <c r="F16" i="41"/>
  <c r="N46" i="45"/>
  <c r="K46" i="45"/>
  <c r="F12" i="35" l="1"/>
  <c r="D16" i="12"/>
  <c r="M12" i="35"/>
  <c r="O12" i="35" s="1"/>
  <c r="F149" i="45"/>
  <c r="M16" i="41"/>
  <c r="P19" i="35" l="1"/>
  <c r="O19" i="35"/>
  <c r="P16" i="41"/>
  <c r="F16" i="12"/>
  <c r="AF12" i="2"/>
  <c r="Q12" i="35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C131" i="45"/>
  <c r="C133" i="45"/>
  <c r="E132" i="45"/>
  <c r="E133" i="45"/>
  <c r="D131" i="45"/>
  <c r="D150" i="45" s="1"/>
  <c r="G132" i="45"/>
  <c r="G133" i="45"/>
  <c r="D132" i="45"/>
  <c r="D133" i="45"/>
  <c r="B132" i="45"/>
  <c r="B133" i="45"/>
  <c r="G131" i="45"/>
  <c r="B131" i="45"/>
  <c r="L44" i="16" l="1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U131" i="38"/>
  <c r="G10" i="7"/>
  <c r="H10" i="7" s="1"/>
  <c r="J131" i="40" l="1"/>
  <c r="E131" i="45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J12" i="14" l="1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U128" i="38"/>
  <c r="U129" i="38"/>
  <c r="U130" i="38"/>
  <c r="B129" i="38"/>
  <c r="B128" i="38"/>
  <c r="B130" i="38"/>
  <c r="E30" i="66" l="1"/>
  <c r="L15" i="41"/>
  <c r="J130" i="40"/>
  <c r="J129" i="40"/>
  <c r="J128" i="40"/>
  <c r="Q87" i="39"/>
  <c r="Q88" i="39"/>
  <c r="Q89" i="39"/>
  <c r="Q91" i="39"/>
  <c r="Q92" i="39"/>
  <c r="Q93" i="39"/>
  <c r="Q94" i="39"/>
  <c r="Q15" i="41" l="1"/>
  <c r="Q16" i="41"/>
  <c r="O15" i="41"/>
  <c r="N15" i="41"/>
  <c r="F133" i="45"/>
  <c r="F133" i="40"/>
  <c r="L133" i="40" s="1"/>
  <c r="F132" i="45"/>
  <c r="F132" i="40"/>
  <c r="L132" i="40" s="1"/>
  <c r="F131" i="40"/>
  <c r="L131" i="40" s="1"/>
  <c r="F130" i="40"/>
  <c r="L130" i="40" s="1"/>
  <c r="F129" i="40"/>
  <c r="F128" i="40"/>
  <c r="L128" i="40" s="1"/>
  <c r="F127" i="40"/>
  <c r="F126" i="40"/>
  <c r="F131" i="45"/>
  <c r="AL7" i="2"/>
  <c r="AL8" i="2"/>
  <c r="AL9" i="2"/>
  <c r="AL10" i="2"/>
  <c r="AT18" i="2" s="1"/>
  <c r="F150" i="45" l="1"/>
  <c r="N8" i="2"/>
  <c r="AK8" i="2" s="1"/>
  <c r="N9" i="2"/>
  <c r="AK9" i="2" s="1"/>
  <c r="AT14" i="2" s="1"/>
  <c r="N7" i="2"/>
  <c r="AK7" i="2" s="1"/>
  <c r="N10" i="2"/>
  <c r="AK10" i="2" s="1"/>
  <c r="AT13" i="2" s="1"/>
  <c r="R9" i="36"/>
  <c r="E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T6" i="36"/>
  <c r="BU6" i="36"/>
  <c r="BW6" i="36"/>
  <c r="BX6" i="36"/>
  <c r="BY6" i="36"/>
  <c r="BR6" i="36"/>
  <c r="CF6" i="36"/>
  <c r="CG6" i="36"/>
  <c r="CH6" i="36"/>
  <c r="CJ6" i="36"/>
  <c r="CK6" i="36"/>
  <c r="CL6" i="36"/>
  <c r="CE6" i="36"/>
  <c r="CH3" i="36"/>
  <c r="CL3" i="36"/>
  <c r="CF2" i="36"/>
  <c r="CG2" i="36"/>
  <c r="CH2" i="36"/>
  <c r="CJ2" i="36"/>
  <c r="CK2" i="36"/>
  <c r="CL2" i="36"/>
  <c r="CE2" i="36"/>
  <c r="BU3" i="36"/>
  <c r="BY3" i="36"/>
  <c r="CA2" i="36"/>
  <c r="BS2" i="36"/>
  <c r="BT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B129" i="40"/>
  <c r="L129" i="40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J5" i="36"/>
  <c r="AK5" i="36"/>
  <c r="AN5" i="36"/>
  <c r="AO5" i="36"/>
  <c r="AQ5" i="36"/>
  <c r="AI6" i="36"/>
  <c r="AJ6" i="36"/>
  <c r="AK6" i="36"/>
  <c r="AL6" i="36"/>
  <c r="AN6" i="36"/>
  <c r="AO6" i="36"/>
  <c r="AI7" i="36"/>
  <c r="AJ7" i="36"/>
  <c r="AK7" i="36"/>
  <c r="AL7" i="36"/>
  <c r="AO7" i="36"/>
  <c r="AQ7" i="36"/>
  <c r="AM8" i="36"/>
  <c r="AN8" i="36"/>
  <c r="AI2" i="36"/>
  <c r="AJ2" i="36"/>
  <c r="AK2" i="36"/>
  <c r="AN2" i="36"/>
  <c r="AO2" i="36"/>
  <c r="AP2" i="36"/>
  <c r="AQ2" i="36"/>
  <c r="G151" i="45" l="1"/>
  <c r="B151" i="45"/>
  <c r="C151" i="45"/>
  <c r="D151" i="45"/>
  <c r="E151" i="45"/>
  <c r="F151" i="45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R2" i="36"/>
  <c r="Q5" i="36"/>
  <c r="Q7" i="36"/>
  <c r="Q8" i="36"/>
  <c r="Q2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Z3" i="36" l="1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Y127" i="38"/>
  <c r="E81" i="39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P3" i="39" l="1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2" i="39"/>
  <c r="L3" i="39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Q81" i="39" s="1"/>
  <c r="L82" i="39"/>
  <c r="L2" i="39"/>
  <c r="E3" i="39"/>
  <c r="Q3" i="39" s="1"/>
  <c r="E4" i="39"/>
  <c r="Q4" i="39" s="1"/>
  <c r="E5" i="39"/>
  <c r="Q5" i="39" s="1"/>
  <c r="E6" i="39"/>
  <c r="Q6" i="39" s="1"/>
  <c r="E7" i="39"/>
  <c r="Q7" i="39" s="1"/>
  <c r="E8" i="39"/>
  <c r="Q8" i="39" s="1"/>
  <c r="E9" i="39"/>
  <c r="Q9" i="39" s="1"/>
  <c r="E10" i="39"/>
  <c r="Q10" i="39" s="1"/>
  <c r="E11" i="39"/>
  <c r="Q11" i="39" s="1"/>
  <c r="E12" i="39"/>
  <c r="Q12" i="39" s="1"/>
  <c r="E13" i="39"/>
  <c r="Q13" i="39" s="1"/>
  <c r="E14" i="39"/>
  <c r="Q14" i="39" s="1"/>
  <c r="E15" i="39"/>
  <c r="Q15" i="39" s="1"/>
  <c r="E16" i="39"/>
  <c r="Q16" i="39" s="1"/>
  <c r="E17" i="39"/>
  <c r="Q17" i="39" s="1"/>
  <c r="E18" i="39"/>
  <c r="Q18" i="39" s="1"/>
  <c r="E19" i="39"/>
  <c r="Q19" i="39" s="1"/>
  <c r="E20" i="39"/>
  <c r="Q20" i="39" s="1"/>
  <c r="E21" i="39"/>
  <c r="Q21" i="39" s="1"/>
  <c r="E22" i="39"/>
  <c r="Q22" i="39" s="1"/>
  <c r="E23" i="39"/>
  <c r="Q23" i="39" s="1"/>
  <c r="E24" i="39"/>
  <c r="Q24" i="39" s="1"/>
  <c r="E25" i="39"/>
  <c r="Q25" i="39" s="1"/>
  <c r="E26" i="39"/>
  <c r="Q26" i="39" s="1"/>
  <c r="E27" i="39"/>
  <c r="Q27" i="39" s="1"/>
  <c r="E28" i="39"/>
  <c r="Q28" i="39" s="1"/>
  <c r="E29" i="39"/>
  <c r="Q29" i="39" s="1"/>
  <c r="E30" i="39"/>
  <c r="Q30" i="39" s="1"/>
  <c r="E31" i="39"/>
  <c r="Q31" i="39" s="1"/>
  <c r="E32" i="39"/>
  <c r="Q32" i="39" s="1"/>
  <c r="E33" i="39"/>
  <c r="Q33" i="39" s="1"/>
  <c r="E34" i="39"/>
  <c r="Q34" i="39" s="1"/>
  <c r="E35" i="39"/>
  <c r="Q35" i="39" s="1"/>
  <c r="E36" i="39"/>
  <c r="Q36" i="39" s="1"/>
  <c r="E37" i="39"/>
  <c r="Q37" i="39" s="1"/>
  <c r="E38" i="39"/>
  <c r="Q38" i="39" s="1"/>
  <c r="E39" i="39"/>
  <c r="Q39" i="39" s="1"/>
  <c r="E40" i="39"/>
  <c r="Q40" i="39" s="1"/>
  <c r="E41" i="39"/>
  <c r="Q41" i="39" s="1"/>
  <c r="E42" i="39"/>
  <c r="Q42" i="39" s="1"/>
  <c r="E43" i="39"/>
  <c r="Q43" i="39" s="1"/>
  <c r="E44" i="39"/>
  <c r="Q44" i="39" s="1"/>
  <c r="E45" i="39"/>
  <c r="Q45" i="39" s="1"/>
  <c r="E46" i="39"/>
  <c r="Q46" i="39" s="1"/>
  <c r="E47" i="39"/>
  <c r="Q47" i="39" s="1"/>
  <c r="E48" i="39"/>
  <c r="Q48" i="39" s="1"/>
  <c r="E49" i="39"/>
  <c r="Q49" i="39" s="1"/>
  <c r="E50" i="39"/>
  <c r="Q50" i="39" s="1"/>
  <c r="E51" i="39"/>
  <c r="Q51" i="39" s="1"/>
  <c r="E52" i="39"/>
  <c r="Q52" i="39" s="1"/>
  <c r="E53" i="39"/>
  <c r="Q53" i="39" s="1"/>
  <c r="E54" i="39"/>
  <c r="Q54" i="39" s="1"/>
  <c r="E55" i="39"/>
  <c r="Q55" i="39" s="1"/>
  <c r="E56" i="39"/>
  <c r="Q56" i="39" s="1"/>
  <c r="E57" i="39"/>
  <c r="Q57" i="39" s="1"/>
  <c r="E58" i="39"/>
  <c r="Q58" i="39" s="1"/>
  <c r="E59" i="39"/>
  <c r="Q59" i="39" s="1"/>
  <c r="E60" i="39"/>
  <c r="Q60" i="39" s="1"/>
  <c r="E61" i="39"/>
  <c r="Q61" i="39" s="1"/>
  <c r="E62" i="39"/>
  <c r="Q62" i="39" s="1"/>
  <c r="E63" i="39"/>
  <c r="Q63" i="39" s="1"/>
  <c r="E64" i="39"/>
  <c r="Q64" i="39" s="1"/>
  <c r="E65" i="39"/>
  <c r="Q65" i="39" s="1"/>
  <c r="E66" i="39"/>
  <c r="Q66" i="39" s="1"/>
  <c r="E67" i="39"/>
  <c r="Q67" i="39" s="1"/>
  <c r="E68" i="39"/>
  <c r="Q68" i="39" s="1"/>
  <c r="E69" i="39"/>
  <c r="Q69" i="39" s="1"/>
  <c r="E70" i="39"/>
  <c r="Q70" i="39" s="1"/>
  <c r="E71" i="39"/>
  <c r="Q71" i="39" s="1"/>
  <c r="E72" i="39"/>
  <c r="Q72" i="39" s="1"/>
  <c r="E73" i="39"/>
  <c r="Q73" i="39" s="1"/>
  <c r="E74" i="39"/>
  <c r="Q74" i="39" s="1"/>
  <c r="E75" i="39"/>
  <c r="Q75" i="39" s="1"/>
  <c r="E76" i="39"/>
  <c r="Q76" i="39" s="1"/>
  <c r="E77" i="39"/>
  <c r="Q77" i="39" s="1"/>
  <c r="E78" i="39"/>
  <c r="Q78" i="39" s="1"/>
  <c r="E79" i="39"/>
  <c r="Q79" i="39" s="1"/>
  <c r="E80" i="39"/>
  <c r="Q80" i="39" s="1"/>
  <c r="E82" i="39"/>
  <c r="E2" i="39"/>
  <c r="Q2" i="39" s="1"/>
  <c r="P83" i="39"/>
  <c r="B128" i="36"/>
  <c r="Q83" i="39" l="1"/>
  <c r="BH2" i="36"/>
  <c r="F41" i="40"/>
  <c r="L41" i="40" s="1"/>
  <c r="F119" i="40"/>
  <c r="F118" i="40"/>
  <c r="F117" i="40"/>
  <c r="L117" i="40" s="1"/>
  <c r="F116" i="40"/>
  <c r="F115" i="40"/>
  <c r="L115" i="40" s="1"/>
  <c r="F114" i="40"/>
  <c r="F113" i="40"/>
  <c r="F112" i="40"/>
  <c r="L112" i="40" s="1"/>
  <c r="F111" i="40"/>
  <c r="F110" i="40"/>
  <c r="F109" i="40"/>
  <c r="F108" i="40"/>
  <c r="F107" i="40"/>
  <c r="F106" i="40"/>
  <c r="L106" i="40" s="1"/>
  <c r="F105" i="40"/>
  <c r="F104" i="40"/>
  <c r="L104" i="40" s="1"/>
  <c r="F103" i="40"/>
  <c r="F102" i="40"/>
  <c r="F101" i="40"/>
  <c r="L101" i="40" s="1"/>
  <c r="F100" i="40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L83" i="40" s="1"/>
  <c r="F82" i="40"/>
  <c r="L82" i="40" s="1"/>
  <c r="F81" i="40"/>
  <c r="L81" i="40" s="1"/>
  <c r="F80" i="40"/>
  <c r="L80" i="40" s="1"/>
  <c r="F79" i="40"/>
  <c r="F78" i="40"/>
  <c r="F77" i="40"/>
  <c r="F76" i="40"/>
  <c r="F75" i="40"/>
  <c r="F74" i="40"/>
  <c r="F73" i="40"/>
  <c r="F72" i="40"/>
  <c r="F71" i="40"/>
  <c r="F70" i="40"/>
  <c r="F69" i="40"/>
  <c r="F68" i="40"/>
  <c r="F67" i="40"/>
  <c r="F66" i="40"/>
  <c r="F65" i="40"/>
  <c r="F64" i="40"/>
  <c r="F63" i="40"/>
  <c r="F62" i="40"/>
  <c r="F61" i="40"/>
  <c r="L61" i="40" s="1"/>
  <c r="F60" i="40"/>
  <c r="F59" i="40"/>
  <c r="F58" i="40"/>
  <c r="F57" i="40"/>
  <c r="L57" i="40" s="1"/>
  <c r="F56" i="40"/>
  <c r="L56" i="40" s="1"/>
  <c r="F55" i="40"/>
  <c r="F54" i="40"/>
  <c r="F53" i="40"/>
  <c r="F52" i="40"/>
  <c r="L52" i="40" s="1"/>
  <c r="F51" i="40"/>
  <c r="F50" i="40"/>
  <c r="F49" i="40"/>
  <c r="F48" i="40"/>
  <c r="F47" i="40"/>
  <c r="F46" i="40"/>
  <c r="F45" i="40"/>
  <c r="L45" i="40" s="1"/>
  <c r="F44" i="40"/>
  <c r="F43" i="40"/>
  <c r="F42" i="40"/>
  <c r="F120" i="40"/>
  <c r="L120" i="40" s="1"/>
  <c r="X127" i="38"/>
  <c r="R94" i="39" l="1"/>
  <c r="S94" i="39" s="1"/>
  <c r="T94" i="39" s="1"/>
  <c r="CI2" i="36"/>
  <c r="L110" i="40"/>
  <c r="BV2" i="36"/>
  <c r="L114" i="40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T62" i="38"/>
  <c r="T59" i="38"/>
  <c r="T55" i="38"/>
  <c r="T47" i="38"/>
  <c r="S66" i="38"/>
  <c r="S62" i="38"/>
  <c r="S59" i="38"/>
  <c r="S54" i="38"/>
  <c r="S51" i="38"/>
  <c r="S47" i="38"/>
  <c r="R55" i="38"/>
  <c r="R54" i="38"/>
  <c r="R51" i="38"/>
  <c r="R49" i="38"/>
  <c r="K49" i="40" s="1"/>
  <c r="R47" i="38"/>
  <c r="E15" i="41"/>
  <c r="E11" i="35" s="1"/>
  <c r="I15" i="41"/>
  <c r="I11" i="35" s="1"/>
  <c r="H15" i="41"/>
  <c r="H11" i="35" s="1"/>
  <c r="P107" i="38"/>
  <c r="P105" i="38"/>
  <c r="P103" i="38"/>
  <c r="P102" i="38"/>
  <c r="P100" i="38"/>
  <c r="P99" i="38"/>
  <c r="P98" i="38"/>
  <c r="P97" i="38"/>
  <c r="P96" i="38"/>
  <c r="P95" i="38"/>
  <c r="P94" i="38"/>
  <c r="P92" i="38"/>
  <c r="P91" i="38"/>
  <c r="P90" i="38"/>
  <c r="P89" i="38"/>
  <c r="P88" i="38"/>
  <c r="P86" i="38"/>
  <c r="P85" i="38"/>
  <c r="P84" i="38"/>
  <c r="P79" i="38"/>
  <c r="P78" i="38"/>
  <c r="P77" i="38"/>
  <c r="P76" i="38"/>
  <c r="P74" i="38"/>
  <c r="P71" i="38"/>
  <c r="P70" i="38"/>
  <c r="P69" i="38"/>
  <c r="P67" i="38"/>
  <c r="P64" i="38"/>
  <c r="P58" i="38"/>
  <c r="P55" i="38"/>
  <c r="P53" i="38"/>
  <c r="P50" i="38"/>
  <c r="P48" i="38"/>
  <c r="P46" i="38"/>
  <c r="P44" i="38"/>
  <c r="P42" i="38"/>
  <c r="P40" i="38"/>
  <c r="K40" i="40" s="1"/>
  <c r="P36" i="38"/>
  <c r="K36" i="40" s="1"/>
  <c r="P35" i="38"/>
  <c r="K35" i="40" s="1"/>
  <c r="P34" i="38"/>
  <c r="K34" i="40" s="1"/>
  <c r="P33" i="38"/>
  <c r="K33" i="40" s="1"/>
  <c r="P32" i="38"/>
  <c r="K32" i="40" s="1"/>
  <c r="P31" i="38"/>
  <c r="P30" i="38"/>
  <c r="K30" i="40" s="1"/>
  <c r="P29" i="38"/>
  <c r="K29" i="40" s="1"/>
  <c r="P28" i="38"/>
  <c r="K28" i="40" s="1"/>
  <c r="P27" i="38"/>
  <c r="K27" i="40" s="1"/>
  <c r="P26" i="38"/>
  <c r="K26" i="40" s="1"/>
  <c r="P25" i="38"/>
  <c r="K25" i="40" s="1"/>
  <c r="P24" i="38"/>
  <c r="K24" i="40" s="1"/>
  <c r="P23" i="38"/>
  <c r="K23" i="40" s="1"/>
  <c r="P22" i="38"/>
  <c r="K22" i="40" s="1"/>
  <c r="P21" i="38"/>
  <c r="K21" i="40" s="1"/>
  <c r="P20" i="38"/>
  <c r="K20" i="40" s="1"/>
  <c r="P19" i="38"/>
  <c r="P18" i="38"/>
  <c r="K18" i="40" s="1"/>
  <c r="P17" i="38"/>
  <c r="K17" i="40" s="1"/>
  <c r="P16" i="38"/>
  <c r="K16" i="40" s="1"/>
  <c r="P15" i="38"/>
  <c r="K15" i="40" s="1"/>
  <c r="P14" i="38"/>
  <c r="K14" i="40" s="1"/>
  <c r="P13" i="38"/>
  <c r="K13" i="40" s="1"/>
  <c r="P12" i="38"/>
  <c r="K12" i="40" s="1"/>
  <c r="P11" i="38"/>
  <c r="K11" i="40" s="1"/>
  <c r="P10" i="38"/>
  <c r="K10" i="40" s="1"/>
  <c r="P9" i="38"/>
  <c r="K9" i="40" s="1"/>
  <c r="P8" i="38"/>
  <c r="K8" i="40" s="1"/>
  <c r="P7" i="38"/>
  <c r="P6" i="38"/>
  <c r="K6" i="40" s="1"/>
  <c r="P5" i="38"/>
  <c r="K5" i="40" s="1"/>
  <c r="P4" i="38"/>
  <c r="K4" i="40" s="1"/>
  <c r="P3" i="38"/>
  <c r="K3" i="40" s="1"/>
  <c r="P2" i="38"/>
  <c r="K2" i="40" s="1"/>
  <c r="O118" i="38"/>
  <c r="K118" i="40" s="1"/>
  <c r="O55" i="38"/>
  <c r="O43" i="38"/>
  <c r="O31" i="38"/>
  <c r="O19" i="38"/>
  <c r="O7" i="38"/>
  <c r="P11" i="35" l="1"/>
  <c r="K19" i="40"/>
  <c r="K31" i="40"/>
  <c r="K7" i="40"/>
  <c r="K43" i="40"/>
  <c r="L43" i="40" s="1"/>
  <c r="K55" i="40"/>
  <c r="L55" i="40" s="1"/>
  <c r="K42" i="40"/>
  <c r="L42" i="40" s="1"/>
  <c r="K46" i="40"/>
  <c r="L46" i="40" s="1"/>
  <c r="K50" i="40"/>
  <c r="L50" i="40" s="1"/>
  <c r="K53" i="40"/>
  <c r="L53" i="40" s="1"/>
  <c r="K58" i="40"/>
  <c r="L58" i="40" s="1"/>
  <c r="K64" i="40"/>
  <c r="L64" i="40" s="1"/>
  <c r="K67" i="40"/>
  <c r="L67" i="40" s="1"/>
  <c r="K69" i="40"/>
  <c r="K70" i="40"/>
  <c r="L70" i="40" s="1"/>
  <c r="K77" i="40"/>
  <c r="L77" i="40" s="1"/>
  <c r="K78" i="40"/>
  <c r="L78" i="40" s="1"/>
  <c r="K79" i="40"/>
  <c r="K84" i="40"/>
  <c r="K85" i="40"/>
  <c r="K86" i="40"/>
  <c r="L86" i="40" s="1"/>
  <c r="K88" i="40"/>
  <c r="L88" i="40" s="1"/>
  <c r="K89" i="40"/>
  <c r="K90" i="40"/>
  <c r="K91" i="40"/>
  <c r="L91" i="40" s="1"/>
  <c r="K92" i="40"/>
  <c r="L92" i="40" s="1"/>
  <c r="K94" i="40"/>
  <c r="L94" i="40" s="1"/>
  <c r="K95" i="40"/>
  <c r="L95" i="40" s="1"/>
  <c r="K96" i="40"/>
  <c r="K97" i="40"/>
  <c r="L97" i="40" s="1"/>
  <c r="K98" i="40"/>
  <c r="L98" i="40" s="1"/>
  <c r="K99" i="40"/>
  <c r="L99" i="40" s="1"/>
  <c r="K100" i="40"/>
  <c r="L100" i="40" s="1"/>
  <c r="K102" i="40"/>
  <c r="K103" i="40"/>
  <c r="K105" i="40"/>
  <c r="K107" i="40"/>
  <c r="K47" i="40"/>
  <c r="L47" i="40" s="1"/>
  <c r="K51" i="40"/>
  <c r="L51" i="40" s="1"/>
  <c r="K54" i="40"/>
  <c r="L54" i="40" s="1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CN2" i="36" l="1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Q6" i="36"/>
  <c r="X126" i="38"/>
  <c r="X125" i="38"/>
  <c r="K76" i="40"/>
  <c r="J48" i="38"/>
  <c r="J44" i="38"/>
  <c r="K74" i="40" l="1"/>
  <c r="K44" i="40"/>
  <c r="L44" i="40" s="1"/>
  <c r="K48" i="40"/>
  <c r="L48" i="40" s="1"/>
  <c r="K59" i="40"/>
  <c r="L59" i="40" s="1"/>
  <c r="K60" i="40"/>
  <c r="L60" i="40" s="1"/>
  <c r="K68" i="40"/>
  <c r="K71" i="40"/>
  <c r="L71" i="40" s="1"/>
  <c r="K73" i="40"/>
  <c r="L73" i="40" s="1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U127" i="38"/>
  <c r="E127" i="38"/>
  <c r="G23" i="66" s="1"/>
  <c r="H23" i="66" s="1"/>
  <c r="I23" i="66" s="1"/>
  <c r="U126" i="38"/>
  <c r="E126" i="38"/>
  <c r="G22" i="66" s="1"/>
  <c r="H22" i="66" s="1"/>
  <c r="I22" i="66" s="1"/>
  <c r="U125" i="38"/>
  <c r="E125" i="38"/>
  <c r="G21" i="66" s="1"/>
  <c r="H21" i="66" s="1"/>
  <c r="I21" i="66" s="1"/>
  <c r="X124" i="38"/>
  <c r="U124" i="38"/>
  <c r="I124" i="38"/>
  <c r="H124" i="38"/>
  <c r="G124" i="38"/>
  <c r="F124" i="38"/>
  <c r="E124" i="38"/>
  <c r="G20" i="66" s="1"/>
  <c r="H20" i="66" s="1"/>
  <c r="I20" i="66" s="1"/>
  <c r="X123" i="38"/>
  <c r="U123" i="38"/>
  <c r="H123" i="38"/>
  <c r="G123" i="38"/>
  <c r="F123" i="38"/>
  <c r="E123" i="38"/>
  <c r="G19" i="66" s="1"/>
  <c r="H19" i="66" s="1"/>
  <c r="I19" i="66" s="1"/>
  <c r="X122" i="38"/>
  <c r="E122" i="38"/>
  <c r="G18" i="66" s="1"/>
  <c r="U119" i="38"/>
  <c r="U116" i="38"/>
  <c r="U113" i="38"/>
  <c r="U111" i="38"/>
  <c r="U109" i="38"/>
  <c r="U108" i="38"/>
  <c r="U107" i="38"/>
  <c r="U105" i="38"/>
  <c r="U103" i="38"/>
  <c r="U102" i="38"/>
  <c r="U96" i="38"/>
  <c r="U93" i="38"/>
  <c r="U90" i="38"/>
  <c r="U89" i="38"/>
  <c r="U87" i="38"/>
  <c r="U85" i="38"/>
  <c r="U84" i="38"/>
  <c r="U79" i="38"/>
  <c r="G76" i="40"/>
  <c r="U76" i="38"/>
  <c r="J76" i="40" s="1"/>
  <c r="E76" i="38"/>
  <c r="E74" i="38"/>
  <c r="U72" i="38"/>
  <c r="X68" i="38"/>
  <c r="G68" i="40" s="1"/>
  <c r="U68" i="38"/>
  <c r="U66" i="38"/>
  <c r="U65" i="38"/>
  <c r="U63" i="38"/>
  <c r="H49" i="38"/>
  <c r="D40" i="38"/>
  <c r="E39" i="38"/>
  <c r="D39" i="38"/>
  <c r="D38" i="38"/>
  <c r="E37" i="38"/>
  <c r="D37" i="38"/>
  <c r="E36" i="38"/>
  <c r="D36" i="38"/>
  <c r="E35" i="38"/>
  <c r="D35" i="38"/>
  <c r="E34" i="38"/>
  <c r="D34" i="38"/>
  <c r="E33" i="38"/>
  <c r="D33" i="38"/>
  <c r="E32" i="38"/>
  <c r="D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G30" i="66" l="1"/>
  <c r="H18" i="66"/>
  <c r="B2" i="40"/>
  <c r="L2" i="40" s="1"/>
  <c r="B3" i="40"/>
  <c r="L3" i="40" s="1"/>
  <c r="B4" i="40"/>
  <c r="L4" i="40" s="1"/>
  <c r="B5" i="40"/>
  <c r="L5" i="40" s="1"/>
  <c r="B6" i="40"/>
  <c r="B7" i="40"/>
  <c r="L7" i="40" s="1"/>
  <c r="B8" i="40"/>
  <c r="L8" i="40" s="1"/>
  <c r="B9" i="40"/>
  <c r="L9" i="40" s="1"/>
  <c r="B10" i="40"/>
  <c r="B11" i="40"/>
  <c r="L11" i="40" s="1"/>
  <c r="B12" i="40"/>
  <c r="L12" i="40" s="1"/>
  <c r="B13" i="40"/>
  <c r="L13" i="40" s="1"/>
  <c r="B14" i="40"/>
  <c r="B15" i="40"/>
  <c r="L15" i="40" s="1"/>
  <c r="B16" i="40"/>
  <c r="L16" i="40" s="1"/>
  <c r="B17" i="40"/>
  <c r="L17" i="40" s="1"/>
  <c r="B18" i="40"/>
  <c r="B19" i="40"/>
  <c r="L19" i="40" s="1"/>
  <c r="B20" i="40"/>
  <c r="L20" i="40" s="1"/>
  <c r="B21" i="40"/>
  <c r="L21" i="40" s="1"/>
  <c r="B22" i="40"/>
  <c r="L22" i="40" s="1"/>
  <c r="B23" i="40"/>
  <c r="L23" i="40" s="1"/>
  <c r="B24" i="40"/>
  <c r="L24" i="40" s="1"/>
  <c r="B25" i="40"/>
  <c r="L25" i="40" s="1"/>
  <c r="B26" i="40"/>
  <c r="L26" i="40" s="1"/>
  <c r="B27" i="40"/>
  <c r="L27" i="40" s="1"/>
  <c r="B28" i="40"/>
  <c r="L28" i="40" s="1"/>
  <c r="B29" i="40"/>
  <c r="L29" i="40" s="1"/>
  <c r="B30" i="40"/>
  <c r="L30" i="40" s="1"/>
  <c r="B31" i="40"/>
  <c r="L31" i="40" s="1"/>
  <c r="B32" i="40"/>
  <c r="L32" i="40" s="1"/>
  <c r="B33" i="40"/>
  <c r="L33" i="40" s="1"/>
  <c r="B34" i="40"/>
  <c r="L34" i="40" s="1"/>
  <c r="B35" i="40"/>
  <c r="L35" i="40" s="1"/>
  <c r="B36" i="40"/>
  <c r="L36" i="40" s="1"/>
  <c r="B37" i="40"/>
  <c r="L37" i="40" s="1"/>
  <c r="B38" i="40"/>
  <c r="L38" i="40" s="1"/>
  <c r="B39" i="40"/>
  <c r="L39" i="40" s="1"/>
  <c r="B40" i="40"/>
  <c r="L40" i="40" s="1"/>
  <c r="D49" i="40"/>
  <c r="L49" i="40" s="1"/>
  <c r="J63" i="40"/>
  <c r="L63" i="40" s="1"/>
  <c r="J65" i="40"/>
  <c r="L65" i="40" s="1"/>
  <c r="J66" i="40"/>
  <c r="L66" i="40" s="1"/>
  <c r="J68" i="40"/>
  <c r="L68" i="40" s="1"/>
  <c r="G69" i="40"/>
  <c r="L69" i="40" s="1"/>
  <c r="J72" i="40"/>
  <c r="L72" i="40" s="1"/>
  <c r="B74" i="40"/>
  <c r="L74" i="40" s="1"/>
  <c r="B76" i="40"/>
  <c r="L76" i="40" s="1"/>
  <c r="J79" i="40"/>
  <c r="L79" i="40" s="1"/>
  <c r="J84" i="40"/>
  <c r="L84" i="40" s="1"/>
  <c r="J85" i="40"/>
  <c r="L85" i="40" s="1"/>
  <c r="J87" i="40"/>
  <c r="L87" i="40" s="1"/>
  <c r="J89" i="40"/>
  <c r="L89" i="40" s="1"/>
  <c r="J90" i="40"/>
  <c r="L90" i="40" s="1"/>
  <c r="J93" i="40"/>
  <c r="L93" i="40" s="1"/>
  <c r="J96" i="40"/>
  <c r="L96" i="40" s="1"/>
  <c r="J102" i="40"/>
  <c r="J103" i="40"/>
  <c r="L103" i="40" s="1"/>
  <c r="J105" i="40"/>
  <c r="L105" i="40" s="1"/>
  <c r="J107" i="40"/>
  <c r="L107" i="40" s="1"/>
  <c r="J108" i="40"/>
  <c r="J109" i="40"/>
  <c r="L109" i="40" s="1"/>
  <c r="J111" i="40"/>
  <c r="J113" i="40"/>
  <c r="L113" i="40" s="1"/>
  <c r="J116" i="40"/>
  <c r="J119" i="40"/>
  <c r="L119" i="40" s="1"/>
  <c r="B122" i="40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R6" i="36"/>
  <c r="J126" i="40"/>
  <c r="AP6" i="36" s="1"/>
  <c r="B127" i="40"/>
  <c r="R7" i="36"/>
  <c r="J127" i="40"/>
  <c r="AP7" i="36" s="1"/>
  <c r="L6" i="40"/>
  <c r="P5" i="36"/>
  <c r="P6" i="36"/>
  <c r="P3" i="36"/>
  <c r="P4" i="36"/>
  <c r="L18" i="40"/>
  <c r="L14" i="40"/>
  <c r="L10" i="40"/>
  <c r="P7" i="36"/>
  <c r="Q4" i="36"/>
  <c r="Q3" i="36"/>
  <c r="R3" i="36"/>
  <c r="P2" i="36"/>
  <c r="T2" i="36"/>
  <c r="AL8" i="36"/>
  <c r="P86" i="39"/>
  <c r="BH5" i="36" s="1"/>
  <c r="L86" i="39"/>
  <c r="P85" i="39"/>
  <c r="P84" i="39"/>
  <c r="B84" i="39"/>
  <c r="O82" i="39"/>
  <c r="P82" i="39" s="1"/>
  <c r="B82" i="39"/>
  <c r="Q82" i="39" s="1"/>
  <c r="B15" i="41" l="1"/>
  <c r="I18" i="66"/>
  <c r="I30" i="66" s="1"/>
  <c r="H30" i="66"/>
  <c r="AB2" i="36"/>
  <c r="F121" i="40"/>
  <c r="Q84" i="39"/>
  <c r="AZ3" i="36"/>
  <c r="BH3" i="36"/>
  <c r="Q85" i="39"/>
  <c r="BH4" i="36"/>
  <c r="Q86" i="39"/>
  <c r="BF5" i="36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L108" i="40"/>
  <c r="CM6" i="36"/>
  <c r="L102" i="40"/>
  <c r="CM2" i="36"/>
  <c r="CO2" i="36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F125" i="40" l="1"/>
  <c r="S5" i="36"/>
  <c r="F124" i="40"/>
  <c r="S4" i="36"/>
  <c r="F123" i="40"/>
  <c r="S3" i="36"/>
  <c r="L121" i="40"/>
  <c r="M121" i="40" s="1"/>
  <c r="CI6" i="36"/>
  <c r="CO6" i="36" s="1"/>
  <c r="F14" i="41"/>
  <c r="F10" i="35" s="1"/>
  <c r="BV6" i="36"/>
  <c r="CB6" i="36" s="1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L3" i="36"/>
  <c r="BV3" i="36"/>
  <c r="L123" i="40"/>
  <c r="F15" i="41"/>
  <c r="AL4" i="36"/>
  <c r="L124" i="40"/>
  <c r="AL5" i="36"/>
  <c r="L125" i="40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E2" i="36"/>
  <c r="AD2" i="36"/>
  <c r="CO3" i="36"/>
  <c r="CO4" i="36" s="1"/>
  <c r="M123" i="40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tc={2E0DB3E0-D2B1-A248-A167-74D3D86A69A2}</author>
    <author>tc={3E2FABC6-5229-9F46-8604-41A2EDB9263E}</author>
    <author>tc={8D9E8BF0-9664-B343-9C5B-0AD1528B561A}</author>
    <author>tc={DB5A8E93-33ED-C042-B183-0C2C4D940F19}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E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G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H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I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K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L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M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N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O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P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Q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R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S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T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U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 Ricky (Alba data)</t>
        </r>
      </text>
    </comment>
    <comment ref="V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X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Z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Z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20" authorId="12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0" authorId="13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0" authorId="14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Z120" authorId="15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U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U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U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Z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N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M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N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tc={BD0011D7-D860-0C40-B816-99383F51C297}</author>
    <author>tc={0678275A-91CF-6146-8E02-6B8281371E5F}</author>
    <author>tc={33CBCC37-A36A-464C-AFB7-1DC123E52451}</author>
    <author>tc={1A6A7C01-7F44-6B46-9637-89BD512AFFAD}</author>
  </authors>
  <commentList>
    <comment ref="C1" authorId="0" shapeId="0" xr:uid="{BD0011D7-D860-0C40-B816-99383F51C29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D1" authorId="1" shapeId="0" xr:uid="{0678275A-91CF-6146-8E02-6B8281371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E1" authorId="2" shapeId="0" xr:uid="{33CBCC37-A36A-464C-AFB7-1DC123E524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F1" authorId="3" shapeId="0" xr:uid="{1A6A7C01-7F44-6B46-9637-89BD512AFF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<sst xmlns="http://schemas.openxmlformats.org/spreadsheetml/2006/main" count="1965" uniqueCount="744">
  <si>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</si>
  <si>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</si>
  <si>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</si>
  <si>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</si>
  <si>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</si>
  <si>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</si>
  <si>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</si>
  <si>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</si>
  <si>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</si>
  <si>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</si>
  <si>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</si>
  <si>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</si>
  <si>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</si>
  <si>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</si>
  <si>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</si>
  <si>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</si>
  <si>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</si>
  <si>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</si>
  <si>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</si>
  <si>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</si>
  <si>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</si>
  <si>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</si>
  <si>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</si>
  <si>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</si>
  <si>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</si>
  <si>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</si>
  <si>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</si>
  <si>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</si>
  <si>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</si>
  <si>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</si>
  <si>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</si>
  <si>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</si>
  <si>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</si>
  <si>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</si>
  <si>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</si>
  <si>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</si>
  <si>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</si>
  <si>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</si>
  <si>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</si>
  <si>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</si>
  <si>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</si>
  <si>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</si>
  <si>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</si>
  <si>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</si>
  <si>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</si>
  <si>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</si>
  <si>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</si>
  <si>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</si>
  <si>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</si>
  <si>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</si>
  <si>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</si>
  <si>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</si>
  <si>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</si>
  <si>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</si>
  <si>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</si>
  <si>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</si>
  <si>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</si>
  <si>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</si>
  <si>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</si>
  <si>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</si>
  <si>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</si>
  <si>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</si>
  <si>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</si>
  <si>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</si>
  <si>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</si>
  <si>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</si>
  <si>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</si>
  <si>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</si>
  <si>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</si>
  <si>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</si>
  <si>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</si>
  <si>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</si>
  <si>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</si>
  <si>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</si>
  <si>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</si>
  <si>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</si>
  <si>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</si>
  <si>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</si>
  <si>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</si>
  <si>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</si>
  <si>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</si>
  <si>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</si>
  <si>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</si>
  <si>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</si>
  <si>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</si>
  <si>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</si>
  <si>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</si>
  <si>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</si>
  <si>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</si>
  <si>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</si>
  <si>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</si>
  <si>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</si>
  <si>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</si>
  <si>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</si>
  <si>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</si>
  <si>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</si>
  <si>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</si>
  <si>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</si>
  <si>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</si>
  <si>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</si>
  <si>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</si>
  <si>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</si>
  <si>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</si>
  <si>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</si>
  <si>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</si>
  <si>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</si>
  <si>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</si>
  <si>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</si>
  <si>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</si>
  <si>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</si>
  <si>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</si>
  <si>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</si>
  <si>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</si>
  <si>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</si>
  <si>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</si>
  <si>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</si>
  <si>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</si>
  <si>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</si>
  <si>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</si>
  <si>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</si>
  <si>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</si>
  <si>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</si>
  <si>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</si>
  <si>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</si>
  <si>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</si>
  <si>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</si>
  <si>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</si>
  <si>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</si>
  <si>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</si>
  <si>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</si>
  <si>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</si>
  <si>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</si>
  <si>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</si>
  <si>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</si>
  <si>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</si>
  <si>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</si>
  <si>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</si>
  <si>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</si>
  <si>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</si>
  <si>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</si>
  <si>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</si>
  <si>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</si>
  <si>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</si>
  <si>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</si>
  <si>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</si>
  <si>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</si>
  <si>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</si>
  <si>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</si>
  <si>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</si>
  <si>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</si>
  <si>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</si>
  <si>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</si>
  <si>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</si>
  <si>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</si>
  <si>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</si>
  <si>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</si>
  <si>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</si>
  <si>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</si>
  <si>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</si>
  <si>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</si>
  <si>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</si>
  <si>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</si>
  <si>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</si>
  <si>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</si>
  <si>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</si>
  <si>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</si>
  <si>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</si>
  <si>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</si>
  <si>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</si>
  <si>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</si>
  <si>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</si>
  <si>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</si>
  <si>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</si>
  <si>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</si>
  <si>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</si>
  <si>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</si>
  <si>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</si>
  <si>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</si>
  <si>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</si>
  <si>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</si>
  <si>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</si>
  <si>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</si>
  <si>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</si>
  <si>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</si>
  <si>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</si>
  <si>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</si>
  <si>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</si>
  <si>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</si>
  <si>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</si>
  <si>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</si>
  <si>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</si>
  <si>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</si>
  <si>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</si>
  <si>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</si>
  <si>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</si>
  <si>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</si>
  <si>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</si>
  <si>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</si>
  <si>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</si>
  <si>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</si>
  <si>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</si>
  <si>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</si>
  <si>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</si>
  <si>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</si>
  <si>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</si>
  <si>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</si>
  <si>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</si>
  <si>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</si>
  <si>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</si>
  <si>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</si>
  <si>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</si>
  <si>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</si>
  <si>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</si>
  <si>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</si>
  <si>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</si>
  <si>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</si>
  <si>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</si>
  <si>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</si>
  <si>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</si>
  <si>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</si>
  <si>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</si>
  <si>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</si>
  <si>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</si>
  <si>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</si>
  <si>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</si>
  <si>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</si>
  <si>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</si>
  <si>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</si>
  <si>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</si>
  <si>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</si>
  <si>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</si>
  <si>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</si>
  <si>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</si>
  <si>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</si>
  <si>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</si>
  <si>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</si>
  <si>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</si>
  <si>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</si>
  <si>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</si>
  <si>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</si>
  <si>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</si>
  <si>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</si>
  <si>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</si>
  <si>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</si>
  <si>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</si>
  <si>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</si>
  <si>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</si>
  <si>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</si>
  <si>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</si>
  <si>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</si>
  <si>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</si>
  <si>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</si>
  <si>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</si>
  <si>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</si>
  <si>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</si>
  <si>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</si>
  <si>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</si>
  <si>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</si>
  <si>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</si>
  <si>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</si>
  <si>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</si>
  <si>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</si>
  <si>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</si>
  <si>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</si>
  <si>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</si>
  <si>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</si>
  <si>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</si>
  <si>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</si>
  <si>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</si>
  <si>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</si>
  <si>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</si>
  <si>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</si>
  <si>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</si>
  <si>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</si>
  <si>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</si>
  <si>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</si>
  <si>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</si>
  <si>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</si>
  <si>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</si>
  <si>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</si>
  <si>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</si>
  <si>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</si>
  <si>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</si>
  <si>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</si>
  <si>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</si>
  <si>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</si>
  <si>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</si>
  <si>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</si>
  <si>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</si>
  <si>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</si>
  <si>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</si>
  <si>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</si>
  <si>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</si>
  <si>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</si>
  <si>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</si>
  <si>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</si>
  <si>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</si>
  <si>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</si>
  <si>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</si>
  <si>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</si>
  <si>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</si>
  <si>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</si>
  <si>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</si>
  <si>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</si>
  <si>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</si>
  <si>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</si>
  <si>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</si>
  <si>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</si>
  <si>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</si>
  <si>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</si>
  <si>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</si>
  <si>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</si>
  <si>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</si>
  <si>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</si>
  <si>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</si>
  <si>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</si>
  <si>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</si>
  <si>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</si>
  <si>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</si>
  <si>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</si>
  <si>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</si>
  <si>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</si>
  <si>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</si>
  <si>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</si>
  <si>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</si>
  <si>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</si>
  <si>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</si>
  <si>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</si>
  <si>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</si>
  <si>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</si>
  <si>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</si>
  <si>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</si>
  <si>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</si>
  <si>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</si>
  <si>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</si>
  <si>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</si>
  <si>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</si>
  <si>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</si>
  <si>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</si>
  <si>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</si>
  <si>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</si>
  <si>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</si>
  <si>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</si>
  <si>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</si>
  <si>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</si>
  <si>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</si>
  <si>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</si>
  <si>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</si>
  <si>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</si>
  <si>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</si>
  <si>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</si>
  <si>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</si>
  <si>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</si>
  <si>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</si>
  <si>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</si>
  <si>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</si>
  <si>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</si>
  <si>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</si>
  <si>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</si>
  <si>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</si>
  <si>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</si>
  <si>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</si>
  <si>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</si>
  <si>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</si>
  <si>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</si>
  <si>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</si>
  <si>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</si>
  <si>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</si>
  <si>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</si>
  <si>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</si>
  <si>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</si>
  <si>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</si>
  <si>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</si>
  <si>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</si>
  <si>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</si>
  <si>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</si>
  <si>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</si>
  <si>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</si>
  <si>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</si>
  <si>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</si>
  <si>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</si>
  <si>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</si>
  <si>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</si>
  <si>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</si>
  <si>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</si>
  <si>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</si>
  <si>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</si>
  <si>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</si>
  <si>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</si>
  <si>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</si>
  <si>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</si>
  <si>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</si>
  <si>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</si>
  <si>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</si>
  <si>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</si>
  <si>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</si>
  <si>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</si>
  <si>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</si>
  <si>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</si>
  <si>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</si>
  <si>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</si>
  <si>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</si>
  <si>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</si>
  <si>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</si>
  <si>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</si>
  <si>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</si>
  <si>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</si>
  <si>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</si>
  <si>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</si>
  <si>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</si>
  <si>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</si>
  <si>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</si>
  <si>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</si>
  <si>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</si>
  <si>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</si>
  <si>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</si>
  <si>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</si>
  <si>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</si>
  <si>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</si>
  <si>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</si>
  <si>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</si>
  <si>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</si>
  <si>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</si>
  <si>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</si>
  <si>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</si>
  <si>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</si>
  <si>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</si>
  <si>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</si>
  <si>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</si>
  <si>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</si>
  <si>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</si>
  <si>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</si>
  <si>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</si>
  <si>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</si>
  <si>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</si>
  <si>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</si>
  <si>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</si>
  <si>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</si>
  <si>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</si>
  <si>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</si>
  <si>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</si>
  <si>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</si>
  <si>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</si>
  <si>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</si>
  <si>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</si>
  <si>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</si>
  <si>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</si>
  <si>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</si>
  <si>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</si>
  <si>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</si>
  <si>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</si>
  <si>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</si>
  <si>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</si>
  <si>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</si>
  <si>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</si>
  <si>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</si>
  <si>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</si>
  <si>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</si>
  <si>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</si>
  <si>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</si>
  <si>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</si>
  <si>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</si>
  <si>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</si>
  <si>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</si>
  <si>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</si>
  <si>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</si>
  <si>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</si>
  <si>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</si>
  <si>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</si>
  <si>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</si>
  <si>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</si>
  <si>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</si>
  <si>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</si>
  <si>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</si>
  <si>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</si>
  <si>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</si>
  <si>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</si>
  <si>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</si>
  <si>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</si>
  <si>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</si>
  <si>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</si>
  <si>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</si>
  <si>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</si>
  <si>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</si>
  <si>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</si>
  <si>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</si>
  <si>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</si>
  <si>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</si>
  <si>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</si>
  <si>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</si>
  <si>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</si>
  <si>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</si>
  <si>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</si>
  <si>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</si>
  <si>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</si>
  <si>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</si>
  <si>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</si>
  <si>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</si>
  <si>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</si>
  <si>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</si>
  <si>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</si>
  <si>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</si>
  <si>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</si>
  <si>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</si>
  <si>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</si>
  <si>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</si>
  <si>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</si>
  <si>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</si>
  <si>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</si>
  <si>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</si>
  <si>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</si>
  <si>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</si>
  <si>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</si>
  <si>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</si>
  <si>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</si>
  <si>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</si>
  <si>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</si>
  <si>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</si>
  <si>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</si>
  <si>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</si>
  <si>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</si>
  <si>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</si>
  <si>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</si>
  <si>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</si>
  <si>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</si>
  <si>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</si>
  <si>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</si>
  <si>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</si>
  <si>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</si>
  <si>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</si>
  <si>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</si>
  <si>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</si>
  <si>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</si>
  <si>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</si>
  <si>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</si>
  <si>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</si>
  <si>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</si>
  <si>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</si>
  <si>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</si>
  <si>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</si>
  <si>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</si>
  <si>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</si>
  <si>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</si>
  <si>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</si>
  <si>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</si>
  <si>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</si>
  <si>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</si>
  <si>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</si>
  <si>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(12month rolling sum)</t>
  </si>
  <si>
    <t>-</t>
  </si>
  <si>
    <t xml:space="preserve"> - 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</si>
  <si>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</si>
  <si>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</si>
  <si>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</si>
  <si>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</si>
  <si>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</si>
  <si>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</si>
  <si>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</si>
  <si>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</si>
  <si>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</si>
  <si>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</si>
  <si>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</si>
  <si>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</si>
  <si>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</si>
  <si>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</si>
  <si>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</si>
  <si>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</si>
  <si>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</si>
  <si>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</si>
  <si>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</si>
  <si>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</si>
  <si>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</si>
  <si>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</si>
  <si>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</si>
  <si>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</si>
  <si>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</si>
  <si>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</si>
  <si>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</si>
  <si>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</si>
  <si>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</si>
  <si>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</si>
  <si>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</si>
  <si>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</si>
  <si>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</si>
  <si>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</si>
  <si>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</si>
  <si>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</si>
  <si>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</si>
  <si>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</si>
  <si>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</si>
  <si>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</si>
  <si>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</si>
  <si>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</si>
  <si>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</si>
  <si>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</si>
  <si>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</si>
  <si>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</si>
  <si>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</si>
  <si>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</si>
  <si>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</si>
  <si>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</si>
  <si>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</si>
  <si>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</si>
  <si>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</si>
  <si>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</si>
  <si>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</si>
  <si>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</si>
  <si>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</si>
  <si>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</si>
  <si>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</si>
  <si>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</si>
  <si>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</si>
  <si>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</si>
  <si>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</si>
  <si>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</si>
  <si>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</si>
  <si>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</si>
  <si>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</si>
  <si>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</si>
  <si>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</si>
  <si>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</si>
  <si>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</si>
  <si>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</si>
  <si>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</si>
  <si>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</si>
  <si>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</si>
  <si>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</si>
  <si>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</si>
  <si>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</si>
  <si>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</si>
  <si>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</si>
  <si>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</si>
  <si>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</si>
  <si>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</si>
  <si>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</si>
  <si>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</si>
  <si>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</si>
  <si>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</si>
  <si>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</si>
  <si>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</si>
  <si>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</si>
  <si>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</si>
  <si>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</si>
  <si>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</si>
  <si>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</si>
  <si>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</si>
  <si>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</si>
  <si>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</si>
  <si>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</si>
  <si>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</si>
  <si>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</si>
  <si>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</si>
  <si>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</si>
  <si>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</si>
  <si>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</si>
  <si>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</si>
  <si>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</si>
  <si>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</si>
  <si>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</si>
  <si>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</si>
  <si>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</si>
  <si>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</si>
  <si>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</si>
  <si>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</si>
  <si>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</si>
  <si>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</si>
  <si>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</si>
  <si>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</si>
  <si>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</si>
  <si>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</si>
  <si>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</si>
  <si>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</si>
  <si>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</si>
  <si>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</si>
  <si>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</si>
  <si>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</si>
  <si>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</si>
  <si>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</si>
  <si>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</si>
  <si>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</si>
  <si>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</si>
  <si>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</si>
  <si>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</si>
  <si>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</si>
  <si>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</si>
  <si>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</si>
  <si>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</si>
  <si>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</si>
  <si>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</si>
  <si>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</si>
  <si>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</si>
  <si>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</si>
  <si>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</si>
  <si>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</si>
  <si>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</si>
  <si>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</si>
  <si>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</si>
  <si>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</si>
  <si>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</si>
  <si>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</si>
  <si>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</si>
  <si>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</si>
  <si>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</si>
  <si>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</si>
  <si>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</si>
  <si>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</si>
  <si>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</si>
  <si>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</si>
  <si>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</si>
  <si>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</si>
  <si>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</si>
  <si>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</si>
  <si>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</si>
  <si>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</si>
  <si>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</si>
  <si>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</si>
  <si>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</si>
  <si>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</si>
  <si>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</si>
  <si>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</si>
  <si>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</si>
  <si>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</si>
  <si>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</si>
  <si>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</si>
  <si>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</si>
  <si>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</si>
  <si>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</si>
  <si>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</si>
  <si>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</si>
  <si>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</si>
  <si>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</si>
  <si>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</si>
  <si>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</si>
  <si>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</si>
  <si>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</si>
  <si>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</si>
  <si>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</si>
  <si>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</si>
  <si>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</si>
  <si>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</si>
  <si>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</si>
  <si>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</si>
  <si>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</si>
  <si>
    <t>Yearly Total Waste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</si>
</sst>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2" borderId="0" applyNumberFormat="0" applyBorder="0" applyAlignment="0" applyProtection="0"/>
  </cellStyleXfs>
  <cellXfs count="682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29" borderId="1" xfId="0" applyFill="1" applyBorder="1"/>
    <xf numFmtId="17" fontId="0" fillId="30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73" fontId="15" fillId="0" borderId="0" xfId="2" applyNumberFormat="1" applyFont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3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4" borderId="66" xfId="0" applyFont="1" applyFill="1" applyBorder="1" applyAlignment="1">
      <alignment horizontal="center" vertical="center" wrapText="1"/>
    </xf>
    <xf numFmtId="0" fontId="16" fillId="31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1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173" fontId="4" fillId="0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15" fillId="0" borderId="0" xfId="1" applyNumberFormat="1" applyFont="1" applyFill="1" applyAlignment="1">
      <alignment vertical="center" wrapText="1"/>
    </xf>
    <xf numFmtId="173" fontId="15" fillId="0" borderId="0" xfId="2" applyNumberFormat="1" applyFont="1" applyFill="1" applyAlignment="1">
      <alignment vertical="center"/>
    </xf>
    <xf numFmtId="9" fontId="15" fillId="0" borderId="0" xfId="2" applyFont="1" applyFill="1" applyAlignment="1">
      <alignment vertical="center"/>
    </xf>
    <xf numFmtId="173" fontId="15" fillId="0" borderId="0" xfId="2" applyNumberFormat="1" applyFont="1" applyFill="1" applyAlignment="1">
      <alignment vertical="center" wrapText="1"/>
    </xf>
    <xf numFmtId="3" fontId="15" fillId="0" borderId="0" xfId="0" applyNumberFormat="1" applyFont="1" applyAlignment="1">
      <alignment vertical="center" wrapText="1"/>
    </xf>
    <xf numFmtId="0" fontId="15" fillId="0" borderId="0" xfId="0" applyFont="1" applyAlignment="1">
      <alignment vertical="center" wrapText="1"/>
    </xf>
    <xf numFmtId="3" fontId="15" fillId="0" borderId="17" xfId="0" applyNumberFormat="1" applyFont="1" applyBorder="1" applyAlignment="1">
      <alignment vertical="center" wrapText="1"/>
    </xf>
    <xf numFmtId="3" fontId="15" fillId="0" borderId="51" xfId="0" applyNumberFormat="1" applyFont="1" applyBorder="1" applyAlignment="1">
      <alignment vertical="center" wrapText="1"/>
    </xf>
    <xf numFmtId="3" fontId="4" fillId="0" borderId="55" xfId="0" applyNumberFormat="1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6" fillId="32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4" fillId="0" borderId="0" xfId="1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  <c:pt idx="10">
                  <c:v>15243.6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  <c:pt idx="10">
                  <c:v>5551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20515</c:v>
                </c:pt>
                <c:pt idx="3">
                  <c:v>1356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16872</c:v>
                </c:pt>
                <c:pt idx="3">
                  <c:v>1702.1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17001</c:v>
                </c:pt>
                <c:pt idx="3">
                  <c:v>802.6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16333</c:v>
                </c:pt>
                <c:pt idx="3">
                  <c:v>2023.5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13952</c:v>
                </c:pt>
                <c:pt idx="3">
                  <c:v>1929.7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17142</c:v>
                </c:pt>
                <c:pt idx="3">
                  <c:v>2321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19935</c:v>
                </c:pt>
                <c:pt idx="3">
                  <c:v>1494.5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16318</c:v>
                </c:pt>
                <c:pt idx="3">
                  <c:v>1416.8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16333</c:v>
                </c:pt>
                <c:pt idx="3">
                  <c:v>1745.6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16539</c:v>
                </c:pt>
                <c:pt idx="3">
                  <c:v>1619.8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13957</c:v>
                </c:pt>
                <c:pt idx="3">
                  <c:v>906.7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19687</c:v>
                </c:pt>
                <c:pt idx="3">
                  <c:v>1168.2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259.5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1770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280.89999999999998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1271.0999999999999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304.75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1471.6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342.6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419.6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1417.2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396.8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1980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378.8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1905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371.4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1480.7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415.8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962.6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477.8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1272.8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466.2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447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783.7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> Waste Recycling Trend</a:t>
            </a:r>
            <a:r>
              <a:rPr lang="en-US"/>
              <a:t>l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(KG)'!$Q$1</c:f>
              <c:strCache>
                <c:ptCount val="1"/>
                <c:pt idx="0">
                  <c:v>Total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(KG)'!$A$2:$A$91</c:f>
              <c:numCache>
                <c:formatCode>[$-409]mmm\-yy;@</c:formatCode>
                <c:ptCount val="90"/>
                <c:pt idx="0">
                  <c:v>42644</c:v>
                </c:pt>
                <c:pt idx="1">
                  <c:v>42675</c:v>
                </c:pt>
                <c:pt idx="2">
                  <c:v>42705</c:v>
                </c:pt>
                <c:pt idx="3">
                  <c:v>42736</c:v>
                </c:pt>
                <c:pt idx="4">
                  <c:v>42767</c:v>
                </c:pt>
                <c:pt idx="5">
                  <c:v>42795</c:v>
                </c:pt>
                <c:pt idx="6">
                  <c:v>42826</c:v>
                </c:pt>
                <c:pt idx="7">
                  <c:v>42856</c:v>
                </c:pt>
                <c:pt idx="8">
                  <c:v>42887</c:v>
                </c:pt>
                <c:pt idx="9">
                  <c:v>42917</c:v>
                </c:pt>
                <c:pt idx="10">
                  <c:v>42948</c:v>
                </c:pt>
                <c:pt idx="11">
                  <c:v>42979</c:v>
                </c:pt>
                <c:pt idx="12">
                  <c:v>43009</c:v>
                </c:pt>
                <c:pt idx="13">
                  <c:v>43040</c:v>
                </c:pt>
                <c:pt idx="14">
                  <c:v>43070</c:v>
                </c:pt>
                <c:pt idx="15">
                  <c:v>43101</c:v>
                </c:pt>
                <c:pt idx="16">
                  <c:v>43132</c:v>
                </c:pt>
                <c:pt idx="17">
                  <c:v>43160</c:v>
                </c:pt>
                <c:pt idx="18">
                  <c:v>43191</c:v>
                </c:pt>
                <c:pt idx="19">
                  <c:v>43221</c:v>
                </c:pt>
                <c:pt idx="20">
                  <c:v>43252</c:v>
                </c:pt>
                <c:pt idx="21">
                  <c:v>43282</c:v>
                </c:pt>
                <c:pt idx="22">
                  <c:v>43313</c:v>
                </c:pt>
                <c:pt idx="23">
                  <c:v>43344</c:v>
                </c:pt>
                <c:pt idx="24">
                  <c:v>43374</c:v>
                </c:pt>
                <c:pt idx="25">
                  <c:v>43405</c:v>
                </c:pt>
                <c:pt idx="26">
                  <c:v>43435</c:v>
                </c:pt>
                <c:pt idx="27">
                  <c:v>43466</c:v>
                </c:pt>
                <c:pt idx="28">
                  <c:v>43497</c:v>
                </c:pt>
                <c:pt idx="29">
                  <c:v>43525</c:v>
                </c:pt>
                <c:pt idx="30">
                  <c:v>43556</c:v>
                </c:pt>
                <c:pt idx="31">
                  <c:v>43586</c:v>
                </c:pt>
                <c:pt idx="32">
                  <c:v>43617</c:v>
                </c:pt>
                <c:pt idx="33">
                  <c:v>43647</c:v>
                </c:pt>
                <c:pt idx="34">
                  <c:v>43678</c:v>
                </c:pt>
                <c:pt idx="35">
                  <c:v>43709</c:v>
                </c:pt>
                <c:pt idx="36">
                  <c:v>43739</c:v>
                </c:pt>
                <c:pt idx="37">
                  <c:v>43770</c:v>
                </c:pt>
                <c:pt idx="38">
                  <c:v>43800</c:v>
                </c:pt>
                <c:pt idx="39">
                  <c:v>43831</c:v>
                </c:pt>
                <c:pt idx="40">
                  <c:v>43862</c:v>
                </c:pt>
                <c:pt idx="41">
                  <c:v>43891</c:v>
                </c:pt>
                <c:pt idx="42">
                  <c:v>43922</c:v>
                </c:pt>
                <c:pt idx="43">
                  <c:v>43952</c:v>
                </c:pt>
                <c:pt idx="44">
                  <c:v>43983</c:v>
                </c:pt>
                <c:pt idx="45">
                  <c:v>44013</c:v>
                </c:pt>
                <c:pt idx="46">
                  <c:v>44044</c:v>
                </c:pt>
                <c:pt idx="47">
                  <c:v>44075</c:v>
                </c:pt>
                <c:pt idx="48">
                  <c:v>44105</c:v>
                </c:pt>
                <c:pt idx="49">
                  <c:v>44136</c:v>
                </c:pt>
                <c:pt idx="50">
                  <c:v>44166</c:v>
                </c:pt>
                <c:pt idx="51">
                  <c:v>44197</c:v>
                </c:pt>
                <c:pt idx="52">
                  <c:v>44228</c:v>
                </c:pt>
                <c:pt idx="53">
                  <c:v>44256</c:v>
                </c:pt>
                <c:pt idx="54">
                  <c:v>44287</c:v>
                </c:pt>
                <c:pt idx="55">
                  <c:v>44317</c:v>
                </c:pt>
                <c:pt idx="56">
                  <c:v>44348</c:v>
                </c:pt>
                <c:pt idx="57">
                  <c:v>44378</c:v>
                </c:pt>
                <c:pt idx="58">
                  <c:v>44409</c:v>
                </c:pt>
                <c:pt idx="59">
                  <c:v>44440</c:v>
                </c:pt>
                <c:pt idx="60">
                  <c:v>44470</c:v>
                </c:pt>
                <c:pt idx="61">
                  <c:v>44501</c:v>
                </c:pt>
                <c:pt idx="62">
                  <c:v>44531</c:v>
                </c:pt>
                <c:pt idx="63">
                  <c:v>44562</c:v>
                </c:pt>
                <c:pt idx="64">
                  <c:v>44593</c:v>
                </c:pt>
                <c:pt idx="65">
                  <c:v>44621</c:v>
                </c:pt>
                <c:pt idx="66">
                  <c:v>44652</c:v>
                </c:pt>
                <c:pt idx="67">
                  <c:v>44682</c:v>
                </c:pt>
                <c:pt idx="68">
                  <c:v>44713</c:v>
                </c:pt>
                <c:pt idx="69">
                  <c:v>44743</c:v>
                </c:pt>
                <c:pt idx="70">
                  <c:v>44774</c:v>
                </c:pt>
                <c:pt idx="71">
                  <c:v>44805</c:v>
                </c:pt>
                <c:pt idx="72">
                  <c:v>44835</c:v>
                </c:pt>
                <c:pt idx="73">
                  <c:v>44866</c:v>
                </c:pt>
                <c:pt idx="74">
                  <c:v>44896</c:v>
                </c:pt>
                <c:pt idx="75">
                  <c:v>44927</c:v>
                </c:pt>
                <c:pt idx="76">
                  <c:v>44958</c:v>
                </c:pt>
                <c:pt idx="77">
                  <c:v>44986</c:v>
                </c:pt>
                <c:pt idx="78">
                  <c:v>45017</c:v>
                </c:pt>
                <c:pt idx="79">
                  <c:v>45047</c:v>
                </c:pt>
                <c:pt idx="80">
                  <c:v>45078</c:v>
                </c:pt>
                <c:pt idx="81">
                  <c:v>45108</c:v>
                </c:pt>
                <c:pt idx="82">
                  <c:v>45139</c:v>
                </c:pt>
                <c:pt idx="83">
                  <c:v>45192</c:v>
                </c:pt>
                <c:pt idx="84">
                  <c:v>45222</c:v>
                </c:pt>
                <c:pt idx="85">
                  <c:v>45253</c:v>
                </c:pt>
                <c:pt idx="86">
                  <c:v>45283</c:v>
                </c:pt>
                <c:pt idx="87">
                  <c:v>45314</c:v>
                </c:pt>
                <c:pt idx="88">
                  <c:v>45345</c:v>
                </c:pt>
                <c:pt idx="89">
                  <c:v>45374</c:v>
                </c:pt>
              </c:numCache>
            </c:numRef>
          </c:cat>
          <c:val>
            <c:numRef>
              <c:f>'Raw Food Data (KG)'!$Q$2:$Q$91</c:f>
              <c:numCache>
                <c:formatCode>#,##0.00</c:formatCode>
                <c:ptCount val="90"/>
                <c:pt idx="0">
                  <c:v>21800</c:v>
                </c:pt>
                <c:pt idx="1">
                  <c:v>19250</c:v>
                </c:pt>
                <c:pt idx="2">
                  <c:v>16900</c:v>
                </c:pt>
                <c:pt idx="3">
                  <c:v>13750</c:v>
                </c:pt>
                <c:pt idx="4">
                  <c:v>18825</c:v>
                </c:pt>
                <c:pt idx="5">
                  <c:v>21975</c:v>
                </c:pt>
                <c:pt idx="6">
                  <c:v>18850</c:v>
                </c:pt>
                <c:pt idx="7">
                  <c:v>20275</c:v>
                </c:pt>
                <c:pt idx="8">
                  <c:v>21025</c:v>
                </c:pt>
                <c:pt idx="9">
                  <c:v>13275</c:v>
                </c:pt>
                <c:pt idx="10">
                  <c:v>15525</c:v>
                </c:pt>
                <c:pt idx="11">
                  <c:v>25050</c:v>
                </c:pt>
                <c:pt idx="12">
                  <c:v>25175</c:v>
                </c:pt>
                <c:pt idx="13">
                  <c:v>30100</c:v>
                </c:pt>
                <c:pt idx="14">
                  <c:v>30200</c:v>
                </c:pt>
                <c:pt idx="15">
                  <c:v>27975</c:v>
                </c:pt>
                <c:pt idx="16">
                  <c:v>21825</c:v>
                </c:pt>
                <c:pt idx="17">
                  <c:v>25300</c:v>
                </c:pt>
                <c:pt idx="18">
                  <c:v>25225</c:v>
                </c:pt>
                <c:pt idx="19">
                  <c:v>37200</c:v>
                </c:pt>
                <c:pt idx="20">
                  <c:v>27900</c:v>
                </c:pt>
                <c:pt idx="21">
                  <c:v>25675</c:v>
                </c:pt>
                <c:pt idx="22">
                  <c:v>16633.900000000001</c:v>
                </c:pt>
                <c:pt idx="23">
                  <c:v>18194.05</c:v>
                </c:pt>
                <c:pt idx="24">
                  <c:v>26058</c:v>
                </c:pt>
                <c:pt idx="25">
                  <c:v>28892.5</c:v>
                </c:pt>
                <c:pt idx="26">
                  <c:v>24534.5</c:v>
                </c:pt>
                <c:pt idx="27">
                  <c:v>21757.5</c:v>
                </c:pt>
                <c:pt idx="28">
                  <c:v>24584.5</c:v>
                </c:pt>
                <c:pt idx="29">
                  <c:v>30930.5</c:v>
                </c:pt>
                <c:pt idx="30">
                  <c:v>32534.5</c:v>
                </c:pt>
                <c:pt idx="31">
                  <c:v>31664</c:v>
                </c:pt>
                <c:pt idx="32">
                  <c:v>23162.5</c:v>
                </c:pt>
                <c:pt idx="33">
                  <c:v>19566</c:v>
                </c:pt>
                <c:pt idx="34">
                  <c:v>24598</c:v>
                </c:pt>
                <c:pt idx="35">
                  <c:v>34879.5</c:v>
                </c:pt>
                <c:pt idx="36">
                  <c:v>37724</c:v>
                </c:pt>
                <c:pt idx="37">
                  <c:v>27265.5</c:v>
                </c:pt>
                <c:pt idx="38">
                  <c:v>28071.5</c:v>
                </c:pt>
                <c:pt idx="39">
                  <c:v>23781.5</c:v>
                </c:pt>
                <c:pt idx="40">
                  <c:v>11633.5</c:v>
                </c:pt>
                <c:pt idx="41">
                  <c:v>13782.5</c:v>
                </c:pt>
                <c:pt idx="42">
                  <c:v>11779</c:v>
                </c:pt>
                <c:pt idx="43">
                  <c:v>15765</c:v>
                </c:pt>
                <c:pt idx="44">
                  <c:v>20002.000000000004</c:v>
                </c:pt>
                <c:pt idx="45">
                  <c:v>24809</c:v>
                </c:pt>
                <c:pt idx="46">
                  <c:v>23143</c:v>
                </c:pt>
                <c:pt idx="47">
                  <c:v>28611</c:v>
                </c:pt>
                <c:pt idx="48">
                  <c:v>31009</c:v>
                </c:pt>
                <c:pt idx="49">
                  <c:v>34289</c:v>
                </c:pt>
                <c:pt idx="50">
                  <c:v>33360</c:v>
                </c:pt>
                <c:pt idx="51">
                  <c:v>33517</c:v>
                </c:pt>
                <c:pt idx="52">
                  <c:v>29468</c:v>
                </c:pt>
                <c:pt idx="53">
                  <c:v>35447</c:v>
                </c:pt>
                <c:pt idx="54">
                  <c:v>43497</c:v>
                </c:pt>
                <c:pt idx="55">
                  <c:v>40188</c:v>
                </c:pt>
                <c:pt idx="56">
                  <c:v>35583</c:v>
                </c:pt>
                <c:pt idx="57">
                  <c:v>36437</c:v>
                </c:pt>
                <c:pt idx="58">
                  <c:v>33584</c:v>
                </c:pt>
                <c:pt idx="59">
                  <c:v>35376</c:v>
                </c:pt>
                <c:pt idx="60">
                  <c:v>45400</c:v>
                </c:pt>
                <c:pt idx="61">
                  <c:v>42665</c:v>
                </c:pt>
                <c:pt idx="62">
                  <c:v>41338</c:v>
                </c:pt>
                <c:pt idx="63">
                  <c:v>33071</c:v>
                </c:pt>
                <c:pt idx="64">
                  <c:v>24947</c:v>
                </c:pt>
                <c:pt idx="65">
                  <c:v>22091</c:v>
                </c:pt>
                <c:pt idx="66">
                  <c:v>24586.6</c:v>
                </c:pt>
                <c:pt idx="67">
                  <c:v>27462</c:v>
                </c:pt>
                <c:pt idx="68">
                  <c:v>22866</c:v>
                </c:pt>
                <c:pt idx="69">
                  <c:v>25176</c:v>
                </c:pt>
                <c:pt idx="70">
                  <c:v>26660</c:v>
                </c:pt>
                <c:pt idx="71">
                  <c:v>35619</c:v>
                </c:pt>
                <c:pt idx="72">
                  <c:v>39851</c:v>
                </c:pt>
                <c:pt idx="73">
                  <c:v>42228</c:v>
                </c:pt>
                <c:pt idx="74">
                  <c:v>44338</c:v>
                </c:pt>
                <c:pt idx="75">
                  <c:v>34407</c:v>
                </c:pt>
                <c:pt idx="76">
                  <c:v>28553</c:v>
                </c:pt>
                <c:pt idx="77">
                  <c:v>35187</c:v>
                </c:pt>
                <c:pt idx="78">
                  <c:v>39810.5</c:v>
                </c:pt>
                <c:pt idx="79">
                  <c:v>39784</c:v>
                </c:pt>
                <c:pt idx="80">
                  <c:v>40149.599999999999</c:v>
                </c:pt>
                <c:pt idx="81">
                  <c:v>23296.5</c:v>
                </c:pt>
                <c:pt idx="82">
                  <c:v>28190.499999999996</c:v>
                </c:pt>
                <c:pt idx="83">
                  <c:v>30387</c:v>
                </c:pt>
                <c:pt idx="84">
                  <c:v>30156.499999999996</c:v>
                </c:pt>
                <c:pt idx="85">
                  <c:v>42615.9</c:v>
                </c:pt>
                <c:pt idx="86">
                  <c:v>35693.299999999996</c:v>
                </c:pt>
                <c:pt idx="87">
                  <c:v>29377.9</c:v>
                </c:pt>
                <c:pt idx="88">
                  <c:v>35652.6</c:v>
                </c:pt>
                <c:pt idx="89">
                  <c:v>43510.8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82-EF4B-86FE-D22C1989D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4624976"/>
        <c:axId val="952809056"/>
      </c:areaChart>
      <c:dateAx>
        <c:axId val="924624976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09056"/>
        <c:crosses val="autoZero"/>
        <c:auto val="1"/>
        <c:lblOffset val="100"/>
        <c:baseTimeUnit val="months"/>
      </c:dateAx>
      <c:valAx>
        <c:axId val="95280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24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0.61014577878206722</c:v>
                </c:pt>
                <c:pt idx="1">
                  <c:v>6.0156305001195481E-2</c:v>
                </c:pt>
                <c:pt idx="2">
                  <c:v>7.1942541468031765E-2</c:v>
                </c:pt>
                <c:pt idx="3">
                  <c:v>5.8080582203649525E-3</c:v>
                </c:pt>
                <c:pt idx="4">
                  <c:v>0.17091277454471129</c:v>
                </c:pt>
                <c:pt idx="5">
                  <c:v>8.1034541983629443E-2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14382</c:v>
                </c:pt>
                <c:pt idx="1">
                  <c:v>14003</c:v>
                </c:pt>
                <c:pt idx="2">
                  <c:v>12844</c:v>
                </c:pt>
                <c:pt idx="3">
                  <c:v>12153</c:v>
                </c:pt>
                <c:pt idx="4">
                  <c:v>12848</c:v>
                </c:pt>
                <c:pt idx="5">
                  <c:v>11928</c:v>
                </c:pt>
                <c:pt idx="6">
                  <c:v>14779</c:v>
                </c:pt>
                <c:pt idx="7">
                  <c:v>13066</c:v>
                </c:pt>
                <c:pt idx="8">
                  <c:v>13007</c:v>
                </c:pt>
                <c:pt idx="9">
                  <c:v>14483</c:v>
                </c:pt>
                <c:pt idx="10">
                  <c:v>13408</c:v>
                </c:pt>
                <c:pt idx="11">
                  <c:v>15364</c:v>
                </c:pt>
                <c:pt idx="12">
                  <c:v>15654</c:v>
                </c:pt>
                <c:pt idx="13">
                  <c:v>13228</c:v>
                </c:pt>
                <c:pt idx="14">
                  <c:v>14446</c:v>
                </c:pt>
                <c:pt idx="15">
                  <c:v>14118</c:v>
                </c:pt>
                <c:pt idx="16">
                  <c:v>14832</c:v>
                </c:pt>
                <c:pt idx="17">
                  <c:v>11046</c:v>
                </c:pt>
                <c:pt idx="18">
                  <c:v>10035</c:v>
                </c:pt>
                <c:pt idx="19">
                  <c:v>9482</c:v>
                </c:pt>
                <c:pt idx="20">
                  <c:v>10889</c:v>
                </c:pt>
                <c:pt idx="21">
                  <c:v>10770</c:v>
                </c:pt>
                <c:pt idx="22">
                  <c:v>10655</c:v>
                </c:pt>
                <c:pt idx="23">
                  <c:v>11619</c:v>
                </c:pt>
                <c:pt idx="24">
                  <c:v>13120</c:v>
                </c:pt>
                <c:pt idx="25">
                  <c:v>13030</c:v>
                </c:pt>
                <c:pt idx="26">
                  <c:v>12168</c:v>
                </c:pt>
                <c:pt idx="27">
                  <c:v>12209</c:v>
                </c:pt>
                <c:pt idx="28">
                  <c:v>9418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512.75</c:v>
                </c:pt>
                <c:pt idx="1">
                  <c:v>510.7</c:v>
                </c:pt>
                <c:pt idx="2">
                  <c:v>719.15</c:v>
                </c:pt>
                <c:pt idx="3">
                  <c:v>513.04999999999995</c:v>
                </c:pt>
                <c:pt idx="4">
                  <c:v>388.55</c:v>
                </c:pt>
                <c:pt idx="5">
                  <c:v>551.04999999999995</c:v>
                </c:pt>
                <c:pt idx="6">
                  <c:v>575.6</c:v>
                </c:pt>
                <c:pt idx="7">
                  <c:v>507.75</c:v>
                </c:pt>
                <c:pt idx="8">
                  <c:v>693.3</c:v>
                </c:pt>
                <c:pt idx="9">
                  <c:v>465.7</c:v>
                </c:pt>
                <c:pt idx="10">
                  <c:v>616.85</c:v>
                </c:pt>
                <c:pt idx="11">
                  <c:v>431.95</c:v>
                </c:pt>
                <c:pt idx="12">
                  <c:v>406.05</c:v>
                </c:pt>
                <c:pt idx="13">
                  <c:v>461.35</c:v>
                </c:pt>
                <c:pt idx="14">
                  <c:v>352.75</c:v>
                </c:pt>
                <c:pt idx="15">
                  <c:v>424.95</c:v>
                </c:pt>
                <c:pt idx="16">
                  <c:v>421.65</c:v>
                </c:pt>
                <c:pt idx="17">
                  <c:v>258.64999999999998</c:v>
                </c:pt>
                <c:pt idx="18">
                  <c:v>392.15</c:v>
                </c:pt>
                <c:pt idx="19">
                  <c:v>290.8</c:v>
                </c:pt>
                <c:pt idx="20">
                  <c:v>170.35</c:v>
                </c:pt>
                <c:pt idx="21">
                  <c:v>275.8</c:v>
                </c:pt>
                <c:pt idx="22">
                  <c:v>333.95</c:v>
                </c:pt>
                <c:pt idx="23">
                  <c:v>338.25</c:v>
                </c:pt>
                <c:pt idx="24">
                  <c:v>321.25</c:v>
                </c:pt>
                <c:pt idx="25">
                  <c:v>386.55</c:v>
                </c:pt>
                <c:pt idx="26">
                  <c:v>273</c:v>
                </c:pt>
                <c:pt idx="27">
                  <c:v>279</c:v>
                </c:pt>
                <c:pt idx="28">
                  <c:v>234.5</c:v>
                </c:pt>
                <c:pt idx="29">
                  <c:v>217</c:v>
                </c:pt>
                <c:pt idx="30">
                  <c:v>320.8</c:v>
                </c:pt>
                <c:pt idx="31">
                  <c:v>255.75</c:v>
                </c:pt>
                <c:pt idx="32">
                  <c:v>288.89999999999998</c:v>
                </c:pt>
                <c:pt idx="33">
                  <c:v>285.45</c:v>
                </c:pt>
                <c:pt idx="34">
                  <c:v>259.5</c:v>
                </c:pt>
                <c:pt idx="35">
                  <c:v>280.89999999999998</c:v>
                </c:pt>
                <c:pt idx="36">
                  <c:v>304.75</c:v>
                </c:pt>
                <c:pt idx="37">
                  <c:v>342.6</c:v>
                </c:pt>
                <c:pt idx="38">
                  <c:v>419.6</c:v>
                </c:pt>
                <c:pt idx="39">
                  <c:v>396.8</c:v>
                </c:pt>
                <c:pt idx="40">
                  <c:v>378.8</c:v>
                </c:pt>
                <c:pt idx="41">
                  <c:v>371.4</c:v>
                </c:pt>
                <c:pt idx="42">
                  <c:v>415.8</c:v>
                </c:pt>
                <c:pt idx="43">
                  <c:v>477.8</c:v>
                </c:pt>
                <c:pt idx="44">
                  <c:v>466.2</c:v>
                </c:pt>
                <c:pt idx="45">
                  <c:v>447</c:v>
                </c:pt>
                <c:pt idx="46">
                  <c:v>423</c:v>
                </c:pt>
                <c:pt idx="47">
                  <c:v>431</c:v>
                </c:pt>
                <c:pt idx="48">
                  <c:v>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1283.1990000000001</c:v>
                </c:pt>
                <c:pt idx="1">
                  <c:v>857.62</c:v>
                </c:pt>
                <c:pt idx="2">
                  <c:v>1284.2139999999999</c:v>
                </c:pt>
                <c:pt idx="3">
                  <c:v>867.928</c:v>
                </c:pt>
                <c:pt idx="4">
                  <c:v>1079.68</c:v>
                </c:pt>
                <c:pt idx="5">
                  <c:v>1003.9109999999999</c:v>
                </c:pt>
                <c:pt idx="6">
                  <c:v>708.0630000000001</c:v>
                </c:pt>
                <c:pt idx="7">
                  <c:v>1450.9559999999999</c:v>
                </c:pt>
                <c:pt idx="8">
                  <c:v>1379.365</c:v>
                </c:pt>
                <c:pt idx="9">
                  <c:v>1414.268</c:v>
                </c:pt>
                <c:pt idx="10">
                  <c:v>1454.3679999999999</c:v>
                </c:pt>
                <c:pt idx="11">
                  <c:v>1452.143</c:v>
                </c:pt>
                <c:pt idx="12">
                  <c:v>1347</c:v>
                </c:pt>
                <c:pt idx="13">
                  <c:v>1350</c:v>
                </c:pt>
                <c:pt idx="14">
                  <c:v>1403.634</c:v>
                </c:pt>
                <c:pt idx="15">
                  <c:v>1150.787</c:v>
                </c:pt>
                <c:pt idx="16">
                  <c:v>2000</c:v>
                </c:pt>
                <c:pt idx="17">
                  <c:v>926.33100000000002</c:v>
                </c:pt>
                <c:pt idx="18">
                  <c:v>800</c:v>
                </c:pt>
                <c:pt idx="19">
                  <c:v>1232.981</c:v>
                </c:pt>
                <c:pt idx="20">
                  <c:v>680</c:v>
                </c:pt>
                <c:pt idx="21">
                  <c:v>1452</c:v>
                </c:pt>
                <c:pt idx="22">
                  <c:v>1585</c:v>
                </c:pt>
                <c:pt idx="23">
                  <c:v>1915</c:v>
                </c:pt>
                <c:pt idx="24">
                  <c:v>971.6</c:v>
                </c:pt>
                <c:pt idx="25">
                  <c:v>1327</c:v>
                </c:pt>
                <c:pt idx="26">
                  <c:v>1490.5</c:v>
                </c:pt>
                <c:pt idx="27">
                  <c:v>1548</c:v>
                </c:pt>
                <c:pt idx="28">
                  <c:v>699.5</c:v>
                </c:pt>
                <c:pt idx="29">
                  <c:v>1249.4000000000001</c:v>
                </c:pt>
                <c:pt idx="30">
                  <c:v>1328.5</c:v>
                </c:pt>
                <c:pt idx="31">
                  <c:v>704.5</c:v>
                </c:pt>
                <c:pt idx="32">
                  <c:v>825</c:v>
                </c:pt>
                <c:pt idx="33">
                  <c:v>1645</c:v>
                </c:pt>
                <c:pt idx="34">
                  <c:v>1770</c:v>
                </c:pt>
                <c:pt idx="35">
                  <c:v>1271.0999999999999</c:v>
                </c:pt>
                <c:pt idx="36">
                  <c:v>1471.6</c:v>
                </c:pt>
                <c:pt idx="37">
                  <c:v>847</c:v>
                </c:pt>
                <c:pt idx="38">
                  <c:v>1417.2</c:v>
                </c:pt>
                <c:pt idx="39">
                  <c:v>1980</c:v>
                </c:pt>
                <c:pt idx="40">
                  <c:v>1905</c:v>
                </c:pt>
                <c:pt idx="41">
                  <c:v>1480.7</c:v>
                </c:pt>
                <c:pt idx="42">
                  <c:v>962.6</c:v>
                </c:pt>
                <c:pt idx="43">
                  <c:v>1272.8</c:v>
                </c:pt>
                <c:pt idx="44">
                  <c:v>1500.7</c:v>
                </c:pt>
                <c:pt idx="45">
                  <c:v>783.7</c:v>
                </c:pt>
                <c:pt idx="46">
                  <c:v>1421.7</c:v>
                </c:pt>
                <c:pt idx="47">
                  <c:v>1476.2</c:v>
                </c:pt>
                <c:pt idx="48">
                  <c:v>838.6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7" Type="http://schemas.openxmlformats.org/officeDocument/2006/relationships/chart" Target="../charts/chart33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162566</xdr:colOff>
      <xdr:row>12</xdr:row>
      <xdr:rowOff>169435</xdr:rowOff>
    </xdr:from>
    <xdr:to>
      <xdr:col>29</xdr:col>
      <xdr:colOff>144470</xdr:colOff>
      <xdr:row>47</xdr:row>
      <xdr:rowOff>170365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B41693-BC2B-47ED-BE4D-BDD2263BE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Q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Q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R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S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T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Z1" dT="2025-02-26T02:20:25.99" personId="{3755386D-89B5-DA48-87BF-491797B92A51}" id="{E7C81AB6-8B8F-D349-A1B3-97ABC48480B0}">
    <text xml:space="preserve">From Nixon
</text>
  </threadedComment>
  <threadedComment ref="Z111" dT="2024-01-11T07:54:34.05" personId="{E5A5185B-5DC6-A34D-B229-89FBC887B204}" id="{A8B5FC4D-47AD-6744-8B0F-68CCC59E403C}">
    <text>Not available</text>
  </threadedComment>
  <threadedComment ref="Z113" dT="2024-01-11T07:54:39.30" personId="{E5A5185B-5DC6-A34D-B229-89FBC887B204}" id="{EA27A9C4-1CFF-DF49-A330-EF756325CEFC}">
    <text>Not available</text>
  </threadedComment>
  <threadedComment ref="Z115" dT="2024-01-11T07:54:45.35" personId="{E5A5185B-5DC6-A34D-B229-89FBC887B204}" id="{58851594-216E-0C4F-A4CE-6A75F27A6A44}">
    <text>Not available</text>
  </threadedComment>
  <threadedComment ref="I116" dT="2024-01-03T04:48:36.47" personId="{5E674B0A-7174-F64A-87F6-0DEAF666D9C4}" id="{E676DAE1-8B92-E444-8E49-F7FDE71E4963}">
    <text>Data updated to match actual receipts</text>
  </threadedComment>
  <threadedComment ref="I118" dT="2024-01-03T04:48:41.80" personId="{5E674B0A-7174-F64A-87F6-0DEAF666D9C4}" id="{02BC4A65-D9B0-8E4D-8375-AC4400CA076A}">
    <text>Data updated to match actual receipts</text>
  </threadedComment>
  <threadedComment ref="I119" dT="2024-01-03T04:48:48.65" personId="{5E674B0A-7174-F64A-87F6-0DEAF666D9C4}" id="{E940BA26-BD25-084A-B075-57C671CF7D3A}">
    <text>Data updated to match actual receipts</text>
  </threadedComment>
  <threadedComment ref="I120" dT="2024-01-03T04:48:54.32" personId="{5E674B0A-7174-F64A-87F6-0DEAF666D9C4}" id="{2E0DB3E0-D2B1-A248-A167-74D3D86A69A2}">
    <text>Data updated to match actual receipts</text>
  </threadedComment>
  <threadedComment ref="M120" dT="2023-11-14T06:22:40.76" personId="{E84AD44B-5929-324A-9497-3536122BE7BB}" id="{3E2FABC6-5229-9F46-8604-41A2EDB9263E}">
    <text>Previously 800</text>
  </threadedComment>
  <threadedComment ref="N120" dT="2023-11-14T06:22:27.07" personId="{E84AD44B-5929-324A-9497-3536122BE7BB}" id="{8D9E8BF0-9664-B343-9C5B-0AD1528B561A}">
    <text>Previously 400</text>
  </threadedComment>
  <threadedComment ref="Z120" dT="2024-01-11T07:54:49.99" personId="{E5A5185B-5DC6-A34D-B229-89FBC887B204}" id="{DB5A8E93-33ED-C042-B183-0C2C4D940F19}">
    <text>Not available</text>
  </threadedComment>
  <threadedComment ref="I121" dT="2024-01-03T04:48:59.89" personId="{5E674B0A-7174-F64A-87F6-0DEAF666D9C4}" id="{98346250-71E5-A448-905D-FE9C4C37F75E}">
    <text>Data updated to match actual receipts</text>
  </threadedComment>
  <threadedComment ref="M121" dT="2023-11-14T06:22:54.37" personId="{E84AD44B-5929-324A-9497-3536122BE7BB}" id="{7C331265-08D7-D447-9567-02408AB2E96B}">
    <text>previously 800</text>
  </threadedComment>
  <threadedComment ref="N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U126" dT="2024-01-03T04:23:56.38" personId="{5E674B0A-7174-F64A-87F6-0DEAF666D9C4}" id="{6D1BAD2F-3A84-534E-AE6B-B019717CADF4}">
    <text>Includes additional printer monitor collection by Huaden</text>
  </threadedComment>
  <threadedComment ref="U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U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U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U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U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U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U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U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U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U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U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U136" dT="2024-10-23T01:09:32.87" personId="{3755386D-89B5-DA48-87BF-491797B92A51}" id="{13E10DB9-4D1C-C847-B1D8-04C5625F951A}">
    <text>Alba added</text>
  </threadedComment>
  <threadedComment ref="Z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C1" dT="2024-02-07T06:31:16.95" personId="{E5A5185B-5DC6-A34D-B229-89FBC887B204}" id="{BD0011D7-D860-0C40-B816-99383F51C297}">
    <text>Expressed in PIECES. There is no estimated weight per piece value in other Excel Workbooks.</text>
  </threadedComment>
  <threadedComment ref="C1" dT="2024-02-08T09:15:22.50" personId="{E5A5185B-5DC6-A34D-B229-89FBC887B204}" id="{E4C4A7C1-D899-4D42-9B4A-FF22DFEC1905}" parentId="{BD0011D7-D860-0C40-B816-99383F51C297}">
    <text>This value will be EXCLUDED in the “Others” category in Monthly recycling from months including and before June 2020</text>
  </threadedComment>
  <threadedComment ref="D1" dT="2024-02-07T06:51:12.18" personId="{E5A5185B-5DC6-A34D-B229-89FBC887B204}" id="{0678275A-91CF-6146-8E02-6B8281371E5F}">
    <text>Previously expressed in pieces. Multiplied by a factor of 0.34kg per piece and rounded off.</text>
  </threadedComment>
  <threadedComment ref="E1" dT="2024-02-07T06:51:22.61" personId="{E5A5185B-5DC6-A34D-B229-89FBC887B204}" id="{33CBCC37-A36A-464C-AFB7-1DC123E52451}">
    <text>Previously expressed in pieces. Multiplied by a factor of 0.13kg per piece and rounded off.</text>
  </threadedComment>
  <threadedComment ref="F1" dT="2024-02-07T06:51:30.36" personId="{E5A5185B-5DC6-A34D-B229-89FBC887B204}" id="{1A6A7C01-7F44-6B46-9637-89BD512AFFAD}">
    <text>Previously expressed in pieces. Multiplied by a factor of 0.15kg per piece and rounded off.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1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5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5.xml"/><Relationship Id="rId4" Type="http://schemas.microsoft.com/office/2017/10/relationships/threadedComment" Target="../threadedComments/threadedComment21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3.x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4.xml"/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5.xml"/><Relationship Id="rId4" Type="http://schemas.openxmlformats.org/officeDocument/2006/relationships/comments" Target="../comments26.xml"/></Relationships>
</file>

<file path=xl/worksheets/_rels/sheet3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6.xml"/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27.xml"/><Relationship Id="rId4" Type="http://schemas.openxmlformats.org/officeDocument/2006/relationships/comments" Target="../comments28.x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9.xml"/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21.xml"/><Relationship Id="rId4" Type="http://schemas.microsoft.com/office/2017/10/relationships/threadedComment" Target="../threadedComments/threadedComment30.xml"/></Relationships>
</file>

<file path=xl/worksheets/_rels/sheet4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1.xml"/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A11" sqref="A11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707</v>
      </c>
      <c r="E4" s="168" t="s">
        <v>707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708</v>
      </c>
    </row>
    <row r="8" spans="1:5" x14ac:dyDescent="0.2">
      <c r="A8" s="168" t="s">
        <v>7</v>
      </c>
      <c r="C8" s="168" t="s">
        <v>19</v>
      </c>
      <c r="E8" s="168" t="s">
        <v>709</v>
      </c>
    </row>
    <row r="9" spans="1:5" x14ac:dyDescent="0.2">
      <c r="A9" s="168"/>
      <c r="C9" s="168" t="s">
        <v>713</v>
      </c>
      <c r="E9" s="168" t="s">
        <v>710</v>
      </c>
    </row>
    <row r="10" spans="1:5" x14ac:dyDescent="0.2">
      <c r="A10" s="13" t="s">
        <v>25</v>
      </c>
      <c r="C10" s="168" t="s">
        <v>715</v>
      </c>
      <c r="E10" s="168" t="s">
        <v>13</v>
      </c>
    </row>
    <row r="11" spans="1:5" x14ac:dyDescent="0.2">
      <c r="A11" s="168" t="s">
        <v>7</v>
      </c>
      <c r="C11" s="168" t="s">
        <v>717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714</v>
      </c>
      <c r="E14" s="168" t="s">
        <v>21</v>
      </c>
    </row>
    <row r="15" spans="1:5" x14ac:dyDescent="0.2">
      <c r="A15" s="168" t="s">
        <v>24</v>
      </c>
      <c r="E15" s="168" t="s">
        <v>716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718</v>
      </c>
    </row>
    <row r="18" spans="1:5" x14ac:dyDescent="0.2">
      <c r="A18" s="13" t="s">
        <v>27</v>
      </c>
    </row>
    <row r="19" spans="1:5" x14ac:dyDescent="0.2">
      <c r="A19" s="168" t="s">
        <v>712</v>
      </c>
    </row>
    <row r="20" spans="1:5" x14ac:dyDescent="0.2">
      <c r="A20" s="168" t="s">
        <v>711</v>
      </c>
    </row>
    <row r="22" spans="1:5" x14ac:dyDescent="0.2">
      <c r="A22" s="554" t="s">
        <v>706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89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88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88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1"/>
      <c r="AQ12" s="205"/>
    </row>
    <row r="13" spans="1:46" x14ac:dyDescent="0.2">
      <c r="A13" s="133" t="s">
        <v>111</v>
      </c>
      <c r="B13" s="586">
        <f>'Yearly Fuel'!K17</f>
        <v>0</v>
      </c>
      <c r="C13" s="594">
        <f>'Yearly Towngas (TGU)'!I17</f>
        <v>4206293.6698368005</v>
      </c>
      <c r="D13" s="362">
        <f>'Yearly Electricity Reformatted'!Q14</f>
        <v>65366173</v>
      </c>
      <c r="E13" s="586">
        <f>SUM(B13:D13)</f>
        <v>69572466.669836804</v>
      </c>
      <c r="F13" s="586" t="e">
        <f>E13/'Yearly GHG (mCO2)'!G17</f>
        <v>#DIV/0!</v>
      </c>
      <c r="G13" s="586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30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E71" sqref="E71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595" t="s">
        <v>77</v>
      </c>
      <c r="B1" s="588" t="s">
        <v>78</v>
      </c>
      <c r="C1" s="588" t="s">
        <v>79</v>
      </c>
      <c r="D1" s="588" t="s">
        <v>80</v>
      </c>
      <c r="E1" s="588" t="s">
        <v>81</v>
      </c>
      <c r="F1" s="588" t="s">
        <v>82</v>
      </c>
      <c r="G1" s="588" t="s">
        <v>83</v>
      </c>
    </row>
    <row r="2" spans="1:7" x14ac:dyDescent="0.2">
      <c r="A2" s="596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596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596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596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596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596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596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596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596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596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597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597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597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597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597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597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597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597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597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597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597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597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598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598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598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598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598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598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598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598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598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598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598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598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599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599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599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599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599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599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599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599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599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599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599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599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597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597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597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597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597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597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597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597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600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600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600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600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1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2">
        <f t="shared" si="1"/>
        <v>2669752</v>
      </c>
    </row>
    <row r="61" spans="1:9" x14ac:dyDescent="0.2">
      <c r="A61" s="601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2">
        <f t="shared" si="1"/>
        <v>2696025</v>
      </c>
    </row>
    <row r="62" spans="1:9" x14ac:dyDescent="0.2">
      <c r="A62" s="601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2">
        <f t="shared" si="1"/>
        <v>2690637</v>
      </c>
    </row>
    <row r="63" spans="1:9" x14ac:dyDescent="0.2">
      <c r="A63" s="601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2">
        <f t="shared" si="1"/>
        <v>2719163</v>
      </c>
    </row>
    <row r="64" spans="1:9" x14ac:dyDescent="0.2">
      <c r="A64" s="601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2">
        <f t="shared" si="1"/>
        <v>2714781</v>
      </c>
    </row>
    <row r="65" spans="1:7" x14ac:dyDescent="0.2">
      <c r="A65" s="601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2">
        <f>SUM(F65:F76)</f>
        <v>2493435</v>
      </c>
    </row>
    <row r="66" spans="1:7" x14ac:dyDescent="0.2">
      <c r="A66" s="603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2">
        <f t="shared" ref="G66:G73" si="2">SUM(F66:F77)</f>
        <v>2256509</v>
      </c>
    </row>
    <row r="67" spans="1:7" x14ac:dyDescent="0.2">
      <c r="A67" s="603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2">
        <f t="shared" si="2"/>
        <v>2000111</v>
      </c>
    </row>
    <row r="68" spans="1:7" x14ac:dyDescent="0.2">
      <c r="A68" s="603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2">
        <f t="shared" si="2"/>
        <v>1787375</v>
      </c>
    </row>
    <row r="69" spans="1:7" x14ac:dyDescent="0.2">
      <c r="A69" s="603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2">
        <f t="shared" si="2"/>
        <v>1492744</v>
      </c>
    </row>
    <row r="70" spans="1:7" x14ac:dyDescent="0.2">
      <c r="A70" s="603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2">
        <f t="shared" si="2"/>
        <v>1258606</v>
      </c>
    </row>
    <row r="71" spans="1:7" x14ac:dyDescent="0.2">
      <c r="A71" s="603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2">
        <f t="shared" si="2"/>
        <v>1057231</v>
      </c>
    </row>
    <row r="72" spans="1:7" x14ac:dyDescent="0.2">
      <c r="A72" s="604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2">
        <f t="shared" si="2"/>
        <v>872303</v>
      </c>
    </row>
    <row r="73" spans="1:7" x14ac:dyDescent="0.2">
      <c r="A73" s="604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2">
        <f t="shared" si="2"/>
        <v>644061</v>
      </c>
    </row>
    <row r="74" spans="1:7" x14ac:dyDescent="0.2">
      <c r="A74" s="604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2">
        <f>SUM(F74:F85)</f>
        <v>461891</v>
      </c>
    </row>
    <row r="75" spans="1:7" x14ac:dyDescent="0.2">
      <c r="A75" s="604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2">
        <f>SUM(F75:F86)</f>
        <v>228497</v>
      </c>
    </row>
    <row r="76" spans="1:7" x14ac:dyDescent="0.2">
      <c r="A76" s="604">
        <v>46143</v>
      </c>
    </row>
    <row r="77" spans="1:7" x14ac:dyDescent="0.2">
      <c r="A77" s="604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07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05" t="s">
        <v>28</v>
      </c>
      <c r="B1" s="606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08" t="s">
        <v>85</v>
      </c>
    </row>
    <row r="2" spans="1:9" ht="15" x14ac:dyDescent="0.2">
      <c r="A2" s="607" t="s">
        <v>61</v>
      </c>
      <c r="F2" s="310">
        <v>0</v>
      </c>
      <c r="G2" s="310"/>
    </row>
    <row r="3" spans="1:9" ht="15" x14ac:dyDescent="0.2">
      <c r="A3" s="607" t="s">
        <v>63</v>
      </c>
      <c r="F3" s="310">
        <v>0</v>
      </c>
      <c r="G3" s="310"/>
    </row>
    <row r="4" spans="1:9" ht="15" x14ac:dyDescent="0.2">
      <c r="A4" s="607" t="s">
        <v>64</v>
      </c>
      <c r="F4" s="310">
        <v>0</v>
      </c>
      <c r="G4" s="310"/>
    </row>
    <row r="5" spans="1:9" ht="15" x14ac:dyDescent="0.2">
      <c r="A5" s="607" t="s">
        <v>65</v>
      </c>
      <c r="F5" s="310">
        <v>0</v>
      </c>
    </row>
    <row r="6" spans="1:9" ht="15" x14ac:dyDescent="0.2">
      <c r="A6" s="607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07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07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07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07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07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07" t="s">
        <v>111</v>
      </c>
      <c r="B12" s="609">
        <f>SUM('Monthly Renewable'!B66:B77)</f>
        <v>2058995</v>
      </c>
      <c r="C12" s="609">
        <f>SUM('Monthly Renewable'!C66:C77)</f>
        <v>67909</v>
      </c>
      <c r="D12" s="609">
        <f>SUM('Monthly Renewable'!D66:D77)</f>
        <v>118759</v>
      </c>
      <c r="E12" s="609">
        <f>SUM('Monthly Renewable'!E66:E77)</f>
        <v>10846</v>
      </c>
      <c r="F12" s="609">
        <f>SUM('Monthly Renewable'!F66:F77)</f>
        <v>2256509</v>
      </c>
      <c r="G12" s="610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1"/>
  <sheetViews>
    <sheetView zoomScale="68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L138" sqref="AL138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93</v>
      </c>
      <c r="D1" s="170" t="s">
        <v>94</v>
      </c>
      <c r="E1" s="170" t="s">
        <v>6</v>
      </c>
      <c r="F1" s="170" t="s">
        <v>95</v>
      </c>
      <c r="G1" s="170" t="s">
        <v>96</v>
      </c>
      <c r="H1" s="170" t="s">
        <v>97</v>
      </c>
      <c r="I1" s="170" t="s">
        <v>41</v>
      </c>
      <c r="J1" s="172" t="s">
        <v>98</v>
      </c>
      <c r="K1" s="172" t="s">
        <v>99</v>
      </c>
      <c r="L1" s="172" t="s">
        <v>45</v>
      </c>
      <c r="M1" s="172" t="s">
        <v>89</v>
      </c>
      <c r="N1" s="172" t="s">
        <v>42</v>
      </c>
      <c r="O1" s="174" t="s">
        <v>100</v>
      </c>
      <c r="P1" s="174" t="s">
        <v>101</v>
      </c>
      <c r="Q1" s="174" t="s">
        <v>102</v>
      </c>
      <c r="R1" s="567" t="s">
        <v>742</v>
      </c>
      <c r="S1" s="568" t="s">
        <v>722</v>
      </c>
      <c r="T1" s="170" t="s">
        <v>103</v>
      </c>
      <c r="U1" s="175" t="s">
        <v>104</v>
      </c>
      <c r="V1" s="175" t="s">
        <v>105</v>
      </c>
      <c r="W1" s="175" t="s">
        <v>106</v>
      </c>
      <c r="X1" s="175" t="s">
        <v>107</v>
      </c>
      <c r="Y1" s="510" t="s">
        <v>90</v>
      </c>
      <c r="Z1" s="511" t="s">
        <v>91</v>
      </c>
      <c r="AA1" s="510" t="s">
        <v>24</v>
      </c>
      <c r="AB1" s="253" t="s">
        <v>92</v>
      </c>
      <c r="AC1" s="569"/>
      <c r="AD1" s="570" t="s">
        <v>108</v>
      </c>
      <c r="AE1" s="571" t="s">
        <v>723</v>
      </c>
      <c r="AF1" s="571" t="s">
        <v>724</v>
      </c>
      <c r="AG1" s="572" t="s">
        <v>725</v>
      </c>
      <c r="AH1" s="572" t="s">
        <v>726</v>
      </c>
      <c r="AI1" s="573" t="s">
        <v>727</v>
      </c>
      <c r="AJ1" s="573" t="s">
        <v>728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4"/>
      <c r="AD2" s="575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/>
      <c r="AN2" s="56"/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76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/>
      <c r="AN3" s="56"/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76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/>
      <c r="AN4" s="56"/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76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/>
      <c r="AN5" s="56"/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76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/>
      <c r="AN6" s="56"/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76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/>
      <c r="AN7" s="56"/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76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/>
      <c r="AN8" s="56"/>
      <c r="AO8" s="623"/>
      <c r="AP8" s="623"/>
      <c r="AQ8" s="623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76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/>
      <c r="AN9" s="56"/>
      <c r="AO9" s="623"/>
      <c r="AP9" s="623"/>
      <c r="AQ9" s="623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76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/>
      <c r="AN10" s="56"/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76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/>
      <c r="AN11" s="56"/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76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/>
      <c r="AN12" s="56"/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76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/>
      <c r="AN13" s="56"/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76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/>
      <c r="AN14" s="56"/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76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/>
      <c r="AN15" s="56"/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76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/>
      <c r="AN16" s="56"/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76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/>
      <c r="AN17" s="56"/>
    </row>
    <row r="18" spans="1:40" x14ac:dyDescent="0.2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76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/>
      <c r="AN18" s="56"/>
    </row>
    <row r="19" spans="1:40" x14ac:dyDescent="0.2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76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66"/>
      <c r="AK19" s="56"/>
      <c r="AL19" s="56"/>
      <c r="AM19" s="56"/>
      <c r="AN19" s="56"/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76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/>
      <c r="AL20" s="56"/>
      <c r="AM20" s="56"/>
      <c r="AN20" s="56"/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76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/>
      <c r="AL21" s="56"/>
      <c r="AM21" s="56"/>
      <c r="AN21" s="56"/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76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/>
      <c r="AL22" s="56"/>
      <c r="AM22" s="56"/>
      <c r="AN22" s="56"/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76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/>
      <c r="AL23" s="56"/>
      <c r="AM23" s="56"/>
      <c r="AN23" s="56"/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76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/>
      <c r="AL24" s="56"/>
      <c r="AM24" s="56"/>
      <c r="AN24" s="56"/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76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/>
      <c r="AL25" s="56"/>
      <c r="AM25" s="56"/>
      <c r="AN25" s="56"/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76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/>
      <c r="AL26" s="56"/>
      <c r="AM26" s="56"/>
      <c r="AN26" s="56"/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76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/>
      <c r="AL27" s="56"/>
      <c r="AM27" s="56"/>
      <c r="AN27" s="56"/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76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/>
      <c r="AL28" s="56"/>
      <c r="AM28" s="56"/>
      <c r="AN28" s="56"/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76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/>
      <c r="AL29" s="56"/>
      <c r="AM29" s="56"/>
      <c r="AN29" s="56"/>
    </row>
    <row r="30" spans="1:40" x14ac:dyDescent="0.2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76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/>
      <c r="AL30" s="56"/>
      <c r="AM30" s="56"/>
      <c r="AN30" s="56"/>
    </row>
    <row r="31" spans="1:40" x14ac:dyDescent="0.2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76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0"/>
      <c r="AK31" s="56"/>
      <c r="AL31" s="56"/>
      <c r="AM31" s="56"/>
      <c r="AN31" s="56"/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76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/>
      <c r="AL32" s="56"/>
      <c r="AM32" s="56"/>
      <c r="AN32" s="56"/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76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/>
      <c r="AL33" s="56"/>
      <c r="AM33" s="56"/>
      <c r="AN33" s="56"/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76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/>
      <c r="AL34" s="56"/>
      <c r="AM34" s="56"/>
      <c r="AN34" s="56"/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76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/>
      <c r="AL35" s="56"/>
      <c r="AM35" s="56"/>
      <c r="AN35" s="56"/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76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/>
      <c r="AL36" s="56"/>
      <c r="AM36" s="56"/>
      <c r="AN36" s="56"/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76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/>
      <c r="AL37" s="56"/>
      <c r="AM37" s="56"/>
      <c r="AN37" s="56"/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76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/>
      <c r="AL38" s="56"/>
      <c r="AM38" s="56"/>
      <c r="AN38" s="56"/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76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/>
      <c r="AL39" s="56"/>
      <c r="AM39" s="56"/>
      <c r="AN39" s="56"/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76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/>
      <c r="AL40" s="56"/>
      <c r="AM40" s="56"/>
      <c r="AN40" s="56"/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76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/>
      <c r="AL41" s="56"/>
      <c r="AM41" s="56"/>
      <c r="AN41" s="56"/>
    </row>
    <row r="42" spans="1:40" x14ac:dyDescent="0.2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76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/>
      <c r="AL42" s="56"/>
      <c r="AM42" s="56"/>
      <c r="AN42" s="56"/>
    </row>
    <row r="43" spans="1:40" x14ac:dyDescent="0.2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76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76"/>
      <c r="AK43" s="56"/>
      <c r="AL43" s="56"/>
      <c r="AM43" s="56"/>
      <c r="AN43" s="56"/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76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/>
      <c r="AL44" s="56"/>
      <c r="AM44" s="56"/>
      <c r="AN44" s="56"/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76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/>
      <c r="AL45" s="56"/>
      <c r="AM45" s="56"/>
      <c r="AN45" s="56"/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76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/>
      <c r="AL46" s="56"/>
      <c r="AM46" s="56"/>
      <c r="AN46" s="56"/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76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/>
      <c r="AL47" s="56"/>
      <c r="AM47" s="56"/>
      <c r="AN47" s="56"/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76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/>
      <c r="AL48" s="56"/>
      <c r="AM48" s="56"/>
      <c r="AN48" s="56"/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76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/>
      <c r="AL49" s="56"/>
      <c r="AM49" s="56"/>
      <c r="AN49" s="56"/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76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/>
      <c r="AL50" s="56"/>
      <c r="AM50" s="56"/>
      <c r="AN50" s="56"/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76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/>
      <c r="AL51" s="56"/>
      <c r="AM51" s="56"/>
      <c r="AN51" s="56"/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76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/>
      <c r="AL52" s="56"/>
      <c r="AM52" s="56"/>
      <c r="AN52" s="56"/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76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/>
      <c r="AL53" s="56"/>
      <c r="AM53" s="56"/>
      <c r="AN53" s="56"/>
    </row>
    <row r="54" spans="1:40" x14ac:dyDescent="0.2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76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/>
      <c r="AL54" s="56"/>
      <c r="AM54" s="56"/>
      <c r="AN54" s="56"/>
    </row>
    <row r="55" spans="1:40" x14ac:dyDescent="0.2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76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1"/>
      <c r="AK55" s="56"/>
      <c r="AL55" s="56"/>
      <c r="AM55" s="56"/>
      <c r="AN55" s="56"/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76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/>
      <c r="AL56" s="56"/>
      <c r="AM56" s="56"/>
      <c r="AN56" s="56"/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76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/>
      <c r="AL57" s="56"/>
      <c r="AM57" s="56"/>
      <c r="AN57" s="56"/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76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/>
      <c r="AL58" s="56"/>
      <c r="AM58" s="56"/>
      <c r="AN58" s="56"/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77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/>
      <c r="AL59" s="56"/>
      <c r="AM59" s="56"/>
      <c r="AN59" s="56"/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76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/>
      <c r="AL60" s="56"/>
      <c r="AM60" s="56"/>
      <c r="AN60" s="56"/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76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/>
      <c r="AL61" s="56"/>
      <c r="AM61" s="56"/>
      <c r="AN61" s="56"/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76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/>
      <c r="AL62" s="56"/>
      <c r="AM62" s="56"/>
      <c r="AN62" s="56"/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76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/>
      <c r="AL63" s="56"/>
      <c r="AM63" s="56"/>
      <c r="AN63" s="56"/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76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/>
      <c r="AL64" s="56"/>
      <c r="AM64" s="56"/>
      <c r="AN64" s="56"/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76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/>
      <c r="AL65" s="56"/>
      <c r="AM65" s="56"/>
      <c r="AN65" s="56"/>
    </row>
    <row r="66" spans="1:40" x14ac:dyDescent="0.2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76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/>
      <c r="AL66" s="56"/>
      <c r="AM66" s="56"/>
      <c r="AN66" s="56"/>
    </row>
    <row r="67" spans="1:40" x14ac:dyDescent="0.2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76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0"/>
      <c r="AK67" s="56"/>
      <c r="AL67" s="56"/>
      <c r="AM67" s="56"/>
      <c r="AN67" s="56"/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76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/>
      <c r="AL68" s="56"/>
      <c r="AM68" s="56"/>
      <c r="AN68" s="56"/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76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/>
      <c r="AL69" s="56"/>
      <c r="AM69" s="56"/>
      <c r="AN69" s="56"/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76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/>
      <c r="AL70" s="56"/>
      <c r="AM70" s="56"/>
      <c r="AN70" s="56"/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77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/>
      <c r="AL71" s="56"/>
      <c r="AM71" s="56"/>
      <c r="AN71" s="56"/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77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/>
      <c r="AL72" s="56"/>
      <c r="AM72" s="56"/>
      <c r="AN72" s="56"/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77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/>
      <c r="AL73" s="56"/>
      <c r="AM73" s="56"/>
      <c r="AN73" s="56"/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77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/>
      <c r="AL74" s="56"/>
      <c r="AM74" s="56"/>
      <c r="AN74" s="56"/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77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/>
      <c r="AL75" s="56"/>
      <c r="AM75" s="56"/>
      <c r="AN75" s="56"/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77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/>
      <c r="AL76" s="56"/>
      <c r="AM76" s="56"/>
      <c r="AN76" s="56"/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77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/>
      <c r="AL77" s="56"/>
      <c r="AM77" s="56"/>
      <c r="AN77" s="56"/>
    </row>
    <row r="78" spans="1:40" x14ac:dyDescent="0.2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77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/>
      <c r="AL78" s="56"/>
      <c r="AM78" s="56"/>
      <c r="AN78" s="56"/>
    </row>
    <row r="79" spans="1:40" x14ac:dyDescent="0.2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77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66"/>
      <c r="AK79" s="56"/>
      <c r="AL79" s="56"/>
      <c r="AM79" s="56"/>
      <c r="AN79" s="56"/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77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/>
      <c r="AL80" s="56"/>
      <c r="AM80" s="56"/>
      <c r="AN80" s="56"/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77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/>
      <c r="AL81" s="56"/>
      <c r="AM81" s="56"/>
      <c r="AN81" s="56"/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77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/>
      <c r="AL82" s="56"/>
      <c r="AM82" s="56"/>
      <c r="AN82" s="56"/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77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/>
      <c r="AL83" s="56"/>
      <c r="AM83" s="56"/>
      <c r="AN83" s="56"/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77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/>
      <c r="AL84" s="56"/>
      <c r="AM84" s="56"/>
      <c r="AN84" s="56"/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77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/>
      <c r="AL85" s="56"/>
      <c r="AM85" s="56"/>
      <c r="AN85" s="56"/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77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/>
      <c r="AL86" s="56"/>
      <c r="AM86" s="56"/>
      <c r="AN86" s="56"/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77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/>
      <c r="AL87" s="56"/>
      <c r="AM87" s="56"/>
      <c r="AN87" s="56"/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77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/>
      <c r="AL88" s="56"/>
      <c r="AM88" s="56"/>
      <c r="AN88" s="56"/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77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/>
      <c r="AL89" s="56"/>
      <c r="AM89" s="56"/>
      <c r="AN89" s="56"/>
    </row>
    <row r="90" spans="1:40" x14ac:dyDescent="0.2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77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/>
      <c r="AL90" s="56"/>
      <c r="AM90" s="56"/>
      <c r="AN90" s="56"/>
    </row>
    <row r="91" spans="1:40" x14ac:dyDescent="0.2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77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1"/>
      <c r="AK91" s="56"/>
      <c r="AL91" s="56"/>
      <c r="AM91" s="56"/>
      <c r="AN91" s="56"/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77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/>
      <c r="AL92" s="56"/>
      <c r="AM92" s="56"/>
      <c r="AN92" s="56"/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77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/>
      <c r="AL93" s="56"/>
      <c r="AM93" s="56"/>
      <c r="AN93" s="56"/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77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/>
      <c r="AL94" s="56"/>
      <c r="AM94" s="56"/>
      <c r="AN94" s="56"/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77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/>
      <c r="AL95" s="56"/>
      <c r="AM95" s="56"/>
      <c r="AN95" s="56"/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77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/>
      <c r="AL96" s="56"/>
      <c r="AM96" s="56"/>
      <c r="AN96" s="56"/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77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/>
      <c r="AL97" s="56"/>
      <c r="AM97" s="56"/>
      <c r="AN97" s="56"/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77"/>
      <c r="AD98" s="578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/>
      <c r="AL98" s="56"/>
      <c r="AM98" s="56"/>
      <c r="AN98" s="56"/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77"/>
      <c r="AD99" s="578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/>
      <c r="AL99" s="56"/>
      <c r="AM99" s="56"/>
      <c r="AN99" s="56"/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77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/>
      <c r="AL100" s="56"/>
      <c r="AM100" s="56"/>
      <c r="AN100" s="56"/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77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/>
      <c r="AL101" s="56"/>
      <c r="AM101" s="56"/>
      <c r="AN101" s="56"/>
    </row>
    <row r="102" spans="1:40" x14ac:dyDescent="0.2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77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/>
      <c r="AL102" s="56"/>
      <c r="AM102" s="56"/>
      <c r="AN102" s="56"/>
    </row>
    <row r="103" spans="1:40" x14ac:dyDescent="0.2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77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76"/>
      <c r="AK103" s="56"/>
      <c r="AL103" s="56"/>
      <c r="AM103" s="56"/>
      <c r="AN103" s="56"/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77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/>
      <c r="AL104" s="56"/>
      <c r="AM104" s="56"/>
      <c r="AN104" s="56"/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77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/>
      <c r="AL105" s="56"/>
      <c r="AM105" s="56"/>
      <c r="AN105" s="56"/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77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/>
      <c r="AL106" s="56"/>
      <c r="AM106" s="56"/>
      <c r="AN106" s="56"/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77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/>
      <c r="AL107" s="56"/>
      <c r="AM107" s="56"/>
      <c r="AN107" s="56"/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77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/>
      <c r="AL108" s="56"/>
      <c r="AM108" s="56"/>
      <c r="AN108" s="56"/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77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/>
      <c r="AL109" s="56"/>
      <c r="AM109" s="56"/>
      <c r="AN109" s="56"/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77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/>
      <c r="AL110" s="56"/>
      <c r="AM110" s="56"/>
      <c r="AN110" s="56"/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77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/>
      <c r="AL111" s="56"/>
      <c r="AM111" s="56"/>
      <c r="AN111" s="56"/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77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/>
      <c r="AL112" s="56"/>
      <c r="AM112" s="56"/>
      <c r="AN112" s="56"/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77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/>
      <c r="AL113" s="56"/>
      <c r="AM113" s="56"/>
      <c r="AN113" s="56"/>
    </row>
    <row r="114" spans="1:40" x14ac:dyDescent="0.2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77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/>
      <c r="AL114" s="56"/>
      <c r="AM114" s="56"/>
      <c r="AN114" s="56"/>
    </row>
    <row r="115" spans="1:40" x14ac:dyDescent="0.2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77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6"/>
      <c r="AK115" s="56"/>
      <c r="AL115" s="56"/>
      <c r="AM115" s="56"/>
      <c r="AN115" s="56"/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77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/>
      <c r="AL116" s="56"/>
      <c r="AM116" s="56"/>
      <c r="AN116" s="56"/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77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/>
      <c r="AL117" s="56"/>
      <c r="AM117" s="56"/>
      <c r="AN117" s="56"/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77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/>
      <c r="AL118" s="56"/>
      <c r="AM118" s="56"/>
      <c r="AN118" s="56"/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77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/>
      <c r="AL119" s="56"/>
      <c r="AM119" s="56"/>
      <c r="AN119" s="56"/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77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/>
      <c r="AL120" s="56"/>
      <c r="AM120" s="56"/>
      <c r="AN120" s="56"/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77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/>
      <c r="AL121" s="56"/>
      <c r="AM121" s="56"/>
      <c r="AN121" s="56"/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77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/>
      <c r="AL122" s="56"/>
      <c r="AM122" s="56"/>
      <c r="AN122" s="56"/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79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/>
      <c r="AL123" s="56"/>
      <c r="AM123" s="56"/>
      <c r="AN123" s="56"/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79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/>
      <c r="AL124" s="56"/>
      <c r="AM124" s="56"/>
      <c r="AN124" s="56"/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79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/>
      <c r="AL125" s="56"/>
      <c r="AM125" s="56"/>
      <c r="AN125" s="56"/>
    </row>
    <row r="126" spans="1:40" x14ac:dyDescent="0.2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79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/>
      <c r="AL126" s="56"/>
      <c r="AM126" s="56"/>
      <c r="AN126" s="56"/>
    </row>
    <row r="127" spans="1:40" x14ac:dyDescent="0.2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79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2">
        <v>318</v>
      </c>
      <c r="AK127" s="56"/>
      <c r="AL127" s="56"/>
      <c r="AM127" s="56"/>
      <c r="AN127" s="56"/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80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/>
      <c r="AL128" s="56"/>
      <c r="AM128" s="56"/>
      <c r="AN128" s="56"/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80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/>
      <c r="AL129" s="56"/>
      <c r="AM129" s="56"/>
      <c r="AN129" s="56"/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80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/>
      <c r="AL130" s="56"/>
      <c r="AM130" s="56"/>
      <c r="AN130" s="56"/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80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/>
      <c r="AL131" s="56"/>
      <c r="AM131" s="56"/>
      <c r="AN131" s="56"/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80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/>
      <c r="AL132" s="56"/>
      <c r="AM132" s="56"/>
      <c r="AN132" s="56"/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80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/>
      <c r="AL133" s="56"/>
      <c r="AM133" s="56"/>
      <c r="AN133" s="56"/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80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/>
      <c r="AM134" s="56"/>
      <c r="AN134" s="56"/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80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/>
      <c r="AM135" s="56"/>
      <c r="AN135" s="56"/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80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94">
        <v>23174</v>
      </c>
      <c r="AK136" s="622"/>
      <c r="AM136" s="56"/>
      <c r="AN136" s="56"/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80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94">
        <v>28426</v>
      </c>
      <c r="AK137" s="622"/>
      <c r="AM137" s="56"/>
      <c r="AN137" s="56"/>
    </row>
    <row r="138" spans="1:44" x14ac:dyDescent="0.2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80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94">
        <v>5518</v>
      </c>
      <c r="AK138" s="622"/>
      <c r="AM138" s="56"/>
      <c r="AN138" s="56"/>
    </row>
    <row r="139" spans="1:44" x14ac:dyDescent="0.2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80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622"/>
      <c r="AL139" s="56"/>
      <c r="AM139" s="56"/>
      <c r="AN139" s="56"/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80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94">
        <v>29691</v>
      </c>
      <c r="AK140" s="622"/>
      <c r="AM140" s="56"/>
      <c r="AN140" s="56"/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80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94">
        <v>31194</v>
      </c>
      <c r="AK141" s="622"/>
      <c r="AM141" s="56"/>
      <c r="AN141" s="56"/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80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94">
        <v>15592</v>
      </c>
      <c r="AK142" s="622"/>
      <c r="AM142" s="56"/>
      <c r="AN142" s="56"/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80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94">
        <v>24292</v>
      </c>
      <c r="AK143" s="622"/>
      <c r="AM143" s="56"/>
      <c r="AN143" s="56"/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80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94">
        <v>47210</v>
      </c>
      <c r="AK144" s="622"/>
      <c r="AM144" s="56"/>
      <c r="AN144" s="56"/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80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94">
        <v>27110</v>
      </c>
      <c r="AK145" s="622"/>
      <c r="AM145" s="56"/>
      <c r="AN145" s="56"/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80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8">
        <v>51800</v>
      </c>
      <c r="AK146" s="622"/>
      <c r="AM146" s="56"/>
      <c r="AN146" s="56"/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80"/>
      <c r="AD147" s="296"/>
      <c r="AE147" s="296"/>
      <c r="AF147" s="296"/>
      <c r="AG147" s="296"/>
      <c r="AH147" s="296"/>
      <c r="AI147" s="296"/>
      <c r="AJ147" s="298"/>
      <c r="AK147" s="622"/>
      <c r="AM147" s="56"/>
      <c r="AN147" s="56"/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80"/>
      <c r="AD148" s="296"/>
      <c r="AE148" s="296"/>
      <c r="AF148" s="296"/>
      <c r="AG148" s="296"/>
      <c r="AH148" s="296"/>
      <c r="AI148" s="296"/>
      <c r="AJ148" s="298"/>
      <c r="AK148" s="622"/>
      <c r="AM148" s="56"/>
      <c r="AN148" s="56"/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80"/>
      <c r="AD149" s="296"/>
      <c r="AE149" s="296"/>
      <c r="AF149" s="296"/>
      <c r="AG149" s="296"/>
      <c r="AH149" s="296"/>
      <c r="AI149" s="296"/>
      <c r="AJ149" s="298"/>
      <c r="AK149" s="622"/>
      <c r="AM149" s="56"/>
      <c r="AN149" s="56"/>
    </row>
    <row r="150" spans="1:40" x14ac:dyDescent="0.2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80"/>
      <c r="AD150" s="296"/>
      <c r="AE150" s="296"/>
      <c r="AF150" s="296"/>
      <c r="AG150" s="296"/>
      <c r="AH150" s="296"/>
      <c r="AI150" s="296"/>
      <c r="AJ150" s="298"/>
      <c r="AK150" s="622"/>
      <c r="AM150" s="56"/>
      <c r="AN150" s="56"/>
    </row>
    <row r="151" spans="1:40" x14ac:dyDescent="0.2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80"/>
      <c r="AD151" s="296"/>
      <c r="AE151" s="296"/>
      <c r="AF151" s="296"/>
      <c r="AG151" s="296"/>
      <c r="AH151" s="296"/>
      <c r="AI151" s="296"/>
      <c r="AJ151" s="296"/>
      <c r="AK151" s="622"/>
      <c r="AL151" s="56"/>
      <c r="AM151" s="56"/>
      <c r="AN151" s="56"/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81"/>
      <c r="AD157" s="56"/>
      <c r="AE157" s="56"/>
      <c r="AF157" s="56"/>
      <c r="AG157" s="56"/>
      <c r="AH157" s="56"/>
      <c r="AI157" s="56"/>
      <c r="AJ157" s="56"/>
    </row>
    <row r="158" spans="1:40" x14ac:dyDescent="0.2"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81"/>
      <c r="AD158" s="56"/>
      <c r="AE158" s="56"/>
      <c r="AF158" s="56"/>
      <c r="AG158" s="56"/>
      <c r="AH158" s="56"/>
      <c r="AI158" s="56"/>
      <c r="AJ158" s="56"/>
    </row>
    <row r="159" spans="1:40" x14ac:dyDescent="0.2">
      <c r="B159" s="582"/>
      <c r="C159" s="582"/>
      <c r="D159" s="582"/>
      <c r="E159" s="582"/>
      <c r="F159" s="582"/>
      <c r="G159" s="582"/>
      <c r="H159" s="582"/>
      <c r="I159" s="582"/>
      <c r="J159" s="582"/>
      <c r="K159" s="582"/>
      <c r="L159" s="582"/>
      <c r="M159" s="582"/>
      <c r="N159" s="582"/>
      <c r="O159" s="582"/>
      <c r="P159" s="582"/>
      <c r="Q159" s="582"/>
      <c r="R159" s="582"/>
      <c r="S159" s="582"/>
      <c r="T159" s="582"/>
      <c r="U159" s="582"/>
      <c r="V159" s="582"/>
      <c r="W159" s="582"/>
      <c r="X159" s="582"/>
      <c r="Y159" s="582"/>
      <c r="Z159" s="582"/>
      <c r="AA159" s="582"/>
      <c r="AB159" s="582"/>
      <c r="AC159" s="583"/>
      <c r="AD159" s="582"/>
      <c r="AE159" s="582"/>
      <c r="AF159" s="582"/>
      <c r="AG159" s="582"/>
      <c r="AH159" s="582"/>
      <c r="AI159" s="582"/>
      <c r="AJ159" s="582"/>
    </row>
    <row r="160" spans="1:40" x14ac:dyDescent="0.2"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81"/>
      <c r="AD160" s="56"/>
      <c r="AE160" s="56"/>
      <c r="AF160" s="56"/>
      <c r="AG160" s="56"/>
      <c r="AH160" s="56"/>
      <c r="AI160" s="56"/>
      <c r="AJ160" s="56"/>
    </row>
    <row r="161" spans="3:36" x14ac:dyDescent="0.2">
      <c r="C161" s="582"/>
      <c r="D161" s="582"/>
      <c r="E161" s="582"/>
      <c r="F161" s="582"/>
      <c r="G161" s="582"/>
      <c r="H161" s="582"/>
      <c r="I161" s="582"/>
      <c r="J161" s="582"/>
      <c r="K161" s="582"/>
      <c r="L161" s="582"/>
      <c r="M161" s="582"/>
      <c r="N161" s="582"/>
      <c r="O161" s="582"/>
      <c r="P161" s="582"/>
      <c r="Q161" s="582"/>
      <c r="R161" s="582"/>
      <c r="S161" s="582"/>
      <c r="T161" s="582"/>
      <c r="U161" s="582"/>
      <c r="V161" s="582"/>
      <c r="W161" s="582"/>
      <c r="X161" s="582"/>
      <c r="Y161" s="582"/>
      <c r="Z161" s="582"/>
      <c r="AA161" s="582"/>
      <c r="AB161" s="582"/>
      <c r="AC161" s="583"/>
      <c r="AD161" s="582"/>
      <c r="AE161" s="582"/>
      <c r="AF161" s="582"/>
      <c r="AG161" s="582"/>
      <c r="AH161" s="582"/>
      <c r="AI161" s="582"/>
      <c r="AJ161" s="582"/>
    </row>
  </sheetData>
  <mergeCells count="2">
    <mergeCell ref="AO8:AQ8"/>
    <mergeCell ref="AO9:AQ9"/>
  </mergeCell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31E5-5B4D-2746-A61C-CA6E8183C27F}">
  <dimension ref="A1:E151"/>
  <sheetViews>
    <sheetView workbookViewId="0">
      <selection activeCell="K7" sqref="K7"/>
    </sheetView>
  </sheetViews>
  <sheetFormatPr baseColWidth="10" defaultRowHeight="16" x14ac:dyDescent="0.2"/>
  <cols>
    <col min="1" max="1" width="10.1640625" style="55" bestFit="1" customWidth="1"/>
  </cols>
  <sheetData>
    <row r="1" spans="1:5" ht="103" thickBot="1" x14ac:dyDescent="0.25">
      <c r="A1" s="251" t="s">
        <v>77</v>
      </c>
      <c r="B1" s="121" t="s">
        <v>729</v>
      </c>
      <c r="C1" s="121" t="s">
        <v>109</v>
      </c>
      <c r="D1" s="121" t="s">
        <v>730</v>
      </c>
      <c r="E1" s="121" t="s">
        <v>731</v>
      </c>
    </row>
    <row r="2" spans="1:5" x14ac:dyDescent="0.2">
      <c r="A2" s="254">
        <v>41640</v>
      </c>
      <c r="B2" s="618"/>
      <c r="C2" s="619"/>
      <c r="D2" s="618">
        <v>5938547</v>
      </c>
      <c r="E2" s="618">
        <v>5938547</v>
      </c>
    </row>
    <row r="3" spans="1:5" x14ac:dyDescent="0.2">
      <c r="A3" s="254">
        <v>41671</v>
      </c>
      <c r="B3" s="618"/>
      <c r="C3" s="619"/>
      <c r="D3" s="618">
        <v>5888877</v>
      </c>
      <c r="E3" s="618">
        <v>5888877</v>
      </c>
    </row>
    <row r="4" spans="1:5" x14ac:dyDescent="0.2">
      <c r="A4" s="254">
        <v>41699</v>
      </c>
      <c r="B4" s="618"/>
      <c r="C4" s="619"/>
      <c r="D4" s="618">
        <v>6018786</v>
      </c>
      <c r="E4" s="618">
        <v>6018786</v>
      </c>
    </row>
    <row r="5" spans="1:5" x14ac:dyDescent="0.2">
      <c r="A5" s="254">
        <v>41730</v>
      </c>
      <c r="B5" s="618"/>
      <c r="C5" s="619"/>
      <c r="D5" s="618">
        <v>7488350</v>
      </c>
      <c r="E5" s="618">
        <v>7488350</v>
      </c>
    </row>
    <row r="6" spans="1:5" x14ac:dyDescent="0.2">
      <c r="A6" s="254">
        <v>41760</v>
      </c>
      <c r="B6" s="618"/>
      <c r="C6" s="619"/>
      <c r="D6" s="618">
        <v>7986119</v>
      </c>
      <c r="E6" s="618">
        <v>7986119</v>
      </c>
    </row>
    <row r="7" spans="1:5" x14ac:dyDescent="0.2">
      <c r="A7" s="254">
        <v>41791</v>
      </c>
      <c r="B7" s="618"/>
      <c r="C7" s="619"/>
      <c r="D7" s="618">
        <v>8876152</v>
      </c>
      <c r="E7" s="618">
        <v>8876152</v>
      </c>
    </row>
    <row r="8" spans="1:5" x14ac:dyDescent="0.2">
      <c r="A8" s="254">
        <v>41821</v>
      </c>
      <c r="B8" s="618"/>
      <c r="C8" s="619"/>
      <c r="D8" s="618">
        <v>9340526</v>
      </c>
      <c r="E8" s="618">
        <v>9340526</v>
      </c>
    </row>
    <row r="9" spans="1:5" x14ac:dyDescent="0.2">
      <c r="A9" s="262">
        <v>41852</v>
      </c>
      <c r="B9" s="618"/>
      <c r="C9" s="619"/>
      <c r="D9" s="618">
        <v>8583907</v>
      </c>
      <c r="E9" s="618">
        <v>8583907</v>
      </c>
    </row>
    <row r="10" spans="1:5" x14ac:dyDescent="0.2">
      <c r="A10" s="262">
        <v>41883</v>
      </c>
      <c r="B10" s="618"/>
      <c r="C10" s="619"/>
      <c r="D10" s="618">
        <v>10023872</v>
      </c>
      <c r="E10" s="618">
        <v>10023872</v>
      </c>
    </row>
    <row r="11" spans="1:5" x14ac:dyDescent="0.2">
      <c r="A11" s="262">
        <v>41913</v>
      </c>
      <c r="B11" s="618"/>
      <c r="C11" s="619"/>
      <c r="D11" s="618">
        <v>8035429</v>
      </c>
      <c r="E11" s="618">
        <v>8035429</v>
      </c>
    </row>
    <row r="12" spans="1:5" x14ac:dyDescent="0.2">
      <c r="A12" s="262">
        <v>41944</v>
      </c>
      <c r="B12" s="618"/>
      <c r="C12" s="619"/>
      <c r="D12" s="618">
        <v>6858052</v>
      </c>
      <c r="E12" s="618">
        <v>6858052</v>
      </c>
    </row>
    <row r="13" spans="1:5" x14ac:dyDescent="0.2">
      <c r="A13" s="262">
        <v>41974</v>
      </c>
      <c r="B13" s="618"/>
      <c r="C13" s="619"/>
      <c r="D13" s="618">
        <v>6405579</v>
      </c>
      <c r="E13" s="618">
        <v>6405579</v>
      </c>
    </row>
    <row r="14" spans="1:5" x14ac:dyDescent="0.2">
      <c r="A14" s="264">
        <v>42005</v>
      </c>
      <c r="B14" s="618"/>
      <c r="C14" s="619"/>
      <c r="D14" s="618">
        <v>6037637</v>
      </c>
      <c r="E14" s="618">
        <v>6037637</v>
      </c>
    </row>
    <row r="15" spans="1:5" x14ac:dyDescent="0.2">
      <c r="A15" s="264">
        <v>42036</v>
      </c>
      <c r="B15" s="618"/>
      <c r="C15" s="619"/>
      <c r="D15" s="618">
        <v>5695515</v>
      </c>
      <c r="E15" s="618">
        <v>5695515</v>
      </c>
    </row>
    <row r="16" spans="1:5" x14ac:dyDescent="0.2">
      <c r="A16" s="264">
        <v>42064</v>
      </c>
      <c r="B16" s="618"/>
      <c r="C16" s="619"/>
      <c r="D16" s="618">
        <v>6808373</v>
      </c>
      <c r="E16" s="618">
        <v>6808373</v>
      </c>
    </row>
    <row r="17" spans="1:5" x14ac:dyDescent="0.2">
      <c r="A17" s="264">
        <v>42095</v>
      </c>
      <c r="B17" s="618"/>
      <c r="C17" s="619"/>
      <c r="D17" s="618">
        <v>7375395</v>
      </c>
      <c r="E17" s="618">
        <v>7375395</v>
      </c>
    </row>
    <row r="18" spans="1:5" ht="17" thickBot="1" x14ac:dyDescent="0.25">
      <c r="A18" s="264">
        <v>42125</v>
      </c>
      <c r="B18" s="618"/>
      <c r="C18" s="619"/>
      <c r="D18" s="618">
        <v>8190535</v>
      </c>
      <c r="E18" s="618">
        <v>8190535</v>
      </c>
    </row>
    <row r="19" spans="1:5" ht="17" thickBot="1" x14ac:dyDescent="0.25">
      <c r="A19" s="264">
        <v>42156</v>
      </c>
      <c r="B19" s="620">
        <v>93067207</v>
      </c>
      <c r="C19" s="621">
        <v>93067207</v>
      </c>
      <c r="D19" s="618">
        <v>9712387</v>
      </c>
      <c r="E19" s="618">
        <v>9712387</v>
      </c>
    </row>
    <row r="20" spans="1:5" x14ac:dyDescent="0.2">
      <c r="A20" s="264">
        <v>42186</v>
      </c>
      <c r="B20" s="618">
        <v>92560708</v>
      </c>
      <c r="C20" s="618"/>
      <c r="D20" s="618">
        <v>8834027</v>
      </c>
      <c r="E20" s="618">
        <v>8834027</v>
      </c>
    </row>
    <row r="21" spans="1:5" x14ac:dyDescent="0.2">
      <c r="A21" s="264">
        <v>42217</v>
      </c>
      <c r="B21" s="618">
        <v>92658683</v>
      </c>
      <c r="C21" s="618"/>
      <c r="D21" s="618">
        <v>8681882</v>
      </c>
      <c r="E21" s="618">
        <v>8681882</v>
      </c>
    </row>
    <row r="22" spans="1:5" x14ac:dyDescent="0.2">
      <c r="A22" s="264">
        <v>42248</v>
      </c>
      <c r="B22" s="618">
        <v>92589207</v>
      </c>
      <c r="C22" s="618"/>
      <c r="D22" s="618">
        <v>9954396</v>
      </c>
      <c r="E22" s="618">
        <v>9954396</v>
      </c>
    </row>
    <row r="23" spans="1:5" x14ac:dyDescent="0.2">
      <c r="A23" s="264">
        <v>42278</v>
      </c>
      <c r="B23" s="618">
        <v>92906500</v>
      </c>
      <c r="C23" s="618"/>
      <c r="D23" s="618">
        <v>8352722</v>
      </c>
      <c r="E23" s="618">
        <v>8352722</v>
      </c>
    </row>
    <row r="24" spans="1:5" x14ac:dyDescent="0.2">
      <c r="A24" s="264">
        <v>42309</v>
      </c>
      <c r="B24" s="618">
        <v>94099443</v>
      </c>
      <c r="C24" s="618"/>
      <c r="D24" s="618">
        <v>8050995</v>
      </c>
      <c r="E24" s="618">
        <v>8050995</v>
      </c>
    </row>
    <row r="25" spans="1:5" x14ac:dyDescent="0.2">
      <c r="A25" s="264">
        <v>42339</v>
      </c>
      <c r="B25" s="618">
        <v>94187317</v>
      </c>
      <c r="C25" s="618"/>
      <c r="D25" s="618">
        <v>6493453</v>
      </c>
      <c r="E25" s="618">
        <v>6493453</v>
      </c>
    </row>
    <row r="26" spans="1:5" x14ac:dyDescent="0.2">
      <c r="A26" s="269">
        <v>42370</v>
      </c>
      <c r="B26" s="618">
        <v>94394903</v>
      </c>
      <c r="C26" s="618"/>
      <c r="D26" s="618">
        <v>6245223</v>
      </c>
      <c r="E26" s="618">
        <v>6245223</v>
      </c>
    </row>
    <row r="27" spans="1:5" x14ac:dyDescent="0.2">
      <c r="A27" s="269">
        <v>42401</v>
      </c>
      <c r="B27" s="618">
        <v>95166272</v>
      </c>
      <c r="C27" s="618"/>
      <c r="D27" s="618">
        <v>6466884</v>
      </c>
      <c r="E27" s="618">
        <v>6466884</v>
      </c>
    </row>
    <row r="28" spans="1:5" x14ac:dyDescent="0.2">
      <c r="A28" s="269">
        <v>42430</v>
      </c>
      <c r="B28" s="618">
        <v>94971369</v>
      </c>
      <c r="C28" s="618"/>
      <c r="D28" s="618">
        <v>6613470</v>
      </c>
      <c r="E28" s="618">
        <v>6613470</v>
      </c>
    </row>
    <row r="29" spans="1:5" x14ac:dyDescent="0.2">
      <c r="A29" s="269">
        <v>42461</v>
      </c>
      <c r="B29" s="618">
        <v>95180695</v>
      </c>
      <c r="C29" s="618"/>
      <c r="D29" s="618">
        <v>7584721</v>
      </c>
      <c r="E29" s="618">
        <v>7584721</v>
      </c>
    </row>
    <row r="30" spans="1:5" ht="17" thickBot="1" x14ac:dyDescent="0.25">
      <c r="A30" s="269">
        <v>42491</v>
      </c>
      <c r="B30" s="618">
        <v>95720512</v>
      </c>
      <c r="C30" s="618"/>
      <c r="D30" s="618">
        <v>8730352</v>
      </c>
      <c r="E30" s="618">
        <v>8730352</v>
      </c>
    </row>
    <row r="31" spans="1:5" ht="17" thickBot="1" x14ac:dyDescent="0.25">
      <c r="A31" s="269">
        <v>42522</v>
      </c>
      <c r="B31" s="620">
        <v>95800070</v>
      </c>
      <c r="C31" s="621">
        <v>95800070</v>
      </c>
      <c r="D31" s="618">
        <v>9791945</v>
      </c>
      <c r="E31" s="618">
        <v>9791945</v>
      </c>
    </row>
    <row r="32" spans="1:5" x14ac:dyDescent="0.2">
      <c r="A32" s="269">
        <v>42552</v>
      </c>
      <c r="B32" s="618">
        <v>96134757</v>
      </c>
      <c r="C32" s="618"/>
      <c r="D32" s="618">
        <v>9168714</v>
      </c>
      <c r="E32" s="618">
        <v>9168714</v>
      </c>
    </row>
    <row r="33" spans="1:5" x14ac:dyDescent="0.2">
      <c r="A33" s="269">
        <v>42583</v>
      </c>
      <c r="B33" s="618">
        <v>96947485</v>
      </c>
      <c r="C33" s="618"/>
      <c r="D33" s="618">
        <v>9494610</v>
      </c>
      <c r="E33" s="618">
        <v>9494610</v>
      </c>
    </row>
    <row r="34" spans="1:5" x14ac:dyDescent="0.2">
      <c r="A34" s="269">
        <v>42614</v>
      </c>
      <c r="B34" s="618">
        <v>96474873</v>
      </c>
      <c r="C34" s="618"/>
      <c r="D34" s="618">
        <v>9481784</v>
      </c>
      <c r="E34" s="618">
        <v>9481784</v>
      </c>
    </row>
    <row r="35" spans="1:5" x14ac:dyDescent="0.2">
      <c r="A35" s="269">
        <v>42644</v>
      </c>
      <c r="B35" s="618">
        <v>96161212</v>
      </c>
      <c r="C35" s="618"/>
      <c r="D35" s="618">
        <v>8039061</v>
      </c>
      <c r="E35" s="618">
        <v>8039061</v>
      </c>
    </row>
    <row r="36" spans="1:5" x14ac:dyDescent="0.2">
      <c r="A36" s="269">
        <v>42675</v>
      </c>
      <c r="B36" s="618">
        <v>96368281</v>
      </c>
      <c r="C36" s="618"/>
      <c r="D36" s="618">
        <v>8258064</v>
      </c>
      <c r="E36" s="618">
        <v>8258064</v>
      </c>
    </row>
    <row r="37" spans="1:5" x14ac:dyDescent="0.2">
      <c r="A37" s="269">
        <v>42705</v>
      </c>
      <c r="B37" s="618">
        <v>96342853</v>
      </c>
      <c r="C37" s="618"/>
      <c r="D37" s="618">
        <v>6468025</v>
      </c>
      <c r="E37" s="618">
        <v>6468025</v>
      </c>
    </row>
    <row r="38" spans="1:5" x14ac:dyDescent="0.2">
      <c r="A38" s="274">
        <v>42736</v>
      </c>
      <c r="B38" s="618">
        <v>95623203</v>
      </c>
      <c r="C38" s="618"/>
      <c r="D38" s="618">
        <v>5525573</v>
      </c>
      <c r="E38" s="618">
        <v>5525573</v>
      </c>
    </row>
    <row r="39" spans="1:5" x14ac:dyDescent="0.2">
      <c r="A39" s="274">
        <v>42767</v>
      </c>
      <c r="B39" s="618">
        <v>95982844</v>
      </c>
      <c r="C39" s="618"/>
      <c r="D39" s="618">
        <v>6826525</v>
      </c>
      <c r="E39" s="618">
        <v>6826525</v>
      </c>
    </row>
    <row r="40" spans="1:5" x14ac:dyDescent="0.2">
      <c r="A40" s="274">
        <v>42795</v>
      </c>
      <c r="B40" s="618">
        <v>96253205</v>
      </c>
      <c r="C40" s="618"/>
      <c r="D40" s="618">
        <v>6883831</v>
      </c>
      <c r="E40" s="618">
        <v>6883831</v>
      </c>
    </row>
    <row r="41" spans="1:5" x14ac:dyDescent="0.2">
      <c r="A41" s="274">
        <v>42826</v>
      </c>
      <c r="B41" s="618">
        <v>95356819</v>
      </c>
      <c r="C41" s="618"/>
      <c r="D41" s="618">
        <v>6688335</v>
      </c>
      <c r="E41" s="618">
        <v>6688335</v>
      </c>
    </row>
    <row r="42" spans="1:5" ht="17" thickBot="1" x14ac:dyDescent="0.25">
      <c r="A42" s="274">
        <v>42856</v>
      </c>
      <c r="B42" s="618">
        <v>94764032</v>
      </c>
      <c r="C42" s="618"/>
      <c r="D42" s="618">
        <v>8137565</v>
      </c>
      <c r="E42" s="618">
        <v>8137565</v>
      </c>
    </row>
    <row r="43" spans="1:5" ht="17" thickBot="1" x14ac:dyDescent="0.25">
      <c r="A43" s="274">
        <v>42887</v>
      </c>
      <c r="B43" s="620">
        <v>94486358</v>
      </c>
      <c r="C43" s="621">
        <v>94486358</v>
      </c>
      <c r="D43" s="618">
        <v>9514271</v>
      </c>
      <c r="E43" s="618">
        <v>9514271</v>
      </c>
    </row>
    <row r="44" spans="1:5" x14ac:dyDescent="0.2">
      <c r="A44" s="274">
        <v>42917</v>
      </c>
      <c r="B44" s="618">
        <v>93560730</v>
      </c>
      <c r="C44" s="618"/>
      <c r="D44" s="618">
        <v>8243086</v>
      </c>
      <c r="E44" s="618">
        <v>8243086</v>
      </c>
    </row>
    <row r="45" spans="1:5" x14ac:dyDescent="0.2">
      <c r="A45" s="274">
        <v>42948</v>
      </c>
      <c r="B45" s="618">
        <v>93908381</v>
      </c>
      <c r="C45" s="618"/>
      <c r="D45" s="618">
        <v>9842261</v>
      </c>
      <c r="E45" s="618">
        <v>9842261</v>
      </c>
    </row>
    <row r="46" spans="1:5" x14ac:dyDescent="0.2">
      <c r="A46" s="274">
        <v>42979</v>
      </c>
      <c r="B46" s="618">
        <v>93939573</v>
      </c>
      <c r="C46" s="618"/>
      <c r="D46" s="618">
        <v>9512976</v>
      </c>
      <c r="E46" s="618">
        <v>9512976</v>
      </c>
    </row>
    <row r="47" spans="1:5" x14ac:dyDescent="0.2">
      <c r="A47" s="274">
        <v>43009</v>
      </c>
      <c r="B47" s="618">
        <v>94414956</v>
      </c>
      <c r="C47" s="618"/>
      <c r="D47" s="618">
        <v>8514444</v>
      </c>
      <c r="E47" s="618">
        <v>8514444</v>
      </c>
    </row>
    <row r="48" spans="1:5" x14ac:dyDescent="0.2">
      <c r="A48" s="274">
        <v>43040</v>
      </c>
      <c r="B48" s="618">
        <v>93418878</v>
      </c>
      <c r="C48" s="618"/>
      <c r="D48" s="618">
        <v>7261986</v>
      </c>
      <c r="E48" s="618">
        <v>7261986</v>
      </c>
    </row>
    <row r="49" spans="1:5" x14ac:dyDescent="0.2">
      <c r="A49" s="274">
        <v>43070</v>
      </c>
      <c r="B49" s="618">
        <v>92921703</v>
      </c>
      <c r="C49" s="618"/>
      <c r="D49" s="618">
        <v>5970850</v>
      </c>
      <c r="E49" s="618">
        <v>5970850</v>
      </c>
    </row>
    <row r="50" spans="1:5" x14ac:dyDescent="0.2">
      <c r="A50" s="280">
        <v>43101</v>
      </c>
      <c r="B50" s="618">
        <v>93736605</v>
      </c>
      <c r="C50" s="618"/>
      <c r="D50" s="618">
        <v>6340475</v>
      </c>
      <c r="E50" s="618">
        <v>6340475</v>
      </c>
    </row>
    <row r="51" spans="1:5" x14ac:dyDescent="0.2">
      <c r="A51" s="280">
        <v>43132</v>
      </c>
      <c r="B51" s="618">
        <v>92920952</v>
      </c>
      <c r="C51" s="618"/>
      <c r="D51" s="618">
        <v>6010872</v>
      </c>
      <c r="E51" s="618">
        <v>6094434</v>
      </c>
    </row>
    <row r="52" spans="1:5" x14ac:dyDescent="0.2">
      <c r="A52" s="280">
        <v>43160</v>
      </c>
      <c r="B52" s="618">
        <v>92503642</v>
      </c>
      <c r="C52" s="618"/>
      <c r="D52" s="618">
        <v>6466521</v>
      </c>
      <c r="E52" s="618">
        <v>6536866</v>
      </c>
    </row>
    <row r="53" spans="1:5" x14ac:dyDescent="0.2">
      <c r="A53" s="280">
        <v>43191</v>
      </c>
      <c r="B53" s="618">
        <v>93292059</v>
      </c>
      <c r="C53" s="618"/>
      <c r="D53" s="618">
        <v>7476752</v>
      </c>
      <c r="E53" s="618">
        <v>7557236</v>
      </c>
    </row>
    <row r="54" spans="1:5" ht="17" thickBot="1" x14ac:dyDescent="0.25">
      <c r="A54" s="280">
        <v>43221</v>
      </c>
      <c r="B54" s="618">
        <v>94135291</v>
      </c>
      <c r="C54" s="618"/>
      <c r="D54" s="618">
        <v>8980797</v>
      </c>
      <c r="E54" s="618">
        <v>9097158</v>
      </c>
    </row>
    <row r="55" spans="1:5" ht="17" thickBot="1" x14ac:dyDescent="0.25">
      <c r="A55" s="280">
        <v>43252</v>
      </c>
      <c r="B55" s="620">
        <v>92966450</v>
      </c>
      <c r="C55" s="621">
        <v>93414359</v>
      </c>
      <c r="D55" s="618">
        <v>8345430</v>
      </c>
      <c r="E55" s="618">
        <v>8442587</v>
      </c>
    </row>
    <row r="56" spans="1:5" x14ac:dyDescent="0.2">
      <c r="A56" s="280">
        <v>43282</v>
      </c>
      <c r="B56" s="618">
        <v>93887240</v>
      </c>
      <c r="C56" s="618"/>
      <c r="D56" s="618">
        <v>9163876</v>
      </c>
      <c r="E56" s="618">
        <v>9234454</v>
      </c>
    </row>
    <row r="57" spans="1:5" x14ac:dyDescent="0.2">
      <c r="A57" s="280">
        <v>43313</v>
      </c>
      <c r="B57" s="618">
        <v>93309781</v>
      </c>
      <c r="C57" s="618"/>
      <c r="D57" s="618">
        <v>9264802</v>
      </c>
      <c r="E57" s="618">
        <v>9350143</v>
      </c>
    </row>
    <row r="58" spans="1:5" x14ac:dyDescent="0.2">
      <c r="A58" s="280">
        <v>43344</v>
      </c>
      <c r="B58" s="618">
        <v>92346280</v>
      </c>
      <c r="C58" s="618"/>
      <c r="D58" s="618">
        <v>8549475</v>
      </c>
      <c r="E58" s="618">
        <v>8646720</v>
      </c>
    </row>
    <row r="59" spans="1:5" x14ac:dyDescent="0.2">
      <c r="A59" s="285">
        <v>43374</v>
      </c>
      <c r="B59" s="618">
        <v>91966795</v>
      </c>
      <c r="C59" s="618"/>
      <c r="D59" s="618">
        <v>8134959</v>
      </c>
      <c r="E59" s="618">
        <v>8247422</v>
      </c>
    </row>
    <row r="60" spans="1:5" x14ac:dyDescent="0.2">
      <c r="A60" s="280">
        <v>43405</v>
      </c>
      <c r="B60" s="618">
        <v>92006183</v>
      </c>
      <c r="C60" s="618"/>
      <c r="D60" s="618">
        <v>7301374</v>
      </c>
      <c r="E60" s="618">
        <v>7380273</v>
      </c>
    </row>
    <row r="61" spans="1:5" x14ac:dyDescent="0.2">
      <c r="A61" s="280">
        <v>43435</v>
      </c>
      <c r="B61" s="618">
        <v>91781095</v>
      </c>
      <c r="C61" s="618"/>
      <c r="D61" s="618">
        <v>5745762</v>
      </c>
      <c r="E61" s="618">
        <v>5816533</v>
      </c>
    </row>
    <row r="62" spans="1:5" x14ac:dyDescent="0.2">
      <c r="A62" s="269">
        <v>43466</v>
      </c>
      <c r="B62" s="618">
        <v>91689287</v>
      </c>
      <c r="C62" s="618"/>
      <c r="D62" s="618">
        <v>6248667</v>
      </c>
      <c r="E62" s="618">
        <v>6300067</v>
      </c>
    </row>
    <row r="63" spans="1:5" x14ac:dyDescent="0.2">
      <c r="A63" s="269">
        <v>43497</v>
      </c>
      <c r="B63" s="618">
        <v>91511184</v>
      </c>
      <c r="C63" s="618"/>
      <c r="D63" s="618">
        <v>5832769</v>
      </c>
      <c r="E63" s="618">
        <v>5901172</v>
      </c>
    </row>
    <row r="64" spans="1:5" x14ac:dyDescent="0.2">
      <c r="A64" s="269">
        <v>43525</v>
      </c>
      <c r="B64" s="618">
        <v>91375813</v>
      </c>
      <c r="C64" s="618"/>
      <c r="D64" s="618">
        <v>6331150</v>
      </c>
      <c r="E64" s="618">
        <v>6401669</v>
      </c>
    </row>
    <row r="65" spans="1:5" x14ac:dyDescent="0.2">
      <c r="A65" s="269">
        <v>43556</v>
      </c>
      <c r="B65" s="618">
        <v>91623394</v>
      </c>
      <c r="C65" s="618"/>
      <c r="D65" s="618">
        <v>7724333</v>
      </c>
      <c r="E65" s="618">
        <v>7815708</v>
      </c>
    </row>
    <row r="66" spans="1:5" ht="17" thickBot="1" x14ac:dyDescent="0.25">
      <c r="A66" s="269">
        <v>43586</v>
      </c>
      <c r="B66" s="618">
        <v>90483094</v>
      </c>
      <c r="C66" s="618"/>
      <c r="D66" s="618">
        <v>7840497</v>
      </c>
      <c r="E66" s="618">
        <v>7943460</v>
      </c>
    </row>
    <row r="67" spans="1:5" ht="17" thickBot="1" x14ac:dyDescent="0.25">
      <c r="A67" s="269">
        <v>43617</v>
      </c>
      <c r="B67" s="620">
        <v>90186094</v>
      </c>
      <c r="C67" s="621">
        <v>91176940</v>
      </c>
      <c r="D67" s="618">
        <v>8048430</v>
      </c>
      <c r="E67" s="618">
        <v>8139319</v>
      </c>
    </row>
    <row r="68" spans="1:5" x14ac:dyDescent="0.2">
      <c r="A68" s="269">
        <v>43647</v>
      </c>
      <c r="B68" s="618">
        <v>90323695</v>
      </c>
      <c r="C68" s="618"/>
      <c r="D68" s="618">
        <v>9301477</v>
      </c>
      <c r="E68" s="618">
        <v>9376472</v>
      </c>
    </row>
    <row r="69" spans="1:5" x14ac:dyDescent="0.2">
      <c r="A69" s="269">
        <v>43678</v>
      </c>
      <c r="B69" s="618">
        <v>90175858</v>
      </c>
      <c r="C69" s="618"/>
      <c r="D69" s="618">
        <v>9116965</v>
      </c>
      <c r="E69" s="618">
        <v>9184618</v>
      </c>
    </row>
    <row r="70" spans="1:5" x14ac:dyDescent="0.2">
      <c r="A70" s="269">
        <v>43709</v>
      </c>
      <c r="B70" s="618">
        <v>91088438</v>
      </c>
      <c r="C70" s="618"/>
      <c r="D70" s="618">
        <v>9462055</v>
      </c>
      <c r="E70" s="618">
        <v>9577222</v>
      </c>
    </row>
    <row r="71" spans="1:5" x14ac:dyDescent="0.2">
      <c r="A71" s="269">
        <v>43739</v>
      </c>
      <c r="B71" s="618">
        <v>91275557</v>
      </c>
      <c r="C71" s="618"/>
      <c r="D71" s="618">
        <v>8322078</v>
      </c>
      <c r="E71" s="618">
        <v>8466782</v>
      </c>
    </row>
    <row r="72" spans="1:5" x14ac:dyDescent="0.2">
      <c r="A72" s="269">
        <v>43770</v>
      </c>
      <c r="B72" s="618">
        <v>90389256</v>
      </c>
      <c r="C72" s="618"/>
      <c r="D72" s="618">
        <v>6415073</v>
      </c>
      <c r="E72" s="618">
        <v>6497604</v>
      </c>
    </row>
    <row r="73" spans="1:5" x14ac:dyDescent="0.2">
      <c r="A73" s="269">
        <v>43800</v>
      </c>
      <c r="B73" s="618">
        <v>90542578</v>
      </c>
      <c r="C73" s="618"/>
      <c r="D73" s="618">
        <v>5899084</v>
      </c>
      <c r="E73" s="618">
        <v>5947205</v>
      </c>
    </row>
    <row r="74" spans="1:5" x14ac:dyDescent="0.2">
      <c r="A74" s="264">
        <v>43831</v>
      </c>
      <c r="B74" s="618">
        <v>90062702</v>
      </c>
      <c r="C74" s="618"/>
      <c r="D74" s="618">
        <v>5768791</v>
      </c>
      <c r="E74" s="618">
        <v>5805396</v>
      </c>
    </row>
    <row r="75" spans="1:5" x14ac:dyDescent="0.2">
      <c r="A75" s="264">
        <v>43862</v>
      </c>
      <c r="B75" s="618">
        <v>89253740</v>
      </c>
      <c r="C75" s="618"/>
      <c r="D75" s="618">
        <v>5023807</v>
      </c>
      <c r="E75" s="618">
        <v>5066724</v>
      </c>
    </row>
    <row r="76" spans="1:5" x14ac:dyDescent="0.2">
      <c r="A76" s="264">
        <v>43891</v>
      </c>
      <c r="B76" s="618">
        <v>88747332</v>
      </c>
      <c r="C76" s="618"/>
      <c r="D76" s="618">
        <v>5824742</v>
      </c>
      <c r="E76" s="618">
        <v>5861350</v>
      </c>
    </row>
    <row r="77" spans="1:5" x14ac:dyDescent="0.2">
      <c r="A77" s="264">
        <v>43922</v>
      </c>
      <c r="B77" s="618">
        <v>86704720</v>
      </c>
      <c r="C77" s="618"/>
      <c r="D77" s="618">
        <v>5681721</v>
      </c>
      <c r="E77" s="618">
        <v>5719590</v>
      </c>
    </row>
    <row r="78" spans="1:5" ht="17" thickBot="1" x14ac:dyDescent="0.25">
      <c r="A78" s="264">
        <v>43952</v>
      </c>
      <c r="B78" s="618">
        <v>86447454</v>
      </c>
      <c r="C78" s="618"/>
      <c r="D78" s="618">
        <v>7583231</v>
      </c>
      <c r="E78" s="618">
        <v>7775261</v>
      </c>
    </row>
    <row r="79" spans="1:5" ht="17" thickBot="1" x14ac:dyDescent="0.25">
      <c r="A79" s="264">
        <v>43983</v>
      </c>
      <c r="B79" s="620">
        <v>87353244</v>
      </c>
      <c r="C79" s="621">
        <v>88300941</v>
      </c>
      <c r="D79" s="618">
        <v>8954220</v>
      </c>
      <c r="E79" s="618">
        <v>9022717</v>
      </c>
    </row>
    <row r="80" spans="1:5" x14ac:dyDescent="0.2">
      <c r="A80" s="264">
        <v>44013</v>
      </c>
      <c r="B80" s="618">
        <v>86884899</v>
      </c>
      <c r="C80" s="618"/>
      <c r="D80" s="618">
        <v>8833132</v>
      </c>
      <c r="E80" s="618">
        <v>8895208</v>
      </c>
    </row>
    <row r="81" spans="1:5" x14ac:dyDescent="0.2">
      <c r="A81" s="264">
        <v>44044</v>
      </c>
      <c r="B81" s="618">
        <v>85699386</v>
      </c>
      <c r="C81" s="618"/>
      <c r="D81" s="618">
        <v>7931452</v>
      </c>
      <c r="E81" s="618">
        <v>8002091</v>
      </c>
    </row>
    <row r="82" spans="1:5" x14ac:dyDescent="0.2">
      <c r="A82" s="264">
        <v>44075</v>
      </c>
      <c r="B82" s="618">
        <v>85710579</v>
      </c>
      <c r="C82" s="618"/>
      <c r="D82" s="618">
        <v>9473248</v>
      </c>
      <c r="E82" s="618">
        <v>9701459</v>
      </c>
    </row>
    <row r="83" spans="1:5" x14ac:dyDescent="0.2">
      <c r="A83" s="264">
        <v>44105</v>
      </c>
      <c r="B83" s="618">
        <v>84624859</v>
      </c>
      <c r="C83" s="618"/>
      <c r="D83" s="618">
        <v>7236358</v>
      </c>
      <c r="E83" s="618">
        <v>7326898</v>
      </c>
    </row>
    <row r="84" spans="1:5" x14ac:dyDescent="0.2">
      <c r="A84" s="264">
        <v>44136</v>
      </c>
      <c r="B84" s="618">
        <v>84979994</v>
      </c>
      <c r="C84" s="618"/>
      <c r="D84" s="618">
        <v>6770208</v>
      </c>
      <c r="E84" s="618">
        <v>6838931</v>
      </c>
    </row>
    <row r="85" spans="1:5" x14ac:dyDescent="0.2">
      <c r="A85" s="264">
        <v>44166</v>
      </c>
      <c r="B85" s="618">
        <v>84854430</v>
      </c>
      <c r="C85" s="618"/>
      <c r="D85" s="618">
        <v>5773520</v>
      </c>
      <c r="E85" s="618">
        <v>5832897</v>
      </c>
    </row>
    <row r="86" spans="1:5" x14ac:dyDescent="0.2">
      <c r="A86" s="290">
        <v>44197</v>
      </c>
      <c r="B86" s="618">
        <v>84786987</v>
      </c>
      <c r="C86" s="618"/>
      <c r="D86" s="618">
        <v>5701348</v>
      </c>
      <c r="E86" s="618">
        <v>5763870</v>
      </c>
    </row>
    <row r="87" spans="1:5" x14ac:dyDescent="0.2">
      <c r="A87" s="290">
        <v>44228</v>
      </c>
      <c r="B87" s="618">
        <v>85189795</v>
      </c>
      <c r="C87" s="618"/>
      <c r="D87" s="618">
        <v>5426615</v>
      </c>
      <c r="E87" s="618">
        <v>5489137</v>
      </c>
    </row>
    <row r="88" spans="1:5" x14ac:dyDescent="0.2">
      <c r="A88" s="290">
        <v>44256</v>
      </c>
      <c r="B88" s="618">
        <v>86161740</v>
      </c>
      <c r="C88" s="618"/>
      <c r="D88" s="618">
        <v>6796687</v>
      </c>
      <c r="E88" s="618">
        <v>6856115</v>
      </c>
    </row>
    <row r="89" spans="1:5" x14ac:dyDescent="0.2">
      <c r="A89" s="290">
        <v>44287</v>
      </c>
      <c r="B89" s="618">
        <v>87567752</v>
      </c>
      <c r="C89" s="618"/>
      <c r="D89" s="618">
        <v>7087733</v>
      </c>
      <c r="E89" s="618">
        <v>7171769</v>
      </c>
    </row>
    <row r="90" spans="1:5" ht="17" thickBot="1" x14ac:dyDescent="0.25">
      <c r="A90" s="290">
        <v>44317</v>
      </c>
      <c r="B90" s="618">
        <v>88775236</v>
      </c>
      <c r="C90" s="618"/>
      <c r="D90" s="618">
        <v>8790715</v>
      </c>
      <c r="E90" s="618">
        <v>8899597</v>
      </c>
    </row>
    <row r="91" spans="1:5" ht="17" thickBot="1" x14ac:dyDescent="0.25">
      <c r="A91" s="290">
        <v>44348</v>
      </c>
      <c r="B91" s="620">
        <v>88318175</v>
      </c>
      <c r="C91" s="621">
        <v>89389542</v>
      </c>
      <c r="D91" s="618">
        <v>8497159</v>
      </c>
      <c r="E91" s="618">
        <v>8611570</v>
      </c>
    </row>
    <row r="92" spans="1:5" x14ac:dyDescent="0.2">
      <c r="A92" s="290">
        <v>44378</v>
      </c>
      <c r="B92" s="618">
        <v>88449963</v>
      </c>
      <c r="C92" s="618"/>
      <c r="D92" s="618">
        <v>8964920</v>
      </c>
      <c r="E92" s="618">
        <v>9046370</v>
      </c>
    </row>
    <row r="93" spans="1:5" x14ac:dyDescent="0.2">
      <c r="A93" s="290">
        <v>44409</v>
      </c>
      <c r="B93" s="618">
        <v>89334599</v>
      </c>
      <c r="C93" s="618"/>
      <c r="D93" s="618">
        <v>8816088</v>
      </c>
      <c r="E93" s="618">
        <v>8900268</v>
      </c>
    </row>
    <row r="94" spans="1:5" x14ac:dyDescent="0.2">
      <c r="A94" s="290">
        <v>44440</v>
      </c>
      <c r="B94" s="618">
        <v>89608532</v>
      </c>
      <c r="C94" s="618"/>
      <c r="D94" s="618">
        <v>9747181</v>
      </c>
      <c r="E94" s="618">
        <v>9857216</v>
      </c>
    </row>
    <row r="95" spans="1:5" x14ac:dyDescent="0.2">
      <c r="A95" s="290">
        <v>44470</v>
      </c>
      <c r="B95" s="618">
        <v>90225077</v>
      </c>
      <c r="C95" s="618"/>
      <c r="D95" s="618">
        <v>7852903</v>
      </c>
      <c r="E95" s="618">
        <v>7995520</v>
      </c>
    </row>
    <row r="96" spans="1:5" x14ac:dyDescent="0.2">
      <c r="A96" s="290">
        <v>44501</v>
      </c>
      <c r="B96" s="618">
        <v>90922176</v>
      </c>
      <c r="C96" s="618"/>
      <c r="D96" s="618">
        <v>7467307</v>
      </c>
      <c r="E96" s="618">
        <v>7550339</v>
      </c>
    </row>
    <row r="97" spans="1:5" x14ac:dyDescent="0.2">
      <c r="A97" s="290">
        <v>44531</v>
      </c>
      <c r="B97" s="618">
        <v>91369619</v>
      </c>
      <c r="C97" s="618"/>
      <c r="D97" s="618">
        <v>6220963</v>
      </c>
      <c r="E97" s="618">
        <v>6298389</v>
      </c>
    </row>
    <row r="98" spans="1:5" x14ac:dyDescent="0.2">
      <c r="A98" s="274">
        <v>44562</v>
      </c>
      <c r="B98" s="618">
        <v>91387901</v>
      </c>
      <c r="C98" s="618"/>
      <c r="D98" s="618">
        <v>5719630</v>
      </c>
      <c r="E98" s="618">
        <v>5719630</v>
      </c>
    </row>
    <row r="99" spans="1:5" x14ac:dyDescent="0.2">
      <c r="A99" s="274">
        <v>44593</v>
      </c>
      <c r="B99" s="618">
        <v>91934658</v>
      </c>
      <c r="C99" s="618"/>
      <c r="D99" s="618">
        <v>5973372</v>
      </c>
      <c r="E99" s="618">
        <v>5973372</v>
      </c>
    </row>
    <row r="100" spans="1:5" x14ac:dyDescent="0.2">
      <c r="A100" s="274">
        <v>44621</v>
      </c>
      <c r="B100" s="618">
        <v>91174346</v>
      </c>
      <c r="C100" s="618"/>
      <c r="D100" s="618">
        <v>6036375</v>
      </c>
      <c r="E100" s="618">
        <v>6099883</v>
      </c>
    </row>
    <row r="101" spans="1:5" x14ac:dyDescent="0.2">
      <c r="A101" s="274">
        <v>44652</v>
      </c>
      <c r="B101" s="618">
        <v>90701082</v>
      </c>
      <c r="C101" s="618"/>
      <c r="D101" s="618">
        <v>6614469</v>
      </c>
      <c r="E101" s="618">
        <v>6675559</v>
      </c>
    </row>
    <row r="102" spans="1:5" ht="17" thickBot="1" x14ac:dyDescent="0.25">
      <c r="A102" s="274">
        <v>44682</v>
      </c>
      <c r="B102" s="618">
        <v>89446511</v>
      </c>
      <c r="C102" s="618"/>
      <c r="D102" s="618">
        <v>7536144</v>
      </c>
      <c r="E102" s="618">
        <v>7599643</v>
      </c>
    </row>
    <row r="103" spans="1:5" ht="17" thickBot="1" x14ac:dyDescent="0.25">
      <c r="A103" s="274">
        <v>44713</v>
      </c>
      <c r="B103" s="620">
        <v>89692408</v>
      </c>
      <c r="C103" s="621">
        <v>90520156</v>
      </c>
      <c r="D103" s="618">
        <v>8743056</v>
      </c>
      <c r="E103" s="618">
        <v>8803967</v>
      </c>
    </row>
    <row r="104" spans="1:5" x14ac:dyDescent="0.2">
      <c r="A104" s="274">
        <v>44743</v>
      </c>
      <c r="B104" s="618">
        <v>89386136</v>
      </c>
      <c r="C104" s="618"/>
      <c r="D104" s="618">
        <v>8658648</v>
      </c>
      <c r="E104" s="618">
        <v>8723593</v>
      </c>
    </row>
    <row r="105" spans="1:5" x14ac:dyDescent="0.2">
      <c r="A105" s="274">
        <v>44774</v>
      </c>
      <c r="B105" s="618">
        <v>90058326</v>
      </c>
      <c r="C105" s="618"/>
      <c r="D105" s="618">
        <v>9488278</v>
      </c>
      <c r="E105" s="618">
        <v>9568251</v>
      </c>
    </row>
    <row r="106" spans="1:5" x14ac:dyDescent="0.2">
      <c r="A106" s="274">
        <v>44805</v>
      </c>
      <c r="B106" s="618">
        <v>89931525</v>
      </c>
      <c r="C106" s="618"/>
      <c r="D106" s="618">
        <v>9620380</v>
      </c>
      <c r="E106" s="618">
        <v>9749217</v>
      </c>
    </row>
    <row r="107" spans="1:5" x14ac:dyDescent="0.2">
      <c r="A107" s="274">
        <v>44835</v>
      </c>
      <c r="B107" s="618">
        <v>89686998</v>
      </c>
      <c r="C107" s="618"/>
      <c r="D107" s="618">
        <v>7608376</v>
      </c>
      <c r="E107" s="618">
        <v>7743645</v>
      </c>
    </row>
    <row r="108" spans="1:5" x14ac:dyDescent="0.2">
      <c r="A108" s="274">
        <v>44866</v>
      </c>
      <c r="B108" s="618">
        <v>90490096</v>
      </c>
      <c r="C108" s="618"/>
      <c r="D108" s="618">
        <v>8270405</v>
      </c>
      <c r="E108" s="618">
        <v>8369357</v>
      </c>
    </row>
    <row r="109" spans="1:5" x14ac:dyDescent="0.2">
      <c r="A109" s="274">
        <v>44896</v>
      </c>
      <c r="B109" s="618">
        <v>90554772</v>
      </c>
      <c r="C109" s="618"/>
      <c r="D109" s="618">
        <v>6285639</v>
      </c>
      <c r="E109" s="618">
        <v>6364744</v>
      </c>
    </row>
    <row r="110" spans="1:5" x14ac:dyDescent="0.2">
      <c r="A110" s="295">
        <v>44927</v>
      </c>
      <c r="B110" s="618">
        <v>90952030</v>
      </c>
      <c r="C110" s="618"/>
      <c r="D110" s="618">
        <v>6116888</v>
      </c>
      <c r="E110" s="618">
        <v>6159370</v>
      </c>
    </row>
    <row r="111" spans="1:5" x14ac:dyDescent="0.2">
      <c r="A111" s="295">
        <v>44958</v>
      </c>
      <c r="B111" s="618">
        <v>91245100</v>
      </c>
      <c r="C111" s="618"/>
      <c r="D111" s="618">
        <v>6266441</v>
      </c>
      <c r="E111" s="618">
        <v>6332448</v>
      </c>
    </row>
    <row r="112" spans="1:5" x14ac:dyDescent="0.2">
      <c r="A112" s="295">
        <v>44986</v>
      </c>
      <c r="B112" s="618">
        <v>92037317</v>
      </c>
      <c r="C112" s="618"/>
      <c r="D112" s="618">
        <v>6828592</v>
      </c>
      <c r="E112" s="618">
        <v>6893818</v>
      </c>
    </row>
    <row r="113" spans="1:5" x14ac:dyDescent="0.2">
      <c r="A113" s="295">
        <v>45017</v>
      </c>
      <c r="B113" s="618">
        <v>92421203</v>
      </c>
      <c r="C113" s="618"/>
      <c r="D113" s="618">
        <v>6998355</v>
      </c>
      <c r="E113" s="618">
        <v>7097344</v>
      </c>
    </row>
    <row r="114" spans="1:5" ht="17" thickBot="1" x14ac:dyDescent="0.25">
      <c r="A114" s="295">
        <v>45047</v>
      </c>
      <c r="B114" s="618">
        <v>93510500</v>
      </c>
      <c r="C114" s="618"/>
      <c r="D114" s="618">
        <v>8625441</v>
      </c>
      <c r="E114" s="618">
        <v>8726206</v>
      </c>
    </row>
    <row r="115" spans="1:5" ht="17" thickBot="1" x14ac:dyDescent="0.25">
      <c r="A115" s="295">
        <v>45078</v>
      </c>
      <c r="B115" s="620">
        <v>93932338</v>
      </c>
      <c r="C115" s="621">
        <v>95015051</v>
      </c>
      <c r="D115" s="618">
        <v>9164894</v>
      </c>
      <c r="E115" s="618">
        <v>9287057</v>
      </c>
    </row>
    <row r="116" spans="1:5" x14ac:dyDescent="0.2">
      <c r="A116" s="295">
        <v>45108</v>
      </c>
      <c r="B116" s="618">
        <v>93669668</v>
      </c>
      <c r="C116" s="618"/>
      <c r="D116" s="618">
        <v>8395978</v>
      </c>
      <c r="E116" s="618">
        <v>8497423</v>
      </c>
    </row>
    <row r="117" spans="1:5" x14ac:dyDescent="0.2">
      <c r="A117" s="295">
        <v>45139</v>
      </c>
      <c r="B117" s="618">
        <v>94202442</v>
      </c>
      <c r="C117" s="618"/>
      <c r="D117" s="618">
        <v>10021052</v>
      </c>
      <c r="E117" s="618">
        <v>10153170</v>
      </c>
    </row>
    <row r="118" spans="1:5" x14ac:dyDescent="0.2">
      <c r="A118" s="295">
        <v>45170</v>
      </c>
      <c r="B118" s="618">
        <v>93817045</v>
      </c>
      <c r="C118" s="618"/>
      <c r="D118" s="618">
        <v>9234983</v>
      </c>
      <c r="E118" s="618">
        <v>9358033</v>
      </c>
    </row>
    <row r="119" spans="1:5" x14ac:dyDescent="0.2">
      <c r="A119" s="295">
        <v>45200</v>
      </c>
      <c r="B119" s="618">
        <v>95115663</v>
      </c>
      <c r="C119" s="618"/>
      <c r="D119" s="618">
        <v>8906994</v>
      </c>
      <c r="E119" s="618">
        <v>9036463</v>
      </c>
    </row>
    <row r="120" spans="1:5" x14ac:dyDescent="0.2">
      <c r="A120" s="295">
        <v>45231</v>
      </c>
      <c r="B120" s="618">
        <v>94437900</v>
      </c>
      <c r="C120" s="618"/>
      <c r="D120" s="618">
        <v>7592642</v>
      </c>
      <c r="E120" s="618">
        <v>7674122</v>
      </c>
    </row>
    <row r="121" spans="1:5" x14ac:dyDescent="0.2">
      <c r="A121" s="295">
        <v>45261</v>
      </c>
      <c r="B121" s="618">
        <v>94622317</v>
      </c>
      <c r="C121" s="618"/>
      <c r="D121" s="618">
        <v>6470056</v>
      </c>
      <c r="E121" s="618">
        <v>6531777</v>
      </c>
    </row>
    <row r="122" spans="1:5" x14ac:dyDescent="0.2">
      <c r="A122" s="280">
        <v>45292</v>
      </c>
      <c r="B122" s="618">
        <v>95197696</v>
      </c>
      <c r="C122" s="618"/>
      <c r="D122" s="618">
        <v>6692267</v>
      </c>
      <c r="E122" s="618">
        <v>6733975</v>
      </c>
    </row>
    <row r="123" spans="1:5" x14ac:dyDescent="0.2">
      <c r="A123" s="280">
        <v>45323</v>
      </c>
      <c r="B123" s="618">
        <v>95585834</v>
      </c>
      <c r="C123" s="618"/>
      <c r="D123" s="618">
        <v>6654580</v>
      </c>
      <c r="E123" s="618">
        <v>6712666</v>
      </c>
    </row>
    <row r="124" spans="1:5" x14ac:dyDescent="0.2">
      <c r="A124" s="280">
        <v>45352</v>
      </c>
      <c r="B124" s="618">
        <v>95368572</v>
      </c>
      <c r="C124" s="618"/>
      <c r="D124" s="618">
        <v>6611330</v>
      </c>
      <c r="E124" s="618">
        <v>6679128</v>
      </c>
    </row>
    <row r="125" spans="1:5" x14ac:dyDescent="0.2">
      <c r="A125" s="280">
        <v>45383</v>
      </c>
      <c r="B125" s="618">
        <v>97412202</v>
      </c>
      <c r="C125" s="618"/>
      <c r="D125" s="618">
        <v>9041986</v>
      </c>
      <c r="E125" s="618">
        <v>9136727</v>
      </c>
    </row>
    <row r="126" spans="1:5" ht="17" thickBot="1" x14ac:dyDescent="0.25">
      <c r="A126" s="280">
        <v>45413</v>
      </c>
      <c r="B126" s="618">
        <v>97207952</v>
      </c>
      <c r="C126" s="618"/>
      <c r="D126" s="618">
        <v>8421191</v>
      </c>
      <c r="E126" s="618">
        <v>8529013</v>
      </c>
    </row>
    <row r="127" spans="1:5" ht="17" thickBot="1" x14ac:dyDescent="0.25">
      <c r="A127" s="280">
        <v>45444</v>
      </c>
      <c r="B127" s="620">
        <v>96709341</v>
      </c>
      <c r="C127" s="621">
        <v>97804523</v>
      </c>
      <c r="D127" s="618">
        <v>8666283</v>
      </c>
      <c r="E127" s="618">
        <v>8762027</v>
      </c>
    </row>
    <row r="128" spans="1:5" x14ac:dyDescent="0.2">
      <c r="A128" s="280">
        <v>45474</v>
      </c>
      <c r="B128" s="618">
        <v>98664166</v>
      </c>
      <c r="C128" s="618"/>
      <c r="D128" s="618">
        <v>10350803</v>
      </c>
      <c r="E128" s="618">
        <v>10457403</v>
      </c>
    </row>
    <row r="129" spans="1:5" x14ac:dyDescent="0.2">
      <c r="A129" s="280">
        <v>45505</v>
      </c>
      <c r="B129" s="618">
        <v>98443491</v>
      </c>
      <c r="C129" s="618"/>
      <c r="D129" s="618">
        <v>9800377</v>
      </c>
      <c r="E129" s="618">
        <v>9884683</v>
      </c>
    </row>
    <row r="130" spans="1:5" x14ac:dyDescent="0.2">
      <c r="A130" s="280">
        <v>45536</v>
      </c>
      <c r="B130" s="618">
        <v>99413865</v>
      </c>
      <c r="C130" s="618"/>
      <c r="D130" s="618">
        <v>10205357</v>
      </c>
      <c r="E130" s="618">
        <v>10323266</v>
      </c>
    </row>
    <row r="131" spans="1:5" x14ac:dyDescent="0.2">
      <c r="A131" s="280">
        <v>45566</v>
      </c>
      <c r="B131" s="618">
        <v>99357598</v>
      </c>
      <c r="C131" s="618"/>
      <c r="D131" s="618">
        <v>8850727</v>
      </c>
      <c r="E131" s="618">
        <v>8981053</v>
      </c>
    </row>
    <row r="132" spans="1:5" x14ac:dyDescent="0.2">
      <c r="A132" s="280">
        <v>45597</v>
      </c>
      <c r="B132" s="618">
        <v>100029481</v>
      </c>
      <c r="C132" s="618"/>
      <c r="D132" s="618">
        <v>8264525</v>
      </c>
      <c r="E132" s="618">
        <v>8356413</v>
      </c>
    </row>
    <row r="133" spans="1:5" x14ac:dyDescent="0.2">
      <c r="A133" s="280">
        <v>45627</v>
      </c>
      <c r="B133" s="618">
        <v>100802371</v>
      </c>
      <c r="C133" s="618"/>
      <c r="D133" s="618">
        <v>7242946</v>
      </c>
      <c r="E133" s="618">
        <v>7304413</v>
      </c>
    </row>
    <row r="134" spans="1:5" x14ac:dyDescent="0.2">
      <c r="A134" s="274">
        <v>45658</v>
      </c>
      <c r="B134" s="618">
        <v>100581586</v>
      </c>
      <c r="C134" s="619"/>
      <c r="D134" s="618">
        <v>6471482</v>
      </c>
      <c r="E134" s="618">
        <v>6512462</v>
      </c>
    </row>
    <row r="135" spans="1:5" x14ac:dyDescent="0.2">
      <c r="A135" s="274">
        <v>45689</v>
      </c>
      <c r="B135" s="618">
        <v>101060258</v>
      </c>
      <c r="C135" s="619"/>
      <c r="D135" s="618">
        <v>7133253</v>
      </c>
      <c r="E135" s="618">
        <v>7190677</v>
      </c>
    </row>
    <row r="136" spans="1:5" x14ac:dyDescent="0.2">
      <c r="A136" s="274">
        <v>45717</v>
      </c>
      <c r="B136" s="618">
        <v>101471382</v>
      </c>
      <c r="C136" s="619"/>
      <c r="D136" s="618">
        <v>7022454</v>
      </c>
      <c r="E136" s="618">
        <v>7088093</v>
      </c>
    </row>
    <row r="137" spans="1:5" x14ac:dyDescent="0.2">
      <c r="A137" s="274">
        <v>45748</v>
      </c>
      <c r="B137" s="618">
        <v>101180417</v>
      </c>
      <c r="C137" s="619"/>
      <c r="D137" s="618">
        <v>8751020</v>
      </c>
      <c r="E137" s="618">
        <v>8826930</v>
      </c>
    </row>
    <row r="138" spans="1:5" ht="17" thickBot="1" x14ac:dyDescent="0.25">
      <c r="A138" s="274">
        <v>45778</v>
      </c>
      <c r="B138" s="618">
        <v>102046244</v>
      </c>
      <c r="C138" s="619"/>
      <c r="D138" s="618">
        <v>9287018</v>
      </c>
      <c r="E138" s="618">
        <v>9394077</v>
      </c>
    </row>
    <row r="139" spans="1:5" ht="17" thickBot="1" x14ac:dyDescent="0.25">
      <c r="A139" s="274">
        <v>45809</v>
      </c>
      <c r="B139" s="620">
        <v>103383996</v>
      </c>
      <c r="C139" s="621">
        <v>104419599</v>
      </c>
      <c r="D139" s="618">
        <v>10004035</v>
      </c>
      <c r="E139" s="618">
        <v>10100130</v>
      </c>
    </row>
    <row r="140" spans="1:5" x14ac:dyDescent="0.2">
      <c r="A140" s="274">
        <v>45839</v>
      </c>
      <c r="B140" s="618">
        <v>103225651</v>
      </c>
      <c r="C140" s="619"/>
      <c r="D140" s="618">
        <v>10192458</v>
      </c>
      <c r="E140" s="618">
        <v>10302796</v>
      </c>
    </row>
    <row r="141" spans="1:5" x14ac:dyDescent="0.2">
      <c r="A141" s="274">
        <v>45870</v>
      </c>
      <c r="B141" s="618">
        <v>103479701</v>
      </c>
      <c r="C141" s="619"/>
      <c r="D141" s="618">
        <v>10054427</v>
      </c>
      <c r="E141" s="618">
        <v>10146317</v>
      </c>
    </row>
    <row r="142" spans="1:5" x14ac:dyDescent="0.2">
      <c r="A142" s="274">
        <v>45901</v>
      </c>
      <c r="B142" s="618">
        <v>104605753</v>
      </c>
      <c r="C142" s="619"/>
      <c r="D142" s="618">
        <v>11331409</v>
      </c>
      <c r="E142" s="618">
        <v>11472673</v>
      </c>
    </row>
    <row r="143" spans="1:5" x14ac:dyDescent="0.2">
      <c r="A143" s="274">
        <v>45931</v>
      </c>
      <c r="B143" s="618">
        <v>105551131</v>
      </c>
      <c r="C143" s="619"/>
      <c r="D143" s="618">
        <v>9796105</v>
      </c>
      <c r="E143" s="618">
        <v>9935103</v>
      </c>
    </row>
    <row r="144" spans="1:5" x14ac:dyDescent="0.2">
      <c r="A144" s="274">
        <v>45962</v>
      </c>
      <c r="B144" s="618">
        <v>105265370</v>
      </c>
      <c r="C144" s="619"/>
      <c r="D144" s="618">
        <v>7978764</v>
      </c>
      <c r="E144" s="618">
        <v>8056244</v>
      </c>
    </row>
    <row r="145" spans="1:5" x14ac:dyDescent="0.2">
      <c r="A145" s="274">
        <v>45992</v>
      </c>
      <c r="B145" s="618">
        <v>106068432</v>
      </c>
      <c r="C145" s="619"/>
      <c r="D145" s="618">
        <v>8046008</v>
      </c>
      <c r="E145" s="618">
        <v>8107069</v>
      </c>
    </row>
    <row r="146" spans="1:5" x14ac:dyDescent="0.2">
      <c r="A146" s="295">
        <v>46023</v>
      </c>
      <c r="B146" s="618">
        <v>106905493</v>
      </c>
      <c r="C146" s="619"/>
      <c r="D146" s="618">
        <v>7308543</v>
      </c>
      <c r="E146" s="618">
        <v>7345971</v>
      </c>
    </row>
    <row r="147" spans="1:5" x14ac:dyDescent="0.2">
      <c r="A147" s="295">
        <v>46054</v>
      </c>
      <c r="B147" s="618">
        <v>99772241</v>
      </c>
      <c r="C147" s="619"/>
      <c r="D147" s="618">
        <v>0</v>
      </c>
      <c r="E147" s="618">
        <v>0</v>
      </c>
    </row>
    <row r="148" spans="1:5" x14ac:dyDescent="0.2">
      <c r="A148" s="295">
        <v>46082</v>
      </c>
      <c r="B148" s="618">
        <v>92749787</v>
      </c>
      <c r="C148" s="619"/>
      <c r="D148" s="618">
        <v>0</v>
      </c>
      <c r="E148" s="618">
        <v>0</v>
      </c>
    </row>
    <row r="149" spans="1:5" x14ac:dyDescent="0.2">
      <c r="A149" s="295">
        <v>46113</v>
      </c>
      <c r="B149" s="618">
        <v>83998767</v>
      </c>
      <c r="C149" s="619"/>
      <c r="D149" s="618">
        <v>0</v>
      </c>
      <c r="E149" s="618">
        <v>0</v>
      </c>
    </row>
    <row r="150" spans="1:5" ht="17" thickBot="1" x14ac:dyDescent="0.25">
      <c r="A150" s="295">
        <v>46143</v>
      </c>
      <c r="B150" s="618">
        <v>74711749</v>
      </c>
      <c r="C150" s="619"/>
      <c r="D150" s="618">
        <v>0</v>
      </c>
      <c r="E150" s="618">
        <v>0</v>
      </c>
    </row>
    <row r="151" spans="1:5" ht="17" thickBot="1" x14ac:dyDescent="0.25">
      <c r="A151" s="295">
        <v>46174</v>
      </c>
      <c r="B151" s="620">
        <v>64707714</v>
      </c>
      <c r="C151" s="621">
        <v>65366173</v>
      </c>
      <c r="D151" s="618">
        <v>0</v>
      </c>
      <c r="E151" s="61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B47" activePane="bottomRight" state="frozen"/>
      <selection pane="topRight" activeCell="B1" sqref="B1"/>
      <selection pane="bottomLeft" activeCell="A2" sqref="A2"/>
      <selection pane="bottomRight" activeCell="R5" sqref="R5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533" t="s">
        <v>46</v>
      </c>
      <c r="M1" s="65" t="s">
        <v>47</v>
      </c>
      <c r="N1" s="65" t="s">
        <v>24</v>
      </c>
      <c r="O1" s="65" t="s">
        <v>91</v>
      </c>
      <c r="P1" s="533" t="s">
        <v>114</v>
      </c>
      <c r="Q1" s="533" t="s">
        <v>115</v>
      </c>
      <c r="R1" s="65" t="s">
        <v>116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5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46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46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46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46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46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46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46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46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46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46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46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46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47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47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47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47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47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47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47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47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47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47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47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47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48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49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49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49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49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49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49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49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49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49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49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49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50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1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1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1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1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1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2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2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2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2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2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2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3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3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3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3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3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3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3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3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3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5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5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5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2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2">
        <v>46054</v>
      </c>
    </row>
    <row r="70" spans="1:18" ht="15.75" customHeight="1" x14ac:dyDescent="0.2">
      <c r="A70" s="512">
        <v>46082</v>
      </c>
    </row>
    <row r="71" spans="1:18" ht="15.75" customHeight="1" x14ac:dyDescent="0.2">
      <c r="A71" s="512">
        <v>46113</v>
      </c>
    </row>
    <row r="72" spans="1:18" ht="15.75" customHeight="1" x14ac:dyDescent="0.2">
      <c r="A72" s="512">
        <v>46143</v>
      </c>
    </row>
    <row r="73" spans="1:18" ht="15.75" customHeight="1" x14ac:dyDescent="0.2">
      <c r="A73" s="512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734</v>
      </c>
      <c r="C1" s="52" t="s">
        <v>87</v>
      </c>
      <c r="D1" s="169" t="s">
        <v>93</v>
      </c>
      <c r="E1" s="170" t="s">
        <v>94</v>
      </c>
      <c r="F1" s="170" t="s">
        <v>6</v>
      </c>
      <c r="G1" s="170" t="s">
        <v>95</v>
      </c>
      <c r="H1" s="170" t="s">
        <v>96</v>
      </c>
      <c r="I1" s="170" t="s">
        <v>97</v>
      </c>
      <c r="J1" s="171" t="s">
        <v>41</v>
      </c>
      <c r="K1" s="172" t="s">
        <v>98</v>
      </c>
      <c r="L1" s="172" t="s">
        <v>99</v>
      </c>
      <c r="M1" s="172" t="s">
        <v>45</v>
      </c>
      <c r="N1" s="172" t="s">
        <v>89</v>
      </c>
      <c r="O1" s="173" t="s">
        <v>42</v>
      </c>
      <c r="P1" s="174" t="s">
        <v>100</v>
      </c>
      <c r="Q1" s="174" t="s">
        <v>101</v>
      </c>
      <c r="R1" s="174" t="s">
        <v>102</v>
      </c>
      <c r="S1" s="567" t="s">
        <v>721</v>
      </c>
      <c r="T1" s="568" t="s">
        <v>722</v>
      </c>
      <c r="U1" s="584" t="s">
        <v>110</v>
      </c>
      <c r="V1" s="175" t="s">
        <v>104</v>
      </c>
      <c r="W1" s="175" t="s">
        <v>105</v>
      </c>
      <c r="X1" s="175" t="s">
        <v>106</v>
      </c>
      <c r="Y1" s="175" t="s">
        <v>47</v>
      </c>
      <c r="Z1" s="176" t="s">
        <v>90</v>
      </c>
      <c r="AA1" s="585" t="s">
        <v>91</v>
      </c>
      <c r="AB1" s="176" t="s">
        <v>24</v>
      </c>
      <c r="AC1" s="253" t="s">
        <v>92</v>
      </c>
      <c r="AD1" s="569"/>
      <c r="AE1" s="570" t="s">
        <v>108</v>
      </c>
      <c r="AF1" s="571" t="s">
        <v>723</v>
      </c>
      <c r="AG1" s="571" t="s">
        <v>724</v>
      </c>
      <c r="AH1" s="572" t="s">
        <v>725</v>
      </c>
      <c r="AI1" s="572" t="s">
        <v>726</v>
      </c>
      <c r="AJ1" s="573" t="s">
        <v>727</v>
      </c>
      <c r="AK1" s="573" t="s">
        <v>728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111</v>
      </c>
      <c r="B13" s="587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117</v>
      </c>
      <c r="Q1" s="65" t="s">
        <v>115</v>
      </c>
      <c r="R1" s="65" t="s">
        <v>116</v>
      </c>
    </row>
    <row r="2" spans="1:18" ht="17" x14ac:dyDescent="0.2">
      <c r="A2" s="363" t="s">
        <v>118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5" t="s">
        <v>111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7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5" t="s">
        <v>119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120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112</v>
      </c>
      <c r="C1" s="519" t="s">
        <v>112</v>
      </c>
      <c r="D1" s="12"/>
      <c r="E1" s="65" t="s">
        <v>41</v>
      </c>
      <c r="F1" s="519" t="s">
        <v>41</v>
      </c>
      <c r="G1" s="12"/>
      <c r="H1" s="65" t="s">
        <v>42</v>
      </c>
      <c r="I1" s="519" t="s">
        <v>42</v>
      </c>
      <c r="J1" s="12"/>
      <c r="K1" s="65" t="s">
        <v>40</v>
      </c>
      <c r="L1" s="519" t="s">
        <v>40</v>
      </c>
      <c r="M1" s="12"/>
      <c r="N1" s="65" t="s">
        <v>43</v>
      </c>
      <c r="O1" s="519" t="s">
        <v>43</v>
      </c>
      <c r="P1" s="12"/>
      <c r="Q1" s="65" t="s">
        <v>44</v>
      </c>
      <c r="R1" s="519" t="s">
        <v>44</v>
      </c>
      <c r="S1" s="12"/>
      <c r="T1" s="65" t="s">
        <v>113</v>
      </c>
      <c r="U1" s="519" t="s">
        <v>113</v>
      </c>
      <c r="V1" s="520"/>
      <c r="W1" s="65" t="s">
        <v>45</v>
      </c>
      <c r="X1" s="519" t="s">
        <v>45</v>
      </c>
      <c r="Y1" s="12"/>
      <c r="Z1" s="65" t="s">
        <v>46</v>
      </c>
      <c r="AA1" s="65" t="s">
        <v>47</v>
      </c>
      <c r="AB1" s="519" t="s">
        <v>47</v>
      </c>
      <c r="AC1" s="12"/>
      <c r="AD1" s="65" t="s">
        <v>114</v>
      </c>
      <c r="AE1" s="519" t="s">
        <v>114</v>
      </c>
      <c r="AF1" s="12"/>
      <c r="AG1" s="65" t="s">
        <v>115</v>
      </c>
      <c r="AH1" s="65" t="s">
        <v>116</v>
      </c>
      <c r="AI1" s="519" t="s">
        <v>116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18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18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18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18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18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18" t="str">
        <f>IF(Q2=R2,"/")</f>
        <v>/</v>
      </c>
      <c r="T2" s="56"/>
      <c r="U2" s="56"/>
      <c r="V2" s="518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18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18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18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18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18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18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18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18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18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18" t="str">
        <f t="shared" ref="S3:S64" si="7">IF(Q3=R3,"/")</f>
        <v>/</v>
      </c>
      <c r="T3" s="56"/>
      <c r="U3" s="56"/>
      <c r="V3" s="518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18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18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18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18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18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18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18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18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18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18" t="str">
        <f t="shared" si="7"/>
        <v>/</v>
      </c>
      <c r="T4" s="56"/>
      <c r="U4" s="56"/>
      <c r="V4" s="518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18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18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18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18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18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18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18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18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18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18" t="str">
        <f t="shared" si="7"/>
        <v>/</v>
      </c>
      <c r="T5" s="56"/>
      <c r="U5" s="56"/>
      <c r="V5" s="518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18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18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18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18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18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18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18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18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18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18" t="str">
        <f t="shared" si="7"/>
        <v>/</v>
      </c>
      <c r="T6" s="56"/>
      <c r="U6" s="56"/>
      <c r="V6" s="518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18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18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18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18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18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18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18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18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18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18" t="str">
        <f t="shared" si="7"/>
        <v>/</v>
      </c>
      <c r="T7" s="313"/>
      <c r="U7" s="313"/>
      <c r="V7" s="518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18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18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18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18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18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18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18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18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18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18" t="str">
        <f t="shared" si="7"/>
        <v>/</v>
      </c>
      <c r="T8" s="56"/>
      <c r="U8" s="56"/>
      <c r="V8" s="518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18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18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18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18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18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18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18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18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18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18" t="str">
        <f t="shared" si="7"/>
        <v>/</v>
      </c>
      <c r="T9" s="56"/>
      <c r="U9" s="56"/>
      <c r="V9" s="518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18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18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18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18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18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18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18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18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18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18" t="str">
        <f t="shared" si="7"/>
        <v>/</v>
      </c>
      <c r="T10" s="56"/>
      <c r="U10" s="56"/>
      <c r="V10" s="518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18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18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18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18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18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18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18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18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18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18" t="str">
        <f t="shared" si="7"/>
        <v>/</v>
      </c>
      <c r="T11" s="56"/>
      <c r="U11" s="56"/>
      <c r="V11" s="518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18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18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18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18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18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18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18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18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18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18" t="str">
        <f t="shared" si="7"/>
        <v>/</v>
      </c>
      <c r="T12" s="56"/>
      <c r="U12" s="56"/>
      <c r="V12" s="518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18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18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18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18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18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18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18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18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18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18" t="str">
        <f t="shared" si="7"/>
        <v>/</v>
      </c>
      <c r="T13" s="56"/>
      <c r="U13" s="56"/>
      <c r="V13" s="518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18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18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18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18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18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18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18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18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18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18" t="str">
        <f t="shared" si="7"/>
        <v>/</v>
      </c>
      <c r="T14" s="56"/>
      <c r="U14" s="56"/>
      <c r="V14" s="518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18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18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18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18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18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18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18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18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18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18" t="str">
        <f t="shared" si="7"/>
        <v>/</v>
      </c>
      <c r="T15" s="56"/>
      <c r="U15" s="56"/>
      <c r="V15" s="518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18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18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18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18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18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18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18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18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18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18" t="str">
        <f t="shared" si="7"/>
        <v>/</v>
      </c>
      <c r="T16" s="56"/>
      <c r="U16" s="56"/>
      <c r="V16" s="518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18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18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18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18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18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18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18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18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18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18" t="str">
        <f t="shared" si="7"/>
        <v>/</v>
      </c>
      <c r="T17" s="56"/>
      <c r="U17" s="56"/>
      <c r="V17" s="518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18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18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18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18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18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18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18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18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18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18" t="str">
        <f t="shared" si="7"/>
        <v>/</v>
      </c>
      <c r="T18" s="56"/>
      <c r="U18" s="56"/>
      <c r="V18" s="518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18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18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18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18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18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18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18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18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18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18" t="str">
        <f t="shared" si="7"/>
        <v>/</v>
      </c>
      <c r="T19" s="313"/>
      <c r="U19" s="313"/>
      <c r="V19" s="518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18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18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18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18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18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18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18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18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18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18" t="str">
        <f t="shared" si="7"/>
        <v>/</v>
      </c>
      <c r="T20" s="56"/>
      <c r="U20" s="56"/>
      <c r="V20" s="518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18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18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18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18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18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18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18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18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18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18" t="str">
        <f t="shared" si="7"/>
        <v>/</v>
      </c>
      <c r="T21" s="56"/>
      <c r="U21" s="56"/>
      <c r="V21" s="518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18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18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18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18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18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18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18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18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18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18" t="str">
        <f t="shared" si="7"/>
        <v>/</v>
      </c>
      <c r="T22" s="56"/>
      <c r="U22" s="56"/>
      <c r="V22" s="518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18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18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18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18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18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18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18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18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18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18" t="str">
        <f t="shared" si="7"/>
        <v>/</v>
      </c>
      <c r="T23" s="56"/>
      <c r="U23" s="56"/>
      <c r="V23" s="518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18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18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18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18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18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18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18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18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18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18" t="str">
        <f t="shared" si="7"/>
        <v>/</v>
      </c>
      <c r="T24" s="56"/>
      <c r="U24" s="56"/>
      <c r="V24" s="518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18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18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18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18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18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18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18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18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18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18" t="str">
        <f t="shared" si="7"/>
        <v>/</v>
      </c>
      <c r="T25" s="56"/>
      <c r="U25" s="56"/>
      <c r="V25" s="518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18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18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18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18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18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18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18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18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18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18" t="str">
        <f t="shared" si="7"/>
        <v>/</v>
      </c>
      <c r="T26" s="56"/>
      <c r="U26" s="56"/>
      <c r="V26" s="518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18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18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18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18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18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18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18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18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18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18" t="str">
        <f t="shared" si="7"/>
        <v>/</v>
      </c>
      <c r="T27" s="56"/>
      <c r="U27" s="56"/>
      <c r="V27" s="518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18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18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18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18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18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18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18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18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18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18" t="str">
        <f t="shared" si="7"/>
        <v>/</v>
      </c>
      <c r="T28" s="56"/>
      <c r="U28" s="56"/>
      <c r="V28" s="518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18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18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18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18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18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18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18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18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18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18" t="str">
        <f t="shared" si="7"/>
        <v>/</v>
      </c>
      <c r="T29" s="56"/>
      <c r="U29" s="56"/>
      <c r="V29" s="518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18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18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18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18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18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18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18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18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18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18" t="str">
        <f t="shared" si="7"/>
        <v>/</v>
      </c>
      <c r="T30" s="56"/>
      <c r="U30" s="56"/>
      <c r="V30" s="518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18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18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18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18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18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18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18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18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18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18" t="str">
        <f t="shared" si="7"/>
        <v>/</v>
      </c>
      <c r="T31" s="313"/>
      <c r="U31" s="313"/>
      <c r="V31" s="518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18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18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18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18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18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18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18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18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18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18" t="str">
        <f t="shared" si="7"/>
        <v>/</v>
      </c>
      <c r="T32" s="56"/>
      <c r="U32" s="56"/>
      <c r="V32" s="518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18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18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18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18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18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18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18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18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18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18" t="str">
        <f t="shared" si="7"/>
        <v>/</v>
      </c>
      <c r="T33" s="56"/>
      <c r="U33" s="56"/>
      <c r="V33" s="518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18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18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18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18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18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18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18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18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18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18" t="str">
        <f t="shared" si="7"/>
        <v>/</v>
      </c>
      <c r="T34" s="56"/>
      <c r="U34" s="56"/>
      <c r="V34" s="518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18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18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18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18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18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18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18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18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18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18" t="str">
        <f t="shared" si="7"/>
        <v>/</v>
      </c>
      <c r="T35" s="56"/>
      <c r="U35" s="56"/>
      <c r="V35" s="518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18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18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18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18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18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18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18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18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18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18" t="str">
        <f t="shared" si="7"/>
        <v>/</v>
      </c>
      <c r="T36" s="56"/>
      <c r="U36" s="56"/>
      <c r="V36" s="518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18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18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18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18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18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18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18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18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18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18" t="str">
        <f t="shared" si="7"/>
        <v>/</v>
      </c>
      <c r="T37" s="56"/>
      <c r="U37" s="56"/>
      <c r="V37" s="518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18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18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18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18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18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18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18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18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18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18" t="str">
        <f t="shared" si="7"/>
        <v>/</v>
      </c>
      <c r="T38" s="56"/>
      <c r="U38" s="56"/>
      <c r="V38" s="518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18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18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18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18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18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18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18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18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18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18" t="str">
        <f t="shared" si="7"/>
        <v>/</v>
      </c>
      <c r="T39" s="56"/>
      <c r="U39" s="56"/>
      <c r="V39" s="518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18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18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18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18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18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18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18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18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18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18" t="str">
        <f t="shared" si="7"/>
        <v>/</v>
      </c>
      <c r="T40" s="56"/>
      <c r="U40" s="56"/>
      <c r="V40" s="518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18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18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18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18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18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18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18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18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18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18" t="str">
        <f t="shared" si="7"/>
        <v>/</v>
      </c>
      <c r="T41" s="56"/>
      <c r="U41" s="56"/>
      <c r="V41" s="518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18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18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18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18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18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18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18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18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18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18" t="str">
        <f t="shared" si="7"/>
        <v>/</v>
      </c>
      <c r="T42" s="56"/>
      <c r="U42" s="56"/>
      <c r="V42" s="518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18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18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18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18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18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18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18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18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18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18" t="str">
        <f t="shared" si="7"/>
        <v>/</v>
      </c>
      <c r="T43" s="313"/>
      <c r="U43" s="313"/>
      <c r="V43" s="518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18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18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18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18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18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18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18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18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18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18" t="str">
        <f t="shared" si="7"/>
        <v>/</v>
      </c>
      <c r="T44" s="56"/>
      <c r="U44" s="56"/>
      <c r="V44" s="518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18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18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18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18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18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18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18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18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18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18" t="str">
        <f t="shared" si="7"/>
        <v>/</v>
      </c>
      <c r="T45" s="56"/>
      <c r="U45" s="56"/>
      <c r="V45" s="518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18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18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18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18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18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18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18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18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18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18" t="str">
        <f t="shared" si="7"/>
        <v>/</v>
      </c>
      <c r="T46" s="56"/>
      <c r="U46" s="56"/>
      <c r="V46" s="518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18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18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18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18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18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18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18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18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18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18" t="str">
        <f t="shared" si="7"/>
        <v>/</v>
      </c>
      <c r="T47" s="56"/>
      <c r="U47" s="56"/>
      <c r="V47" s="518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18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18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18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18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18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18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18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18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18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18" t="str">
        <f t="shared" si="7"/>
        <v>/</v>
      </c>
      <c r="T48" s="56"/>
      <c r="U48" s="56"/>
      <c r="V48" s="518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18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18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18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18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18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18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18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18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18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18" t="str">
        <f t="shared" si="7"/>
        <v>/</v>
      </c>
      <c r="T49" s="56"/>
      <c r="U49" s="56"/>
      <c r="V49" s="518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18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18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18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18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18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18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18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18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18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18" t="str">
        <f t="shared" si="7"/>
        <v>/</v>
      </c>
      <c r="T50" s="56"/>
      <c r="U50" s="56"/>
      <c r="V50" s="518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18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18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18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18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18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18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18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18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18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18" t="str">
        <f t="shared" si="7"/>
        <v>/</v>
      </c>
      <c r="T51" s="56"/>
      <c r="U51" s="56"/>
      <c r="V51" s="518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18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18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18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18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18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18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18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18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18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18" t="str">
        <f t="shared" si="7"/>
        <v>/</v>
      </c>
      <c r="T52" s="56"/>
      <c r="U52" s="56"/>
      <c r="V52" s="518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18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18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18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18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18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18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18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18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18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18" t="str">
        <f t="shared" si="7"/>
        <v>/</v>
      </c>
      <c r="T53" s="56"/>
      <c r="U53" s="56"/>
      <c r="V53" s="518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18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18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18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18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18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18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18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18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18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18" t="str">
        <f t="shared" si="7"/>
        <v>/</v>
      </c>
      <c r="T54" s="56"/>
      <c r="U54" s="56"/>
      <c r="V54" s="518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18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18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18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18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0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18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18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18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18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18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18" t="str">
        <f t="shared" si="7"/>
        <v>/</v>
      </c>
      <c r="T55" s="313"/>
      <c r="U55" s="313"/>
      <c r="V55" s="518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18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18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18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18" t="b">
        <f t="shared" si="13"/>
        <v>0</v>
      </c>
      <c r="AK55" s="56">
        <f t="shared" si="14"/>
        <v>37973</v>
      </c>
    </row>
    <row r="56" spans="1:39" ht="17" x14ac:dyDescent="0.2">
      <c r="A56" s="475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18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18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18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18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18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18" t="str">
        <f t="shared" si="7"/>
        <v>/</v>
      </c>
      <c r="T56" s="56"/>
      <c r="U56" s="56"/>
      <c r="V56" s="518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18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18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18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18" t="b">
        <f t="shared" si="13"/>
        <v>0</v>
      </c>
      <c r="AK56" s="56">
        <f t="shared" si="14"/>
        <v>28831</v>
      </c>
    </row>
    <row r="57" spans="1:39" ht="17" x14ac:dyDescent="0.2">
      <c r="A57" s="475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18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18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18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18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18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18" t="str">
        <f t="shared" si="7"/>
        <v>/</v>
      </c>
      <c r="T57" s="56"/>
      <c r="U57" s="56"/>
      <c r="V57" s="518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18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18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18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18" t="b">
        <f t="shared" si="13"/>
        <v>0</v>
      </c>
      <c r="AK57" s="56">
        <f t="shared" si="14"/>
        <v>37593</v>
      </c>
    </row>
    <row r="58" spans="1:39" ht="17" x14ac:dyDescent="0.2">
      <c r="A58" s="475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18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18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18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18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18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18" t="str">
        <f t="shared" si="7"/>
        <v>/</v>
      </c>
      <c r="T58" s="56"/>
      <c r="U58" s="56"/>
      <c r="V58" s="518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18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18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18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18" t="b">
        <f t="shared" si="13"/>
        <v>0</v>
      </c>
      <c r="AK58" s="56">
        <f t="shared" si="14"/>
        <v>21570</v>
      </c>
    </row>
    <row r="59" spans="1:39" ht="17" x14ac:dyDescent="0.2">
      <c r="A59" s="475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18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18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18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18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18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18" t="str">
        <f t="shared" si="7"/>
        <v>/</v>
      </c>
      <c r="T59" s="56"/>
      <c r="U59" s="56"/>
      <c r="V59" s="518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18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18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18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18" t="b">
        <f t="shared" si="13"/>
        <v>0</v>
      </c>
      <c r="AK59" s="56">
        <f t="shared" si="14"/>
        <v>21570</v>
      </c>
    </row>
    <row r="60" spans="1:39" ht="17" x14ac:dyDescent="0.2">
      <c r="A60" s="475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18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18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18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18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18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18" t="str">
        <f t="shared" si="7"/>
        <v>/</v>
      </c>
      <c r="T60" s="56"/>
      <c r="U60" s="56"/>
      <c r="V60" s="518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18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18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18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18" t="b">
        <f t="shared" si="13"/>
        <v>0</v>
      </c>
      <c r="AK60" s="56">
        <f t="shared" si="14"/>
        <v>22289</v>
      </c>
    </row>
    <row r="61" spans="1:39" ht="17" x14ac:dyDescent="0.2">
      <c r="A61" s="475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18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18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18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18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18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18" t="str">
        <f t="shared" si="7"/>
        <v>/</v>
      </c>
      <c r="T61" s="56"/>
      <c r="U61" s="56"/>
      <c r="V61" s="518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18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18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18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18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5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18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18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18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18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18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18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18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18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18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18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18" t="b">
        <f t="shared" si="13"/>
        <v>0</v>
      </c>
      <c r="AK62" s="56">
        <f>AH62-AI62</f>
        <v>-519141</v>
      </c>
    </row>
    <row r="63" spans="1:39" ht="15.75" customHeight="1" x14ac:dyDescent="0.2">
      <c r="A63" s="475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18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18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18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18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18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18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18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18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18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18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18" t="b">
        <f t="shared" si="13"/>
        <v>0</v>
      </c>
      <c r="AK63" s="56">
        <f t="shared" si="14"/>
        <v>-484647</v>
      </c>
    </row>
    <row r="64" spans="1:39" ht="15.75" customHeight="1" x14ac:dyDescent="0.2">
      <c r="A64" s="475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18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18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18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18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18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18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18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18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18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18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18" t="b">
        <f t="shared" si="13"/>
        <v>0</v>
      </c>
      <c r="AK64" s="56">
        <f t="shared" si="14"/>
        <v>-586966</v>
      </c>
    </row>
    <row r="65" spans="1:28" ht="15.75" customHeight="1" x14ac:dyDescent="0.2">
      <c r="A65" s="475">
        <v>45931</v>
      </c>
    </row>
    <row r="66" spans="1:28" ht="15.75" customHeight="1" x14ac:dyDescent="0.2">
      <c r="A66" s="475">
        <v>45962</v>
      </c>
      <c r="AB66" s="56"/>
    </row>
    <row r="67" spans="1:28" ht="15.75" customHeight="1" x14ac:dyDescent="0.2">
      <c r="A67" s="475">
        <v>45992</v>
      </c>
      <c r="AB67" s="56"/>
    </row>
    <row r="68" spans="1:28" ht="15.75" customHeight="1" x14ac:dyDescent="0.2">
      <c r="A68" s="512">
        <v>46023</v>
      </c>
      <c r="AB68" s="56"/>
    </row>
    <row r="69" spans="1:28" ht="15.75" customHeight="1" x14ac:dyDescent="0.2">
      <c r="A69" s="512">
        <v>46054</v>
      </c>
    </row>
    <row r="70" spans="1:28" ht="15.75" customHeight="1" x14ac:dyDescent="0.2">
      <c r="A70" s="512">
        <v>46082</v>
      </c>
    </row>
    <row r="71" spans="1:28" ht="15.75" customHeight="1" x14ac:dyDescent="0.2">
      <c r="A71" s="512">
        <v>46113</v>
      </c>
    </row>
    <row r="72" spans="1:28" ht="15.75" customHeight="1" x14ac:dyDescent="0.2">
      <c r="A72" s="512">
        <v>46143</v>
      </c>
    </row>
    <row r="73" spans="1:28" ht="15.75" customHeight="1" x14ac:dyDescent="0.2">
      <c r="A73" s="512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C16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121</v>
      </c>
      <c r="C1" s="96" t="s">
        <v>122</v>
      </c>
      <c r="D1" s="96" t="s">
        <v>47</v>
      </c>
      <c r="E1" s="96" t="s">
        <v>123</v>
      </c>
      <c r="F1" s="96" t="s">
        <v>124</v>
      </c>
      <c r="G1" s="96" t="s">
        <v>125</v>
      </c>
      <c r="H1" s="97" t="s">
        <v>126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127</v>
      </c>
      <c r="C1" s="88" t="s">
        <v>128</v>
      </c>
      <c r="D1" s="88" t="s">
        <v>47</v>
      </c>
      <c r="E1" s="88" t="s">
        <v>129</v>
      </c>
      <c r="F1" s="89" t="s">
        <v>130</v>
      </c>
      <c r="G1" s="89" t="s">
        <v>124</v>
      </c>
      <c r="H1" s="89" t="s">
        <v>125</v>
      </c>
      <c r="I1" s="89" t="s">
        <v>131</v>
      </c>
      <c r="J1" s="88" t="s">
        <v>132</v>
      </c>
    </row>
    <row r="2" spans="1:10" x14ac:dyDescent="0.2">
      <c r="A2" s="86" t="s">
        <v>133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134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135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118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111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2">
        <f>SUM(B17:F17)</f>
        <v>315472</v>
      </c>
      <c r="H17" s="592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3" t="s">
        <v>137</v>
      </c>
    </row>
    <row r="23" spans="1:9" x14ac:dyDescent="0.2">
      <c r="G23" s="8" t="s">
        <v>136</v>
      </c>
    </row>
    <row r="25" spans="1:9" x14ac:dyDescent="0.2">
      <c r="B25" s="78" t="s">
        <v>138</v>
      </c>
      <c r="G25" s="53">
        <f>2.8317/100</f>
        <v>2.8317000000000002E-2</v>
      </c>
    </row>
    <row r="26" spans="1:9" x14ac:dyDescent="0.2">
      <c r="B26" s="593" t="s">
        <v>139</v>
      </c>
    </row>
    <row r="27" spans="1:9" x14ac:dyDescent="0.2">
      <c r="B27" s="78"/>
    </row>
    <row r="28" spans="1:9" x14ac:dyDescent="0.2">
      <c r="B28" s="85" t="s">
        <v>140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36" customWidth="1"/>
    <col min="7" max="7" width="20.6640625" style="436" hidden="1" customWidth="1"/>
    <col min="8" max="11" width="20.6640625" style="436" customWidth="1"/>
    <col min="12" max="16384" width="11.5" style="436"/>
  </cols>
  <sheetData>
    <row r="1" spans="1:11" ht="89" customHeight="1" x14ac:dyDescent="0.15">
      <c r="A1" s="89" t="s">
        <v>28</v>
      </c>
      <c r="B1" s="89" t="s">
        <v>141</v>
      </c>
      <c r="C1" s="89" t="s">
        <v>142</v>
      </c>
      <c r="D1" s="89" t="s">
        <v>143</v>
      </c>
      <c r="E1" s="89" t="s">
        <v>739</v>
      </c>
      <c r="F1" s="89" t="s">
        <v>738</v>
      </c>
      <c r="G1" s="89" t="s">
        <v>144</v>
      </c>
      <c r="H1" s="89" t="s">
        <v>737</v>
      </c>
      <c r="I1" s="89" t="s">
        <v>145</v>
      </c>
      <c r="J1" s="89" t="s">
        <v>146</v>
      </c>
      <c r="K1" s="89" t="s">
        <v>147</v>
      </c>
    </row>
    <row r="2" spans="1:11" x14ac:dyDescent="0.15">
      <c r="A2" s="86" t="s">
        <v>133</v>
      </c>
      <c r="B2" s="79">
        <v>15760</v>
      </c>
      <c r="C2" s="481">
        <v>139233.83009999999</v>
      </c>
      <c r="D2" s="78"/>
      <c r="E2" s="78"/>
      <c r="F2" s="78"/>
      <c r="G2" s="78"/>
      <c r="H2" s="79">
        <v>9547</v>
      </c>
      <c r="I2" s="481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134</v>
      </c>
      <c r="B3" s="80">
        <v>23249</v>
      </c>
      <c r="C3" s="481">
        <v>205398.00339999999</v>
      </c>
      <c r="D3" s="78"/>
      <c r="E3" s="78"/>
      <c r="F3" s="78"/>
      <c r="G3" s="78"/>
      <c r="H3" s="79">
        <v>11284</v>
      </c>
      <c r="I3" s="481">
        <v>113181.9659</v>
      </c>
      <c r="J3" s="80">
        <v>318580</v>
      </c>
      <c r="K3" s="100">
        <v>318579.9693</v>
      </c>
    </row>
    <row r="4" spans="1:11" x14ac:dyDescent="0.15">
      <c r="A4" s="86" t="s">
        <v>135</v>
      </c>
      <c r="B4" s="101">
        <v>28983</v>
      </c>
      <c r="C4" s="481">
        <v>256059.2102</v>
      </c>
      <c r="D4" s="78"/>
      <c r="E4" s="78"/>
      <c r="F4" s="78"/>
      <c r="G4" s="78"/>
      <c r="H4" s="80">
        <v>12204</v>
      </c>
      <c r="I4" s="481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118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1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1">
        <f>H14 * 'Emission Factor'!$O$7</f>
        <v>109023.57070330551</v>
      </c>
      <c r="J14" s="481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1">
        <v>15052.07</v>
      </c>
      <c r="C15" s="482">
        <v>132980.5637</v>
      </c>
      <c r="D15" s="483">
        <v>2570</v>
      </c>
      <c r="E15" s="432">
        <v>76.430000000000007</v>
      </c>
      <c r="F15" s="484">
        <v>8369.7000000000007</v>
      </c>
      <c r="G15" s="433">
        <v>11016.13</v>
      </c>
      <c r="H15" s="100">
        <f>SUM(D15:F15)</f>
        <v>11016.130000000001</v>
      </c>
      <c r="I15" s="481">
        <f>H15 * 'Emission Factor'!$O$7</f>
        <v>110492.77832605512</v>
      </c>
      <c r="J15" s="481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111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36" bestFit="1" customWidth="1"/>
    <col min="2" max="3" width="11.6640625" style="436" bestFit="1" customWidth="1"/>
    <col min="4" max="4" width="15.6640625" style="436" bestFit="1" customWidth="1"/>
    <col min="5" max="5" width="12.1640625" style="436" bestFit="1" customWidth="1"/>
    <col min="6" max="6" width="17.6640625" style="436" customWidth="1"/>
    <col min="7" max="10" width="11.6640625" style="436" bestFit="1" customWidth="1"/>
    <col min="11" max="11" width="12.1640625" style="436" bestFit="1" customWidth="1"/>
    <col min="12" max="14" width="11.6640625" style="436" bestFit="1" customWidth="1"/>
    <col min="15" max="15" width="12.1640625" style="436" bestFit="1" customWidth="1"/>
    <col min="16" max="16" width="10.1640625" style="436" bestFit="1" customWidth="1"/>
    <col min="17" max="17" width="11.6640625" style="436" bestFit="1" customWidth="1"/>
    <col min="18" max="18" width="9.6640625" style="436" customWidth="1"/>
    <col min="19" max="19" width="17.33203125" style="436" customWidth="1"/>
    <col min="20" max="27" width="11.6640625" style="436" bestFit="1" customWidth="1"/>
    <col min="28" max="28" width="15.6640625" style="436" bestFit="1" customWidth="1"/>
    <col min="29" max="29" width="12.6640625" style="436" bestFit="1" customWidth="1"/>
    <col min="30" max="16384" width="11.5" style="436"/>
  </cols>
  <sheetData>
    <row r="1" spans="1:29" ht="16.25" customHeight="1" x14ac:dyDescent="0.15">
      <c r="A1" s="437"/>
      <c r="B1" s="638" t="s">
        <v>741</v>
      </c>
      <c r="C1" s="639"/>
      <c r="D1" s="639"/>
      <c r="E1" s="639"/>
      <c r="F1" s="438"/>
      <c r="G1" s="638" t="s">
        <v>149</v>
      </c>
      <c r="H1" s="639"/>
      <c r="I1" s="639"/>
      <c r="J1" s="639"/>
      <c r="K1" s="639"/>
      <c r="L1" s="639"/>
      <c r="M1" s="639"/>
      <c r="N1" s="639"/>
      <c r="O1" s="639"/>
      <c r="P1" s="639"/>
      <c r="Q1" s="639"/>
      <c r="R1" s="639"/>
      <c r="S1" s="640"/>
      <c r="T1" s="641" t="s">
        <v>150</v>
      </c>
      <c r="U1" s="642"/>
      <c r="V1" s="642"/>
      <c r="W1" s="642"/>
      <c r="X1" s="642"/>
      <c r="Y1" s="642"/>
      <c r="Z1" s="642"/>
      <c r="AA1" s="643"/>
      <c r="AB1" s="439"/>
      <c r="AC1" s="410" t="s">
        <v>151</v>
      </c>
    </row>
    <row r="2" spans="1:29" ht="15" customHeight="1" x14ac:dyDescent="0.15">
      <c r="A2" s="624"/>
      <c r="B2" s="626" t="s">
        <v>740</v>
      </c>
      <c r="C2" s="627"/>
      <c r="D2" s="626" t="s">
        <v>152</v>
      </c>
      <c r="E2" s="627"/>
      <c r="F2" s="630" t="s">
        <v>148</v>
      </c>
      <c r="G2" s="632" t="s">
        <v>153</v>
      </c>
      <c r="H2" s="633"/>
      <c r="I2" s="626" t="s">
        <v>154</v>
      </c>
      <c r="J2" s="627"/>
      <c r="K2" s="632" t="s">
        <v>155</v>
      </c>
      <c r="L2" s="633"/>
      <c r="M2" s="626" t="s">
        <v>156</v>
      </c>
      <c r="N2" s="627"/>
      <c r="O2" s="632" t="s">
        <v>157</v>
      </c>
      <c r="P2" s="633"/>
      <c r="Q2" s="632" t="s">
        <v>158</v>
      </c>
      <c r="R2" s="633"/>
      <c r="S2" s="630" t="s">
        <v>149</v>
      </c>
      <c r="T2" s="626" t="s">
        <v>159</v>
      </c>
      <c r="U2" s="627"/>
      <c r="V2" s="632" t="s">
        <v>160</v>
      </c>
      <c r="W2" s="633"/>
      <c r="X2" s="632" t="s">
        <v>161</v>
      </c>
      <c r="Y2" s="633"/>
      <c r="Z2" s="632" t="s">
        <v>162</v>
      </c>
      <c r="AA2" s="633"/>
      <c r="AB2" s="630" t="s">
        <v>150</v>
      </c>
      <c r="AC2" s="636"/>
    </row>
    <row r="3" spans="1:29" ht="74" customHeight="1" x14ac:dyDescent="0.15">
      <c r="A3" s="625"/>
      <c r="B3" s="628"/>
      <c r="C3" s="629"/>
      <c r="D3" s="628"/>
      <c r="E3" s="629"/>
      <c r="F3" s="631"/>
      <c r="G3" s="634"/>
      <c r="H3" s="635"/>
      <c r="I3" s="628"/>
      <c r="J3" s="629"/>
      <c r="K3" s="634"/>
      <c r="L3" s="635"/>
      <c r="M3" s="628"/>
      <c r="N3" s="629"/>
      <c r="O3" s="634"/>
      <c r="P3" s="635"/>
      <c r="Q3" s="634"/>
      <c r="R3" s="635"/>
      <c r="S3" s="631"/>
      <c r="T3" s="628"/>
      <c r="U3" s="629"/>
      <c r="V3" s="634"/>
      <c r="W3" s="635"/>
      <c r="X3" s="634"/>
      <c r="Y3" s="635"/>
      <c r="Z3" s="634"/>
      <c r="AA3" s="635"/>
      <c r="AB3" s="631"/>
      <c r="AC3" s="637"/>
    </row>
    <row r="4" spans="1:29" ht="40" x14ac:dyDescent="0.15">
      <c r="A4" s="625"/>
      <c r="B4" s="413" t="s">
        <v>163</v>
      </c>
      <c r="C4" s="413" t="s">
        <v>164</v>
      </c>
      <c r="D4" s="413" t="s">
        <v>165</v>
      </c>
      <c r="E4" s="413" t="s">
        <v>164</v>
      </c>
      <c r="F4" s="414"/>
      <c r="G4" s="413" t="s">
        <v>163</v>
      </c>
      <c r="H4" s="413" t="s">
        <v>164</v>
      </c>
      <c r="I4" s="413" t="s">
        <v>163</v>
      </c>
      <c r="J4" s="413" t="s">
        <v>164</v>
      </c>
      <c r="K4" s="413" t="s">
        <v>163</v>
      </c>
      <c r="L4" s="413" t="s">
        <v>164</v>
      </c>
      <c r="M4" s="413" t="s">
        <v>163</v>
      </c>
      <c r="N4" s="413" t="s">
        <v>164</v>
      </c>
      <c r="O4" s="413" t="s">
        <v>163</v>
      </c>
      <c r="P4" s="413" t="s">
        <v>164</v>
      </c>
      <c r="Q4" s="413" t="s">
        <v>163</v>
      </c>
      <c r="R4" s="413" t="s">
        <v>164</v>
      </c>
      <c r="S4" s="414"/>
      <c r="T4" s="413" t="s">
        <v>166</v>
      </c>
      <c r="U4" s="413" t="s">
        <v>164</v>
      </c>
      <c r="V4" s="413" t="s">
        <v>166</v>
      </c>
      <c r="W4" s="413" t="s">
        <v>164</v>
      </c>
      <c r="X4" s="413" t="s">
        <v>166</v>
      </c>
      <c r="Y4" s="413" t="s">
        <v>164</v>
      </c>
      <c r="Z4" s="413" t="s">
        <v>167</v>
      </c>
      <c r="AA4" s="413" t="s">
        <v>168</v>
      </c>
      <c r="AB4" s="413"/>
      <c r="AC4" s="411" t="s">
        <v>164</v>
      </c>
    </row>
    <row r="5" spans="1:29" ht="19" x14ac:dyDescent="0.2">
      <c r="A5" s="440" t="s">
        <v>169</v>
      </c>
      <c r="B5" s="485">
        <v>3011</v>
      </c>
      <c r="C5" s="441">
        <f>B5*'Emission Factor'!$L$7/1000</f>
        <v>7.8791724549</v>
      </c>
      <c r="D5" s="412">
        <v>411852.96439534758</v>
      </c>
      <c r="E5" s="442">
        <f>D5*'Emission Factor'!$L$8/1000</f>
        <v>1051.462924477923</v>
      </c>
      <c r="F5" s="486">
        <f>C5+E5</f>
        <v>1059.3420969328231</v>
      </c>
      <c r="G5" s="441">
        <v>0</v>
      </c>
      <c r="H5" s="441">
        <f>G5*'Emission Factor'!$L$16/1000</f>
        <v>0</v>
      </c>
      <c r="I5" s="441">
        <v>0</v>
      </c>
      <c r="J5" s="441">
        <f>I5*'Emission Factor'!$L$22/1000</f>
        <v>0</v>
      </c>
      <c r="K5" s="487">
        <v>20821.03</v>
      </c>
      <c r="L5" s="441">
        <f>K5*'Emission Factor'!$L$22/1000</f>
        <v>56.584542852889996</v>
      </c>
      <c r="M5" s="441">
        <v>51</v>
      </c>
      <c r="N5" s="441">
        <f>M5*'Emission Factor'!$L$27/1000</f>
        <v>0.141390972</v>
      </c>
      <c r="O5" s="442">
        <v>7807.65</v>
      </c>
      <c r="P5" s="441">
        <f>O5*'Emission Factor'!$L$27/1000</f>
        <v>21.645710245799997</v>
      </c>
      <c r="Q5" s="441">
        <v>0</v>
      </c>
      <c r="R5" s="441">
        <f>Q5*'Emission Factor'!$L$28/1000</f>
        <v>0</v>
      </c>
      <c r="S5" s="486">
        <f>H5+J5+L5+N5+P5+R5</f>
        <v>78.371644070689996</v>
      </c>
      <c r="T5" s="441">
        <v>0</v>
      </c>
      <c r="U5" s="441">
        <f>(T5*'Emission Factor'!$B$32)/1000</f>
        <v>0</v>
      </c>
      <c r="V5" s="441">
        <v>0</v>
      </c>
      <c r="W5" s="441">
        <f>(V5*'Emission Factor'!$B$33)/1000</f>
        <v>0</v>
      </c>
      <c r="X5" s="441">
        <v>70</v>
      </c>
      <c r="Y5" s="441">
        <f>(X5*'Emission Factor'!$B$34)/1000</f>
        <v>106.82</v>
      </c>
      <c r="Z5" s="441">
        <v>0.22700000000000001</v>
      </c>
      <c r="AA5" s="441">
        <f>(Z5*'Emission Factor'!$B$35)/1000</f>
        <v>5.1756000000000002</v>
      </c>
      <c r="AB5" s="486">
        <f>U5+W5+Y5+AA5</f>
        <v>111.9956</v>
      </c>
      <c r="AC5" s="442">
        <f>C5+E5+H5+J5+L5+N5+P5+R5+U5+W5+AA5+Y5</f>
        <v>1249.7093410035131</v>
      </c>
    </row>
    <row r="6" spans="1:29" ht="19" x14ac:dyDescent="0.2">
      <c r="A6" s="440" t="s">
        <v>170</v>
      </c>
      <c r="B6" s="485">
        <v>2570</v>
      </c>
      <c r="C6" s="441">
        <f>B6*'Emission Factor'!$L$7/1000</f>
        <v>6.7251654630000006</v>
      </c>
      <c r="D6" s="412">
        <v>436969.72040997876</v>
      </c>
      <c r="E6" s="442">
        <f>D6*'Emission Factor'!$L$8/1000</f>
        <v>1115.5861432371103</v>
      </c>
      <c r="F6" s="486">
        <f>C6+E6</f>
        <v>1122.3113087001102</v>
      </c>
      <c r="G6" s="441">
        <v>0</v>
      </c>
      <c r="H6" s="441">
        <f>G6*'Emission Factor'!$L$16/1000</f>
        <v>0</v>
      </c>
      <c r="I6" s="441">
        <v>0</v>
      </c>
      <c r="J6" s="441">
        <f>I6*'Emission Factor'!$L$22/1000</f>
        <v>0</v>
      </c>
      <c r="K6" s="487">
        <v>15052.07</v>
      </c>
      <c r="L6" s="441">
        <f>K6*'Emission Factor'!$L$22/1000</f>
        <v>40.906453712409999</v>
      </c>
      <c r="M6" s="441">
        <v>76.430000000000007</v>
      </c>
      <c r="N6" s="441">
        <f>M6*'Emission Factor'!$L$27/1000</f>
        <v>0.21189239196000001</v>
      </c>
      <c r="O6" s="442">
        <v>8369.7000000000007</v>
      </c>
      <c r="P6" s="441">
        <f>O6*'Emission Factor'!$L$27/1000</f>
        <v>23.2039219284</v>
      </c>
      <c r="Q6" s="441">
        <v>0</v>
      </c>
      <c r="R6" s="441">
        <f>Q6*'Emission Factor'!$L$28/1000</f>
        <v>0</v>
      </c>
      <c r="S6" s="486">
        <f>H6+J6+L6+N6+P6+R6</f>
        <v>64.322268032769998</v>
      </c>
      <c r="T6" s="441">
        <v>0</v>
      </c>
      <c r="U6" s="441">
        <f>(T6*'Emission Factor'!$B$32)/1000</f>
        <v>0</v>
      </c>
      <c r="V6" s="441">
        <v>4.76</v>
      </c>
      <c r="W6" s="441">
        <f>(V6*'Emission Factor'!$B$33)/1000</f>
        <v>8.2110000000000003</v>
      </c>
      <c r="X6" s="441">
        <v>181.44</v>
      </c>
      <c r="Y6" s="441">
        <f>(X6*'Emission Factor'!$B$34)/1000</f>
        <v>276.87743999999998</v>
      </c>
      <c r="Z6" s="441">
        <v>45</v>
      </c>
      <c r="AA6" s="441">
        <f>(Z6*'Emission Factor'!$B$35)/1000</f>
        <v>1026</v>
      </c>
      <c r="AB6" s="486">
        <f>U6+W6+Y6+AA6</f>
        <v>1311.08844</v>
      </c>
      <c r="AC6" s="442">
        <f>C6+E6+H6+J6+L6+N6+P6+R6+U6+W6+AA6+Y6</f>
        <v>2497.7220167328805</v>
      </c>
    </row>
    <row r="7" spans="1:29" ht="19" x14ac:dyDescent="0.2">
      <c r="A7" s="440" t="s">
        <v>171</v>
      </c>
      <c r="B7" s="485">
        <v>2538</v>
      </c>
      <c r="C7" s="441">
        <f>B7*'Emission Factor'!$L$7/1000</f>
        <v>6.6414279941999999</v>
      </c>
      <c r="D7" s="442">
        <f>'Yearly Towngas (TGU)'!G16</f>
        <v>422530.79459115805</v>
      </c>
      <c r="E7" s="442">
        <f>D7*'Emission Factor'!$L$8/1000</f>
        <v>1078.7234847636762</v>
      </c>
      <c r="F7" s="486">
        <f>C7+E7</f>
        <v>1085.3649127578763</v>
      </c>
      <c r="G7" s="441">
        <v>0</v>
      </c>
      <c r="H7" s="441">
        <f>G7*'Emission Factor'!$L$16/1000</f>
        <v>0</v>
      </c>
      <c r="I7" s="441">
        <v>0</v>
      </c>
      <c r="J7" s="441">
        <f>I7*'Emission Factor'!$L$22/1000</f>
        <v>0</v>
      </c>
      <c r="K7" s="487">
        <v>12974.05</v>
      </c>
      <c r="L7" s="441">
        <f>K7*'Emission Factor'!$L$22/1000</f>
        <v>35.259095645149998</v>
      </c>
      <c r="M7" s="441">
        <v>143.27500000000001</v>
      </c>
      <c r="N7" s="441">
        <f>M7*'Emission Factor'!$L$27/1000</f>
        <v>0.39721159829999997</v>
      </c>
      <c r="O7" s="442">
        <v>7503.07</v>
      </c>
      <c r="P7" s="441">
        <f>O7*'Emission Factor'!$L$27/1000</f>
        <v>20.80130118204</v>
      </c>
      <c r="Q7" s="441">
        <v>0</v>
      </c>
      <c r="R7" s="441">
        <f>Q7*'Emission Factor'!$L$28/1000</f>
        <v>0</v>
      </c>
      <c r="S7" s="486">
        <f>H7+J7+L7+N7+P7+R7</f>
        <v>56.457608425489994</v>
      </c>
      <c r="T7" s="441">
        <v>0</v>
      </c>
      <c r="U7" s="441">
        <f>(T7*'Emission Factor'!$B$32)/1000</f>
        <v>0</v>
      </c>
      <c r="V7" s="441">
        <v>4.54</v>
      </c>
      <c r="W7" s="441">
        <f>(V7*'Emission Factor'!$B$33)/1000</f>
        <v>7.8315000000000001</v>
      </c>
      <c r="X7" s="441">
        <v>46.81</v>
      </c>
      <c r="Y7" s="441">
        <f>(X7*'Emission Factor'!$B$34)/1000</f>
        <v>71.432059999999993</v>
      </c>
      <c r="Z7" s="441">
        <v>0</v>
      </c>
      <c r="AA7" s="441">
        <f>(Z7*'Emission Factor'!$B$35)/1000</f>
        <v>0</v>
      </c>
      <c r="AB7" s="486">
        <f>U7+W7+Y7+AA7</f>
        <v>79.263559999999998</v>
      </c>
      <c r="AC7" s="442">
        <f>C7+E7+H7+J7+L7+N7+P7+R7+U7+W7+AA7+Y7</f>
        <v>1221.0860811833663</v>
      </c>
    </row>
    <row r="8" spans="1:29" x14ac:dyDescent="0.15">
      <c r="L8" s="498">
        <f>(L7-L6)/L6</f>
        <v>-0.13805543024979292</v>
      </c>
      <c r="M8" s="498">
        <f t="shared" ref="M8:P8" si="0">(M7-M6)/M6</f>
        <v>0.87459112913777304</v>
      </c>
      <c r="N8" s="498">
        <f t="shared" si="0"/>
        <v>0.87459112913777293</v>
      </c>
      <c r="O8" s="498">
        <f t="shared" si="0"/>
        <v>-0.10354373513984981</v>
      </c>
      <c r="P8" s="498">
        <f t="shared" si="0"/>
        <v>-0.10354373513984971</v>
      </c>
    </row>
    <row r="9" spans="1:29" x14ac:dyDescent="0.15">
      <c r="C9" s="522">
        <f>C7/AC7</f>
        <v>5.4389515174587261E-3</v>
      </c>
      <c r="E9" s="522">
        <f>E7/AC7</f>
        <v>0.88341313637632723</v>
      </c>
    </row>
    <row r="10" spans="1:29" x14ac:dyDescent="0.15">
      <c r="S10" s="522">
        <f>S7/AC7</f>
        <v>4.6235567905889466E-2</v>
      </c>
      <c r="AB10" s="522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  <mergeCell ref="A2:A4"/>
    <mergeCell ref="B2:C3"/>
    <mergeCell ref="D2:E3"/>
    <mergeCell ref="F2:F3"/>
    <mergeCell ref="G2:H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0"/>
      <c r="B1" s="646" t="s">
        <v>172</v>
      </c>
      <c r="C1" s="646"/>
      <c r="D1" s="646"/>
      <c r="E1" s="646"/>
      <c r="F1" s="646"/>
      <c r="G1" s="646"/>
      <c r="H1" s="646"/>
      <c r="I1" s="646"/>
      <c r="J1" s="646"/>
      <c r="K1" s="646"/>
      <c r="L1" s="646"/>
      <c r="M1" s="646"/>
      <c r="N1" s="647"/>
      <c r="O1" s="644" t="s">
        <v>173</v>
      </c>
      <c r="P1" s="645"/>
      <c r="Q1" s="443" t="s">
        <v>174</v>
      </c>
    </row>
    <row r="2" spans="1:17" ht="69" thickBot="1" x14ac:dyDescent="0.25">
      <c r="A2" s="526"/>
      <c r="B2" s="527" t="s">
        <v>175</v>
      </c>
      <c r="C2" s="528" t="s">
        <v>176</v>
      </c>
      <c r="D2" s="528" t="s">
        <v>177</v>
      </c>
      <c r="E2" s="528" t="s">
        <v>178</v>
      </c>
      <c r="F2" s="528" t="s">
        <v>179</v>
      </c>
      <c r="G2" s="528" t="s">
        <v>180</v>
      </c>
      <c r="H2" s="528" t="s">
        <v>181</v>
      </c>
      <c r="I2" s="528" t="s">
        <v>182</v>
      </c>
      <c r="J2" s="528" t="s">
        <v>183</v>
      </c>
      <c r="K2" s="528" t="s">
        <v>184</v>
      </c>
      <c r="L2" s="528" t="s">
        <v>185</v>
      </c>
      <c r="M2" s="529" t="s">
        <v>186</v>
      </c>
      <c r="N2" s="434" t="s">
        <v>164</v>
      </c>
      <c r="O2" s="444" t="s">
        <v>187</v>
      </c>
      <c r="P2" s="435" t="s">
        <v>164</v>
      </c>
      <c r="Q2" s="448" t="s">
        <v>164</v>
      </c>
    </row>
    <row r="3" spans="1:17" ht="18" thickBot="1" x14ac:dyDescent="0.25">
      <c r="A3" s="448" t="s">
        <v>169</v>
      </c>
      <c r="B3" s="449">
        <f>49860279.8632136*'Emission Factor (new)'!R39/1000</f>
        <v>19445.509146653305</v>
      </c>
      <c r="C3" s="449">
        <f>16935747.1367864*'Emission Factor (new)'!R39/1000</f>
        <v>6604.9413833466961</v>
      </c>
      <c r="D3" s="449">
        <f>1632560*'Emission Factor (new)'!R39/1000</f>
        <v>636.69839999999999</v>
      </c>
      <c r="E3" s="449">
        <f>4412027*'Emission Factor (new)'!R39/1000</f>
        <v>1720.6905300000001</v>
      </c>
      <c r="F3" s="449">
        <f>2699255*'Emission Factor (new)'!R39/1000</f>
        <v>1052.7094500000001</v>
      </c>
      <c r="G3" s="449">
        <f>654339*'Emission Factor (new)'!R39/1000</f>
        <v>255.19221000000002</v>
      </c>
      <c r="H3" s="449">
        <v>0</v>
      </c>
      <c r="I3" s="449">
        <f>1222009*'Emission Factor (new)'!R39/1000</f>
        <v>476.58350999999999</v>
      </c>
      <c r="J3" s="449"/>
      <c r="K3" s="449">
        <f>7872105*'Emission Factor (new)'!R39/1000</f>
        <v>3070.12095</v>
      </c>
      <c r="L3" s="449">
        <f>8644016*'Emission Factor (new)'!R39/1000</f>
        <v>3371.16624</v>
      </c>
      <c r="M3" s="449">
        <v>93932338</v>
      </c>
      <c r="N3" s="446">
        <f>M3*'Emission Factor'!$B$39/1000</f>
        <v>36633.611819999998</v>
      </c>
      <c r="O3" s="445">
        <v>411852.96439534758</v>
      </c>
      <c r="P3" s="445">
        <f>O3*'Emission Factor'!$B$40/1000</f>
        <v>237.22730749172018</v>
      </c>
      <c r="Q3" s="447">
        <f>N3+P3</f>
        <v>36870.839127491716</v>
      </c>
    </row>
    <row r="4" spans="1:17" ht="18" thickBot="1" x14ac:dyDescent="0.25">
      <c r="A4" s="448" t="s">
        <v>170</v>
      </c>
      <c r="B4" s="449">
        <f>50540568.68*'Emission Factor (new)'!S39/1000</f>
        <v>19710.821785200002</v>
      </c>
      <c r="C4" s="449">
        <f>17653437.02*'Emission Factor (new)'!S39/1000</f>
        <v>6884.8404378000005</v>
      </c>
      <c r="D4" s="449">
        <f>1497696*'Emission Factor (new)'!S39/1000</f>
        <v>584.10144000000003</v>
      </c>
      <c r="E4" s="449">
        <f>4746630*'Emission Factor (new)'!S39/1000</f>
        <v>1851.1857</v>
      </c>
      <c r="F4" s="449">
        <f>2713600*'Emission Factor (new)'!S39/1000</f>
        <v>1058.3040000000001</v>
      </c>
      <c r="G4" s="449">
        <f>588506*'Emission Factor (new)'!S39/1000</f>
        <v>229.51733999999999</v>
      </c>
      <c r="H4" s="449">
        <v>0</v>
      </c>
      <c r="I4" s="449">
        <f>1478893*'Emission Factor (new)'!S39/1000</f>
        <v>576.76827000000003</v>
      </c>
      <c r="J4" s="449"/>
      <c r="K4" s="449">
        <f>8307594*'Emission Factor (new)'!S39/1000</f>
        <v>3239.9616599999999</v>
      </c>
      <c r="L4" s="449">
        <f>9182416*'Emission Factor (new)'!S39/1000</f>
        <v>3581.1422400000001</v>
      </c>
      <c r="M4" s="449">
        <v>96709341</v>
      </c>
      <c r="N4" s="446">
        <f>M4*'Emission Factor'!$B$39/1000</f>
        <v>37716.64299</v>
      </c>
      <c r="O4" s="445">
        <v>436970</v>
      </c>
      <c r="P4" s="445">
        <f>O4*'Emission Factor'!$B$40/1000</f>
        <v>251.69471999999996</v>
      </c>
      <c r="Q4" s="445">
        <f>N4+P4</f>
        <v>37968.33771</v>
      </c>
    </row>
    <row r="5" spans="1:17" ht="18" thickBot="1" x14ac:dyDescent="0.25">
      <c r="A5" s="448" t="s">
        <v>171</v>
      </c>
      <c r="B5" s="449">
        <f>55859834.7*'Emission Factor (new)'!T39/1000</f>
        <v>21226.737186000002</v>
      </c>
      <c r="C5" s="449">
        <f>17987597.3*'Emission Factor (new)'!T39/1000</f>
        <v>6835.2869740000006</v>
      </c>
      <c r="D5" s="449">
        <f>1344476*'Emission Factor (new)'!T39/1000</f>
        <v>510.90088000000003</v>
      </c>
      <c r="E5" s="449">
        <f>4931340*'Emission Factor (new)'!T39/1000</f>
        <v>1873.9092000000001</v>
      </c>
      <c r="F5" s="449">
        <f>2904600*'Emission Factor (new)'!T39/1000</f>
        <v>1103.748</v>
      </c>
      <c r="G5" s="449">
        <f>597167*'Emission Factor (new)'!T39/1000</f>
        <v>226.92346000000001</v>
      </c>
      <c r="H5" s="449">
        <v>0</v>
      </c>
      <c r="I5" s="449">
        <f>1386485*'Emission Factor (new)'!T39/1000</f>
        <v>526.86430000000007</v>
      </c>
      <c r="J5" s="449">
        <f>818470*'Emission Factor (new)'!T39/1000</f>
        <v>311.01859999999999</v>
      </c>
      <c r="K5" s="449">
        <f>9591556*'Emission Factor (new)'!T39/1000</f>
        <v>3644.7912800000004</v>
      </c>
      <c r="L5" s="449">
        <f>9816543*'Emission Factor (new)'!T39/1000</f>
        <v>3730.2863399999997</v>
      </c>
      <c r="M5" s="449">
        <f>'Yearly Electricity Reformatted'!Q13</f>
        <v>105238070</v>
      </c>
      <c r="N5" s="446">
        <f>M5*'Emission Factor (new)'!B39/1000</f>
        <v>39990.4666</v>
      </c>
      <c r="O5" s="445">
        <f>'Yearly Towngas (TGU)'!G16</f>
        <v>422530.79459115805</v>
      </c>
      <c r="P5" s="445">
        <f>O5*'Emission Factor (new)'!B40/1000</f>
        <v>231.54687543595463</v>
      </c>
      <c r="Q5" s="445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4">
        <f>N5/Q5</f>
        <v>0.99424327985028993</v>
      </c>
      <c r="P8" s="523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2"/>
      <c r="B1" s="650" t="s">
        <v>188</v>
      </c>
      <c r="C1" s="651"/>
      <c r="D1" s="651"/>
      <c r="E1" s="651"/>
      <c r="F1" s="651" t="s">
        <v>189</v>
      </c>
      <c r="G1" s="651"/>
      <c r="H1" s="652"/>
      <c r="I1" s="239" t="s">
        <v>190</v>
      </c>
    </row>
    <row r="2" spans="1:9" x14ac:dyDescent="0.2">
      <c r="A2" s="653"/>
      <c r="B2" s="655" t="s">
        <v>191</v>
      </c>
      <c r="C2" s="656"/>
      <c r="D2" s="659" t="s">
        <v>192</v>
      </c>
      <c r="E2" s="661" t="s">
        <v>188</v>
      </c>
      <c r="F2" s="655" t="s">
        <v>193</v>
      </c>
      <c r="G2" s="663" t="s">
        <v>194</v>
      </c>
      <c r="H2" s="665" t="s">
        <v>189</v>
      </c>
      <c r="I2" s="648"/>
    </row>
    <row r="3" spans="1:9" ht="17" thickBot="1" x14ac:dyDescent="0.25">
      <c r="A3" s="654"/>
      <c r="B3" s="657"/>
      <c r="C3" s="658"/>
      <c r="D3" s="660"/>
      <c r="E3" s="662"/>
      <c r="F3" s="657"/>
      <c r="G3" s="664"/>
      <c r="H3" s="666"/>
      <c r="I3" s="649"/>
    </row>
    <row r="4" spans="1:9" ht="35" thickBot="1" x14ac:dyDescent="0.25">
      <c r="A4" s="654"/>
      <c r="B4" s="458" t="s">
        <v>195</v>
      </c>
      <c r="C4" s="459" t="s">
        <v>164</v>
      </c>
      <c r="D4" s="460" t="s">
        <v>164</v>
      </c>
      <c r="E4" s="461"/>
      <c r="F4" s="462" t="s">
        <v>196</v>
      </c>
      <c r="G4" s="463" t="s">
        <v>196</v>
      </c>
      <c r="H4" s="464" t="s">
        <v>164</v>
      </c>
      <c r="I4" s="448" t="s">
        <v>164</v>
      </c>
    </row>
    <row r="5" spans="1:9" hidden="1" x14ac:dyDescent="0.2">
      <c r="A5" s="468" t="s">
        <v>197</v>
      </c>
      <c r="B5" s="465"/>
      <c r="C5" s="447">
        <f>B5*'Emission Factor'!$B$45/1000</f>
        <v>0</v>
      </c>
      <c r="D5" s="447">
        <f>B5*'Emission Factor'!$B$46/1000</f>
        <v>0</v>
      </c>
      <c r="E5" s="456">
        <f>C5+D5</f>
        <v>0</v>
      </c>
      <c r="F5" s="451">
        <f>'Monthly Paper Distribution'!P144</f>
        <v>9989</v>
      </c>
      <c r="G5" s="451">
        <v>10655</v>
      </c>
      <c r="H5" s="456">
        <f>((F5-G5)*4.8)/1000</f>
        <v>-3.1967999999999996</v>
      </c>
      <c r="I5" s="457">
        <f>C5+D5+H5</f>
        <v>-3.1967999999999996</v>
      </c>
    </row>
    <row r="6" spans="1:9" hidden="1" x14ac:dyDescent="0.2">
      <c r="A6" s="469" t="s">
        <v>198</v>
      </c>
      <c r="B6" s="466"/>
      <c r="C6" s="445">
        <f>B6*'Emission Factor'!$B$45/1000</f>
        <v>0</v>
      </c>
      <c r="D6" s="445">
        <f>B6*'Emission Factor'!$B$46/1000</f>
        <v>0</v>
      </c>
      <c r="E6" s="453">
        <f t="shared" ref="E6:E16" si="0">C6+D6</f>
        <v>0</v>
      </c>
      <c r="F6" s="454">
        <f>'Monthly Paper Distribution'!P145</f>
        <v>13764.2</v>
      </c>
      <c r="G6" s="454">
        <v>11619</v>
      </c>
      <c r="H6" s="453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69" t="s">
        <v>199</v>
      </c>
      <c r="B7" s="466"/>
      <c r="C7" s="445">
        <f>B7*'Emission Factor'!$B$45/1000</f>
        <v>0</v>
      </c>
      <c r="D7" s="445">
        <f>B7*'Emission Factor'!$B$46/1000</f>
        <v>0</v>
      </c>
      <c r="E7" s="453">
        <f t="shared" si="0"/>
        <v>0</v>
      </c>
      <c r="F7" s="454">
        <f>'Monthly Paper Distribution'!P146</f>
        <v>17988.2</v>
      </c>
      <c r="G7" s="454">
        <v>13120</v>
      </c>
      <c r="H7" s="453">
        <f>((F7-G7)*4.8)/1000</f>
        <v>23.367360000000005</v>
      </c>
      <c r="I7" s="344">
        <f t="shared" si="2"/>
        <v>23.367360000000005</v>
      </c>
    </row>
    <row r="8" spans="1:9" hidden="1" x14ac:dyDescent="0.2">
      <c r="A8" s="469" t="s">
        <v>200</v>
      </c>
      <c r="B8" s="466"/>
      <c r="C8" s="445">
        <f>B8*'Emission Factor'!$B$45/1000</f>
        <v>0</v>
      </c>
      <c r="D8" s="445">
        <f>B8*'Emission Factor'!$B$46/1000</f>
        <v>0</v>
      </c>
      <c r="E8" s="453">
        <f t="shared" si="0"/>
        <v>0</v>
      </c>
      <c r="F8" s="454">
        <f>'Monthly Paper Distribution'!P147</f>
        <v>17983.400000000001</v>
      </c>
      <c r="G8" s="454">
        <v>13030</v>
      </c>
      <c r="H8" s="453">
        <f>((F8-G8)*4.8)/1000</f>
        <v>23.776320000000005</v>
      </c>
      <c r="I8" s="344">
        <f t="shared" si="2"/>
        <v>23.776320000000005</v>
      </c>
    </row>
    <row r="9" spans="1:9" hidden="1" x14ac:dyDescent="0.2">
      <c r="A9" s="469" t="s">
        <v>201</v>
      </c>
      <c r="B9" s="466"/>
      <c r="C9" s="445">
        <f>B9*'Emission Factor'!$B$45/1000</f>
        <v>0</v>
      </c>
      <c r="D9" s="445">
        <f>B9*'Emission Factor'!$B$46/1000</f>
        <v>0</v>
      </c>
      <c r="E9" s="453">
        <f t="shared" si="0"/>
        <v>0</v>
      </c>
      <c r="F9" s="454">
        <f>'Monthly Paper Distribution'!P148</f>
        <v>18314.599999999999</v>
      </c>
      <c r="G9" s="454">
        <v>12168</v>
      </c>
      <c r="H9" s="453">
        <f t="shared" si="1"/>
        <v>29.503679999999992</v>
      </c>
      <c r="I9" s="344">
        <f t="shared" si="2"/>
        <v>29.503679999999992</v>
      </c>
    </row>
    <row r="10" spans="1:9" hidden="1" x14ac:dyDescent="0.2">
      <c r="A10" s="469" t="s">
        <v>202</v>
      </c>
      <c r="B10" s="466"/>
      <c r="C10" s="445">
        <f>B10*'Emission Factor'!$B$45/1000</f>
        <v>0</v>
      </c>
      <c r="D10" s="445">
        <f>B10*'Emission Factor'!$B$46/1000</f>
        <v>0</v>
      </c>
      <c r="E10" s="453">
        <f t="shared" si="0"/>
        <v>0</v>
      </c>
      <c r="F10" s="454">
        <f>'Monthly Paper Distribution'!P149</f>
        <v>16377.8</v>
      </c>
      <c r="G10" s="454">
        <v>12209</v>
      </c>
      <c r="H10" s="453">
        <f t="shared" si="1"/>
        <v>20.010239999999996</v>
      </c>
      <c r="I10" s="344">
        <f t="shared" si="2"/>
        <v>20.010239999999996</v>
      </c>
    </row>
    <row r="11" spans="1:9" hidden="1" x14ac:dyDescent="0.2">
      <c r="A11" s="469" t="s">
        <v>203</v>
      </c>
      <c r="B11" s="466"/>
      <c r="C11" s="445">
        <f>B11*'Emission Factor'!$B$45/1000</f>
        <v>0</v>
      </c>
      <c r="D11" s="445">
        <f>B11*'Emission Factor'!$B$46/1000</f>
        <v>0</v>
      </c>
      <c r="E11" s="453">
        <f t="shared" si="0"/>
        <v>0</v>
      </c>
      <c r="F11" s="454">
        <f>'Monthly Paper Distribution'!P150</f>
        <v>12113</v>
      </c>
      <c r="G11" s="454">
        <v>9418</v>
      </c>
      <c r="H11" s="453">
        <f t="shared" si="1"/>
        <v>12.936</v>
      </c>
      <c r="I11" s="344">
        <f t="shared" si="2"/>
        <v>12.936</v>
      </c>
    </row>
    <row r="12" spans="1:9" hidden="1" x14ac:dyDescent="0.2">
      <c r="A12" s="469" t="s">
        <v>204</v>
      </c>
      <c r="B12" s="466"/>
      <c r="C12" s="445">
        <f>B12*'Emission Factor'!$B$45/1000</f>
        <v>0</v>
      </c>
      <c r="D12" s="445">
        <f>B12*'Emission Factor'!$B$46/1000</f>
        <v>0</v>
      </c>
      <c r="E12" s="453">
        <f t="shared" si="0"/>
        <v>0</v>
      </c>
      <c r="F12" s="454">
        <f>'Monthly Paper Distribution'!P151</f>
        <v>13146.6</v>
      </c>
      <c r="G12" s="454">
        <v>10379</v>
      </c>
      <c r="H12" s="453">
        <f t="shared" si="1"/>
        <v>13.284480000000002</v>
      </c>
      <c r="I12" s="344">
        <f t="shared" si="2"/>
        <v>13.284480000000002</v>
      </c>
    </row>
    <row r="13" spans="1:9" hidden="1" x14ac:dyDescent="0.2">
      <c r="A13" s="469" t="s">
        <v>205</v>
      </c>
      <c r="B13" s="466"/>
      <c r="C13" s="445">
        <f>B13*'Emission Factor'!$B$45/1000</f>
        <v>0</v>
      </c>
      <c r="D13" s="445">
        <f>B13*'Emission Factor'!$B$46/1000</f>
        <v>0</v>
      </c>
      <c r="E13" s="453">
        <f t="shared" si="0"/>
        <v>0</v>
      </c>
      <c r="F13" s="454">
        <f>'Monthly Paper Distribution'!P152</f>
        <v>17890.599999999999</v>
      </c>
      <c r="G13" s="454">
        <v>11198</v>
      </c>
      <c r="H13" s="453">
        <f t="shared" si="1"/>
        <v>32.124479999999991</v>
      </c>
      <c r="I13" s="344">
        <f t="shared" si="2"/>
        <v>32.124479999999991</v>
      </c>
    </row>
    <row r="14" spans="1:9" hidden="1" x14ac:dyDescent="0.2">
      <c r="A14" s="469" t="s">
        <v>206</v>
      </c>
      <c r="B14" s="466"/>
      <c r="C14" s="445">
        <f>B14*'Emission Factor'!$B$45/1000</f>
        <v>0</v>
      </c>
      <c r="D14" s="445">
        <f>B14*'Emission Factor'!$B$46/1000</f>
        <v>0</v>
      </c>
      <c r="E14" s="453">
        <f t="shared" si="0"/>
        <v>0</v>
      </c>
      <c r="F14" s="454">
        <f>'Monthly Paper Distribution'!P153</f>
        <v>15096.2</v>
      </c>
      <c r="G14" s="454">
        <v>10871</v>
      </c>
      <c r="H14" s="453">
        <f t="shared" si="1"/>
        <v>20.280960000000004</v>
      </c>
      <c r="I14" s="344">
        <f t="shared" si="2"/>
        <v>20.280960000000004</v>
      </c>
    </row>
    <row r="15" spans="1:9" hidden="1" x14ac:dyDescent="0.2">
      <c r="A15" s="469" t="s">
        <v>207</v>
      </c>
      <c r="B15" s="466"/>
      <c r="C15" s="445">
        <f>B15*'Emission Factor'!$B$45/1000</f>
        <v>0</v>
      </c>
      <c r="D15" s="445">
        <f>B15*'Emission Factor'!$B$46/1000</f>
        <v>0</v>
      </c>
      <c r="E15" s="453">
        <f t="shared" si="0"/>
        <v>0</v>
      </c>
      <c r="F15" s="454">
        <f>'Monthly Paper Distribution'!P154</f>
        <v>15259.400000000001</v>
      </c>
      <c r="G15" s="454">
        <v>10533</v>
      </c>
      <c r="H15" s="453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69" t="s">
        <v>208</v>
      </c>
      <c r="B16" s="466">
        <f>'Annual Report (Water)'!J11</f>
        <v>470431.66599999997</v>
      </c>
      <c r="C16" s="445">
        <f>B16*'Emission Factor'!$B$45/1000</f>
        <v>201.34475304799997</v>
      </c>
      <c r="D16" s="445">
        <f>B16*'Emission Factor'!$B$46/1000</f>
        <v>98.790649859999988</v>
      </c>
      <c r="E16" s="453">
        <f t="shared" si="0"/>
        <v>300.13540290799995</v>
      </c>
      <c r="F16" s="454">
        <f>'Monthly Paper Distribution'!P155</f>
        <v>15911.8</v>
      </c>
      <c r="G16" s="455">
        <v>10392</v>
      </c>
      <c r="H16" s="453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0" t="s">
        <v>169</v>
      </c>
      <c r="B17" s="467">
        <f>'Annual Report (Water)'!J11</f>
        <v>470431.66599999997</v>
      </c>
      <c r="C17" s="445">
        <f>B17*'Emission Factor'!$B$45/1000</f>
        <v>201.34475304799997</v>
      </c>
      <c r="D17" s="445">
        <f>B17*'Emission Factor'!$B$46/1000</f>
        <v>98.790649859999988</v>
      </c>
      <c r="E17" s="445">
        <f>C17+D17</f>
        <v>300.13540290799995</v>
      </c>
      <c r="F17" s="445">
        <f>SUM(F5:F16)</f>
        <v>183834.8</v>
      </c>
      <c r="G17" s="445">
        <f>SUM(G5:G16)</f>
        <v>135592</v>
      </c>
      <c r="H17" s="445">
        <f>SUM(H5:H16)</f>
        <v>231.56543999999997</v>
      </c>
      <c r="I17" s="445">
        <f>SUM(I5:I16)</f>
        <v>531.70084290799991</v>
      </c>
    </row>
    <row r="18" spans="1:9" hidden="1" x14ac:dyDescent="0.2">
      <c r="A18" s="469" t="s">
        <v>197</v>
      </c>
      <c r="B18" s="466"/>
      <c r="C18" s="445">
        <f>B18*'Emission Factor'!$B$45/1000</f>
        <v>0</v>
      </c>
      <c r="D18" s="445">
        <f>B18*'Emission Factor'!$B$46/1000</f>
        <v>0</v>
      </c>
      <c r="E18" s="445">
        <f>C18+D18</f>
        <v>0</v>
      </c>
      <c r="F18" s="454">
        <f>'Monthly Paper Distribution'!P156</f>
        <v>11982.8</v>
      </c>
      <c r="G18" s="454">
        <f>'Raw Data (KG)'!E122</f>
        <v>10670</v>
      </c>
      <c r="H18" s="445">
        <f>((F18-G18)*4.8)/1000</f>
        <v>6.3014399999999959</v>
      </c>
      <c r="I18" s="344">
        <f>C18+D18+H18</f>
        <v>6.3014399999999959</v>
      </c>
    </row>
    <row r="19" spans="1:9" hidden="1" x14ac:dyDescent="0.2">
      <c r="A19" s="469" t="s">
        <v>198</v>
      </c>
      <c r="B19" s="466"/>
      <c r="C19" s="445">
        <f>B19*'Emission Factor'!$B$45/1000</f>
        <v>0</v>
      </c>
      <c r="D19" s="445">
        <f>B19*'Emission Factor'!$B$46/1000</f>
        <v>0</v>
      </c>
      <c r="E19" s="445">
        <f t="shared" ref="E19:E29" si="3">C19+D19</f>
        <v>0</v>
      </c>
      <c r="F19" s="454">
        <f>'Monthly Paper Distribution'!P157</f>
        <v>12947.8</v>
      </c>
      <c r="G19" s="454">
        <f>'Raw Data (KG)'!E123</f>
        <v>10732</v>
      </c>
      <c r="H19" s="445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69" t="s">
        <v>199</v>
      </c>
      <c r="B20" s="466"/>
      <c r="C20" s="445">
        <f>B20*'Emission Factor'!$B$45/1000</f>
        <v>0</v>
      </c>
      <c r="D20" s="445">
        <f>B20*'Emission Factor'!$B$46/1000</f>
        <v>0</v>
      </c>
      <c r="E20" s="445">
        <f t="shared" si="3"/>
        <v>0</v>
      </c>
      <c r="F20" s="454">
        <f>'Monthly Paper Distribution'!P158</f>
        <v>12120.3</v>
      </c>
      <c r="G20" s="454">
        <f>'Raw Data (KG)'!E124</f>
        <v>11135</v>
      </c>
      <c r="H20" s="445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69" t="s">
        <v>200</v>
      </c>
      <c r="B21" s="466"/>
      <c r="C21" s="445">
        <f>B21*'Emission Factor'!$B$45/1000</f>
        <v>0</v>
      </c>
      <c r="D21" s="445">
        <f>B21*'Emission Factor'!$B$46/1000</f>
        <v>0</v>
      </c>
      <c r="E21" s="445">
        <f t="shared" si="3"/>
        <v>0</v>
      </c>
      <c r="F21" s="454">
        <f>'Monthly Paper Distribution'!P159</f>
        <v>12455.3</v>
      </c>
      <c r="G21" s="454">
        <f>'Raw Data (KG)'!E125</f>
        <v>11304</v>
      </c>
      <c r="H21" s="445">
        <f>((F21-G21)*4.8)/1000</f>
        <v>5.526239999999996</v>
      </c>
      <c r="I21" s="344">
        <f t="shared" si="5"/>
        <v>5.526239999999996</v>
      </c>
    </row>
    <row r="22" spans="1:9" hidden="1" x14ac:dyDescent="0.2">
      <c r="A22" s="469" t="s">
        <v>201</v>
      </c>
      <c r="B22" s="466"/>
      <c r="C22" s="445">
        <f>B22*'Emission Factor'!$B$45/1000</f>
        <v>0</v>
      </c>
      <c r="D22" s="445">
        <f>B22*'Emission Factor'!$B$46/1000</f>
        <v>0</v>
      </c>
      <c r="E22" s="445">
        <f t="shared" si="3"/>
        <v>0</v>
      </c>
      <c r="F22" s="454">
        <f>'Monthly Paper Distribution'!P160</f>
        <v>18868.900000000001</v>
      </c>
      <c r="G22" s="454">
        <f>'Raw Data (KG)'!E126</f>
        <v>13460</v>
      </c>
      <c r="H22" s="445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69" t="s">
        <v>202</v>
      </c>
      <c r="B23" s="466"/>
      <c r="C23" s="445">
        <f>B23*'Emission Factor'!$B$45/1000</f>
        <v>0</v>
      </c>
      <c r="D23" s="445">
        <f>B23*'Emission Factor'!$B$46/1000</f>
        <v>0</v>
      </c>
      <c r="E23" s="445">
        <f t="shared" si="3"/>
        <v>0</v>
      </c>
      <c r="F23" s="454">
        <f>'Monthly Paper Distribution'!P161</f>
        <v>15873.8</v>
      </c>
      <c r="G23" s="454">
        <f>'Raw Data (KG)'!E127</f>
        <v>13442</v>
      </c>
      <c r="H23" s="445">
        <f t="shared" si="6"/>
        <v>11.672639999999996</v>
      </c>
      <c r="I23" s="344">
        <f t="shared" si="5"/>
        <v>11.672639999999996</v>
      </c>
    </row>
    <row r="24" spans="1:9" hidden="1" x14ac:dyDescent="0.2">
      <c r="A24" s="469" t="s">
        <v>203</v>
      </c>
      <c r="B24" s="466"/>
      <c r="C24" s="445">
        <f>B24*'Emission Factor'!$B$45/1000</f>
        <v>0</v>
      </c>
      <c r="D24" s="445">
        <f>B24*'Emission Factor'!$B$46/1000</f>
        <v>0</v>
      </c>
      <c r="E24" s="445">
        <f t="shared" si="3"/>
        <v>0</v>
      </c>
      <c r="F24" s="454">
        <f>'Monthly Paper Distribution'!P162</f>
        <v>13304.6</v>
      </c>
      <c r="G24" s="454">
        <f>'Raw Data (KG)'!E128</f>
        <v>13416</v>
      </c>
      <c r="H24" s="445">
        <f t="shared" si="6"/>
        <v>-0.5347199999999982</v>
      </c>
      <c r="I24" s="344">
        <f t="shared" si="5"/>
        <v>-0.5347199999999982</v>
      </c>
    </row>
    <row r="25" spans="1:9" hidden="1" x14ac:dyDescent="0.2">
      <c r="A25" s="469" t="s">
        <v>204</v>
      </c>
      <c r="B25" s="466"/>
      <c r="C25" s="445">
        <f>B25*'Emission Factor'!$B$45/1000</f>
        <v>0</v>
      </c>
      <c r="D25" s="445">
        <f>B25*'Emission Factor'!$B$46/1000</f>
        <v>0</v>
      </c>
      <c r="E25" s="445">
        <f t="shared" si="3"/>
        <v>0</v>
      </c>
      <c r="F25" s="454">
        <f>'Monthly Paper Distribution'!P163</f>
        <v>13043.900000000001</v>
      </c>
      <c r="G25" s="454">
        <f>'Raw Data (KG)'!E129</f>
        <v>12589</v>
      </c>
      <c r="H25" s="445">
        <f t="shared" si="6"/>
        <v>2.1835200000000068</v>
      </c>
      <c r="I25" s="344">
        <f t="shared" si="5"/>
        <v>2.1835200000000068</v>
      </c>
    </row>
    <row r="26" spans="1:9" hidden="1" x14ac:dyDescent="0.2">
      <c r="A26" s="469" t="s">
        <v>205</v>
      </c>
      <c r="B26" s="466"/>
      <c r="C26" s="445">
        <f>B26*'Emission Factor'!$B$45/1000</f>
        <v>0</v>
      </c>
      <c r="D26" s="445">
        <f>B26*'Emission Factor'!$B$46/1000</f>
        <v>0</v>
      </c>
      <c r="E26" s="445">
        <f t="shared" si="3"/>
        <v>0</v>
      </c>
      <c r="F26" s="454">
        <f>'Monthly Paper Distribution'!P164</f>
        <v>16142.900000000001</v>
      </c>
      <c r="G26" s="454">
        <f>'Raw Data (KG)'!E130</f>
        <v>13346</v>
      </c>
      <c r="H26" s="445">
        <f t="shared" si="6"/>
        <v>13.425120000000007</v>
      </c>
      <c r="I26" s="344">
        <f t="shared" si="5"/>
        <v>13.425120000000007</v>
      </c>
    </row>
    <row r="27" spans="1:9" hidden="1" x14ac:dyDescent="0.2">
      <c r="A27" s="469" t="s">
        <v>206</v>
      </c>
      <c r="B27" s="466"/>
      <c r="C27" s="445">
        <f>B27*'Emission Factor'!$B$45/1000</f>
        <v>0</v>
      </c>
      <c r="D27" s="445">
        <f>B27*'Emission Factor'!$B$46/1000</f>
        <v>0</v>
      </c>
      <c r="E27" s="445">
        <f t="shared" si="3"/>
        <v>0</v>
      </c>
      <c r="F27" s="454">
        <f>'Monthly Paper Distribution'!P165</f>
        <v>13279.400000000001</v>
      </c>
      <c r="G27" s="454">
        <f>'Raw Data (KG)'!E131</f>
        <v>12371</v>
      </c>
      <c r="H27" s="445">
        <f t="shared" si="6"/>
        <v>4.3603200000000069</v>
      </c>
      <c r="I27" s="344">
        <f t="shared" si="5"/>
        <v>4.3603200000000069</v>
      </c>
    </row>
    <row r="28" spans="1:9" hidden="1" x14ac:dyDescent="0.2">
      <c r="A28" s="469" t="s">
        <v>207</v>
      </c>
      <c r="B28" s="466"/>
      <c r="C28" s="445">
        <f>B28*'Emission Factor'!$B$45/1000</f>
        <v>0</v>
      </c>
      <c r="D28" s="445">
        <f>B28*'Emission Factor'!$B$46/1000</f>
        <v>0</v>
      </c>
      <c r="E28" s="445">
        <f t="shared" si="3"/>
        <v>0</v>
      </c>
      <c r="F28" s="454">
        <f>'Monthly Paper Distribution'!P166</f>
        <v>19024.400000000001</v>
      </c>
      <c r="G28" s="454">
        <f>'Raw Data (KG)'!E132</f>
        <v>13434</v>
      </c>
      <c r="H28" s="445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69" t="s">
        <v>208</v>
      </c>
      <c r="B29" s="466">
        <f>'Annual Report (Water)'!J12</f>
        <v>463486</v>
      </c>
      <c r="C29" s="445">
        <f>B29*'Emission Factor'!$B$45/1000</f>
        <v>198.37200799999999</v>
      </c>
      <c r="D29" s="445">
        <f>B29*'Emission Factor'!$B$46/1000</f>
        <v>97.332059999999998</v>
      </c>
      <c r="E29" s="445">
        <f t="shared" si="3"/>
        <v>295.70406800000001</v>
      </c>
      <c r="F29" s="454">
        <f>'Monthly Paper Distribution'!P167</f>
        <v>9496.9</v>
      </c>
      <c r="G29" s="454">
        <f>'Raw Data (KG)'!E133</f>
        <v>12778</v>
      </c>
      <c r="H29" s="445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0" t="s">
        <v>170</v>
      </c>
      <c r="B30" s="467">
        <f>'Annual Report (Water)'!J12</f>
        <v>463486</v>
      </c>
      <c r="C30" s="445">
        <f>B30*'Emission Factor'!$B$45/1000</f>
        <v>198.37200799999999</v>
      </c>
      <c r="D30" s="445">
        <f>B30*'Emission Factor'!$B$46/1000</f>
        <v>97.332059999999998</v>
      </c>
      <c r="E30" s="445">
        <f>C30+D30</f>
        <v>295.70406800000001</v>
      </c>
      <c r="F30" s="445">
        <f>SUM(F18:F29)</f>
        <v>168541</v>
      </c>
      <c r="G30" s="445">
        <f>SUM(G18:G29)</f>
        <v>148677</v>
      </c>
      <c r="H30" s="445">
        <f>SUM(H18:H29)</f>
        <v>95.347200000000015</v>
      </c>
      <c r="I30" s="445">
        <f>SUM(I18:I29)</f>
        <v>391.05126800000005</v>
      </c>
    </row>
    <row r="31" spans="1:9" hidden="1" x14ac:dyDescent="0.2">
      <c r="A31" s="469" t="s">
        <v>197</v>
      </c>
      <c r="B31" s="466"/>
      <c r="C31" s="445">
        <f>B31*'Emission Factor'!$B$45/1000</f>
        <v>0</v>
      </c>
      <c r="D31" s="445">
        <f>B31*'Emission Factor'!$B$46/1000</f>
        <v>0</v>
      </c>
      <c r="E31" s="445">
        <f>C31+D31</f>
        <v>0</v>
      </c>
      <c r="F31" s="454">
        <f>'Monthly Paper Distribution'!P168</f>
        <v>11543.900000000001</v>
      </c>
      <c r="G31" s="454">
        <f>'Raw Data (KG)'!E134</f>
        <v>12412</v>
      </c>
      <c r="H31" s="445">
        <f>((F31-G31)*4.8)/1000</f>
        <v>-4.1668799999999928</v>
      </c>
      <c r="I31" s="344">
        <f>C31+D31+H31</f>
        <v>-4.1668799999999928</v>
      </c>
    </row>
    <row r="32" spans="1:9" hidden="1" x14ac:dyDescent="0.2">
      <c r="A32" s="469" t="s">
        <v>198</v>
      </c>
      <c r="B32" s="466"/>
      <c r="C32" s="445">
        <f>B32*'Emission Factor'!$B$45/1000</f>
        <v>0</v>
      </c>
      <c r="D32" s="445">
        <f>B32*'Emission Factor'!$B$46/1000</f>
        <v>0</v>
      </c>
      <c r="E32" s="445">
        <f t="shared" ref="E32:E42" si="7">C32+D32</f>
        <v>0</v>
      </c>
      <c r="F32" s="454">
        <f>'Monthly Paper Distribution'!P169</f>
        <v>13710.6</v>
      </c>
      <c r="G32" s="454">
        <f>'Raw Data (KG)'!E135</f>
        <v>13553</v>
      </c>
      <c r="H32" s="445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69" t="s">
        <v>199</v>
      </c>
      <c r="B33" s="466"/>
      <c r="C33" s="445">
        <f>B33*'Emission Factor'!$B$45/1000</f>
        <v>0</v>
      </c>
      <c r="D33" s="445">
        <f>B33*'Emission Factor'!$B$46/1000</f>
        <v>0</v>
      </c>
      <c r="E33" s="445">
        <f t="shared" si="7"/>
        <v>0</v>
      </c>
      <c r="F33" s="454">
        <f>'Monthly Paper Distribution'!P170</f>
        <v>14094.5</v>
      </c>
      <c r="G33" s="454">
        <f>'Raw Data (KG)'!E136</f>
        <v>13355</v>
      </c>
      <c r="H33" s="445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69" t="s">
        <v>200</v>
      </c>
      <c r="B34" s="466"/>
      <c r="C34" s="445">
        <f>B34*'Emission Factor'!$B$45/1000</f>
        <v>0</v>
      </c>
      <c r="D34" s="445">
        <f>B34*'Emission Factor'!$B$46/1000</f>
        <v>0</v>
      </c>
      <c r="E34" s="445">
        <f t="shared" si="7"/>
        <v>0</v>
      </c>
      <c r="F34" s="454">
        <f>'Monthly Paper Distribution'!P171</f>
        <v>18652</v>
      </c>
      <c r="G34" s="454">
        <f>'Raw Data (KG)'!E137</f>
        <v>14395</v>
      </c>
      <c r="H34" s="445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69" t="s">
        <v>201</v>
      </c>
      <c r="B35" s="466"/>
      <c r="C35" s="445">
        <f>B35*'Emission Factor'!$B$45/1000</f>
        <v>0</v>
      </c>
      <c r="D35" s="445">
        <f>B35*'Emission Factor'!$B$46/1000</f>
        <v>0</v>
      </c>
      <c r="E35" s="445">
        <f t="shared" si="7"/>
        <v>0</v>
      </c>
      <c r="F35" s="454">
        <f>'Monthly Paper Distribution'!P172</f>
        <v>15152.7</v>
      </c>
      <c r="G35" s="454">
        <f>'Raw Data (KG)'!E138</f>
        <v>13980</v>
      </c>
      <c r="H35" s="445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69" t="s">
        <v>202</v>
      </c>
      <c r="B36" s="466"/>
      <c r="C36" s="445">
        <f>B36*'Emission Factor'!$B$45/1000</f>
        <v>0</v>
      </c>
      <c r="D36" s="445">
        <f>B36*'Emission Factor'!$B$46/1000</f>
        <v>0</v>
      </c>
      <c r="E36" s="445">
        <f t="shared" si="7"/>
        <v>0</v>
      </c>
      <c r="F36" s="454">
        <f>'Monthly Paper Distribution'!P173</f>
        <v>14050.1</v>
      </c>
      <c r="G36" s="454">
        <f>'Raw Data (KG)'!E139</f>
        <v>13076</v>
      </c>
      <c r="H36" s="445">
        <f t="shared" si="10"/>
        <v>4.6756800000000016</v>
      </c>
      <c r="I36" s="344">
        <f t="shared" si="9"/>
        <v>4.6756800000000016</v>
      </c>
    </row>
    <row r="37" spans="1:11" hidden="1" x14ac:dyDescent="0.2">
      <c r="A37" s="469" t="s">
        <v>203</v>
      </c>
      <c r="B37" s="466"/>
      <c r="C37" s="445">
        <f>B37*'Emission Factor'!$B$45/1000</f>
        <v>0</v>
      </c>
      <c r="D37" s="445">
        <f>B37*'Emission Factor'!$B$46/1000</f>
        <v>0</v>
      </c>
      <c r="E37" s="445">
        <f t="shared" si="7"/>
        <v>0</v>
      </c>
      <c r="F37" s="454">
        <f>'Monthly Paper Distribution'!P174</f>
        <v>12611.8</v>
      </c>
      <c r="G37" s="454">
        <f>'Raw Data (KG)'!E140</f>
        <v>12180</v>
      </c>
      <c r="H37" s="445">
        <f t="shared" si="10"/>
        <v>2.0726399999999963</v>
      </c>
      <c r="I37" s="344">
        <f t="shared" si="9"/>
        <v>2.0726399999999963</v>
      </c>
    </row>
    <row r="38" spans="1:11" hidden="1" x14ac:dyDescent="0.2">
      <c r="A38" s="469" t="s">
        <v>204</v>
      </c>
      <c r="B38" s="466"/>
      <c r="C38" s="445">
        <f>B38*'Emission Factor'!$B$45/1000</f>
        <v>0</v>
      </c>
      <c r="D38" s="445">
        <f>B38*'Emission Factor'!$B$46/1000</f>
        <v>0</v>
      </c>
      <c r="E38" s="445">
        <f t="shared" si="7"/>
        <v>0</v>
      </c>
      <c r="F38" s="454">
        <f>'Monthly Paper Distribution'!P175</f>
        <v>13994.2</v>
      </c>
      <c r="G38" s="454">
        <f>'Raw Data (KG)'!E141</f>
        <v>12819</v>
      </c>
      <c r="H38" s="445">
        <f t="shared" si="10"/>
        <v>5.6409600000000033</v>
      </c>
      <c r="I38" s="344">
        <f t="shared" si="9"/>
        <v>5.6409600000000033</v>
      </c>
    </row>
    <row r="39" spans="1:11" hidden="1" x14ac:dyDescent="0.2">
      <c r="A39" s="469" t="s">
        <v>205</v>
      </c>
      <c r="B39" s="466"/>
      <c r="C39" s="445">
        <f>B39*'Emission Factor'!$B$45/1000</f>
        <v>0</v>
      </c>
      <c r="D39" s="445">
        <f>B39*'Emission Factor'!$B$46/1000</f>
        <v>0</v>
      </c>
      <c r="E39" s="445">
        <f t="shared" si="7"/>
        <v>0</v>
      </c>
      <c r="F39" s="454">
        <f>'Monthly Paper Distribution'!P176</f>
        <v>14579.8</v>
      </c>
      <c r="G39" s="454">
        <f>'Raw Data (KG)'!E142</f>
        <v>13802</v>
      </c>
      <c r="H39" s="445">
        <f t="shared" si="10"/>
        <v>3.7334399999999963</v>
      </c>
      <c r="I39" s="344">
        <f t="shared" si="9"/>
        <v>3.7334399999999963</v>
      </c>
    </row>
    <row r="40" spans="1:11" hidden="1" x14ac:dyDescent="0.2">
      <c r="A40" s="469" t="s">
        <v>206</v>
      </c>
      <c r="B40" s="466"/>
      <c r="C40" s="445">
        <f>B40*'Emission Factor'!$B$45/1000</f>
        <v>0</v>
      </c>
      <c r="D40" s="445">
        <f>B40*'Emission Factor'!$B$46/1000</f>
        <v>0</v>
      </c>
      <c r="E40" s="445">
        <f t="shared" si="7"/>
        <v>0</v>
      </c>
      <c r="F40" s="454">
        <f>'Monthly Paper Distribution'!P177</f>
        <v>16071.3</v>
      </c>
      <c r="G40" s="454">
        <f>'Raw Data (KG)'!E143</f>
        <v>13793</v>
      </c>
      <c r="H40" s="445">
        <f t="shared" si="10"/>
        <v>10.935839999999997</v>
      </c>
      <c r="I40" s="344">
        <f t="shared" si="9"/>
        <v>10.935839999999997</v>
      </c>
    </row>
    <row r="41" spans="1:11" hidden="1" x14ac:dyDescent="0.2">
      <c r="A41" s="469" t="s">
        <v>207</v>
      </c>
      <c r="B41" s="466"/>
      <c r="C41" s="445">
        <f>B41*'Emission Factor'!$B$45/1000</f>
        <v>0</v>
      </c>
      <c r="D41" s="445">
        <f>B41*'Emission Factor'!$B$46/1000</f>
        <v>0</v>
      </c>
      <c r="E41" s="445">
        <f t="shared" si="7"/>
        <v>0</v>
      </c>
      <c r="F41" s="454">
        <f>'Monthly Paper Distribution'!P178</f>
        <v>15131.5</v>
      </c>
      <c r="G41" s="454">
        <f>'Raw Data (KG)'!E144</f>
        <v>13599</v>
      </c>
      <c r="H41" s="445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69" t="s">
        <v>208</v>
      </c>
      <c r="B42" s="466">
        <f>'Annual Report (Water)'!J13</f>
        <v>483991.82679999998</v>
      </c>
      <c r="C42" s="445">
        <f>B42*'Emission Factor (new)'!B45/1000</f>
        <v>123.90190766080001</v>
      </c>
      <c r="D42" s="445">
        <f>B42*'Emission Factor (new)'!B46/1000</f>
        <v>106.478201896</v>
      </c>
      <c r="E42" s="445">
        <f t="shared" si="7"/>
        <v>230.38010955679999</v>
      </c>
      <c r="F42" s="454">
        <f>'Monthly Paper Distribution'!P179</f>
        <v>11494.8</v>
      </c>
      <c r="G42" s="454">
        <f>'Raw Data (KG)'!E145</f>
        <v>12886</v>
      </c>
      <c r="H42" s="445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0" t="s">
        <v>171</v>
      </c>
      <c r="B43" s="467">
        <f>'Annual Report (Water)'!J13</f>
        <v>483991.82679999998</v>
      </c>
      <c r="C43" s="445">
        <f>B43*'Emission Factor (new)'!B45/1000</f>
        <v>123.90190766080001</v>
      </c>
      <c r="D43" s="445">
        <f>B43*'Emission Factor (new)'!B46/1000</f>
        <v>106.478201896</v>
      </c>
      <c r="E43" s="445">
        <f>C43+D43</f>
        <v>230.38010955679999</v>
      </c>
      <c r="F43" s="445">
        <f>SUM(F31:F42)</f>
        <v>171087.19999999998</v>
      </c>
      <c r="G43" s="445">
        <f>SUM(G31:G42)</f>
        <v>159850</v>
      </c>
      <c r="H43" s="445">
        <f>SUM(H31:H42)</f>
        <v>53.93856000000001</v>
      </c>
      <c r="I43" s="495">
        <f>E43+H43</f>
        <v>284.31866955679999</v>
      </c>
      <c r="J43" s="15"/>
    </row>
    <row r="45" spans="1:11" x14ac:dyDescent="0.2">
      <c r="B45" s="15"/>
      <c r="E45" s="494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209</v>
      </c>
      <c r="C1" s="65" t="s">
        <v>210</v>
      </c>
      <c r="D1" s="65" t="s">
        <v>211</v>
      </c>
      <c r="E1" s="65" t="s">
        <v>50</v>
      </c>
      <c r="F1" s="65" t="s">
        <v>212</v>
      </c>
      <c r="G1" s="65" t="s">
        <v>213</v>
      </c>
      <c r="H1" s="65" t="s">
        <v>214</v>
      </c>
      <c r="I1" s="65" t="s">
        <v>215</v>
      </c>
      <c r="J1" s="65" t="s">
        <v>216</v>
      </c>
    </row>
    <row r="2" spans="1:12" x14ac:dyDescent="0.2">
      <c r="A2" s="98" t="s">
        <v>133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134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135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217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0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1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1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1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1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1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1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1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2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3">
        <v>587292</v>
      </c>
      <c r="I15" s="214">
        <f t="shared" si="3"/>
        <v>1.8253443998376109</v>
      </c>
      <c r="J15" s="492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3">
        <v>587292</v>
      </c>
      <c r="I16" s="214">
        <f>E16/G16</f>
        <v>1.735691232425318</v>
      </c>
      <c r="J16" s="492">
        <f>(E16*10)/H16</f>
        <v>0.70566429572715639</v>
      </c>
    </row>
    <row r="17" spans="1:9" x14ac:dyDescent="0.2">
      <c r="A17" s="98" t="s">
        <v>111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1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218</v>
      </c>
    </row>
    <row r="4" spans="1:16" x14ac:dyDescent="0.2">
      <c r="A4" s="106" t="s">
        <v>219</v>
      </c>
    </row>
    <row r="5" spans="1:16" x14ac:dyDescent="0.2">
      <c r="B5" s="667" t="s">
        <v>220</v>
      </c>
      <c r="C5" s="667"/>
      <c r="D5" s="669" t="s">
        <v>221</v>
      </c>
      <c r="E5" s="670"/>
      <c r="F5" s="670"/>
      <c r="G5" s="671"/>
      <c r="H5" s="667" t="s">
        <v>222</v>
      </c>
      <c r="I5" s="667"/>
      <c r="J5" s="667"/>
      <c r="K5" s="667"/>
      <c r="L5" s="667" t="s">
        <v>223</v>
      </c>
      <c r="M5" s="667"/>
    </row>
    <row r="6" spans="1:16" x14ac:dyDescent="0.2">
      <c r="B6" s="667"/>
      <c r="C6" s="667"/>
      <c r="D6" s="667" t="s">
        <v>221</v>
      </c>
      <c r="E6" s="667"/>
      <c r="F6" s="667" t="s">
        <v>224</v>
      </c>
      <c r="G6" s="667"/>
      <c r="H6" s="107"/>
      <c r="I6" s="107" t="s">
        <v>222</v>
      </c>
      <c r="J6" s="667" t="s">
        <v>225</v>
      </c>
      <c r="K6" s="667"/>
      <c r="L6" s="667"/>
      <c r="M6" s="667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7" t="s">
        <v>220</v>
      </c>
      <c r="C13" s="667"/>
      <c r="D13" s="669" t="s">
        <v>221</v>
      </c>
      <c r="E13" s="670"/>
      <c r="F13" s="670"/>
      <c r="G13" s="671"/>
      <c r="H13" s="667" t="s">
        <v>222</v>
      </c>
      <c r="I13" s="667"/>
      <c r="J13" s="667"/>
      <c r="K13" s="667"/>
      <c r="L13" s="667" t="s">
        <v>223</v>
      </c>
      <c r="M13" s="667"/>
    </row>
    <row r="14" spans="1:16" x14ac:dyDescent="0.2">
      <c r="B14" s="667"/>
      <c r="C14" s="667"/>
      <c r="D14" s="667" t="s">
        <v>221</v>
      </c>
      <c r="E14" s="667"/>
      <c r="F14" s="667" t="s">
        <v>224</v>
      </c>
      <c r="G14" s="667"/>
      <c r="H14" s="107"/>
      <c r="I14" s="107" t="s">
        <v>222</v>
      </c>
      <c r="J14" s="667" t="s">
        <v>225</v>
      </c>
      <c r="K14" s="667"/>
      <c r="L14" s="667"/>
      <c r="M14" s="667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7" t="s">
        <v>220</v>
      </c>
      <c r="C19" s="667"/>
      <c r="D19" s="669" t="s">
        <v>221</v>
      </c>
      <c r="E19" s="670"/>
      <c r="F19" s="670"/>
      <c r="G19" s="671"/>
      <c r="H19" s="667" t="s">
        <v>222</v>
      </c>
      <c r="I19" s="667"/>
      <c r="J19" s="667"/>
      <c r="K19" s="667"/>
      <c r="L19" s="667" t="s">
        <v>223</v>
      </c>
      <c r="M19" s="667"/>
    </row>
    <row r="20" spans="1:16" x14ac:dyDescent="0.2">
      <c r="B20" s="667"/>
      <c r="C20" s="667"/>
      <c r="D20" s="667" t="s">
        <v>221</v>
      </c>
      <c r="E20" s="667"/>
      <c r="F20" s="667" t="s">
        <v>224</v>
      </c>
      <c r="G20" s="667"/>
      <c r="H20" s="107"/>
      <c r="I20" s="107" t="s">
        <v>222</v>
      </c>
      <c r="J20" s="667" t="s">
        <v>225</v>
      </c>
      <c r="K20" s="667"/>
      <c r="L20" s="667"/>
      <c r="M20" s="667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7" t="s">
        <v>220</v>
      </c>
      <c r="C25" s="667"/>
      <c r="D25" s="669" t="s">
        <v>221</v>
      </c>
      <c r="E25" s="670"/>
      <c r="F25" s="670"/>
      <c r="G25" s="671"/>
      <c r="H25" s="667" t="s">
        <v>222</v>
      </c>
      <c r="I25" s="667"/>
      <c r="J25" s="667"/>
      <c r="K25" s="667"/>
      <c r="L25" s="667" t="s">
        <v>223</v>
      </c>
      <c r="M25" s="667"/>
    </row>
    <row r="26" spans="1:16" x14ac:dyDescent="0.2">
      <c r="B26" s="667"/>
      <c r="C26" s="667"/>
      <c r="D26" s="667" t="s">
        <v>221</v>
      </c>
      <c r="E26" s="667"/>
      <c r="F26" s="667" t="s">
        <v>224</v>
      </c>
      <c r="G26" s="667"/>
      <c r="H26" s="107"/>
      <c r="I26" s="107" t="s">
        <v>222</v>
      </c>
      <c r="J26" s="667" t="s">
        <v>225</v>
      </c>
      <c r="K26" s="667"/>
      <c r="L26" s="667"/>
      <c r="M26" s="667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3" x14ac:dyDescent="0.2">
      <c r="A33" s="8" t="s">
        <v>246</v>
      </c>
      <c r="B33" s="8">
        <v>1725</v>
      </c>
    </row>
    <row r="34" spans="1:23" x14ac:dyDescent="0.2">
      <c r="A34" s="8" t="s">
        <v>247</v>
      </c>
      <c r="B34" s="8">
        <v>1526</v>
      </c>
      <c r="D34" s="8" t="s">
        <v>248</v>
      </c>
    </row>
    <row r="35" spans="1:23" x14ac:dyDescent="0.2">
      <c r="A35" s="8" t="s">
        <v>249</v>
      </c>
      <c r="B35" s="8">
        <v>22800</v>
      </c>
      <c r="D35" s="8" t="s">
        <v>250</v>
      </c>
    </row>
    <row r="36" spans="1:23" x14ac:dyDescent="0.2">
      <c r="R36" s="555"/>
      <c r="S36" s="555"/>
      <c r="T36" s="555"/>
    </row>
    <row r="37" spans="1:23" x14ac:dyDescent="0.2">
      <c r="A37" s="106" t="s">
        <v>251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67" t="s">
        <v>223</v>
      </c>
      <c r="C38" s="667"/>
      <c r="D38" s="6" t="s">
        <v>252</v>
      </c>
      <c r="F38" s="471" t="s">
        <v>223</v>
      </c>
      <c r="G38" s="471"/>
      <c r="H38" s="471"/>
      <c r="I38" s="471"/>
      <c r="J38" s="471"/>
      <c r="K38" s="471"/>
      <c r="L38" s="471"/>
      <c r="M38" s="471"/>
      <c r="N38" s="471"/>
    </row>
    <row r="39" spans="1:23" x14ac:dyDescent="0.2">
      <c r="A39" s="6" t="s">
        <v>31</v>
      </c>
      <c r="B39" s="108">
        <v>0.38</v>
      </c>
      <c r="C39" s="6" t="s">
        <v>253</v>
      </c>
      <c r="D39" s="108">
        <v>2024</v>
      </c>
      <c r="F39" s="472">
        <v>0.54</v>
      </c>
      <c r="G39" s="472">
        <v>0.59</v>
      </c>
      <c r="H39" s="472">
        <v>0.57999999999999996</v>
      </c>
      <c r="I39" s="472">
        <v>0.63</v>
      </c>
      <c r="J39" s="472">
        <v>0.64</v>
      </c>
      <c r="K39" s="472">
        <v>0.54</v>
      </c>
      <c r="L39" s="472">
        <v>0.54</v>
      </c>
      <c r="M39" s="472">
        <v>0.51</v>
      </c>
      <c r="N39" s="472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254</v>
      </c>
    </row>
    <row r="40" spans="1:23" x14ac:dyDescent="0.2">
      <c r="A40" s="6" t="s">
        <v>231</v>
      </c>
      <c r="B40" s="108">
        <v>0.54800000000000004</v>
      </c>
      <c r="C40" s="6" t="s">
        <v>255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256</v>
      </c>
      <c r="W40" s="8" t="s">
        <v>257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258</v>
      </c>
    </row>
    <row r="44" spans="1:23" x14ac:dyDescent="0.2">
      <c r="B44" s="668" t="s">
        <v>223</v>
      </c>
      <c r="C44" s="668"/>
      <c r="D44" s="111" t="s">
        <v>252</v>
      </c>
      <c r="F44" s="474" t="s">
        <v>223</v>
      </c>
      <c r="G44" s="474"/>
      <c r="H44" s="474"/>
      <c r="I44" s="474"/>
      <c r="J44" s="474"/>
      <c r="K44" s="474"/>
      <c r="L44" s="474"/>
      <c r="M44" s="474"/>
      <c r="N44" s="474"/>
      <c r="O44" s="474"/>
    </row>
    <row r="45" spans="1:23" x14ac:dyDescent="0.2">
      <c r="A45" s="6" t="s">
        <v>259</v>
      </c>
      <c r="B45" s="108">
        <v>0.25600000000000001</v>
      </c>
      <c r="C45" s="6" t="s">
        <v>260</v>
      </c>
      <c r="D45" s="108">
        <v>2024</v>
      </c>
      <c r="F45" s="472">
        <v>0.42399999999999999</v>
      </c>
      <c r="G45" s="472">
        <v>0.41499999999999998</v>
      </c>
      <c r="H45" s="473">
        <v>0.44</v>
      </c>
      <c r="I45" s="473">
        <v>0.41</v>
      </c>
      <c r="J45" s="472">
        <v>0.39800000000000002</v>
      </c>
      <c r="K45" s="472">
        <v>0.40699999999999997</v>
      </c>
      <c r="L45" s="472">
        <v>0.40200000000000002</v>
      </c>
      <c r="M45" s="472">
        <v>0.40300000000000002</v>
      </c>
      <c r="N45" s="472">
        <v>0.40400000000000003</v>
      </c>
      <c r="O45" s="472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261</v>
      </c>
    </row>
    <row r="46" spans="1:23" x14ac:dyDescent="0.2">
      <c r="A46" s="6" t="s">
        <v>262</v>
      </c>
      <c r="B46" s="114">
        <v>0.22</v>
      </c>
      <c r="C46" s="6" t="s">
        <v>260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263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B5:C6"/>
    <mergeCell ref="D5:G5"/>
    <mergeCell ref="H5:K5"/>
    <mergeCell ref="L5:M6"/>
    <mergeCell ref="D6:E6"/>
    <mergeCell ref="F6:G6"/>
    <mergeCell ref="J6:K6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44:C44"/>
    <mergeCell ref="B25:C26"/>
    <mergeCell ref="D25:G25"/>
    <mergeCell ref="H25:K25"/>
    <mergeCell ref="B19:C20"/>
    <mergeCell ref="D19:G19"/>
    <mergeCell ref="H19:K19"/>
    <mergeCell ref="L25:M26"/>
    <mergeCell ref="D26:E26"/>
    <mergeCell ref="F26:G26"/>
    <mergeCell ref="J26:K26"/>
    <mergeCell ref="B38:C38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72" t="s">
        <v>268</v>
      </c>
      <c r="D1" s="672"/>
      <c r="E1" s="672"/>
      <c r="F1" s="672"/>
      <c r="G1" s="672"/>
      <c r="H1" s="672"/>
      <c r="I1" s="672"/>
      <c r="J1" s="672"/>
      <c r="K1" s="672"/>
      <c r="L1" s="672"/>
      <c r="M1" s="672"/>
    </row>
    <row r="2" spans="1:16" s="53" customFormat="1" x14ac:dyDescent="0.2">
      <c r="A2" s="53" t="s">
        <v>218</v>
      </c>
      <c r="C2" s="672"/>
      <c r="D2" s="672"/>
      <c r="E2" s="672"/>
      <c r="F2" s="672"/>
      <c r="G2" s="672"/>
      <c r="H2" s="672"/>
      <c r="I2" s="672"/>
      <c r="J2" s="672"/>
      <c r="K2" s="672"/>
      <c r="L2" s="672"/>
      <c r="M2" s="672"/>
    </row>
    <row r="3" spans="1:16" x14ac:dyDescent="0.2">
      <c r="C3" s="672"/>
      <c r="D3" s="672"/>
      <c r="E3" s="672"/>
      <c r="F3" s="672"/>
      <c r="G3" s="672"/>
      <c r="H3" s="672"/>
      <c r="I3" s="672"/>
      <c r="J3" s="672"/>
      <c r="K3" s="672"/>
      <c r="L3" s="672"/>
      <c r="M3" s="672"/>
    </row>
    <row r="4" spans="1:16" x14ac:dyDescent="0.2">
      <c r="A4" s="106" t="s">
        <v>219</v>
      </c>
    </row>
    <row r="5" spans="1:16" x14ac:dyDescent="0.2">
      <c r="B5" s="667" t="s">
        <v>220</v>
      </c>
      <c r="C5" s="667"/>
      <c r="D5" s="669" t="s">
        <v>221</v>
      </c>
      <c r="E5" s="670"/>
      <c r="F5" s="670"/>
      <c r="G5" s="671"/>
      <c r="H5" s="667" t="s">
        <v>222</v>
      </c>
      <c r="I5" s="667"/>
      <c r="J5" s="667"/>
      <c r="K5" s="667"/>
      <c r="L5" s="667" t="s">
        <v>223</v>
      </c>
      <c r="M5" s="667"/>
    </row>
    <row r="6" spans="1:16" x14ac:dyDescent="0.2">
      <c r="B6" s="667"/>
      <c r="C6" s="667"/>
      <c r="D6" s="667" t="s">
        <v>221</v>
      </c>
      <c r="E6" s="667"/>
      <c r="F6" s="667" t="s">
        <v>224</v>
      </c>
      <c r="G6" s="667"/>
      <c r="H6" s="107"/>
      <c r="I6" s="107" t="s">
        <v>222</v>
      </c>
      <c r="J6" s="667" t="s">
        <v>225</v>
      </c>
      <c r="K6" s="667"/>
      <c r="L6" s="667"/>
      <c r="M6" s="667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7" t="s">
        <v>220</v>
      </c>
      <c r="C13" s="667"/>
      <c r="D13" s="669" t="s">
        <v>221</v>
      </c>
      <c r="E13" s="670"/>
      <c r="F13" s="670"/>
      <c r="G13" s="671"/>
      <c r="H13" s="667" t="s">
        <v>222</v>
      </c>
      <c r="I13" s="667"/>
      <c r="J13" s="667"/>
      <c r="K13" s="667"/>
      <c r="L13" s="667" t="s">
        <v>223</v>
      </c>
      <c r="M13" s="667"/>
    </row>
    <row r="14" spans="1:16" x14ac:dyDescent="0.2">
      <c r="B14" s="667"/>
      <c r="C14" s="667"/>
      <c r="D14" s="667" t="s">
        <v>221</v>
      </c>
      <c r="E14" s="667"/>
      <c r="F14" s="667" t="s">
        <v>224</v>
      </c>
      <c r="G14" s="667"/>
      <c r="H14" s="107"/>
      <c r="I14" s="107" t="s">
        <v>222</v>
      </c>
      <c r="J14" s="667" t="s">
        <v>225</v>
      </c>
      <c r="K14" s="667"/>
      <c r="L14" s="667"/>
      <c r="M14" s="667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7" t="s">
        <v>220</v>
      </c>
      <c r="C19" s="667"/>
      <c r="D19" s="669" t="s">
        <v>221</v>
      </c>
      <c r="E19" s="670"/>
      <c r="F19" s="670"/>
      <c r="G19" s="671"/>
      <c r="H19" s="667" t="s">
        <v>222</v>
      </c>
      <c r="I19" s="667"/>
      <c r="J19" s="667"/>
      <c r="K19" s="667"/>
      <c r="L19" s="667" t="s">
        <v>223</v>
      </c>
      <c r="M19" s="667"/>
    </row>
    <row r="20" spans="1:16" x14ac:dyDescent="0.2">
      <c r="B20" s="667"/>
      <c r="C20" s="667"/>
      <c r="D20" s="667" t="s">
        <v>221</v>
      </c>
      <c r="E20" s="667"/>
      <c r="F20" s="667" t="s">
        <v>224</v>
      </c>
      <c r="G20" s="667"/>
      <c r="H20" s="107"/>
      <c r="I20" s="107" t="s">
        <v>222</v>
      </c>
      <c r="J20" s="667" t="s">
        <v>225</v>
      </c>
      <c r="K20" s="667"/>
      <c r="L20" s="667"/>
      <c r="M20" s="667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7" t="s">
        <v>220</v>
      </c>
      <c r="C25" s="667"/>
      <c r="D25" s="669" t="s">
        <v>221</v>
      </c>
      <c r="E25" s="670"/>
      <c r="F25" s="670"/>
      <c r="G25" s="671"/>
      <c r="H25" s="667" t="s">
        <v>222</v>
      </c>
      <c r="I25" s="667"/>
      <c r="J25" s="667"/>
      <c r="K25" s="667"/>
      <c r="L25" s="667" t="s">
        <v>223</v>
      </c>
      <c r="M25" s="667"/>
    </row>
    <row r="26" spans="1:16" x14ac:dyDescent="0.2">
      <c r="B26" s="667"/>
      <c r="C26" s="667"/>
      <c r="D26" s="667" t="s">
        <v>221</v>
      </c>
      <c r="E26" s="667"/>
      <c r="F26" s="667" t="s">
        <v>224</v>
      </c>
      <c r="G26" s="667"/>
      <c r="H26" s="107"/>
      <c r="I26" s="107" t="s">
        <v>222</v>
      </c>
      <c r="J26" s="667" t="s">
        <v>225</v>
      </c>
      <c r="K26" s="667"/>
      <c r="L26" s="667"/>
      <c r="M26" s="667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1" x14ac:dyDescent="0.2">
      <c r="A33" s="8" t="s">
        <v>246</v>
      </c>
      <c r="B33" s="8">
        <v>1725</v>
      </c>
    </row>
    <row r="34" spans="1:21" x14ac:dyDescent="0.2">
      <c r="A34" s="8" t="s">
        <v>247</v>
      </c>
      <c r="B34" s="8">
        <v>1526</v>
      </c>
      <c r="D34" s="8" t="s">
        <v>248</v>
      </c>
    </row>
    <row r="35" spans="1:21" x14ac:dyDescent="0.2">
      <c r="A35" s="8" t="s">
        <v>249</v>
      </c>
      <c r="B35" s="8">
        <v>22800</v>
      </c>
      <c r="D35" s="8" t="s">
        <v>250</v>
      </c>
    </row>
    <row r="37" spans="1:21" x14ac:dyDescent="0.2">
      <c r="A37" s="106" t="s">
        <v>251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67" t="s">
        <v>223</v>
      </c>
      <c r="C38" s="667"/>
      <c r="D38" s="6" t="s">
        <v>252</v>
      </c>
      <c r="F38" s="6" t="s">
        <v>223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253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254</v>
      </c>
      <c r="U39" s="8">
        <f>B39</f>
        <v>0.39</v>
      </c>
    </row>
    <row r="40" spans="1:21" x14ac:dyDescent="0.2">
      <c r="A40" s="6" t="s">
        <v>231</v>
      </c>
      <c r="B40" s="108">
        <v>0.57599999999999996</v>
      </c>
      <c r="C40" s="6" t="s">
        <v>255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256</v>
      </c>
      <c r="T40" s="8" t="s">
        <v>257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258</v>
      </c>
    </row>
    <row r="44" spans="1:21" x14ac:dyDescent="0.2">
      <c r="B44" s="668" t="s">
        <v>223</v>
      </c>
      <c r="C44" s="668"/>
      <c r="D44" s="111" t="s">
        <v>252</v>
      </c>
      <c r="F44" s="112" t="s">
        <v>223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269</v>
      </c>
      <c r="B45" s="108">
        <v>0.42799999999999999</v>
      </c>
      <c r="C45" s="6" t="s">
        <v>260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261</v>
      </c>
    </row>
    <row r="46" spans="1:21" x14ac:dyDescent="0.2">
      <c r="A46" s="6" t="s">
        <v>270</v>
      </c>
      <c r="B46" s="114">
        <v>0.21</v>
      </c>
      <c r="C46" s="6" t="s">
        <v>260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263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C1:M3"/>
    <mergeCell ref="B5:C6"/>
    <mergeCell ref="D5:G5"/>
    <mergeCell ref="H5:K5"/>
    <mergeCell ref="L5:M6"/>
    <mergeCell ref="D6:E6"/>
    <mergeCell ref="F6:G6"/>
    <mergeCell ref="J6:K6"/>
    <mergeCell ref="B13:C14"/>
    <mergeCell ref="D13:G13"/>
    <mergeCell ref="H13:K13"/>
    <mergeCell ref="L13:M14"/>
    <mergeCell ref="D14:E14"/>
    <mergeCell ref="F14:G14"/>
    <mergeCell ref="J14:K14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38:C38"/>
    <mergeCell ref="B44:C44"/>
    <mergeCell ref="B25:C26"/>
    <mergeCell ref="D25:G25"/>
    <mergeCell ref="H25:K25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73" t="s">
        <v>271</v>
      </c>
      <c r="B1" s="673"/>
      <c r="C1" s="673"/>
      <c r="D1" s="673"/>
      <c r="E1" s="673"/>
      <c r="F1" s="673"/>
      <c r="G1" s="673"/>
      <c r="H1" s="673"/>
      <c r="I1" s="673"/>
    </row>
    <row r="2" spans="1:15" s="91" customFormat="1" ht="51" x14ac:dyDescent="0.2">
      <c r="A2" s="65" t="s">
        <v>272</v>
      </c>
      <c r="B2" s="65" t="s">
        <v>127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274</v>
      </c>
      <c r="H2" s="65" t="s">
        <v>275</v>
      </c>
      <c r="I2" s="65" t="s">
        <v>128</v>
      </c>
      <c r="J2" s="12" t="s">
        <v>276</v>
      </c>
      <c r="K2" s="12" t="s">
        <v>277</v>
      </c>
      <c r="L2" s="91" t="s">
        <v>278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4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16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279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74" t="s">
        <v>280</v>
      </c>
      <c r="B1" s="673"/>
      <c r="C1" s="673"/>
      <c r="D1" s="673"/>
      <c r="E1" s="673"/>
      <c r="F1" s="673"/>
      <c r="G1" s="673"/>
      <c r="H1" s="673"/>
      <c r="I1" s="673"/>
    </row>
    <row r="2" spans="1:10" s="55" customFormat="1" ht="51" x14ac:dyDescent="0.2">
      <c r="A2" s="65" t="s">
        <v>272</v>
      </c>
      <c r="B2" s="65" t="s">
        <v>281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275</v>
      </c>
      <c r="H2" s="65" t="s">
        <v>128</v>
      </c>
      <c r="I2" s="65" t="s">
        <v>282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272</v>
      </c>
      <c r="B30" s="65" t="s">
        <v>281</v>
      </c>
      <c r="C30" s="65" t="s">
        <v>40</v>
      </c>
      <c r="D30" s="65" t="s">
        <v>273</v>
      </c>
      <c r="E30" s="65" t="s">
        <v>45</v>
      </c>
      <c r="F30" s="65" t="s">
        <v>47</v>
      </c>
      <c r="G30" s="65" t="s">
        <v>275</v>
      </c>
      <c r="H30" s="65" t="s">
        <v>128</v>
      </c>
      <c r="I30" s="65" t="s">
        <v>282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0.6640625" defaultRowHeight="16" x14ac:dyDescent="0.2"/>
  <cols>
    <col min="1" max="1" width="13.33203125" style="591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88" t="s">
        <v>272</v>
      </c>
      <c r="B1" s="65" t="s">
        <v>281</v>
      </c>
      <c r="C1" s="65" t="s">
        <v>40</v>
      </c>
      <c r="D1" s="65" t="s">
        <v>283</v>
      </c>
      <c r="E1" s="65" t="s">
        <v>45</v>
      </c>
      <c r="F1" s="65" t="s">
        <v>47</v>
      </c>
      <c r="G1" s="65" t="s">
        <v>275</v>
      </c>
      <c r="H1" s="65" t="s">
        <v>284</v>
      </c>
      <c r="I1" s="65" t="s">
        <v>285</v>
      </c>
      <c r="J1" s="65" t="s">
        <v>736</v>
      </c>
      <c r="K1" s="55" t="s">
        <v>287</v>
      </c>
    </row>
    <row r="2" spans="1:11" x14ac:dyDescent="0.2">
      <c r="A2" s="589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89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89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90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90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90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90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90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90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90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90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90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90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90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90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90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90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90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90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90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90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90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90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90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90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90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90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90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90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90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90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90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90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90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90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90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90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90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90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90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90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90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90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90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90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90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90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90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90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90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90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90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90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90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90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90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90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90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90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90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90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90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90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90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90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90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90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90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90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90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90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90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281</v>
      </c>
      <c r="Q73" s="65" t="s">
        <v>40</v>
      </c>
      <c r="R73" s="65" t="s">
        <v>273</v>
      </c>
      <c r="S73" s="65" t="s">
        <v>45</v>
      </c>
      <c r="T73" s="65" t="s">
        <v>47</v>
      </c>
      <c r="U73" s="65" t="s">
        <v>275</v>
      </c>
      <c r="V73" s="65" t="s">
        <v>288</v>
      </c>
      <c r="W73" s="65" t="s">
        <v>286</v>
      </c>
    </row>
    <row r="74" spans="1:23" ht="17" x14ac:dyDescent="0.2">
      <c r="A74" s="590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289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90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290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90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90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90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90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90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90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90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90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90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90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90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90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90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272</v>
      </c>
      <c r="B1" s="65" t="s">
        <v>127</v>
      </c>
      <c r="C1" s="65" t="s">
        <v>40</v>
      </c>
      <c r="D1" s="65" t="s">
        <v>273</v>
      </c>
      <c r="E1" s="65" t="s">
        <v>45</v>
      </c>
      <c r="F1" s="65" t="s">
        <v>47</v>
      </c>
      <c r="G1" s="65" t="s">
        <v>274</v>
      </c>
      <c r="H1" s="65" t="s">
        <v>275</v>
      </c>
      <c r="I1" s="65" t="s">
        <v>128</v>
      </c>
      <c r="J1" s="65" t="s">
        <v>282</v>
      </c>
    </row>
    <row r="2" spans="1:11" x14ac:dyDescent="0.2">
      <c r="A2" s="87" t="s">
        <v>118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427</v>
      </c>
    </row>
    <row r="2" spans="1:26" ht="17" x14ac:dyDescent="0.2">
      <c r="A2" s="18" t="s">
        <v>428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429</v>
      </c>
      <c r="B3" s="12" t="s">
        <v>430</v>
      </c>
      <c r="C3" s="12" t="s">
        <v>431</v>
      </c>
      <c r="D3" s="12" t="s">
        <v>432</v>
      </c>
      <c r="E3" s="12" t="s">
        <v>433</v>
      </c>
      <c r="F3" s="12" t="s">
        <v>434</v>
      </c>
      <c r="G3" s="12" t="s">
        <v>435</v>
      </c>
      <c r="H3" s="12" t="s">
        <v>436</v>
      </c>
      <c r="I3" s="12" t="s">
        <v>437</v>
      </c>
      <c r="J3" s="12" t="s">
        <v>438</v>
      </c>
      <c r="K3" s="12" t="s">
        <v>439</v>
      </c>
      <c r="L3" s="12" t="s">
        <v>440</v>
      </c>
      <c r="M3" s="12" t="s">
        <v>441</v>
      </c>
      <c r="N3" s="12" t="s">
        <v>442</v>
      </c>
      <c r="O3" s="12" t="s">
        <v>443</v>
      </c>
      <c r="P3" s="12" t="s">
        <v>444</v>
      </c>
      <c r="Q3" s="12" t="s">
        <v>445</v>
      </c>
      <c r="R3" s="12" t="s">
        <v>446</v>
      </c>
      <c r="S3" s="12" t="s">
        <v>447</v>
      </c>
      <c r="T3" s="12" t="s">
        <v>448</v>
      </c>
      <c r="U3" s="12" t="s">
        <v>449</v>
      </c>
      <c r="V3" s="12" t="s">
        <v>450</v>
      </c>
      <c r="W3" s="12" t="s">
        <v>451</v>
      </c>
      <c r="X3" s="12" t="s">
        <v>452</v>
      </c>
      <c r="Y3" s="12" t="s">
        <v>453</v>
      </c>
    </row>
    <row r="4" spans="1:26" s="18" customFormat="1" ht="34" x14ac:dyDescent="0.2">
      <c r="A4" s="18" t="s">
        <v>454</v>
      </c>
      <c r="B4" s="675" t="s">
        <v>455</v>
      </c>
      <c r="C4" s="675"/>
      <c r="D4" s="675" t="s">
        <v>456</v>
      </c>
      <c r="E4" s="675"/>
      <c r="F4" s="675" t="s">
        <v>457</v>
      </c>
      <c r="G4" s="675"/>
      <c r="H4" s="675" t="s">
        <v>458</v>
      </c>
      <c r="I4" s="675"/>
      <c r="J4" s="675" t="s">
        <v>459</v>
      </c>
      <c r="K4" s="675"/>
      <c r="L4" s="675" t="s">
        <v>460</v>
      </c>
      <c r="M4" s="675"/>
      <c r="N4" s="675" t="s">
        <v>461</v>
      </c>
      <c r="O4" s="675"/>
      <c r="P4" s="675" t="s">
        <v>462</v>
      </c>
      <c r="Q4" s="675"/>
      <c r="R4" s="675" t="s">
        <v>463</v>
      </c>
      <c r="S4" s="675"/>
      <c r="T4" s="675" t="s">
        <v>464</v>
      </c>
      <c r="U4" s="675"/>
      <c r="V4" s="675"/>
      <c r="W4" s="675" t="s">
        <v>465</v>
      </c>
      <c r="X4" s="675"/>
      <c r="Y4" s="12" t="s">
        <v>453</v>
      </c>
      <c r="Z4" s="18" t="s">
        <v>466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467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468</v>
      </c>
      <c r="B18" s="676">
        <f>SUM(B5:C16)</f>
        <v>0</v>
      </c>
      <c r="C18" s="676"/>
      <c r="D18" s="676">
        <f>SUM(D5:E16)</f>
        <v>0</v>
      </c>
      <c r="E18" s="676"/>
      <c r="F18" s="676">
        <f>SUM(F5:G16)</f>
        <v>0</v>
      </c>
      <c r="G18" s="676"/>
      <c r="H18" s="676">
        <f>SUM(H5:I16)</f>
        <v>0</v>
      </c>
      <c r="I18" s="676"/>
      <c r="J18" s="676">
        <f>SUM(J5:K16)</f>
        <v>0</v>
      </c>
      <c r="K18" s="676"/>
      <c r="L18" s="676">
        <f>SUM(L5:M16)</f>
        <v>0</v>
      </c>
      <c r="M18" s="676"/>
      <c r="N18" s="676">
        <f>SUM(N5:O16)</f>
        <v>0</v>
      </c>
      <c r="O18" s="676"/>
      <c r="P18" s="676">
        <f>SUM(P5:Q16)</f>
        <v>0</v>
      </c>
      <c r="Q18" s="676"/>
      <c r="R18" s="676">
        <f>SUM(R5:S16)</f>
        <v>0</v>
      </c>
      <c r="S18" s="676"/>
      <c r="T18" s="676">
        <f>SUM(T5:V16)</f>
        <v>0</v>
      </c>
      <c r="U18" s="676"/>
      <c r="V18" s="676"/>
      <c r="W18" s="676">
        <f>SUM(W5:X16)</f>
        <v>0</v>
      </c>
      <c r="X18" s="676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469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169</v>
      </c>
    </row>
    <row r="24" spans="1:26" ht="17" x14ac:dyDescent="0.2">
      <c r="A24" s="18" t="s">
        <v>428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429</v>
      </c>
      <c r="B25" s="12" t="s">
        <v>430</v>
      </c>
      <c r="C25" s="12" t="s">
        <v>431</v>
      </c>
      <c r="D25" s="12" t="s">
        <v>432</v>
      </c>
      <c r="E25" s="12" t="s">
        <v>433</v>
      </c>
      <c r="F25" s="12" t="s">
        <v>434</v>
      </c>
      <c r="G25" s="12" t="s">
        <v>435</v>
      </c>
      <c r="H25" s="12" t="s">
        <v>436</v>
      </c>
      <c r="I25" s="12" t="s">
        <v>437</v>
      </c>
      <c r="J25" s="12" t="s">
        <v>438</v>
      </c>
      <c r="K25" s="12" t="s">
        <v>439</v>
      </c>
      <c r="L25" s="12" t="s">
        <v>440</v>
      </c>
      <c r="M25" s="12" t="s">
        <v>441</v>
      </c>
      <c r="N25" s="12" t="s">
        <v>442</v>
      </c>
      <c r="O25" s="12" t="s">
        <v>443</v>
      </c>
      <c r="P25" s="12" t="s">
        <v>444</v>
      </c>
      <c r="Q25" s="12" t="s">
        <v>445</v>
      </c>
      <c r="R25" s="12" t="s">
        <v>446</v>
      </c>
      <c r="S25" s="12" t="s">
        <v>447</v>
      </c>
      <c r="T25" s="12" t="s">
        <v>448</v>
      </c>
      <c r="U25" s="12" t="s">
        <v>449</v>
      </c>
      <c r="V25" s="12" t="s">
        <v>450</v>
      </c>
      <c r="W25" s="12" t="s">
        <v>451</v>
      </c>
      <c r="X25" s="12" t="s">
        <v>452</v>
      </c>
      <c r="Y25" s="12" t="s">
        <v>453</v>
      </c>
      <c r="Z25" s="18"/>
    </row>
    <row r="26" spans="1:26" ht="34.25" customHeight="1" x14ac:dyDescent="0.2">
      <c r="A26" s="18" t="s">
        <v>454</v>
      </c>
      <c r="B26" s="675" t="s">
        <v>455</v>
      </c>
      <c r="C26" s="675"/>
      <c r="D26" s="675" t="s">
        <v>456</v>
      </c>
      <c r="E26" s="675"/>
      <c r="F26" s="675" t="s">
        <v>457</v>
      </c>
      <c r="G26" s="675"/>
      <c r="H26" s="675" t="s">
        <v>458</v>
      </c>
      <c r="I26" s="675"/>
      <c r="J26" s="675" t="s">
        <v>459</v>
      </c>
      <c r="K26" s="675"/>
      <c r="L26" s="675" t="s">
        <v>460</v>
      </c>
      <c r="M26" s="675"/>
      <c r="N26" s="675" t="s">
        <v>461</v>
      </c>
      <c r="O26" s="675"/>
      <c r="P26" s="675" t="s">
        <v>462</v>
      </c>
      <c r="Q26" s="675"/>
      <c r="R26" s="675" t="s">
        <v>463</v>
      </c>
      <c r="S26" s="675"/>
      <c r="T26" s="675" t="s">
        <v>464</v>
      </c>
      <c r="U26" s="675"/>
      <c r="V26" s="675"/>
      <c r="W26" s="675" t="s">
        <v>465</v>
      </c>
      <c r="X26" s="675"/>
      <c r="Y26" s="12" t="s">
        <v>453</v>
      </c>
      <c r="Z26" s="18" t="s">
        <v>466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467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468</v>
      </c>
      <c r="B40" s="676">
        <f>SUM(B27:C38)</f>
        <v>134136</v>
      </c>
      <c r="C40" s="676"/>
      <c r="D40" s="676">
        <f>SUM(D27:E38)</f>
        <v>67344</v>
      </c>
      <c r="E40" s="676"/>
      <c r="F40" s="676">
        <f>SUM(F27:G38)</f>
        <v>29074</v>
      </c>
      <c r="G40" s="676"/>
      <c r="H40" s="676">
        <f>SUM(H27:I38)</f>
        <v>13430</v>
      </c>
      <c r="I40" s="676"/>
      <c r="J40" s="676">
        <f>SUM(J27:K38)</f>
        <v>6901</v>
      </c>
      <c r="K40" s="676"/>
      <c r="L40" s="676">
        <f>SUM(L27:M38)</f>
        <v>6462</v>
      </c>
      <c r="M40" s="676"/>
      <c r="N40" s="676">
        <f>SUM(N27:O38)</f>
        <v>28834</v>
      </c>
      <c r="O40" s="676"/>
      <c r="P40" s="676">
        <f>SUM(P27:Q38)</f>
        <v>0</v>
      </c>
      <c r="Q40" s="676"/>
      <c r="R40" s="676">
        <f>SUM(R27:S38)</f>
        <v>0</v>
      </c>
      <c r="S40" s="676"/>
      <c r="T40" s="676">
        <f>SUM(T27:V38)</f>
        <v>6624</v>
      </c>
      <c r="U40" s="676"/>
      <c r="V40" s="676"/>
      <c r="W40" s="676">
        <f>SUM(W27:X38)</f>
        <v>7407</v>
      </c>
      <c r="X40" s="676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469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170</v>
      </c>
    </row>
    <row r="46" spans="1:26" ht="17" x14ac:dyDescent="0.2">
      <c r="A46" s="18" t="s">
        <v>428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429</v>
      </c>
      <c r="B47" s="12" t="s">
        <v>430</v>
      </c>
      <c r="C47" s="12" t="s">
        <v>431</v>
      </c>
      <c r="D47" s="12" t="s">
        <v>432</v>
      </c>
      <c r="E47" s="12" t="s">
        <v>433</v>
      </c>
      <c r="F47" s="12" t="s">
        <v>434</v>
      </c>
      <c r="G47" s="12" t="s">
        <v>435</v>
      </c>
      <c r="H47" s="12" t="s">
        <v>436</v>
      </c>
      <c r="I47" s="12" t="s">
        <v>437</v>
      </c>
      <c r="J47" s="12" t="s">
        <v>438</v>
      </c>
      <c r="K47" s="12" t="s">
        <v>439</v>
      </c>
      <c r="L47" s="12" t="s">
        <v>440</v>
      </c>
      <c r="M47" s="12" t="s">
        <v>441</v>
      </c>
      <c r="N47" s="12" t="s">
        <v>442</v>
      </c>
      <c r="O47" s="12" t="s">
        <v>443</v>
      </c>
      <c r="P47" s="12" t="s">
        <v>444</v>
      </c>
      <c r="Q47" s="12" t="s">
        <v>445</v>
      </c>
      <c r="R47" s="12" t="s">
        <v>446</v>
      </c>
      <c r="S47" s="12" t="s">
        <v>447</v>
      </c>
      <c r="T47" s="12" t="s">
        <v>448</v>
      </c>
      <c r="U47" s="12" t="s">
        <v>449</v>
      </c>
      <c r="V47" s="12" t="s">
        <v>450</v>
      </c>
      <c r="W47" s="12" t="s">
        <v>451</v>
      </c>
      <c r="X47" s="12" t="s">
        <v>452</v>
      </c>
      <c r="Y47" s="12" t="s">
        <v>470</v>
      </c>
      <c r="Z47" s="18"/>
    </row>
    <row r="48" spans="1:26" ht="34" x14ac:dyDescent="0.2">
      <c r="A48" s="18" t="s">
        <v>454</v>
      </c>
      <c r="B48" s="675" t="s">
        <v>455</v>
      </c>
      <c r="C48" s="675"/>
      <c r="D48" s="675" t="s">
        <v>456</v>
      </c>
      <c r="E48" s="675"/>
      <c r="F48" s="675" t="s">
        <v>457</v>
      </c>
      <c r="G48" s="675"/>
      <c r="H48" s="675" t="s">
        <v>458</v>
      </c>
      <c r="I48" s="675"/>
      <c r="J48" s="675" t="s">
        <v>459</v>
      </c>
      <c r="K48" s="675"/>
      <c r="L48" s="675" t="s">
        <v>460</v>
      </c>
      <c r="M48" s="675"/>
      <c r="N48" s="675" t="s">
        <v>461</v>
      </c>
      <c r="O48" s="675"/>
      <c r="P48" s="675" t="s">
        <v>462</v>
      </c>
      <c r="Q48" s="675"/>
      <c r="R48" s="675" t="s">
        <v>463</v>
      </c>
      <c r="S48" s="675"/>
      <c r="T48" s="675" t="s">
        <v>464</v>
      </c>
      <c r="U48" s="675"/>
      <c r="V48" s="675"/>
      <c r="W48" s="675" t="s">
        <v>465</v>
      </c>
      <c r="X48" s="675"/>
      <c r="Y48" s="12" t="s">
        <v>470</v>
      </c>
      <c r="Z48" s="18" t="s">
        <v>466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467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468</v>
      </c>
      <c r="B62" s="676">
        <f>SUM(B49:C60)</f>
        <v>271080</v>
      </c>
      <c r="C62" s="676"/>
      <c r="D62" s="676">
        <f>SUM(D49:E60)</f>
        <v>135594</v>
      </c>
      <c r="E62" s="676"/>
      <c r="F62" s="676">
        <f>SUM(F55:G60)</f>
        <v>34429</v>
      </c>
      <c r="G62" s="676"/>
      <c r="H62" s="676">
        <f>SUM(H55:I60)</f>
        <v>13819</v>
      </c>
      <c r="I62" s="676"/>
      <c r="J62" s="676">
        <f>SUM(J55:K60)</f>
        <v>9801</v>
      </c>
      <c r="K62" s="676"/>
      <c r="L62" s="676">
        <f>SUM(L55:M60)</f>
        <v>5508</v>
      </c>
      <c r="M62" s="676"/>
      <c r="N62" s="676">
        <f>SUM(N55:O60)</f>
        <v>14298</v>
      </c>
      <c r="O62" s="676"/>
      <c r="P62" s="676">
        <f>SUM(P55:Q60)</f>
        <v>0</v>
      </c>
      <c r="Q62" s="676"/>
      <c r="R62" s="676">
        <f>SUM(R55:S60)</f>
        <v>0</v>
      </c>
      <c r="S62" s="676"/>
      <c r="T62" s="676">
        <f>SUM(T55:V60)</f>
        <v>6156</v>
      </c>
      <c r="U62" s="676"/>
      <c r="V62" s="676"/>
      <c r="W62" s="676">
        <f>SUM(W55:X60)</f>
        <v>5958</v>
      </c>
      <c r="X62" s="676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469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471</v>
      </c>
    </row>
    <row r="67" spans="1:26" ht="17" x14ac:dyDescent="0.2">
      <c r="A67" s="181" t="s">
        <v>171</v>
      </c>
    </row>
    <row r="68" spans="1:26" ht="17" x14ac:dyDescent="0.2">
      <c r="A68" s="18" t="s">
        <v>428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429</v>
      </c>
      <c r="B69" s="12" t="s">
        <v>430</v>
      </c>
      <c r="C69" s="12" t="s">
        <v>431</v>
      </c>
      <c r="D69" s="12" t="s">
        <v>432</v>
      </c>
      <c r="E69" s="12" t="s">
        <v>433</v>
      </c>
      <c r="F69" s="12" t="s">
        <v>434</v>
      </c>
      <c r="G69" s="12" t="s">
        <v>435</v>
      </c>
      <c r="H69" s="12" t="s">
        <v>436</v>
      </c>
      <c r="I69" s="12" t="s">
        <v>437</v>
      </c>
      <c r="J69" s="12" t="s">
        <v>438</v>
      </c>
      <c r="K69" s="12" t="s">
        <v>439</v>
      </c>
      <c r="L69" s="12" t="s">
        <v>440</v>
      </c>
      <c r="M69" s="12" t="s">
        <v>441</v>
      </c>
      <c r="N69" s="12" t="s">
        <v>442</v>
      </c>
      <c r="O69" s="12" t="s">
        <v>443</v>
      </c>
      <c r="P69" s="12" t="s">
        <v>444</v>
      </c>
      <c r="Q69" s="12" t="s">
        <v>445</v>
      </c>
      <c r="R69" s="12" t="s">
        <v>446</v>
      </c>
      <c r="S69" s="12" t="s">
        <v>447</v>
      </c>
      <c r="T69" s="12" t="s">
        <v>448</v>
      </c>
      <c r="U69" s="12" t="s">
        <v>449</v>
      </c>
      <c r="V69" s="12" t="s">
        <v>450</v>
      </c>
      <c r="W69" s="12" t="s">
        <v>451</v>
      </c>
      <c r="X69" s="12" t="s">
        <v>452</v>
      </c>
      <c r="Y69" s="12" t="s">
        <v>470</v>
      </c>
      <c r="Z69" s="18"/>
    </row>
    <row r="70" spans="1:26" ht="34" x14ac:dyDescent="0.2">
      <c r="A70" s="18" t="s">
        <v>454</v>
      </c>
      <c r="B70" s="675" t="s">
        <v>455</v>
      </c>
      <c r="C70" s="675"/>
      <c r="D70" s="675" t="s">
        <v>456</v>
      </c>
      <c r="E70" s="675"/>
      <c r="F70" s="675" t="s">
        <v>457</v>
      </c>
      <c r="G70" s="675"/>
      <c r="H70" s="675" t="s">
        <v>458</v>
      </c>
      <c r="I70" s="675"/>
      <c r="J70" s="675" t="s">
        <v>459</v>
      </c>
      <c r="K70" s="675"/>
      <c r="L70" s="675" t="s">
        <v>460</v>
      </c>
      <c r="M70" s="675"/>
      <c r="N70" s="675" t="s">
        <v>461</v>
      </c>
      <c r="O70" s="675"/>
      <c r="P70" s="675" t="s">
        <v>462</v>
      </c>
      <c r="Q70" s="675"/>
      <c r="R70" s="675" t="s">
        <v>463</v>
      </c>
      <c r="S70" s="675"/>
      <c r="T70" s="675" t="s">
        <v>464</v>
      </c>
      <c r="U70" s="675"/>
      <c r="V70" s="675"/>
      <c r="W70" s="675" t="s">
        <v>465</v>
      </c>
      <c r="X70" s="675"/>
      <c r="Y70" s="12" t="s">
        <v>470</v>
      </c>
      <c r="Z70" s="18" t="s">
        <v>466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467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468</v>
      </c>
      <c r="B84" s="676">
        <f>SUM(B71:C82)</f>
        <v>211760</v>
      </c>
      <c r="C84" s="676"/>
      <c r="D84" s="676">
        <f>SUM(D71:E82)</f>
        <v>133195</v>
      </c>
      <c r="E84" s="676"/>
      <c r="F84" s="676">
        <f>SUM(F77:G82)</f>
        <v>5486</v>
      </c>
      <c r="G84" s="676"/>
      <c r="H84" s="676">
        <f>SUM(H77:I82)</f>
        <v>2132</v>
      </c>
      <c r="I84" s="676"/>
      <c r="J84" s="676">
        <f>SUM(J77:K82)</f>
        <v>9898</v>
      </c>
      <c r="K84" s="676"/>
      <c r="L84" s="676">
        <f>SUM(L77:M82)</f>
        <v>270</v>
      </c>
      <c r="M84" s="676"/>
      <c r="N84" s="676">
        <f>SUM(N77:O82)</f>
        <v>2074</v>
      </c>
      <c r="O84" s="676"/>
      <c r="P84" s="676">
        <f>SUM(P77:Q82)</f>
        <v>0</v>
      </c>
      <c r="Q84" s="676"/>
      <c r="R84" s="676">
        <f>SUM(R77:S82)</f>
        <v>0</v>
      </c>
      <c r="S84" s="676"/>
      <c r="T84" s="676">
        <f>SUM(T77:V82)</f>
        <v>1980</v>
      </c>
      <c r="U84" s="676"/>
      <c r="V84" s="676"/>
      <c r="W84" s="676">
        <f>SUM(W77:X82)</f>
        <v>1071</v>
      </c>
      <c r="X84" s="676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469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735</v>
      </c>
    </row>
    <row r="90" spans="1:26" ht="17" x14ac:dyDescent="0.2">
      <c r="A90" s="18" t="s">
        <v>428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429</v>
      </c>
      <c r="B91" s="12" t="s">
        <v>430</v>
      </c>
      <c r="C91" s="12" t="s">
        <v>431</v>
      </c>
      <c r="D91" s="12" t="s">
        <v>432</v>
      </c>
      <c r="E91" s="12" t="s">
        <v>433</v>
      </c>
      <c r="F91" s="12" t="s">
        <v>434</v>
      </c>
      <c r="G91" s="12" t="s">
        <v>435</v>
      </c>
      <c r="H91" s="12" t="s">
        <v>436</v>
      </c>
      <c r="I91" s="12" t="s">
        <v>437</v>
      </c>
      <c r="J91" s="12" t="s">
        <v>438</v>
      </c>
      <c r="K91" s="12" t="s">
        <v>439</v>
      </c>
      <c r="L91" s="12" t="s">
        <v>440</v>
      </c>
      <c r="M91" s="12" t="s">
        <v>441</v>
      </c>
      <c r="N91" s="12" t="s">
        <v>442</v>
      </c>
      <c r="O91" s="12" t="s">
        <v>443</v>
      </c>
      <c r="P91" s="12" t="s">
        <v>444</v>
      </c>
      <c r="Q91" s="12" t="s">
        <v>445</v>
      </c>
      <c r="R91" s="12" t="s">
        <v>446</v>
      </c>
      <c r="S91" s="12" t="s">
        <v>447</v>
      </c>
      <c r="T91" s="12" t="s">
        <v>448</v>
      </c>
      <c r="U91" s="12" t="s">
        <v>449</v>
      </c>
      <c r="V91" s="12" t="s">
        <v>450</v>
      </c>
      <c r="W91" s="12" t="s">
        <v>451</v>
      </c>
      <c r="X91" s="12" t="s">
        <v>452</v>
      </c>
      <c r="Y91" s="12" t="s">
        <v>470</v>
      </c>
      <c r="Z91" s="18"/>
    </row>
    <row r="92" spans="1:26" ht="34" x14ac:dyDescent="0.2">
      <c r="A92" s="18" t="s">
        <v>454</v>
      </c>
      <c r="B92" s="675" t="s">
        <v>455</v>
      </c>
      <c r="C92" s="675"/>
      <c r="D92" s="675" t="s">
        <v>456</v>
      </c>
      <c r="E92" s="675"/>
      <c r="F92" s="675" t="s">
        <v>457</v>
      </c>
      <c r="G92" s="675"/>
      <c r="H92" s="675" t="s">
        <v>458</v>
      </c>
      <c r="I92" s="675"/>
      <c r="J92" s="675" t="s">
        <v>459</v>
      </c>
      <c r="K92" s="675"/>
      <c r="L92" s="675" t="s">
        <v>460</v>
      </c>
      <c r="M92" s="675"/>
      <c r="N92" s="675" t="s">
        <v>461</v>
      </c>
      <c r="O92" s="675"/>
      <c r="P92" s="675" t="s">
        <v>462</v>
      </c>
      <c r="Q92" s="675"/>
      <c r="R92" s="675" t="s">
        <v>463</v>
      </c>
      <c r="S92" s="675"/>
      <c r="T92" s="675" t="s">
        <v>464</v>
      </c>
      <c r="U92" s="675"/>
      <c r="V92" s="675"/>
      <c r="W92" s="675" t="s">
        <v>465</v>
      </c>
      <c r="X92" s="675"/>
      <c r="Y92" s="12" t="s">
        <v>470</v>
      </c>
      <c r="Z92" s="18" t="s">
        <v>466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467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468</v>
      </c>
      <c r="B106" s="676">
        <f>SUM(B93:C104)</f>
        <v>173003</v>
      </c>
      <c r="C106" s="676"/>
      <c r="D106" s="676">
        <f>SUM(D93:E104)</f>
        <v>75345</v>
      </c>
      <c r="E106" s="676"/>
      <c r="F106" s="676">
        <f>SUM(F99:G104)</f>
        <v>5486</v>
      </c>
      <c r="G106" s="676"/>
      <c r="H106" s="676">
        <f>SUM(H99:I104)</f>
        <v>2132</v>
      </c>
      <c r="I106" s="676"/>
      <c r="J106" s="676">
        <f>SUM(J99:K104)</f>
        <v>9898</v>
      </c>
      <c r="K106" s="676"/>
      <c r="L106" s="676">
        <f>SUM(L99:M104)</f>
        <v>270</v>
      </c>
      <c r="M106" s="676"/>
      <c r="N106" s="676">
        <f>SUM(N99:O104)</f>
        <v>2074</v>
      </c>
      <c r="O106" s="676"/>
      <c r="P106" s="676">
        <f>SUM(P99:Q104)</f>
        <v>0</v>
      </c>
      <c r="Q106" s="676"/>
      <c r="R106" s="676">
        <f>SUM(R99:S104)</f>
        <v>0</v>
      </c>
      <c r="S106" s="676"/>
      <c r="T106" s="676">
        <f>SUM(T99:V104)</f>
        <v>1980</v>
      </c>
      <c r="U106" s="676"/>
      <c r="V106" s="676"/>
      <c r="W106" s="676">
        <f>SUM(W99:X104)</f>
        <v>1071</v>
      </c>
      <c r="X106" s="676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469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272</v>
      </c>
      <c r="B1" s="104" t="s">
        <v>472</v>
      </c>
      <c r="C1" s="104" t="s">
        <v>473</v>
      </c>
      <c r="D1" s="104" t="s">
        <v>474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111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291</v>
      </c>
      <c r="B1" s="91" t="s">
        <v>292</v>
      </c>
      <c r="C1" s="91" t="s">
        <v>293</v>
      </c>
      <c r="D1" s="91" t="s">
        <v>294</v>
      </c>
      <c r="E1" s="91" t="s">
        <v>295</v>
      </c>
      <c r="F1" s="235" t="s">
        <v>296</v>
      </c>
      <c r="G1" s="91" t="s">
        <v>297</v>
      </c>
      <c r="H1" s="91" t="s">
        <v>298</v>
      </c>
      <c r="I1" s="91" t="s">
        <v>299</v>
      </c>
      <c r="J1" s="91" t="s">
        <v>300</v>
      </c>
      <c r="K1" s="91" t="s">
        <v>301</v>
      </c>
      <c r="L1" s="91" t="s">
        <v>302</v>
      </c>
      <c r="M1" s="91" t="s">
        <v>303</v>
      </c>
      <c r="N1" s="91" t="s">
        <v>304</v>
      </c>
      <c r="O1" s="91" t="s">
        <v>305</v>
      </c>
      <c r="P1" s="91" t="s">
        <v>306</v>
      </c>
      <c r="Q1" s="91" t="s">
        <v>307</v>
      </c>
      <c r="R1" s="91" t="s">
        <v>308</v>
      </c>
      <c r="S1" s="91" t="s">
        <v>309</v>
      </c>
      <c r="T1" s="91" t="s">
        <v>310</v>
      </c>
      <c r="U1" s="91" t="s">
        <v>311</v>
      </c>
      <c r="V1" s="91" t="s">
        <v>312</v>
      </c>
      <c r="W1" s="91" t="s">
        <v>313</v>
      </c>
      <c r="X1" s="91" t="s">
        <v>314</v>
      </c>
      <c r="Y1" s="91" t="s">
        <v>315</v>
      </c>
      <c r="Z1" s="91" t="s">
        <v>316</v>
      </c>
      <c r="AA1" s="235" t="s">
        <v>317</v>
      </c>
      <c r="AB1" s="236" t="s">
        <v>318</v>
      </c>
      <c r="AC1" s="91" t="s">
        <v>319</v>
      </c>
      <c r="AD1" s="91" t="s">
        <v>320</v>
      </c>
      <c r="AE1" s="91" t="s">
        <v>321</v>
      </c>
      <c r="AF1" s="91" t="s">
        <v>322</v>
      </c>
      <c r="AG1" s="91" t="s">
        <v>323</v>
      </c>
      <c r="AH1" s="91" t="s">
        <v>324</v>
      </c>
      <c r="AI1" s="91" t="s">
        <v>325</v>
      </c>
      <c r="AJ1" s="91" t="s">
        <v>326</v>
      </c>
      <c r="AK1" s="91" t="s">
        <v>327</v>
      </c>
      <c r="AL1" s="91" t="s">
        <v>328</v>
      </c>
      <c r="AM1" s="91" t="s">
        <v>329</v>
      </c>
      <c r="AN1" s="91" t="s">
        <v>330</v>
      </c>
      <c r="AO1" s="91" t="s">
        <v>331</v>
      </c>
      <c r="AP1" s="91" t="s">
        <v>332</v>
      </c>
      <c r="AQ1" s="91" t="s">
        <v>333</v>
      </c>
      <c r="AR1" s="91" t="s">
        <v>334</v>
      </c>
      <c r="AS1" s="91" t="s">
        <v>335</v>
      </c>
      <c r="AT1" s="226" t="s">
        <v>336</v>
      </c>
      <c r="AU1" s="91" t="s">
        <v>337</v>
      </c>
      <c r="AV1" s="91" t="s">
        <v>338</v>
      </c>
      <c r="AW1" s="226" t="s">
        <v>339</v>
      </c>
      <c r="AX1" s="91" t="s">
        <v>340</v>
      </c>
      <c r="AY1" s="91" t="s">
        <v>341</v>
      </c>
      <c r="AZ1" s="91" t="s">
        <v>342</v>
      </c>
      <c r="BA1" s="91" t="s">
        <v>343</v>
      </c>
      <c r="BB1" s="91" t="s">
        <v>344</v>
      </c>
      <c r="BC1" s="91" t="s">
        <v>345</v>
      </c>
      <c r="BD1" s="91" t="s">
        <v>346</v>
      </c>
      <c r="BE1" s="91" t="s">
        <v>347</v>
      </c>
      <c r="BF1" s="91" t="s">
        <v>348</v>
      </c>
      <c r="BG1" s="91" t="s">
        <v>349</v>
      </c>
      <c r="BH1" s="91" t="s">
        <v>350</v>
      </c>
      <c r="BI1" s="91" t="s">
        <v>351</v>
      </c>
      <c r="BJ1" s="91" t="s">
        <v>352</v>
      </c>
      <c r="BK1" s="91" t="s">
        <v>353</v>
      </c>
      <c r="BL1" s="91" t="s">
        <v>354</v>
      </c>
      <c r="BM1" s="91" t="s">
        <v>355</v>
      </c>
      <c r="BN1" s="91" t="s">
        <v>356</v>
      </c>
      <c r="BO1" s="91" t="s">
        <v>357</v>
      </c>
      <c r="BP1" s="91" t="s">
        <v>358</v>
      </c>
      <c r="BQ1" s="91" t="s">
        <v>359</v>
      </c>
      <c r="BR1" s="91" t="s">
        <v>360</v>
      </c>
      <c r="BS1" s="91" t="s">
        <v>361</v>
      </c>
      <c r="BT1" s="91" t="s">
        <v>362</v>
      </c>
      <c r="BU1" s="91" t="s">
        <v>363</v>
      </c>
      <c r="BV1" s="91" t="s">
        <v>364</v>
      </c>
      <c r="BW1" s="91" t="s">
        <v>365</v>
      </c>
      <c r="BX1" s="91" t="s">
        <v>366</v>
      </c>
      <c r="BY1" s="91" t="s">
        <v>367</v>
      </c>
      <c r="BZ1" s="91" t="s">
        <v>368</v>
      </c>
      <c r="CA1" s="91" t="s">
        <v>369</v>
      </c>
      <c r="CB1" s="91" t="s">
        <v>370</v>
      </c>
      <c r="CC1" s="91" t="s">
        <v>371</v>
      </c>
      <c r="CD1" s="91" t="s">
        <v>372</v>
      </c>
      <c r="CE1" s="91" t="s">
        <v>373</v>
      </c>
      <c r="CF1" s="91" t="s">
        <v>374</v>
      </c>
      <c r="CG1" s="91" t="s">
        <v>375</v>
      </c>
      <c r="CH1" s="91" t="s">
        <v>376</v>
      </c>
      <c r="CI1" s="91" t="s">
        <v>377</v>
      </c>
      <c r="CJ1" s="91" t="s">
        <v>378</v>
      </c>
      <c r="CK1" s="91" t="s">
        <v>379</v>
      </c>
      <c r="CL1" s="91" t="s">
        <v>380</v>
      </c>
      <c r="CM1" s="91" t="s">
        <v>381</v>
      </c>
      <c r="CN1" s="91" t="s">
        <v>382</v>
      </c>
      <c r="CO1" s="91" t="s">
        <v>383</v>
      </c>
      <c r="CP1" s="91" t="s">
        <v>384</v>
      </c>
      <c r="CQ1" s="91" t="s">
        <v>385</v>
      </c>
      <c r="CR1" s="91" t="s">
        <v>386</v>
      </c>
      <c r="CS1" s="91" t="s">
        <v>387</v>
      </c>
      <c r="CT1" s="91" t="s">
        <v>388</v>
      </c>
      <c r="CU1" s="91" t="s">
        <v>389</v>
      </c>
      <c r="CV1" s="91" t="s">
        <v>390</v>
      </c>
      <c r="CW1" s="91" t="s">
        <v>391</v>
      </c>
      <c r="CX1" s="91" t="s">
        <v>392</v>
      </c>
      <c r="CY1" s="91" t="s">
        <v>393</v>
      </c>
      <c r="CZ1" s="91" t="s">
        <v>394</v>
      </c>
      <c r="DA1" s="91" t="s">
        <v>395</v>
      </c>
      <c r="DB1" s="91" t="s">
        <v>396</v>
      </c>
      <c r="DC1" s="91" t="s">
        <v>397</v>
      </c>
      <c r="DD1" s="91" t="s">
        <v>398</v>
      </c>
      <c r="DE1" s="91" t="s">
        <v>399</v>
      </c>
      <c r="DF1" s="91" t="s">
        <v>400</v>
      </c>
      <c r="DG1" s="91" t="s">
        <v>401</v>
      </c>
      <c r="DH1" s="91" t="s">
        <v>402</v>
      </c>
      <c r="DI1" s="91" t="s">
        <v>403</v>
      </c>
      <c r="DJ1" s="230" t="s">
        <v>404</v>
      </c>
      <c r="DK1" s="230" t="s">
        <v>405</v>
      </c>
      <c r="DL1" s="230" t="s">
        <v>406</v>
      </c>
      <c r="DM1" s="230" t="s">
        <v>407</v>
      </c>
      <c r="DN1" s="230" t="s">
        <v>408</v>
      </c>
      <c r="DO1" s="230" t="s">
        <v>409</v>
      </c>
      <c r="DP1" s="230" t="s">
        <v>410</v>
      </c>
      <c r="DQ1" s="91"/>
      <c r="DR1" s="91"/>
      <c r="DS1" s="91"/>
    </row>
    <row r="2" spans="1:123" s="55" customFormat="1" ht="34" x14ac:dyDescent="0.2">
      <c r="A2" s="65" t="s">
        <v>411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412</v>
      </c>
      <c r="AH2" s="54" t="s">
        <v>413</v>
      </c>
      <c r="AI2" s="54">
        <v>105</v>
      </c>
      <c r="AJ2" s="54" t="s">
        <v>414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415</v>
      </c>
      <c r="AR2" s="54">
        <v>114</v>
      </c>
      <c r="AS2" s="54">
        <v>115</v>
      </c>
      <c r="AT2" s="225">
        <v>116</v>
      </c>
      <c r="AU2" s="54" t="s">
        <v>416</v>
      </c>
      <c r="AV2" s="54" t="s">
        <v>417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418</v>
      </c>
      <c r="BB2" s="54" t="s">
        <v>419</v>
      </c>
      <c r="BC2" s="54" t="s">
        <v>420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topLeftCell="A40" workbookViewId="0">
      <selection activeCell="F51" sqref="F51"/>
    </sheetView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421</v>
      </c>
      <c r="C1" s="221" t="s">
        <v>273</v>
      </c>
      <c r="D1" s="221" t="s">
        <v>6</v>
      </c>
      <c r="E1" s="221" t="s">
        <v>422</v>
      </c>
      <c r="F1" s="221" t="s">
        <v>14</v>
      </c>
      <c r="G1" s="221" t="s">
        <v>22</v>
      </c>
      <c r="H1" s="221" t="s">
        <v>423</v>
      </c>
      <c r="I1" s="221" t="s">
        <v>424</v>
      </c>
      <c r="J1" s="221" t="s">
        <v>18</v>
      </c>
      <c r="K1" s="221" t="s">
        <v>425</v>
      </c>
      <c r="L1" s="221" t="s">
        <v>12</v>
      </c>
      <c r="M1" s="221" t="s">
        <v>426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475</v>
      </c>
      <c r="C1" s="116" t="s">
        <v>476</v>
      </c>
      <c r="D1" s="116" t="s">
        <v>477</v>
      </c>
      <c r="E1" s="116" t="s">
        <v>478</v>
      </c>
      <c r="F1" s="116" t="s">
        <v>26</v>
      </c>
      <c r="G1" s="116" t="s">
        <v>479</v>
      </c>
      <c r="H1" s="116" t="s">
        <v>480</v>
      </c>
      <c r="I1" s="116" t="s">
        <v>481</v>
      </c>
      <c r="J1" s="116" t="s">
        <v>482</v>
      </c>
      <c r="K1" s="116" t="s">
        <v>27</v>
      </c>
      <c r="L1" s="355" t="s">
        <v>483</v>
      </c>
      <c r="M1" s="534" t="s">
        <v>484</v>
      </c>
      <c r="N1" s="116" t="s">
        <v>485</v>
      </c>
      <c r="O1" s="116" t="s">
        <v>486</v>
      </c>
      <c r="P1" s="534" t="s">
        <v>487</v>
      </c>
      <c r="Q1" s="116" t="s">
        <v>488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5">
        <f>'Yearly Recycling'!L6</f>
        <v>3322000</v>
      </c>
      <c r="M2" s="536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36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5">
        <f>'Yearly Recycling'!L7</f>
        <v>3187000</v>
      </c>
      <c r="M3" s="536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36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5">
        <f>'Yearly Recycling'!L8</f>
        <v>2961000</v>
      </c>
      <c r="M4" s="536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36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5">
        <f>'Yearly Recycling'!L9</f>
        <v>2902000</v>
      </c>
      <c r="M5" s="536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36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5">
        <f>'Yearly Recycling'!L10</f>
        <v>2323000</v>
      </c>
      <c r="M6" s="536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36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5">
        <f>'Yearly Recycling'!L11</f>
        <v>1790000</v>
      </c>
      <c r="M7" s="536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36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5">
        <f>'Yearly Recycling'!L12</f>
        <v>1440000</v>
      </c>
      <c r="M8" s="536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36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5">
        <f>'Yearly Recycling'!L13</f>
        <v>1575000</v>
      </c>
      <c r="M9" s="536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36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3534.4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15289</v>
      </c>
      <c r="L10" s="535">
        <f>'Yearly Recycling'!L14</f>
        <v>1828310</v>
      </c>
      <c r="M10" s="536">
        <f t="shared" si="0"/>
        <v>1168736.5</v>
      </c>
      <c r="N10" s="14">
        <f>'Yearly GHG (mCO2)'!G14</f>
        <v>21497</v>
      </c>
      <c r="O10" s="14">
        <f t="shared" si="1"/>
        <v>54.367423361399268</v>
      </c>
      <c r="P10" s="536">
        <f t="shared" si="2"/>
        <v>85.049541796529752</v>
      </c>
      <c r="Q10" s="153">
        <f t="shared" si="3"/>
        <v>0.3899627516623449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4561.1500000000005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16662.400000000001</v>
      </c>
      <c r="L11" s="535">
        <f>'Yearly Recycling'!L15</f>
        <v>1752328.5999999999</v>
      </c>
      <c r="M11" s="536">
        <f t="shared" si="0"/>
        <v>1099084.95</v>
      </c>
      <c r="N11" s="14">
        <f>'Yearly GHG (mCO2)'!G15</f>
        <v>22169</v>
      </c>
      <c r="O11" s="14">
        <f t="shared" si="1"/>
        <v>49.577561008615632</v>
      </c>
      <c r="P11" s="536">
        <f t="shared" si="2"/>
        <v>79.044097613785013</v>
      </c>
      <c r="Q11" s="153">
        <f t="shared" si="3"/>
        <v>0.38545266434607495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5551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15243.6</v>
      </c>
      <c r="L12" s="535">
        <f>'Yearly Recycling'!L16</f>
        <v>1793997.6</v>
      </c>
      <c r="M12" s="537">
        <f t="shared" si="0"/>
        <v>1135465.8</v>
      </c>
      <c r="N12" s="14">
        <f>4593+19284</f>
        <v>23877</v>
      </c>
      <c r="O12" s="14">
        <f t="shared" ref="O12" si="4">M12/N12</f>
        <v>47.554793315743183</v>
      </c>
      <c r="P12" s="536">
        <f t="shared" ref="P12:P13" si="5">L12/N12</f>
        <v>75.134966704359854</v>
      </c>
      <c r="Q12" s="153">
        <f t="shared" si="3"/>
        <v>0.38760197516036549</v>
      </c>
      <c r="R12" s="163">
        <f>(L2-L12)/L2</f>
        <v>0.45996459963877179</v>
      </c>
      <c r="S12" s="401">
        <f>25*L2</f>
        <v>83050000</v>
      </c>
    </row>
    <row r="13" spans="1:19" x14ac:dyDescent="0.2">
      <c r="A13" s="120" t="s">
        <v>111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5644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16519.2</v>
      </c>
      <c r="L13" s="535">
        <f>'Yearly Recycling'!L17</f>
        <v>1763306.2000000002</v>
      </c>
      <c r="M13" s="536">
        <f t="shared" ref="M13" si="6">SUM(B13:K13)</f>
        <v>1128656.8999999999</v>
      </c>
      <c r="N13" s="14">
        <f>'Yearly GHG (mCO2)'!G17</f>
        <v>0</v>
      </c>
      <c r="O13" s="14" t="e">
        <f t="shared" si="1"/>
        <v>#DIV/0!</v>
      </c>
      <c r="P13" s="536" t="e">
        <f t="shared" si="5"/>
        <v>#DIV/0!</v>
      </c>
      <c r="Q13" s="153">
        <f t="shared" ref="Q13" si="7">M13/(L13+M13)</f>
        <v>0.39027361725327681</v>
      </c>
      <c r="R13" s="163"/>
      <c r="S13" s="401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4"/>
      <c r="M15" s="153"/>
      <c r="N15" s="153"/>
      <c r="O15" s="153"/>
      <c r="P15" s="494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0.44257687021484926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489</v>
      </c>
      <c r="C1" s="89" t="s">
        <v>490</v>
      </c>
      <c r="D1" s="89" t="s">
        <v>82</v>
      </c>
      <c r="E1" s="89" t="s">
        <v>83</v>
      </c>
      <c r="F1" s="89" t="s">
        <v>491</v>
      </c>
      <c r="G1" s="141"/>
      <c r="H1" s="141"/>
      <c r="J1" s="141"/>
      <c r="K1" s="141"/>
      <c r="L1" s="141"/>
      <c r="M1" s="143"/>
      <c r="N1" s="89" t="s">
        <v>28</v>
      </c>
      <c r="O1" s="89" t="s">
        <v>489</v>
      </c>
      <c r="P1" s="89" t="s">
        <v>492</v>
      </c>
      <c r="Q1" s="89" t="s">
        <v>493</v>
      </c>
      <c r="R1" s="89" t="s">
        <v>494</v>
      </c>
      <c r="S1" s="89" t="s">
        <v>26</v>
      </c>
      <c r="T1" s="65" t="s">
        <v>495</v>
      </c>
      <c r="V1" s="89" t="s">
        <v>28</v>
      </c>
      <c r="W1" s="89" t="s">
        <v>489</v>
      </c>
      <c r="X1" s="89" t="s">
        <v>492</v>
      </c>
      <c r="Y1" s="89" t="s">
        <v>493</v>
      </c>
      <c r="Z1" s="89" t="s">
        <v>494</v>
      </c>
      <c r="AA1" s="89" t="s">
        <v>26</v>
      </c>
      <c r="AB1" s="65" t="s">
        <v>495</v>
      </c>
      <c r="AC1" s="141"/>
      <c r="AD1" s="141" t="s">
        <v>489</v>
      </c>
      <c r="AE1" s="141" t="s">
        <v>496</v>
      </c>
      <c r="AF1" s="143"/>
      <c r="AG1" s="65" t="s">
        <v>28</v>
      </c>
      <c r="AH1" s="65" t="s">
        <v>475</v>
      </c>
      <c r="AI1" s="65" t="s">
        <v>476</v>
      </c>
      <c r="AJ1" s="65" t="s">
        <v>497</v>
      </c>
      <c r="AK1" s="65" t="s">
        <v>478</v>
      </c>
      <c r="AL1" s="65" t="s">
        <v>26</v>
      </c>
      <c r="AM1" s="65" t="s">
        <v>479</v>
      </c>
      <c r="AN1" s="65" t="s">
        <v>480</v>
      </c>
      <c r="AO1" s="65" t="s">
        <v>481</v>
      </c>
      <c r="AP1" s="65" t="s">
        <v>498</v>
      </c>
      <c r="AQ1" s="66" t="s">
        <v>499</v>
      </c>
      <c r="AS1" s="65" t="s">
        <v>28</v>
      </c>
      <c r="AT1" s="65" t="s">
        <v>480</v>
      </c>
      <c r="AU1" s="65" t="s">
        <v>481</v>
      </c>
      <c r="AV1" s="65" t="s">
        <v>500</v>
      </c>
      <c r="AW1" s="65" t="s">
        <v>475</v>
      </c>
      <c r="AX1" s="192"/>
      <c r="AY1" s="193" t="s">
        <v>28</v>
      </c>
      <c r="AZ1" s="194" t="s">
        <v>501</v>
      </c>
      <c r="BA1" s="194" t="s">
        <v>502</v>
      </c>
      <c r="BB1" s="194" t="s">
        <v>503</v>
      </c>
      <c r="BC1" s="194" t="s">
        <v>504</v>
      </c>
      <c r="BD1" s="194" t="s">
        <v>505</v>
      </c>
      <c r="BE1" s="194" t="s">
        <v>273</v>
      </c>
      <c r="BF1" s="194" t="s">
        <v>506</v>
      </c>
      <c r="BG1" s="194" t="s">
        <v>45</v>
      </c>
      <c r="BH1" s="194" t="s">
        <v>507</v>
      </c>
      <c r="BI1" s="195"/>
      <c r="BP1" s="192"/>
      <c r="BQ1" s="198" t="s">
        <v>508</v>
      </c>
      <c r="BR1" s="196" t="s">
        <v>475</v>
      </c>
      <c r="BS1" s="196" t="s">
        <v>476</v>
      </c>
      <c r="BT1" s="196" t="s">
        <v>497</v>
      </c>
      <c r="BU1" s="196" t="s">
        <v>478</v>
      </c>
      <c r="BV1" s="196" t="s">
        <v>26</v>
      </c>
      <c r="BW1" s="196" t="s">
        <v>479</v>
      </c>
      <c r="BX1" s="196" t="s">
        <v>480</v>
      </c>
      <c r="BY1" s="196" t="s">
        <v>481</v>
      </c>
      <c r="BZ1" s="196" t="s">
        <v>498</v>
      </c>
      <c r="CA1" s="197" t="s">
        <v>499</v>
      </c>
      <c r="CB1" s="196" t="s">
        <v>82</v>
      </c>
      <c r="CD1" s="198" t="s">
        <v>509</v>
      </c>
      <c r="CE1" s="196" t="s">
        <v>475</v>
      </c>
      <c r="CF1" s="196" t="s">
        <v>476</v>
      </c>
      <c r="CG1" s="196" t="s">
        <v>497</v>
      </c>
      <c r="CH1" s="196" t="s">
        <v>478</v>
      </c>
      <c r="CI1" s="196" t="s">
        <v>26</v>
      </c>
      <c r="CJ1" s="196" t="s">
        <v>479</v>
      </c>
      <c r="CK1" s="196" t="s">
        <v>480</v>
      </c>
      <c r="CL1" s="196" t="s">
        <v>481</v>
      </c>
      <c r="CM1" s="196" t="s">
        <v>498</v>
      </c>
      <c r="CN1" s="197" t="s">
        <v>499</v>
      </c>
      <c r="CO1" s="196" t="s">
        <v>82</v>
      </c>
      <c r="CP1" s="192"/>
      <c r="CQ1" s="198" t="s">
        <v>508</v>
      </c>
      <c r="CR1" s="206" t="s">
        <v>501</v>
      </c>
      <c r="CS1" s="206" t="s">
        <v>502</v>
      </c>
      <c r="CT1" s="206" t="s">
        <v>503</v>
      </c>
      <c r="CU1" s="206" t="s">
        <v>504</v>
      </c>
      <c r="CV1" s="206" t="s">
        <v>505</v>
      </c>
      <c r="CW1" s="206" t="s">
        <v>273</v>
      </c>
      <c r="CX1" s="206" t="s">
        <v>506</v>
      </c>
      <c r="CY1" s="206" t="s">
        <v>45</v>
      </c>
      <c r="CZ1" s="206" t="s">
        <v>507</v>
      </c>
      <c r="DA1" s="206" t="s">
        <v>474</v>
      </c>
      <c r="DC1" s="198" t="s">
        <v>509</v>
      </c>
      <c r="DD1" s="206" t="s">
        <v>501</v>
      </c>
      <c r="DE1" s="206" t="s">
        <v>502</v>
      </c>
      <c r="DF1" s="206" t="s">
        <v>503</v>
      </c>
      <c r="DG1" s="206" t="s">
        <v>504</v>
      </c>
      <c r="DH1" s="206" t="s">
        <v>505</v>
      </c>
      <c r="DI1" s="206" t="s">
        <v>273</v>
      </c>
      <c r="DJ1" s="206" t="s">
        <v>506</v>
      </c>
      <c r="DK1" s="206" t="s">
        <v>45</v>
      </c>
      <c r="DL1" s="206" t="s">
        <v>507</v>
      </c>
      <c r="DM1" s="206" t="s">
        <v>474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(KG)'!E122,'Raw Data (KG)'!H122,'Raw Data (KG)'!I122,'Raw Data (KG)'!J122,'Raw Data (KG)'!P122,'Raw Data (KG)'!Q122)</f>
        <v>10929.5</v>
      </c>
      <c r="Q2" s="184">
        <f>SUM('Raw Data (KG)'!F122:G122,'Raw Data (KG)'!M122:N122,'Raw Data (KG)'!V122)</f>
        <v>20515</v>
      </c>
      <c r="R2" s="184">
        <f>SUM('Raw Data (KG)'!K122:L122,'Raw Data (KG)'!O122,'Raw Data (KG)'!U122,'Raw Data (KG)'!Z122)</f>
        <v>1356</v>
      </c>
      <c r="S2" s="184">
        <f>'Raw Food Data (KG)'!Q83</f>
        <v>23296.5</v>
      </c>
      <c r="T2" s="185">
        <f>SUM('Raw Data (KG)'!X122:Y122)</f>
        <v>21670</v>
      </c>
      <c r="V2" s="123" t="s">
        <v>510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101815</v>
      </c>
      <c r="Z2" s="124">
        <f t="shared" si="0"/>
        <v>10134.9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0.62024681692532246</v>
      </c>
      <c r="AE2" s="186">
        <f>SUM(X2:AB2)/SUM(W2:AB2)</f>
        <v>0.37975318307467765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259.5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1770</v>
      </c>
      <c r="AS2" s="191" t="s">
        <v>510</v>
      </c>
      <c r="AT2" s="139">
        <f>SUM(AN2:AN7)/SUM(AH2:AQ7)</f>
        <v>0.21096773815686387</v>
      </c>
      <c r="AU2" s="139">
        <f>SUM(AO2:AO7)/SUM(AH2:AQ7)</f>
        <v>0.1621899974725392</v>
      </c>
      <c r="AV2" s="139">
        <f>SUM(AL2:AL7)/SUM(AH2:AQ7)</f>
        <v>0.34301328291026517</v>
      </c>
      <c r="AW2" s="139">
        <f>SUM(AH2:AH7)/SUM(AH2:AQ7)</f>
        <v>0.1274867443466649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511</v>
      </c>
      <c r="BR2" s="9">
        <f>SUM('Monthly Recycling'!B110:B115)</f>
        <v>72801</v>
      </c>
      <c r="BS2" s="9">
        <f>SUM('Monthly Recycling'!C110:C115)</f>
        <v>5839</v>
      </c>
      <c r="BT2" s="9">
        <f>SUM('Monthly Recycling'!D110:D115)</f>
        <v>1932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8837.1</v>
      </c>
      <c r="CB2" s="9">
        <f>SUM(BR2:CA2)</f>
        <v>605353.1</v>
      </c>
      <c r="CD2" s="8" t="s">
        <v>512</v>
      </c>
      <c r="CE2" s="9">
        <f>SUM('Monthly Recycling'!B102:B115)</f>
        <v>168419</v>
      </c>
      <c r="CF2" s="9">
        <f>SUM('Monthly Recycling'!C102:C115)</f>
        <v>10915</v>
      </c>
      <c r="CG2" s="9">
        <f>SUM('Monthly Recycling'!D102:D115)</f>
        <v>4519.1000000000004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18482.832999999999</v>
      </c>
      <c r="CO2" s="9">
        <f>SUM(CE2:CN2)</f>
        <v>1326070.5330000001</v>
      </c>
      <c r="CQ2" s="8" t="s">
        <v>511</v>
      </c>
      <c r="DC2" s="8" t="s">
        <v>512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(KG)'!E123,'Raw Data (KG)'!H123,'Raw Data (KG)'!I123,'Raw Data (KG)'!J123,'Raw Data (KG)'!P123,'Raw Data (KG)'!Q123)</f>
        <v>11012.9</v>
      </c>
      <c r="Q3" s="184">
        <f>SUM('Raw Data (KG)'!F123:G123,'Raw Data (KG)'!M123:N123,'Raw Data (KG)'!V123)</f>
        <v>16872</v>
      </c>
      <c r="R3" s="184">
        <f>SUM('Raw Data (KG)'!K123:L123,'Raw Data (KG)'!O123,'Raw Data (KG)'!U123,'Raw Data (KG)'!Z123)</f>
        <v>1702.1</v>
      </c>
      <c r="S3" s="184">
        <f>'Raw Food Data (KG)'!Q84</f>
        <v>28190.499999999996</v>
      </c>
      <c r="T3" s="185">
        <f>SUM('Raw Data (KG)'!X123:Y123)</f>
        <v>27270</v>
      </c>
      <c r="V3" s="137" t="s">
        <v>513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102769</v>
      </c>
      <c r="Z3" s="125">
        <f t="shared" si="2"/>
        <v>8351.6</v>
      </c>
      <c r="AA3" s="125">
        <f t="shared" si="2"/>
        <v>219107.59999999998</v>
      </c>
      <c r="AB3" s="125">
        <f t="shared" si="2"/>
        <v>133135</v>
      </c>
      <c r="AD3" s="186">
        <f>W3/SUM(W3:AB3)</f>
        <v>0.60841832405037366</v>
      </c>
      <c r="AE3" s="186">
        <f>SUM(X3:AB3)/SUM(W3:AB3)</f>
        <v>0.3915816759496264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280.89999999999998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1271.0999999999999</v>
      </c>
      <c r="AS3" s="191" t="s">
        <v>513</v>
      </c>
      <c r="AT3" s="139">
        <f>SUM(AN8:AN13)/SUM(AH8:AQ13)</f>
        <v>0.11024840668587355</v>
      </c>
      <c r="AU3" s="139">
        <f>SUM(AO8:AO13)/SUM(AH8:AQ13)</f>
        <v>0.17089927196910143</v>
      </c>
      <c r="AV3" s="139">
        <f>SUM(AL8:AL13)/SUM(AH8:AQ13)</f>
        <v>0.40263794970857081</v>
      </c>
      <c r="AW3" s="139">
        <f>SUM(AH8:AH13)/SUM(AH8:AQ13)</f>
        <v>0.14321358991010699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514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2004.1499999999999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8756.9</v>
      </c>
      <c r="CB3" s="9">
        <f>SUM(BR3:CA3)</f>
        <v>554904.75</v>
      </c>
      <c r="CD3" s="8" t="s">
        <v>515</v>
      </c>
      <c r="CE3" s="9">
        <f>SUM('Monthly Recycling'!B114:B127)</f>
        <v>157911</v>
      </c>
      <c r="CF3" s="9">
        <f>SUM('Monthly Recycling'!C114:C127)</f>
        <v>11902</v>
      </c>
      <c r="CG3" s="9">
        <f>SUM('Monthly Recycling'!D114:D127)</f>
        <v>4158.5499999999993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18247.300000000003</v>
      </c>
      <c r="CO3" s="9">
        <f>SUM(CE3:CN3)</f>
        <v>1336900.6500000001</v>
      </c>
      <c r="CQ3" s="8" t="s">
        <v>514</v>
      </c>
      <c r="DC3" s="8" t="s">
        <v>515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(KG)'!E124,'Raw Data (KG)'!H124,'Raw Data (KG)'!I124,'Raw Data (KG)'!J124,'Raw Data (KG)'!P124,'Raw Data (KG)'!Q124)</f>
        <v>11439.75</v>
      </c>
      <c r="Q4" s="184">
        <f>SUM('Raw Data (KG)'!F124:G124,'Raw Data (KG)'!M124:N124,'Raw Data (KG)'!V124)</f>
        <v>17001</v>
      </c>
      <c r="R4" s="184">
        <f>SUM('Raw Data (KG)'!K124:L124,'Raw Data (KG)'!O124,'Raw Data (KG)'!U124,'Raw Data (KG)'!Z124)</f>
        <v>802.6</v>
      </c>
      <c r="S4" s="184">
        <f>'Raw Food Data (KG)'!Q85</f>
        <v>30387</v>
      </c>
      <c r="T4" s="185">
        <f>SUM('Raw Data (KG)'!X124:Y124)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304.75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1471.6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516</v>
      </c>
      <c r="BR4" s="139">
        <f t="shared" ref="BR4:CB4" si="3">BR3/BR2-1</f>
        <v>-2.8268842460955179E-2</v>
      </c>
      <c r="BS4" s="139">
        <f t="shared" si="3"/>
        <v>-0.24387737626305872</v>
      </c>
      <c r="BT4" s="139">
        <f t="shared" si="3"/>
        <v>3.7344720496894412E-2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-9.0753754059590408E-3</v>
      </c>
      <c r="CB4" s="199">
        <f t="shared" si="3"/>
        <v>-8.3337063938385691E-2</v>
      </c>
      <c r="CD4" s="8" t="s">
        <v>516</v>
      </c>
      <c r="CE4" s="139">
        <f t="shared" ref="CE4:CO4" si="4">CE3/CE2-1</f>
        <v>-6.2392010402626763E-2</v>
      </c>
      <c r="CF4" s="139">
        <f t="shared" si="4"/>
        <v>9.0426019239578492E-2</v>
      </c>
      <c r="CG4" s="139">
        <f t="shared" si="4"/>
        <v>-7.9783585227147236E-2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-1.2743338642944857E-2</v>
      </c>
      <c r="CO4" s="199">
        <f t="shared" si="4"/>
        <v>8.1670746242274994E-3</v>
      </c>
      <c r="CQ4" s="8" t="s">
        <v>516</v>
      </c>
      <c r="DC4" s="8" t="s">
        <v>516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(KG)'!E125,'Raw Data (KG)'!H125,'Raw Data (KG)'!I125,'Raw Data (KG)'!J125,'Raw Data (KG)'!P125,'Raw Data (KG)'!Q125)</f>
        <v>11646.6</v>
      </c>
      <c r="Q5" s="184">
        <f>SUM('Raw Data (KG)'!F125:G125,'Raw Data (KG)'!M125:N125,'Raw Data (KG)'!V125)</f>
        <v>16333</v>
      </c>
      <c r="R5" s="184">
        <f>SUM('Raw Data (KG)'!K125:L125,'Raw Data (KG)'!O125,'Raw Data (KG)'!U125,'Raw Data (KG)'!Z125)</f>
        <v>2023.5</v>
      </c>
      <c r="S5" s="184">
        <f>'Raw Food Data (KG)'!Q86</f>
        <v>30156.499999999996</v>
      </c>
      <c r="T5" s="185">
        <f>SUM('Raw Data (KG)'!X125:Y125)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342.6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847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(KG)'!E126,'Raw Data (KG)'!H126,'Raw Data (KG)'!I126,'Raw Data (KG)'!J126,'Raw Data (KG)'!P126,'Raw Data (KG)'!Q126)</f>
        <v>13879.6</v>
      </c>
      <c r="Q6" s="184">
        <f>SUM('Raw Data (KG)'!F126:G126,'Raw Data (KG)'!M126:N126,'Raw Data (KG)'!V126)</f>
        <v>13952</v>
      </c>
      <c r="R6" s="184">
        <f>SUM('Raw Data (KG)'!K126:L126,'Raw Data (KG)'!O126,'Raw Data (KG)'!U126,'Raw Data (KG)'!Z126)</f>
        <v>1929.7</v>
      </c>
      <c r="S6" s="184">
        <f>'Raw Food Data (KG)'!Q87</f>
        <v>42615.9</v>
      </c>
      <c r="T6" s="185">
        <f>SUM('Raw Data (KG)'!X126:Y126)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419.6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1417.2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517</v>
      </c>
      <c r="BR6" s="9">
        <f>SUM('Monthly Recycling'!B116:B121)</f>
        <v>62791</v>
      </c>
      <c r="BS6" s="9">
        <f>SUM('Monthly Recycling'!C116:C121)</f>
        <v>5118</v>
      </c>
      <c r="BT6" s="9">
        <f>SUM('Monthly Recycling'!D116:D121)</f>
        <v>1602.3999999999999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6451.9</v>
      </c>
      <c r="CB6" s="9">
        <f>SUM(BR6:CA6)</f>
        <v>564038.40000000002</v>
      </c>
      <c r="CD6" s="8" t="s">
        <v>518</v>
      </c>
      <c r="CE6" s="9">
        <f>SUM('Monthly Recycling'!B108:B121)</f>
        <v>157251</v>
      </c>
      <c r="CF6" s="9">
        <f>SUM('Monthly Recycling'!C108:C121)</f>
        <v>11577</v>
      </c>
      <c r="CG6" s="9">
        <f>SUM('Monthly Recycling'!D108:D121)</f>
        <v>3980.5499999999997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17421</v>
      </c>
      <c r="CO6" s="9">
        <f>SUM(CE6:CN6)</f>
        <v>1349087.65</v>
      </c>
      <c r="CQ6" s="8" t="s">
        <v>517</v>
      </c>
      <c r="DC6" s="8" t="s">
        <v>518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(KG)'!E127,'Raw Data (KG)'!H127,'Raw Data (KG)'!I127,'Raw Data (KG)'!J127,'Raw Data (KG)'!P127,'Raw Data (KG)'!Q127)</f>
        <v>13838.8</v>
      </c>
      <c r="Q7" s="184">
        <f>SUM('Raw Data (KG)'!F127:G127,'Raw Data (KG)'!M127:N127,'Raw Data (KG)'!V127)</f>
        <v>17142</v>
      </c>
      <c r="R7" s="184">
        <f>SUM('Raw Data (KG)'!K127:L127,'Raw Data (KG)'!O127,'Raw Data (KG)'!U127,'Raw Data (KG)'!Z127)</f>
        <v>2321</v>
      </c>
      <c r="S7" s="184">
        <f>'Raw Food Data (KG)'!Q88</f>
        <v>35693.299999999996</v>
      </c>
      <c r="T7" s="185">
        <f>SUM('Raw Data (KG)'!X127:Y127)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396.8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1980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519</v>
      </c>
      <c r="CD7" s="8" t="s">
        <v>520</v>
      </c>
      <c r="CQ7" s="8" t="s">
        <v>519</v>
      </c>
      <c r="DC7" s="8" t="s">
        <v>520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(KG)'!E128,'Raw Data (KG)'!H128,'Raw Data (KG)'!I128,'Raw Data (KG)'!J128,'Raw Data (KG)'!P128,'Raw Data (KG)'!Q128)</f>
        <v>13922.8</v>
      </c>
      <c r="Q8" s="184">
        <f>SUM('Raw Data (KG)'!F128:G128,'Raw Data (KG)'!M128:N128,'Raw Data (KG)'!V128)</f>
        <v>19935</v>
      </c>
      <c r="R8" s="184">
        <f>SUM('Raw Data (KG)'!K128:L128,'Raw Data (KG)'!O128,'Raw Data (KG)'!U128,'Raw Data (KG)'!Z128)</f>
        <v>1494.5</v>
      </c>
      <c r="S8" s="184">
        <f>'Raw Food Data (KG)'!Q89</f>
        <v>29377.9</v>
      </c>
      <c r="T8" s="185">
        <f>SUM('Raw Data (KG)'!X128:Y128)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378.8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1905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516</v>
      </c>
      <c r="CD8" s="8" t="s">
        <v>516</v>
      </c>
      <c r="CQ8" s="8" t="s">
        <v>516</v>
      </c>
      <c r="DC8" s="8" t="s">
        <v>516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(KG)'!E129,'Raw Data (KG)'!H129,'Raw Data (KG)'!I129,'Raw Data (KG)'!J129,'Raw Data (KG)'!P129,'Raw Data (KG)'!Q129)</f>
        <v>13075.4</v>
      </c>
      <c r="Q9" s="184">
        <f>SUM('Raw Data (KG)'!F129:G129,'Raw Data (KG)'!M129:N129,'Raw Data (KG)'!V129)</f>
        <v>16318</v>
      </c>
      <c r="R9" s="184">
        <f>SUM('Raw Data (KG)'!K129:L129,'Raw Data (KG)'!O129,'Raw Data (KG)'!U129,'Raw Data (KG)'!Z129)</f>
        <v>1416.8</v>
      </c>
      <c r="S9" s="184">
        <f>'Raw Food Data (KG)'!Q90</f>
        <v>35652.6</v>
      </c>
      <c r="T9" s="185">
        <f>SUM('Raw Data (KG)'!X129:Y129)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371.4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1480.7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(KG)'!E130,'Raw Data (KG)'!H130,'Raw Data (KG)'!I130,'Raw Data (KG)'!J130,'Raw Data (KG)'!P129,'Raw Data (KG)'!Q130)</f>
        <v>13876.8</v>
      </c>
      <c r="Q10" s="184">
        <f>SUM('Raw Data (KG)'!F130:G130,'Raw Data (KG)'!M130:N130,'Raw Data (KG)'!V130)</f>
        <v>16333</v>
      </c>
      <c r="R10" s="184">
        <f>SUM('Raw Data (KG)'!K130:L130,'Raw Data (KG)'!O129,'Raw Data (KG)'!U130,'Raw Data (KG)'!Z130)</f>
        <v>1745.6</v>
      </c>
      <c r="S10" s="184">
        <f>'Raw Food Data (KG)'!Q91</f>
        <v>43510.8</v>
      </c>
      <c r="T10" s="185">
        <f>SUM('Raw Data (KG)'!X130:Y130)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415.8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962.6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514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(KG)'!E131,'Raw Data (KG)'!H131,'Raw Data (KG)'!I131,'Raw Data (KG)'!J131,'Raw Data (KG)'!P131,'Raw Data (KG)'!Q131)</f>
        <v>13058.8</v>
      </c>
      <c r="Q11" s="184">
        <f>SUM('Raw Data (KG)'!F131:G131,'Raw Data (KG)'!M131:N131,'Raw Data (KG)'!V131)</f>
        <v>16539</v>
      </c>
      <c r="R11" s="184">
        <f>SUM('Raw Data (KG)'!K131:L131,'Raw Data (KG)'!O131,'Raw Data (KG)'!U131,'Raw Data (KG)'!Z131)</f>
        <v>1619.8</v>
      </c>
      <c r="S11" s="184">
        <f>'Raw Food Data (KG)'!Q92</f>
        <v>39601</v>
      </c>
      <c r="T11" s="185">
        <f>SUM('Raw Data (KG)'!X131:Y131)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477.8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1272.8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521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(KG)'!E132,'Raw Data (KG)'!H132,'Raw Data (KG)'!I132,'Raw Data (KG)'!J132,'Raw Data (KG)'!P132,'Raw Data (KG)'!Q132)</f>
        <v>13974.2</v>
      </c>
      <c r="Q12" s="184">
        <f>SUM('Raw Data (KG)'!F132:G132,'Raw Data (KG)'!M132:N132,'Raw Data (KG)'!V132)</f>
        <v>13957</v>
      </c>
      <c r="R12" s="184">
        <f>SUM('Raw Data (KG)'!K132:L132,'Raw Data (KG)'!O132,'Raw Data (KG)'!U132,'Raw Data (KG)'!Z132)</f>
        <v>906.7</v>
      </c>
      <c r="S12" s="184">
        <f>'Raw Food Data (KG)'!Q93</f>
        <v>40905.300000000003</v>
      </c>
      <c r="T12" s="185">
        <f>SUM('Raw Data (KG)'!X132:Y132)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466.2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1500.7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516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(KG)'!E133,'Raw Data (KG)'!H133,'Raw Data (KG)'!I133,'Raw Data (KG)'!J133,'Raw Data (KG)'!P133,'Raw Data (KG)'!Q133)</f>
        <v>13225</v>
      </c>
      <c r="Q13" s="184">
        <f>SUM('Raw Data (KG)'!F133:G133,'Raw Data (KG)'!M133:N133,'Raw Data (KG)'!V133)</f>
        <v>19687</v>
      </c>
      <c r="R13" s="184">
        <f>SUM('Raw Data (KG)'!K133:L133,'Raw Data (KG)'!O133,'Raw Data (KG)'!U133,'Raw Data (KG)'!Z133)</f>
        <v>1168.2</v>
      </c>
      <c r="S13" s="184">
        <f>'Raw Food Data (KG)'!Q94</f>
        <v>30060</v>
      </c>
      <c r="T13" s="185">
        <f>SUM('Raw Data (KG)'!X133:Y133)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447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783.7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(KG)'!E134,'Raw Data (KG)'!H134,'Raw Data (KG)'!I134,'Raw Data (KG)'!J134,'Raw Data (KG)'!P134,'Raw Data (KG)'!Q134)</f>
        <v>12835</v>
      </c>
      <c r="Q14" s="184">
        <f>SUM('Raw Data (KG)'!F134:G134,'Raw Data (KG)'!M134:N134,'Raw Data (KG)'!V134)</f>
        <v>20094</v>
      </c>
      <c r="R14" s="184">
        <f>SUM('Raw Data (KG)'!K134:L134,'Raw Data (KG)'!O134,'Raw Data (KG)'!U134,'Raw Data (KG)'!Z134)</f>
        <v>2385.1999999999998</v>
      </c>
      <c r="S14" s="184">
        <f>'Raw Food Data (KG)'!Q95</f>
        <v>34108.800000000003</v>
      </c>
      <c r="T14" s="185">
        <f>SUM('Raw Data (KG)'!X134:Y134)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(KG)'!E135,'Raw Data (KG)'!H135,'Raw Data (KG)'!I135,'Raw Data (KG)'!J135,'Raw Data (KG)'!P135,'Raw Data (KG)'!Q135)</f>
        <v>14072</v>
      </c>
      <c r="Q15" s="184">
        <f>SUM('Raw Data (KG)'!F135:G135,'Raw Data (KG)'!M135:N135,'Raw Data (KG)'!V135)</f>
        <v>22587</v>
      </c>
      <c r="R15" s="184">
        <f>SUM('Raw Data (KG)'!K135:L135,'Raw Data (KG)'!O135,'Raw Data (KG)'!U135,'Raw Data (KG)'!Z135)</f>
        <v>1241.2</v>
      </c>
      <c r="S15" s="184">
        <f>'Raw Food Data (KG)'!Q96</f>
        <v>36595.5</v>
      </c>
      <c r="T15" s="185">
        <f>SUM('Raw Data (KG)'!X135:Y135)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(KG)'!E136,'Raw Data (KG)'!H136,'Raw Data (KG)'!I136,'Raw Data (KG)'!J136,'Raw Data (KG)'!P136,'Raw Data (KG)'!Q136)</f>
        <v>13840</v>
      </c>
      <c r="Q16" s="184">
        <f>SUM('Raw Data (KG)'!F136:G136,'Raw Data (KG)'!M136:N136,'Raw Data (KG)'!V136)</f>
        <v>13208</v>
      </c>
      <c r="R16" s="184">
        <f>SUM('Raw Data (KG)'!K136:L136,'Raw Data (KG)'!O136,'Raw Data (KG)'!U136,'Raw Data (KG)'!Z136)</f>
        <v>2573.6</v>
      </c>
      <c r="S16" s="184">
        <f>'Raw Food Data (KG)'!Q97</f>
        <v>46111.7</v>
      </c>
      <c r="T16" s="185">
        <f>SUM('Raw Data (KG)'!X136:Y136)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BB232"/>
  <sheetViews>
    <sheetView tabSelected="1" zoomScale="92" workbookViewId="0">
      <pane xSplit="1" ySplit="1" topLeftCell="B84" activePane="bottomRight" state="frozen"/>
      <selection pane="topRight" activeCell="B1" sqref="B1"/>
      <selection pane="bottomLeft" activeCell="A2" sqref="A2"/>
      <selection pane="bottomRight" activeCell="C90" sqref="C90"/>
    </sheetView>
  </sheetViews>
  <sheetFormatPr baseColWidth="10" defaultColWidth="10.6640625" defaultRowHeight="16" x14ac:dyDescent="0.2"/>
  <cols>
    <col min="1" max="1" width="11.1640625" style="61" bestFit="1" customWidth="1"/>
    <col min="2" max="4" width="15.6640625" style="354" customWidth="1"/>
    <col min="5" max="5" width="20.6640625" style="354" customWidth="1"/>
    <col min="6" max="9" width="15.6640625" style="354" customWidth="1"/>
    <col min="10" max="10" width="13.1640625" style="354" hidden="1" customWidth="1"/>
    <col min="11" max="12" width="15.6640625" style="354" customWidth="1"/>
    <col min="13" max="13" width="13.6640625" style="354" bestFit="1" customWidth="1"/>
    <col min="14" max="14" width="15.5" style="354" customWidth="1"/>
    <col min="15" max="15" width="14.33203125" style="354" customWidth="1"/>
    <col min="16" max="16" width="13.1640625" style="354" customWidth="1"/>
    <col min="17" max="17" width="15.6640625" style="354" hidden="1" customWidth="1"/>
    <col min="18" max="20" width="18.33203125" style="354" hidden="1" customWidth="1"/>
    <col min="21" max="23" width="15.6640625" style="354" customWidth="1"/>
    <col min="24" max="24" width="12.33203125" style="354" bestFit="1" customWidth="1"/>
    <col min="25" max="25" width="13" style="354" customWidth="1"/>
    <col min="26" max="26" width="13.33203125" style="354" customWidth="1"/>
    <col min="27" max="27" width="13.1640625" style="404" bestFit="1" customWidth="1"/>
    <col min="28" max="28" width="16" style="354" bestFit="1" customWidth="1"/>
    <col min="29" max="29" width="13.1640625" style="541" bestFit="1" customWidth="1"/>
    <col min="30" max="31" width="15.1640625" style="354" bestFit="1" customWidth="1"/>
    <col min="32" max="32" width="15" style="541" bestFit="1" customWidth="1"/>
    <col min="33" max="33" width="10.6640625" style="404"/>
    <col min="34" max="34" width="12.6640625" style="404" bestFit="1" customWidth="1"/>
    <col min="35" max="35" width="14.33203125" style="354" bestFit="1" customWidth="1"/>
    <col min="36" max="36" width="13.6640625" style="354" bestFit="1" customWidth="1"/>
    <col min="37" max="37" width="16.5" style="354" customWidth="1"/>
    <col min="38" max="38" width="13.6640625" style="8" bestFit="1" customWidth="1"/>
    <col min="39" max="41" width="14.6640625" style="8" bestFit="1" customWidth="1"/>
    <col min="42" max="43" width="16.1640625" style="8" bestFit="1" customWidth="1"/>
    <col min="44" max="44" width="14" style="8" bestFit="1" customWidth="1"/>
    <col min="45" max="16384" width="10.6640625" style="8"/>
  </cols>
  <sheetData>
    <row r="1" spans="1:40" s="54" customFormat="1" ht="68" x14ac:dyDescent="0.2">
      <c r="A1" s="58" t="s">
        <v>77</v>
      </c>
      <c r="B1" s="374" t="s">
        <v>522</v>
      </c>
      <c r="C1" s="374" t="s">
        <v>490</v>
      </c>
      <c r="D1" s="374" t="s">
        <v>523</v>
      </c>
      <c r="E1" s="374" t="s">
        <v>524</v>
      </c>
      <c r="F1" s="374" t="s">
        <v>525</v>
      </c>
      <c r="G1" s="374" t="s">
        <v>526</v>
      </c>
      <c r="H1" s="374" t="s">
        <v>527</v>
      </c>
      <c r="I1" s="374" t="s">
        <v>528</v>
      </c>
      <c r="J1" s="375" t="s">
        <v>529</v>
      </c>
      <c r="K1" s="374" t="s">
        <v>478</v>
      </c>
      <c r="L1" s="374" t="s">
        <v>530</v>
      </c>
      <c r="M1" s="375" t="s">
        <v>719</v>
      </c>
      <c r="N1" s="65" t="s">
        <v>720</v>
      </c>
      <c r="O1" s="375" t="s">
        <v>531</v>
      </c>
      <c r="P1" s="375" t="s">
        <v>532</v>
      </c>
      <c r="Q1" s="375" t="s">
        <v>533</v>
      </c>
      <c r="R1" s="376" t="s">
        <v>534</v>
      </c>
      <c r="S1" s="376" t="s">
        <v>535</v>
      </c>
      <c r="T1" s="376" t="s">
        <v>536</v>
      </c>
      <c r="U1" s="374" t="s">
        <v>498</v>
      </c>
      <c r="V1" s="374" t="s">
        <v>537</v>
      </c>
      <c r="W1" s="374" t="s">
        <v>538</v>
      </c>
      <c r="X1" s="374" t="s">
        <v>539</v>
      </c>
      <c r="Y1" s="374" t="s">
        <v>540</v>
      </c>
      <c r="Z1" s="374" t="s">
        <v>541</v>
      </c>
      <c r="AA1" s="377"/>
      <c r="AB1" s="377"/>
      <c r="AC1" s="611"/>
      <c r="AD1" s="377"/>
      <c r="AE1" s="377"/>
      <c r="AF1" s="611"/>
      <c r="AG1" s="377"/>
      <c r="AH1" s="377"/>
      <c r="AI1" s="377"/>
      <c r="AJ1" s="373"/>
      <c r="AK1" s="373"/>
    </row>
    <row r="2" spans="1:40" x14ac:dyDescent="0.2">
      <c r="A2" s="10">
        <v>41456</v>
      </c>
      <c r="B2" s="378">
        <v>282100</v>
      </c>
      <c r="C2" s="378"/>
      <c r="D2" s="379">
        <v>2000</v>
      </c>
      <c r="E2" s="378">
        <f>5120</f>
        <v>5120</v>
      </c>
      <c r="F2" s="378">
        <v>108</v>
      </c>
      <c r="G2" s="378"/>
      <c r="H2" s="378">
        <v>240</v>
      </c>
      <c r="I2" s="378"/>
      <c r="J2" s="380">
        <v>3.25</v>
      </c>
      <c r="K2" s="378"/>
      <c r="L2" s="378"/>
      <c r="M2" s="380">
        <v>217</v>
      </c>
      <c r="N2" s="380">
        <v>23</v>
      </c>
      <c r="O2" s="381" t="s">
        <v>549</v>
      </c>
      <c r="P2" s="381">
        <f>0.67*172</f>
        <v>115.24000000000001</v>
      </c>
      <c r="Q2" s="380">
        <v>0</v>
      </c>
      <c r="R2" s="381"/>
      <c r="S2" s="381"/>
      <c r="T2" s="381"/>
      <c r="U2" s="378"/>
      <c r="V2" s="378"/>
      <c r="W2" s="382"/>
      <c r="X2" s="378"/>
      <c r="Y2" s="378"/>
      <c r="Z2" s="383"/>
    </row>
    <row r="3" spans="1:40" x14ac:dyDescent="0.2">
      <c r="A3" s="11">
        <v>41487</v>
      </c>
      <c r="B3" s="384">
        <v>282100</v>
      </c>
      <c r="C3" s="384"/>
      <c r="D3" s="385">
        <v>2000</v>
      </c>
      <c r="E3" s="384">
        <f>4100</f>
        <v>4100</v>
      </c>
      <c r="F3" s="384">
        <v>300</v>
      </c>
      <c r="G3" s="384"/>
      <c r="H3" s="384">
        <v>250</v>
      </c>
      <c r="I3" s="384"/>
      <c r="J3" s="380">
        <v>1.1599999999999999</v>
      </c>
      <c r="K3" s="384"/>
      <c r="L3" s="384"/>
      <c r="M3" s="380">
        <v>203</v>
      </c>
      <c r="N3" s="380">
        <v>22</v>
      </c>
      <c r="O3" s="381" t="s">
        <v>549</v>
      </c>
      <c r="P3" s="381">
        <f>0.67*177</f>
        <v>118.59</v>
      </c>
      <c r="Q3" s="380">
        <v>0</v>
      </c>
      <c r="R3" s="381"/>
      <c r="S3" s="381"/>
      <c r="T3" s="381"/>
      <c r="U3" s="384"/>
      <c r="V3" s="384"/>
      <c r="W3" s="382"/>
      <c r="X3" s="384"/>
      <c r="Y3" s="384"/>
      <c r="Z3" s="386"/>
    </row>
    <row r="4" spans="1:40" x14ac:dyDescent="0.2">
      <c r="A4" s="11">
        <v>41518</v>
      </c>
      <c r="B4" s="384">
        <v>273000.00000000006</v>
      </c>
      <c r="C4" s="384"/>
      <c r="D4" s="385">
        <v>2000</v>
      </c>
      <c r="E4" s="384">
        <f>4900</f>
        <v>4900</v>
      </c>
      <c r="F4" s="384">
        <v>320</v>
      </c>
      <c r="G4" s="384"/>
      <c r="H4" s="384">
        <v>310</v>
      </c>
      <c r="I4" s="384"/>
      <c r="J4" s="380">
        <v>0.69599999999999995</v>
      </c>
      <c r="K4" s="384"/>
      <c r="L4" s="384"/>
      <c r="M4" s="380">
        <v>223</v>
      </c>
      <c r="N4" s="380">
        <v>24</v>
      </c>
      <c r="O4" s="381" t="s">
        <v>549</v>
      </c>
      <c r="P4" s="381">
        <f>0.67*134</f>
        <v>89.78</v>
      </c>
      <c r="Q4" s="380">
        <v>58</v>
      </c>
      <c r="R4" s="381"/>
      <c r="S4" s="381"/>
      <c r="T4" s="381"/>
      <c r="U4" s="384"/>
      <c r="V4" s="384"/>
      <c r="W4" s="382"/>
      <c r="X4" s="384"/>
      <c r="Y4" s="384"/>
      <c r="Z4" s="386"/>
      <c r="AL4" s="139"/>
    </row>
    <row r="5" spans="1:40" x14ac:dyDescent="0.2">
      <c r="A5" s="11">
        <v>41548</v>
      </c>
      <c r="B5" s="384">
        <v>282100</v>
      </c>
      <c r="C5" s="384"/>
      <c r="D5" s="385">
        <v>2000</v>
      </c>
      <c r="E5" s="384">
        <f>4700</f>
        <v>4700</v>
      </c>
      <c r="F5" s="384">
        <v>150</v>
      </c>
      <c r="G5" s="384"/>
      <c r="H5" s="384">
        <v>440</v>
      </c>
      <c r="I5" s="384"/>
      <c r="J5" s="380">
        <v>0.155</v>
      </c>
      <c r="K5" s="384"/>
      <c r="L5" s="384"/>
      <c r="M5" s="380">
        <v>400</v>
      </c>
      <c r="N5" s="380">
        <v>200</v>
      </c>
      <c r="O5" s="381" t="s">
        <v>549</v>
      </c>
      <c r="P5" s="381">
        <f>0.67*221</f>
        <v>148.07000000000002</v>
      </c>
      <c r="Q5" s="380">
        <v>0</v>
      </c>
      <c r="R5" s="381"/>
      <c r="S5" s="381"/>
      <c r="T5" s="381"/>
      <c r="U5" s="384"/>
      <c r="V5" s="384"/>
      <c r="W5" s="382"/>
      <c r="X5" s="384"/>
      <c r="Y5" s="384"/>
      <c r="Z5" s="386"/>
      <c r="AL5" s="139"/>
      <c r="AM5" s="139"/>
      <c r="AN5" s="139"/>
    </row>
    <row r="6" spans="1:40" x14ac:dyDescent="0.2">
      <c r="A6" s="11">
        <v>41579</v>
      </c>
      <c r="B6" s="384">
        <v>273000.00000000006</v>
      </c>
      <c r="C6" s="384"/>
      <c r="D6" s="385">
        <v>2000</v>
      </c>
      <c r="E6" s="384">
        <f>4450</f>
        <v>4450</v>
      </c>
      <c r="F6" s="384">
        <v>11</v>
      </c>
      <c r="G6" s="384"/>
      <c r="H6" s="384">
        <v>570</v>
      </c>
      <c r="I6" s="384"/>
      <c r="J6" s="380">
        <v>2.4129999999999998</v>
      </c>
      <c r="K6" s="384"/>
      <c r="L6" s="384"/>
      <c r="M6" s="380">
        <v>800</v>
      </c>
      <c r="N6" s="380">
        <v>400</v>
      </c>
      <c r="O6" s="381" t="s">
        <v>549</v>
      </c>
      <c r="P6" s="381">
        <f>0.67*142</f>
        <v>95.14</v>
      </c>
      <c r="Q6" s="380">
        <v>8</v>
      </c>
      <c r="R6" s="381"/>
      <c r="S6" s="381"/>
      <c r="T6" s="381"/>
      <c r="U6" s="384"/>
      <c r="V6" s="384"/>
      <c r="W6" s="382"/>
      <c r="X6" s="384"/>
      <c r="Y6" s="384"/>
      <c r="Z6" s="386"/>
      <c r="AL6" s="139"/>
      <c r="AM6" s="139"/>
      <c r="AN6" s="139"/>
    </row>
    <row r="7" spans="1:40" x14ac:dyDescent="0.2">
      <c r="A7" s="11">
        <v>41609</v>
      </c>
      <c r="B7" s="384">
        <v>282100</v>
      </c>
      <c r="C7" s="384"/>
      <c r="D7" s="385">
        <v>2000</v>
      </c>
      <c r="E7" s="384">
        <f>4150</f>
        <v>4150</v>
      </c>
      <c r="F7" s="384">
        <v>90</v>
      </c>
      <c r="G7" s="384"/>
      <c r="H7" s="384">
        <v>600</v>
      </c>
      <c r="I7" s="384"/>
      <c r="J7" s="380">
        <v>1.748</v>
      </c>
      <c r="K7" s="384"/>
      <c r="L7" s="384"/>
      <c r="M7" s="380">
        <v>600</v>
      </c>
      <c r="N7" s="380">
        <v>400</v>
      </c>
      <c r="O7" s="381">
        <f>0.05*68</f>
        <v>3.4000000000000004</v>
      </c>
      <c r="P7" s="381">
        <f>0.67*112</f>
        <v>75.040000000000006</v>
      </c>
      <c r="Q7" s="380">
        <v>46</v>
      </c>
      <c r="R7" s="381"/>
      <c r="S7" s="381"/>
      <c r="T7" s="381"/>
      <c r="U7" s="384"/>
      <c r="V7" s="384"/>
      <c r="W7" s="382"/>
      <c r="X7" s="384"/>
      <c r="Y7" s="384"/>
      <c r="Z7" s="386"/>
      <c r="AL7" s="139"/>
      <c r="AM7" s="139"/>
      <c r="AN7" s="139"/>
    </row>
    <row r="8" spans="1:40" x14ac:dyDescent="0.2">
      <c r="A8" s="11">
        <v>41640</v>
      </c>
      <c r="B8" s="384">
        <v>282100</v>
      </c>
      <c r="C8" s="384"/>
      <c r="D8" s="385">
        <v>2000</v>
      </c>
      <c r="E8" s="384">
        <f>4360</f>
        <v>4360</v>
      </c>
      <c r="F8" s="384">
        <v>70</v>
      </c>
      <c r="G8" s="384"/>
      <c r="H8" s="384">
        <v>520</v>
      </c>
      <c r="I8" s="384"/>
      <c r="J8" s="380">
        <v>1.7789999999999999</v>
      </c>
      <c r="K8" s="384"/>
      <c r="L8" s="384"/>
      <c r="M8" s="380">
        <v>600</v>
      </c>
      <c r="N8" s="380">
        <v>200</v>
      </c>
      <c r="O8" s="381" t="s">
        <v>549</v>
      </c>
      <c r="P8" s="381">
        <f>0.67*95</f>
        <v>63.650000000000006</v>
      </c>
      <c r="Q8" s="380">
        <v>0</v>
      </c>
      <c r="R8" s="381"/>
      <c r="S8" s="381"/>
      <c r="T8" s="381"/>
      <c r="U8" s="384"/>
      <c r="V8" s="384"/>
      <c r="W8" s="382"/>
      <c r="X8" s="384"/>
      <c r="Y8" s="384"/>
      <c r="Z8" s="386"/>
      <c r="AH8" s="542"/>
      <c r="AI8" s="541"/>
      <c r="AL8" s="139"/>
      <c r="AM8" s="139"/>
      <c r="AN8" s="139"/>
    </row>
    <row r="9" spans="1:40" x14ac:dyDescent="0.2">
      <c r="A9" s="11">
        <v>41671</v>
      </c>
      <c r="B9" s="384">
        <v>254800.00000000003</v>
      </c>
      <c r="C9" s="384"/>
      <c r="D9" s="385">
        <v>2000</v>
      </c>
      <c r="E9" s="384">
        <f>4400</f>
        <v>4400</v>
      </c>
      <c r="F9" s="384">
        <v>200</v>
      </c>
      <c r="G9" s="384"/>
      <c r="H9" s="384">
        <v>410</v>
      </c>
      <c r="I9" s="384"/>
      <c r="J9" s="380">
        <v>3.6040000000000001</v>
      </c>
      <c r="K9" s="384"/>
      <c r="L9" s="384"/>
      <c r="M9" s="380">
        <v>800</v>
      </c>
      <c r="N9" s="380">
        <v>200</v>
      </c>
      <c r="O9" s="381" t="s">
        <v>549</v>
      </c>
      <c r="P9" s="381">
        <f>0.67*154</f>
        <v>103.18</v>
      </c>
      <c r="Q9" s="380">
        <v>0</v>
      </c>
      <c r="R9" s="381"/>
      <c r="S9" s="381"/>
      <c r="T9" s="381"/>
      <c r="U9" s="384"/>
      <c r="V9" s="384"/>
      <c r="W9" s="382"/>
      <c r="X9" s="384"/>
      <c r="Y9" s="384"/>
      <c r="Z9" s="386"/>
      <c r="AH9" s="542"/>
      <c r="AI9" s="541"/>
      <c r="AL9" s="139"/>
      <c r="AM9" s="139"/>
      <c r="AN9" s="139"/>
    </row>
    <row r="10" spans="1:40" x14ac:dyDescent="0.2">
      <c r="A10" s="11">
        <v>41699</v>
      </c>
      <c r="B10" s="384">
        <v>282100</v>
      </c>
      <c r="C10" s="384"/>
      <c r="D10" s="385">
        <v>2000</v>
      </c>
      <c r="E10" s="384">
        <f>4800</f>
        <v>4800</v>
      </c>
      <c r="F10" s="384">
        <v>150</v>
      </c>
      <c r="G10" s="384"/>
      <c r="H10" s="384">
        <v>390</v>
      </c>
      <c r="I10" s="384"/>
      <c r="J10" s="380">
        <v>0.26300000000000001</v>
      </c>
      <c r="K10" s="384"/>
      <c r="L10" s="384"/>
      <c r="M10" s="380">
        <v>800</v>
      </c>
      <c r="N10" s="380">
        <v>400</v>
      </c>
      <c r="O10" s="381" t="s">
        <v>549</v>
      </c>
      <c r="P10" s="381">
        <f>0.67*170</f>
        <v>113.9</v>
      </c>
      <c r="Q10" s="380">
        <v>0</v>
      </c>
      <c r="R10" s="381"/>
      <c r="S10" s="381"/>
      <c r="T10" s="381"/>
      <c r="U10" s="384"/>
      <c r="V10" s="384"/>
      <c r="W10" s="382"/>
      <c r="X10" s="384"/>
      <c r="Y10" s="384"/>
      <c r="Z10" s="386"/>
      <c r="AH10" s="542"/>
      <c r="AI10" s="541"/>
      <c r="AL10" s="139"/>
      <c r="AM10" s="139"/>
      <c r="AN10" s="139"/>
    </row>
    <row r="11" spans="1:40" x14ac:dyDescent="0.2">
      <c r="A11" s="11">
        <v>41730</v>
      </c>
      <c r="B11" s="384">
        <v>273000.00000000006</v>
      </c>
      <c r="C11" s="384"/>
      <c r="D11" s="385">
        <v>2000</v>
      </c>
      <c r="E11" s="384">
        <f>4620</f>
        <v>4620</v>
      </c>
      <c r="F11" s="384">
        <v>110</v>
      </c>
      <c r="G11" s="384"/>
      <c r="H11" s="384">
        <v>510</v>
      </c>
      <c r="I11" s="384"/>
      <c r="J11" s="380">
        <v>8.3989999999999991</v>
      </c>
      <c r="K11" s="384"/>
      <c r="L11" s="384"/>
      <c r="M11" s="380">
        <v>800</v>
      </c>
      <c r="N11" s="380">
        <v>400</v>
      </c>
      <c r="O11" s="381" t="s">
        <v>549</v>
      </c>
      <c r="P11" s="381">
        <f>0.67*174</f>
        <v>116.58000000000001</v>
      </c>
      <c r="Q11" s="380">
        <v>0</v>
      </c>
      <c r="R11" s="381"/>
      <c r="S11" s="381"/>
      <c r="T11" s="381"/>
      <c r="U11" s="384"/>
      <c r="V11" s="384"/>
      <c r="W11" s="382"/>
      <c r="X11" s="384"/>
      <c r="Y11" s="384"/>
      <c r="Z11" s="386"/>
      <c r="AH11" s="542"/>
      <c r="AI11" s="541"/>
      <c r="AL11" s="139"/>
      <c r="AM11" s="139"/>
      <c r="AN11" s="139"/>
    </row>
    <row r="12" spans="1:40" x14ac:dyDescent="0.2">
      <c r="A12" s="11">
        <v>41760</v>
      </c>
      <c r="B12" s="384">
        <v>282100</v>
      </c>
      <c r="C12" s="384"/>
      <c r="D12" s="385">
        <v>2000</v>
      </c>
      <c r="E12" s="384">
        <f>4900</f>
        <v>4900</v>
      </c>
      <c r="F12" s="384">
        <v>350</v>
      </c>
      <c r="G12" s="384"/>
      <c r="H12" s="384">
        <v>470</v>
      </c>
      <c r="I12" s="384"/>
      <c r="J12" s="380">
        <v>22.335000000000001</v>
      </c>
      <c r="K12" s="384"/>
      <c r="L12" s="384"/>
      <c r="M12" s="380">
        <v>800</v>
      </c>
      <c r="N12" s="380">
        <v>400</v>
      </c>
      <c r="O12" s="381" t="s">
        <v>549</v>
      </c>
      <c r="P12" s="381">
        <f>0.67*120</f>
        <v>80.400000000000006</v>
      </c>
      <c r="Q12" s="380">
        <v>30</v>
      </c>
      <c r="R12" s="381"/>
      <c r="S12" s="381"/>
      <c r="T12" s="381"/>
      <c r="U12" s="384"/>
      <c r="V12" s="384"/>
      <c r="W12" s="382"/>
      <c r="X12" s="384"/>
      <c r="Y12" s="384"/>
      <c r="Z12" s="386"/>
      <c r="AH12" s="542"/>
      <c r="AI12" s="541"/>
      <c r="AL12" s="139"/>
      <c r="AM12" s="139"/>
      <c r="AN12" s="139"/>
    </row>
    <row r="13" spans="1:40" x14ac:dyDescent="0.2">
      <c r="A13" s="11">
        <v>41791</v>
      </c>
      <c r="B13" s="384">
        <v>273000.00000000006</v>
      </c>
      <c r="C13" s="384"/>
      <c r="D13" s="385">
        <v>2000</v>
      </c>
      <c r="E13" s="384">
        <f>4700</f>
        <v>4700</v>
      </c>
      <c r="F13" s="384">
        <v>450</v>
      </c>
      <c r="G13" s="384"/>
      <c r="H13" s="384">
        <v>400</v>
      </c>
      <c r="I13" s="384"/>
      <c r="J13" s="380">
        <v>14.836</v>
      </c>
      <c r="K13" s="384"/>
      <c r="L13" s="384"/>
      <c r="M13" s="380">
        <v>800</v>
      </c>
      <c r="N13" s="380">
        <v>400</v>
      </c>
      <c r="O13" s="381" t="s">
        <v>549</v>
      </c>
      <c r="P13" s="381">
        <f>0.67*112</f>
        <v>75.040000000000006</v>
      </c>
      <c r="Q13" s="380">
        <v>0</v>
      </c>
      <c r="R13" s="381"/>
      <c r="S13" s="381"/>
      <c r="T13" s="381"/>
      <c r="U13" s="384"/>
      <c r="V13" s="384"/>
      <c r="W13" s="382"/>
      <c r="X13" s="384"/>
      <c r="Y13" s="384"/>
      <c r="Z13" s="386"/>
      <c r="AH13" s="615"/>
      <c r="AI13" s="541"/>
      <c r="AL13" s="139"/>
      <c r="AM13" s="139"/>
      <c r="AN13" s="139"/>
    </row>
    <row r="14" spans="1:40" x14ac:dyDescent="0.2">
      <c r="A14" s="11">
        <v>41821</v>
      </c>
      <c r="B14" s="382">
        <v>282100</v>
      </c>
      <c r="C14" s="382"/>
      <c r="D14" s="387">
        <v>2000</v>
      </c>
      <c r="E14" s="382">
        <f>4520</f>
        <v>4520</v>
      </c>
      <c r="F14" s="382">
        <v>150</v>
      </c>
      <c r="G14" s="382"/>
      <c r="H14" s="382">
        <v>370</v>
      </c>
      <c r="I14" s="382"/>
      <c r="J14" s="388">
        <v>27.087</v>
      </c>
      <c r="K14" s="382"/>
      <c r="L14" s="382"/>
      <c r="M14" s="388">
        <v>1000</v>
      </c>
      <c r="N14" s="388">
        <v>600</v>
      </c>
      <c r="O14" s="389" t="s">
        <v>549</v>
      </c>
      <c r="P14" s="389">
        <f>0.67*114</f>
        <v>76.38000000000001</v>
      </c>
      <c r="Q14" s="388">
        <v>0</v>
      </c>
      <c r="R14" s="389"/>
      <c r="S14" s="389"/>
      <c r="T14" s="389"/>
      <c r="U14" s="382"/>
      <c r="V14" s="382"/>
      <c r="W14" s="382"/>
      <c r="X14" s="382"/>
      <c r="Y14" s="382"/>
      <c r="Z14" s="390"/>
      <c r="AH14" s="542"/>
      <c r="AI14" s="541"/>
      <c r="AL14" s="139"/>
      <c r="AM14" s="139"/>
      <c r="AN14" s="139"/>
    </row>
    <row r="15" spans="1:40" x14ac:dyDescent="0.2">
      <c r="A15" s="11">
        <v>41852</v>
      </c>
      <c r="B15" s="382">
        <v>282100</v>
      </c>
      <c r="C15" s="382"/>
      <c r="D15" s="387">
        <v>2000</v>
      </c>
      <c r="E15" s="382">
        <f>4610</f>
        <v>4610</v>
      </c>
      <c r="F15" s="382">
        <v>140</v>
      </c>
      <c r="G15" s="382"/>
      <c r="H15" s="382">
        <v>400</v>
      </c>
      <c r="I15" s="382"/>
      <c r="J15" s="388">
        <v>16.097000000000001</v>
      </c>
      <c r="K15" s="382">
        <v>626</v>
      </c>
      <c r="L15" s="382"/>
      <c r="M15" s="388">
        <v>800</v>
      </c>
      <c r="N15" s="388">
        <v>400</v>
      </c>
      <c r="O15" s="389" t="s">
        <v>549</v>
      </c>
      <c r="P15" s="389">
        <f>0.67*86</f>
        <v>57.620000000000005</v>
      </c>
      <c r="Q15" s="388">
        <v>0</v>
      </c>
      <c r="R15" s="389"/>
      <c r="S15" s="389"/>
      <c r="T15" s="389"/>
      <c r="U15" s="382"/>
      <c r="V15" s="382"/>
      <c r="W15" s="382"/>
      <c r="X15" s="382"/>
      <c r="Y15" s="382"/>
      <c r="Z15" s="390"/>
      <c r="AH15" s="542"/>
      <c r="AI15" s="541"/>
    </row>
    <row r="16" spans="1:40" x14ac:dyDescent="0.2">
      <c r="A16" s="11">
        <v>41883</v>
      </c>
      <c r="B16" s="382">
        <v>273000.00000000006</v>
      </c>
      <c r="C16" s="382"/>
      <c r="D16" s="387">
        <v>2000</v>
      </c>
      <c r="E16" s="382">
        <f>4500</f>
        <v>4500</v>
      </c>
      <c r="F16" s="382">
        <v>350</v>
      </c>
      <c r="G16" s="382"/>
      <c r="H16" s="382">
        <v>390</v>
      </c>
      <c r="I16" s="382"/>
      <c r="J16" s="388">
        <v>4.0220000000000002</v>
      </c>
      <c r="K16" s="382">
        <v>827</v>
      </c>
      <c r="L16" s="382"/>
      <c r="M16" s="388">
        <v>800</v>
      </c>
      <c r="N16" s="388">
        <v>400</v>
      </c>
      <c r="O16" s="389" t="s">
        <v>549</v>
      </c>
      <c r="P16" s="389">
        <f>0.67*139</f>
        <v>93.13000000000001</v>
      </c>
      <c r="Q16" s="388">
        <v>0</v>
      </c>
      <c r="R16" s="389"/>
      <c r="S16" s="389"/>
      <c r="T16" s="389"/>
      <c r="U16" s="382"/>
      <c r="V16" s="382"/>
      <c r="W16" s="382"/>
      <c r="X16" s="382"/>
      <c r="Y16" s="382"/>
      <c r="Z16" s="390"/>
      <c r="AH16" s="542"/>
      <c r="AI16" s="541"/>
    </row>
    <row r="17" spans="1:35" x14ac:dyDescent="0.2">
      <c r="A17" s="11">
        <v>41913</v>
      </c>
      <c r="B17" s="382">
        <v>282100</v>
      </c>
      <c r="C17" s="382"/>
      <c r="D17" s="387">
        <v>2000</v>
      </c>
      <c r="E17" s="382">
        <f>4100</f>
        <v>4100</v>
      </c>
      <c r="F17" s="382">
        <v>90</v>
      </c>
      <c r="G17" s="382"/>
      <c r="H17" s="382">
        <v>420</v>
      </c>
      <c r="I17" s="382"/>
      <c r="J17" s="388">
        <v>0.52600000000000002</v>
      </c>
      <c r="K17" s="382">
        <v>728</v>
      </c>
      <c r="L17" s="382">
        <v>0</v>
      </c>
      <c r="M17" s="388">
        <v>800</v>
      </c>
      <c r="N17" s="388">
        <v>400</v>
      </c>
      <c r="O17" s="389" t="s">
        <v>549</v>
      </c>
      <c r="P17" s="389">
        <f>0.67*100</f>
        <v>67</v>
      </c>
      <c r="Q17" s="388">
        <v>25</v>
      </c>
      <c r="R17" s="389"/>
      <c r="S17" s="389"/>
      <c r="T17" s="389"/>
      <c r="U17" s="382"/>
      <c r="V17" s="382"/>
      <c r="W17" s="382"/>
      <c r="X17" s="382"/>
      <c r="Y17" s="382"/>
      <c r="Z17" s="390"/>
      <c r="AH17" s="542"/>
      <c r="AI17" s="541"/>
    </row>
    <row r="18" spans="1:35" x14ac:dyDescent="0.2">
      <c r="A18" s="11">
        <v>41944</v>
      </c>
      <c r="B18" s="382">
        <v>273000.00000000006</v>
      </c>
      <c r="C18" s="391"/>
      <c r="D18" s="387">
        <v>2000</v>
      </c>
      <c r="E18" s="391">
        <f>4900</f>
        <v>4900</v>
      </c>
      <c r="F18" s="391">
        <v>110</v>
      </c>
      <c r="G18" s="391"/>
      <c r="H18" s="391">
        <v>390</v>
      </c>
      <c r="I18" s="391"/>
      <c r="J18" s="392">
        <v>2.4750000000000001</v>
      </c>
      <c r="K18" s="391">
        <v>1653</v>
      </c>
      <c r="L18" s="391">
        <v>0</v>
      </c>
      <c r="M18" s="392">
        <v>800</v>
      </c>
      <c r="N18" s="392">
        <v>400</v>
      </c>
      <c r="O18" s="389" t="s">
        <v>549</v>
      </c>
      <c r="P18" s="393">
        <f>0.67*100</f>
        <v>67</v>
      </c>
      <c r="Q18" s="392">
        <v>0</v>
      </c>
      <c r="R18" s="389"/>
      <c r="S18" s="389"/>
      <c r="T18" s="389"/>
      <c r="U18" s="382"/>
      <c r="V18" s="382"/>
      <c r="W18" s="382"/>
      <c r="X18" s="382"/>
      <c r="Y18" s="382"/>
      <c r="Z18" s="390"/>
      <c r="AH18" s="542"/>
      <c r="AI18" s="541"/>
    </row>
    <row r="19" spans="1:35" x14ac:dyDescent="0.2">
      <c r="A19" s="11">
        <v>41974</v>
      </c>
      <c r="B19" s="382">
        <v>282100</v>
      </c>
      <c r="C19" s="391"/>
      <c r="D19" s="387">
        <v>2000</v>
      </c>
      <c r="E19" s="391">
        <f>4750</f>
        <v>4750</v>
      </c>
      <c r="F19" s="391">
        <v>100</v>
      </c>
      <c r="G19" s="391"/>
      <c r="H19" s="391">
        <v>420</v>
      </c>
      <c r="I19" s="391"/>
      <c r="J19" s="392">
        <v>2.5209999999999999</v>
      </c>
      <c r="K19" s="391">
        <v>875</v>
      </c>
      <c r="L19" s="391">
        <v>160</v>
      </c>
      <c r="M19" s="392">
        <v>1000</v>
      </c>
      <c r="N19" s="392">
        <v>400</v>
      </c>
      <c r="O19" s="393">
        <f>0.05*117</f>
        <v>5.8500000000000005</v>
      </c>
      <c r="P19" s="393">
        <f>0.67*93</f>
        <v>62.31</v>
      </c>
      <c r="Q19" s="392">
        <v>0</v>
      </c>
      <c r="R19" s="389"/>
      <c r="S19" s="389"/>
      <c r="T19" s="389"/>
      <c r="U19" s="382"/>
      <c r="V19" s="382"/>
      <c r="W19" s="382"/>
      <c r="X19" s="382"/>
      <c r="Y19" s="382"/>
      <c r="Z19" s="390"/>
      <c r="AH19" s="542"/>
      <c r="AI19" s="541"/>
    </row>
    <row r="20" spans="1:35" x14ac:dyDescent="0.2">
      <c r="A20" s="11">
        <v>42005</v>
      </c>
      <c r="B20" s="382">
        <v>282100</v>
      </c>
      <c r="C20" s="391"/>
      <c r="D20" s="387">
        <v>2000</v>
      </c>
      <c r="E20" s="391">
        <f>4640</f>
        <v>4640</v>
      </c>
      <c r="F20" s="391">
        <v>370</v>
      </c>
      <c r="G20" s="391"/>
      <c r="H20" s="391">
        <v>390</v>
      </c>
      <c r="I20" s="391"/>
      <c r="J20" s="392">
        <v>4.6870000000000003</v>
      </c>
      <c r="K20" s="391">
        <v>870</v>
      </c>
      <c r="L20" s="391">
        <v>70</v>
      </c>
      <c r="M20" s="392">
        <v>800</v>
      </c>
      <c r="N20" s="392">
        <v>400</v>
      </c>
      <c r="O20" s="393" t="s">
        <v>549</v>
      </c>
      <c r="P20" s="393">
        <f>0.67*146</f>
        <v>97.820000000000007</v>
      </c>
      <c r="Q20" s="392">
        <v>0</v>
      </c>
      <c r="R20" s="389"/>
      <c r="S20" s="389"/>
      <c r="T20" s="389"/>
      <c r="U20" s="382"/>
      <c r="V20" s="382"/>
      <c r="W20" s="382"/>
      <c r="X20" s="382"/>
      <c r="Y20" s="382"/>
      <c r="Z20" s="390"/>
      <c r="AH20" s="542"/>
      <c r="AI20" s="541"/>
    </row>
    <row r="21" spans="1:35" x14ac:dyDescent="0.2">
      <c r="A21" s="11">
        <v>42036</v>
      </c>
      <c r="B21" s="382">
        <v>254800.00000000003</v>
      </c>
      <c r="C21" s="391"/>
      <c r="D21" s="387">
        <v>2000</v>
      </c>
      <c r="E21" s="391">
        <f>4540</f>
        <v>4540</v>
      </c>
      <c r="F21" s="391">
        <v>110</v>
      </c>
      <c r="G21" s="391"/>
      <c r="H21" s="391">
        <v>380</v>
      </c>
      <c r="I21" s="391"/>
      <c r="J21" s="392">
        <v>14.617000000000001</v>
      </c>
      <c r="K21" s="391">
        <v>856</v>
      </c>
      <c r="L21" s="391">
        <v>0</v>
      </c>
      <c r="M21" s="392">
        <v>800</v>
      </c>
      <c r="N21" s="392">
        <v>400</v>
      </c>
      <c r="O21" s="393" t="s">
        <v>549</v>
      </c>
      <c r="P21" s="393">
        <f>0.67*97</f>
        <v>64.990000000000009</v>
      </c>
      <c r="Q21" s="388">
        <v>21</v>
      </c>
      <c r="R21" s="389"/>
      <c r="S21" s="389"/>
      <c r="T21" s="389"/>
      <c r="U21" s="382"/>
      <c r="V21" s="382"/>
      <c r="W21" s="382"/>
      <c r="X21" s="382"/>
      <c r="Y21" s="382"/>
      <c r="Z21" s="390"/>
      <c r="AH21" s="542"/>
      <c r="AI21" s="541"/>
    </row>
    <row r="22" spans="1:35" x14ac:dyDescent="0.2">
      <c r="A22" s="11">
        <v>42064</v>
      </c>
      <c r="B22" s="382">
        <v>282100</v>
      </c>
      <c r="C22" s="391"/>
      <c r="D22" s="387">
        <v>2000</v>
      </c>
      <c r="E22" s="391">
        <f>4140</f>
        <v>4140</v>
      </c>
      <c r="F22" s="391">
        <v>140</v>
      </c>
      <c r="G22" s="391"/>
      <c r="H22" s="391">
        <v>410</v>
      </c>
      <c r="I22" s="391"/>
      <c r="J22" s="392">
        <v>4.3780000000000001</v>
      </c>
      <c r="K22" s="391">
        <v>1953</v>
      </c>
      <c r="L22" s="391">
        <v>0</v>
      </c>
      <c r="M22" s="392">
        <v>800</v>
      </c>
      <c r="N22" s="392">
        <v>400</v>
      </c>
      <c r="O22" s="393" t="s">
        <v>549</v>
      </c>
      <c r="P22" s="393">
        <f>0.67*127</f>
        <v>85.09</v>
      </c>
      <c r="Q22" s="392">
        <v>0</v>
      </c>
      <c r="R22" s="389"/>
      <c r="S22" s="389"/>
      <c r="T22" s="389"/>
      <c r="U22" s="382"/>
      <c r="V22" s="382"/>
      <c r="W22" s="382"/>
      <c r="X22" s="382"/>
      <c r="Y22" s="382"/>
      <c r="Z22" s="390"/>
      <c r="AH22" s="542"/>
      <c r="AI22" s="541"/>
    </row>
    <row r="23" spans="1:35" x14ac:dyDescent="0.2">
      <c r="A23" s="11">
        <v>42095</v>
      </c>
      <c r="B23" s="382">
        <v>273000.00000000006</v>
      </c>
      <c r="C23" s="391"/>
      <c r="D23" s="387">
        <v>2000</v>
      </c>
      <c r="E23" s="391">
        <f>4040</f>
        <v>4040</v>
      </c>
      <c r="F23" s="391">
        <v>110</v>
      </c>
      <c r="G23" s="391"/>
      <c r="H23" s="391">
        <v>500</v>
      </c>
      <c r="I23" s="391"/>
      <c r="J23" s="392">
        <v>0.65</v>
      </c>
      <c r="K23" s="391">
        <v>1067</v>
      </c>
      <c r="L23" s="391">
        <v>240</v>
      </c>
      <c r="M23" s="392">
        <v>1000</v>
      </c>
      <c r="N23" s="392">
        <v>400</v>
      </c>
      <c r="O23" s="393" t="s">
        <v>549</v>
      </c>
      <c r="P23" s="393">
        <f>0.67*88</f>
        <v>58.96</v>
      </c>
      <c r="Q23" s="392">
        <v>0</v>
      </c>
      <c r="R23" s="389"/>
      <c r="S23" s="389"/>
      <c r="T23" s="389"/>
      <c r="U23" s="382"/>
      <c r="V23" s="382"/>
      <c r="W23" s="382"/>
      <c r="X23" s="382"/>
      <c r="Y23" s="382"/>
      <c r="Z23" s="390"/>
      <c r="AH23" s="542"/>
      <c r="AI23" s="541"/>
    </row>
    <row r="24" spans="1:35" x14ac:dyDescent="0.2">
      <c r="A24" s="11">
        <v>42125</v>
      </c>
      <c r="B24" s="382">
        <v>282100</v>
      </c>
      <c r="C24" s="391"/>
      <c r="D24" s="387">
        <v>2000</v>
      </c>
      <c r="E24" s="391">
        <f>4090</f>
        <v>4090</v>
      </c>
      <c r="F24" s="391">
        <v>550</v>
      </c>
      <c r="G24" s="391"/>
      <c r="H24" s="391">
        <v>460</v>
      </c>
      <c r="I24" s="391"/>
      <c r="J24" s="392">
        <v>3.3570000000000002</v>
      </c>
      <c r="K24" s="391">
        <v>1074</v>
      </c>
      <c r="L24" s="391">
        <v>400</v>
      </c>
      <c r="M24" s="392">
        <v>800</v>
      </c>
      <c r="N24" s="392">
        <v>400</v>
      </c>
      <c r="O24" s="393" t="s">
        <v>549</v>
      </c>
      <c r="P24" s="393">
        <f>0.67*115</f>
        <v>77.050000000000011</v>
      </c>
      <c r="Q24" s="392">
        <v>0</v>
      </c>
      <c r="R24" s="389"/>
      <c r="S24" s="389"/>
      <c r="T24" s="389"/>
      <c r="U24" s="382"/>
      <c r="V24" s="382"/>
      <c r="W24" s="382"/>
      <c r="X24" s="382"/>
      <c r="Y24" s="382"/>
      <c r="Z24" s="390"/>
      <c r="AH24" s="542"/>
      <c r="AI24" s="541"/>
    </row>
    <row r="25" spans="1:35" x14ac:dyDescent="0.2">
      <c r="A25" s="11">
        <v>42156</v>
      </c>
      <c r="B25" s="382">
        <v>273000.00000000006</v>
      </c>
      <c r="C25" s="391"/>
      <c r="D25" s="387">
        <v>2000</v>
      </c>
      <c r="E25" s="391">
        <f>4000</f>
        <v>4000</v>
      </c>
      <c r="F25" s="391">
        <v>150</v>
      </c>
      <c r="G25" s="391"/>
      <c r="H25" s="391">
        <v>410</v>
      </c>
      <c r="I25" s="391"/>
      <c r="J25" s="392">
        <v>1.764</v>
      </c>
      <c r="K25" s="391">
        <v>1038</v>
      </c>
      <c r="L25" s="391">
        <v>270</v>
      </c>
      <c r="M25" s="392">
        <v>800</v>
      </c>
      <c r="N25" s="392">
        <v>400</v>
      </c>
      <c r="O25" s="393" t="s">
        <v>549</v>
      </c>
      <c r="P25" s="393">
        <f>0.67*138</f>
        <v>92.460000000000008</v>
      </c>
      <c r="Q25" s="392">
        <v>0</v>
      </c>
      <c r="R25" s="389"/>
      <c r="S25" s="389"/>
      <c r="T25" s="389"/>
      <c r="U25" s="382"/>
      <c r="V25" s="382"/>
      <c r="W25" s="382"/>
      <c r="X25" s="382"/>
      <c r="Y25" s="382"/>
      <c r="Z25" s="390"/>
      <c r="AH25" s="615"/>
      <c r="AI25" s="541"/>
    </row>
    <row r="26" spans="1:35" x14ac:dyDescent="0.2">
      <c r="A26" s="11">
        <v>42186</v>
      </c>
      <c r="B26" s="384">
        <v>231390</v>
      </c>
      <c r="C26" s="384"/>
      <c r="D26" s="385">
        <v>2000</v>
      </c>
      <c r="E26" s="384">
        <f>4150</f>
        <v>4150</v>
      </c>
      <c r="F26" s="384">
        <v>110</v>
      </c>
      <c r="G26" s="384"/>
      <c r="H26" s="384">
        <v>510</v>
      </c>
      <c r="I26" s="384"/>
      <c r="J26" s="380">
        <v>6.2E-2</v>
      </c>
      <c r="K26" s="384">
        <v>957</v>
      </c>
      <c r="L26" s="384">
        <v>0</v>
      </c>
      <c r="M26" s="380">
        <v>1000</v>
      </c>
      <c r="N26" s="380">
        <v>600</v>
      </c>
      <c r="O26" s="381" t="s">
        <v>549</v>
      </c>
      <c r="P26" s="381">
        <f>0.67*155</f>
        <v>103.85000000000001</v>
      </c>
      <c r="Q26" s="380">
        <v>0</v>
      </c>
      <c r="R26" s="381"/>
      <c r="S26" s="381"/>
      <c r="T26" s="381"/>
      <c r="U26" s="384"/>
      <c r="V26" s="384"/>
      <c r="W26" s="382"/>
      <c r="X26" s="384"/>
      <c r="Y26" s="384"/>
      <c r="Z26" s="386"/>
      <c r="AH26" s="542"/>
      <c r="AI26" s="541"/>
    </row>
    <row r="27" spans="1:35" x14ac:dyDescent="0.2">
      <c r="A27" s="11">
        <v>42217</v>
      </c>
      <c r="B27" s="384">
        <v>281540</v>
      </c>
      <c r="C27" s="384"/>
      <c r="D27" s="385">
        <v>2000</v>
      </c>
      <c r="E27" s="384">
        <f>4020</f>
        <v>4020</v>
      </c>
      <c r="F27" s="384">
        <v>130</v>
      </c>
      <c r="G27" s="384"/>
      <c r="H27" s="384">
        <v>480</v>
      </c>
      <c r="I27" s="384"/>
      <c r="J27" s="380">
        <v>5.0060000000000002</v>
      </c>
      <c r="K27" s="384">
        <v>827</v>
      </c>
      <c r="L27" s="384">
        <v>270</v>
      </c>
      <c r="M27" s="380">
        <v>800</v>
      </c>
      <c r="N27" s="380">
        <v>400</v>
      </c>
      <c r="O27" s="381" t="s">
        <v>549</v>
      </c>
      <c r="P27" s="381">
        <f>0.67*105</f>
        <v>70.350000000000009</v>
      </c>
      <c r="Q27" s="380">
        <v>0</v>
      </c>
      <c r="R27" s="381"/>
      <c r="S27" s="381"/>
      <c r="T27" s="381"/>
      <c r="U27" s="384"/>
      <c r="V27" s="384"/>
      <c r="W27" s="382"/>
      <c r="X27" s="384"/>
      <c r="Y27" s="384"/>
      <c r="Z27" s="386"/>
      <c r="AH27" s="542"/>
      <c r="AI27" s="541"/>
    </row>
    <row r="28" spans="1:35" x14ac:dyDescent="0.2">
      <c r="A28" s="11">
        <v>42248</v>
      </c>
      <c r="B28" s="384">
        <v>272880</v>
      </c>
      <c r="C28" s="384"/>
      <c r="D28" s="385">
        <v>2000</v>
      </c>
      <c r="E28" s="384">
        <f>3810</f>
        <v>3810</v>
      </c>
      <c r="F28" s="384">
        <v>100</v>
      </c>
      <c r="G28" s="384"/>
      <c r="H28" s="384">
        <v>390</v>
      </c>
      <c r="I28" s="384"/>
      <c r="J28" s="380">
        <v>1.5780000000000001</v>
      </c>
      <c r="K28" s="384">
        <v>1956</v>
      </c>
      <c r="L28" s="384">
        <v>120</v>
      </c>
      <c r="M28" s="380">
        <v>1000</v>
      </c>
      <c r="N28" s="380">
        <v>400</v>
      </c>
      <c r="O28" s="381" t="s">
        <v>549</v>
      </c>
      <c r="P28" s="381">
        <f>0.67*128</f>
        <v>85.76</v>
      </c>
      <c r="Q28" s="380">
        <v>0</v>
      </c>
      <c r="R28" s="381"/>
      <c r="S28" s="381"/>
      <c r="T28" s="381"/>
      <c r="U28" s="384"/>
      <c r="V28" s="384"/>
      <c r="W28" s="382"/>
      <c r="X28" s="384"/>
      <c r="Y28" s="384"/>
      <c r="Z28" s="386"/>
      <c r="AH28" s="542"/>
      <c r="AI28" s="541"/>
    </row>
    <row r="29" spans="1:35" x14ac:dyDescent="0.2">
      <c r="A29" s="11">
        <v>42278</v>
      </c>
      <c r="B29" s="384">
        <v>281000</v>
      </c>
      <c r="C29" s="384"/>
      <c r="D29" s="385">
        <v>2000</v>
      </c>
      <c r="E29" s="384">
        <f>3970</f>
        <v>3970</v>
      </c>
      <c r="F29" s="384">
        <v>90</v>
      </c>
      <c r="G29" s="384"/>
      <c r="H29" s="384">
        <v>480</v>
      </c>
      <c r="I29" s="384"/>
      <c r="J29" s="380">
        <v>2.0419999999999998</v>
      </c>
      <c r="K29" s="384">
        <v>3297</v>
      </c>
      <c r="L29" s="384">
        <v>160</v>
      </c>
      <c r="M29" s="380">
        <v>800</v>
      </c>
      <c r="N29" s="380">
        <v>200</v>
      </c>
      <c r="O29" s="381" t="s">
        <v>549</v>
      </c>
      <c r="P29" s="381">
        <f>0.67*103</f>
        <v>69.010000000000005</v>
      </c>
      <c r="Q29" s="380">
        <v>0</v>
      </c>
      <c r="R29" s="381"/>
      <c r="S29" s="381"/>
      <c r="T29" s="381"/>
      <c r="U29" s="384"/>
      <c r="V29" s="384"/>
      <c r="W29" s="382"/>
      <c r="X29" s="384"/>
      <c r="Y29" s="384"/>
      <c r="Z29" s="386"/>
      <c r="AH29" s="542"/>
      <c r="AI29" s="541"/>
    </row>
    <row r="30" spans="1:35" x14ac:dyDescent="0.2">
      <c r="A30" s="11">
        <v>42309</v>
      </c>
      <c r="B30" s="384">
        <v>274289.99999999994</v>
      </c>
      <c r="C30" s="384"/>
      <c r="D30" s="385">
        <v>2000</v>
      </c>
      <c r="E30" s="384">
        <f>3890</f>
        <v>3890</v>
      </c>
      <c r="F30" s="384">
        <v>100</v>
      </c>
      <c r="G30" s="384"/>
      <c r="H30" s="384">
        <v>450</v>
      </c>
      <c r="I30" s="384"/>
      <c r="J30" s="380">
        <v>6.2E-2</v>
      </c>
      <c r="K30" s="384">
        <v>1785</v>
      </c>
      <c r="L30" s="384">
        <v>50</v>
      </c>
      <c r="M30" s="380">
        <v>800</v>
      </c>
      <c r="N30" s="380">
        <v>600</v>
      </c>
      <c r="O30" s="381" t="s">
        <v>549</v>
      </c>
      <c r="P30" s="381">
        <f>0.67*143</f>
        <v>95.81</v>
      </c>
      <c r="Q30" s="380">
        <v>0</v>
      </c>
      <c r="R30" s="381"/>
      <c r="S30" s="381"/>
      <c r="T30" s="381"/>
      <c r="U30" s="384"/>
      <c r="V30" s="384"/>
      <c r="W30" s="382"/>
      <c r="X30" s="384"/>
      <c r="Y30" s="384"/>
      <c r="Z30" s="386"/>
      <c r="AH30" s="542"/>
      <c r="AI30" s="541"/>
    </row>
    <row r="31" spans="1:35" x14ac:dyDescent="0.2">
      <c r="A31" s="11">
        <v>42339</v>
      </c>
      <c r="B31" s="384">
        <v>267880</v>
      </c>
      <c r="C31" s="384"/>
      <c r="D31" s="385">
        <v>2000</v>
      </c>
      <c r="E31" s="384">
        <f>3810</f>
        <v>3810</v>
      </c>
      <c r="F31" s="384">
        <v>250</v>
      </c>
      <c r="G31" s="384"/>
      <c r="H31" s="384">
        <v>370</v>
      </c>
      <c r="I31" s="384"/>
      <c r="J31" s="380">
        <v>3.2240000000000002</v>
      </c>
      <c r="K31" s="384">
        <v>1400</v>
      </c>
      <c r="L31" s="384">
        <v>250</v>
      </c>
      <c r="M31" s="380">
        <v>1200</v>
      </c>
      <c r="N31" s="380">
        <v>1200</v>
      </c>
      <c r="O31" s="381">
        <f>0.05*97</f>
        <v>4.8500000000000005</v>
      </c>
      <c r="P31" s="381">
        <f>0.67*130</f>
        <v>87.100000000000009</v>
      </c>
      <c r="Q31" s="380">
        <v>0</v>
      </c>
      <c r="R31" s="381"/>
      <c r="S31" s="381"/>
      <c r="T31" s="381"/>
      <c r="U31" s="384"/>
      <c r="V31" s="384"/>
      <c r="W31" s="382"/>
      <c r="X31" s="384"/>
      <c r="Y31" s="384"/>
      <c r="Z31" s="386"/>
      <c r="AH31" s="542"/>
      <c r="AI31" s="541"/>
    </row>
    <row r="32" spans="1:35" x14ac:dyDescent="0.2">
      <c r="A32" s="11">
        <v>42370</v>
      </c>
      <c r="B32" s="384">
        <v>269800</v>
      </c>
      <c r="C32" s="384"/>
      <c r="D32" s="385">
        <f t="shared" ref="D32:D37" si="0">2000+177.808333</f>
        <v>2177.8083329999999</v>
      </c>
      <c r="E32" s="384">
        <f>4230</f>
        <v>4230</v>
      </c>
      <c r="F32" s="384">
        <v>300</v>
      </c>
      <c r="G32" s="384"/>
      <c r="H32" s="384">
        <v>460</v>
      </c>
      <c r="I32" s="384"/>
      <c r="J32" s="380">
        <v>0.17</v>
      </c>
      <c r="K32" s="384">
        <v>1647</v>
      </c>
      <c r="L32" s="384">
        <v>100</v>
      </c>
      <c r="M32" s="556">
        <v>1200</v>
      </c>
      <c r="N32" s="556">
        <v>400</v>
      </c>
      <c r="O32" s="381" t="s">
        <v>549</v>
      </c>
      <c r="P32" s="381">
        <f>0.67*77</f>
        <v>51.59</v>
      </c>
      <c r="Q32" s="380">
        <v>20</v>
      </c>
      <c r="R32" s="381"/>
      <c r="S32" s="381"/>
      <c r="T32" s="381"/>
      <c r="U32" s="384"/>
      <c r="V32" s="384"/>
      <c r="W32" s="382"/>
      <c r="X32" s="384"/>
      <c r="Y32" s="384"/>
      <c r="Z32" s="386"/>
      <c r="AH32" s="542"/>
      <c r="AI32" s="541"/>
    </row>
    <row r="33" spans="1:35" x14ac:dyDescent="0.2">
      <c r="A33" s="11">
        <v>42401</v>
      </c>
      <c r="B33" s="384">
        <v>240500</v>
      </c>
      <c r="C33" s="384"/>
      <c r="D33" s="385">
        <f t="shared" si="0"/>
        <v>2177.8083329999999</v>
      </c>
      <c r="E33" s="384">
        <f>4070</f>
        <v>4070</v>
      </c>
      <c r="F33" s="384">
        <v>250</v>
      </c>
      <c r="G33" s="384"/>
      <c r="H33" s="384">
        <v>490</v>
      </c>
      <c r="I33" s="384"/>
      <c r="J33" s="380">
        <v>0.108</v>
      </c>
      <c r="K33" s="384">
        <v>3015</v>
      </c>
      <c r="L33" s="384">
        <v>160</v>
      </c>
      <c r="M33" s="556">
        <v>600</v>
      </c>
      <c r="N33" s="556">
        <v>200</v>
      </c>
      <c r="O33" s="381" t="s">
        <v>549</v>
      </c>
      <c r="P33" s="381">
        <f>0.67*57</f>
        <v>38.190000000000005</v>
      </c>
      <c r="Q33" s="380">
        <v>0</v>
      </c>
      <c r="R33" s="381"/>
      <c r="S33" s="381"/>
      <c r="T33" s="381"/>
      <c r="U33" s="384"/>
      <c r="V33" s="384"/>
      <c r="W33" s="382"/>
      <c r="X33" s="384"/>
      <c r="Y33" s="384"/>
      <c r="Z33" s="386"/>
      <c r="AH33" s="542"/>
      <c r="AI33" s="541"/>
    </row>
    <row r="34" spans="1:35" x14ac:dyDescent="0.2">
      <c r="A34" s="11">
        <v>42430</v>
      </c>
      <c r="B34" s="384">
        <v>263290</v>
      </c>
      <c r="C34" s="384"/>
      <c r="D34" s="385">
        <f t="shared" si="0"/>
        <v>2177.8083329999999</v>
      </c>
      <c r="E34" s="384">
        <f>4120</f>
        <v>4120</v>
      </c>
      <c r="F34" s="384">
        <v>170</v>
      </c>
      <c r="G34" s="384"/>
      <c r="H34" s="384">
        <v>500</v>
      </c>
      <c r="I34" s="384"/>
      <c r="J34" s="380">
        <v>1.4359999999999999</v>
      </c>
      <c r="K34" s="384">
        <v>1168</v>
      </c>
      <c r="L34" s="384">
        <v>30</v>
      </c>
      <c r="M34" s="556">
        <v>1200</v>
      </c>
      <c r="N34" s="556">
        <v>400</v>
      </c>
      <c r="O34" s="381" t="s">
        <v>549</v>
      </c>
      <c r="P34" s="381">
        <f>0.67*130</f>
        <v>87.100000000000009</v>
      </c>
      <c r="Q34" s="380">
        <v>0</v>
      </c>
      <c r="R34" s="381"/>
      <c r="S34" s="381"/>
      <c r="T34" s="381"/>
      <c r="U34" s="384"/>
      <c r="V34" s="384"/>
      <c r="W34" s="382"/>
      <c r="X34" s="384"/>
      <c r="Y34" s="384"/>
      <c r="Z34" s="386"/>
      <c r="AH34" s="542"/>
      <c r="AI34" s="541"/>
    </row>
    <row r="35" spans="1:35" x14ac:dyDescent="0.2">
      <c r="A35" s="11">
        <v>42461</v>
      </c>
      <c r="B35" s="384">
        <v>260100.00000000003</v>
      </c>
      <c r="C35" s="384"/>
      <c r="D35" s="385">
        <f t="shared" si="0"/>
        <v>2177.8083329999999</v>
      </c>
      <c r="E35" s="384">
        <f>4050</f>
        <v>4050</v>
      </c>
      <c r="F35" s="384">
        <v>140</v>
      </c>
      <c r="G35" s="384"/>
      <c r="H35" s="384">
        <v>410</v>
      </c>
      <c r="I35" s="384"/>
      <c r="J35" s="380">
        <v>1.764</v>
      </c>
      <c r="K35" s="384">
        <v>1397</v>
      </c>
      <c r="L35" s="384">
        <v>100</v>
      </c>
      <c r="M35" s="556">
        <v>600</v>
      </c>
      <c r="N35" s="556">
        <v>400</v>
      </c>
      <c r="O35" s="381" t="s">
        <v>549</v>
      </c>
      <c r="P35" s="381">
        <f>0.67*81</f>
        <v>54.27</v>
      </c>
      <c r="Q35" s="380">
        <v>0</v>
      </c>
      <c r="R35" s="381"/>
      <c r="S35" s="381"/>
      <c r="T35" s="381"/>
      <c r="U35" s="384"/>
      <c r="V35" s="384"/>
      <c r="W35" s="382"/>
      <c r="X35" s="384"/>
      <c r="Y35" s="384"/>
      <c r="Z35" s="386"/>
      <c r="AH35" s="542"/>
      <c r="AI35" s="541"/>
    </row>
    <row r="36" spans="1:35" x14ac:dyDescent="0.2">
      <c r="A36" s="11">
        <v>42491</v>
      </c>
      <c r="B36" s="384">
        <v>279280.00000000006</v>
      </c>
      <c r="C36" s="384"/>
      <c r="D36" s="385">
        <f t="shared" si="0"/>
        <v>2177.8083329999999</v>
      </c>
      <c r="E36" s="384">
        <f>4080</f>
        <v>4080</v>
      </c>
      <c r="F36" s="384">
        <v>110</v>
      </c>
      <c r="G36" s="384"/>
      <c r="H36" s="384">
        <v>500</v>
      </c>
      <c r="I36" s="384"/>
      <c r="J36" s="380">
        <v>0</v>
      </c>
      <c r="K36" s="384">
        <v>1824</v>
      </c>
      <c r="L36" s="384">
        <v>150</v>
      </c>
      <c r="M36" s="556">
        <v>1000</v>
      </c>
      <c r="N36" s="556">
        <v>400</v>
      </c>
      <c r="O36" s="381" t="s">
        <v>549</v>
      </c>
      <c r="P36" s="381">
        <f>0.67*52</f>
        <v>34.840000000000003</v>
      </c>
      <c r="Q36" s="380">
        <v>9</v>
      </c>
      <c r="R36" s="381"/>
      <c r="S36" s="381"/>
      <c r="T36" s="381"/>
      <c r="U36" s="384"/>
      <c r="V36" s="384"/>
      <c r="W36" s="382"/>
      <c r="X36" s="384"/>
      <c r="Y36" s="384"/>
      <c r="Z36" s="386"/>
      <c r="AH36" s="542"/>
      <c r="AI36" s="541"/>
    </row>
    <row r="37" spans="1:35" x14ac:dyDescent="0.2">
      <c r="A37" s="11">
        <v>42522</v>
      </c>
      <c r="B37" s="384">
        <v>265300</v>
      </c>
      <c r="C37" s="384"/>
      <c r="D37" s="385">
        <f t="shared" si="0"/>
        <v>2177.8083329999999</v>
      </c>
      <c r="E37" s="384">
        <f>4120</f>
        <v>4120</v>
      </c>
      <c r="F37" s="384">
        <v>270</v>
      </c>
      <c r="G37" s="384"/>
      <c r="H37" s="384">
        <v>490</v>
      </c>
      <c r="I37" s="384"/>
      <c r="J37" s="380">
        <v>0</v>
      </c>
      <c r="K37" s="384">
        <v>1672</v>
      </c>
      <c r="L37" s="384">
        <v>340</v>
      </c>
      <c r="M37" s="556">
        <v>800</v>
      </c>
      <c r="N37" s="556">
        <v>400</v>
      </c>
      <c r="O37" s="381" t="s">
        <v>549</v>
      </c>
      <c r="P37" s="381">
        <v>0</v>
      </c>
      <c r="Q37" s="380">
        <v>0</v>
      </c>
      <c r="R37" s="381"/>
      <c r="S37" s="381"/>
      <c r="T37" s="381"/>
      <c r="U37" s="384"/>
      <c r="V37" s="384"/>
      <c r="W37" s="382"/>
      <c r="X37" s="384">
        <v>0</v>
      </c>
      <c r="Y37" s="384"/>
      <c r="Z37" s="386"/>
      <c r="AH37" s="615"/>
      <c r="AI37" s="541"/>
    </row>
    <row r="38" spans="1:35" x14ac:dyDescent="0.2">
      <c r="A38" s="11">
        <v>42552</v>
      </c>
      <c r="B38" s="382">
        <v>230700</v>
      </c>
      <c r="C38" s="391"/>
      <c r="D38" s="391">
        <f>2480+177.808333</f>
        <v>2657.8083329999999</v>
      </c>
      <c r="E38" s="382">
        <v>2980</v>
      </c>
      <c r="F38" s="382">
        <v>260</v>
      </c>
      <c r="G38" s="382"/>
      <c r="H38" s="382">
        <v>510</v>
      </c>
      <c r="I38" s="382"/>
      <c r="J38" s="388">
        <v>0</v>
      </c>
      <c r="K38" s="382">
        <v>2495</v>
      </c>
      <c r="L38" s="382">
        <v>0</v>
      </c>
      <c r="M38" s="557">
        <v>1000</v>
      </c>
      <c r="N38" s="557">
        <v>600</v>
      </c>
      <c r="O38" s="393" t="s">
        <v>549</v>
      </c>
      <c r="P38" s="389">
        <v>0</v>
      </c>
      <c r="Q38" s="388">
        <v>0</v>
      </c>
      <c r="R38" s="389"/>
      <c r="S38" s="389"/>
      <c r="T38" s="389"/>
      <c r="U38" s="382"/>
      <c r="V38" s="382"/>
      <c r="W38" s="382"/>
      <c r="X38" s="382"/>
      <c r="Y38" s="382"/>
      <c r="Z38" s="390"/>
      <c r="AH38" s="542"/>
      <c r="AI38" s="541"/>
    </row>
    <row r="39" spans="1:35" x14ac:dyDescent="0.2">
      <c r="A39" s="11">
        <v>42583</v>
      </c>
      <c r="B39" s="382">
        <v>249380</v>
      </c>
      <c r="C39" s="391"/>
      <c r="D39" s="391">
        <f>2580+177.808333</f>
        <v>2757.8083329999999</v>
      </c>
      <c r="E39" s="382">
        <f>7160</f>
        <v>7160</v>
      </c>
      <c r="F39" s="382">
        <v>400</v>
      </c>
      <c r="G39" s="382"/>
      <c r="H39" s="382">
        <v>577.5</v>
      </c>
      <c r="I39" s="382"/>
      <c r="J39" s="388">
        <v>0</v>
      </c>
      <c r="K39" s="382">
        <v>1142</v>
      </c>
      <c r="L39" s="382">
        <v>200</v>
      </c>
      <c r="M39" s="557">
        <v>2400</v>
      </c>
      <c r="N39" s="557">
        <v>200</v>
      </c>
      <c r="O39" s="393" t="s">
        <v>549</v>
      </c>
      <c r="P39" s="389">
        <v>0</v>
      </c>
      <c r="Q39" s="388">
        <v>0</v>
      </c>
      <c r="R39" s="389"/>
      <c r="S39" s="389"/>
      <c r="T39" s="389"/>
      <c r="U39" s="382"/>
      <c r="V39" s="382"/>
      <c r="W39" s="382"/>
      <c r="X39" s="382"/>
      <c r="Y39" s="382"/>
      <c r="Z39" s="390"/>
      <c r="AH39" s="542"/>
      <c r="AI39" s="541"/>
    </row>
    <row r="40" spans="1:35" x14ac:dyDescent="0.2">
      <c r="A40" s="11">
        <v>42614</v>
      </c>
      <c r="B40" s="382">
        <v>261649.99999999997</v>
      </c>
      <c r="C40" s="391"/>
      <c r="D40" s="391">
        <f>2830+177.808333</f>
        <v>3007.8083329999999</v>
      </c>
      <c r="E40" s="382">
        <v>7820</v>
      </c>
      <c r="F40" s="382">
        <v>250</v>
      </c>
      <c r="G40" s="382"/>
      <c r="H40" s="382">
        <v>1119.8</v>
      </c>
      <c r="I40" s="382"/>
      <c r="J40" s="388">
        <v>0</v>
      </c>
      <c r="K40" s="382">
        <v>2204</v>
      </c>
      <c r="L40" s="382">
        <v>220</v>
      </c>
      <c r="M40" s="557">
        <v>1800</v>
      </c>
      <c r="N40" s="557">
        <v>400</v>
      </c>
      <c r="O40" s="393" t="s">
        <v>549</v>
      </c>
      <c r="P40" s="389">
        <f>0.67*253</f>
        <v>169.51000000000002</v>
      </c>
      <c r="Q40" s="388">
        <v>0</v>
      </c>
      <c r="R40" s="389"/>
      <c r="S40" s="389"/>
      <c r="T40" s="389"/>
      <c r="U40" s="382"/>
      <c r="V40" s="382"/>
      <c r="W40" s="382"/>
      <c r="X40" s="382">
        <v>0</v>
      </c>
      <c r="Y40" s="382"/>
      <c r="Z40" s="390"/>
      <c r="AH40" s="542"/>
      <c r="AI40" s="541"/>
    </row>
    <row r="41" spans="1:35" x14ac:dyDescent="0.2">
      <c r="A41" s="11">
        <v>42644</v>
      </c>
      <c r="B41" s="382">
        <v>258899.99999999997</v>
      </c>
      <c r="C41" s="391"/>
      <c r="D41" s="391">
        <v>177.80833333333331</v>
      </c>
      <c r="E41" s="382">
        <v>9300</v>
      </c>
      <c r="F41" s="382">
        <v>150</v>
      </c>
      <c r="G41" s="382"/>
      <c r="H41" s="382">
        <v>2310</v>
      </c>
      <c r="I41" s="382"/>
      <c r="J41" s="388">
        <v>13.462</v>
      </c>
      <c r="K41" s="382">
        <v>1653</v>
      </c>
      <c r="L41" s="382">
        <v>0</v>
      </c>
      <c r="M41" s="557">
        <v>2000</v>
      </c>
      <c r="N41" s="557">
        <v>200</v>
      </c>
      <c r="O41" s="393" t="s">
        <v>549</v>
      </c>
      <c r="P41" s="389">
        <v>0</v>
      </c>
      <c r="Q41" s="388">
        <v>0</v>
      </c>
      <c r="R41" s="389"/>
      <c r="S41" s="389"/>
      <c r="T41" s="389"/>
      <c r="U41" s="382"/>
      <c r="V41" s="382"/>
      <c r="W41" s="382">
        <v>21800</v>
      </c>
      <c r="X41" s="382">
        <v>0</v>
      </c>
      <c r="Y41" s="382"/>
      <c r="Z41" s="390"/>
      <c r="AH41" s="542"/>
      <c r="AI41" s="541"/>
    </row>
    <row r="42" spans="1:35" x14ac:dyDescent="0.2">
      <c r="A42" s="11">
        <v>42675</v>
      </c>
      <c r="B42" s="382">
        <v>262650</v>
      </c>
      <c r="C42" s="391"/>
      <c r="D42" s="391">
        <v>177.80833333333331</v>
      </c>
      <c r="E42" s="391">
        <v>9900</v>
      </c>
      <c r="F42" s="391">
        <v>110</v>
      </c>
      <c r="G42" s="391"/>
      <c r="H42" s="391">
        <v>2627.5</v>
      </c>
      <c r="I42" s="391"/>
      <c r="J42" s="392">
        <v>0</v>
      </c>
      <c r="K42" s="391">
        <v>3458</v>
      </c>
      <c r="L42" s="391">
        <v>0</v>
      </c>
      <c r="M42" s="558">
        <v>1600</v>
      </c>
      <c r="N42" s="558">
        <v>400</v>
      </c>
      <c r="O42" s="393" t="s">
        <v>549</v>
      </c>
      <c r="P42" s="393">
        <f>0.67*221</f>
        <v>148.07000000000002</v>
      </c>
      <c r="Q42" s="392">
        <v>0</v>
      </c>
      <c r="R42" s="389"/>
      <c r="S42" s="389"/>
      <c r="T42" s="389"/>
      <c r="U42" s="382"/>
      <c r="V42" s="382"/>
      <c r="W42" s="382">
        <v>19250</v>
      </c>
      <c r="X42" s="382">
        <v>66</v>
      </c>
      <c r="Y42" s="382"/>
      <c r="Z42" s="390"/>
      <c r="AH42" s="542"/>
      <c r="AI42" s="541"/>
    </row>
    <row r="43" spans="1:35" x14ac:dyDescent="0.2">
      <c r="A43" s="11">
        <v>42705</v>
      </c>
      <c r="B43" s="382">
        <v>247410.00000000003</v>
      </c>
      <c r="C43" s="391"/>
      <c r="D43" s="391">
        <v>177.80833333333331</v>
      </c>
      <c r="E43" s="391">
        <v>9450</v>
      </c>
      <c r="F43" s="391">
        <v>270</v>
      </c>
      <c r="G43" s="391"/>
      <c r="H43" s="391">
        <v>1472.5</v>
      </c>
      <c r="I43" s="391"/>
      <c r="J43" s="392">
        <v>0</v>
      </c>
      <c r="K43" s="391">
        <v>1465</v>
      </c>
      <c r="L43" s="391">
        <v>50</v>
      </c>
      <c r="M43" s="558">
        <v>1400</v>
      </c>
      <c r="N43" s="558">
        <v>200</v>
      </c>
      <c r="O43" s="393">
        <f>0.05*113</f>
        <v>5.65</v>
      </c>
      <c r="P43" s="393">
        <v>0</v>
      </c>
      <c r="Q43" s="392">
        <v>0</v>
      </c>
      <c r="R43" s="389"/>
      <c r="S43" s="389"/>
      <c r="T43" s="389"/>
      <c r="U43" s="382"/>
      <c r="V43" s="382"/>
      <c r="W43" s="382">
        <v>16900</v>
      </c>
      <c r="X43" s="382">
        <v>62.5</v>
      </c>
      <c r="Y43" s="382"/>
      <c r="Z43" s="390"/>
      <c r="AH43" s="542"/>
      <c r="AI43" s="541"/>
    </row>
    <row r="44" spans="1:35" x14ac:dyDescent="0.2">
      <c r="A44" s="11">
        <v>42736</v>
      </c>
      <c r="B44" s="382">
        <v>186070.00000000003</v>
      </c>
      <c r="C44" s="391">
        <v>41470</v>
      </c>
      <c r="D44" s="391">
        <v>2093.875</v>
      </c>
      <c r="E44" s="391">
        <v>10200</v>
      </c>
      <c r="F44" s="391">
        <v>180</v>
      </c>
      <c r="G44" s="391"/>
      <c r="H44" s="391">
        <v>1682</v>
      </c>
      <c r="I44" s="391"/>
      <c r="J44" s="392">
        <f>8231/1000</f>
        <v>8.2309999999999999</v>
      </c>
      <c r="K44" s="391">
        <v>1726</v>
      </c>
      <c r="L44" s="391">
        <v>0</v>
      </c>
      <c r="M44" s="558">
        <v>1400</v>
      </c>
      <c r="N44" s="558">
        <v>0</v>
      </c>
      <c r="O44" s="393" t="s">
        <v>549</v>
      </c>
      <c r="P44" s="393">
        <f>0.67*206</f>
        <v>138.02000000000001</v>
      </c>
      <c r="Q44" s="392">
        <v>0</v>
      </c>
      <c r="R44" s="389"/>
      <c r="S44" s="389"/>
      <c r="T44" s="389"/>
      <c r="U44" s="382"/>
      <c r="V44" s="382"/>
      <c r="W44" s="382">
        <v>13750</v>
      </c>
      <c r="X44" s="382">
        <v>0</v>
      </c>
      <c r="Y44" s="382"/>
      <c r="Z44" s="390"/>
      <c r="AH44" s="542"/>
      <c r="AI44" s="541"/>
    </row>
    <row r="45" spans="1:35" x14ac:dyDescent="0.2">
      <c r="A45" s="11">
        <v>42767</v>
      </c>
      <c r="B45" s="382">
        <v>189900</v>
      </c>
      <c r="C45" s="391">
        <v>54160</v>
      </c>
      <c r="D45" s="391">
        <v>2093.875</v>
      </c>
      <c r="E45" s="391">
        <v>9070</v>
      </c>
      <c r="F45" s="391">
        <v>210</v>
      </c>
      <c r="G45" s="391"/>
      <c r="H45" s="391">
        <v>1845.5</v>
      </c>
      <c r="I45" s="391"/>
      <c r="J45" s="392">
        <v>0</v>
      </c>
      <c r="K45" s="391">
        <v>1475</v>
      </c>
      <c r="L45" s="391">
        <v>120</v>
      </c>
      <c r="M45" s="558">
        <v>2800</v>
      </c>
      <c r="N45" s="558">
        <v>400</v>
      </c>
      <c r="O45" s="393" t="s">
        <v>549</v>
      </c>
      <c r="P45" s="393">
        <v>0</v>
      </c>
      <c r="Q45" s="388">
        <v>0</v>
      </c>
      <c r="R45" s="389"/>
      <c r="S45" s="389"/>
      <c r="T45" s="389"/>
      <c r="U45" s="382"/>
      <c r="V45" s="382"/>
      <c r="W45" s="382">
        <v>18825</v>
      </c>
      <c r="X45" s="382">
        <v>0</v>
      </c>
      <c r="Y45" s="382"/>
      <c r="Z45" s="390"/>
      <c r="AH45" s="542"/>
      <c r="AI45" s="541"/>
    </row>
    <row r="46" spans="1:35" x14ac:dyDescent="0.2">
      <c r="A46" s="11">
        <v>42795</v>
      </c>
      <c r="B46" s="382">
        <v>218930</v>
      </c>
      <c r="C46" s="391">
        <v>32240.000000000004</v>
      </c>
      <c r="D46" s="391">
        <v>2093.875</v>
      </c>
      <c r="E46" s="391">
        <v>9840</v>
      </c>
      <c r="F46" s="391">
        <v>210</v>
      </c>
      <c r="G46" s="391"/>
      <c r="H46" s="391">
        <v>1991</v>
      </c>
      <c r="I46" s="391"/>
      <c r="J46" s="392">
        <v>0</v>
      </c>
      <c r="K46" s="391">
        <v>1816</v>
      </c>
      <c r="L46" s="391">
        <v>0</v>
      </c>
      <c r="M46" s="558">
        <v>3000</v>
      </c>
      <c r="N46" s="558">
        <v>0</v>
      </c>
      <c r="O46" s="393" t="s">
        <v>549</v>
      </c>
      <c r="P46" s="393">
        <f>0.67*121</f>
        <v>81.070000000000007</v>
      </c>
      <c r="Q46" s="392">
        <v>0</v>
      </c>
      <c r="R46" s="389"/>
      <c r="S46" s="389"/>
      <c r="T46" s="389"/>
      <c r="U46" s="382"/>
      <c r="V46" s="382"/>
      <c r="W46" s="382">
        <v>21975</v>
      </c>
      <c r="X46" s="382">
        <v>0</v>
      </c>
      <c r="Y46" s="382"/>
      <c r="Z46" s="390"/>
      <c r="AH46" s="542"/>
      <c r="AI46" s="541"/>
    </row>
    <row r="47" spans="1:35" x14ac:dyDescent="0.2">
      <c r="A47" s="11">
        <v>42826</v>
      </c>
      <c r="B47" s="382">
        <v>200140</v>
      </c>
      <c r="C47" s="391">
        <v>35860</v>
      </c>
      <c r="D47" s="391">
        <v>2093.875</v>
      </c>
      <c r="E47" s="391">
        <v>10420</v>
      </c>
      <c r="F47" s="391">
        <v>290</v>
      </c>
      <c r="G47" s="391"/>
      <c r="H47" s="391">
        <v>2070.1999999999998</v>
      </c>
      <c r="I47" s="391"/>
      <c r="J47" s="392">
        <v>0</v>
      </c>
      <c r="K47" s="391">
        <v>1894</v>
      </c>
      <c r="L47" s="391">
        <v>150</v>
      </c>
      <c r="M47" s="558">
        <v>1400</v>
      </c>
      <c r="N47" s="558">
        <v>400</v>
      </c>
      <c r="O47" s="393" t="s">
        <v>549</v>
      </c>
      <c r="P47" s="393">
        <v>0</v>
      </c>
      <c r="Q47" s="392">
        <v>0</v>
      </c>
      <c r="R47" s="389">
        <f>0.34*1900</f>
        <v>646</v>
      </c>
      <c r="S47" s="389">
        <f>0.13*40</f>
        <v>5.2</v>
      </c>
      <c r="T47" s="389">
        <f>0.15*60</f>
        <v>9</v>
      </c>
      <c r="U47" s="382"/>
      <c r="V47" s="382"/>
      <c r="W47" s="382">
        <v>18850</v>
      </c>
      <c r="X47" s="382">
        <v>0</v>
      </c>
      <c r="Y47" s="382"/>
      <c r="Z47" s="390"/>
      <c r="AH47" s="542"/>
      <c r="AI47" s="541"/>
    </row>
    <row r="48" spans="1:35" x14ac:dyDescent="0.2">
      <c r="A48" s="11">
        <v>42856</v>
      </c>
      <c r="B48" s="382">
        <v>194190</v>
      </c>
      <c r="C48" s="391">
        <v>41550</v>
      </c>
      <c r="D48" s="391">
        <v>2093.875</v>
      </c>
      <c r="E48" s="391">
        <v>11250</v>
      </c>
      <c r="F48" s="391">
        <v>260</v>
      </c>
      <c r="G48" s="391"/>
      <c r="H48" s="391">
        <v>1900</v>
      </c>
      <c r="I48" s="391"/>
      <c r="J48" s="392">
        <f>29-8-13</f>
        <v>8</v>
      </c>
      <c r="K48" s="391">
        <v>1563</v>
      </c>
      <c r="L48" s="391">
        <v>250</v>
      </c>
      <c r="M48" s="558">
        <v>3400</v>
      </c>
      <c r="N48" s="558">
        <v>400</v>
      </c>
      <c r="O48" s="393" t="s">
        <v>549</v>
      </c>
      <c r="P48" s="393">
        <f>0.67*129</f>
        <v>86.43</v>
      </c>
      <c r="Q48" s="392">
        <v>0</v>
      </c>
      <c r="R48" s="389"/>
      <c r="S48" s="389"/>
      <c r="T48" s="389"/>
      <c r="U48" s="382"/>
      <c r="V48" s="382"/>
      <c r="W48" s="382">
        <v>20275</v>
      </c>
      <c r="X48" s="382">
        <v>0</v>
      </c>
      <c r="Y48" s="382"/>
      <c r="Z48" s="390"/>
      <c r="AH48" s="542"/>
      <c r="AI48" s="541"/>
    </row>
    <row r="49" spans="1:35" x14ac:dyDescent="0.2">
      <c r="A49" s="11">
        <v>42887</v>
      </c>
      <c r="B49" s="382">
        <v>204680</v>
      </c>
      <c r="C49" s="391">
        <v>51440</v>
      </c>
      <c r="D49" s="391">
        <v>2093.875</v>
      </c>
      <c r="E49" s="391">
        <v>7160</v>
      </c>
      <c r="F49" s="391">
        <v>400</v>
      </c>
      <c r="G49" s="391"/>
      <c r="H49" s="391">
        <f>1991+1020</f>
        <v>3011</v>
      </c>
      <c r="I49" s="391"/>
      <c r="J49" s="392">
        <v>0</v>
      </c>
      <c r="K49" s="391">
        <v>1981</v>
      </c>
      <c r="L49" s="391">
        <v>250</v>
      </c>
      <c r="M49" s="558">
        <v>800</v>
      </c>
      <c r="N49" s="558">
        <v>400</v>
      </c>
      <c r="O49" s="393" t="s">
        <v>549</v>
      </c>
      <c r="P49" s="393">
        <v>0</v>
      </c>
      <c r="Q49" s="392">
        <v>0</v>
      </c>
      <c r="R49" s="389">
        <f>0.34*1000</f>
        <v>340</v>
      </c>
      <c r="S49" s="389"/>
      <c r="T49" s="389"/>
      <c r="U49" s="382"/>
      <c r="V49" s="382"/>
      <c r="W49" s="382">
        <v>21025</v>
      </c>
      <c r="X49" s="382">
        <v>0</v>
      </c>
      <c r="Y49" s="382"/>
      <c r="Z49" s="390"/>
      <c r="AH49" s="615"/>
      <c r="AI49" s="541"/>
    </row>
    <row r="50" spans="1:35" x14ac:dyDescent="0.2">
      <c r="A50" s="11">
        <v>42917</v>
      </c>
      <c r="B50" s="384">
        <v>180020</v>
      </c>
      <c r="C50" s="384">
        <v>45550</v>
      </c>
      <c r="D50" s="384">
        <v>2093.875</v>
      </c>
      <c r="E50" s="384">
        <v>10930</v>
      </c>
      <c r="F50" s="384">
        <v>270</v>
      </c>
      <c r="G50" s="384"/>
      <c r="H50" s="384">
        <v>1863.5</v>
      </c>
      <c r="I50" s="384"/>
      <c r="J50" s="380">
        <v>2.5680000000000001</v>
      </c>
      <c r="K50" s="384">
        <v>1948</v>
      </c>
      <c r="L50" s="384">
        <v>100</v>
      </c>
      <c r="M50" s="556">
        <v>3200</v>
      </c>
      <c r="N50" s="556">
        <v>400</v>
      </c>
      <c r="O50" s="381" t="s">
        <v>549</v>
      </c>
      <c r="P50" s="381">
        <f>0.67*148</f>
        <v>99.160000000000011</v>
      </c>
      <c r="Q50" s="380">
        <v>3</v>
      </c>
      <c r="R50" s="381"/>
      <c r="S50" s="381"/>
      <c r="T50" s="381"/>
      <c r="U50" s="384"/>
      <c r="V50" s="384"/>
      <c r="W50" s="382">
        <v>13275</v>
      </c>
      <c r="X50" s="384">
        <v>0</v>
      </c>
      <c r="Y50" s="384"/>
      <c r="Z50" s="386"/>
      <c r="AH50" s="542"/>
      <c r="AI50" s="541"/>
    </row>
    <row r="51" spans="1:35" x14ac:dyDescent="0.2">
      <c r="A51" s="11">
        <v>42948</v>
      </c>
      <c r="B51" s="384">
        <v>205980.00000000003</v>
      </c>
      <c r="C51" s="384">
        <v>48250</v>
      </c>
      <c r="D51" s="384">
        <v>2093.875</v>
      </c>
      <c r="E51" s="384">
        <v>10700</v>
      </c>
      <c r="F51" s="384">
        <v>210</v>
      </c>
      <c r="G51" s="384"/>
      <c r="H51" s="384">
        <v>975</v>
      </c>
      <c r="I51" s="384"/>
      <c r="J51" s="380">
        <v>0</v>
      </c>
      <c r="K51" s="384">
        <v>1726</v>
      </c>
      <c r="L51" s="384">
        <v>0</v>
      </c>
      <c r="M51" s="556">
        <v>800</v>
      </c>
      <c r="N51" s="556">
        <v>400</v>
      </c>
      <c r="O51" s="381" t="s">
        <v>549</v>
      </c>
      <c r="P51" s="381">
        <v>0</v>
      </c>
      <c r="Q51" s="380">
        <v>0</v>
      </c>
      <c r="R51" s="381">
        <f>0.34*700</f>
        <v>238.00000000000003</v>
      </c>
      <c r="S51" s="381">
        <f>0.13*300</f>
        <v>39</v>
      </c>
      <c r="T51" s="381"/>
      <c r="U51" s="384"/>
      <c r="V51" s="384"/>
      <c r="W51" s="382">
        <v>15525</v>
      </c>
      <c r="X51" s="384">
        <v>0</v>
      </c>
      <c r="Y51" s="384"/>
      <c r="Z51" s="386"/>
      <c r="AH51" s="542"/>
      <c r="AI51" s="541"/>
    </row>
    <row r="52" spans="1:35" x14ac:dyDescent="0.2">
      <c r="A52" s="11">
        <v>42979</v>
      </c>
      <c r="B52" s="384">
        <v>204680</v>
      </c>
      <c r="C52" s="384">
        <v>55310</v>
      </c>
      <c r="D52" s="384">
        <v>721</v>
      </c>
      <c r="E52" s="384">
        <v>7160</v>
      </c>
      <c r="F52" s="384">
        <v>400</v>
      </c>
      <c r="G52" s="384"/>
      <c r="H52" s="384">
        <v>975</v>
      </c>
      <c r="I52" s="384"/>
      <c r="J52" s="380">
        <v>3.4340000000000002</v>
      </c>
      <c r="K52" s="384">
        <v>3290</v>
      </c>
      <c r="L52" s="384">
        <v>200</v>
      </c>
      <c r="M52" s="556">
        <v>800</v>
      </c>
      <c r="N52" s="556">
        <v>400</v>
      </c>
      <c r="O52" s="381" t="s">
        <v>549</v>
      </c>
      <c r="P52" s="381">
        <v>0</v>
      </c>
      <c r="Q52" s="380">
        <v>0</v>
      </c>
      <c r="R52" s="381"/>
      <c r="S52" s="381"/>
      <c r="T52" s="381"/>
      <c r="U52" s="384"/>
      <c r="V52" s="384"/>
      <c r="W52" s="382">
        <v>25050</v>
      </c>
      <c r="X52" s="384">
        <v>0</v>
      </c>
      <c r="Y52" s="384"/>
      <c r="Z52" s="386"/>
      <c r="AH52" s="542"/>
      <c r="AI52" s="541"/>
    </row>
    <row r="53" spans="1:35" x14ac:dyDescent="0.2">
      <c r="A53" s="11">
        <v>43009</v>
      </c>
      <c r="B53" s="384">
        <v>205980.00000000003</v>
      </c>
      <c r="C53" s="384">
        <v>65260.000000000007</v>
      </c>
      <c r="D53" s="384">
        <v>423</v>
      </c>
      <c r="E53" s="384">
        <v>9910</v>
      </c>
      <c r="F53" s="384">
        <v>200</v>
      </c>
      <c r="G53" s="384"/>
      <c r="H53" s="384">
        <v>1691</v>
      </c>
      <c r="I53" s="384"/>
      <c r="J53" s="380">
        <v>0</v>
      </c>
      <c r="K53" s="384">
        <v>0</v>
      </c>
      <c r="L53" s="384">
        <v>70</v>
      </c>
      <c r="M53" s="556">
        <v>800</v>
      </c>
      <c r="N53" s="556">
        <v>400</v>
      </c>
      <c r="O53" s="381" t="s">
        <v>549</v>
      </c>
      <c r="P53" s="381">
        <f>0.67*193</f>
        <v>129.31</v>
      </c>
      <c r="Q53" s="380">
        <v>7</v>
      </c>
      <c r="R53" s="381"/>
      <c r="S53" s="381"/>
      <c r="T53" s="381"/>
      <c r="U53" s="384"/>
      <c r="V53" s="384"/>
      <c r="W53" s="382">
        <v>25175</v>
      </c>
      <c r="X53" s="384">
        <v>0</v>
      </c>
      <c r="Y53" s="384"/>
      <c r="Z53" s="386"/>
      <c r="AH53" s="542"/>
      <c r="AI53" s="541"/>
    </row>
    <row r="54" spans="1:35" x14ac:dyDescent="0.2">
      <c r="A54" s="11">
        <v>43040</v>
      </c>
      <c r="B54" s="384">
        <v>227040</v>
      </c>
      <c r="C54" s="384">
        <v>65069.999999999993</v>
      </c>
      <c r="D54" s="384">
        <v>828</v>
      </c>
      <c r="E54" s="384">
        <v>9740</v>
      </c>
      <c r="F54" s="384">
        <v>210</v>
      </c>
      <c r="G54" s="384"/>
      <c r="H54" s="384">
        <v>975</v>
      </c>
      <c r="I54" s="384"/>
      <c r="J54" s="380">
        <v>2.0110000000000001</v>
      </c>
      <c r="K54" s="384">
        <v>3956</v>
      </c>
      <c r="L54" s="384">
        <v>100</v>
      </c>
      <c r="M54" s="556">
        <v>1200</v>
      </c>
      <c r="N54" s="556">
        <v>600</v>
      </c>
      <c r="O54" s="381" t="s">
        <v>549</v>
      </c>
      <c r="P54" s="381">
        <v>0</v>
      </c>
      <c r="Q54" s="380">
        <v>0</v>
      </c>
      <c r="R54" s="381">
        <f>0.34*700</f>
        <v>238.00000000000003</v>
      </c>
      <c r="S54" s="381">
        <f>0.13*300</f>
        <v>39</v>
      </c>
      <c r="T54" s="381"/>
      <c r="U54" s="384"/>
      <c r="V54" s="384"/>
      <c r="W54" s="382">
        <v>30100</v>
      </c>
      <c r="X54" s="384">
        <v>0</v>
      </c>
      <c r="Y54" s="384"/>
      <c r="Z54" s="386"/>
      <c r="AH54" s="542"/>
      <c r="AI54" s="541"/>
    </row>
    <row r="55" spans="1:35" x14ac:dyDescent="0.2">
      <c r="A55" s="11">
        <v>43070</v>
      </c>
      <c r="B55" s="384">
        <v>212210</v>
      </c>
      <c r="C55" s="384">
        <v>24760</v>
      </c>
      <c r="D55" s="384">
        <v>1935</v>
      </c>
      <c r="E55" s="384">
        <v>8410</v>
      </c>
      <c r="F55" s="384">
        <v>150</v>
      </c>
      <c r="G55" s="384"/>
      <c r="H55" s="384">
        <v>1882</v>
      </c>
      <c r="I55" s="384">
        <v>110.05</v>
      </c>
      <c r="J55" s="380">
        <v>0</v>
      </c>
      <c r="K55" s="384">
        <v>4858</v>
      </c>
      <c r="L55" s="384">
        <v>100</v>
      </c>
      <c r="M55" s="556">
        <v>1800</v>
      </c>
      <c r="N55" s="556">
        <v>400</v>
      </c>
      <c r="O55" s="381">
        <f>0.05*92</f>
        <v>4.6000000000000005</v>
      </c>
      <c r="P55" s="381">
        <f>0.67*193</f>
        <v>129.31</v>
      </c>
      <c r="Q55" s="380">
        <v>0</v>
      </c>
      <c r="R55" s="381">
        <f>0.34*500</f>
        <v>170</v>
      </c>
      <c r="S55" s="381"/>
      <c r="T55" s="381">
        <f>0.15*500</f>
        <v>75</v>
      </c>
      <c r="U55" s="384"/>
      <c r="V55" s="384"/>
      <c r="W55" s="382">
        <v>30200</v>
      </c>
      <c r="X55" s="384">
        <v>0</v>
      </c>
      <c r="Y55" s="384"/>
      <c r="Z55" s="386"/>
      <c r="AH55" s="542"/>
      <c r="AI55" s="541"/>
    </row>
    <row r="56" spans="1:35" x14ac:dyDescent="0.2">
      <c r="A56" s="11">
        <v>43101</v>
      </c>
      <c r="B56" s="384">
        <v>214260.00000000003</v>
      </c>
      <c r="C56" s="384">
        <v>65069.999999999993</v>
      </c>
      <c r="D56" s="384">
        <v>196</v>
      </c>
      <c r="E56" s="384">
        <v>9740</v>
      </c>
      <c r="F56" s="384">
        <v>210</v>
      </c>
      <c r="G56" s="384"/>
      <c r="H56" s="384">
        <v>975</v>
      </c>
      <c r="I56" s="384">
        <v>58.3</v>
      </c>
      <c r="J56" s="380">
        <v>0</v>
      </c>
      <c r="K56" s="384">
        <v>0</v>
      </c>
      <c r="L56" s="384">
        <v>150</v>
      </c>
      <c r="M56" s="556">
        <v>1600</v>
      </c>
      <c r="N56" s="556">
        <v>400</v>
      </c>
      <c r="O56" s="381" t="s">
        <v>549</v>
      </c>
      <c r="P56" s="381">
        <v>0</v>
      </c>
      <c r="Q56" s="380">
        <v>0</v>
      </c>
      <c r="R56" s="381"/>
      <c r="S56" s="381"/>
      <c r="T56" s="381"/>
      <c r="U56" s="384"/>
      <c r="V56" s="384"/>
      <c r="W56" s="382">
        <v>27975</v>
      </c>
      <c r="X56" s="384">
        <v>0</v>
      </c>
      <c r="Y56" s="384"/>
      <c r="Z56" s="386"/>
      <c r="AH56" s="542"/>
      <c r="AI56" s="541"/>
    </row>
    <row r="57" spans="1:35" x14ac:dyDescent="0.2">
      <c r="A57" s="11">
        <v>43132</v>
      </c>
      <c r="B57" s="384">
        <v>202080</v>
      </c>
      <c r="C57" s="384">
        <v>18960</v>
      </c>
      <c r="D57" s="384">
        <v>313</v>
      </c>
      <c r="E57" s="384">
        <v>7530</v>
      </c>
      <c r="F57" s="384">
        <v>150</v>
      </c>
      <c r="G57" s="384"/>
      <c r="H57" s="384">
        <v>140</v>
      </c>
      <c r="I57" s="384">
        <v>60.3</v>
      </c>
      <c r="J57" s="380">
        <v>0</v>
      </c>
      <c r="K57" s="384">
        <v>2040</v>
      </c>
      <c r="L57" s="384">
        <v>0</v>
      </c>
      <c r="M57" s="556">
        <v>1200</v>
      </c>
      <c r="N57" s="556">
        <v>200</v>
      </c>
      <c r="O57" s="381" t="s">
        <v>549</v>
      </c>
      <c r="P57" s="381">
        <v>0</v>
      </c>
      <c r="Q57" s="380">
        <v>0</v>
      </c>
      <c r="R57" s="381"/>
      <c r="S57" s="381"/>
      <c r="T57" s="381"/>
      <c r="U57" s="384"/>
      <c r="V57" s="384">
        <v>1300</v>
      </c>
      <c r="W57" s="382">
        <v>21825</v>
      </c>
      <c r="X57" s="384">
        <v>0</v>
      </c>
      <c r="Y57" s="384"/>
      <c r="Z57" s="386"/>
      <c r="AH57" s="542"/>
      <c r="AI57" s="541"/>
    </row>
    <row r="58" spans="1:35" x14ac:dyDescent="0.2">
      <c r="A58" s="11">
        <v>43160</v>
      </c>
      <c r="B58" s="384">
        <v>195120</v>
      </c>
      <c r="C58" s="384">
        <v>41590</v>
      </c>
      <c r="D58" s="384">
        <v>181</v>
      </c>
      <c r="E58" s="384">
        <v>9500</v>
      </c>
      <c r="F58" s="384">
        <v>170</v>
      </c>
      <c r="G58" s="384">
        <v>330</v>
      </c>
      <c r="H58" s="384">
        <v>450</v>
      </c>
      <c r="I58" s="384">
        <v>68.5</v>
      </c>
      <c r="J58" s="380">
        <v>0</v>
      </c>
      <c r="K58" s="384">
        <v>1740</v>
      </c>
      <c r="L58" s="384">
        <v>80</v>
      </c>
      <c r="M58" s="556">
        <v>1600</v>
      </c>
      <c r="N58" s="556">
        <v>400</v>
      </c>
      <c r="O58" s="381" t="s">
        <v>549</v>
      </c>
      <c r="P58" s="381">
        <f>0.67*260</f>
        <v>174.20000000000002</v>
      </c>
      <c r="Q58" s="380">
        <v>7</v>
      </c>
      <c r="R58" s="381"/>
      <c r="S58" s="381"/>
      <c r="T58" s="381"/>
      <c r="U58" s="384"/>
      <c r="V58" s="384">
        <v>1500</v>
      </c>
      <c r="W58" s="382">
        <v>25300</v>
      </c>
      <c r="X58" s="384">
        <v>0</v>
      </c>
      <c r="Y58" s="384"/>
      <c r="Z58" s="386"/>
      <c r="AH58" s="542"/>
      <c r="AI58" s="541"/>
    </row>
    <row r="59" spans="1:35" x14ac:dyDescent="0.2">
      <c r="A59" s="11">
        <v>43191</v>
      </c>
      <c r="B59" s="384">
        <v>177650</v>
      </c>
      <c r="C59" s="384">
        <v>25270</v>
      </c>
      <c r="D59" s="384">
        <v>0</v>
      </c>
      <c r="E59" s="384">
        <v>9790</v>
      </c>
      <c r="F59" s="384">
        <v>170</v>
      </c>
      <c r="G59" s="384"/>
      <c r="H59" s="384">
        <v>460</v>
      </c>
      <c r="I59" s="384">
        <v>56.4</v>
      </c>
      <c r="J59" s="380">
        <v>11.510999999999999</v>
      </c>
      <c r="K59" s="384">
        <v>1490</v>
      </c>
      <c r="L59" s="384">
        <v>180</v>
      </c>
      <c r="M59" s="556">
        <v>4600</v>
      </c>
      <c r="N59" s="556">
        <v>400</v>
      </c>
      <c r="O59" s="381" t="s">
        <v>549</v>
      </c>
      <c r="P59" s="381">
        <v>0</v>
      </c>
      <c r="Q59" s="380">
        <v>0</v>
      </c>
      <c r="R59" s="381"/>
      <c r="S59" s="381">
        <f>0.13*(1000+1600)</f>
        <v>338</v>
      </c>
      <c r="T59" s="381">
        <f>0.15*(1000+400)</f>
        <v>210</v>
      </c>
      <c r="U59" s="384"/>
      <c r="V59" s="384">
        <v>1300</v>
      </c>
      <c r="W59" s="382">
        <v>25225</v>
      </c>
      <c r="X59" s="384">
        <v>0</v>
      </c>
      <c r="Y59" s="384">
        <v>3000</v>
      </c>
      <c r="Z59" s="386"/>
      <c r="AH59" s="542"/>
      <c r="AI59" s="541"/>
    </row>
    <row r="60" spans="1:35" x14ac:dyDescent="0.2">
      <c r="A60" s="11">
        <v>43221</v>
      </c>
      <c r="B60" s="384">
        <v>172500</v>
      </c>
      <c r="C60" s="384">
        <v>37170</v>
      </c>
      <c r="D60" s="384">
        <v>130</v>
      </c>
      <c r="E60" s="384">
        <v>11580</v>
      </c>
      <c r="F60" s="384">
        <v>170</v>
      </c>
      <c r="G60" s="384"/>
      <c r="H60" s="384">
        <v>670</v>
      </c>
      <c r="I60" s="384">
        <v>0</v>
      </c>
      <c r="J60" s="380">
        <v>0</v>
      </c>
      <c r="K60" s="384">
        <v>0</v>
      </c>
      <c r="L60" s="384">
        <v>170</v>
      </c>
      <c r="M60" s="556">
        <v>2400</v>
      </c>
      <c r="N60" s="556">
        <v>200</v>
      </c>
      <c r="O60" s="381" t="s">
        <v>549</v>
      </c>
      <c r="P60" s="381">
        <v>0</v>
      </c>
      <c r="Q60" s="380">
        <v>0</v>
      </c>
      <c r="R60" s="381"/>
      <c r="S60" s="381"/>
      <c r="T60" s="381"/>
      <c r="U60" s="384"/>
      <c r="V60" s="384">
        <v>3400.0000000000005</v>
      </c>
      <c r="W60" s="382">
        <v>37200</v>
      </c>
      <c r="X60" s="384">
        <v>0</v>
      </c>
      <c r="Y60" s="384">
        <v>12000</v>
      </c>
      <c r="Z60" s="386"/>
      <c r="AH60" s="542"/>
      <c r="AI60" s="541"/>
    </row>
    <row r="61" spans="1:35" x14ac:dyDescent="0.2">
      <c r="A61" s="11">
        <v>43252</v>
      </c>
      <c r="B61" s="384">
        <v>172790</v>
      </c>
      <c r="C61" s="384">
        <v>40100</v>
      </c>
      <c r="D61" s="384">
        <v>4124</v>
      </c>
      <c r="E61" s="384">
        <v>10110</v>
      </c>
      <c r="F61" s="384">
        <v>210</v>
      </c>
      <c r="G61" s="384"/>
      <c r="H61" s="384">
        <v>340</v>
      </c>
      <c r="I61" s="384">
        <v>119.65</v>
      </c>
      <c r="J61" s="380">
        <v>0</v>
      </c>
      <c r="K61" s="384">
        <v>3470</v>
      </c>
      <c r="L61" s="384">
        <v>280</v>
      </c>
      <c r="M61" s="556">
        <v>800</v>
      </c>
      <c r="N61" s="556">
        <v>400</v>
      </c>
      <c r="O61" s="381" t="s">
        <v>549</v>
      </c>
      <c r="P61" s="381">
        <v>0</v>
      </c>
      <c r="Q61" s="380">
        <v>0</v>
      </c>
      <c r="R61" s="381"/>
      <c r="S61" s="381"/>
      <c r="T61" s="381"/>
      <c r="U61" s="384"/>
      <c r="V61" s="384">
        <v>40370</v>
      </c>
      <c r="W61" s="382">
        <v>27900</v>
      </c>
      <c r="X61" s="384">
        <v>0</v>
      </c>
      <c r="Y61" s="384">
        <v>6000</v>
      </c>
      <c r="Z61" s="386"/>
      <c r="AH61" s="615"/>
      <c r="AI61" s="541"/>
    </row>
    <row r="62" spans="1:35" x14ac:dyDescent="0.2">
      <c r="A62" s="11">
        <v>43282</v>
      </c>
      <c r="B62" s="382">
        <v>181220</v>
      </c>
      <c r="C62" s="391">
        <v>34440</v>
      </c>
      <c r="D62" s="391">
        <v>144</v>
      </c>
      <c r="E62" s="382">
        <v>11130</v>
      </c>
      <c r="F62" s="382">
        <v>260</v>
      </c>
      <c r="G62" s="382"/>
      <c r="H62" s="382">
        <v>560</v>
      </c>
      <c r="I62" s="382">
        <v>57.8</v>
      </c>
      <c r="J62" s="388">
        <v>0</v>
      </c>
      <c r="K62" s="382">
        <v>0</v>
      </c>
      <c r="L62" s="382">
        <v>130</v>
      </c>
      <c r="M62" s="557">
        <v>800</v>
      </c>
      <c r="N62" s="557">
        <v>400</v>
      </c>
      <c r="O62" s="393" t="s">
        <v>549</v>
      </c>
      <c r="P62" s="389">
        <v>0</v>
      </c>
      <c r="Q62" s="388">
        <v>0</v>
      </c>
      <c r="R62" s="389">
        <v>0</v>
      </c>
      <c r="S62" s="389">
        <f>0.13*800</f>
        <v>104</v>
      </c>
      <c r="T62" s="389">
        <f>0.15*200</f>
        <v>30</v>
      </c>
      <c r="U62" s="382"/>
      <c r="V62" s="382">
        <v>0</v>
      </c>
      <c r="W62" s="382">
        <v>25675</v>
      </c>
      <c r="X62" s="382">
        <v>0</v>
      </c>
      <c r="Y62" s="382">
        <v>5000</v>
      </c>
      <c r="Z62" s="390"/>
      <c r="AH62" s="542"/>
      <c r="AI62" s="541"/>
    </row>
    <row r="63" spans="1:35" x14ac:dyDescent="0.2">
      <c r="A63" s="11">
        <v>43313</v>
      </c>
      <c r="B63" s="382">
        <v>176530</v>
      </c>
      <c r="C63" s="391">
        <v>29500</v>
      </c>
      <c r="D63" s="391">
        <v>66</v>
      </c>
      <c r="E63" s="382">
        <v>10170</v>
      </c>
      <c r="F63" s="382">
        <v>310</v>
      </c>
      <c r="G63" s="382"/>
      <c r="H63" s="382">
        <v>540</v>
      </c>
      <c r="I63" s="382">
        <v>29.5</v>
      </c>
      <c r="J63" s="388">
        <v>0</v>
      </c>
      <c r="K63" s="382">
        <v>2620</v>
      </c>
      <c r="L63" s="382">
        <v>0</v>
      </c>
      <c r="M63" s="557">
        <v>800</v>
      </c>
      <c r="N63" s="557">
        <v>400</v>
      </c>
      <c r="O63" s="393" t="s">
        <v>549</v>
      </c>
      <c r="P63" s="389">
        <v>0</v>
      </c>
      <c r="Q63" s="388">
        <v>0</v>
      </c>
      <c r="R63" s="389">
        <v>0</v>
      </c>
      <c r="S63" s="389">
        <v>0</v>
      </c>
      <c r="T63" s="389">
        <v>0</v>
      </c>
      <c r="U63" s="382">
        <f>17*27+3*35+4*4.5</f>
        <v>582</v>
      </c>
      <c r="V63" s="382">
        <v>7200</v>
      </c>
      <c r="W63" s="382">
        <v>16633.900000000001</v>
      </c>
      <c r="X63" s="382">
        <v>0</v>
      </c>
      <c r="Y63" s="382">
        <v>3500</v>
      </c>
      <c r="Z63" s="390"/>
      <c r="AH63" s="542"/>
      <c r="AI63" s="541"/>
    </row>
    <row r="64" spans="1:35" x14ac:dyDescent="0.2">
      <c r="A64" s="11">
        <v>43344</v>
      </c>
      <c r="B64" s="382">
        <v>173070</v>
      </c>
      <c r="C64" s="391">
        <v>23680</v>
      </c>
      <c r="D64" s="391">
        <v>589</v>
      </c>
      <c r="E64" s="382">
        <v>9110</v>
      </c>
      <c r="F64" s="382">
        <v>270</v>
      </c>
      <c r="G64" s="382"/>
      <c r="H64" s="382">
        <v>660</v>
      </c>
      <c r="I64" s="382">
        <v>0</v>
      </c>
      <c r="J64" s="388">
        <v>0.186</v>
      </c>
      <c r="K64" s="382">
        <v>845</v>
      </c>
      <c r="L64" s="382">
        <v>260</v>
      </c>
      <c r="M64" s="557">
        <v>800</v>
      </c>
      <c r="N64" s="557">
        <v>400</v>
      </c>
      <c r="O64" s="393" t="s">
        <v>549</v>
      </c>
      <c r="P64" s="389">
        <f>0.67*238</f>
        <v>159.46</v>
      </c>
      <c r="Q64" s="388">
        <v>14</v>
      </c>
      <c r="R64" s="389">
        <v>0</v>
      </c>
      <c r="S64" s="389">
        <v>0</v>
      </c>
      <c r="T64" s="389">
        <v>0</v>
      </c>
      <c r="U64" s="382"/>
      <c r="V64" s="382">
        <v>3800</v>
      </c>
      <c r="W64" s="382">
        <v>18194.05</v>
      </c>
      <c r="X64" s="382">
        <v>7680</v>
      </c>
      <c r="Y64" s="382">
        <v>45500</v>
      </c>
      <c r="Z64" s="390"/>
      <c r="AH64" s="542"/>
      <c r="AI64" s="541"/>
    </row>
    <row r="65" spans="1:37" x14ac:dyDescent="0.2">
      <c r="A65" s="11">
        <v>43374</v>
      </c>
      <c r="B65" s="382">
        <v>177500</v>
      </c>
      <c r="C65" s="391">
        <v>28200</v>
      </c>
      <c r="D65" s="391">
        <v>225</v>
      </c>
      <c r="E65" s="382">
        <v>7540</v>
      </c>
      <c r="F65" s="382">
        <v>190</v>
      </c>
      <c r="G65" s="382"/>
      <c r="H65" s="382">
        <v>1170</v>
      </c>
      <c r="I65" s="382">
        <v>223.45</v>
      </c>
      <c r="J65" s="388">
        <v>0</v>
      </c>
      <c r="K65" s="382">
        <v>1663</v>
      </c>
      <c r="L65" s="382">
        <v>30</v>
      </c>
      <c r="M65" s="557">
        <v>2400</v>
      </c>
      <c r="N65" s="557">
        <v>600</v>
      </c>
      <c r="O65" s="393" t="s">
        <v>549</v>
      </c>
      <c r="P65" s="389">
        <v>0</v>
      </c>
      <c r="Q65" s="388">
        <v>0</v>
      </c>
      <c r="R65" s="389"/>
      <c r="S65" s="389"/>
      <c r="T65" s="389"/>
      <c r="U65" s="382">
        <f>12*27+1*7.5+2*4.5</f>
        <v>340.5</v>
      </c>
      <c r="V65" s="382">
        <v>2700</v>
      </c>
      <c r="W65" s="382">
        <v>26058</v>
      </c>
      <c r="X65" s="382">
        <v>7680</v>
      </c>
      <c r="Y65" s="382">
        <v>0</v>
      </c>
      <c r="Z65" s="390"/>
      <c r="AH65" s="542"/>
      <c r="AI65" s="541"/>
    </row>
    <row r="66" spans="1:37" x14ac:dyDescent="0.2">
      <c r="A66" s="11">
        <v>43405</v>
      </c>
      <c r="B66" s="382">
        <v>208090</v>
      </c>
      <c r="C66" s="391">
        <v>25670</v>
      </c>
      <c r="D66" s="391">
        <v>366</v>
      </c>
      <c r="E66" s="391">
        <v>7720</v>
      </c>
      <c r="F66" s="391">
        <v>170</v>
      </c>
      <c r="G66" s="391"/>
      <c r="H66" s="391">
        <v>820</v>
      </c>
      <c r="I66" s="391">
        <v>159.65</v>
      </c>
      <c r="J66" s="392">
        <v>0.44900000000000001</v>
      </c>
      <c r="K66" s="391">
        <v>812</v>
      </c>
      <c r="L66" s="391">
        <v>0</v>
      </c>
      <c r="M66" s="558">
        <v>1800</v>
      </c>
      <c r="N66" s="558">
        <v>200</v>
      </c>
      <c r="O66" s="393" t="s">
        <v>549</v>
      </c>
      <c r="P66" s="393">
        <v>0</v>
      </c>
      <c r="Q66" s="392">
        <v>0</v>
      </c>
      <c r="R66" s="389"/>
      <c r="S66" s="389">
        <f>0.13*2000</f>
        <v>260</v>
      </c>
      <c r="T66" s="389"/>
      <c r="U66" s="382">
        <f>32*27+9*35</f>
        <v>1179</v>
      </c>
      <c r="V66" s="382">
        <v>3700</v>
      </c>
      <c r="W66" s="382">
        <v>28892.5</v>
      </c>
      <c r="X66" s="382">
        <v>7680</v>
      </c>
      <c r="Y66" s="382">
        <v>21000</v>
      </c>
      <c r="Z66" s="390"/>
      <c r="AH66" s="542"/>
      <c r="AI66" s="541"/>
    </row>
    <row r="67" spans="1:37" x14ac:dyDescent="0.2">
      <c r="A67" s="11">
        <v>43435</v>
      </c>
      <c r="B67" s="382">
        <v>202560</v>
      </c>
      <c r="C67" s="391">
        <v>31590</v>
      </c>
      <c r="D67" s="391">
        <v>739</v>
      </c>
      <c r="E67" s="391">
        <v>7080</v>
      </c>
      <c r="F67" s="391">
        <v>120</v>
      </c>
      <c r="G67" s="391"/>
      <c r="H67" s="391">
        <v>830</v>
      </c>
      <c r="I67" s="391">
        <v>78</v>
      </c>
      <c r="J67" s="392">
        <v>0.186</v>
      </c>
      <c r="K67" s="391">
        <v>2191</v>
      </c>
      <c r="L67" s="391">
        <v>100</v>
      </c>
      <c r="M67" s="558">
        <v>1800</v>
      </c>
      <c r="N67" s="558">
        <v>400</v>
      </c>
      <c r="O67" s="393" t="s">
        <v>549</v>
      </c>
      <c r="P67" s="393">
        <f>0.67*370</f>
        <v>247.9</v>
      </c>
      <c r="Q67" s="392">
        <v>20</v>
      </c>
      <c r="R67" s="389"/>
      <c r="S67" s="389"/>
      <c r="T67" s="389"/>
      <c r="U67" s="382"/>
      <c r="V67" s="382">
        <v>32700.000000000004</v>
      </c>
      <c r="W67" s="382">
        <v>24534.5</v>
      </c>
      <c r="X67" s="382">
        <v>7680</v>
      </c>
      <c r="Y67" s="382">
        <v>28000</v>
      </c>
      <c r="Z67" s="390"/>
      <c r="AH67" s="542"/>
      <c r="AI67" s="541"/>
    </row>
    <row r="68" spans="1:37" x14ac:dyDescent="0.2">
      <c r="A68" s="11">
        <v>43466</v>
      </c>
      <c r="B68" s="382">
        <v>145940.2628</v>
      </c>
      <c r="C68" s="391">
        <v>23670</v>
      </c>
      <c r="D68" s="391">
        <v>0</v>
      </c>
      <c r="E68" s="391">
        <v>9880</v>
      </c>
      <c r="F68" s="391">
        <v>170</v>
      </c>
      <c r="G68" s="391"/>
      <c r="H68" s="391">
        <v>610</v>
      </c>
      <c r="I68" s="391">
        <v>79.5</v>
      </c>
      <c r="J68" s="392">
        <v>0</v>
      </c>
      <c r="K68" s="391">
        <v>1388</v>
      </c>
      <c r="L68" s="391">
        <v>180</v>
      </c>
      <c r="M68" s="558">
        <v>2800</v>
      </c>
      <c r="N68" s="558">
        <v>400</v>
      </c>
      <c r="O68" s="393" t="s">
        <v>549</v>
      </c>
      <c r="P68" s="393">
        <v>0</v>
      </c>
      <c r="Q68" s="392">
        <v>0</v>
      </c>
      <c r="R68" s="389"/>
      <c r="S68" s="389"/>
      <c r="T68" s="389"/>
      <c r="U68" s="382">
        <f>17*27+6*7.5+19*4.5+7*35+2*4.5+1*6.5</f>
        <v>850</v>
      </c>
      <c r="V68" s="382">
        <v>7800</v>
      </c>
      <c r="W68" s="382">
        <v>21757.5</v>
      </c>
      <c r="X68" s="382">
        <f>160*48</f>
        <v>7680</v>
      </c>
      <c r="Y68" s="382">
        <v>38500</v>
      </c>
      <c r="Z68" s="390"/>
      <c r="AH68" s="542"/>
      <c r="AI68" s="541"/>
    </row>
    <row r="69" spans="1:37" x14ac:dyDescent="0.2">
      <c r="A69" s="11">
        <v>43497</v>
      </c>
      <c r="B69" s="382">
        <v>138993.92240000001</v>
      </c>
      <c r="C69" s="391">
        <v>20250</v>
      </c>
      <c r="D69" s="391">
        <v>233</v>
      </c>
      <c r="E69" s="391">
        <v>7000</v>
      </c>
      <c r="F69" s="391">
        <v>160</v>
      </c>
      <c r="G69" s="391"/>
      <c r="H69" s="391">
        <v>390</v>
      </c>
      <c r="I69" s="391">
        <v>61.5</v>
      </c>
      <c r="J69" s="392">
        <v>3.9449999999999998</v>
      </c>
      <c r="K69" s="391">
        <v>1172</v>
      </c>
      <c r="L69" s="391">
        <v>0</v>
      </c>
      <c r="M69" s="558">
        <v>1400</v>
      </c>
      <c r="N69" s="558">
        <v>400</v>
      </c>
      <c r="O69" s="393" t="s">
        <v>549</v>
      </c>
      <c r="P69" s="393">
        <f>0.67*125</f>
        <v>83.75</v>
      </c>
      <c r="Q69" s="388">
        <v>3</v>
      </c>
      <c r="R69" s="389"/>
      <c r="S69" s="389"/>
      <c r="T69" s="389"/>
      <c r="U69" s="382"/>
      <c r="V69" s="382">
        <v>1900</v>
      </c>
      <c r="W69" s="382">
        <v>24584.5</v>
      </c>
      <c r="X69" s="382">
        <f>160*48</f>
        <v>7680</v>
      </c>
      <c r="Y69" s="382">
        <v>0</v>
      </c>
      <c r="Z69" s="390"/>
      <c r="AH69" s="542"/>
      <c r="AI69" s="541"/>
    </row>
    <row r="70" spans="1:37" x14ac:dyDescent="0.2">
      <c r="A70" s="11">
        <v>43525</v>
      </c>
      <c r="B70" s="382">
        <v>162063.14259999999</v>
      </c>
      <c r="C70" s="391">
        <v>14620</v>
      </c>
      <c r="D70" s="391">
        <v>224</v>
      </c>
      <c r="E70" s="391">
        <v>9520</v>
      </c>
      <c r="F70" s="391">
        <v>180</v>
      </c>
      <c r="G70" s="391"/>
      <c r="H70" s="391">
        <v>950</v>
      </c>
      <c r="I70" s="391">
        <v>70.2</v>
      </c>
      <c r="J70" s="392">
        <v>0</v>
      </c>
      <c r="K70" s="391">
        <v>1793</v>
      </c>
      <c r="L70" s="391">
        <v>120</v>
      </c>
      <c r="M70" s="558">
        <v>800</v>
      </c>
      <c r="N70" s="558">
        <v>200</v>
      </c>
      <c r="O70" s="393" t="s">
        <v>549</v>
      </c>
      <c r="P70" s="393">
        <f>0.67*90</f>
        <v>60.300000000000004</v>
      </c>
      <c r="Q70" s="392">
        <v>0</v>
      </c>
      <c r="R70" s="389"/>
      <c r="S70" s="389"/>
      <c r="T70" s="389"/>
      <c r="U70" s="382"/>
      <c r="V70" s="382">
        <v>2500</v>
      </c>
      <c r="W70" s="382">
        <v>30930.5</v>
      </c>
      <c r="X70" s="382"/>
      <c r="Y70" s="382">
        <v>3500</v>
      </c>
      <c r="Z70" s="390"/>
      <c r="AG70" s="542"/>
      <c r="AH70" s="542"/>
      <c r="AI70" s="541"/>
      <c r="AJ70" s="541"/>
      <c r="AK70" s="541"/>
    </row>
    <row r="71" spans="1:37" x14ac:dyDescent="0.2">
      <c r="A71" s="11">
        <v>43556</v>
      </c>
      <c r="B71" s="382">
        <v>134497.64449999999</v>
      </c>
      <c r="C71" s="391">
        <v>13820</v>
      </c>
      <c r="D71" s="391">
        <v>485</v>
      </c>
      <c r="E71" s="391">
        <v>8220</v>
      </c>
      <c r="F71" s="391">
        <v>160</v>
      </c>
      <c r="G71" s="391"/>
      <c r="H71" s="391">
        <v>920</v>
      </c>
      <c r="I71" s="391">
        <v>0</v>
      </c>
      <c r="J71" s="392">
        <v>1.47</v>
      </c>
      <c r="K71" s="391">
        <v>1845</v>
      </c>
      <c r="L71" s="391">
        <v>100</v>
      </c>
      <c r="M71" s="558">
        <v>2200</v>
      </c>
      <c r="N71" s="558">
        <v>400</v>
      </c>
      <c r="O71" s="393" t="s">
        <v>549</v>
      </c>
      <c r="P71" s="393">
        <f>0.67*137</f>
        <v>91.79</v>
      </c>
      <c r="Q71" s="392">
        <v>18</v>
      </c>
      <c r="R71" s="389"/>
      <c r="S71" s="389"/>
      <c r="T71" s="389"/>
      <c r="U71" s="382"/>
      <c r="V71" s="382">
        <v>7800</v>
      </c>
      <c r="W71" s="382">
        <v>32534.5</v>
      </c>
      <c r="X71" s="382"/>
      <c r="Y71" s="382">
        <v>0</v>
      </c>
      <c r="Z71" s="390"/>
      <c r="AG71" s="542"/>
      <c r="AH71" s="542"/>
      <c r="AI71" s="541"/>
      <c r="AJ71" s="541"/>
      <c r="AK71" s="541"/>
    </row>
    <row r="72" spans="1:37" x14ac:dyDescent="0.2">
      <c r="A72" s="11">
        <v>43586</v>
      </c>
      <c r="B72" s="382">
        <v>155093.37599999999</v>
      </c>
      <c r="C72" s="391">
        <v>28910</v>
      </c>
      <c r="D72" s="391">
        <v>11581</v>
      </c>
      <c r="E72" s="391">
        <v>6735</v>
      </c>
      <c r="F72" s="391">
        <v>140</v>
      </c>
      <c r="G72" s="391"/>
      <c r="H72" s="391">
        <v>1080</v>
      </c>
      <c r="I72" s="391">
        <v>62.35</v>
      </c>
      <c r="J72" s="392">
        <v>1.841</v>
      </c>
      <c r="K72" s="391">
        <v>1356</v>
      </c>
      <c r="L72" s="391">
        <v>130</v>
      </c>
      <c r="M72" s="558">
        <v>800</v>
      </c>
      <c r="N72" s="558">
        <v>200</v>
      </c>
      <c r="O72" s="393" t="s">
        <v>549</v>
      </c>
      <c r="P72" s="393">
        <v>0</v>
      </c>
      <c r="Q72" s="392">
        <v>0</v>
      </c>
      <c r="R72" s="389"/>
      <c r="S72" s="389"/>
      <c r="T72" s="389"/>
      <c r="U72" s="382">
        <f>27*27+9*4.5+21*35</f>
        <v>1504.5</v>
      </c>
      <c r="V72" s="382">
        <v>10400</v>
      </c>
      <c r="W72" s="382">
        <v>31664</v>
      </c>
      <c r="X72" s="382"/>
      <c r="Y72" s="382">
        <v>0</v>
      </c>
      <c r="Z72" s="390"/>
      <c r="AG72" s="542"/>
      <c r="AH72" s="542"/>
      <c r="AI72" s="541"/>
      <c r="AJ72" s="541"/>
      <c r="AK72" s="541"/>
    </row>
    <row r="73" spans="1:37" x14ac:dyDescent="0.2">
      <c r="A73" s="11">
        <v>43617</v>
      </c>
      <c r="B73" s="382">
        <v>155588.34469999999</v>
      </c>
      <c r="C73" s="391">
        <v>37750</v>
      </c>
      <c r="D73" s="391">
        <v>575</v>
      </c>
      <c r="E73" s="391">
        <v>7100</v>
      </c>
      <c r="F73" s="391">
        <v>170</v>
      </c>
      <c r="G73" s="391"/>
      <c r="H73" s="391">
        <v>870</v>
      </c>
      <c r="I73" s="391">
        <v>63.8</v>
      </c>
      <c r="J73" s="392">
        <v>0</v>
      </c>
      <c r="K73" s="391">
        <v>2613</v>
      </c>
      <c r="L73" s="391">
        <v>150</v>
      </c>
      <c r="M73" s="558">
        <v>800</v>
      </c>
      <c r="N73" s="558">
        <v>200</v>
      </c>
      <c r="O73" s="393" t="s">
        <v>549</v>
      </c>
      <c r="P73" s="393">
        <v>0</v>
      </c>
      <c r="Q73" s="392">
        <v>0</v>
      </c>
      <c r="R73" s="389"/>
      <c r="S73" s="389"/>
      <c r="T73" s="389"/>
      <c r="U73" s="382"/>
      <c r="V73" s="382">
        <v>11000</v>
      </c>
      <c r="W73" s="382">
        <v>23162.5</v>
      </c>
      <c r="X73" s="382"/>
      <c r="Y73" s="382">
        <v>0</v>
      </c>
      <c r="Z73" s="390"/>
      <c r="AG73" s="542"/>
      <c r="AH73" s="615"/>
      <c r="AI73" s="541"/>
      <c r="AJ73" s="541"/>
      <c r="AK73" s="541"/>
    </row>
    <row r="74" spans="1:37" x14ac:dyDescent="0.2">
      <c r="A74" s="11">
        <v>43647</v>
      </c>
      <c r="B74" s="384">
        <v>141019.99999999997</v>
      </c>
      <c r="C74" s="384">
        <v>39000</v>
      </c>
      <c r="D74" s="384">
        <v>3106</v>
      </c>
      <c r="E74" s="384">
        <f>5696+6456</f>
        <v>12152</v>
      </c>
      <c r="F74" s="384">
        <v>100</v>
      </c>
      <c r="G74" s="384">
        <v>423</v>
      </c>
      <c r="H74" s="384">
        <v>390</v>
      </c>
      <c r="I74" s="384"/>
      <c r="J74" s="380">
        <v>20.067</v>
      </c>
      <c r="K74" s="384">
        <v>1388</v>
      </c>
      <c r="L74" s="384">
        <v>110</v>
      </c>
      <c r="M74" s="556">
        <v>800</v>
      </c>
      <c r="N74" s="556">
        <v>400</v>
      </c>
      <c r="O74" s="381" t="s">
        <v>549</v>
      </c>
      <c r="P74" s="381">
        <f>0.67*112</f>
        <v>75.040000000000006</v>
      </c>
      <c r="Q74" s="380">
        <v>0</v>
      </c>
      <c r="R74" s="381"/>
      <c r="S74" s="381"/>
      <c r="T74" s="381"/>
      <c r="U74" s="384"/>
      <c r="V74" s="384">
        <v>19200</v>
      </c>
      <c r="W74" s="382">
        <v>19566</v>
      </c>
      <c r="X74" s="384"/>
      <c r="Y74" s="384">
        <v>0</v>
      </c>
      <c r="Z74" s="386"/>
      <c r="AG74" s="542"/>
      <c r="AH74" s="542"/>
      <c r="AI74" s="541"/>
      <c r="AJ74" s="541"/>
      <c r="AK74" s="541"/>
    </row>
    <row r="75" spans="1:37" x14ac:dyDescent="0.2">
      <c r="A75" s="11">
        <v>43678</v>
      </c>
      <c r="B75" s="384">
        <v>150570</v>
      </c>
      <c r="C75" s="384">
        <v>51750</v>
      </c>
      <c r="D75" s="384">
        <v>4099.2000000000007</v>
      </c>
      <c r="E75" s="384">
        <v>5646</v>
      </c>
      <c r="F75" s="384">
        <v>51</v>
      </c>
      <c r="G75" s="384">
        <v>267</v>
      </c>
      <c r="H75" s="384">
        <v>302</v>
      </c>
      <c r="I75" s="384">
        <v>67.099999999999994</v>
      </c>
      <c r="J75" s="380">
        <v>0</v>
      </c>
      <c r="K75" s="384">
        <v>2411</v>
      </c>
      <c r="L75" s="384">
        <v>70</v>
      </c>
      <c r="M75" s="556">
        <v>600</v>
      </c>
      <c r="N75" s="556">
        <v>400</v>
      </c>
      <c r="O75" s="381" t="s">
        <v>549</v>
      </c>
      <c r="P75" s="381">
        <v>0</v>
      </c>
      <c r="Q75" s="380">
        <v>0</v>
      </c>
      <c r="R75" s="381"/>
      <c r="S75" s="381"/>
      <c r="T75" s="381"/>
      <c r="U75" s="384"/>
      <c r="V75" s="384">
        <v>25600</v>
      </c>
      <c r="W75" s="382">
        <v>24598</v>
      </c>
      <c r="X75" s="384"/>
      <c r="Y75" s="384">
        <v>0</v>
      </c>
      <c r="Z75" s="386"/>
      <c r="AG75" s="542"/>
      <c r="AH75" s="542"/>
      <c r="AI75" s="541"/>
      <c r="AJ75" s="541"/>
      <c r="AK75" s="541"/>
    </row>
    <row r="76" spans="1:37" x14ac:dyDescent="0.2">
      <c r="A76" s="11">
        <v>43709</v>
      </c>
      <c r="B76" s="384">
        <v>138430</v>
      </c>
      <c r="C76" s="384">
        <v>62990</v>
      </c>
      <c r="D76" s="384">
        <v>7886.3999999999987</v>
      </c>
      <c r="E76" s="384">
        <f>6755+4050</f>
        <v>10805</v>
      </c>
      <c r="F76" s="384">
        <v>83</v>
      </c>
      <c r="G76" s="384">
        <v>169</v>
      </c>
      <c r="H76" s="384">
        <v>380</v>
      </c>
      <c r="I76" s="384">
        <v>157.25</v>
      </c>
      <c r="J76" s="380">
        <v>0.78900000000000003</v>
      </c>
      <c r="K76" s="384">
        <v>2352</v>
      </c>
      <c r="L76" s="384">
        <v>40</v>
      </c>
      <c r="M76" s="556">
        <v>800</v>
      </c>
      <c r="N76" s="556">
        <v>600</v>
      </c>
      <c r="O76" s="381" t="s">
        <v>549</v>
      </c>
      <c r="P76" s="381">
        <f>0.67*105</f>
        <v>70.350000000000009</v>
      </c>
      <c r="Q76" s="380">
        <v>20</v>
      </c>
      <c r="R76" s="381"/>
      <c r="S76" s="381"/>
      <c r="T76" s="381"/>
      <c r="U76" s="384">
        <f>31*27+2*7.5</f>
        <v>852</v>
      </c>
      <c r="V76" s="384">
        <v>24100</v>
      </c>
      <c r="W76" s="382">
        <v>34879.5</v>
      </c>
      <c r="X76" s="384">
        <f>10560</f>
        <v>10560</v>
      </c>
      <c r="Y76" s="384">
        <v>17500</v>
      </c>
      <c r="Z76" s="386"/>
      <c r="AG76" s="542"/>
      <c r="AH76" s="542"/>
      <c r="AI76" s="541"/>
      <c r="AJ76" s="541"/>
      <c r="AK76" s="541"/>
    </row>
    <row r="77" spans="1:37" x14ac:dyDescent="0.2">
      <c r="A77" s="11">
        <v>43739</v>
      </c>
      <c r="B77" s="384">
        <v>133570</v>
      </c>
      <c r="C77" s="384">
        <v>59480</v>
      </c>
      <c r="D77" s="384">
        <v>622</v>
      </c>
      <c r="E77" s="384">
        <v>14330</v>
      </c>
      <c r="F77" s="384">
        <v>107</v>
      </c>
      <c r="G77" s="384">
        <v>179</v>
      </c>
      <c r="H77" s="384">
        <v>462</v>
      </c>
      <c r="I77" s="384">
        <v>81</v>
      </c>
      <c r="J77" s="380">
        <v>15.38</v>
      </c>
      <c r="K77" s="384">
        <v>2259</v>
      </c>
      <c r="L77" s="384">
        <v>40</v>
      </c>
      <c r="M77" s="556">
        <v>400</v>
      </c>
      <c r="N77" s="556">
        <v>400</v>
      </c>
      <c r="O77" s="381" t="s">
        <v>549</v>
      </c>
      <c r="P77" s="381">
        <f>0.67*120</f>
        <v>80.400000000000006</v>
      </c>
      <c r="Q77" s="380">
        <v>9</v>
      </c>
      <c r="R77" s="381">
        <v>0</v>
      </c>
      <c r="S77" s="381">
        <v>0</v>
      </c>
      <c r="T77" s="381">
        <v>0</v>
      </c>
      <c r="U77" s="384">
        <v>0</v>
      </c>
      <c r="V77" s="384">
        <v>14400</v>
      </c>
      <c r="W77" s="382">
        <v>37724</v>
      </c>
      <c r="X77" s="384">
        <v>10560</v>
      </c>
      <c r="Y77" s="384">
        <v>10500</v>
      </c>
      <c r="Z77" s="386"/>
      <c r="AG77" s="542"/>
      <c r="AH77" s="542"/>
      <c r="AI77" s="541"/>
      <c r="AJ77" s="541"/>
      <c r="AK77" s="541"/>
    </row>
    <row r="78" spans="1:37" x14ac:dyDescent="0.2">
      <c r="A78" s="11">
        <v>43770</v>
      </c>
      <c r="B78" s="384">
        <v>106670</v>
      </c>
      <c r="C78" s="384">
        <v>49040</v>
      </c>
      <c r="D78" s="384">
        <v>2214</v>
      </c>
      <c r="E78" s="384">
        <v>12030</v>
      </c>
      <c r="F78" s="384">
        <v>107</v>
      </c>
      <c r="G78" s="384">
        <v>220</v>
      </c>
      <c r="H78" s="384">
        <v>401</v>
      </c>
      <c r="I78" s="384">
        <v>391.95</v>
      </c>
      <c r="J78" s="380">
        <v>3.4</v>
      </c>
      <c r="K78" s="384">
        <v>542</v>
      </c>
      <c r="L78" s="384">
        <v>30</v>
      </c>
      <c r="M78" s="556">
        <v>800</v>
      </c>
      <c r="N78" s="556">
        <v>400</v>
      </c>
      <c r="O78" s="381" t="s">
        <v>549</v>
      </c>
      <c r="P78" s="381">
        <f>0.67*95</f>
        <v>63.650000000000006</v>
      </c>
      <c r="Q78" s="380">
        <v>6</v>
      </c>
      <c r="R78" s="381"/>
      <c r="S78" s="381"/>
      <c r="T78" s="381"/>
      <c r="U78" s="384"/>
      <c r="V78" s="384">
        <v>10500</v>
      </c>
      <c r="W78" s="382">
        <v>27265.5</v>
      </c>
      <c r="X78" s="384">
        <v>10240</v>
      </c>
      <c r="Y78" s="384">
        <v>14000</v>
      </c>
      <c r="Z78" s="386"/>
      <c r="AG78" s="542"/>
      <c r="AH78" s="542"/>
      <c r="AI78" s="541"/>
      <c r="AJ78" s="541"/>
      <c r="AK78" s="541"/>
    </row>
    <row r="79" spans="1:37" x14ac:dyDescent="0.2">
      <c r="A79" s="11">
        <v>43800</v>
      </c>
      <c r="B79" s="384">
        <v>114530</v>
      </c>
      <c r="C79" s="384">
        <v>56380</v>
      </c>
      <c r="D79" s="384">
        <v>909</v>
      </c>
      <c r="E79" s="384">
        <v>13715</v>
      </c>
      <c r="F79" s="384">
        <v>94</v>
      </c>
      <c r="G79" s="384">
        <v>197</v>
      </c>
      <c r="H79" s="384">
        <v>340</v>
      </c>
      <c r="I79" s="384">
        <v>72.349999999999994</v>
      </c>
      <c r="J79" s="380">
        <v>5.57</v>
      </c>
      <c r="K79" s="384">
        <v>874</v>
      </c>
      <c r="L79" s="384">
        <v>50</v>
      </c>
      <c r="M79" s="556">
        <v>800</v>
      </c>
      <c r="N79" s="556">
        <v>400</v>
      </c>
      <c r="O79" s="381" t="s">
        <v>549</v>
      </c>
      <c r="P79" s="381">
        <f>0.67*74</f>
        <v>49.580000000000005</v>
      </c>
      <c r="Q79" s="380">
        <v>11</v>
      </c>
      <c r="R79" s="381"/>
      <c r="S79" s="381"/>
      <c r="T79" s="381"/>
      <c r="U79" s="384">
        <f>36*27+1*4.5+22*35</f>
        <v>1746.5</v>
      </c>
      <c r="V79" s="384">
        <v>10100</v>
      </c>
      <c r="W79" s="382">
        <v>28071.5</v>
      </c>
      <c r="X79" s="384">
        <v>10240</v>
      </c>
      <c r="Y79" s="384">
        <v>24500</v>
      </c>
      <c r="Z79" s="386"/>
      <c r="AG79" s="542"/>
      <c r="AH79" s="542"/>
      <c r="AI79" s="541"/>
      <c r="AJ79" s="541"/>
      <c r="AK79" s="541"/>
    </row>
    <row r="80" spans="1:37" x14ac:dyDescent="0.2">
      <c r="A80" s="11">
        <v>43831</v>
      </c>
      <c r="B80" s="384">
        <v>86780</v>
      </c>
      <c r="C80" s="384">
        <v>27790</v>
      </c>
      <c r="D80" s="384">
        <v>1011</v>
      </c>
      <c r="E80" s="384">
        <v>12753</v>
      </c>
      <c r="F80" s="384">
        <v>80</v>
      </c>
      <c r="G80" s="384">
        <v>214</v>
      </c>
      <c r="H80" s="384">
        <v>280</v>
      </c>
      <c r="I80" s="384">
        <v>76.849999999999994</v>
      </c>
      <c r="J80" s="380">
        <v>0</v>
      </c>
      <c r="K80" s="384">
        <v>0</v>
      </c>
      <c r="L80" s="384">
        <v>80</v>
      </c>
      <c r="M80" s="556">
        <v>800</v>
      </c>
      <c r="N80" s="556">
        <v>400</v>
      </c>
      <c r="O80" s="381" t="s">
        <v>549</v>
      </c>
      <c r="P80" s="381">
        <v>0</v>
      </c>
      <c r="Q80" s="380">
        <v>0</v>
      </c>
      <c r="R80" s="381"/>
      <c r="S80" s="381"/>
      <c r="T80" s="381"/>
      <c r="U80" s="384">
        <v>0</v>
      </c>
      <c r="V80" s="384">
        <v>11200</v>
      </c>
      <c r="W80" s="382">
        <v>23781.5</v>
      </c>
      <c r="X80" s="384">
        <v>5120</v>
      </c>
      <c r="Y80" s="384">
        <v>21000</v>
      </c>
      <c r="Z80" s="386"/>
      <c r="AG80" s="542"/>
      <c r="AH80" s="542"/>
      <c r="AI80" s="541"/>
      <c r="AJ80" s="541"/>
      <c r="AK80" s="541"/>
    </row>
    <row r="81" spans="1:37" x14ac:dyDescent="0.2">
      <c r="A81" s="11">
        <v>43862</v>
      </c>
      <c r="B81" s="384">
        <v>68320</v>
      </c>
      <c r="C81" s="384">
        <v>16600</v>
      </c>
      <c r="D81" s="384">
        <v>0</v>
      </c>
      <c r="E81" s="384">
        <v>7410</v>
      </c>
      <c r="F81" s="384">
        <v>56</v>
      </c>
      <c r="G81" s="384">
        <v>164</v>
      </c>
      <c r="H81" s="384">
        <v>250</v>
      </c>
      <c r="I81" s="384">
        <v>71.900000000000006</v>
      </c>
      <c r="J81" s="380">
        <v>0</v>
      </c>
      <c r="K81" s="384">
        <v>0</v>
      </c>
      <c r="L81" s="384">
        <v>0</v>
      </c>
      <c r="M81" s="556">
        <v>400</v>
      </c>
      <c r="N81" s="556">
        <v>200</v>
      </c>
      <c r="O81" s="381" t="s">
        <v>549</v>
      </c>
      <c r="P81" s="381">
        <v>0</v>
      </c>
      <c r="Q81" s="380">
        <v>0</v>
      </c>
      <c r="R81" s="381"/>
      <c r="S81" s="381"/>
      <c r="T81" s="381"/>
      <c r="U81" s="384">
        <v>0</v>
      </c>
      <c r="V81" s="384">
        <v>7900</v>
      </c>
      <c r="W81" s="382">
        <v>11633.5</v>
      </c>
      <c r="X81" s="384">
        <v>6400</v>
      </c>
      <c r="Y81" s="384">
        <v>21000</v>
      </c>
      <c r="Z81" s="386"/>
      <c r="AG81" s="542"/>
      <c r="AH81" s="542"/>
      <c r="AI81" s="541"/>
      <c r="AJ81" s="541"/>
      <c r="AK81" s="541"/>
    </row>
    <row r="82" spans="1:37" x14ac:dyDescent="0.2">
      <c r="A82" s="11">
        <v>43891</v>
      </c>
      <c r="B82" s="384">
        <v>74000</v>
      </c>
      <c r="C82" s="384">
        <v>24090</v>
      </c>
      <c r="D82" s="384">
        <v>190</v>
      </c>
      <c r="E82" s="384">
        <v>10071</v>
      </c>
      <c r="F82" s="384">
        <v>77</v>
      </c>
      <c r="G82" s="384">
        <v>211</v>
      </c>
      <c r="H82" s="384">
        <v>356</v>
      </c>
      <c r="I82" s="384">
        <v>82.1</v>
      </c>
      <c r="J82" s="380">
        <v>0</v>
      </c>
      <c r="K82" s="384">
        <v>1020</v>
      </c>
      <c r="L82" s="384">
        <v>0</v>
      </c>
      <c r="M82" s="556">
        <v>400</v>
      </c>
      <c r="N82" s="556">
        <v>200</v>
      </c>
      <c r="O82" s="381" t="s">
        <v>549</v>
      </c>
      <c r="P82" s="381">
        <v>0</v>
      </c>
      <c r="Q82" s="380">
        <v>0</v>
      </c>
      <c r="R82" s="381"/>
      <c r="S82" s="381"/>
      <c r="T82" s="381"/>
      <c r="U82" s="384">
        <v>0</v>
      </c>
      <c r="V82" s="384">
        <v>10000</v>
      </c>
      <c r="W82" s="382">
        <v>13782.5</v>
      </c>
      <c r="X82" s="384">
        <v>4800</v>
      </c>
      <c r="Y82" s="384">
        <v>21000</v>
      </c>
      <c r="Z82" s="386"/>
      <c r="AG82" s="542"/>
      <c r="AH82" s="542"/>
      <c r="AI82" s="541"/>
      <c r="AJ82" s="541"/>
      <c r="AK82" s="541"/>
    </row>
    <row r="83" spans="1:37" x14ac:dyDescent="0.2">
      <c r="A83" s="11">
        <v>43922</v>
      </c>
      <c r="B83" s="384">
        <v>77800</v>
      </c>
      <c r="C83" s="384">
        <v>24780</v>
      </c>
      <c r="D83" s="384">
        <v>174</v>
      </c>
      <c r="E83" s="384">
        <v>8981</v>
      </c>
      <c r="F83" s="384">
        <v>67</v>
      </c>
      <c r="G83" s="384">
        <v>214</v>
      </c>
      <c r="H83" s="384">
        <v>284</v>
      </c>
      <c r="I83" s="384">
        <v>136</v>
      </c>
      <c r="J83" s="380">
        <v>0</v>
      </c>
      <c r="K83" s="384">
        <v>0</v>
      </c>
      <c r="L83" s="384">
        <v>0</v>
      </c>
      <c r="M83" s="556">
        <v>400</v>
      </c>
      <c r="N83" s="556">
        <v>200</v>
      </c>
      <c r="O83" s="381" t="s">
        <v>549</v>
      </c>
      <c r="P83" s="381">
        <v>0</v>
      </c>
      <c r="Q83" s="380">
        <v>0</v>
      </c>
      <c r="R83" s="381"/>
      <c r="S83" s="381"/>
      <c r="T83" s="381"/>
      <c r="U83" s="384"/>
      <c r="V83" s="384">
        <v>5200</v>
      </c>
      <c r="W83" s="382">
        <v>11779</v>
      </c>
      <c r="X83" s="384">
        <v>4800</v>
      </c>
      <c r="Y83" s="384">
        <v>24500</v>
      </c>
      <c r="Z83" s="386"/>
      <c r="AG83" s="542"/>
      <c r="AH83" s="542"/>
      <c r="AI83" s="541"/>
      <c r="AJ83" s="541"/>
      <c r="AK83" s="541"/>
    </row>
    <row r="84" spans="1:37" x14ac:dyDescent="0.2">
      <c r="A84" s="11">
        <v>43952</v>
      </c>
      <c r="B84" s="384">
        <v>95690</v>
      </c>
      <c r="C84" s="384">
        <v>46630</v>
      </c>
      <c r="D84" s="384">
        <v>862</v>
      </c>
      <c r="E84" s="384">
        <v>9906</v>
      </c>
      <c r="F84" s="384">
        <v>76</v>
      </c>
      <c r="G84" s="384">
        <v>1743</v>
      </c>
      <c r="H84" s="384">
        <v>291</v>
      </c>
      <c r="I84" s="384">
        <v>223.15</v>
      </c>
      <c r="J84" s="380">
        <v>10.829000000000001</v>
      </c>
      <c r="K84" s="384">
        <v>863</v>
      </c>
      <c r="L84" s="384">
        <v>0</v>
      </c>
      <c r="M84" s="556">
        <v>800</v>
      </c>
      <c r="N84" s="556">
        <v>400</v>
      </c>
      <c r="O84" s="381" t="s">
        <v>549</v>
      </c>
      <c r="P84" s="381">
        <f>0.67*163</f>
        <v>109.21000000000001</v>
      </c>
      <c r="Q84" s="380">
        <v>2</v>
      </c>
      <c r="R84" s="381"/>
      <c r="S84" s="381"/>
      <c r="T84" s="381"/>
      <c r="U84" s="384">
        <f>27*27</f>
        <v>729</v>
      </c>
      <c r="V84" s="384">
        <v>11500</v>
      </c>
      <c r="W84" s="382">
        <v>15765</v>
      </c>
      <c r="X84" s="384">
        <v>6400</v>
      </c>
      <c r="Y84" s="384">
        <v>28000</v>
      </c>
      <c r="Z84" s="386"/>
      <c r="AG84" s="542"/>
      <c r="AH84" s="542"/>
      <c r="AI84" s="541"/>
      <c r="AJ84" s="541"/>
      <c r="AK84" s="541"/>
    </row>
    <row r="85" spans="1:37" x14ac:dyDescent="0.2">
      <c r="A85" s="11">
        <v>43983</v>
      </c>
      <c r="B85" s="384">
        <v>100890</v>
      </c>
      <c r="C85" s="384">
        <v>43240</v>
      </c>
      <c r="D85" s="384">
        <v>657</v>
      </c>
      <c r="E85" s="384">
        <v>12620</v>
      </c>
      <c r="F85" s="384">
        <v>88</v>
      </c>
      <c r="G85" s="384">
        <v>2264</v>
      </c>
      <c r="H85" s="384">
        <v>322</v>
      </c>
      <c r="I85" s="384">
        <v>145.1</v>
      </c>
      <c r="J85" s="380">
        <v>10.52</v>
      </c>
      <c r="K85" s="384">
        <v>982</v>
      </c>
      <c r="L85" s="384">
        <v>180</v>
      </c>
      <c r="M85" s="556">
        <v>1600</v>
      </c>
      <c r="N85" s="556">
        <v>400</v>
      </c>
      <c r="O85" s="381" t="s">
        <v>549</v>
      </c>
      <c r="P85" s="381">
        <f>0.67*250</f>
        <v>167.5</v>
      </c>
      <c r="Q85" s="380">
        <v>0</v>
      </c>
      <c r="R85" s="381"/>
      <c r="S85" s="381"/>
      <c r="T85" s="381"/>
      <c r="U85" s="384">
        <f>23*27+1*4.5+12*35</f>
        <v>1045.5</v>
      </c>
      <c r="V85" s="384">
        <v>7200</v>
      </c>
      <c r="W85" s="382">
        <v>20002.000000000004</v>
      </c>
      <c r="X85" s="384">
        <v>6400</v>
      </c>
      <c r="Y85" s="384">
        <v>28000</v>
      </c>
      <c r="Z85" s="386"/>
      <c r="AG85" s="542"/>
      <c r="AH85" s="542"/>
      <c r="AI85" s="541"/>
      <c r="AJ85" s="541"/>
      <c r="AK85" s="541"/>
    </row>
    <row r="86" spans="1:37" x14ac:dyDescent="0.2">
      <c r="A86" s="11">
        <v>44013</v>
      </c>
      <c r="B86" s="382">
        <v>99540</v>
      </c>
      <c r="C86" s="391">
        <v>25450</v>
      </c>
      <c r="D86" s="391">
        <v>481</v>
      </c>
      <c r="E86" s="391">
        <v>12224</v>
      </c>
      <c r="F86" s="391">
        <v>107</v>
      </c>
      <c r="G86" s="391">
        <v>1459</v>
      </c>
      <c r="H86" s="391">
        <v>340</v>
      </c>
      <c r="I86" s="391">
        <v>233.8</v>
      </c>
      <c r="J86" s="392">
        <v>0.85099999999999998</v>
      </c>
      <c r="K86" s="391">
        <v>0</v>
      </c>
      <c r="L86" s="391">
        <v>70</v>
      </c>
      <c r="M86" s="558">
        <v>400</v>
      </c>
      <c r="N86" s="558">
        <v>200</v>
      </c>
      <c r="O86" s="393" t="s">
        <v>549</v>
      </c>
      <c r="P86" s="393">
        <f>0.67*220</f>
        <v>147.4</v>
      </c>
      <c r="Q86" s="392">
        <v>6</v>
      </c>
      <c r="R86" s="393"/>
      <c r="S86" s="393"/>
      <c r="T86" s="393"/>
      <c r="U86" s="391">
        <v>0</v>
      </c>
      <c r="V86" s="382">
        <v>12300</v>
      </c>
      <c r="W86" s="382">
        <v>24809</v>
      </c>
      <c r="X86" s="391">
        <v>4800</v>
      </c>
      <c r="Y86" s="382">
        <v>17500</v>
      </c>
      <c r="Z86" s="390"/>
      <c r="AG86" s="542"/>
      <c r="AH86" s="542"/>
      <c r="AI86" s="541"/>
      <c r="AJ86" s="541"/>
      <c r="AK86" s="541"/>
    </row>
    <row r="87" spans="1:37" x14ac:dyDescent="0.2">
      <c r="A87" s="11">
        <v>44044</v>
      </c>
      <c r="B87" s="382">
        <v>98190</v>
      </c>
      <c r="C87" s="391">
        <v>25100</v>
      </c>
      <c r="D87" s="391">
        <v>735</v>
      </c>
      <c r="E87" s="391">
        <v>11764</v>
      </c>
      <c r="F87" s="391">
        <v>107</v>
      </c>
      <c r="G87" s="391">
        <v>1874</v>
      </c>
      <c r="H87" s="391">
        <v>343</v>
      </c>
      <c r="I87" s="391">
        <v>137.15</v>
      </c>
      <c r="J87" s="392">
        <v>0</v>
      </c>
      <c r="K87" s="391">
        <v>734</v>
      </c>
      <c r="L87" s="391">
        <v>100</v>
      </c>
      <c r="M87" s="558">
        <v>1200</v>
      </c>
      <c r="N87" s="558">
        <v>600</v>
      </c>
      <c r="O87" s="393" t="s">
        <v>549</v>
      </c>
      <c r="P87" s="393">
        <v>0</v>
      </c>
      <c r="Q87" s="392">
        <v>0</v>
      </c>
      <c r="R87" s="393"/>
      <c r="S87" s="393"/>
      <c r="T87" s="393"/>
      <c r="U87" s="391">
        <f>5*27+27*35</f>
        <v>1080</v>
      </c>
      <c r="V87" s="382">
        <v>12400</v>
      </c>
      <c r="W87" s="382">
        <v>23143</v>
      </c>
      <c r="X87" s="391">
        <v>4800</v>
      </c>
      <c r="Y87" s="382">
        <v>24000</v>
      </c>
      <c r="Z87" s="390"/>
      <c r="AG87" s="542"/>
      <c r="AH87" s="542"/>
      <c r="AI87" s="541"/>
      <c r="AJ87" s="541"/>
      <c r="AK87" s="541"/>
    </row>
    <row r="88" spans="1:37" x14ac:dyDescent="0.2">
      <c r="A88" s="11">
        <v>44075</v>
      </c>
      <c r="B88" s="382">
        <v>103480</v>
      </c>
      <c r="C88" s="391">
        <v>26450</v>
      </c>
      <c r="D88" s="391">
        <v>2051</v>
      </c>
      <c r="E88" s="391">
        <v>12331</v>
      </c>
      <c r="F88" s="391">
        <v>105</v>
      </c>
      <c r="G88" s="391">
        <v>266</v>
      </c>
      <c r="H88" s="391">
        <v>344</v>
      </c>
      <c r="I88" s="391">
        <v>168.75</v>
      </c>
      <c r="J88" s="392">
        <v>0.78900000000000003</v>
      </c>
      <c r="K88" s="391">
        <v>643</v>
      </c>
      <c r="L88" s="391">
        <v>0</v>
      </c>
      <c r="M88" s="558">
        <v>800</v>
      </c>
      <c r="N88" s="558">
        <v>400</v>
      </c>
      <c r="O88" s="393" t="s">
        <v>549</v>
      </c>
      <c r="P88" s="393">
        <f>0.67*123</f>
        <v>82.410000000000011</v>
      </c>
      <c r="Q88" s="392">
        <v>0</v>
      </c>
      <c r="R88" s="393"/>
      <c r="S88" s="393"/>
      <c r="T88" s="393"/>
      <c r="U88" s="391">
        <v>0</v>
      </c>
      <c r="V88" s="382">
        <v>10400</v>
      </c>
      <c r="W88" s="382">
        <v>28611</v>
      </c>
      <c r="X88" s="391">
        <v>6400</v>
      </c>
      <c r="Y88" s="382">
        <v>21000</v>
      </c>
      <c r="Z88" s="390"/>
      <c r="AG88" s="542"/>
      <c r="AH88" s="542"/>
      <c r="AI88" s="541"/>
      <c r="AJ88" s="541"/>
      <c r="AK88" s="541"/>
    </row>
    <row r="89" spans="1:37" x14ac:dyDescent="0.2">
      <c r="A89" s="11">
        <v>44105</v>
      </c>
      <c r="B89" s="382">
        <v>99600</v>
      </c>
      <c r="C89" s="391">
        <v>18840</v>
      </c>
      <c r="D89" s="391">
        <v>807</v>
      </c>
      <c r="E89" s="391">
        <v>13196</v>
      </c>
      <c r="F89" s="391">
        <v>96</v>
      </c>
      <c r="G89" s="391">
        <v>249</v>
      </c>
      <c r="H89" s="391">
        <v>348</v>
      </c>
      <c r="I89" s="391">
        <v>162.69999999999999</v>
      </c>
      <c r="J89" s="392">
        <v>0</v>
      </c>
      <c r="K89" s="391">
        <v>971</v>
      </c>
      <c r="L89" s="391">
        <v>0</v>
      </c>
      <c r="M89" s="558">
        <v>400</v>
      </c>
      <c r="N89" s="558">
        <v>400</v>
      </c>
      <c r="O89" s="393" t="s">
        <v>549</v>
      </c>
      <c r="P89" s="393">
        <f>0.67*86</f>
        <v>57.620000000000005</v>
      </c>
      <c r="Q89" s="392">
        <v>6</v>
      </c>
      <c r="R89" s="393"/>
      <c r="S89" s="393"/>
      <c r="T89" s="393"/>
      <c r="U89" s="391">
        <f>29*27+2*4.5</f>
        <v>792</v>
      </c>
      <c r="V89" s="382">
        <v>12200</v>
      </c>
      <c r="W89" s="382">
        <v>31009</v>
      </c>
      <c r="X89" s="391">
        <v>4800</v>
      </c>
      <c r="Y89" s="382">
        <v>24500</v>
      </c>
      <c r="Z89" s="390"/>
      <c r="AG89" s="542"/>
      <c r="AH89" s="542"/>
      <c r="AI89" s="541"/>
      <c r="AJ89" s="541"/>
      <c r="AK89" s="541"/>
    </row>
    <row r="90" spans="1:37" x14ac:dyDescent="0.2">
      <c r="A90" s="11">
        <v>44136</v>
      </c>
      <c r="B90" s="382">
        <v>100780</v>
      </c>
      <c r="C90" s="391">
        <v>20400</v>
      </c>
      <c r="D90" s="391">
        <v>866</v>
      </c>
      <c r="E90" s="391">
        <v>11978</v>
      </c>
      <c r="F90" s="391">
        <v>100</v>
      </c>
      <c r="G90" s="391">
        <v>321</v>
      </c>
      <c r="H90" s="391">
        <v>477</v>
      </c>
      <c r="I90" s="391">
        <v>242.15</v>
      </c>
      <c r="J90" s="392">
        <v>0.46400000000000002</v>
      </c>
      <c r="K90" s="391">
        <v>781</v>
      </c>
      <c r="L90" s="391">
        <v>0</v>
      </c>
      <c r="M90" s="558">
        <v>800</v>
      </c>
      <c r="N90" s="558">
        <v>400</v>
      </c>
      <c r="O90" s="393" t="s">
        <v>549</v>
      </c>
      <c r="P90" s="393">
        <f>0.67*125</f>
        <v>83.75</v>
      </c>
      <c r="Q90" s="392">
        <v>7</v>
      </c>
      <c r="R90" s="393"/>
      <c r="S90" s="393"/>
      <c r="T90" s="393"/>
      <c r="U90" s="391">
        <f>(18+29)*27+7.5*2+(22+2)*4.5+1*35</f>
        <v>1427</v>
      </c>
      <c r="V90" s="382">
        <v>13500</v>
      </c>
      <c r="W90" s="382">
        <v>34289</v>
      </c>
      <c r="X90" s="391">
        <v>3200</v>
      </c>
      <c r="Y90" s="382">
        <v>21000</v>
      </c>
      <c r="Z90" s="390"/>
      <c r="AG90" s="542"/>
      <c r="AH90" s="542"/>
      <c r="AI90" s="541"/>
      <c r="AJ90" s="541"/>
      <c r="AK90" s="541"/>
    </row>
    <row r="91" spans="1:37" x14ac:dyDescent="0.2">
      <c r="A91" s="11">
        <v>44166</v>
      </c>
      <c r="B91" s="382">
        <v>92840</v>
      </c>
      <c r="C91" s="391">
        <v>19120</v>
      </c>
      <c r="D91" s="391">
        <v>731</v>
      </c>
      <c r="E91" s="391">
        <v>11422</v>
      </c>
      <c r="F91" s="391">
        <v>86</v>
      </c>
      <c r="G91" s="391">
        <v>321</v>
      </c>
      <c r="H91" s="391">
        <v>352</v>
      </c>
      <c r="I91" s="391">
        <v>161.05000000000001</v>
      </c>
      <c r="J91" s="392">
        <v>0.92800000000000005</v>
      </c>
      <c r="K91" s="391">
        <v>971</v>
      </c>
      <c r="L91" s="391">
        <v>0</v>
      </c>
      <c r="M91" s="558">
        <v>600</v>
      </c>
      <c r="N91" s="558">
        <v>200</v>
      </c>
      <c r="O91" s="393" t="s">
        <v>549</v>
      </c>
      <c r="P91" s="393">
        <f>0.67*100</f>
        <v>67</v>
      </c>
      <c r="Q91" s="392">
        <v>0</v>
      </c>
      <c r="R91" s="393"/>
      <c r="S91" s="393"/>
      <c r="T91" s="393"/>
      <c r="U91" s="391">
        <v>0</v>
      </c>
      <c r="V91" s="382">
        <v>14600</v>
      </c>
      <c r="W91" s="382">
        <v>33360</v>
      </c>
      <c r="X91" s="391">
        <v>3200</v>
      </c>
      <c r="Y91" s="382">
        <v>10500</v>
      </c>
      <c r="Z91" s="390"/>
      <c r="AG91" s="542"/>
      <c r="AH91" s="542"/>
      <c r="AI91" s="541"/>
      <c r="AJ91" s="541"/>
      <c r="AK91" s="541"/>
    </row>
    <row r="92" spans="1:37" x14ac:dyDescent="0.2">
      <c r="A92" s="11">
        <v>44197</v>
      </c>
      <c r="B92" s="382">
        <v>82270</v>
      </c>
      <c r="C92" s="391">
        <v>19600</v>
      </c>
      <c r="D92" s="391">
        <v>291</v>
      </c>
      <c r="E92" s="391">
        <v>12557</v>
      </c>
      <c r="F92" s="391">
        <v>82</v>
      </c>
      <c r="G92" s="391">
        <v>262</v>
      </c>
      <c r="H92" s="391">
        <v>305</v>
      </c>
      <c r="I92" s="391">
        <v>83.55</v>
      </c>
      <c r="J92" s="392">
        <v>4.6399999999999997</v>
      </c>
      <c r="K92" s="391">
        <v>1544</v>
      </c>
      <c r="L92" s="391">
        <v>0</v>
      </c>
      <c r="M92" s="558">
        <v>600</v>
      </c>
      <c r="N92" s="558">
        <v>400</v>
      </c>
      <c r="O92" s="393" t="s">
        <v>549</v>
      </c>
      <c r="P92" s="393">
        <f>0.67*112</f>
        <v>75.040000000000006</v>
      </c>
      <c r="Q92" s="392">
        <v>0</v>
      </c>
      <c r="R92" s="393"/>
      <c r="S92" s="393"/>
      <c r="T92" s="393"/>
      <c r="U92" s="391">
        <v>0</v>
      </c>
      <c r="V92" s="382">
        <v>18700</v>
      </c>
      <c r="W92" s="382">
        <v>33517</v>
      </c>
      <c r="X92" s="391">
        <v>3200</v>
      </c>
      <c r="Y92" s="382">
        <v>24500</v>
      </c>
      <c r="Z92" s="390"/>
      <c r="AG92" s="542"/>
      <c r="AH92" s="542"/>
      <c r="AI92" s="541"/>
      <c r="AJ92" s="541"/>
      <c r="AK92" s="541"/>
    </row>
    <row r="93" spans="1:37" x14ac:dyDescent="0.2">
      <c r="A93" s="11">
        <v>44228</v>
      </c>
      <c r="B93" s="382">
        <v>91040</v>
      </c>
      <c r="C93" s="391">
        <v>16990</v>
      </c>
      <c r="D93" s="391">
        <v>90</v>
      </c>
      <c r="E93" s="391">
        <v>11838</v>
      </c>
      <c r="F93" s="391">
        <v>89</v>
      </c>
      <c r="G93" s="391">
        <v>1701</v>
      </c>
      <c r="H93" s="391">
        <v>366</v>
      </c>
      <c r="I93" s="391">
        <v>185.05</v>
      </c>
      <c r="J93" s="392">
        <v>3.911</v>
      </c>
      <c r="K93" s="391">
        <v>0</v>
      </c>
      <c r="L93" s="391">
        <v>0</v>
      </c>
      <c r="M93" s="558">
        <v>600</v>
      </c>
      <c r="N93" s="558">
        <v>400</v>
      </c>
      <c r="O93" s="393" t="s">
        <v>549</v>
      </c>
      <c r="P93" s="393">
        <v>0</v>
      </c>
      <c r="Q93" s="392">
        <v>0</v>
      </c>
      <c r="R93" s="393"/>
      <c r="S93" s="393"/>
      <c r="T93" s="393"/>
      <c r="U93" s="391">
        <f>24*27+4.5*1</f>
        <v>652.5</v>
      </c>
      <c r="V93" s="382">
        <v>6000</v>
      </c>
      <c r="W93" s="382">
        <v>29468</v>
      </c>
      <c r="X93" s="391">
        <v>4800</v>
      </c>
      <c r="Y93" s="382">
        <v>14000</v>
      </c>
      <c r="Z93" s="390"/>
      <c r="AG93" s="542"/>
      <c r="AH93" s="542"/>
      <c r="AI93" s="541"/>
      <c r="AJ93" s="541"/>
      <c r="AK93" s="541"/>
    </row>
    <row r="94" spans="1:37" x14ac:dyDescent="0.2">
      <c r="A94" s="11">
        <v>44256</v>
      </c>
      <c r="B94" s="382">
        <v>108160</v>
      </c>
      <c r="C94" s="391">
        <v>20300</v>
      </c>
      <c r="D94" s="391">
        <v>588</v>
      </c>
      <c r="E94" s="391">
        <v>14191</v>
      </c>
      <c r="F94" s="391">
        <v>90</v>
      </c>
      <c r="G94" s="391">
        <v>251</v>
      </c>
      <c r="H94" s="391">
        <v>433</v>
      </c>
      <c r="I94" s="391">
        <v>142.6</v>
      </c>
      <c r="J94" s="392">
        <v>4.3630000000000004</v>
      </c>
      <c r="K94" s="391">
        <v>758</v>
      </c>
      <c r="L94" s="391">
        <v>30</v>
      </c>
      <c r="M94" s="558">
        <v>400</v>
      </c>
      <c r="N94" s="558">
        <v>200</v>
      </c>
      <c r="O94" s="393" t="s">
        <v>549</v>
      </c>
      <c r="P94" s="393">
        <f>0.67*110</f>
        <v>73.7</v>
      </c>
      <c r="Q94" s="392">
        <v>0</v>
      </c>
      <c r="R94" s="393"/>
      <c r="S94" s="393"/>
      <c r="T94" s="393"/>
      <c r="U94" s="391">
        <v>0</v>
      </c>
      <c r="V94" s="382">
        <v>14700</v>
      </c>
      <c r="W94" s="382">
        <v>35447</v>
      </c>
      <c r="X94" s="391">
        <v>8000</v>
      </c>
      <c r="Y94" s="382">
        <v>17500</v>
      </c>
      <c r="Z94" s="390"/>
      <c r="AG94" s="542"/>
      <c r="AH94" s="542"/>
      <c r="AI94" s="541"/>
      <c r="AJ94" s="541"/>
      <c r="AK94" s="541"/>
    </row>
    <row r="95" spans="1:37" x14ac:dyDescent="0.2">
      <c r="A95" s="11">
        <v>44287</v>
      </c>
      <c r="B95" s="382">
        <v>97900</v>
      </c>
      <c r="C95" s="391">
        <v>25520</v>
      </c>
      <c r="D95" s="391">
        <v>317</v>
      </c>
      <c r="E95" s="391">
        <v>12749</v>
      </c>
      <c r="F95" s="391">
        <v>77</v>
      </c>
      <c r="G95" s="391">
        <v>1274</v>
      </c>
      <c r="H95" s="391">
        <v>383</v>
      </c>
      <c r="I95" s="391">
        <v>124.75</v>
      </c>
      <c r="J95" s="392">
        <v>0.35599999999999998</v>
      </c>
      <c r="K95" s="391">
        <v>0</v>
      </c>
      <c r="L95" s="391">
        <v>130</v>
      </c>
      <c r="M95" s="558">
        <v>800</v>
      </c>
      <c r="N95" s="558">
        <v>400</v>
      </c>
      <c r="O95" s="393" t="s">
        <v>549</v>
      </c>
      <c r="P95" s="393">
        <f>0.67*180</f>
        <v>120.60000000000001</v>
      </c>
      <c r="Q95" s="392">
        <v>0</v>
      </c>
      <c r="R95" s="393"/>
      <c r="S95" s="393"/>
      <c r="T95" s="393"/>
      <c r="U95" s="391">
        <v>0</v>
      </c>
      <c r="V95" s="382">
        <v>20500</v>
      </c>
      <c r="W95" s="382">
        <v>43497</v>
      </c>
      <c r="X95" s="391">
        <v>4800</v>
      </c>
      <c r="Y95" s="382">
        <v>14000</v>
      </c>
      <c r="Z95" s="390"/>
      <c r="AG95" s="542"/>
      <c r="AH95" s="542"/>
      <c r="AI95" s="541"/>
      <c r="AJ95" s="541"/>
      <c r="AK95" s="541"/>
    </row>
    <row r="96" spans="1:37" x14ac:dyDescent="0.2">
      <c r="A96" s="11">
        <v>44317</v>
      </c>
      <c r="B96" s="382">
        <v>114090</v>
      </c>
      <c r="C96" s="391">
        <v>22770</v>
      </c>
      <c r="D96" s="391">
        <v>476</v>
      </c>
      <c r="E96" s="391">
        <v>12531</v>
      </c>
      <c r="F96" s="391">
        <v>77</v>
      </c>
      <c r="G96" s="391">
        <v>802</v>
      </c>
      <c r="H96" s="391">
        <v>563</v>
      </c>
      <c r="I96" s="391">
        <v>130.30000000000001</v>
      </c>
      <c r="J96" s="392">
        <v>5.415</v>
      </c>
      <c r="K96" s="391">
        <v>1085</v>
      </c>
      <c r="L96" s="391">
        <v>50</v>
      </c>
      <c r="M96" s="558">
        <v>800</v>
      </c>
      <c r="N96" s="558">
        <v>400</v>
      </c>
      <c r="O96" s="393" t="s">
        <v>549</v>
      </c>
      <c r="P96" s="393">
        <f>0.67*185</f>
        <v>123.95</v>
      </c>
      <c r="Q96" s="392">
        <v>0</v>
      </c>
      <c r="R96" s="393"/>
      <c r="S96" s="393"/>
      <c r="T96" s="393"/>
      <c r="U96" s="391">
        <f>25*27</f>
        <v>675</v>
      </c>
      <c r="V96" s="382">
        <v>10400</v>
      </c>
      <c r="W96" s="382">
        <v>40188</v>
      </c>
      <c r="X96" s="391">
        <v>6400</v>
      </c>
      <c r="Y96" s="382">
        <v>17500</v>
      </c>
      <c r="Z96" s="390"/>
      <c r="AG96" s="542"/>
      <c r="AH96" s="542"/>
      <c r="AI96" s="541"/>
      <c r="AJ96" s="541"/>
      <c r="AK96" s="541"/>
    </row>
    <row r="97" spans="1:37" x14ac:dyDescent="0.2">
      <c r="A97" s="11">
        <v>44348</v>
      </c>
      <c r="B97" s="382">
        <v>91870</v>
      </c>
      <c r="C97" s="391">
        <v>19320</v>
      </c>
      <c r="D97" s="391">
        <v>1449</v>
      </c>
      <c r="E97" s="391">
        <v>13034</v>
      </c>
      <c r="F97" s="391">
        <v>73</v>
      </c>
      <c r="G97" s="391">
        <v>259</v>
      </c>
      <c r="H97" s="391">
        <v>350</v>
      </c>
      <c r="I97" s="391">
        <v>115.7</v>
      </c>
      <c r="J97" s="392">
        <v>3.8679999999999999</v>
      </c>
      <c r="K97" s="391">
        <v>908</v>
      </c>
      <c r="L97" s="391">
        <v>130</v>
      </c>
      <c r="M97" s="558">
        <v>800</v>
      </c>
      <c r="N97" s="558">
        <v>400</v>
      </c>
      <c r="O97" s="393" t="s">
        <v>549</v>
      </c>
      <c r="P97" s="393">
        <f>0.67*120</f>
        <v>80.400000000000006</v>
      </c>
      <c r="Q97" s="392">
        <v>0</v>
      </c>
      <c r="R97" s="393"/>
      <c r="S97" s="393"/>
      <c r="T97" s="393"/>
      <c r="U97" s="391">
        <v>0</v>
      </c>
      <c r="V97" s="382">
        <v>10400</v>
      </c>
      <c r="W97" s="382">
        <v>35583</v>
      </c>
      <c r="X97" s="391">
        <v>4800</v>
      </c>
      <c r="Y97" s="382">
        <v>24500</v>
      </c>
      <c r="Z97" s="390"/>
      <c r="AG97" s="542"/>
      <c r="AH97" s="615"/>
      <c r="AI97" s="541"/>
      <c r="AJ97" s="541"/>
      <c r="AK97" s="541"/>
    </row>
    <row r="98" spans="1:37" x14ac:dyDescent="0.2">
      <c r="A98" s="11">
        <v>44378</v>
      </c>
      <c r="B98" s="384">
        <v>94540</v>
      </c>
      <c r="C98" s="384">
        <v>23190</v>
      </c>
      <c r="D98" s="384">
        <v>1001</v>
      </c>
      <c r="E98" s="384">
        <v>12407</v>
      </c>
      <c r="F98" s="384">
        <v>79</v>
      </c>
      <c r="G98" s="384">
        <v>1049</v>
      </c>
      <c r="H98" s="384">
        <v>535</v>
      </c>
      <c r="I98" s="384">
        <v>81.849999999999994</v>
      </c>
      <c r="J98" s="380">
        <v>3.8679999999999999</v>
      </c>
      <c r="K98" s="384">
        <v>1043</v>
      </c>
      <c r="L98" s="384">
        <v>150</v>
      </c>
      <c r="M98" s="556">
        <v>800</v>
      </c>
      <c r="N98" s="556">
        <v>400</v>
      </c>
      <c r="O98" s="381" t="s">
        <v>549</v>
      </c>
      <c r="P98" s="381">
        <f>0.67*150</f>
        <v>100.5</v>
      </c>
      <c r="Q98" s="380">
        <v>0</v>
      </c>
      <c r="R98" s="381"/>
      <c r="S98" s="381"/>
      <c r="T98" s="381"/>
      <c r="U98" s="384">
        <v>0</v>
      </c>
      <c r="V98" s="384">
        <v>16700</v>
      </c>
      <c r="W98" s="382">
        <v>36437</v>
      </c>
      <c r="X98" s="384">
        <v>8000</v>
      </c>
      <c r="Y98" s="384">
        <v>21000</v>
      </c>
      <c r="Z98" s="386"/>
      <c r="AG98" s="542"/>
      <c r="AH98" s="542"/>
      <c r="AI98" s="541"/>
      <c r="AJ98" s="541"/>
      <c r="AK98" s="541"/>
    </row>
    <row r="99" spans="1:37" x14ac:dyDescent="0.2">
      <c r="A99" s="11">
        <v>44409</v>
      </c>
      <c r="B99" s="384">
        <v>104460</v>
      </c>
      <c r="C99" s="384">
        <v>27760</v>
      </c>
      <c r="D99" s="384">
        <v>1112</v>
      </c>
      <c r="E99" s="384">
        <v>14252</v>
      </c>
      <c r="F99" s="384">
        <v>82</v>
      </c>
      <c r="G99" s="384">
        <v>294</v>
      </c>
      <c r="H99" s="384">
        <v>356</v>
      </c>
      <c r="I99" s="384">
        <v>75.95</v>
      </c>
      <c r="J99" s="380">
        <v>0.20300000000000001</v>
      </c>
      <c r="K99" s="384">
        <v>0</v>
      </c>
      <c r="L99" s="384">
        <v>130</v>
      </c>
      <c r="M99" s="556">
        <v>800</v>
      </c>
      <c r="N99" s="556">
        <v>400</v>
      </c>
      <c r="O99" s="381" t="s">
        <v>549</v>
      </c>
      <c r="P99" s="381">
        <f>0.67*182</f>
        <v>121.94000000000001</v>
      </c>
      <c r="Q99" s="380">
        <v>0</v>
      </c>
      <c r="R99" s="381"/>
      <c r="S99" s="381"/>
      <c r="T99" s="381"/>
      <c r="U99" s="384">
        <v>0</v>
      </c>
      <c r="V99" s="384">
        <v>13700</v>
      </c>
      <c r="W99" s="382">
        <v>33584</v>
      </c>
      <c r="X99" s="384">
        <v>6400</v>
      </c>
      <c r="Y99" s="384">
        <v>35000</v>
      </c>
      <c r="Z99" s="386"/>
      <c r="AG99" s="542"/>
      <c r="AH99" s="542"/>
      <c r="AI99" s="541"/>
      <c r="AJ99" s="541"/>
      <c r="AK99" s="541"/>
    </row>
    <row r="100" spans="1:37" x14ac:dyDescent="0.2">
      <c r="A100" s="11">
        <v>44440</v>
      </c>
      <c r="B100" s="384">
        <v>125580</v>
      </c>
      <c r="C100" s="384">
        <v>28910</v>
      </c>
      <c r="D100" s="384">
        <v>624</v>
      </c>
      <c r="E100" s="384">
        <v>15030</v>
      </c>
      <c r="F100" s="384">
        <v>92</v>
      </c>
      <c r="G100" s="384">
        <v>810</v>
      </c>
      <c r="H100" s="384">
        <v>336</v>
      </c>
      <c r="I100" s="384">
        <v>70.05</v>
      </c>
      <c r="J100" s="380">
        <v>0</v>
      </c>
      <c r="K100" s="384">
        <v>1006</v>
      </c>
      <c r="L100" s="384">
        <v>80</v>
      </c>
      <c r="M100" s="556">
        <v>800</v>
      </c>
      <c r="N100" s="556">
        <v>400</v>
      </c>
      <c r="O100" s="381" t="s">
        <v>549</v>
      </c>
      <c r="P100" s="381">
        <f>0.67*100</f>
        <v>67</v>
      </c>
      <c r="Q100" s="380">
        <v>0</v>
      </c>
      <c r="R100" s="381"/>
      <c r="S100" s="381"/>
      <c r="T100" s="381"/>
      <c r="U100" s="384">
        <v>0</v>
      </c>
      <c r="V100" s="384">
        <v>9500</v>
      </c>
      <c r="W100" s="382">
        <v>35376</v>
      </c>
      <c r="X100" s="384">
        <v>6400</v>
      </c>
      <c r="Y100" s="384">
        <v>28000</v>
      </c>
      <c r="Z100" s="386"/>
      <c r="AG100" s="542"/>
      <c r="AH100" s="542"/>
      <c r="AI100" s="541"/>
      <c r="AJ100" s="541"/>
      <c r="AK100" s="541"/>
    </row>
    <row r="101" spans="1:37" x14ac:dyDescent="0.2">
      <c r="A101" s="11">
        <v>44470</v>
      </c>
      <c r="B101" s="384">
        <v>120930</v>
      </c>
      <c r="C101" s="384">
        <v>22640</v>
      </c>
      <c r="D101" s="384">
        <v>243</v>
      </c>
      <c r="E101" s="384">
        <v>12985</v>
      </c>
      <c r="F101" s="384">
        <v>81</v>
      </c>
      <c r="G101" s="384">
        <v>911</v>
      </c>
      <c r="H101" s="384">
        <v>304</v>
      </c>
      <c r="I101" s="384">
        <v>157.35</v>
      </c>
      <c r="J101" s="380">
        <v>0</v>
      </c>
      <c r="K101" s="384">
        <v>891</v>
      </c>
      <c r="L101" s="384">
        <v>150</v>
      </c>
      <c r="M101" s="556">
        <v>800</v>
      </c>
      <c r="N101" s="556">
        <v>400</v>
      </c>
      <c r="O101" s="381" t="s">
        <v>549</v>
      </c>
      <c r="P101" s="381">
        <v>0</v>
      </c>
      <c r="Q101" s="380">
        <v>0</v>
      </c>
      <c r="R101" s="381"/>
      <c r="S101" s="381"/>
      <c r="T101" s="381"/>
      <c r="U101" s="384">
        <v>0</v>
      </c>
      <c r="V101" s="384">
        <v>7830</v>
      </c>
      <c r="W101" s="382">
        <v>45400</v>
      </c>
      <c r="X101" s="384">
        <v>6400</v>
      </c>
      <c r="Y101" s="384">
        <v>35000</v>
      </c>
      <c r="Z101" s="386"/>
      <c r="AG101" s="542"/>
      <c r="AH101" s="542"/>
      <c r="AI101" s="541"/>
      <c r="AJ101" s="541"/>
      <c r="AK101" s="541"/>
    </row>
    <row r="102" spans="1:37" x14ac:dyDescent="0.2">
      <c r="A102" s="11">
        <v>44501</v>
      </c>
      <c r="B102" s="384">
        <v>122690</v>
      </c>
      <c r="C102" s="384">
        <v>22120</v>
      </c>
      <c r="D102" s="384">
        <v>1282</v>
      </c>
      <c r="E102" s="384">
        <v>13164</v>
      </c>
      <c r="F102" s="384">
        <v>88</v>
      </c>
      <c r="G102" s="384">
        <v>282</v>
      </c>
      <c r="H102" s="384">
        <v>285</v>
      </c>
      <c r="I102" s="384">
        <v>67.75</v>
      </c>
      <c r="J102" s="380">
        <v>0.77400000000000002</v>
      </c>
      <c r="K102" s="384">
        <v>625</v>
      </c>
      <c r="L102" s="384">
        <v>30</v>
      </c>
      <c r="M102" s="556">
        <v>800</v>
      </c>
      <c r="N102" s="556">
        <v>400</v>
      </c>
      <c r="O102" s="381" t="s">
        <v>549</v>
      </c>
      <c r="P102" s="381">
        <f>0.67*258</f>
        <v>172.86</v>
      </c>
      <c r="Q102" s="380">
        <v>0</v>
      </c>
      <c r="R102" s="381"/>
      <c r="S102" s="381"/>
      <c r="T102" s="381"/>
      <c r="U102" s="384">
        <f>72*27+6*4.5</f>
        <v>1971</v>
      </c>
      <c r="V102" s="384">
        <v>5800</v>
      </c>
      <c r="W102" s="382">
        <v>42665</v>
      </c>
      <c r="X102" s="384">
        <v>4800</v>
      </c>
      <c r="Y102" s="384">
        <v>35000</v>
      </c>
      <c r="Z102" s="386"/>
      <c r="AG102" s="542"/>
      <c r="AH102" s="542"/>
      <c r="AI102" s="541"/>
      <c r="AJ102" s="541"/>
      <c r="AK102" s="541"/>
    </row>
    <row r="103" spans="1:37" x14ac:dyDescent="0.2">
      <c r="A103" s="11">
        <v>44531</v>
      </c>
      <c r="B103" s="384">
        <v>119627</v>
      </c>
      <c r="C103" s="384">
        <v>24060</v>
      </c>
      <c r="D103" s="384">
        <v>683</v>
      </c>
      <c r="E103" s="384">
        <v>13435</v>
      </c>
      <c r="F103" s="384">
        <v>87</v>
      </c>
      <c r="G103" s="384">
        <v>984</v>
      </c>
      <c r="H103" s="384">
        <v>361</v>
      </c>
      <c r="I103" s="384">
        <v>63.95</v>
      </c>
      <c r="J103" s="380">
        <v>0.38700000000000001</v>
      </c>
      <c r="K103" s="384">
        <v>0</v>
      </c>
      <c r="L103" s="384">
        <v>70</v>
      </c>
      <c r="M103" s="556">
        <v>600</v>
      </c>
      <c r="N103" s="556">
        <v>400</v>
      </c>
      <c r="O103" s="381" t="s">
        <v>549</v>
      </c>
      <c r="P103" s="381">
        <f>0.67*120</f>
        <v>80.400000000000006</v>
      </c>
      <c r="Q103" s="380">
        <v>0</v>
      </c>
      <c r="R103" s="381"/>
      <c r="S103" s="381"/>
      <c r="T103" s="381"/>
      <c r="U103" s="384">
        <f>13*27+1*4.5</f>
        <v>355.5</v>
      </c>
      <c r="V103" s="384">
        <v>10180</v>
      </c>
      <c r="W103" s="382">
        <v>41338</v>
      </c>
      <c r="X103" s="384">
        <v>8000</v>
      </c>
      <c r="Y103" s="384">
        <v>31500</v>
      </c>
      <c r="Z103" s="386"/>
      <c r="AG103" s="542"/>
      <c r="AH103" s="542"/>
      <c r="AI103" s="541"/>
      <c r="AJ103" s="541"/>
      <c r="AK103" s="541"/>
    </row>
    <row r="104" spans="1:37" x14ac:dyDescent="0.2">
      <c r="A104" s="11">
        <v>44562</v>
      </c>
      <c r="B104" s="384">
        <v>113840</v>
      </c>
      <c r="C104" s="384">
        <v>30180</v>
      </c>
      <c r="D104" s="384">
        <v>1410</v>
      </c>
      <c r="E104" s="384">
        <v>13422</v>
      </c>
      <c r="F104" s="384">
        <v>82</v>
      </c>
      <c r="G104" s="384">
        <v>1130</v>
      </c>
      <c r="H104" s="384">
        <v>288</v>
      </c>
      <c r="I104" s="384">
        <v>133.65</v>
      </c>
      <c r="J104" s="380">
        <v>0</v>
      </c>
      <c r="K104" s="384">
        <v>0</v>
      </c>
      <c r="L104" s="384">
        <v>200</v>
      </c>
      <c r="M104" s="556">
        <v>1200</v>
      </c>
      <c r="N104" s="556">
        <v>600</v>
      </c>
      <c r="O104" s="381" t="s">
        <v>549</v>
      </c>
      <c r="P104" s="381">
        <v>0</v>
      </c>
      <c r="Q104" s="380">
        <v>0</v>
      </c>
      <c r="R104" s="381"/>
      <c r="S104" s="381"/>
      <c r="T104" s="381"/>
      <c r="U104" s="384">
        <v>0</v>
      </c>
      <c r="V104" s="384">
        <v>19838</v>
      </c>
      <c r="W104" s="382">
        <v>33071</v>
      </c>
      <c r="X104" s="384">
        <v>6400</v>
      </c>
      <c r="Y104" s="384">
        <v>28000</v>
      </c>
      <c r="Z104" s="386"/>
      <c r="AG104" s="542"/>
      <c r="AH104" s="542"/>
      <c r="AI104" s="541"/>
      <c r="AJ104" s="541"/>
      <c r="AK104" s="541"/>
    </row>
    <row r="105" spans="1:37" x14ac:dyDescent="0.2">
      <c r="A105" s="11">
        <v>44593</v>
      </c>
      <c r="B105" s="384">
        <v>94360</v>
      </c>
      <c r="C105" s="384">
        <v>16000</v>
      </c>
      <c r="D105" s="384">
        <v>1223</v>
      </c>
      <c r="E105" s="384">
        <v>9823</v>
      </c>
      <c r="F105" s="384">
        <v>59</v>
      </c>
      <c r="G105" s="384">
        <v>254</v>
      </c>
      <c r="H105" s="384">
        <v>191</v>
      </c>
      <c r="I105" s="384">
        <v>67.650000000000006</v>
      </c>
      <c r="J105" s="380">
        <v>0.371</v>
      </c>
      <c r="K105" s="384">
        <v>869</v>
      </c>
      <c r="L105" s="384">
        <v>0</v>
      </c>
      <c r="M105" s="556">
        <v>400</v>
      </c>
      <c r="N105" s="556">
        <v>400</v>
      </c>
      <c r="O105" s="381" t="s">
        <v>549</v>
      </c>
      <c r="P105" s="381">
        <f>0.67*188</f>
        <v>125.96000000000001</v>
      </c>
      <c r="Q105" s="380">
        <v>0</v>
      </c>
      <c r="R105" s="381"/>
      <c r="S105" s="381"/>
      <c r="T105" s="381"/>
      <c r="U105" s="384">
        <f>6*27+1*4.5+1*35+1*55</f>
        <v>256.5</v>
      </c>
      <c r="V105" s="384">
        <v>7420</v>
      </c>
      <c r="W105" s="382">
        <v>24947</v>
      </c>
      <c r="X105" s="384">
        <v>4800</v>
      </c>
      <c r="Y105" s="384">
        <v>14000</v>
      </c>
      <c r="Z105" s="386"/>
      <c r="AG105" s="542"/>
      <c r="AH105" s="542"/>
      <c r="AI105" s="541"/>
      <c r="AJ105" s="541"/>
      <c r="AK105" s="541"/>
    </row>
    <row r="106" spans="1:37" x14ac:dyDescent="0.2">
      <c r="A106" s="11">
        <v>44621</v>
      </c>
      <c r="B106" s="384">
        <v>94960</v>
      </c>
      <c r="C106" s="384">
        <v>17320</v>
      </c>
      <c r="D106" s="384">
        <v>540</v>
      </c>
      <c r="E106" s="384">
        <v>9495</v>
      </c>
      <c r="F106" s="384">
        <v>65</v>
      </c>
      <c r="G106" s="384">
        <v>324</v>
      </c>
      <c r="H106" s="384">
        <v>185.4</v>
      </c>
      <c r="I106" s="384">
        <v>206.75</v>
      </c>
      <c r="J106" s="380">
        <v>0</v>
      </c>
      <c r="K106" s="384">
        <v>0</v>
      </c>
      <c r="L106" s="384">
        <v>0</v>
      </c>
      <c r="M106" s="556">
        <v>400</v>
      </c>
      <c r="N106" s="556">
        <v>400</v>
      </c>
      <c r="O106" s="381" t="s">
        <v>549</v>
      </c>
      <c r="P106" s="381">
        <v>0</v>
      </c>
      <c r="Q106" s="380">
        <v>0</v>
      </c>
      <c r="R106" s="381"/>
      <c r="S106" s="381"/>
      <c r="T106" s="381"/>
      <c r="U106" s="384">
        <v>0</v>
      </c>
      <c r="V106" s="384">
        <v>9700</v>
      </c>
      <c r="W106" s="382">
        <v>22091</v>
      </c>
      <c r="X106" s="384">
        <v>6400</v>
      </c>
      <c r="Y106" s="384">
        <v>24500</v>
      </c>
      <c r="Z106" s="386"/>
      <c r="AG106" s="542"/>
      <c r="AH106" s="542"/>
      <c r="AI106" s="541"/>
      <c r="AJ106" s="541"/>
      <c r="AK106" s="541"/>
    </row>
    <row r="107" spans="1:37" x14ac:dyDescent="0.2">
      <c r="A107" s="11">
        <v>44652</v>
      </c>
      <c r="B107" s="384">
        <v>91850</v>
      </c>
      <c r="C107" s="384">
        <v>17830</v>
      </c>
      <c r="D107" s="384">
        <v>174</v>
      </c>
      <c r="E107" s="384">
        <v>9308</v>
      </c>
      <c r="F107" s="384">
        <v>61</v>
      </c>
      <c r="G107" s="384">
        <v>1040</v>
      </c>
      <c r="H107" s="384">
        <v>137</v>
      </c>
      <c r="I107" s="384">
        <v>153.80000000000001</v>
      </c>
      <c r="J107" s="380">
        <v>4.641</v>
      </c>
      <c r="K107" s="384">
        <v>1036</v>
      </c>
      <c r="L107" s="384">
        <v>160</v>
      </c>
      <c r="M107" s="556">
        <v>800</v>
      </c>
      <c r="N107" s="556">
        <v>200</v>
      </c>
      <c r="O107" s="381" t="s">
        <v>549</v>
      </c>
      <c r="P107" s="381">
        <f>0.67*102</f>
        <v>68.34</v>
      </c>
      <c r="Q107" s="380">
        <v>0</v>
      </c>
      <c r="R107" s="381"/>
      <c r="S107" s="381"/>
      <c r="T107" s="381"/>
      <c r="U107" s="384">
        <f>36*27+2*7.5+9*55</f>
        <v>1482</v>
      </c>
      <c r="V107" s="384">
        <v>10420</v>
      </c>
      <c r="W107" s="382">
        <v>24586.6</v>
      </c>
      <c r="X107" s="384">
        <v>6400</v>
      </c>
      <c r="Y107" s="384">
        <v>24500</v>
      </c>
      <c r="Z107" s="386"/>
      <c r="AG107" s="542"/>
      <c r="AH107" s="542"/>
      <c r="AI107" s="541"/>
      <c r="AJ107" s="541"/>
      <c r="AK107" s="541"/>
    </row>
    <row r="108" spans="1:37" x14ac:dyDescent="0.2">
      <c r="A108" s="11">
        <v>44682</v>
      </c>
      <c r="B108" s="384">
        <v>105840</v>
      </c>
      <c r="C108" s="384">
        <v>22940</v>
      </c>
      <c r="D108" s="384">
        <v>869</v>
      </c>
      <c r="E108" s="384">
        <v>10020</v>
      </c>
      <c r="F108" s="384">
        <v>65</v>
      </c>
      <c r="G108" s="384">
        <v>251</v>
      </c>
      <c r="H108" s="384">
        <v>113</v>
      </c>
      <c r="I108" s="384">
        <v>57.35</v>
      </c>
      <c r="J108" s="380">
        <v>0</v>
      </c>
      <c r="K108" s="384">
        <v>0</v>
      </c>
      <c r="L108" s="384">
        <v>80</v>
      </c>
      <c r="M108" s="556">
        <v>400</v>
      </c>
      <c r="N108" s="556">
        <v>200</v>
      </c>
      <c r="O108" s="381" t="s">
        <v>549</v>
      </c>
      <c r="P108" s="381">
        <v>0</v>
      </c>
      <c r="Q108" s="380">
        <v>0</v>
      </c>
      <c r="R108" s="381"/>
      <c r="S108" s="381"/>
      <c r="T108" s="381"/>
      <c r="U108" s="384">
        <f>13*27+7*55</f>
        <v>736</v>
      </c>
      <c r="V108" s="384">
        <v>12000</v>
      </c>
      <c r="W108" s="382">
        <v>27462</v>
      </c>
      <c r="X108" s="384">
        <v>6400</v>
      </c>
      <c r="Y108" s="384">
        <v>31500</v>
      </c>
      <c r="Z108" s="386"/>
      <c r="AG108" s="542"/>
      <c r="AH108" s="542"/>
      <c r="AI108" s="541"/>
      <c r="AJ108" s="541"/>
      <c r="AK108" s="541"/>
    </row>
    <row r="109" spans="1:37" x14ac:dyDescent="0.2">
      <c r="A109" s="11">
        <v>44713</v>
      </c>
      <c r="B109" s="384">
        <v>111880</v>
      </c>
      <c r="C109" s="384">
        <v>21280</v>
      </c>
      <c r="D109" s="384">
        <v>640</v>
      </c>
      <c r="E109" s="384">
        <v>10130</v>
      </c>
      <c r="F109" s="384">
        <v>59</v>
      </c>
      <c r="G109" s="384">
        <v>245</v>
      </c>
      <c r="H109" s="384">
        <v>148</v>
      </c>
      <c r="I109" s="384">
        <v>127.8</v>
      </c>
      <c r="J109" s="380">
        <v>0</v>
      </c>
      <c r="K109" s="384">
        <v>1056</v>
      </c>
      <c r="L109" s="384">
        <v>150</v>
      </c>
      <c r="M109" s="556">
        <v>800</v>
      </c>
      <c r="N109" s="556">
        <v>400</v>
      </c>
      <c r="O109" s="381">
        <v>45</v>
      </c>
      <c r="P109" s="381">
        <v>57</v>
      </c>
      <c r="Q109" s="380">
        <v>0</v>
      </c>
      <c r="R109" s="381"/>
      <c r="S109" s="381"/>
      <c r="T109" s="381"/>
      <c r="U109" s="384">
        <f>22*27+3*55+1*60</f>
        <v>819</v>
      </c>
      <c r="V109" s="384">
        <v>9000</v>
      </c>
      <c r="W109" s="382">
        <v>22866</v>
      </c>
      <c r="X109" s="384">
        <v>8000</v>
      </c>
      <c r="Y109" s="384">
        <v>35000</v>
      </c>
      <c r="Z109" s="386"/>
      <c r="AG109" s="542"/>
      <c r="AH109" s="615"/>
      <c r="AI109" s="541"/>
      <c r="AJ109" s="541"/>
      <c r="AK109" s="541"/>
    </row>
    <row r="110" spans="1:37" x14ac:dyDescent="0.2">
      <c r="A110" s="11">
        <v>44743</v>
      </c>
      <c r="B110" s="382">
        <v>106480</v>
      </c>
      <c r="C110" s="391">
        <v>27350</v>
      </c>
      <c r="D110" s="391">
        <v>631</v>
      </c>
      <c r="E110" s="391">
        <v>10024</v>
      </c>
      <c r="F110" s="391">
        <v>62</v>
      </c>
      <c r="G110" s="391">
        <v>748</v>
      </c>
      <c r="H110" s="391">
        <v>232</v>
      </c>
      <c r="I110" s="391">
        <v>101.95</v>
      </c>
      <c r="J110" s="392">
        <v>0</v>
      </c>
      <c r="K110" s="391">
        <v>0</v>
      </c>
      <c r="L110" s="391">
        <v>150</v>
      </c>
      <c r="M110" s="558">
        <v>600</v>
      </c>
      <c r="N110" s="558">
        <v>400</v>
      </c>
      <c r="O110" s="393">
        <v>324</v>
      </c>
      <c r="P110" s="393">
        <v>44</v>
      </c>
      <c r="Q110" s="392">
        <v>0</v>
      </c>
      <c r="R110" s="393"/>
      <c r="S110" s="393"/>
      <c r="T110" s="393"/>
      <c r="U110" s="391">
        <v>0</v>
      </c>
      <c r="V110" s="382">
        <v>12000</v>
      </c>
      <c r="W110" s="382">
        <v>25176</v>
      </c>
      <c r="X110" s="391">
        <v>6400</v>
      </c>
      <c r="Y110" s="382">
        <v>24500</v>
      </c>
      <c r="Z110" s="390">
        <v>67</v>
      </c>
      <c r="AG110" s="542"/>
      <c r="AH110" s="542"/>
      <c r="AI110" s="541"/>
      <c r="AJ110" s="541"/>
      <c r="AK110" s="541"/>
    </row>
    <row r="111" spans="1:37" x14ac:dyDescent="0.2">
      <c r="A111" s="11">
        <v>44774</v>
      </c>
      <c r="B111" s="382">
        <v>119990</v>
      </c>
      <c r="C111" s="391">
        <v>22610</v>
      </c>
      <c r="D111" s="391">
        <v>567</v>
      </c>
      <c r="E111" s="391">
        <v>11052</v>
      </c>
      <c r="F111" s="391">
        <v>71</v>
      </c>
      <c r="G111" s="391">
        <v>1232</v>
      </c>
      <c r="H111" s="391">
        <v>248</v>
      </c>
      <c r="I111" s="391">
        <v>90.25</v>
      </c>
      <c r="J111" s="392">
        <v>0</v>
      </c>
      <c r="K111" s="391">
        <v>1973</v>
      </c>
      <c r="L111" s="391">
        <v>150</v>
      </c>
      <c r="M111" s="558">
        <v>1200</v>
      </c>
      <c r="N111" s="558">
        <v>400</v>
      </c>
      <c r="O111" s="393">
        <v>89</v>
      </c>
      <c r="P111" s="393">
        <v>76</v>
      </c>
      <c r="Q111" s="392">
        <v>0</v>
      </c>
      <c r="R111" s="393"/>
      <c r="S111" s="393"/>
      <c r="T111" s="393"/>
      <c r="U111" s="391">
        <f>17*27+2*55+1*35</f>
        <v>604</v>
      </c>
      <c r="V111" s="382">
        <v>15000</v>
      </c>
      <c r="W111" s="382">
        <v>26660</v>
      </c>
      <c r="X111" s="391">
        <v>6400</v>
      </c>
      <c r="Y111" s="382">
        <v>31500</v>
      </c>
      <c r="Z111" s="390">
        <v>0</v>
      </c>
      <c r="AG111" s="542"/>
      <c r="AH111" s="542"/>
      <c r="AI111" s="541"/>
      <c r="AJ111" s="541"/>
      <c r="AK111" s="541"/>
    </row>
    <row r="112" spans="1:37" x14ac:dyDescent="0.2">
      <c r="A112" s="11">
        <v>44805</v>
      </c>
      <c r="B112" s="382">
        <v>145680</v>
      </c>
      <c r="C112" s="391">
        <v>27480</v>
      </c>
      <c r="D112" s="391">
        <v>889</v>
      </c>
      <c r="E112" s="391">
        <v>12231</v>
      </c>
      <c r="F112" s="391">
        <v>76</v>
      </c>
      <c r="G112" s="391">
        <v>555</v>
      </c>
      <c r="H112" s="391">
        <v>266</v>
      </c>
      <c r="I112" s="391">
        <v>55.25</v>
      </c>
      <c r="J112" s="392">
        <v>0</v>
      </c>
      <c r="K112" s="391">
        <v>0</v>
      </c>
      <c r="L112" s="391">
        <v>110</v>
      </c>
      <c r="M112" s="558">
        <v>400</v>
      </c>
      <c r="N112" s="558">
        <v>400</v>
      </c>
      <c r="O112" s="393">
        <v>0</v>
      </c>
      <c r="P112" s="393">
        <v>49</v>
      </c>
      <c r="Q112" s="392">
        <v>0</v>
      </c>
      <c r="R112" s="393"/>
      <c r="S112" s="393"/>
      <c r="T112" s="393"/>
      <c r="U112" s="391">
        <v>0</v>
      </c>
      <c r="V112" s="382">
        <v>12000</v>
      </c>
      <c r="W112" s="382">
        <v>35619</v>
      </c>
      <c r="X112" s="391">
        <v>8000</v>
      </c>
      <c r="Y112" s="382">
        <v>31500</v>
      </c>
      <c r="Z112" s="390">
        <v>12.6</v>
      </c>
      <c r="AG112" s="542"/>
      <c r="AH112" s="542"/>
      <c r="AI112" s="541"/>
      <c r="AJ112" s="541"/>
      <c r="AK112" s="541"/>
    </row>
    <row r="113" spans="1:43" x14ac:dyDescent="0.2">
      <c r="A113" s="11">
        <v>44835</v>
      </c>
      <c r="B113" s="382">
        <v>146210</v>
      </c>
      <c r="C113" s="391">
        <v>21850</v>
      </c>
      <c r="D113" s="391">
        <v>1137</v>
      </c>
      <c r="E113" s="391">
        <v>11893</v>
      </c>
      <c r="F113" s="391">
        <v>79</v>
      </c>
      <c r="G113" s="391">
        <v>647</v>
      </c>
      <c r="H113" s="391">
        <v>266</v>
      </c>
      <c r="I113" s="391">
        <v>120.55</v>
      </c>
      <c r="J113" s="392">
        <v>0</v>
      </c>
      <c r="K113" s="391">
        <v>1009</v>
      </c>
      <c r="L113" s="391">
        <v>60</v>
      </c>
      <c r="M113" s="558">
        <v>800</v>
      </c>
      <c r="N113" s="558">
        <v>400</v>
      </c>
      <c r="O113" s="393">
        <v>18</v>
      </c>
      <c r="P113" s="393">
        <v>49</v>
      </c>
      <c r="Q113" s="392">
        <v>0</v>
      </c>
      <c r="R113" s="393"/>
      <c r="S113" s="393"/>
      <c r="T113" s="393"/>
      <c r="U113" s="391">
        <f>23*27+2*55</f>
        <v>731</v>
      </c>
      <c r="V113" s="382">
        <v>15000</v>
      </c>
      <c r="W113" s="382">
        <v>39851</v>
      </c>
      <c r="X113" s="391">
        <v>6400</v>
      </c>
      <c r="Y113" s="382">
        <v>28000</v>
      </c>
      <c r="Z113" s="390">
        <v>0</v>
      </c>
      <c r="AG113" s="542"/>
      <c r="AH113" s="542"/>
      <c r="AI113" s="541"/>
      <c r="AJ113" s="541"/>
      <c r="AK113" s="541"/>
    </row>
    <row r="114" spans="1:43" x14ac:dyDescent="0.2">
      <c r="A114" s="11">
        <v>44866</v>
      </c>
      <c r="B114" s="382">
        <v>147280</v>
      </c>
      <c r="C114" s="391">
        <v>19570</v>
      </c>
      <c r="D114" s="391">
        <v>723</v>
      </c>
      <c r="E114" s="391">
        <v>11445</v>
      </c>
      <c r="F114" s="391">
        <v>77</v>
      </c>
      <c r="G114" s="391">
        <v>659</v>
      </c>
      <c r="H114" s="391">
        <v>273</v>
      </c>
      <c r="I114" s="391">
        <v>0</v>
      </c>
      <c r="J114" s="392">
        <v>0</v>
      </c>
      <c r="K114" s="391">
        <v>993</v>
      </c>
      <c r="L114" s="391">
        <v>180</v>
      </c>
      <c r="M114" s="558">
        <v>800</v>
      </c>
      <c r="N114" s="558">
        <v>400</v>
      </c>
      <c r="O114" s="393">
        <v>47</v>
      </c>
      <c r="P114" s="393">
        <v>57</v>
      </c>
      <c r="Q114" s="392">
        <v>0</v>
      </c>
      <c r="R114" s="393"/>
      <c r="S114" s="393"/>
      <c r="T114" s="393"/>
      <c r="U114" s="391">
        <v>0</v>
      </c>
      <c r="V114" s="382">
        <v>12000</v>
      </c>
      <c r="W114" s="382">
        <v>42228</v>
      </c>
      <c r="X114" s="391">
        <v>6400</v>
      </c>
      <c r="Y114" s="382">
        <v>31500</v>
      </c>
      <c r="Z114" s="390">
        <v>6.5</v>
      </c>
      <c r="AG114" s="542"/>
      <c r="AH114" s="542"/>
      <c r="AI114" s="541"/>
      <c r="AJ114" s="541"/>
      <c r="AK114" s="541"/>
    </row>
    <row r="115" spans="1:43" x14ac:dyDescent="0.2">
      <c r="A115" s="11">
        <v>44896</v>
      </c>
      <c r="B115" s="382">
        <v>132640</v>
      </c>
      <c r="C115" s="391">
        <v>21400</v>
      </c>
      <c r="D115" s="391">
        <v>1104</v>
      </c>
      <c r="E115" s="391">
        <v>11105</v>
      </c>
      <c r="F115" s="391">
        <v>65</v>
      </c>
      <c r="G115" s="391">
        <v>1568</v>
      </c>
      <c r="H115" s="391">
        <v>279</v>
      </c>
      <c r="I115" s="391">
        <v>0</v>
      </c>
      <c r="J115" s="392">
        <v>0</v>
      </c>
      <c r="K115" s="391">
        <v>762</v>
      </c>
      <c r="L115" s="391">
        <v>230</v>
      </c>
      <c r="M115" s="558">
        <v>800</v>
      </c>
      <c r="N115" s="558">
        <v>400</v>
      </c>
      <c r="O115" s="393">
        <v>101</v>
      </c>
      <c r="P115" s="393">
        <v>17</v>
      </c>
      <c r="Q115" s="392">
        <v>0</v>
      </c>
      <c r="R115" s="393"/>
      <c r="S115" s="393"/>
      <c r="T115" s="393"/>
      <c r="U115" s="391">
        <v>0</v>
      </c>
      <c r="V115" s="382">
        <v>15000</v>
      </c>
      <c r="W115" s="382">
        <v>44338</v>
      </c>
      <c r="X115" s="391">
        <v>6400</v>
      </c>
      <c r="Y115" s="382">
        <v>28000</v>
      </c>
      <c r="Z115" s="390">
        <v>0</v>
      </c>
    </row>
    <row r="116" spans="1:43" x14ac:dyDescent="0.2">
      <c r="A116" s="11">
        <v>44927</v>
      </c>
      <c r="B116" s="382">
        <v>106940</v>
      </c>
      <c r="C116" s="391">
        <v>17220</v>
      </c>
      <c r="D116" s="391">
        <v>68</v>
      </c>
      <c r="E116" s="391">
        <v>9350</v>
      </c>
      <c r="F116" s="391">
        <v>58</v>
      </c>
      <c r="G116" s="391">
        <v>714</v>
      </c>
      <c r="H116" s="391">
        <v>198</v>
      </c>
      <c r="I116" s="391">
        <v>36.5</v>
      </c>
      <c r="J116" s="392">
        <v>0</v>
      </c>
      <c r="K116" s="391">
        <v>757</v>
      </c>
      <c r="L116" s="391">
        <v>90</v>
      </c>
      <c r="M116" s="558">
        <v>400</v>
      </c>
      <c r="N116" s="558">
        <v>200</v>
      </c>
      <c r="O116" s="393">
        <v>0</v>
      </c>
      <c r="P116" s="393">
        <v>0</v>
      </c>
      <c r="Q116" s="392">
        <v>0</v>
      </c>
      <c r="R116" s="393"/>
      <c r="S116" s="393"/>
      <c r="T116" s="393"/>
      <c r="U116" s="391">
        <f>37*27+2*55</f>
        <v>1109</v>
      </c>
      <c r="V116" s="382">
        <v>15000</v>
      </c>
      <c r="W116" s="382">
        <v>34407</v>
      </c>
      <c r="X116" s="391">
        <v>6400</v>
      </c>
      <c r="Y116" s="382">
        <v>31500</v>
      </c>
      <c r="Z116" s="390">
        <v>9.5</v>
      </c>
    </row>
    <row r="117" spans="1:43" ht="17" x14ac:dyDescent="0.2">
      <c r="A117" s="11">
        <v>44958</v>
      </c>
      <c r="B117" s="382">
        <v>127480</v>
      </c>
      <c r="C117" s="391">
        <v>24570</v>
      </c>
      <c r="D117" s="391" t="s">
        <v>549</v>
      </c>
      <c r="E117" s="391">
        <v>10379</v>
      </c>
      <c r="F117" s="391">
        <v>60</v>
      </c>
      <c r="G117" s="390">
        <v>1050</v>
      </c>
      <c r="H117" s="391">
        <v>217</v>
      </c>
      <c r="I117" s="391">
        <v>0</v>
      </c>
      <c r="J117" s="392">
        <v>0</v>
      </c>
      <c r="K117" s="391">
        <v>670</v>
      </c>
      <c r="L117" s="391">
        <v>140</v>
      </c>
      <c r="M117" s="558">
        <v>600</v>
      </c>
      <c r="N117" s="558">
        <v>400</v>
      </c>
      <c r="O117" s="393">
        <v>24</v>
      </c>
      <c r="P117" s="393">
        <v>72</v>
      </c>
      <c r="Q117" s="392">
        <v>0</v>
      </c>
      <c r="R117" s="393"/>
      <c r="S117" s="393"/>
      <c r="T117" s="393"/>
      <c r="U117" s="391">
        <v>0</v>
      </c>
      <c r="V117" s="382">
        <v>12000</v>
      </c>
      <c r="W117" s="382">
        <v>28553</v>
      </c>
      <c r="X117" s="391">
        <v>6400</v>
      </c>
      <c r="Y117" s="382">
        <v>21000</v>
      </c>
      <c r="Z117" s="390">
        <v>13.4</v>
      </c>
      <c r="AG117" s="408"/>
      <c r="AH117" s="408"/>
      <c r="AL117" s="92"/>
      <c r="AM117" s="92"/>
      <c r="AN117" s="92"/>
      <c r="AO117" s="92"/>
      <c r="AP117" s="92"/>
      <c r="AQ117" s="92"/>
    </row>
    <row r="118" spans="1:43" ht="17" x14ac:dyDescent="0.2">
      <c r="A118" s="11">
        <v>44986</v>
      </c>
      <c r="B118" s="382">
        <v>146920</v>
      </c>
      <c r="C118" s="391">
        <v>22970</v>
      </c>
      <c r="D118" s="391" t="s">
        <v>549</v>
      </c>
      <c r="E118" s="391">
        <v>11198</v>
      </c>
      <c r="F118" s="391">
        <v>71</v>
      </c>
      <c r="G118" s="390">
        <v>903</v>
      </c>
      <c r="H118" s="391">
        <v>285</v>
      </c>
      <c r="I118" s="391">
        <v>35.799999999999997</v>
      </c>
      <c r="J118" s="392">
        <v>0</v>
      </c>
      <c r="K118" s="391">
        <v>603</v>
      </c>
      <c r="L118" s="391">
        <v>200</v>
      </c>
      <c r="M118" s="558">
        <v>800</v>
      </c>
      <c r="N118" s="558">
        <v>200</v>
      </c>
      <c r="O118" s="393">
        <f>0.05*580</f>
        <v>29</v>
      </c>
      <c r="P118" s="393">
        <v>73</v>
      </c>
      <c r="Q118" s="392">
        <v>0</v>
      </c>
      <c r="R118" s="393"/>
      <c r="S118" s="393"/>
      <c r="T118" s="393"/>
      <c r="U118" s="391">
        <v>0</v>
      </c>
      <c r="V118" s="382">
        <v>15000</v>
      </c>
      <c r="W118" s="382">
        <v>35187</v>
      </c>
      <c r="X118" s="391">
        <v>8000</v>
      </c>
      <c r="Y118" s="382">
        <v>24500</v>
      </c>
      <c r="Z118" s="390">
        <v>26.5</v>
      </c>
      <c r="AG118" s="408"/>
      <c r="AH118" s="408"/>
      <c r="AL118" s="92"/>
      <c r="AM118" s="92"/>
      <c r="AN118" s="92"/>
      <c r="AO118" s="92"/>
      <c r="AP118" s="92"/>
      <c r="AQ118" s="92"/>
    </row>
    <row r="119" spans="1:43" ht="17" x14ac:dyDescent="0.2">
      <c r="A119" s="11">
        <v>45017</v>
      </c>
      <c r="B119" s="382">
        <v>129810</v>
      </c>
      <c r="C119" s="391">
        <v>19680</v>
      </c>
      <c r="D119" s="391" t="s">
        <v>549</v>
      </c>
      <c r="E119" s="391">
        <v>10871</v>
      </c>
      <c r="F119" s="391">
        <v>61</v>
      </c>
      <c r="G119" s="390">
        <v>666</v>
      </c>
      <c r="H119" s="391">
        <v>220</v>
      </c>
      <c r="I119" s="391">
        <v>35.75</v>
      </c>
      <c r="J119" s="392">
        <v>0</v>
      </c>
      <c r="K119" s="391">
        <v>499</v>
      </c>
      <c r="L119" s="391">
        <v>250</v>
      </c>
      <c r="M119" s="559">
        <v>200</v>
      </c>
      <c r="N119" s="559">
        <v>200</v>
      </c>
      <c r="O119" s="393">
        <v>0</v>
      </c>
      <c r="P119" s="393">
        <v>48</v>
      </c>
      <c r="Q119" s="392">
        <v>0</v>
      </c>
      <c r="R119" s="393"/>
      <c r="S119" s="393"/>
      <c r="T119" s="393"/>
      <c r="U119" s="391">
        <f>39*27+7*55</f>
        <v>1438</v>
      </c>
      <c r="V119" s="382">
        <v>15000</v>
      </c>
      <c r="W119" s="382">
        <v>39810.5</v>
      </c>
      <c r="X119" s="391">
        <v>4800</v>
      </c>
      <c r="Y119" s="382">
        <v>17500</v>
      </c>
      <c r="Z119" s="390">
        <v>6.5</v>
      </c>
      <c r="AG119" s="408"/>
      <c r="AH119" s="408"/>
      <c r="AL119" s="92"/>
      <c r="AM119" s="92"/>
      <c r="AN119" s="92"/>
      <c r="AO119" s="92"/>
      <c r="AP119" s="92"/>
      <c r="AQ119" s="92"/>
    </row>
    <row r="120" spans="1:43" ht="17" x14ac:dyDescent="0.2">
      <c r="A120" s="11">
        <v>45047</v>
      </c>
      <c r="B120" s="382">
        <v>131750</v>
      </c>
      <c r="C120" s="391">
        <v>20220</v>
      </c>
      <c r="D120" s="391" t="s">
        <v>549</v>
      </c>
      <c r="E120" s="391">
        <v>10533</v>
      </c>
      <c r="F120" s="391">
        <v>69</v>
      </c>
      <c r="G120" s="390">
        <v>569</v>
      </c>
      <c r="H120" s="391">
        <v>260</v>
      </c>
      <c r="I120" s="391">
        <v>28.9</v>
      </c>
      <c r="J120" s="392">
        <v>0</v>
      </c>
      <c r="K120" s="391">
        <v>0</v>
      </c>
      <c r="L120" s="391">
        <v>120</v>
      </c>
      <c r="M120" s="559">
        <v>400</v>
      </c>
      <c r="N120" s="559">
        <v>200</v>
      </c>
      <c r="O120" s="393">
        <v>0</v>
      </c>
      <c r="P120" s="393">
        <v>105</v>
      </c>
      <c r="Q120" s="392">
        <v>0</v>
      </c>
      <c r="R120" s="393"/>
      <c r="S120" s="393"/>
      <c r="T120" s="393"/>
      <c r="U120" s="391">
        <v>0</v>
      </c>
      <c r="V120" s="382">
        <v>12000</v>
      </c>
      <c r="W120" s="382">
        <v>39784</v>
      </c>
      <c r="X120" s="391">
        <v>6400</v>
      </c>
      <c r="Y120" s="382">
        <v>24500</v>
      </c>
      <c r="Z120" s="390">
        <v>0</v>
      </c>
      <c r="AB120" s="541"/>
      <c r="AD120" s="541"/>
      <c r="AE120" s="541"/>
      <c r="AG120" s="614"/>
      <c r="AH120" s="614"/>
      <c r="AI120" s="541"/>
      <c r="AL120" s="92"/>
      <c r="AM120" s="92"/>
      <c r="AN120" s="92"/>
      <c r="AO120" s="92"/>
      <c r="AP120" s="92"/>
      <c r="AQ120" s="92"/>
    </row>
    <row r="121" spans="1:43" ht="17" x14ac:dyDescent="0.2">
      <c r="A121" s="11">
        <v>45078</v>
      </c>
      <c r="B121" s="382">
        <v>117380</v>
      </c>
      <c r="C121" s="391">
        <v>24830</v>
      </c>
      <c r="D121" s="391" t="s">
        <v>549</v>
      </c>
      <c r="E121" s="391">
        <v>10392</v>
      </c>
      <c r="F121" s="391">
        <v>63</v>
      </c>
      <c r="G121" s="390">
        <v>834</v>
      </c>
      <c r="H121" s="391">
        <v>244</v>
      </c>
      <c r="I121" s="391">
        <v>41.45</v>
      </c>
      <c r="J121" s="394">
        <v>0</v>
      </c>
      <c r="K121" s="391">
        <v>608</v>
      </c>
      <c r="L121" s="391">
        <v>180</v>
      </c>
      <c r="M121" s="559">
        <v>1200</v>
      </c>
      <c r="N121" s="559">
        <v>200</v>
      </c>
      <c r="O121" s="393">
        <v>0</v>
      </c>
      <c r="P121" s="393">
        <v>22</v>
      </c>
      <c r="Q121" s="394">
        <v>0</v>
      </c>
      <c r="R121" s="393"/>
      <c r="S121" s="393"/>
      <c r="T121" s="393"/>
      <c r="U121" s="391">
        <v>0</v>
      </c>
      <c r="V121" s="382">
        <v>12000</v>
      </c>
      <c r="W121" s="382">
        <v>40149.599999999999</v>
      </c>
      <c r="X121" s="391">
        <v>8000</v>
      </c>
      <c r="Y121" s="382">
        <v>24500</v>
      </c>
      <c r="Z121" s="390">
        <v>43</v>
      </c>
      <c r="AB121" s="541"/>
      <c r="AD121" s="541"/>
      <c r="AE121" s="541"/>
      <c r="AG121" s="614"/>
      <c r="AH121" s="615"/>
      <c r="AI121" s="541"/>
      <c r="AL121" s="92"/>
      <c r="AM121" s="92"/>
      <c r="AN121" s="92"/>
      <c r="AO121" s="92"/>
      <c r="AP121" s="92"/>
      <c r="AQ121" s="92"/>
    </row>
    <row r="122" spans="1:43" ht="17" x14ac:dyDescent="0.2">
      <c r="A122" s="11">
        <v>45108</v>
      </c>
      <c r="B122" s="384">
        <v>112750</v>
      </c>
      <c r="C122" s="384">
        <v>23930</v>
      </c>
      <c r="D122" s="384" t="s">
        <v>550</v>
      </c>
      <c r="E122" s="384">
        <f>6996+3674</f>
        <v>10670</v>
      </c>
      <c r="F122" s="384">
        <v>69</v>
      </c>
      <c r="G122" s="386">
        <v>846</v>
      </c>
      <c r="H122" s="384">
        <v>216</v>
      </c>
      <c r="I122" s="384">
        <v>43.5</v>
      </c>
      <c r="J122" s="394">
        <v>0</v>
      </c>
      <c r="K122" s="384">
        <v>673</v>
      </c>
      <c r="L122" s="384">
        <v>170</v>
      </c>
      <c r="M122" s="560">
        <v>1200</v>
      </c>
      <c r="N122" s="560">
        <v>400</v>
      </c>
      <c r="O122" s="381">
        <v>0</v>
      </c>
      <c r="P122" s="381">
        <v>0</v>
      </c>
      <c r="Q122" s="394">
        <v>0</v>
      </c>
      <c r="R122" s="381"/>
      <c r="S122" s="381"/>
      <c r="T122" s="381"/>
      <c r="U122" s="384">
        <v>513</v>
      </c>
      <c r="V122" s="384">
        <v>18000</v>
      </c>
      <c r="W122" s="382">
        <v>23296.5</v>
      </c>
      <c r="X122" s="384">
        <f>7.185*1000</f>
        <v>7185</v>
      </c>
      <c r="Y122" s="384">
        <v>14485</v>
      </c>
      <c r="Z122" s="386">
        <v>0</v>
      </c>
      <c r="AB122" s="541"/>
      <c r="AD122" s="541"/>
      <c r="AE122" s="541"/>
      <c r="AG122" s="614"/>
      <c r="AH122" s="614"/>
      <c r="AI122" s="541"/>
      <c r="AL122" s="92"/>
      <c r="AM122" s="92"/>
      <c r="AN122" s="92"/>
      <c r="AO122" s="92"/>
      <c r="AP122" s="92"/>
      <c r="AQ122" s="92"/>
    </row>
    <row r="123" spans="1:43" ht="17" x14ac:dyDescent="0.2">
      <c r="A123" s="11">
        <v>45139</v>
      </c>
      <c r="B123" s="384">
        <v>124050</v>
      </c>
      <c r="C123" s="384">
        <v>29050</v>
      </c>
      <c r="D123" s="384" t="s">
        <v>550</v>
      </c>
      <c r="E123" s="384">
        <f>7291+3441</f>
        <v>10732</v>
      </c>
      <c r="F123" s="384">
        <f>72</f>
        <v>72</v>
      </c>
      <c r="G123" s="386">
        <f>800</f>
        <v>800</v>
      </c>
      <c r="H123" s="384">
        <f>227</f>
        <v>227</v>
      </c>
      <c r="I123" s="384">
        <v>53.9</v>
      </c>
      <c r="J123" s="394">
        <v>0</v>
      </c>
      <c r="K123" s="384">
        <v>996</v>
      </c>
      <c r="L123" s="384">
        <v>250</v>
      </c>
      <c r="M123" s="561">
        <v>600</v>
      </c>
      <c r="N123" s="561">
        <v>400</v>
      </c>
      <c r="O123" s="381">
        <v>0</v>
      </c>
      <c r="P123" s="381">
        <v>0</v>
      </c>
      <c r="Q123" s="394">
        <v>0</v>
      </c>
      <c r="R123" s="381"/>
      <c r="S123" s="381"/>
      <c r="T123" s="381"/>
      <c r="U123" s="384">
        <f>(8*27)+(2*4.5)+(6*35)</f>
        <v>435</v>
      </c>
      <c r="V123" s="384">
        <v>15000</v>
      </c>
      <c r="W123" s="382">
        <v>28190.499999999996</v>
      </c>
      <c r="X123" s="384">
        <f>7.2*1000</f>
        <v>7200</v>
      </c>
      <c r="Y123" s="384">
        <v>20070</v>
      </c>
      <c r="Z123" s="386">
        <v>21.1</v>
      </c>
      <c r="AB123" s="541"/>
      <c r="AD123" s="541"/>
      <c r="AE123" s="541"/>
      <c r="AG123" s="614"/>
      <c r="AH123" s="614"/>
      <c r="AI123" s="541"/>
      <c r="AL123" s="92"/>
      <c r="AM123" s="92"/>
      <c r="AN123" s="92"/>
      <c r="AO123" s="92"/>
      <c r="AP123" s="92"/>
      <c r="AQ123" s="92"/>
    </row>
    <row r="124" spans="1:43" ht="17" customHeight="1" x14ac:dyDescent="0.2">
      <c r="A124" s="11">
        <v>45170</v>
      </c>
      <c r="B124" s="384">
        <v>139580</v>
      </c>
      <c r="C124" s="384">
        <v>18300</v>
      </c>
      <c r="D124" s="384" t="s">
        <v>550</v>
      </c>
      <c r="E124" s="384">
        <f>7713+3422</f>
        <v>11135</v>
      </c>
      <c r="F124" s="384">
        <f>70</f>
        <v>70</v>
      </c>
      <c r="G124" s="386">
        <f>731</f>
        <v>731</v>
      </c>
      <c r="H124" s="384">
        <f>261</f>
        <v>261</v>
      </c>
      <c r="I124" s="384">
        <f>43.75</f>
        <v>43.75</v>
      </c>
      <c r="J124" s="394">
        <v>0</v>
      </c>
      <c r="K124" s="384">
        <v>0</v>
      </c>
      <c r="L124" s="384">
        <v>180</v>
      </c>
      <c r="M124" s="561">
        <v>800</v>
      </c>
      <c r="N124" s="561">
        <v>400</v>
      </c>
      <c r="O124" s="381">
        <v>74</v>
      </c>
      <c r="P124" s="381">
        <v>0</v>
      </c>
      <c r="Q124" s="394">
        <v>0</v>
      </c>
      <c r="R124" s="381"/>
      <c r="S124" s="381"/>
      <c r="T124" s="381"/>
      <c r="U124" s="384">
        <f>(19*27)+(4*4.5)</f>
        <v>531</v>
      </c>
      <c r="V124" s="384">
        <v>15000</v>
      </c>
      <c r="W124" s="382">
        <v>30387</v>
      </c>
      <c r="X124" s="384">
        <f>11.215*1000</f>
        <v>11215</v>
      </c>
      <c r="Y124" s="384">
        <v>37770</v>
      </c>
      <c r="Z124" s="386">
        <v>17.600000000000001</v>
      </c>
      <c r="AB124" s="541"/>
      <c r="AD124" s="541"/>
      <c r="AE124" s="541"/>
      <c r="AG124" s="543"/>
      <c r="AH124" s="543"/>
      <c r="AI124" s="541"/>
      <c r="AL124" s="92"/>
      <c r="AM124" s="92"/>
      <c r="AN124" s="92"/>
      <c r="AO124" s="92"/>
      <c r="AP124" s="92"/>
      <c r="AQ124" s="92"/>
    </row>
    <row r="125" spans="1:43" ht="17" x14ac:dyDescent="0.2">
      <c r="A125" s="11">
        <v>45200</v>
      </c>
      <c r="B125" s="384">
        <v>133760</v>
      </c>
      <c r="C125" s="384">
        <v>17930</v>
      </c>
      <c r="D125" s="384" t="s">
        <v>550</v>
      </c>
      <c r="E125" s="384">
        <f>8080+3224</f>
        <v>11304</v>
      </c>
      <c r="F125" s="384">
        <v>72</v>
      </c>
      <c r="G125" s="386">
        <v>661</v>
      </c>
      <c r="H125" s="384">
        <v>323</v>
      </c>
      <c r="I125" s="384">
        <v>19.600000000000001</v>
      </c>
      <c r="J125" s="394">
        <v>0</v>
      </c>
      <c r="K125" s="384">
        <v>1412</v>
      </c>
      <c r="L125" s="384">
        <v>170</v>
      </c>
      <c r="M125" s="561">
        <v>400</v>
      </c>
      <c r="N125" s="561">
        <v>200</v>
      </c>
      <c r="O125" s="381">
        <v>77</v>
      </c>
      <c r="P125" s="381">
        <v>0</v>
      </c>
      <c r="Q125" s="394">
        <v>0</v>
      </c>
      <c r="R125" s="381"/>
      <c r="S125" s="381"/>
      <c r="T125" s="381"/>
      <c r="U125" s="384">
        <f>(13*27)+(3*4.5)</f>
        <v>364.5</v>
      </c>
      <c r="V125" s="384">
        <v>15000</v>
      </c>
      <c r="W125" s="382">
        <v>30156.499999999996</v>
      </c>
      <c r="X125" s="384">
        <f>1000*9.565</f>
        <v>9565</v>
      </c>
      <c r="Y125" s="384">
        <v>20910</v>
      </c>
      <c r="Z125" s="386">
        <v>0</v>
      </c>
      <c r="AB125" s="541"/>
      <c r="AD125" s="541"/>
      <c r="AE125" s="541"/>
      <c r="AG125" s="543"/>
      <c r="AH125" s="543"/>
      <c r="AI125" s="541"/>
      <c r="AL125" s="92"/>
      <c r="AM125" s="92"/>
      <c r="AN125" s="92"/>
      <c r="AO125" s="92"/>
      <c r="AP125" s="92"/>
      <c r="AQ125" s="92"/>
    </row>
    <row r="126" spans="1:43" ht="17" x14ac:dyDescent="0.2">
      <c r="A126" s="11">
        <v>45253</v>
      </c>
      <c r="B126" s="384">
        <v>138502</v>
      </c>
      <c r="C126" s="384">
        <v>19760</v>
      </c>
      <c r="D126" s="384" t="s">
        <v>549</v>
      </c>
      <c r="E126" s="384">
        <f>9388+4072</f>
        <v>13460</v>
      </c>
      <c r="F126" s="384">
        <v>86</v>
      </c>
      <c r="G126" s="386">
        <v>666</v>
      </c>
      <c r="H126" s="384">
        <v>399</v>
      </c>
      <c r="I126" s="384">
        <v>20.6</v>
      </c>
      <c r="J126" s="394">
        <v>0</v>
      </c>
      <c r="K126" s="384">
        <v>975</v>
      </c>
      <c r="L126" s="384">
        <v>190</v>
      </c>
      <c r="M126" s="561">
        <v>800</v>
      </c>
      <c r="N126" s="566">
        <v>400</v>
      </c>
      <c r="O126" s="381">
        <v>0</v>
      </c>
      <c r="P126" s="381">
        <v>0</v>
      </c>
      <c r="Q126" s="394">
        <v>0</v>
      </c>
      <c r="R126" s="381"/>
      <c r="S126" s="381"/>
      <c r="T126" s="381"/>
      <c r="U126" s="384">
        <f>(12*27)+(5*4.5)+391</f>
        <v>737.5</v>
      </c>
      <c r="V126" s="384">
        <v>12000</v>
      </c>
      <c r="W126" s="382">
        <v>42615.9</v>
      </c>
      <c r="X126" s="384">
        <f>1000*7.803</f>
        <v>7803</v>
      </c>
      <c r="Y126" s="384">
        <v>15947</v>
      </c>
      <c r="Z126" s="386">
        <v>27.2</v>
      </c>
      <c r="AB126" s="541"/>
      <c r="AD126" s="541"/>
      <c r="AE126" s="541"/>
      <c r="AG126" s="543"/>
      <c r="AH126" s="543"/>
      <c r="AI126" s="541"/>
      <c r="AL126" s="92"/>
      <c r="AM126" s="92"/>
      <c r="AN126" s="92"/>
      <c r="AO126" s="92"/>
      <c r="AP126" s="92"/>
      <c r="AQ126" s="92"/>
    </row>
    <row r="127" spans="1:43" ht="17" x14ac:dyDescent="0.2">
      <c r="A127" s="11">
        <v>45261</v>
      </c>
      <c r="B127" s="384">
        <v>128817.99999999999</v>
      </c>
      <c r="C127" s="384">
        <v>19890</v>
      </c>
      <c r="D127" s="384" t="s">
        <v>549</v>
      </c>
      <c r="E127" s="384">
        <f>9155+4287</f>
        <v>13442</v>
      </c>
      <c r="F127" s="384">
        <v>83</v>
      </c>
      <c r="G127" s="386">
        <v>259</v>
      </c>
      <c r="H127" s="384">
        <v>379</v>
      </c>
      <c r="I127" s="384">
        <v>17.8</v>
      </c>
      <c r="J127" s="394">
        <v>0</v>
      </c>
      <c r="K127" s="384">
        <v>856</v>
      </c>
      <c r="L127" s="384">
        <v>180</v>
      </c>
      <c r="M127" s="561">
        <v>1200</v>
      </c>
      <c r="N127" s="566">
        <v>600</v>
      </c>
      <c r="O127" s="381">
        <v>0</v>
      </c>
      <c r="P127" s="381">
        <v>0</v>
      </c>
      <c r="Q127" s="394">
        <v>0</v>
      </c>
      <c r="R127" s="381"/>
      <c r="S127" s="381"/>
      <c r="T127" s="381"/>
      <c r="U127" s="384">
        <f>838+447</f>
        <v>1285</v>
      </c>
      <c r="V127" s="384">
        <v>15000</v>
      </c>
      <c r="W127" s="382">
        <v>35693.299999999996</v>
      </c>
      <c r="X127" s="384">
        <f>19.833*1000</f>
        <v>19833</v>
      </c>
      <c r="Y127" s="384">
        <f>7885</f>
        <v>7885</v>
      </c>
      <c r="Z127" s="386">
        <v>0</v>
      </c>
      <c r="AB127" s="541"/>
      <c r="AD127" s="541"/>
      <c r="AE127" s="541"/>
      <c r="AG127" s="543"/>
      <c r="AH127" s="543"/>
      <c r="AI127" s="541"/>
      <c r="AL127" s="92"/>
      <c r="AM127" s="92"/>
      <c r="AN127" s="92"/>
      <c r="AO127" s="92"/>
      <c r="AP127" s="92"/>
      <c r="AQ127" s="92"/>
    </row>
    <row r="128" spans="1:43" ht="17" x14ac:dyDescent="0.2">
      <c r="A128" s="11">
        <v>45292</v>
      </c>
      <c r="B128" s="384">
        <f>109960+48</f>
        <v>110008</v>
      </c>
      <c r="C128" s="384">
        <v>20330</v>
      </c>
      <c r="D128" s="384" t="s">
        <v>549</v>
      </c>
      <c r="E128" s="384">
        <v>13416</v>
      </c>
      <c r="F128" s="384">
        <v>75</v>
      </c>
      <c r="G128" s="386">
        <v>660</v>
      </c>
      <c r="H128" s="384">
        <v>359</v>
      </c>
      <c r="I128" s="384">
        <v>19.8</v>
      </c>
      <c r="J128" s="394">
        <v>0</v>
      </c>
      <c r="K128" s="384">
        <v>0</v>
      </c>
      <c r="L128" s="384">
        <v>200</v>
      </c>
      <c r="M128" s="561">
        <v>800</v>
      </c>
      <c r="N128" s="561">
        <v>400</v>
      </c>
      <c r="O128" s="395">
        <v>371</v>
      </c>
      <c r="P128" s="395">
        <v>128</v>
      </c>
      <c r="Q128" s="394">
        <v>0</v>
      </c>
      <c r="R128" s="384"/>
      <c r="S128" s="384"/>
      <c r="T128" s="384"/>
      <c r="U128" s="384">
        <f>435+482.5</f>
        <v>917.5</v>
      </c>
      <c r="V128" s="384">
        <v>18000</v>
      </c>
      <c r="W128" s="382">
        <v>29377.9</v>
      </c>
      <c r="X128" s="384">
        <v>21650</v>
      </c>
      <c r="Y128" s="384">
        <v>7650</v>
      </c>
      <c r="Z128" s="386">
        <v>6</v>
      </c>
      <c r="AB128" s="541"/>
      <c r="AD128" s="541"/>
      <c r="AE128" s="541"/>
      <c r="AG128" s="543"/>
      <c r="AH128" s="543"/>
      <c r="AI128" s="541"/>
      <c r="AL128" s="92"/>
      <c r="AM128" s="92"/>
      <c r="AN128" s="92"/>
      <c r="AO128" s="92"/>
      <c r="AP128" s="92"/>
      <c r="AQ128" s="92"/>
    </row>
    <row r="129" spans="1:39" ht="17" x14ac:dyDescent="0.2">
      <c r="A129" s="11">
        <v>45323</v>
      </c>
      <c r="B129" s="396">
        <f>107.19*1000+9.9</f>
        <v>107199.9</v>
      </c>
      <c r="C129" s="384">
        <f>15.82*1000</f>
        <v>15820</v>
      </c>
      <c r="D129" s="384" t="s">
        <v>549</v>
      </c>
      <c r="E129" s="384">
        <f>8541+4048</f>
        <v>12589</v>
      </c>
      <c r="F129" s="384">
        <v>75</v>
      </c>
      <c r="G129" s="386">
        <v>243</v>
      </c>
      <c r="H129" s="384">
        <v>356</v>
      </c>
      <c r="I129" s="384">
        <v>15.4</v>
      </c>
      <c r="J129" s="394">
        <v>0</v>
      </c>
      <c r="K129" s="384">
        <v>698</v>
      </c>
      <c r="L129" s="397">
        <v>160</v>
      </c>
      <c r="M129" s="562">
        <v>800</v>
      </c>
      <c r="N129" s="562">
        <v>200</v>
      </c>
      <c r="O129" s="395">
        <v>201</v>
      </c>
      <c r="P129" s="395">
        <v>115</v>
      </c>
      <c r="Q129" s="394">
        <v>0</v>
      </c>
      <c r="R129" s="384"/>
      <c r="S129" s="384"/>
      <c r="T129" s="384"/>
      <c r="U129" s="384">
        <f>218.1+135</f>
        <v>353.1</v>
      </c>
      <c r="V129" s="384">
        <v>15000</v>
      </c>
      <c r="W129" s="382">
        <v>35652.6</v>
      </c>
      <c r="X129" s="395">
        <v>15470</v>
      </c>
      <c r="Y129" s="395">
        <v>6340</v>
      </c>
      <c r="Z129" s="395">
        <v>4.7</v>
      </c>
      <c r="AB129" s="541"/>
      <c r="AD129" s="541"/>
      <c r="AE129" s="541"/>
      <c r="AG129" s="543"/>
      <c r="AH129" s="543"/>
      <c r="AI129" s="541"/>
    </row>
    <row r="130" spans="1:39" ht="17" x14ac:dyDescent="0.2">
      <c r="A130" s="11">
        <v>45352</v>
      </c>
      <c r="B130" s="384">
        <f>124360+49.7</f>
        <v>124409.7</v>
      </c>
      <c r="C130" s="384">
        <v>17340</v>
      </c>
      <c r="D130" s="384" t="s">
        <v>549</v>
      </c>
      <c r="E130" s="384">
        <v>13346</v>
      </c>
      <c r="F130" s="384">
        <v>78</v>
      </c>
      <c r="G130" s="386">
        <v>455</v>
      </c>
      <c r="H130" s="384">
        <v>393</v>
      </c>
      <c r="I130" s="384">
        <v>22.8</v>
      </c>
      <c r="J130" s="394">
        <v>0</v>
      </c>
      <c r="K130" s="384">
        <v>597</v>
      </c>
      <c r="L130" s="384">
        <v>130</v>
      </c>
      <c r="M130" s="560">
        <v>400</v>
      </c>
      <c r="N130" s="560">
        <v>400</v>
      </c>
      <c r="O130" s="397">
        <v>0</v>
      </c>
      <c r="P130" s="395">
        <v>0</v>
      </c>
      <c r="Q130" s="394">
        <v>0</v>
      </c>
      <c r="R130" s="384"/>
      <c r="S130" s="384"/>
      <c r="T130" s="384"/>
      <c r="U130" s="384">
        <f>425+360</f>
        <v>785</v>
      </c>
      <c r="V130" s="384">
        <v>15000</v>
      </c>
      <c r="W130" s="382">
        <v>43510.8</v>
      </c>
      <c r="X130" s="395">
        <v>17465</v>
      </c>
      <c r="Y130" s="395">
        <v>6740</v>
      </c>
      <c r="Z130" s="395">
        <v>32.6</v>
      </c>
      <c r="AB130" s="541"/>
      <c r="AD130" s="541"/>
      <c r="AE130" s="541"/>
      <c r="AG130" s="543"/>
      <c r="AH130" s="543"/>
      <c r="AI130" s="541"/>
    </row>
    <row r="131" spans="1:39" ht="17" x14ac:dyDescent="0.2">
      <c r="A131" s="11">
        <v>45383</v>
      </c>
      <c r="B131" s="384">
        <v>118019</v>
      </c>
      <c r="C131" s="384">
        <v>18260</v>
      </c>
      <c r="D131" s="384" t="s">
        <v>549</v>
      </c>
      <c r="E131" s="384">
        <v>12371</v>
      </c>
      <c r="F131" s="384">
        <v>79</v>
      </c>
      <c r="G131" s="386">
        <v>660</v>
      </c>
      <c r="H131" s="384">
        <v>413</v>
      </c>
      <c r="I131" s="384">
        <v>64.8</v>
      </c>
      <c r="J131" s="395">
        <v>0</v>
      </c>
      <c r="K131" s="384">
        <v>917</v>
      </c>
      <c r="L131" s="384">
        <v>200</v>
      </c>
      <c r="M131" s="560">
        <v>600</v>
      </c>
      <c r="N131" s="560">
        <v>200</v>
      </c>
      <c r="O131" s="395">
        <v>40</v>
      </c>
      <c r="P131" s="395">
        <v>210</v>
      </c>
      <c r="Q131" s="395">
        <v>0</v>
      </c>
      <c r="R131" s="384"/>
      <c r="S131" s="384"/>
      <c r="T131" s="384"/>
      <c r="U131" s="384">
        <f>242+198</f>
        <v>440</v>
      </c>
      <c r="V131" s="384">
        <v>15000</v>
      </c>
      <c r="W131" s="382">
        <v>39601</v>
      </c>
      <c r="X131" s="395">
        <v>6415</v>
      </c>
      <c r="Y131" s="395">
        <v>13000</v>
      </c>
      <c r="Z131" s="395">
        <v>22.8</v>
      </c>
      <c r="AB131" s="541"/>
      <c r="AD131" s="541"/>
      <c r="AE131" s="541"/>
      <c r="AG131" s="543"/>
      <c r="AH131" s="543"/>
      <c r="AI131" s="616"/>
      <c r="AL131" s="354"/>
    </row>
    <row r="132" spans="1:39" ht="17" x14ac:dyDescent="0.2">
      <c r="A132" s="11">
        <v>45413</v>
      </c>
      <c r="B132" s="384">
        <v>146460</v>
      </c>
      <c r="C132" s="384">
        <v>21780</v>
      </c>
      <c r="D132" s="384" t="s">
        <v>549</v>
      </c>
      <c r="E132" s="384">
        <v>13434</v>
      </c>
      <c r="F132" s="384">
        <v>83</v>
      </c>
      <c r="G132" s="386">
        <v>674</v>
      </c>
      <c r="H132" s="384">
        <v>396</v>
      </c>
      <c r="I132" s="381">
        <v>70.2</v>
      </c>
      <c r="J132" s="398">
        <v>0</v>
      </c>
      <c r="K132" s="384">
        <v>321</v>
      </c>
      <c r="L132" s="384">
        <v>150</v>
      </c>
      <c r="M132" s="560">
        <v>800</v>
      </c>
      <c r="N132" s="560">
        <v>400</v>
      </c>
      <c r="O132" s="395">
        <v>41</v>
      </c>
      <c r="P132" s="395">
        <v>74</v>
      </c>
      <c r="Q132" s="395">
        <v>0</v>
      </c>
      <c r="R132" s="384"/>
      <c r="S132" s="384"/>
      <c r="T132" s="384"/>
      <c r="U132" s="384">
        <v>359</v>
      </c>
      <c r="V132" s="384">
        <v>12000</v>
      </c>
      <c r="W132" s="382">
        <v>40905.300000000003</v>
      </c>
      <c r="X132" s="399">
        <v>7575</v>
      </c>
      <c r="Y132" s="399">
        <v>11695</v>
      </c>
      <c r="Z132" s="395">
        <v>35.700000000000003</v>
      </c>
      <c r="AB132" s="541"/>
      <c r="AD132" s="541"/>
      <c r="AE132" s="541"/>
      <c r="AG132" s="543"/>
      <c r="AH132" s="543"/>
      <c r="AI132" s="616"/>
      <c r="AL132" s="354"/>
    </row>
    <row r="133" spans="1:39" ht="17" x14ac:dyDescent="0.2">
      <c r="A133" s="11">
        <v>45444</v>
      </c>
      <c r="B133" s="384">
        <v>126612</v>
      </c>
      <c r="C133" s="384">
        <v>19770</v>
      </c>
      <c r="D133" s="384" t="s">
        <v>549</v>
      </c>
      <c r="E133" s="384">
        <v>12778</v>
      </c>
      <c r="F133" s="384">
        <v>84</v>
      </c>
      <c r="G133" s="386">
        <v>1003</v>
      </c>
      <c r="H133" s="384">
        <v>366</v>
      </c>
      <c r="I133" s="381">
        <v>81</v>
      </c>
      <c r="J133" s="395">
        <v>0</v>
      </c>
      <c r="K133" s="384">
        <v>612</v>
      </c>
      <c r="L133" s="384">
        <v>150</v>
      </c>
      <c r="M133" s="560">
        <v>400</v>
      </c>
      <c r="N133" s="560">
        <v>200</v>
      </c>
      <c r="O133" s="395">
        <v>0</v>
      </c>
      <c r="P133" s="395">
        <v>0</v>
      </c>
      <c r="Q133" s="395">
        <v>0</v>
      </c>
      <c r="R133" s="395"/>
      <c r="S133" s="395"/>
      <c r="T133" s="395"/>
      <c r="U133" s="384">
        <v>372.5</v>
      </c>
      <c r="V133" s="384">
        <v>18000</v>
      </c>
      <c r="W133" s="382">
        <v>30060</v>
      </c>
      <c r="X133" s="395">
        <v>4565</v>
      </c>
      <c r="Y133" s="395">
        <v>14570</v>
      </c>
      <c r="Z133" s="395">
        <v>33.700000000000003</v>
      </c>
      <c r="AB133" s="541"/>
      <c r="AD133" s="541"/>
      <c r="AE133" s="541"/>
      <c r="AG133" s="543"/>
      <c r="AH133" s="615"/>
      <c r="AI133" s="541"/>
      <c r="AL133" s="354"/>
    </row>
    <row r="134" spans="1:39" ht="17" x14ac:dyDescent="0.2">
      <c r="A134" s="11">
        <v>45474</v>
      </c>
      <c r="B134" s="382">
        <f>137128.6+202</f>
        <v>137330.6</v>
      </c>
      <c r="C134" s="382">
        <v>23390</v>
      </c>
      <c r="D134" s="382" t="s">
        <v>549</v>
      </c>
      <c r="E134" s="382">
        <f>8765+3647</f>
        <v>12412</v>
      </c>
      <c r="F134" s="382">
        <v>86</v>
      </c>
      <c r="G134" s="382">
        <v>808</v>
      </c>
      <c r="H134" s="382">
        <v>361</v>
      </c>
      <c r="I134" s="382">
        <v>62</v>
      </c>
      <c r="J134" s="382">
        <v>0</v>
      </c>
      <c r="K134" s="382">
        <v>704</v>
      </c>
      <c r="L134" s="382">
        <v>210</v>
      </c>
      <c r="M134" s="563">
        <v>800</v>
      </c>
      <c r="N134" s="563">
        <v>400</v>
      </c>
      <c r="O134" s="382">
        <v>0</v>
      </c>
      <c r="P134" s="382">
        <v>0</v>
      </c>
      <c r="Q134" s="382">
        <v>0</v>
      </c>
      <c r="R134" s="382"/>
      <c r="S134" s="382"/>
      <c r="T134" s="382"/>
      <c r="U134" s="382">
        <f>1318+141.5</f>
        <v>1459.5</v>
      </c>
      <c r="V134" s="400">
        <v>18000</v>
      </c>
      <c r="W134" s="382">
        <v>34108.800000000003</v>
      </c>
      <c r="X134" s="382">
        <v>6540</v>
      </c>
      <c r="Y134" s="382">
        <v>13230</v>
      </c>
      <c r="Z134" s="382">
        <v>11.7</v>
      </c>
      <c r="AB134" s="541"/>
      <c r="AD134" s="541"/>
      <c r="AE134" s="541"/>
      <c r="AG134" s="543"/>
      <c r="AH134" s="541"/>
      <c r="AI134" s="541"/>
      <c r="AL134" s="354"/>
      <c r="AM134" s="407"/>
    </row>
    <row r="135" spans="1:39" ht="17" x14ac:dyDescent="0.2">
      <c r="A135" s="11">
        <v>45505</v>
      </c>
      <c r="B135" s="382">
        <f>120300+37</f>
        <v>120337</v>
      </c>
      <c r="C135" s="382">
        <v>19700</v>
      </c>
      <c r="D135" s="382" t="s">
        <v>549</v>
      </c>
      <c r="E135" s="382">
        <v>13553</v>
      </c>
      <c r="F135" s="382">
        <v>87</v>
      </c>
      <c r="G135" s="382">
        <v>300</v>
      </c>
      <c r="H135" s="382">
        <v>366</v>
      </c>
      <c r="I135" s="382">
        <v>65</v>
      </c>
      <c r="J135" s="382">
        <v>0</v>
      </c>
      <c r="K135" s="401">
        <v>479</v>
      </c>
      <c r="L135" s="401">
        <v>150</v>
      </c>
      <c r="M135" s="563">
        <v>800</v>
      </c>
      <c r="N135" s="563">
        <v>400</v>
      </c>
      <c r="O135" s="382">
        <v>26</v>
      </c>
      <c r="P135" s="382">
        <v>88</v>
      </c>
      <c r="Q135" s="382">
        <v>0</v>
      </c>
      <c r="R135" s="382"/>
      <c r="S135" s="382"/>
      <c r="T135" s="382"/>
      <c r="U135" s="382">
        <f>237+(27*4+35*5+4.5*6+27)</f>
        <v>574</v>
      </c>
      <c r="V135" s="400">
        <v>21000</v>
      </c>
      <c r="W135" s="382">
        <v>36595.5</v>
      </c>
      <c r="X135" s="382">
        <v>7880</v>
      </c>
      <c r="Y135" s="382">
        <v>16335</v>
      </c>
      <c r="Z135" s="382">
        <v>12.2</v>
      </c>
      <c r="AB135" s="541"/>
      <c r="AD135" s="541"/>
      <c r="AE135" s="541"/>
      <c r="AG135" s="543"/>
      <c r="AH135" s="541"/>
      <c r="AI135" s="541"/>
      <c r="AL135" s="354"/>
      <c r="AM135" s="407"/>
    </row>
    <row r="136" spans="1:39" ht="17" x14ac:dyDescent="0.2">
      <c r="A136" s="11">
        <v>45536</v>
      </c>
      <c r="B136" s="382">
        <f>134870+40</f>
        <v>134910</v>
      </c>
      <c r="C136" s="382">
        <v>19020</v>
      </c>
      <c r="D136" s="382" t="s">
        <v>549</v>
      </c>
      <c r="E136" s="382">
        <v>13355</v>
      </c>
      <c r="F136" s="382">
        <v>88</v>
      </c>
      <c r="G136" s="382">
        <v>520</v>
      </c>
      <c r="H136" s="382">
        <v>349</v>
      </c>
      <c r="I136" s="382">
        <v>79</v>
      </c>
      <c r="J136" s="382">
        <v>0</v>
      </c>
      <c r="K136" s="382">
        <v>432</v>
      </c>
      <c r="L136" s="382">
        <v>140</v>
      </c>
      <c r="M136" s="563">
        <v>400</v>
      </c>
      <c r="N136" s="563">
        <v>200</v>
      </c>
      <c r="O136" s="382">
        <v>27</v>
      </c>
      <c r="P136" s="382">
        <v>57</v>
      </c>
      <c r="Q136" s="382">
        <v>0</v>
      </c>
      <c r="R136" s="382"/>
      <c r="S136" s="382"/>
      <c r="T136" s="382"/>
      <c r="U136" s="382">
        <f>229+7+(27*3+35*6+35*7+27*44)</f>
        <v>1960</v>
      </c>
      <c r="V136" s="391">
        <v>12000</v>
      </c>
      <c r="W136" s="382">
        <v>46111.7</v>
      </c>
      <c r="X136" s="382">
        <v>6620</v>
      </c>
      <c r="Y136" s="382">
        <v>17160</v>
      </c>
      <c r="Z136" s="391">
        <v>14.6</v>
      </c>
      <c r="AB136" s="541"/>
      <c r="AD136" s="541"/>
      <c r="AE136" s="541"/>
      <c r="AG136" s="543"/>
      <c r="AH136" s="541"/>
      <c r="AI136" s="541"/>
      <c r="AL136" s="354"/>
      <c r="AM136" s="407"/>
    </row>
    <row r="137" spans="1:39" ht="17" x14ac:dyDescent="0.2">
      <c r="A137" s="11">
        <v>45566</v>
      </c>
      <c r="B137" s="382">
        <v>139170</v>
      </c>
      <c r="C137" s="382">
        <v>17510</v>
      </c>
      <c r="D137" s="382" t="s">
        <v>549</v>
      </c>
      <c r="E137" s="382">
        <f>10104+4291</f>
        <v>14395</v>
      </c>
      <c r="F137" s="382">
        <v>110</v>
      </c>
      <c r="G137" s="382">
        <v>621</v>
      </c>
      <c r="H137" s="382">
        <v>394</v>
      </c>
      <c r="I137" s="382">
        <v>85</v>
      </c>
      <c r="J137" s="382">
        <v>0</v>
      </c>
      <c r="K137" s="382">
        <v>483.3</v>
      </c>
      <c r="L137" s="382">
        <v>140</v>
      </c>
      <c r="M137" s="563">
        <v>800</v>
      </c>
      <c r="N137" s="563">
        <v>400</v>
      </c>
      <c r="O137" s="382">
        <v>99</v>
      </c>
      <c r="P137" s="382">
        <v>40</v>
      </c>
      <c r="Q137" s="382">
        <v>0</v>
      </c>
      <c r="R137" s="382"/>
      <c r="S137" s="382"/>
      <c r="T137" s="382"/>
      <c r="U137" s="354">
        <f>34*27+5*4.5+4.5</f>
        <v>945</v>
      </c>
      <c r="V137" s="400">
        <v>12000</v>
      </c>
      <c r="W137" s="382">
        <v>50542.2</v>
      </c>
      <c r="X137" s="382">
        <v>6395</v>
      </c>
      <c r="Y137" s="382">
        <v>16830</v>
      </c>
      <c r="Z137" s="391">
        <v>10.6</v>
      </c>
      <c r="AB137" s="541"/>
      <c r="AD137" s="541"/>
      <c r="AE137" s="541"/>
      <c r="AG137" s="543"/>
      <c r="AH137" s="541"/>
      <c r="AI137" s="541"/>
      <c r="AL137" s="354"/>
      <c r="AM137" s="407"/>
    </row>
    <row r="138" spans="1:39" ht="17" x14ac:dyDescent="0.2">
      <c r="A138" s="11">
        <v>45597</v>
      </c>
      <c r="B138" s="382">
        <v>140950</v>
      </c>
      <c r="C138" s="382">
        <v>16470</v>
      </c>
      <c r="D138" s="382" t="s">
        <v>549</v>
      </c>
      <c r="E138" s="382">
        <f>9802+4178</f>
        <v>13980</v>
      </c>
      <c r="F138" s="382">
        <v>101</v>
      </c>
      <c r="G138" s="382">
        <v>979</v>
      </c>
      <c r="H138" s="382">
        <v>374</v>
      </c>
      <c r="I138" s="382">
        <v>77</v>
      </c>
      <c r="J138" s="382">
        <v>0</v>
      </c>
      <c r="K138" s="382">
        <v>597</v>
      </c>
      <c r="L138" s="382" t="s">
        <v>549</v>
      </c>
      <c r="M138" s="563">
        <v>800</v>
      </c>
      <c r="N138" s="563">
        <v>200</v>
      </c>
      <c r="O138" s="382">
        <v>11</v>
      </c>
      <c r="P138" s="354">
        <v>30</v>
      </c>
      <c r="Q138" s="382">
        <v>0</v>
      </c>
      <c r="R138" s="382"/>
      <c r="S138" s="382"/>
      <c r="T138" s="382"/>
      <c r="U138" s="382">
        <v>252</v>
      </c>
      <c r="V138" s="400">
        <v>18000</v>
      </c>
      <c r="W138" s="382">
        <v>50742.400000000009</v>
      </c>
      <c r="X138" s="382">
        <v>6575</v>
      </c>
      <c r="Y138" s="382">
        <v>12345</v>
      </c>
      <c r="Z138" s="391">
        <v>6.7</v>
      </c>
      <c r="AB138" s="541"/>
      <c r="AD138" s="541"/>
      <c r="AE138" s="541"/>
      <c r="AG138" s="543"/>
      <c r="AH138" s="541"/>
      <c r="AI138" s="541"/>
      <c r="AL138" s="354"/>
      <c r="AM138" s="407"/>
    </row>
    <row r="139" spans="1:39" ht="17" x14ac:dyDescent="0.2">
      <c r="A139" s="11">
        <v>45627</v>
      </c>
      <c r="B139" s="382">
        <v>125300</v>
      </c>
      <c r="C139" s="382">
        <v>18200</v>
      </c>
      <c r="D139" s="382" t="s">
        <v>549</v>
      </c>
      <c r="E139" s="382">
        <f>9342+3734</f>
        <v>13076</v>
      </c>
      <c r="F139" s="382">
        <v>89</v>
      </c>
      <c r="G139" s="382">
        <v>786</v>
      </c>
      <c r="H139" s="382">
        <v>327</v>
      </c>
      <c r="I139" s="382">
        <v>69</v>
      </c>
      <c r="J139" s="382">
        <v>0</v>
      </c>
      <c r="K139" s="382">
        <v>500.3</v>
      </c>
      <c r="L139" s="382">
        <v>130</v>
      </c>
      <c r="M139" s="563">
        <v>800</v>
      </c>
      <c r="N139" s="563">
        <v>400</v>
      </c>
      <c r="O139" s="382">
        <v>15</v>
      </c>
      <c r="P139" s="382">
        <v>76</v>
      </c>
      <c r="Q139" s="382">
        <v>0</v>
      </c>
      <c r="R139" s="382"/>
      <c r="S139" s="382"/>
      <c r="T139" s="382"/>
      <c r="U139" s="382">
        <v>324</v>
      </c>
      <c r="V139" s="400">
        <v>12000</v>
      </c>
      <c r="W139" s="382">
        <v>42777</v>
      </c>
      <c r="X139" s="382">
        <v>4805</v>
      </c>
      <c r="Y139" s="382">
        <v>10635</v>
      </c>
      <c r="Z139" s="391">
        <v>13.4</v>
      </c>
      <c r="AB139" s="541"/>
      <c r="AD139" s="541"/>
      <c r="AE139" s="541"/>
      <c r="AG139" s="543"/>
      <c r="AH139" s="541"/>
      <c r="AI139" s="541"/>
      <c r="AL139" s="354"/>
      <c r="AM139" s="407"/>
    </row>
    <row r="140" spans="1:39" ht="17" x14ac:dyDescent="0.2">
      <c r="A140" s="11">
        <v>45658</v>
      </c>
      <c r="B140" s="382">
        <v>110380</v>
      </c>
      <c r="C140" s="382">
        <v>13520</v>
      </c>
      <c r="D140" s="382" t="s">
        <v>549</v>
      </c>
      <c r="E140" s="382">
        <f>8584+3596</f>
        <v>12180</v>
      </c>
      <c r="F140" s="382">
        <v>85</v>
      </c>
      <c r="G140" s="382">
        <v>252</v>
      </c>
      <c r="H140" s="382">
        <v>306</v>
      </c>
      <c r="I140" s="382">
        <v>82</v>
      </c>
      <c r="J140" s="382">
        <v>0</v>
      </c>
      <c r="K140" s="382">
        <v>535.70000000000005</v>
      </c>
      <c r="L140" s="382">
        <v>140</v>
      </c>
      <c r="M140" s="564">
        <v>400</v>
      </c>
      <c r="N140" s="564">
        <v>200</v>
      </c>
      <c r="O140" s="382">
        <v>0</v>
      </c>
      <c r="P140" s="382">
        <v>0</v>
      </c>
      <c r="Q140" s="382">
        <v>0</v>
      </c>
      <c r="R140" s="382"/>
      <c r="S140" s="382"/>
      <c r="T140" s="382"/>
      <c r="U140" s="382">
        <f>432+270</f>
        <v>702</v>
      </c>
      <c r="V140" s="400">
        <v>15000</v>
      </c>
      <c r="W140" s="382">
        <v>32055</v>
      </c>
      <c r="X140" s="382">
        <v>6125</v>
      </c>
      <c r="Y140" s="382">
        <v>14663</v>
      </c>
      <c r="Z140" s="391">
        <v>8.5</v>
      </c>
      <c r="AB140" s="541"/>
      <c r="AD140" s="541"/>
      <c r="AE140" s="541"/>
      <c r="AG140" s="543"/>
      <c r="AH140" s="541"/>
      <c r="AI140" s="541"/>
      <c r="AL140" s="354"/>
      <c r="AM140" s="407"/>
    </row>
    <row r="141" spans="1:39" ht="17" x14ac:dyDescent="0.2">
      <c r="A141" s="11">
        <v>45689</v>
      </c>
      <c r="B141" s="382">
        <v>125120</v>
      </c>
      <c r="C141" s="382">
        <v>14790</v>
      </c>
      <c r="D141" s="382" t="s">
        <v>549</v>
      </c>
      <c r="E141" s="382">
        <f>9026+3793</f>
        <v>12819</v>
      </c>
      <c r="F141" s="382">
        <v>99</v>
      </c>
      <c r="G141" s="382">
        <v>755</v>
      </c>
      <c r="H141" s="382">
        <v>340</v>
      </c>
      <c r="I141" s="382">
        <v>98</v>
      </c>
      <c r="J141" s="382">
        <v>0</v>
      </c>
      <c r="K141" s="382">
        <v>307.5</v>
      </c>
      <c r="L141" s="382">
        <v>150</v>
      </c>
      <c r="M141" s="563">
        <v>200</v>
      </c>
      <c r="N141" s="563">
        <v>200</v>
      </c>
      <c r="O141" s="382">
        <v>70</v>
      </c>
      <c r="P141" s="382">
        <v>53</v>
      </c>
      <c r="Q141" s="382">
        <v>0</v>
      </c>
      <c r="R141" s="382"/>
      <c r="S141" s="382"/>
      <c r="T141" s="382"/>
      <c r="U141" s="382">
        <v>403</v>
      </c>
      <c r="V141" s="400">
        <v>12000</v>
      </c>
      <c r="W141" s="382">
        <v>41573.300000000003</v>
      </c>
      <c r="X141" s="382">
        <v>6455</v>
      </c>
      <c r="Y141" s="382">
        <v>10741</v>
      </c>
      <c r="Z141" s="391">
        <v>21</v>
      </c>
      <c r="AB141" s="541"/>
      <c r="AD141" s="541"/>
      <c r="AE141" s="541"/>
      <c r="AG141" s="543"/>
      <c r="AH141" s="541"/>
      <c r="AI141" s="541"/>
      <c r="AL141" s="354"/>
      <c r="AM141" s="407"/>
    </row>
    <row r="142" spans="1:39" ht="17" x14ac:dyDescent="0.2">
      <c r="A142" s="11">
        <v>45717</v>
      </c>
      <c r="B142" s="391">
        <v>139600</v>
      </c>
      <c r="C142" s="391">
        <v>19610</v>
      </c>
      <c r="D142" s="391" t="s">
        <v>549</v>
      </c>
      <c r="E142" s="391">
        <f>9687+4115</f>
        <v>13802</v>
      </c>
      <c r="F142" s="391">
        <v>111</v>
      </c>
      <c r="G142" s="391">
        <v>922</v>
      </c>
      <c r="H142" s="391">
        <f>385+149</f>
        <v>534</v>
      </c>
      <c r="I142" s="391">
        <v>92</v>
      </c>
      <c r="J142" s="391">
        <v>0</v>
      </c>
      <c r="K142" s="391">
        <v>913</v>
      </c>
      <c r="L142" s="391">
        <v>110</v>
      </c>
      <c r="M142" s="565">
        <v>800</v>
      </c>
      <c r="N142" s="565">
        <v>400</v>
      </c>
      <c r="O142" s="391">
        <v>140</v>
      </c>
      <c r="P142" s="391">
        <v>27</v>
      </c>
      <c r="Q142" s="391">
        <v>0</v>
      </c>
      <c r="R142" s="391"/>
      <c r="S142" s="391"/>
      <c r="T142" s="391"/>
      <c r="U142" s="391">
        <v>779.5</v>
      </c>
      <c r="V142" s="391">
        <v>18000</v>
      </c>
      <c r="W142" s="391">
        <v>49419.1</v>
      </c>
      <c r="X142" s="391">
        <v>5720</v>
      </c>
      <c r="Y142" s="391">
        <v>10890</v>
      </c>
      <c r="Z142" s="391">
        <v>25</v>
      </c>
      <c r="AA142" s="542"/>
      <c r="AB142" s="541"/>
      <c r="AD142" s="541"/>
      <c r="AE142" s="541"/>
      <c r="AG142" s="543"/>
      <c r="AH142" s="541"/>
      <c r="AI142" s="541"/>
      <c r="AJ142" s="541"/>
      <c r="AK142" s="541"/>
      <c r="AL142" s="541"/>
      <c r="AM142" s="110"/>
    </row>
    <row r="143" spans="1:39" ht="17" x14ac:dyDescent="0.2">
      <c r="A143" s="11">
        <v>45748</v>
      </c>
      <c r="B143" s="382">
        <v>125070</v>
      </c>
      <c r="C143" s="382">
        <v>21290</v>
      </c>
      <c r="D143" s="382" t="s">
        <v>549</v>
      </c>
      <c r="E143" s="382">
        <f>9913+3880</f>
        <v>13793</v>
      </c>
      <c r="F143" s="382">
        <v>102</v>
      </c>
      <c r="G143" s="382">
        <v>1256</v>
      </c>
      <c r="H143" s="382">
        <v>393</v>
      </c>
      <c r="I143" s="382">
        <v>79</v>
      </c>
      <c r="J143" s="382">
        <v>0</v>
      </c>
      <c r="K143" s="382">
        <v>0</v>
      </c>
      <c r="L143" s="391">
        <v>130</v>
      </c>
      <c r="M143" s="563">
        <v>800</v>
      </c>
      <c r="N143" s="563">
        <v>400</v>
      </c>
      <c r="O143" s="382">
        <v>153</v>
      </c>
      <c r="P143" s="382">
        <v>51</v>
      </c>
      <c r="Q143" s="382">
        <v>0</v>
      </c>
      <c r="R143" s="382"/>
      <c r="S143" s="382"/>
      <c r="T143" s="382"/>
      <c r="U143" s="382">
        <v>108.5</v>
      </c>
      <c r="V143" s="400">
        <v>15000</v>
      </c>
      <c r="W143" s="382">
        <v>42293.100000000006</v>
      </c>
      <c r="X143" s="382">
        <v>5518</v>
      </c>
      <c r="Y143" s="382">
        <v>13267</v>
      </c>
      <c r="Z143" s="391">
        <v>7</v>
      </c>
      <c r="AB143" s="541"/>
      <c r="AD143" s="541"/>
      <c r="AE143" s="541"/>
      <c r="AG143" s="543"/>
      <c r="AH143" s="541"/>
      <c r="AI143" s="541"/>
      <c r="AL143" s="354"/>
      <c r="AM143" s="407"/>
    </row>
    <row r="144" spans="1:39" ht="17" x14ac:dyDescent="0.2">
      <c r="A144" s="11">
        <v>45778</v>
      </c>
      <c r="B144" s="382">
        <v>140130</v>
      </c>
      <c r="C144" s="382">
        <v>19990</v>
      </c>
      <c r="D144" s="382" t="s">
        <v>549</v>
      </c>
      <c r="E144" s="382">
        <f>9879+3720</f>
        <v>13599</v>
      </c>
      <c r="F144" s="382">
        <v>111</v>
      </c>
      <c r="G144" s="382">
        <v>1084</v>
      </c>
      <c r="H144" s="382">
        <f>418+30</f>
        <v>448</v>
      </c>
      <c r="I144" s="382">
        <v>95</v>
      </c>
      <c r="J144" s="382">
        <v>0</v>
      </c>
      <c r="K144" s="382">
        <v>774.4</v>
      </c>
      <c r="L144" s="391">
        <v>150</v>
      </c>
      <c r="M144" s="563">
        <v>800</v>
      </c>
      <c r="N144" s="563">
        <v>400</v>
      </c>
      <c r="O144" s="382">
        <v>128</v>
      </c>
      <c r="P144" s="382">
        <v>58</v>
      </c>
      <c r="Q144" s="382">
        <v>0</v>
      </c>
      <c r="R144" s="382"/>
      <c r="S144" s="382"/>
      <c r="T144" s="382"/>
      <c r="U144" s="382">
        <v>475.5</v>
      </c>
      <c r="V144" s="400">
        <v>18000</v>
      </c>
      <c r="W144" s="382">
        <v>44778.400000000009</v>
      </c>
      <c r="X144" s="384">
        <v>5925</v>
      </c>
      <c r="Y144" s="384">
        <v>9595</v>
      </c>
      <c r="Z144" s="391">
        <v>10.1</v>
      </c>
      <c r="AB144" s="541"/>
      <c r="AD144" s="541"/>
      <c r="AE144" s="541"/>
      <c r="AG144" s="543"/>
      <c r="AH144" s="541"/>
      <c r="AI144" s="541"/>
      <c r="AL144" s="354"/>
    </row>
    <row r="145" spans="1:38" ht="17" x14ac:dyDescent="0.2">
      <c r="A145" s="11">
        <v>45809</v>
      </c>
      <c r="B145" s="382">
        <v>128640</v>
      </c>
      <c r="C145" s="382">
        <v>23570</v>
      </c>
      <c r="D145" s="382" t="s">
        <v>549</v>
      </c>
      <c r="E145" s="382">
        <f>8950+3936</f>
        <v>12886</v>
      </c>
      <c r="F145" s="382">
        <v>115</v>
      </c>
      <c r="G145" s="382">
        <v>864</v>
      </c>
      <c r="H145" s="382">
        <v>393</v>
      </c>
      <c r="I145" s="382">
        <v>83</v>
      </c>
      <c r="J145" s="382">
        <v>0</v>
      </c>
      <c r="K145" s="382">
        <v>314.60000000000002</v>
      </c>
      <c r="L145" s="391">
        <v>100</v>
      </c>
      <c r="M145" s="563">
        <v>800</v>
      </c>
      <c r="N145" s="563">
        <v>400</v>
      </c>
      <c r="O145" s="382">
        <v>163</v>
      </c>
      <c r="P145" s="382">
        <v>28</v>
      </c>
      <c r="Q145" s="382">
        <v>0</v>
      </c>
      <c r="R145" s="382"/>
      <c r="S145" s="382"/>
      <c r="T145" s="382"/>
      <c r="U145" s="382">
        <v>671.5</v>
      </c>
      <c r="V145" s="400">
        <v>18000</v>
      </c>
      <c r="W145" s="382">
        <v>31534.400000000001</v>
      </c>
      <c r="X145" s="384">
        <v>5780</v>
      </c>
      <c r="Y145" s="384">
        <v>18235</v>
      </c>
      <c r="Z145" s="391">
        <f>AVERAGE(Z134:Z144)</f>
        <v>12.799999999999999</v>
      </c>
      <c r="AB145" s="541"/>
      <c r="AD145" s="541"/>
      <c r="AE145" s="541"/>
      <c r="AG145" s="543"/>
      <c r="AH145" s="615"/>
      <c r="AI145" s="541"/>
      <c r="AJ145" s="407"/>
      <c r="AL145" s="354"/>
    </row>
    <row r="146" spans="1:38" x14ac:dyDescent="0.2">
      <c r="A146" s="11">
        <v>45839</v>
      </c>
      <c r="B146" s="384">
        <v>121260</v>
      </c>
      <c r="C146" s="384">
        <v>22800</v>
      </c>
      <c r="D146" s="384"/>
      <c r="E146" s="384">
        <f>9078+4024+657+385</f>
        <v>14144</v>
      </c>
      <c r="F146" s="384">
        <f>92+17</f>
        <v>109</v>
      </c>
      <c r="G146" s="384">
        <v>953</v>
      </c>
      <c r="H146" s="384">
        <f>326+66+41</f>
        <v>433</v>
      </c>
      <c r="I146" s="384">
        <v>83</v>
      </c>
      <c r="J146" s="384"/>
      <c r="K146" s="384">
        <v>0</v>
      </c>
      <c r="L146" s="384"/>
      <c r="M146" s="562">
        <v>800</v>
      </c>
      <c r="N146" s="562">
        <v>400</v>
      </c>
      <c r="O146" s="384">
        <v>135</v>
      </c>
      <c r="P146" s="384">
        <v>43</v>
      </c>
      <c r="Q146" s="384"/>
      <c r="R146" s="384"/>
      <c r="S146" s="384"/>
      <c r="T146" s="384"/>
      <c r="U146" s="384"/>
      <c r="V146" s="384">
        <v>13120</v>
      </c>
      <c r="W146" s="384">
        <v>30759.799999999996</v>
      </c>
      <c r="X146" s="384">
        <v>6740</v>
      </c>
      <c r="Y146" s="384">
        <v>13345</v>
      </c>
      <c r="Z146" s="384">
        <v>6</v>
      </c>
      <c r="AB146" s="543"/>
      <c r="AC146" s="543"/>
      <c r="AD146" s="541"/>
      <c r="AE146" s="541"/>
      <c r="AG146" s="8"/>
      <c r="AH146" s="8"/>
      <c r="AI146" s="8"/>
      <c r="AJ146" s="8"/>
      <c r="AK146" s="8"/>
    </row>
    <row r="147" spans="1:38" x14ac:dyDescent="0.2">
      <c r="A147" s="11">
        <v>45870</v>
      </c>
      <c r="B147" s="384">
        <v>130380</v>
      </c>
      <c r="C147" s="384">
        <v>25120</v>
      </c>
      <c r="D147" s="384"/>
      <c r="E147" s="384">
        <f>9424+3980+714+395</f>
        <v>14513</v>
      </c>
      <c r="F147" s="384">
        <f>93+17</f>
        <v>110</v>
      </c>
      <c r="G147" s="384">
        <v>780</v>
      </c>
      <c r="H147" s="384">
        <f>341+65+48</f>
        <v>454</v>
      </c>
      <c r="I147" s="384">
        <v>91</v>
      </c>
      <c r="J147" s="384"/>
      <c r="K147" s="384">
        <v>893</v>
      </c>
      <c r="L147" s="384"/>
      <c r="M147" s="562">
        <v>800</v>
      </c>
      <c r="N147" s="562">
        <v>400</v>
      </c>
      <c r="O147" s="384">
        <v>125</v>
      </c>
      <c r="P147" s="384">
        <v>46</v>
      </c>
      <c r="Q147" s="384"/>
      <c r="R147" s="384"/>
      <c r="S147" s="384"/>
      <c r="T147" s="384"/>
      <c r="U147" s="384"/>
      <c r="V147" s="384">
        <v>15150</v>
      </c>
      <c r="W147" s="384">
        <v>31994.2</v>
      </c>
      <c r="X147" s="384">
        <v>8680</v>
      </c>
      <c r="Y147" s="384">
        <v>20840</v>
      </c>
      <c r="Z147" s="384">
        <v>0</v>
      </c>
      <c r="AB147" s="543"/>
      <c r="AC147" s="543"/>
      <c r="AD147" s="541"/>
      <c r="AE147" s="541"/>
      <c r="AG147" s="541"/>
      <c r="AH147" s="541"/>
      <c r="AI147" s="8"/>
      <c r="AJ147" s="8"/>
      <c r="AK147" s="8"/>
    </row>
    <row r="148" spans="1:38" ht="17" x14ac:dyDescent="0.2">
      <c r="A148" s="11">
        <v>45901</v>
      </c>
      <c r="B148" s="384">
        <v>141660</v>
      </c>
      <c r="C148" s="384">
        <v>24780</v>
      </c>
      <c r="D148" s="384"/>
      <c r="E148" s="384">
        <f>9017+3930+760+409</f>
        <v>14116</v>
      </c>
      <c r="F148" s="384">
        <f>94+15</f>
        <v>109</v>
      </c>
      <c r="G148" s="384">
        <v>1806</v>
      </c>
      <c r="H148" s="384">
        <f>327+74</f>
        <v>401</v>
      </c>
      <c r="I148" s="384">
        <v>117</v>
      </c>
      <c r="J148" s="384"/>
      <c r="K148" s="384" t="s">
        <v>549</v>
      </c>
      <c r="L148" s="384"/>
      <c r="M148" s="562">
        <v>800</v>
      </c>
      <c r="N148" s="562">
        <v>400</v>
      </c>
      <c r="O148" s="384">
        <v>0</v>
      </c>
      <c r="P148" s="384">
        <v>0</v>
      </c>
      <c r="Q148" s="384"/>
      <c r="R148" s="384"/>
      <c r="S148" s="384"/>
      <c r="T148" s="384"/>
      <c r="U148" s="384"/>
      <c r="V148" s="384">
        <v>14305</v>
      </c>
      <c r="W148" s="384">
        <v>42403.399999999994</v>
      </c>
      <c r="X148" s="384">
        <v>11010</v>
      </c>
      <c r="Y148" s="384">
        <v>13360</v>
      </c>
      <c r="Z148" s="384">
        <v>5</v>
      </c>
      <c r="AA148" s="354"/>
      <c r="AB148" s="409"/>
      <c r="AC148" s="543"/>
      <c r="AG148" s="354"/>
      <c r="AH148" s="354"/>
      <c r="AI148" s="8"/>
      <c r="AJ148" s="8"/>
      <c r="AK148" s="8"/>
    </row>
    <row r="149" spans="1:38" x14ac:dyDescent="0.2">
      <c r="A149" s="11">
        <v>45931</v>
      </c>
      <c r="B149" s="384">
        <v>145450</v>
      </c>
      <c r="C149" s="384">
        <v>23010</v>
      </c>
      <c r="D149" s="544"/>
      <c r="E149" s="384">
        <f>8982+3900+681+389</f>
        <v>13952</v>
      </c>
      <c r="F149" s="384">
        <f>14+90</f>
        <v>104</v>
      </c>
      <c r="G149" s="384">
        <v>1060</v>
      </c>
      <c r="H149" s="384">
        <f>310+69+13</f>
        <v>392</v>
      </c>
      <c r="I149" s="384">
        <v>108</v>
      </c>
      <c r="J149" s="384"/>
      <c r="K149" s="384">
        <v>191.2</v>
      </c>
      <c r="L149" s="384"/>
      <c r="M149" s="562">
        <v>400</v>
      </c>
      <c r="N149" s="562">
        <v>200</v>
      </c>
      <c r="O149" s="384">
        <v>0</v>
      </c>
      <c r="P149" s="384">
        <v>42</v>
      </c>
      <c r="Q149" s="384"/>
      <c r="R149" s="384"/>
      <c r="S149" s="384"/>
      <c r="T149" s="384"/>
      <c r="U149" s="384"/>
      <c r="V149" s="384">
        <v>9655</v>
      </c>
      <c r="W149" s="384">
        <v>47055.799999999996</v>
      </c>
      <c r="X149" s="384">
        <v>10020</v>
      </c>
      <c r="Y149" s="384">
        <v>19145</v>
      </c>
      <c r="Z149" s="384">
        <v>11.5</v>
      </c>
      <c r="AA149" s="354"/>
      <c r="AB149" s="513"/>
      <c r="AC149" s="543"/>
      <c r="AG149" s="354"/>
      <c r="AH149" s="354"/>
      <c r="AI149" s="8"/>
      <c r="AJ149" s="8"/>
      <c r="AK149" s="8"/>
    </row>
    <row r="150" spans="1:38" x14ac:dyDescent="0.2">
      <c r="A150" s="11">
        <v>45962</v>
      </c>
      <c r="B150" s="384">
        <v>150840</v>
      </c>
      <c r="C150" s="384">
        <v>23410</v>
      </c>
      <c r="D150" s="384"/>
      <c r="E150" s="384">
        <v>14700</v>
      </c>
      <c r="F150" s="384">
        <v>120</v>
      </c>
      <c r="G150" s="384">
        <v>1382</v>
      </c>
      <c r="H150" s="384">
        <v>469</v>
      </c>
      <c r="I150" s="384">
        <v>135</v>
      </c>
      <c r="J150" s="384"/>
      <c r="K150" s="384">
        <v>946</v>
      </c>
      <c r="L150" s="384"/>
      <c r="M150" s="562">
        <v>800</v>
      </c>
      <c r="N150" s="562">
        <v>400</v>
      </c>
      <c r="O150" s="384">
        <v>24</v>
      </c>
      <c r="P150" s="384">
        <v>26</v>
      </c>
      <c r="Q150" s="384"/>
      <c r="R150" s="384"/>
      <c r="S150" s="384"/>
      <c r="T150" s="384"/>
      <c r="U150" s="384"/>
      <c r="V150" s="384">
        <v>9530</v>
      </c>
      <c r="W150" s="384">
        <v>51520.399999999994</v>
      </c>
      <c r="X150" s="384">
        <v>8905</v>
      </c>
      <c r="Y150" s="384">
        <v>15420</v>
      </c>
      <c r="Z150" s="384">
        <v>7</v>
      </c>
      <c r="AA150" s="354"/>
      <c r="AB150" s="409"/>
      <c r="AC150" s="543"/>
      <c r="AG150" s="354"/>
      <c r="AH150" s="354"/>
      <c r="AI150" s="8"/>
      <c r="AJ150" s="8"/>
      <c r="AK150" s="8"/>
    </row>
    <row r="151" spans="1:38" x14ac:dyDescent="0.2">
      <c r="A151" s="11">
        <v>45992</v>
      </c>
      <c r="B151" s="384">
        <v>133710</v>
      </c>
      <c r="C151" s="384">
        <v>25150</v>
      </c>
      <c r="D151" s="384"/>
      <c r="E151" s="384">
        <v>12838</v>
      </c>
      <c r="F151" s="384">
        <v>117</v>
      </c>
      <c r="G151" s="384">
        <v>280</v>
      </c>
      <c r="H151" s="384">
        <v>431</v>
      </c>
      <c r="I151" s="384">
        <v>96</v>
      </c>
      <c r="J151" s="384"/>
      <c r="K151" s="384">
        <v>0</v>
      </c>
      <c r="L151" s="384"/>
      <c r="M151" s="562">
        <v>800</v>
      </c>
      <c r="N151" s="562">
        <v>400</v>
      </c>
      <c r="O151" s="384">
        <v>0</v>
      </c>
      <c r="P151" s="384">
        <v>68</v>
      </c>
      <c r="Q151" s="384"/>
      <c r="R151" s="384"/>
      <c r="S151" s="384"/>
      <c r="T151" s="384"/>
      <c r="U151" s="384"/>
      <c r="V151" s="384">
        <v>11380</v>
      </c>
      <c r="W151" s="384">
        <v>40105.1</v>
      </c>
      <c r="X151" s="384">
        <v>10775</v>
      </c>
      <c r="Y151" s="384">
        <v>11475</v>
      </c>
      <c r="Z151" s="384">
        <v>5</v>
      </c>
      <c r="AA151" s="354"/>
      <c r="AB151" s="409"/>
      <c r="AC151" s="543"/>
      <c r="AG151" s="354"/>
      <c r="AH151" s="354"/>
      <c r="AI151" s="8"/>
      <c r="AJ151" s="8"/>
      <c r="AK151" s="8"/>
    </row>
    <row r="152" spans="1:38" x14ac:dyDescent="0.2">
      <c r="A152" s="11">
        <v>46023</v>
      </c>
      <c r="B152" s="384">
        <v>114050</v>
      </c>
      <c r="C152" s="384">
        <v>23100</v>
      </c>
      <c r="D152" s="384"/>
      <c r="E152" s="384">
        <v>13661</v>
      </c>
      <c r="F152" s="384">
        <v>115</v>
      </c>
      <c r="G152" s="384">
        <v>882</v>
      </c>
      <c r="H152" s="384">
        <v>390</v>
      </c>
      <c r="I152" s="384"/>
      <c r="J152" s="384"/>
      <c r="K152" s="384">
        <v>1116</v>
      </c>
      <c r="L152" s="384"/>
      <c r="M152" s="562">
        <v>800</v>
      </c>
      <c r="N152" s="562">
        <v>400</v>
      </c>
      <c r="O152" s="384">
        <v>26</v>
      </c>
      <c r="P152" s="384">
        <v>23</v>
      </c>
      <c r="Q152" s="384"/>
      <c r="R152" s="384"/>
      <c r="S152" s="384"/>
      <c r="T152" s="384"/>
      <c r="U152" s="384"/>
      <c r="V152" s="384">
        <v>10865</v>
      </c>
      <c r="W152" s="384">
        <v>30488.999999999996</v>
      </c>
      <c r="X152" s="384">
        <v>11975</v>
      </c>
      <c r="Y152" s="384">
        <v>8510</v>
      </c>
      <c r="Z152" s="384">
        <v>12</v>
      </c>
      <c r="AA152" s="354"/>
      <c r="AB152" s="409"/>
      <c r="AC152" s="543"/>
      <c r="AG152" s="354"/>
      <c r="AH152" s="354"/>
      <c r="AI152" s="8"/>
      <c r="AJ152" s="8"/>
      <c r="AK152" s="8"/>
    </row>
    <row r="153" spans="1:38" x14ac:dyDescent="0.2">
      <c r="A153" s="11">
        <v>46054</v>
      </c>
      <c r="B153" s="384">
        <v>123400</v>
      </c>
      <c r="C153" s="384">
        <v>16820</v>
      </c>
      <c r="D153" s="384"/>
      <c r="E153" s="384">
        <v>11648</v>
      </c>
      <c r="F153" s="384">
        <v>102</v>
      </c>
      <c r="G153" s="384">
        <v>507</v>
      </c>
      <c r="H153" s="384">
        <v>302</v>
      </c>
      <c r="I153" s="384"/>
      <c r="J153" s="384"/>
      <c r="K153" s="384">
        <v>0</v>
      </c>
      <c r="L153" s="384"/>
      <c r="M153" s="562">
        <v>800</v>
      </c>
      <c r="N153" s="562">
        <v>400</v>
      </c>
      <c r="O153" s="384">
        <v>0</v>
      </c>
      <c r="P153" s="384">
        <v>0</v>
      </c>
      <c r="Q153" s="384"/>
      <c r="R153" s="384"/>
      <c r="S153" s="384"/>
      <c r="T153" s="384"/>
      <c r="U153" s="384"/>
      <c r="V153" s="384">
        <v>20659</v>
      </c>
      <c r="W153" s="384"/>
      <c r="X153" s="384">
        <v>12319</v>
      </c>
      <c r="Y153" s="384">
        <v>8672</v>
      </c>
      <c r="Z153" s="384">
        <v>0</v>
      </c>
      <c r="AA153" s="354"/>
      <c r="AB153" s="409"/>
      <c r="AC153" s="543"/>
      <c r="AG153" s="354"/>
      <c r="AH153" s="354"/>
      <c r="AI153" s="8"/>
      <c r="AJ153" s="8"/>
      <c r="AK153" s="8"/>
    </row>
    <row r="154" spans="1:38" x14ac:dyDescent="0.2">
      <c r="A154" s="11">
        <v>46082</v>
      </c>
      <c r="B154" s="384">
        <v>164450</v>
      </c>
      <c r="C154" s="384">
        <v>22110</v>
      </c>
      <c r="D154" s="384"/>
      <c r="E154" s="384">
        <v>13565</v>
      </c>
      <c r="F154" s="384">
        <v>116</v>
      </c>
      <c r="G154" s="384">
        <v>1571</v>
      </c>
      <c r="H154" s="384">
        <v>432</v>
      </c>
      <c r="I154" s="384"/>
      <c r="J154" s="384"/>
      <c r="K154" s="384">
        <v>672.9</v>
      </c>
      <c r="L154" s="384"/>
      <c r="M154" s="562">
        <v>800</v>
      </c>
      <c r="N154" s="562">
        <v>400</v>
      </c>
      <c r="O154" s="384">
        <v>18</v>
      </c>
      <c r="P154" s="384">
        <v>32</v>
      </c>
      <c r="Q154" s="384"/>
      <c r="R154" s="384"/>
      <c r="S154" s="384"/>
      <c r="T154" s="384"/>
      <c r="U154" s="384"/>
      <c r="V154" s="384">
        <v>10009</v>
      </c>
      <c r="W154" s="384">
        <v>0</v>
      </c>
      <c r="X154" s="384">
        <v>12478</v>
      </c>
      <c r="Y154" s="384">
        <v>12330</v>
      </c>
      <c r="Z154" s="384">
        <v>9.5</v>
      </c>
      <c r="AA154" s="354"/>
      <c r="AB154" s="409"/>
      <c r="AC154" s="543"/>
      <c r="AG154" s="354"/>
      <c r="AH154" s="354"/>
      <c r="AI154" s="8"/>
      <c r="AJ154" s="8"/>
      <c r="AK154" s="8"/>
    </row>
    <row r="155" spans="1:38" x14ac:dyDescent="0.2">
      <c r="A155" s="11">
        <v>46113</v>
      </c>
      <c r="B155" s="384">
        <v>146340</v>
      </c>
      <c r="C155" s="384">
        <v>15730</v>
      </c>
      <c r="D155" s="384"/>
      <c r="E155" s="384">
        <v>12906</v>
      </c>
      <c r="F155" s="384">
        <v>103</v>
      </c>
      <c r="G155" s="384">
        <v>237</v>
      </c>
      <c r="H155" s="384">
        <v>377</v>
      </c>
      <c r="I155" s="384"/>
      <c r="J155" s="384"/>
      <c r="K155" s="384">
        <v>0</v>
      </c>
      <c r="L155" s="384"/>
      <c r="M155" s="562">
        <v>600</v>
      </c>
      <c r="N155" s="384">
        <v>0</v>
      </c>
      <c r="O155" s="384">
        <v>20</v>
      </c>
      <c r="P155" s="384">
        <v>0</v>
      </c>
      <c r="Q155" s="384"/>
      <c r="R155" s="384"/>
      <c r="S155" s="384"/>
      <c r="T155" s="384"/>
      <c r="U155" s="384"/>
      <c r="V155" s="384">
        <v>6591</v>
      </c>
      <c r="W155" s="384">
        <v>0</v>
      </c>
      <c r="X155" s="384">
        <v>11114</v>
      </c>
      <c r="Y155" s="384">
        <v>9640</v>
      </c>
      <c r="Z155" s="384">
        <v>6</v>
      </c>
      <c r="AA155" s="354"/>
      <c r="AB155" s="409"/>
      <c r="AC155" s="543"/>
      <c r="AG155" s="354"/>
      <c r="AH155" s="354"/>
      <c r="AI155" s="8"/>
      <c r="AJ155" s="8"/>
      <c r="AK155" s="8"/>
    </row>
    <row r="156" spans="1:38" x14ac:dyDescent="0.2">
      <c r="A156" s="11">
        <v>46143</v>
      </c>
      <c r="B156" s="384"/>
      <c r="C156" s="384"/>
      <c r="D156" s="384"/>
      <c r="E156" s="384">
        <v>13759</v>
      </c>
      <c r="F156" s="384"/>
      <c r="G156" s="384"/>
      <c r="H156" s="384"/>
      <c r="I156" s="384"/>
      <c r="J156" s="384"/>
      <c r="K156" s="384">
        <v>1073.5</v>
      </c>
      <c r="L156" s="384"/>
      <c r="M156" s="384">
        <v>400</v>
      </c>
      <c r="N156" s="384">
        <v>200</v>
      </c>
      <c r="O156" s="384">
        <v>0</v>
      </c>
      <c r="P156" s="384">
        <v>0</v>
      </c>
      <c r="Q156" s="384"/>
      <c r="R156" s="384"/>
      <c r="S156" s="384"/>
      <c r="T156" s="384"/>
      <c r="U156" s="384"/>
      <c r="V156" s="384">
        <v>12012</v>
      </c>
      <c r="W156" s="384">
        <v>0</v>
      </c>
      <c r="X156" s="384">
        <v>10244</v>
      </c>
      <c r="Y156" s="384">
        <v>11378</v>
      </c>
      <c r="Z156" s="384">
        <v>0</v>
      </c>
      <c r="AA156" s="354"/>
      <c r="AB156" s="409"/>
      <c r="AC156" s="543"/>
      <c r="AG156" s="354"/>
      <c r="AH156" s="354"/>
      <c r="AI156" s="8"/>
      <c r="AJ156" s="8"/>
      <c r="AK156" s="8"/>
    </row>
    <row r="157" spans="1:38" x14ac:dyDescent="0.2">
      <c r="A157" s="11">
        <v>46174</v>
      </c>
      <c r="B157" s="384"/>
      <c r="C157" s="384"/>
      <c r="D157" s="384"/>
      <c r="E157" s="384"/>
      <c r="F157" s="384"/>
      <c r="G157" s="384"/>
      <c r="H157" s="384"/>
      <c r="I157" s="384"/>
      <c r="J157" s="384"/>
      <c r="K157" s="384"/>
      <c r="L157" s="384"/>
      <c r="M157" s="384"/>
      <c r="N157" s="384"/>
      <c r="O157" s="384"/>
      <c r="P157" s="384"/>
      <c r="Q157" s="384"/>
      <c r="R157" s="384"/>
      <c r="S157" s="384"/>
      <c r="T157" s="384"/>
      <c r="U157" s="384"/>
      <c r="V157" s="384"/>
      <c r="W157" s="384">
        <v>0</v>
      </c>
      <c r="X157" s="384"/>
      <c r="Y157" s="384"/>
      <c r="Z157" s="384"/>
      <c r="AA157" s="354"/>
      <c r="AB157" s="409"/>
      <c r="AC157" s="543"/>
      <c r="AG157" s="8"/>
      <c r="AH157" s="8"/>
      <c r="AI157" s="8"/>
      <c r="AJ157" s="8"/>
      <c r="AK157" s="8"/>
    </row>
    <row r="158" spans="1:38" x14ac:dyDescent="0.2">
      <c r="A158" s="59"/>
      <c r="B158" s="404"/>
      <c r="D158" s="541"/>
      <c r="G158" s="404"/>
      <c r="H158" s="404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Z158" s="404"/>
      <c r="AA158" s="354"/>
      <c r="AB158" s="409"/>
      <c r="AC158" s="543"/>
      <c r="AG158" s="8"/>
      <c r="AH158" s="8"/>
      <c r="AI158" s="8"/>
      <c r="AJ158" s="8"/>
      <c r="AK158" s="8"/>
    </row>
    <row r="159" spans="1:38" x14ac:dyDescent="0.2">
      <c r="A159" s="59"/>
      <c r="B159" s="404"/>
      <c r="D159" s="541"/>
      <c r="G159" s="404"/>
      <c r="H159" s="404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Z159" s="404"/>
      <c r="AA159" s="354"/>
      <c r="AB159" s="409"/>
      <c r="AC159" s="543"/>
      <c r="AG159" s="8"/>
      <c r="AH159" s="8"/>
      <c r="AI159" s="8"/>
      <c r="AJ159" s="8"/>
      <c r="AK159" s="8"/>
    </row>
    <row r="160" spans="1:38" x14ac:dyDescent="0.2">
      <c r="A160" s="59"/>
      <c r="B160" s="404"/>
      <c r="D160" s="541"/>
      <c r="G160" s="404"/>
      <c r="H160" s="404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Z160" s="404"/>
      <c r="AA160" s="354"/>
      <c r="AB160" s="409"/>
      <c r="AC160" s="543"/>
      <c r="AG160" s="8"/>
      <c r="AH160" s="8"/>
      <c r="AI160" s="8"/>
      <c r="AJ160" s="8"/>
      <c r="AK160" s="8"/>
    </row>
    <row r="161" spans="1:37" x14ac:dyDescent="0.2">
      <c r="A161" s="59"/>
      <c r="B161" s="404"/>
      <c r="D161" s="541"/>
      <c r="G161" s="404"/>
      <c r="H161" s="404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Z161" s="404"/>
      <c r="AA161" s="354"/>
      <c r="AB161" s="409"/>
      <c r="AC161" s="543"/>
      <c r="AG161" s="8"/>
      <c r="AH161" s="8"/>
      <c r="AI161" s="8"/>
      <c r="AJ161" s="8"/>
      <c r="AK161" s="8"/>
    </row>
    <row r="162" spans="1:37" x14ac:dyDescent="0.2">
      <c r="A162" s="59"/>
      <c r="B162" s="404"/>
      <c r="D162" s="541"/>
      <c r="G162" s="404"/>
      <c r="H162" s="404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Z162" s="404"/>
      <c r="AA162" s="354"/>
      <c r="AB162" s="409"/>
      <c r="AC162" s="543"/>
      <c r="AG162" s="8"/>
      <c r="AH162" s="8"/>
      <c r="AI162" s="8"/>
      <c r="AJ162" s="8"/>
      <c r="AK162" s="8"/>
    </row>
    <row r="163" spans="1:37" x14ac:dyDescent="0.2">
      <c r="B163" s="404"/>
      <c r="D163" s="541"/>
      <c r="G163" s="404"/>
      <c r="H163" s="404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Z163" s="404"/>
      <c r="AA163" s="354"/>
      <c r="AB163" s="404"/>
      <c r="AC163" s="542"/>
      <c r="AG163" s="8"/>
      <c r="AH163" s="8"/>
      <c r="AI163" s="8"/>
      <c r="AJ163" s="8"/>
      <c r="AK163" s="8"/>
    </row>
    <row r="164" spans="1:37" x14ac:dyDescent="0.2">
      <c r="B164" s="404"/>
      <c r="D164" s="541"/>
      <c r="G164" s="404"/>
      <c r="H164" s="404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Z164" s="404"/>
      <c r="AA164" s="354"/>
      <c r="AB164" s="404"/>
      <c r="AC164" s="542"/>
      <c r="AG164" s="8"/>
      <c r="AH164" s="8"/>
      <c r="AI164" s="8"/>
      <c r="AJ164" s="8"/>
      <c r="AK164" s="8"/>
    </row>
    <row r="165" spans="1:37" x14ac:dyDescent="0.2">
      <c r="B165" s="404"/>
      <c r="D165" s="541"/>
      <c r="G165" s="404"/>
      <c r="H165" s="404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Z165" s="404"/>
      <c r="AA165" s="354"/>
      <c r="AB165" s="404"/>
      <c r="AC165" s="542"/>
      <c r="AG165" s="8"/>
      <c r="AH165" s="8"/>
      <c r="AI165" s="8"/>
      <c r="AJ165" s="8"/>
      <c r="AK165" s="8"/>
    </row>
    <row r="166" spans="1:37" x14ac:dyDescent="0.2">
      <c r="B166" s="404"/>
      <c r="D166" s="541"/>
      <c r="G166" s="404"/>
      <c r="H166" s="404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Z166" s="404"/>
      <c r="AA166" s="354"/>
      <c r="AB166" s="404"/>
      <c r="AC166" s="542"/>
      <c r="AG166" s="8"/>
      <c r="AH166" s="8"/>
      <c r="AI166" s="8"/>
      <c r="AJ166" s="8"/>
      <c r="AK166" s="8"/>
    </row>
    <row r="167" spans="1:37" x14ac:dyDescent="0.2">
      <c r="B167" s="404"/>
      <c r="D167" s="541"/>
      <c r="G167" s="404"/>
      <c r="H167" s="404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Z167" s="404"/>
      <c r="AA167" s="354"/>
      <c r="AB167" s="404"/>
      <c r="AC167" s="542"/>
      <c r="AG167" s="8"/>
      <c r="AH167" s="8"/>
      <c r="AI167" s="8"/>
      <c r="AJ167" s="8"/>
      <c r="AK167" s="8"/>
    </row>
    <row r="168" spans="1:37" x14ac:dyDescent="0.2">
      <c r="B168" s="404"/>
      <c r="D168" s="541"/>
      <c r="G168" s="404"/>
      <c r="H168" s="404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Z168" s="404"/>
      <c r="AA168" s="354"/>
      <c r="AB168" s="404"/>
      <c r="AC168" s="542"/>
      <c r="AG168" s="8"/>
      <c r="AH168" s="8"/>
      <c r="AI168" s="8"/>
      <c r="AJ168" s="8"/>
      <c r="AK168" s="8"/>
    </row>
    <row r="169" spans="1:37" x14ac:dyDescent="0.2">
      <c r="B169" s="404"/>
      <c r="D169" s="541"/>
      <c r="G169" s="404"/>
      <c r="H169" s="404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 spans="1:37" x14ac:dyDescent="0.2">
      <c r="B170" s="404"/>
      <c r="D170" s="541"/>
      <c r="G170" s="404"/>
      <c r="H170" s="404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 spans="1:37" x14ac:dyDescent="0.2">
      <c r="B171" s="404"/>
      <c r="D171" s="541"/>
      <c r="G171" s="404"/>
      <c r="H171" s="404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 spans="1:37" x14ac:dyDescent="0.2">
      <c r="B172" s="404"/>
      <c r="D172" s="541"/>
      <c r="G172" s="404"/>
      <c r="H172" s="404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 spans="1:37" x14ac:dyDescent="0.2">
      <c r="B173" s="404"/>
      <c r="D173" s="541"/>
      <c r="G173" s="404"/>
      <c r="H173" s="404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 spans="1:37" x14ac:dyDescent="0.2">
      <c r="B174" s="404"/>
      <c r="D174" s="541"/>
      <c r="G174" s="404"/>
      <c r="H174" s="404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 spans="1:37" x14ac:dyDescent="0.2">
      <c r="B175" s="404"/>
      <c r="D175" s="541"/>
      <c r="G175" s="404"/>
      <c r="H175" s="404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 spans="1:37" x14ac:dyDescent="0.2">
      <c r="B176" s="404"/>
      <c r="D176" s="541"/>
      <c r="G176" s="404"/>
      <c r="H176" s="404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 spans="2:47" x14ac:dyDescent="0.2">
      <c r="B177" s="404"/>
      <c r="D177" s="541"/>
      <c r="G177" s="404"/>
      <c r="H177" s="404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 spans="2:47" x14ac:dyDescent="0.2">
      <c r="B178" s="404"/>
      <c r="D178" s="541"/>
      <c r="G178" s="404"/>
      <c r="H178" s="404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 spans="2:47" x14ac:dyDescent="0.2">
      <c r="B179" s="404"/>
      <c r="D179" s="541"/>
      <c r="G179" s="404"/>
      <c r="H179" s="404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 spans="2:47" x14ac:dyDescent="0.2">
      <c r="B180" s="404"/>
      <c r="D180" s="541"/>
      <c r="G180" s="404"/>
      <c r="H180" s="404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 spans="2:47" x14ac:dyDescent="0.2">
      <c r="B181" s="404"/>
      <c r="D181" s="541"/>
      <c r="G181" s="404"/>
      <c r="H181" s="404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 spans="2:47" x14ac:dyDescent="0.2">
      <c r="B182" s="404"/>
      <c r="D182" s="541"/>
      <c r="G182" s="404"/>
      <c r="H182" s="404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 spans="2:47" x14ac:dyDescent="0.2">
      <c r="B183" s="404"/>
      <c r="D183" s="541"/>
      <c r="G183" s="404"/>
      <c r="H183" s="404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 spans="2:47" x14ac:dyDescent="0.2">
      <c r="B184" s="404"/>
      <c r="D184" s="541"/>
      <c r="G184" s="404"/>
      <c r="H184" s="404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 spans="2:47" x14ac:dyDescent="0.2">
      <c r="B185" s="404"/>
      <c r="D185" s="541"/>
      <c r="G185" s="404"/>
      <c r="H185" s="404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 spans="2:47" x14ac:dyDescent="0.2">
      <c r="B186" s="404"/>
      <c r="D186" s="541"/>
      <c r="G186" s="404"/>
      <c r="H186" s="404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 spans="2:47" x14ac:dyDescent="0.2">
      <c r="B187" s="404"/>
      <c r="D187" s="541"/>
      <c r="G187" s="404"/>
      <c r="H187" s="404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 spans="2:47" x14ac:dyDescent="0.2">
      <c r="B188" s="404"/>
      <c r="D188" s="541"/>
      <c r="G188" s="404"/>
      <c r="H188" s="404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 spans="2:47" x14ac:dyDescent="0.2">
      <c r="B189" s="404"/>
      <c r="D189" s="541"/>
      <c r="G189" s="404"/>
      <c r="H189" s="404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612"/>
      <c r="AK189" s="402"/>
      <c r="AL189" s="402"/>
      <c r="AM189" s="402"/>
      <c r="AN189" s="402"/>
      <c r="AO189" s="402"/>
      <c r="AP189" s="402"/>
      <c r="AQ189" s="402"/>
      <c r="AR189" s="402"/>
      <c r="AS189" s="354"/>
      <c r="AT189" s="402"/>
      <c r="AU189" s="403"/>
    </row>
    <row r="190" spans="2:47" x14ac:dyDescent="0.2">
      <c r="B190" s="404"/>
      <c r="D190" s="541"/>
      <c r="G190" s="404"/>
      <c r="H190" s="404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55"/>
      <c r="AK190" s="677"/>
      <c r="AL190" s="677"/>
      <c r="AM190" s="677"/>
      <c r="AN190" s="677"/>
      <c r="AO190" s="613"/>
      <c r="AP190" s="613"/>
      <c r="AQ190" s="613"/>
      <c r="AR190" s="405"/>
      <c r="AS190" s="354"/>
      <c r="AT190" s="405"/>
      <c r="AU190" s="405"/>
    </row>
    <row r="191" spans="2:47" x14ac:dyDescent="0.2">
      <c r="B191" s="404"/>
      <c r="D191" s="541"/>
      <c r="G191" s="404"/>
      <c r="H191" s="404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55"/>
      <c r="AK191" s="677"/>
      <c r="AL191" s="677"/>
      <c r="AM191" s="677"/>
      <c r="AN191" s="677"/>
      <c r="AO191" s="613"/>
      <c r="AP191" s="613"/>
      <c r="AQ191" s="613"/>
      <c r="AR191" s="405"/>
      <c r="AS191" s="354"/>
      <c r="AT191" s="405"/>
      <c r="AU191" s="405"/>
    </row>
    <row r="192" spans="2:47" x14ac:dyDescent="0.2">
      <c r="B192" s="404"/>
      <c r="D192" s="541"/>
      <c r="G192" s="404"/>
      <c r="H192" s="404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55"/>
      <c r="AK192" s="677"/>
      <c r="AL192" s="677"/>
      <c r="AM192" s="677"/>
      <c r="AN192" s="677"/>
      <c r="AO192" s="613"/>
      <c r="AP192" s="613"/>
      <c r="AQ192" s="613"/>
      <c r="AR192" s="405"/>
      <c r="AS192" s="354"/>
      <c r="AT192" s="405"/>
      <c r="AU192" s="405"/>
    </row>
    <row r="193" spans="2:54" x14ac:dyDescent="0.2">
      <c r="B193" s="404"/>
      <c r="D193" s="541"/>
      <c r="G193" s="404"/>
      <c r="H193" s="404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55"/>
      <c r="AK193" s="677"/>
      <c r="AL193" s="677"/>
      <c r="AM193" s="677"/>
      <c r="AN193" s="613"/>
      <c r="AO193" s="613"/>
      <c r="AP193" s="613"/>
      <c r="AQ193" s="613"/>
      <c r="AR193" s="405"/>
      <c r="AS193" s="354"/>
      <c r="AT193" s="405"/>
      <c r="AU193" s="405"/>
    </row>
    <row r="194" spans="2:54" x14ac:dyDescent="0.2">
      <c r="B194" s="404"/>
      <c r="D194" s="541"/>
      <c r="G194" s="404"/>
      <c r="H194" s="404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55"/>
      <c r="AK194" s="677"/>
      <c r="AL194" s="677"/>
      <c r="AM194" s="677"/>
      <c r="AN194" s="677"/>
      <c r="AO194" s="677"/>
      <c r="AP194" s="613"/>
      <c r="AQ194" s="613"/>
      <c r="AR194" s="405"/>
      <c r="AS194" s="354"/>
      <c r="AT194" s="405"/>
      <c r="AU194" s="405"/>
    </row>
    <row r="195" spans="2:54" x14ac:dyDescent="0.2">
      <c r="B195" s="404"/>
      <c r="D195" s="541"/>
      <c r="G195" s="404"/>
      <c r="H195" s="404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55"/>
      <c r="AK195" s="677"/>
      <c r="AL195" s="677"/>
      <c r="AM195" s="677"/>
      <c r="AN195" s="677"/>
      <c r="AO195" s="677"/>
      <c r="AP195" s="677"/>
      <c r="AQ195" s="677"/>
      <c r="AR195" s="405"/>
      <c r="AS195" s="354"/>
      <c r="AT195" s="405"/>
      <c r="AU195" s="405"/>
    </row>
    <row r="196" spans="2:54" x14ac:dyDescent="0.2">
      <c r="B196" s="404"/>
      <c r="D196" s="541"/>
      <c r="G196" s="404"/>
      <c r="H196" s="404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55"/>
      <c r="AK196" s="677"/>
      <c r="AL196" s="677"/>
      <c r="AM196" s="677"/>
      <c r="AN196" s="677"/>
      <c r="AO196" s="613"/>
      <c r="AP196" s="613"/>
      <c r="AQ196" s="613"/>
      <c r="AR196" s="405"/>
      <c r="AS196" s="354"/>
      <c r="AT196" s="405"/>
      <c r="AU196" s="405"/>
    </row>
    <row r="197" spans="2:54" x14ac:dyDescent="0.2">
      <c r="B197" s="404"/>
      <c r="D197" s="541"/>
      <c r="G197" s="404"/>
      <c r="H197" s="404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55"/>
      <c r="AK197" s="677"/>
      <c r="AL197" s="677"/>
      <c r="AM197" s="677"/>
      <c r="AN197" s="677"/>
      <c r="AO197" s="677"/>
      <c r="AP197" s="613"/>
      <c r="AQ197" s="613"/>
      <c r="AR197" s="405"/>
      <c r="AS197" s="354"/>
      <c r="AT197" s="405"/>
      <c r="AU197" s="405"/>
    </row>
    <row r="198" spans="2:54" x14ac:dyDescent="0.2">
      <c r="B198" s="404"/>
      <c r="D198" s="541"/>
      <c r="G198" s="404"/>
      <c r="H198" s="404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V198" s="354"/>
      <c r="AW198" s="354"/>
      <c r="AX198" s="354"/>
      <c r="AY198" s="354"/>
      <c r="AZ198" s="354"/>
      <c r="BA198" s="404"/>
      <c r="BB198" s="402"/>
    </row>
    <row r="199" spans="2:54" x14ac:dyDescent="0.2">
      <c r="B199" s="404"/>
      <c r="D199" s="541"/>
      <c r="G199" s="404"/>
      <c r="H199" s="404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V199" s="354"/>
      <c r="AW199" s="354"/>
      <c r="AX199" s="354"/>
      <c r="AY199" s="354"/>
      <c r="AZ199" s="354"/>
      <c r="BA199" s="405"/>
      <c r="BB199" s="405"/>
    </row>
    <row r="200" spans="2:54" x14ac:dyDescent="0.2">
      <c r="B200" s="404"/>
      <c r="D200" s="541"/>
      <c r="G200" s="404"/>
      <c r="H200" s="404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V200" s="354"/>
      <c r="AW200" s="354"/>
      <c r="AX200" s="354"/>
      <c r="AY200" s="354"/>
      <c r="AZ200" s="354"/>
      <c r="BA200" s="405"/>
      <c r="BB200" s="405"/>
    </row>
    <row r="201" spans="2:54" x14ac:dyDescent="0.2">
      <c r="B201" s="404"/>
      <c r="D201" s="541"/>
      <c r="G201" s="404"/>
      <c r="H201" s="404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V201" s="354"/>
      <c r="AW201" s="354"/>
      <c r="AX201" s="354"/>
      <c r="AY201" s="354"/>
      <c r="AZ201" s="354"/>
      <c r="BA201" s="405"/>
      <c r="BB201" s="405"/>
    </row>
    <row r="202" spans="2:54" x14ac:dyDescent="0.2">
      <c r="B202" s="404"/>
      <c r="D202" s="541"/>
      <c r="G202" s="404"/>
      <c r="H202" s="404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V202" s="354"/>
      <c r="AW202" s="354"/>
      <c r="AX202" s="354"/>
      <c r="AY202" s="354"/>
      <c r="AZ202" s="354"/>
      <c r="BA202" s="405"/>
      <c r="BB202" s="405"/>
    </row>
    <row r="203" spans="2:54" x14ac:dyDescent="0.2">
      <c r="B203" s="404"/>
      <c r="D203" s="541"/>
      <c r="G203" s="404"/>
      <c r="H203" s="404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V203" s="354"/>
      <c r="AW203" s="354"/>
      <c r="AX203" s="354"/>
      <c r="AY203" s="354"/>
      <c r="AZ203" s="354"/>
      <c r="BA203" s="405"/>
      <c r="BB203" s="405"/>
    </row>
    <row r="204" spans="2:54" x14ac:dyDescent="0.2">
      <c r="B204" s="404"/>
      <c r="D204" s="541"/>
      <c r="G204" s="404"/>
      <c r="H204" s="404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V204" s="354"/>
      <c r="AW204" s="354"/>
      <c r="AX204" s="354"/>
      <c r="AY204" s="354"/>
      <c r="AZ204" s="354"/>
      <c r="BA204" s="405"/>
      <c r="BB204" s="405"/>
    </row>
    <row r="205" spans="2:54" x14ac:dyDescent="0.2">
      <c r="B205" s="404"/>
      <c r="D205" s="541"/>
      <c r="G205" s="404"/>
      <c r="H205" s="404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V205" s="354"/>
      <c r="AW205" s="354"/>
      <c r="AX205" s="354"/>
      <c r="AY205" s="354"/>
      <c r="AZ205" s="354"/>
      <c r="BA205" s="405"/>
      <c r="BB205" s="405"/>
    </row>
    <row r="206" spans="2:54" x14ac:dyDescent="0.2">
      <c r="B206" s="404"/>
      <c r="D206" s="541"/>
      <c r="G206" s="404"/>
      <c r="H206" s="404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V206" s="354"/>
      <c r="AW206" s="354"/>
      <c r="AX206" s="354"/>
      <c r="AY206" s="354"/>
      <c r="AZ206" s="354"/>
      <c r="BA206" s="405"/>
      <c r="BB206" s="405"/>
    </row>
    <row r="207" spans="2:54" ht="16.25" customHeight="1" x14ac:dyDescent="0.2">
      <c r="B207" s="404"/>
      <c r="D207" s="541"/>
      <c r="G207" s="404"/>
      <c r="H207" s="404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V207" s="405"/>
      <c r="AW207" s="405"/>
      <c r="AX207" s="405"/>
      <c r="AY207" s="405"/>
      <c r="AZ207" s="405"/>
      <c r="BA207" s="405"/>
      <c r="BB207" s="405"/>
    </row>
    <row r="208" spans="2:54" x14ac:dyDescent="0.2">
      <c r="B208" s="404"/>
      <c r="D208" s="541"/>
      <c r="G208" s="404"/>
      <c r="H208" s="404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spans="2:37" x14ac:dyDescent="0.2">
      <c r="B209" s="404"/>
      <c r="D209" s="541"/>
      <c r="G209" s="404"/>
      <c r="H209" s="404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spans="2:37" x14ac:dyDescent="0.2">
      <c r="B210" s="404"/>
      <c r="D210" s="541"/>
      <c r="G210" s="404"/>
      <c r="H210" s="404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 spans="2:37" x14ac:dyDescent="0.2">
      <c r="B211" s="404"/>
      <c r="D211" s="541"/>
      <c r="G211" s="404"/>
      <c r="H211" s="404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 spans="2:37" x14ac:dyDescent="0.2">
      <c r="D212" s="541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 spans="2:37" x14ac:dyDescent="0.2"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 spans="2:37" x14ac:dyDescent="0.2"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spans="2:37" x14ac:dyDescent="0.2"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spans="2:37" x14ac:dyDescent="0.2"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spans="2:37" x14ac:dyDescent="0.2"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spans="2:37" x14ac:dyDescent="0.2"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spans="2:37" x14ac:dyDescent="0.2"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spans="2:37" x14ac:dyDescent="0.2"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spans="2:37" x14ac:dyDescent="0.2"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 spans="2:37" x14ac:dyDescent="0.2"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 spans="2:37" x14ac:dyDescent="0.2">
      <c r="Z223" s="8"/>
      <c r="AA223" s="8"/>
      <c r="AB223" s="8"/>
      <c r="AC223" s="8"/>
    </row>
    <row r="224" spans="2:37" x14ac:dyDescent="0.2">
      <c r="Z224" s="8"/>
      <c r="AA224" s="8"/>
      <c r="AB224" s="8"/>
      <c r="AC224" s="8"/>
    </row>
    <row r="225" spans="26:29" x14ac:dyDescent="0.2">
      <c r="Z225" s="8"/>
      <c r="AA225" s="8"/>
      <c r="AB225" s="8"/>
      <c r="AC225" s="8"/>
    </row>
    <row r="226" spans="26:29" x14ac:dyDescent="0.2">
      <c r="Z226" s="8"/>
      <c r="AA226" s="8"/>
      <c r="AB226" s="8"/>
      <c r="AC226" s="8"/>
    </row>
    <row r="227" spans="26:29" x14ac:dyDescent="0.2">
      <c r="Z227" s="8"/>
      <c r="AA227" s="8"/>
      <c r="AB227" s="8"/>
      <c r="AC227" s="8"/>
    </row>
    <row r="228" spans="26:29" x14ac:dyDescent="0.2">
      <c r="Z228" s="8"/>
      <c r="AA228" s="8"/>
      <c r="AB228" s="8"/>
      <c r="AC228" s="8"/>
    </row>
    <row r="229" spans="26:29" x14ac:dyDescent="0.2">
      <c r="Z229" s="8"/>
      <c r="AA229" s="8"/>
      <c r="AB229" s="8"/>
      <c r="AC229" s="8"/>
    </row>
    <row r="230" spans="26:29" x14ac:dyDescent="0.2">
      <c r="Z230" s="8"/>
      <c r="AA230" s="8"/>
      <c r="AB230" s="8"/>
      <c r="AC230" s="8"/>
    </row>
    <row r="231" spans="26:29" x14ac:dyDescent="0.2">
      <c r="Z231" s="8"/>
      <c r="AA231" s="8"/>
      <c r="AB231" s="8"/>
      <c r="AC231" s="8"/>
    </row>
    <row r="232" spans="26:29" x14ac:dyDescent="0.2">
      <c r="Z232" s="8"/>
      <c r="AA232" s="8"/>
      <c r="AB232" s="8"/>
      <c r="AC232" s="8"/>
    </row>
  </sheetData>
  <mergeCells count="8">
    <mergeCell ref="AK190:AN190"/>
    <mergeCell ref="AK196:AN196"/>
    <mergeCell ref="AK197:AO197"/>
    <mergeCell ref="AK191:AN191"/>
    <mergeCell ref="AK192:AN192"/>
    <mergeCell ref="AK193:AM193"/>
    <mergeCell ref="AK194:AO194"/>
    <mergeCell ref="AK195:AQ195"/>
  </mergeCells>
  <phoneticPr fontId="9" type="noConversion"/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9FEB3-2035-704D-9C00-69C520937E73}">
  <dimension ref="A1:AH232"/>
  <sheetViews>
    <sheetView zoomScale="107" workbookViewId="0">
      <pane xSplit="1" ySplit="1" topLeftCell="G141" activePane="bottomRight" state="frozen"/>
      <selection pane="topRight" activeCell="B1" sqref="B1"/>
      <selection pane="bottomLeft" activeCell="A2" sqref="A2"/>
      <selection pane="bottomRight" activeCell="K137" sqref="K137"/>
    </sheetView>
  </sheetViews>
  <sheetFormatPr baseColWidth="10" defaultColWidth="10.6640625" defaultRowHeight="16" x14ac:dyDescent="0.2"/>
  <cols>
    <col min="1" max="1" width="11.1640625" style="61" bestFit="1" customWidth="1"/>
    <col min="2" max="2" width="13.1640625" style="354" hidden="1" customWidth="1"/>
    <col min="3" max="3" width="15.6640625" style="354" hidden="1" customWidth="1"/>
    <col min="4" max="6" width="18.33203125" style="354" hidden="1" customWidth="1"/>
    <col min="7" max="7" width="13.1640625" style="404" bestFit="1" customWidth="1"/>
    <col min="8" max="8" width="16" style="354" bestFit="1" customWidth="1"/>
    <col min="9" max="9" width="13.1640625" style="541" bestFit="1" customWidth="1"/>
    <col min="10" max="11" width="15.1640625" style="354" bestFit="1" customWidth="1"/>
    <col min="12" max="12" width="15" style="541" bestFit="1" customWidth="1"/>
    <col min="13" max="13" width="10.6640625" style="404"/>
    <col min="14" max="14" width="12.6640625" style="404" bestFit="1" customWidth="1"/>
    <col min="15" max="15" width="14.33203125" style="354" bestFit="1" customWidth="1"/>
    <col min="16" max="16" width="13.6640625" style="354" bestFit="1" customWidth="1"/>
    <col min="17" max="17" width="16.5" style="354" customWidth="1"/>
    <col min="18" max="18" width="13.6640625" style="8" bestFit="1" customWidth="1"/>
    <col min="19" max="21" width="14.6640625" style="8" bestFit="1" customWidth="1"/>
    <col min="22" max="23" width="16.1640625" style="8" bestFit="1" customWidth="1"/>
    <col min="24" max="24" width="14" style="8" bestFit="1" customWidth="1"/>
    <col min="25" max="16384" width="10.6640625" style="8"/>
  </cols>
  <sheetData>
    <row r="1" spans="1:20" s="54" customFormat="1" ht="68" x14ac:dyDescent="0.2">
      <c r="A1" s="58"/>
      <c r="B1" s="375" t="s">
        <v>529</v>
      </c>
      <c r="C1" s="375" t="s">
        <v>533</v>
      </c>
      <c r="D1" s="376" t="s">
        <v>534</v>
      </c>
      <c r="E1" s="376" t="s">
        <v>535</v>
      </c>
      <c r="F1" s="376" t="s">
        <v>536</v>
      </c>
      <c r="G1" s="377" t="s">
        <v>542</v>
      </c>
      <c r="H1" s="377" t="s">
        <v>543</v>
      </c>
      <c r="I1" s="611" t="s">
        <v>544</v>
      </c>
      <c r="J1" s="377" t="s">
        <v>545</v>
      </c>
      <c r="K1" s="377" t="s">
        <v>546</v>
      </c>
      <c r="L1" s="611" t="s">
        <v>547</v>
      </c>
      <c r="M1" s="377"/>
      <c r="N1" s="377" t="s">
        <v>743</v>
      </c>
      <c r="O1" s="377" t="s">
        <v>548</v>
      </c>
      <c r="P1" s="373"/>
      <c r="Q1" s="373"/>
    </row>
    <row r="2" spans="1:20" x14ac:dyDescent="0.2">
      <c r="A2" s="10">
        <v>41456</v>
      </c>
      <c r="B2" s="380">
        <v>3.25</v>
      </c>
      <c r="C2" s="380">
        <v>0</v>
      </c>
      <c r="D2" s="381"/>
      <c r="E2" s="381"/>
      <c r="F2" s="381"/>
      <c r="G2" s="542">
        <v>282100</v>
      </c>
      <c r="H2" s="541">
        <v>3321500</v>
      </c>
      <c r="I2" s="541">
        <v>276791.66666666669</v>
      </c>
      <c r="J2" s="541">
        <v>7826.49</v>
      </c>
      <c r="K2" s="541">
        <v>118387518.75446363</v>
      </c>
      <c r="L2" s="541">
        <v>9865626.5628719684</v>
      </c>
      <c r="M2" s="542"/>
      <c r="N2" s="542"/>
    </row>
    <row r="3" spans="1:20" x14ac:dyDescent="0.2">
      <c r="A3" s="11">
        <v>41487</v>
      </c>
      <c r="B3" s="380">
        <v>1.1599999999999999</v>
      </c>
      <c r="C3" s="380">
        <v>0</v>
      </c>
      <c r="D3" s="381"/>
      <c r="E3" s="381"/>
      <c r="F3" s="381"/>
      <c r="G3" s="542">
        <v>282100</v>
      </c>
      <c r="H3" s="541">
        <v>3321500</v>
      </c>
      <c r="I3" s="541">
        <v>276791.66666666669</v>
      </c>
      <c r="J3" s="541">
        <v>6994.75</v>
      </c>
      <c r="K3" s="541">
        <v>118379692.26446362</v>
      </c>
      <c r="L3" s="541">
        <v>9864974.3553719688</v>
      </c>
      <c r="M3" s="542"/>
      <c r="N3" s="542"/>
    </row>
    <row r="4" spans="1:20" x14ac:dyDescent="0.2">
      <c r="A4" s="11">
        <v>41518</v>
      </c>
      <c r="B4" s="380">
        <v>0.69599999999999995</v>
      </c>
      <c r="C4" s="380">
        <v>58</v>
      </c>
      <c r="D4" s="381"/>
      <c r="E4" s="381"/>
      <c r="F4" s="381"/>
      <c r="G4" s="542">
        <v>273000.00000000006</v>
      </c>
      <c r="H4" s="541">
        <v>3321500</v>
      </c>
      <c r="I4" s="541">
        <v>276791.66666666669</v>
      </c>
      <c r="J4" s="541">
        <v>7925.4759999999997</v>
      </c>
      <c r="K4" s="541">
        <v>118372697.51446362</v>
      </c>
      <c r="L4" s="541">
        <v>9864391.4595386349</v>
      </c>
      <c r="M4" s="542"/>
      <c r="N4" s="542"/>
      <c r="R4" s="139"/>
    </row>
    <row r="5" spans="1:20" x14ac:dyDescent="0.2">
      <c r="A5" s="11">
        <v>41548</v>
      </c>
      <c r="B5" s="380">
        <v>0.155</v>
      </c>
      <c r="C5" s="380">
        <v>0</v>
      </c>
      <c r="D5" s="381"/>
      <c r="E5" s="381"/>
      <c r="F5" s="381"/>
      <c r="G5" s="542">
        <v>282100</v>
      </c>
      <c r="H5" s="541">
        <v>3321500</v>
      </c>
      <c r="I5" s="541">
        <v>276791.66666666669</v>
      </c>
      <c r="J5" s="541">
        <v>8038.2249999999995</v>
      </c>
      <c r="K5" s="541">
        <v>118364772.03846362</v>
      </c>
      <c r="L5" s="541">
        <v>9863731.0032053012</v>
      </c>
      <c r="M5" s="542"/>
      <c r="N5" s="542"/>
      <c r="R5" s="139"/>
      <c r="S5" s="139"/>
      <c r="T5" s="139"/>
    </row>
    <row r="6" spans="1:20" x14ac:dyDescent="0.2">
      <c r="A6" s="11">
        <v>41579</v>
      </c>
      <c r="B6" s="380">
        <v>2.4129999999999998</v>
      </c>
      <c r="C6" s="380">
        <v>8</v>
      </c>
      <c r="D6" s="381"/>
      <c r="E6" s="381"/>
      <c r="F6" s="381"/>
      <c r="G6" s="542">
        <v>273000.00000000006</v>
      </c>
      <c r="H6" s="541">
        <v>3321500</v>
      </c>
      <c r="I6" s="541">
        <v>276791.66666666669</v>
      </c>
      <c r="J6" s="541">
        <v>8336.5529999999999</v>
      </c>
      <c r="K6" s="541">
        <v>118356733.81346361</v>
      </c>
      <c r="L6" s="541">
        <v>9863061.1511219684</v>
      </c>
      <c r="M6" s="542"/>
      <c r="N6" s="542"/>
      <c r="R6" s="139"/>
      <c r="S6" s="139"/>
      <c r="T6" s="139"/>
    </row>
    <row r="7" spans="1:20" x14ac:dyDescent="0.2">
      <c r="A7" s="11">
        <v>41609</v>
      </c>
      <c r="B7" s="380">
        <v>1.748</v>
      </c>
      <c r="C7" s="380">
        <v>46</v>
      </c>
      <c r="D7" s="381"/>
      <c r="E7" s="381"/>
      <c r="F7" s="381"/>
      <c r="G7" s="542">
        <v>282100</v>
      </c>
      <c r="H7" s="541">
        <v>3321500</v>
      </c>
      <c r="I7" s="541">
        <v>276791.66666666669</v>
      </c>
      <c r="J7" s="541">
        <v>7966.1879999999992</v>
      </c>
      <c r="K7" s="541">
        <v>118348397.26046361</v>
      </c>
      <c r="L7" s="541">
        <v>9862366.4383719675</v>
      </c>
      <c r="M7" s="542"/>
      <c r="N7" s="542"/>
      <c r="R7" s="139"/>
      <c r="S7" s="139"/>
      <c r="T7" s="139"/>
    </row>
    <row r="8" spans="1:20" x14ac:dyDescent="0.2">
      <c r="A8" s="11">
        <v>41640</v>
      </c>
      <c r="B8" s="380">
        <v>1.7789999999999999</v>
      </c>
      <c r="C8" s="380">
        <v>0</v>
      </c>
      <c r="D8" s="381"/>
      <c r="E8" s="381"/>
      <c r="F8" s="381"/>
      <c r="G8" s="542">
        <v>282100</v>
      </c>
      <c r="H8" s="541">
        <v>3321500</v>
      </c>
      <c r="I8" s="541">
        <v>276791.66666666669</v>
      </c>
      <c r="J8" s="541">
        <v>7815.4290000000001</v>
      </c>
      <c r="K8" s="541">
        <v>118340431.07246362</v>
      </c>
      <c r="L8" s="541">
        <v>9861702.5893719681</v>
      </c>
      <c r="M8" s="542"/>
      <c r="N8" s="542"/>
      <c r="R8" s="139"/>
      <c r="S8" s="139"/>
      <c r="T8" s="139"/>
    </row>
    <row r="9" spans="1:20" x14ac:dyDescent="0.2">
      <c r="A9" s="11">
        <v>41671</v>
      </c>
      <c r="B9" s="380">
        <v>3.6040000000000001</v>
      </c>
      <c r="C9" s="380">
        <v>0</v>
      </c>
      <c r="D9" s="381"/>
      <c r="E9" s="381"/>
      <c r="F9" s="381"/>
      <c r="G9" s="542">
        <v>254800.00000000003</v>
      </c>
      <c r="H9" s="541">
        <v>3313800</v>
      </c>
      <c r="I9" s="541">
        <v>276150</v>
      </c>
      <c r="J9" s="541">
        <v>8116.7840000000006</v>
      </c>
      <c r="K9" s="541">
        <v>118332615.64346363</v>
      </c>
      <c r="L9" s="541">
        <v>9861051.3036219683</v>
      </c>
      <c r="M9" s="542"/>
      <c r="N9" s="542"/>
      <c r="R9" s="139"/>
      <c r="S9" s="139"/>
      <c r="T9" s="139"/>
    </row>
    <row r="10" spans="1:20" x14ac:dyDescent="0.2">
      <c r="A10" s="11">
        <v>41699</v>
      </c>
      <c r="B10" s="380">
        <v>0.26300000000000001</v>
      </c>
      <c r="C10" s="380">
        <v>0</v>
      </c>
      <c r="D10" s="381"/>
      <c r="E10" s="381"/>
      <c r="F10" s="381"/>
      <c r="G10" s="542">
        <v>282100</v>
      </c>
      <c r="H10" s="541">
        <v>3313800</v>
      </c>
      <c r="I10" s="541">
        <v>276150</v>
      </c>
      <c r="J10" s="541">
        <v>8654.1629999999986</v>
      </c>
      <c r="K10" s="541">
        <v>118324498.85946362</v>
      </c>
      <c r="L10" s="541">
        <v>9860374.9049553014</v>
      </c>
      <c r="M10" s="542"/>
      <c r="N10" s="542"/>
      <c r="R10" s="139"/>
      <c r="S10" s="139"/>
      <c r="T10" s="139"/>
    </row>
    <row r="11" spans="1:20" x14ac:dyDescent="0.2">
      <c r="A11" s="11">
        <v>41730</v>
      </c>
      <c r="B11" s="380">
        <v>8.3989999999999991</v>
      </c>
      <c r="C11" s="380">
        <v>0</v>
      </c>
      <c r="D11" s="381"/>
      <c r="E11" s="381"/>
      <c r="F11" s="381"/>
      <c r="G11" s="542">
        <v>273000.00000000006</v>
      </c>
      <c r="H11" s="541">
        <v>3313800</v>
      </c>
      <c r="I11" s="541">
        <v>276150</v>
      </c>
      <c r="J11" s="541">
        <v>9162.2239999999983</v>
      </c>
      <c r="K11" s="541">
        <v>118315844.69646363</v>
      </c>
      <c r="L11" s="541">
        <v>9859653.7247053031</v>
      </c>
      <c r="M11" s="542"/>
      <c r="N11" s="615">
        <v>3267480.841</v>
      </c>
      <c r="R11" s="139"/>
      <c r="S11" s="139"/>
      <c r="T11" s="139"/>
    </row>
    <row r="12" spans="1:20" x14ac:dyDescent="0.2">
      <c r="A12" s="11">
        <v>41760</v>
      </c>
      <c r="B12" s="380">
        <v>22.335000000000001</v>
      </c>
      <c r="C12" s="380">
        <v>30</v>
      </c>
      <c r="D12" s="381"/>
      <c r="E12" s="381"/>
      <c r="F12" s="381"/>
      <c r="G12" s="542">
        <v>282100</v>
      </c>
      <c r="H12" s="541">
        <v>3263090</v>
      </c>
      <c r="I12" s="541">
        <v>271924.16666666669</v>
      </c>
      <c r="J12" s="541">
        <v>9052.7349999999988</v>
      </c>
      <c r="K12" s="541">
        <v>89889.017000000007</v>
      </c>
      <c r="L12" s="541">
        <v>7490.751416666667</v>
      </c>
      <c r="M12" s="542"/>
      <c r="N12" s="542"/>
      <c r="R12" s="139"/>
      <c r="S12" s="139"/>
      <c r="T12" s="139"/>
    </row>
    <row r="13" spans="1:20" x14ac:dyDescent="0.2">
      <c r="A13" s="11">
        <v>41791</v>
      </c>
      <c r="B13" s="380">
        <v>14.836</v>
      </c>
      <c r="C13" s="380">
        <v>0</v>
      </c>
      <c r="D13" s="381"/>
      <c r="E13" s="381"/>
      <c r="F13" s="381"/>
      <c r="G13" s="542">
        <v>273000.00000000006</v>
      </c>
      <c r="H13" s="541">
        <v>3262530</v>
      </c>
      <c r="I13" s="541">
        <v>271877.5</v>
      </c>
      <c r="J13" s="541">
        <v>8839.8760000000002</v>
      </c>
      <c r="K13" s="541">
        <v>98728.893000000011</v>
      </c>
      <c r="L13" s="541">
        <v>8227.4077500000003</v>
      </c>
      <c r="M13" s="542"/>
      <c r="N13" s="542"/>
      <c r="R13" s="139"/>
      <c r="S13" s="139"/>
      <c r="T13" s="139"/>
    </row>
    <row r="14" spans="1:20" x14ac:dyDescent="0.2">
      <c r="A14" s="11">
        <v>41821</v>
      </c>
      <c r="B14" s="388">
        <v>27.087</v>
      </c>
      <c r="C14" s="388">
        <v>0</v>
      </c>
      <c r="D14" s="389"/>
      <c r="E14" s="389"/>
      <c r="F14" s="389"/>
      <c r="G14" s="542">
        <v>282100</v>
      </c>
      <c r="H14" s="541">
        <v>3262410</v>
      </c>
      <c r="I14" s="541">
        <v>271867.5</v>
      </c>
      <c r="J14" s="541">
        <v>8743.4669999999987</v>
      </c>
      <c r="K14" s="541">
        <v>99645.87000000001</v>
      </c>
      <c r="L14" s="541">
        <v>8303.8225000000002</v>
      </c>
      <c r="M14" s="542"/>
      <c r="N14" s="542"/>
      <c r="R14" s="139"/>
      <c r="S14" s="139"/>
      <c r="T14" s="139"/>
    </row>
    <row r="15" spans="1:20" x14ac:dyDescent="0.2">
      <c r="A15" s="11">
        <v>41852</v>
      </c>
      <c r="B15" s="388">
        <v>16.097000000000001</v>
      </c>
      <c r="C15" s="388">
        <v>0</v>
      </c>
      <c r="D15" s="389"/>
      <c r="E15" s="389"/>
      <c r="F15" s="389"/>
      <c r="G15" s="542">
        <v>282100</v>
      </c>
      <c r="H15" s="541">
        <v>3261310</v>
      </c>
      <c r="I15" s="541">
        <v>271775.83333333331</v>
      </c>
      <c r="J15" s="541">
        <v>9049.7170000000006</v>
      </c>
      <c r="K15" s="541">
        <v>101700.83700000001</v>
      </c>
      <c r="L15" s="541">
        <v>8475.0697500000006</v>
      </c>
      <c r="M15" s="542"/>
      <c r="N15" s="542"/>
    </row>
    <row r="16" spans="1:20" x14ac:dyDescent="0.2">
      <c r="A16" s="11">
        <v>41883</v>
      </c>
      <c r="B16" s="388">
        <v>4.0220000000000002</v>
      </c>
      <c r="C16" s="388">
        <v>0</v>
      </c>
      <c r="D16" s="389"/>
      <c r="E16" s="389"/>
      <c r="F16" s="389"/>
      <c r="G16" s="542">
        <v>273000.00000000006</v>
      </c>
      <c r="H16" s="541">
        <v>3262600</v>
      </c>
      <c r="I16" s="541">
        <v>271883.33333333331</v>
      </c>
      <c r="J16" s="541">
        <v>9364.152</v>
      </c>
      <c r="K16" s="541">
        <v>103139.51300000001</v>
      </c>
      <c r="L16" s="541">
        <v>8594.9594166666666</v>
      </c>
      <c r="M16" s="542"/>
      <c r="N16" s="542"/>
    </row>
    <row r="17" spans="1:15" x14ac:dyDescent="0.2">
      <c r="A17" s="11">
        <v>41913</v>
      </c>
      <c r="B17" s="388">
        <v>0.52600000000000002</v>
      </c>
      <c r="C17" s="388">
        <v>25</v>
      </c>
      <c r="D17" s="389"/>
      <c r="E17" s="389"/>
      <c r="F17" s="389"/>
      <c r="G17" s="542">
        <v>282100</v>
      </c>
      <c r="H17" s="541">
        <v>3248380</v>
      </c>
      <c r="I17" s="541">
        <v>270698.33333333331</v>
      </c>
      <c r="J17" s="541">
        <v>8630.5259999999998</v>
      </c>
      <c r="K17" s="541">
        <v>103731.81400000001</v>
      </c>
      <c r="L17" s="541">
        <v>8644.3178333333344</v>
      </c>
      <c r="M17" s="542"/>
      <c r="N17" s="542"/>
    </row>
    <row r="18" spans="1:15" x14ac:dyDescent="0.2">
      <c r="A18" s="11">
        <v>41944</v>
      </c>
      <c r="B18" s="392">
        <v>2.4750000000000001</v>
      </c>
      <c r="C18" s="392">
        <v>0</v>
      </c>
      <c r="D18" s="389"/>
      <c r="E18" s="389"/>
      <c r="F18" s="389"/>
      <c r="G18" s="542">
        <v>273000.00000000006</v>
      </c>
      <c r="H18" s="541">
        <v>3236080</v>
      </c>
      <c r="I18" s="541">
        <v>269673.33333333331</v>
      </c>
      <c r="J18" s="541">
        <v>10322.475</v>
      </c>
      <c r="K18" s="541">
        <v>105717.73600000002</v>
      </c>
      <c r="L18" s="541">
        <v>8809.8113333333349</v>
      </c>
      <c r="M18" s="542"/>
      <c r="N18" s="542"/>
    </row>
    <row r="19" spans="1:15" x14ac:dyDescent="0.2">
      <c r="A19" s="11">
        <v>41974</v>
      </c>
      <c r="B19" s="392">
        <v>2.5209999999999999</v>
      </c>
      <c r="C19" s="392">
        <v>0</v>
      </c>
      <c r="D19" s="389"/>
      <c r="E19" s="389"/>
      <c r="F19" s="389"/>
      <c r="G19" s="542">
        <v>282100</v>
      </c>
      <c r="H19" s="541">
        <v>3221780</v>
      </c>
      <c r="I19" s="541">
        <v>268481.66666666669</v>
      </c>
      <c r="J19" s="541">
        <v>9775.6810000000005</v>
      </c>
      <c r="K19" s="541">
        <v>107527.22899999999</v>
      </c>
      <c r="L19" s="541">
        <v>8960.6024166666666</v>
      </c>
      <c r="M19" s="542"/>
      <c r="N19" s="542"/>
    </row>
    <row r="20" spans="1:15" x14ac:dyDescent="0.2">
      <c r="A20" s="11">
        <v>42005</v>
      </c>
      <c r="B20" s="392">
        <v>4.6870000000000003</v>
      </c>
      <c r="C20" s="392">
        <v>0</v>
      </c>
      <c r="D20" s="389"/>
      <c r="E20" s="389"/>
      <c r="F20" s="389"/>
      <c r="G20" s="542">
        <v>282100</v>
      </c>
      <c r="H20" s="541">
        <v>3202970</v>
      </c>
      <c r="I20" s="541">
        <v>266914.16666666669</v>
      </c>
      <c r="J20" s="541">
        <v>9642.5069999999996</v>
      </c>
      <c r="K20" s="541">
        <v>109354.30699999999</v>
      </c>
      <c r="L20" s="541">
        <v>9112.8589166666661</v>
      </c>
      <c r="M20" s="542"/>
      <c r="N20" s="542"/>
    </row>
    <row r="21" spans="1:15" x14ac:dyDescent="0.2">
      <c r="A21" s="11">
        <v>42036</v>
      </c>
      <c r="B21" s="392">
        <v>14.617000000000001</v>
      </c>
      <c r="C21" s="388">
        <v>21</v>
      </c>
      <c r="D21" s="389"/>
      <c r="E21" s="389"/>
      <c r="F21" s="389"/>
      <c r="G21" s="542">
        <v>254800.00000000003</v>
      </c>
      <c r="H21" s="541">
        <v>3197770</v>
      </c>
      <c r="I21" s="541">
        <v>266480.83333333331</v>
      </c>
      <c r="J21" s="541">
        <v>9186.607</v>
      </c>
      <c r="K21" s="541">
        <v>110424.12999999999</v>
      </c>
      <c r="L21" s="541">
        <v>9202.0108333333319</v>
      </c>
      <c r="M21" s="542"/>
      <c r="N21" s="542"/>
    </row>
    <row r="22" spans="1:15" x14ac:dyDescent="0.2">
      <c r="A22" s="11">
        <v>42064</v>
      </c>
      <c r="B22" s="392">
        <v>4.3780000000000001</v>
      </c>
      <c r="C22" s="392">
        <v>0</v>
      </c>
      <c r="D22" s="389"/>
      <c r="E22" s="389"/>
      <c r="F22" s="389"/>
      <c r="G22" s="542">
        <v>282100</v>
      </c>
      <c r="H22" s="541">
        <v>3194950</v>
      </c>
      <c r="I22" s="541">
        <v>266245.83333333331</v>
      </c>
      <c r="J22" s="541">
        <v>9932.4680000000008</v>
      </c>
      <c r="K22" s="541">
        <v>111702.435</v>
      </c>
      <c r="L22" s="541">
        <v>9308.5362499999992</v>
      </c>
      <c r="M22" s="542"/>
      <c r="N22" s="542"/>
    </row>
    <row r="23" spans="1:15" x14ac:dyDescent="0.2">
      <c r="A23" s="11">
        <v>42095</v>
      </c>
      <c r="B23" s="392">
        <v>0.65</v>
      </c>
      <c r="C23" s="392">
        <v>0</v>
      </c>
      <c r="D23" s="389"/>
      <c r="E23" s="389"/>
      <c r="F23" s="389"/>
      <c r="G23" s="542">
        <v>265300</v>
      </c>
      <c r="H23" s="541">
        <v>3187250</v>
      </c>
      <c r="I23" s="541">
        <v>265604.16666666669</v>
      </c>
      <c r="J23" s="541">
        <v>9416.6099999999988</v>
      </c>
      <c r="K23" s="541">
        <v>111956.82100000001</v>
      </c>
      <c r="L23" s="541">
        <v>9329.7350833333348</v>
      </c>
      <c r="M23" s="542"/>
      <c r="N23" s="615">
        <v>3082079.0219979999</v>
      </c>
    </row>
    <row r="24" spans="1:15" x14ac:dyDescent="0.2">
      <c r="A24" s="11">
        <v>42125</v>
      </c>
      <c r="B24" s="392">
        <v>3.3570000000000002</v>
      </c>
      <c r="C24" s="392">
        <v>0</v>
      </c>
      <c r="D24" s="389"/>
      <c r="E24" s="389"/>
      <c r="F24" s="389"/>
      <c r="G24" s="542">
        <v>282100</v>
      </c>
      <c r="H24" s="541">
        <v>3186560</v>
      </c>
      <c r="I24" s="541">
        <v>265546.66666666669</v>
      </c>
      <c r="J24" s="541">
        <v>9854.4069999999992</v>
      </c>
      <c r="K24" s="541">
        <v>112758.49299999999</v>
      </c>
      <c r="L24" s="541">
        <v>9396.5410833333317</v>
      </c>
      <c r="M24" s="542"/>
      <c r="N24" s="542"/>
    </row>
    <row r="25" spans="1:15" x14ac:dyDescent="0.2">
      <c r="A25" s="11">
        <v>42156</v>
      </c>
      <c r="B25" s="392">
        <v>1.764</v>
      </c>
      <c r="C25" s="392">
        <v>0</v>
      </c>
      <c r="D25" s="389"/>
      <c r="E25" s="389"/>
      <c r="F25" s="389"/>
      <c r="G25" s="542">
        <v>273000.00000000006</v>
      </c>
      <c r="H25" s="541">
        <v>3154400</v>
      </c>
      <c r="I25" s="541">
        <v>262866.66666666669</v>
      </c>
      <c r="J25" s="541">
        <v>9162.2239999999983</v>
      </c>
      <c r="K25" s="541">
        <v>113080.841</v>
      </c>
      <c r="L25" s="541">
        <v>9423.4034166666661</v>
      </c>
      <c r="M25" s="542"/>
      <c r="N25" s="542"/>
      <c r="O25" s="354">
        <f>K25/H25</f>
        <v>3.584860544002029E-2</v>
      </c>
    </row>
    <row r="26" spans="1:15" x14ac:dyDescent="0.2">
      <c r="A26" s="11">
        <v>42186</v>
      </c>
      <c r="B26" s="380">
        <v>6.2E-2</v>
      </c>
      <c r="C26" s="380">
        <v>0</v>
      </c>
      <c r="D26" s="381"/>
      <c r="E26" s="381"/>
      <c r="F26" s="381"/>
      <c r="G26" s="542">
        <v>231390</v>
      </c>
      <c r="H26" s="541">
        <v>3143170</v>
      </c>
      <c r="I26" s="541">
        <v>261930.83333333334</v>
      </c>
      <c r="J26" s="541">
        <v>9430.9120000000003</v>
      </c>
      <c r="K26" s="541">
        <v>113768.28599999999</v>
      </c>
      <c r="L26" s="541">
        <v>9480.6904999999988</v>
      </c>
      <c r="M26" s="542"/>
      <c r="N26" s="542"/>
    </row>
    <row r="27" spans="1:15" x14ac:dyDescent="0.2">
      <c r="A27" s="11">
        <v>42217</v>
      </c>
      <c r="B27" s="380">
        <v>5.0060000000000002</v>
      </c>
      <c r="C27" s="380">
        <v>0</v>
      </c>
      <c r="D27" s="381"/>
      <c r="E27" s="381"/>
      <c r="F27" s="381"/>
      <c r="G27" s="542">
        <v>281540</v>
      </c>
      <c r="H27" s="541">
        <v>3121070</v>
      </c>
      <c r="I27" s="541">
        <v>260089.16666666666</v>
      </c>
      <c r="J27" s="541">
        <v>9002.3560000000016</v>
      </c>
      <c r="K27" s="541">
        <v>113720.92499999999</v>
      </c>
      <c r="L27" s="541">
        <v>9476.7437499999996</v>
      </c>
      <c r="M27" s="542"/>
      <c r="N27" s="542"/>
    </row>
    <row r="28" spans="1:15" x14ac:dyDescent="0.2">
      <c r="A28" s="11">
        <v>42248</v>
      </c>
      <c r="B28" s="380">
        <v>1.5780000000000001</v>
      </c>
      <c r="C28" s="380">
        <v>0</v>
      </c>
      <c r="D28" s="381"/>
      <c r="E28" s="381"/>
      <c r="F28" s="381"/>
      <c r="G28" s="542">
        <v>272880</v>
      </c>
      <c r="H28" s="541">
        <v>3109430</v>
      </c>
      <c r="I28" s="541">
        <v>259119.16666666666</v>
      </c>
      <c r="J28" s="541">
        <v>9863.3380000000016</v>
      </c>
      <c r="K28" s="541">
        <v>114220.11099999999</v>
      </c>
      <c r="L28" s="541">
        <v>9518.3425833333331</v>
      </c>
      <c r="M28" s="542"/>
      <c r="N28" s="542"/>
    </row>
    <row r="29" spans="1:15" x14ac:dyDescent="0.2">
      <c r="A29" s="11">
        <v>42278</v>
      </c>
      <c r="B29" s="380">
        <v>2.0419999999999998</v>
      </c>
      <c r="C29" s="380">
        <v>0</v>
      </c>
      <c r="D29" s="381"/>
      <c r="E29" s="381"/>
      <c r="F29" s="381"/>
      <c r="G29" s="542">
        <v>281000</v>
      </c>
      <c r="H29" s="541">
        <v>3088960</v>
      </c>
      <c r="I29" s="541">
        <v>257413.33333333334</v>
      </c>
      <c r="J29" s="541">
        <v>11068.052000000001</v>
      </c>
      <c r="K29" s="541">
        <v>116657.637</v>
      </c>
      <c r="L29" s="541">
        <v>9721.4697500000002</v>
      </c>
      <c r="M29" s="542"/>
      <c r="N29" s="542"/>
    </row>
    <row r="30" spans="1:15" x14ac:dyDescent="0.2">
      <c r="A30" s="11">
        <v>42309</v>
      </c>
      <c r="B30" s="380">
        <v>6.2E-2</v>
      </c>
      <c r="C30" s="380">
        <v>0</v>
      </c>
      <c r="D30" s="381"/>
      <c r="E30" s="381"/>
      <c r="F30" s="381"/>
      <c r="G30" s="542">
        <v>274289.99999999994</v>
      </c>
      <c r="H30" s="541">
        <v>3046700</v>
      </c>
      <c r="I30" s="541">
        <v>253891.66666666666</v>
      </c>
      <c r="J30" s="541">
        <v>9770.8719999999994</v>
      </c>
      <c r="K30" s="541">
        <v>116106.034</v>
      </c>
      <c r="L30" s="541">
        <v>9675.5028333333339</v>
      </c>
      <c r="M30" s="542"/>
      <c r="N30" s="542"/>
    </row>
    <row r="31" spans="1:15" x14ac:dyDescent="0.2">
      <c r="A31" s="11">
        <v>42339</v>
      </c>
      <c r="B31" s="380">
        <v>3.2240000000000002</v>
      </c>
      <c r="C31" s="380">
        <v>0</v>
      </c>
      <c r="D31" s="381"/>
      <c r="E31" s="381"/>
      <c r="F31" s="381"/>
      <c r="G31" s="542">
        <v>267880</v>
      </c>
      <c r="H31" s="541">
        <v>3050260</v>
      </c>
      <c r="I31" s="541">
        <v>254188.33333333334</v>
      </c>
      <c r="J31" s="541">
        <v>10575.174000000001</v>
      </c>
      <c r="K31" s="541">
        <v>116905.527</v>
      </c>
      <c r="L31" s="541">
        <v>9742.1272499999995</v>
      </c>
      <c r="M31" s="542"/>
      <c r="N31" s="542"/>
    </row>
    <row r="32" spans="1:15" x14ac:dyDescent="0.2">
      <c r="A32" s="11">
        <v>42370</v>
      </c>
      <c r="B32" s="380">
        <v>0.17</v>
      </c>
      <c r="C32" s="380">
        <v>20</v>
      </c>
      <c r="D32" s="381"/>
      <c r="E32" s="381"/>
      <c r="F32" s="381"/>
      <c r="G32" s="542">
        <v>269800</v>
      </c>
      <c r="H32" s="541">
        <v>3038140</v>
      </c>
      <c r="I32" s="541">
        <v>253178.33333333334</v>
      </c>
      <c r="J32" s="541">
        <v>10586.568332999999</v>
      </c>
      <c r="K32" s="541">
        <v>117849.58833299999</v>
      </c>
      <c r="L32" s="541">
        <v>9820.7990277499994</v>
      </c>
      <c r="M32" s="542"/>
      <c r="N32" s="542"/>
    </row>
    <row r="33" spans="1:14" x14ac:dyDescent="0.2">
      <c r="A33" s="11">
        <v>42401</v>
      </c>
      <c r="B33" s="380">
        <v>0.108</v>
      </c>
      <c r="C33" s="380">
        <v>0</v>
      </c>
      <c r="D33" s="381"/>
      <c r="E33" s="381"/>
      <c r="F33" s="381"/>
      <c r="G33" s="542">
        <v>240500</v>
      </c>
      <c r="H33" s="541">
        <v>3014040</v>
      </c>
      <c r="I33" s="541">
        <v>251170</v>
      </c>
      <c r="J33" s="541">
        <v>11001.106333000002</v>
      </c>
      <c r="K33" s="541">
        <v>119664.08766600001</v>
      </c>
      <c r="L33" s="541">
        <v>9972.0073055000012</v>
      </c>
      <c r="M33" s="542"/>
      <c r="N33" s="542"/>
    </row>
    <row r="34" spans="1:14" x14ac:dyDescent="0.2">
      <c r="A34" s="11">
        <v>42430</v>
      </c>
      <c r="B34" s="380">
        <v>1.4359999999999999</v>
      </c>
      <c r="C34" s="380">
        <v>0</v>
      </c>
      <c r="D34" s="381"/>
      <c r="E34" s="381"/>
      <c r="F34" s="381"/>
      <c r="G34" s="542">
        <v>263290</v>
      </c>
      <c r="H34" s="541">
        <v>2970500</v>
      </c>
      <c r="I34" s="541">
        <v>247541.66666666666</v>
      </c>
      <c r="J34" s="541">
        <v>9854.3443329999991</v>
      </c>
      <c r="K34" s="541">
        <v>119585.96399900001</v>
      </c>
      <c r="L34" s="541">
        <v>9965.4969999166678</v>
      </c>
      <c r="M34" s="542"/>
      <c r="N34" s="542"/>
    </row>
    <row r="35" spans="1:14" x14ac:dyDescent="0.2">
      <c r="A35" s="11">
        <v>42461</v>
      </c>
      <c r="B35" s="380">
        <v>1.764</v>
      </c>
      <c r="C35" s="380">
        <v>0</v>
      </c>
      <c r="D35" s="381"/>
      <c r="E35" s="381"/>
      <c r="F35" s="381"/>
      <c r="G35" s="542">
        <v>260100.00000000003</v>
      </c>
      <c r="H35" s="541">
        <v>2961320</v>
      </c>
      <c r="I35" s="541">
        <v>246776.66666666666</v>
      </c>
      <c r="J35" s="541">
        <v>9330.8423330000005</v>
      </c>
      <c r="K35" s="541">
        <v>119500.19633200002</v>
      </c>
      <c r="L35" s="541">
        <v>9958.3496943333357</v>
      </c>
      <c r="M35" s="542"/>
      <c r="N35" s="615">
        <v>3219886.242999</v>
      </c>
    </row>
    <row r="36" spans="1:14" x14ac:dyDescent="0.2">
      <c r="A36" s="11">
        <v>42491</v>
      </c>
      <c r="B36" s="380">
        <v>0</v>
      </c>
      <c r="C36" s="380">
        <v>9</v>
      </c>
      <c r="D36" s="381"/>
      <c r="E36" s="381"/>
      <c r="F36" s="381"/>
      <c r="G36" s="542">
        <v>279280.00000000006</v>
      </c>
      <c r="H36" s="541">
        <v>2956190</v>
      </c>
      <c r="I36" s="541">
        <v>246349.16666666666</v>
      </c>
      <c r="J36" s="541">
        <v>10285.648333000001</v>
      </c>
      <c r="K36" s="541">
        <v>119931.43766500002</v>
      </c>
      <c r="L36" s="541">
        <v>9994.286472083335</v>
      </c>
      <c r="M36" s="542"/>
      <c r="N36" s="542"/>
    </row>
    <row r="37" spans="1:14" x14ac:dyDescent="0.2">
      <c r="A37" s="11">
        <v>42522</v>
      </c>
      <c r="B37" s="380">
        <v>0</v>
      </c>
      <c r="C37" s="380">
        <v>0</v>
      </c>
      <c r="D37" s="381"/>
      <c r="E37" s="381"/>
      <c r="F37" s="381"/>
      <c r="G37" s="542">
        <v>265300</v>
      </c>
      <c r="H37" s="541">
        <v>2961040</v>
      </c>
      <c r="I37" s="541">
        <v>246753.33333333334</v>
      </c>
      <c r="J37" s="541">
        <v>10269.808333000001</v>
      </c>
      <c r="K37" s="541">
        <v>121039.02199800004</v>
      </c>
      <c r="L37" s="541">
        <v>10086.585166500003</v>
      </c>
      <c r="M37" s="542"/>
      <c r="N37" s="542"/>
    </row>
    <row r="38" spans="1:14" x14ac:dyDescent="0.2">
      <c r="A38" s="11">
        <v>42552</v>
      </c>
      <c r="B38" s="388">
        <v>0</v>
      </c>
      <c r="C38" s="388">
        <v>0</v>
      </c>
      <c r="D38" s="389"/>
      <c r="E38" s="389"/>
      <c r="F38" s="389"/>
      <c r="G38" s="542">
        <v>230700</v>
      </c>
      <c r="H38" s="541">
        <v>2959380</v>
      </c>
      <c r="I38" s="541">
        <v>246615</v>
      </c>
      <c r="J38" s="541">
        <v>10502.808333000001</v>
      </c>
      <c r="K38" s="541">
        <v>122110.91833100002</v>
      </c>
      <c r="L38" s="541">
        <v>10175.909860916669</v>
      </c>
      <c r="M38" s="542"/>
      <c r="N38" s="542"/>
    </row>
    <row r="39" spans="1:14" x14ac:dyDescent="0.2">
      <c r="A39" s="11">
        <v>42583</v>
      </c>
      <c r="B39" s="388">
        <v>0</v>
      </c>
      <c r="C39" s="388">
        <v>0</v>
      </c>
      <c r="D39" s="389"/>
      <c r="E39" s="389"/>
      <c r="F39" s="389"/>
      <c r="G39" s="542">
        <v>249380</v>
      </c>
      <c r="H39" s="541">
        <v>2971720</v>
      </c>
      <c r="I39" s="541">
        <v>247643.33333333334</v>
      </c>
      <c r="J39" s="541">
        <v>14837.308333000001</v>
      </c>
      <c r="K39" s="541">
        <v>127945.87066400002</v>
      </c>
      <c r="L39" s="541">
        <v>10662.155888666668</v>
      </c>
      <c r="M39" s="542"/>
      <c r="N39" s="542"/>
    </row>
    <row r="40" spans="1:14" x14ac:dyDescent="0.2">
      <c r="A40" s="11">
        <v>42614</v>
      </c>
      <c r="B40" s="388">
        <v>0</v>
      </c>
      <c r="C40" s="388">
        <v>0</v>
      </c>
      <c r="D40" s="389"/>
      <c r="E40" s="389"/>
      <c r="F40" s="389"/>
      <c r="G40" s="542">
        <v>261649.99999999997</v>
      </c>
      <c r="H40" s="541">
        <v>3001180</v>
      </c>
      <c r="I40" s="541">
        <v>250098.33333333334</v>
      </c>
      <c r="J40" s="541">
        <v>16991.118332999999</v>
      </c>
      <c r="K40" s="541">
        <v>135073.65099699999</v>
      </c>
      <c r="L40" s="541">
        <v>11256.137583083333</v>
      </c>
      <c r="M40" s="542"/>
      <c r="N40" s="542"/>
    </row>
    <row r="41" spans="1:14" x14ac:dyDescent="0.2">
      <c r="A41" s="11">
        <v>42644</v>
      </c>
      <c r="B41" s="388">
        <v>13.462</v>
      </c>
      <c r="C41" s="388">
        <v>0</v>
      </c>
      <c r="D41" s="389"/>
      <c r="E41" s="389"/>
      <c r="F41" s="389"/>
      <c r="G41" s="542">
        <v>258899.99999999997</v>
      </c>
      <c r="H41" s="541">
        <v>2990740</v>
      </c>
      <c r="I41" s="541">
        <v>249228.33333333334</v>
      </c>
      <c r="J41" s="541">
        <v>37604.270333333334</v>
      </c>
      <c r="K41" s="541">
        <v>161609.86933033331</v>
      </c>
      <c r="L41" s="541">
        <v>13467.48911086111</v>
      </c>
      <c r="M41" s="542"/>
      <c r="N41" s="542"/>
    </row>
    <row r="42" spans="1:14" x14ac:dyDescent="0.2">
      <c r="A42" s="11">
        <v>42675</v>
      </c>
      <c r="B42" s="392">
        <v>0</v>
      </c>
      <c r="C42" s="392">
        <v>0</v>
      </c>
      <c r="D42" s="389"/>
      <c r="E42" s="389"/>
      <c r="F42" s="389"/>
      <c r="G42" s="542">
        <v>262650</v>
      </c>
      <c r="H42" s="541">
        <v>3042530</v>
      </c>
      <c r="I42" s="541">
        <v>253544.16666666666</v>
      </c>
      <c r="J42" s="541">
        <v>37737.378333333334</v>
      </c>
      <c r="K42" s="541">
        <v>189576.37566366667</v>
      </c>
      <c r="L42" s="541">
        <v>15798.031305305556</v>
      </c>
      <c r="M42" s="542"/>
      <c r="N42" s="542"/>
    </row>
    <row r="43" spans="1:14" x14ac:dyDescent="0.2">
      <c r="A43" s="11">
        <v>42705</v>
      </c>
      <c r="B43" s="392">
        <v>0</v>
      </c>
      <c r="C43" s="392">
        <v>0</v>
      </c>
      <c r="D43" s="389"/>
      <c r="E43" s="389"/>
      <c r="F43" s="389"/>
      <c r="G43" s="542">
        <v>247410.00000000003</v>
      </c>
      <c r="H43" s="541">
        <v>3019510</v>
      </c>
      <c r="I43" s="541">
        <v>251625.83333333334</v>
      </c>
      <c r="J43" s="541">
        <v>31453.458333333332</v>
      </c>
      <c r="K43" s="541">
        <v>210454.65999700001</v>
      </c>
      <c r="L43" s="541">
        <v>17537.888333083334</v>
      </c>
      <c r="M43" s="542"/>
      <c r="N43" s="542"/>
    </row>
    <row r="44" spans="1:14" x14ac:dyDescent="0.2">
      <c r="A44" s="11">
        <v>42736</v>
      </c>
      <c r="B44" s="392">
        <f>8231/1000</f>
        <v>8.2309999999999999</v>
      </c>
      <c r="C44" s="392">
        <v>0</v>
      </c>
      <c r="D44" s="389"/>
      <c r="E44" s="389"/>
      <c r="F44" s="389"/>
      <c r="G44" s="542">
        <v>227540.00000000003</v>
      </c>
      <c r="H44" s="541">
        <v>3005050</v>
      </c>
      <c r="I44" s="541">
        <v>250420.83333333334</v>
      </c>
      <c r="J44" s="541">
        <v>31178.126</v>
      </c>
      <c r="K44" s="541">
        <v>231046.217664</v>
      </c>
      <c r="L44" s="541">
        <v>19253.851471999998</v>
      </c>
      <c r="M44" s="542"/>
      <c r="N44" s="542"/>
    </row>
    <row r="45" spans="1:14" x14ac:dyDescent="0.2">
      <c r="A45" s="11">
        <v>42767</v>
      </c>
      <c r="B45" s="392">
        <v>0</v>
      </c>
      <c r="C45" s="388">
        <v>0</v>
      </c>
      <c r="D45" s="389"/>
      <c r="E45" s="389"/>
      <c r="F45" s="389"/>
      <c r="G45" s="542">
        <v>244060</v>
      </c>
      <c r="H45" s="541">
        <v>2971970</v>
      </c>
      <c r="I45" s="541">
        <v>247664.16666666666</v>
      </c>
      <c r="J45" s="541">
        <v>36839.375</v>
      </c>
      <c r="K45" s="541">
        <v>256884.48633100002</v>
      </c>
      <c r="L45" s="541">
        <v>21407.040527583336</v>
      </c>
      <c r="M45" s="542"/>
      <c r="N45" s="542"/>
    </row>
    <row r="46" spans="1:14" x14ac:dyDescent="0.2">
      <c r="A46" s="11">
        <v>42795</v>
      </c>
      <c r="B46" s="392">
        <v>0</v>
      </c>
      <c r="C46" s="392">
        <v>0</v>
      </c>
      <c r="D46" s="389"/>
      <c r="E46" s="389"/>
      <c r="F46" s="389"/>
      <c r="G46" s="542">
        <v>251170</v>
      </c>
      <c r="H46" s="541">
        <v>2945900</v>
      </c>
      <c r="I46" s="541">
        <v>245491.66666666666</v>
      </c>
      <c r="J46" s="541">
        <v>41006.945</v>
      </c>
      <c r="K46" s="541">
        <v>288037.08699799998</v>
      </c>
      <c r="L46" s="541">
        <v>24003.090583166664</v>
      </c>
      <c r="M46" s="542"/>
      <c r="N46" s="542"/>
    </row>
    <row r="47" spans="1:14" x14ac:dyDescent="0.2">
      <c r="A47" s="11">
        <v>42826</v>
      </c>
      <c r="B47" s="392">
        <v>0</v>
      </c>
      <c r="C47" s="392">
        <v>0</v>
      </c>
      <c r="D47" s="389">
        <f>0.34*1900</f>
        <v>646</v>
      </c>
      <c r="E47" s="389">
        <f>0.13*40</f>
        <v>5.2</v>
      </c>
      <c r="F47" s="389">
        <f>0.15*60</f>
        <v>9</v>
      </c>
      <c r="G47" s="542">
        <v>236000</v>
      </c>
      <c r="H47" s="541">
        <v>2902670</v>
      </c>
      <c r="I47" s="541">
        <v>241889.16666666666</v>
      </c>
      <c r="J47" s="541">
        <v>38228.275000000001</v>
      </c>
      <c r="K47" s="541">
        <v>316934.51966500003</v>
      </c>
      <c r="L47" s="541">
        <v>26411.209972083336</v>
      </c>
      <c r="M47" s="542"/>
      <c r="N47" s="615">
        <v>1887682.6965999999</v>
      </c>
    </row>
    <row r="48" spans="1:14" x14ac:dyDescent="0.2">
      <c r="A48" s="11">
        <v>42856</v>
      </c>
      <c r="B48" s="392">
        <f>29-8-13</f>
        <v>8</v>
      </c>
      <c r="C48" s="392">
        <v>0</v>
      </c>
      <c r="D48" s="389"/>
      <c r="E48" s="389"/>
      <c r="F48" s="389"/>
      <c r="G48" s="542">
        <v>235740</v>
      </c>
      <c r="H48" s="541">
        <v>2892760</v>
      </c>
      <c r="I48" s="541">
        <v>241063.33333333334</v>
      </c>
      <c r="J48" s="541">
        <v>41486.305</v>
      </c>
      <c r="K48" s="541">
        <v>348135.176332</v>
      </c>
      <c r="L48" s="541">
        <v>29011.264694333335</v>
      </c>
      <c r="M48" s="542"/>
      <c r="N48" s="542"/>
    </row>
    <row r="49" spans="1:14" x14ac:dyDescent="0.2">
      <c r="A49" s="11">
        <v>42887</v>
      </c>
      <c r="B49" s="392">
        <v>0</v>
      </c>
      <c r="C49" s="392">
        <v>0</v>
      </c>
      <c r="D49" s="389">
        <f>0.34*1000</f>
        <v>340</v>
      </c>
      <c r="E49" s="389"/>
      <c r="F49" s="389"/>
      <c r="G49" s="542">
        <v>256120</v>
      </c>
      <c r="H49" s="541">
        <v>2844560</v>
      </c>
      <c r="I49" s="541">
        <v>237046.66666666666</v>
      </c>
      <c r="J49" s="541">
        <v>37460.875</v>
      </c>
      <c r="K49" s="541">
        <v>375326.24299900001</v>
      </c>
      <c r="L49" s="541">
        <v>31277.186916583334</v>
      </c>
      <c r="M49" s="542"/>
      <c r="N49" s="542"/>
    </row>
    <row r="50" spans="1:14" x14ac:dyDescent="0.2">
      <c r="A50" s="11">
        <v>42917</v>
      </c>
      <c r="B50" s="380">
        <v>2.5680000000000001</v>
      </c>
      <c r="C50" s="380">
        <v>3</v>
      </c>
      <c r="D50" s="381"/>
      <c r="E50" s="381"/>
      <c r="F50" s="381"/>
      <c r="G50" s="542">
        <v>225570</v>
      </c>
      <c r="H50" s="541">
        <v>2781320</v>
      </c>
      <c r="I50" s="541">
        <v>231776.66666666666</v>
      </c>
      <c r="J50" s="541">
        <v>34185.103000000003</v>
      </c>
      <c r="K50" s="541">
        <v>399008.53766600002</v>
      </c>
      <c r="L50" s="541">
        <v>33250.711472166666</v>
      </c>
      <c r="M50" s="542"/>
      <c r="N50" s="542"/>
    </row>
    <row r="51" spans="1:14" x14ac:dyDescent="0.2">
      <c r="A51" s="11">
        <v>42948</v>
      </c>
      <c r="B51" s="380">
        <v>0</v>
      </c>
      <c r="C51" s="380">
        <v>0</v>
      </c>
      <c r="D51" s="381">
        <f>0.34*700</f>
        <v>238.00000000000003</v>
      </c>
      <c r="E51" s="381">
        <f>0.13*300</f>
        <v>39</v>
      </c>
      <c r="F51" s="381"/>
      <c r="G51" s="542">
        <v>254230.00000000003</v>
      </c>
      <c r="H51" s="541">
        <v>2715780</v>
      </c>
      <c r="I51" s="541">
        <v>226315</v>
      </c>
      <c r="J51" s="541">
        <v>32706.875</v>
      </c>
      <c r="K51" s="541">
        <v>416878.10433300002</v>
      </c>
      <c r="L51" s="541">
        <v>34739.842027750004</v>
      </c>
      <c r="M51" s="542"/>
      <c r="N51" s="542"/>
    </row>
    <row r="52" spans="1:14" x14ac:dyDescent="0.2">
      <c r="A52" s="11">
        <v>42979</v>
      </c>
      <c r="B52" s="380">
        <v>3.4340000000000002</v>
      </c>
      <c r="C52" s="380">
        <v>0</v>
      </c>
      <c r="D52" s="381"/>
      <c r="E52" s="381"/>
      <c r="F52" s="381"/>
      <c r="G52" s="542">
        <v>259990</v>
      </c>
      <c r="H52" s="541">
        <v>2657430</v>
      </c>
      <c r="I52" s="541">
        <v>221452.5</v>
      </c>
      <c r="J52" s="541">
        <v>38999.434000000001</v>
      </c>
      <c r="K52" s="541">
        <v>438886.42000000004</v>
      </c>
      <c r="L52" s="541">
        <v>36573.868333333339</v>
      </c>
      <c r="M52" s="542"/>
      <c r="N52" s="542"/>
    </row>
    <row r="53" spans="1:14" x14ac:dyDescent="0.2">
      <c r="A53" s="11">
        <v>43009</v>
      </c>
      <c r="B53" s="380">
        <v>0</v>
      </c>
      <c r="C53" s="380">
        <v>7</v>
      </c>
      <c r="D53" s="381"/>
      <c r="E53" s="381"/>
      <c r="F53" s="381"/>
      <c r="G53" s="542">
        <v>271240.00000000006</v>
      </c>
      <c r="H53" s="541">
        <v>2654610</v>
      </c>
      <c r="I53" s="541">
        <v>221217.5</v>
      </c>
      <c r="J53" s="541">
        <v>38805.31</v>
      </c>
      <c r="K53" s="541">
        <v>440087.45966666663</v>
      </c>
      <c r="L53" s="541">
        <v>36673.954972222222</v>
      </c>
      <c r="M53" s="542"/>
      <c r="N53" s="542"/>
    </row>
    <row r="54" spans="1:14" x14ac:dyDescent="0.2">
      <c r="A54" s="11">
        <v>43040</v>
      </c>
      <c r="B54" s="380">
        <v>2.0110000000000001</v>
      </c>
      <c r="C54" s="380">
        <v>0</v>
      </c>
      <c r="D54" s="381">
        <f>0.34*700</f>
        <v>238.00000000000003</v>
      </c>
      <c r="E54" s="381">
        <f>0.13*300</f>
        <v>39</v>
      </c>
      <c r="F54" s="381"/>
      <c r="G54" s="542">
        <v>292110</v>
      </c>
      <c r="H54" s="541">
        <v>2375280</v>
      </c>
      <c r="I54" s="541">
        <v>197940</v>
      </c>
      <c r="J54" s="541">
        <v>47988.010999999999</v>
      </c>
      <c r="K54" s="541">
        <v>450338.09233333333</v>
      </c>
      <c r="L54" s="541">
        <v>37528.174361111109</v>
      </c>
      <c r="M54" s="542"/>
      <c r="N54" s="542"/>
    </row>
    <row r="55" spans="1:14" x14ac:dyDescent="0.2">
      <c r="A55" s="11">
        <v>43070</v>
      </c>
      <c r="B55" s="380">
        <v>0</v>
      </c>
      <c r="C55" s="380">
        <v>0</v>
      </c>
      <c r="D55" s="381">
        <f>0.34*500</f>
        <v>170</v>
      </c>
      <c r="E55" s="381"/>
      <c r="F55" s="381">
        <f>0.15*500</f>
        <v>75</v>
      </c>
      <c r="G55" s="542">
        <v>236970</v>
      </c>
      <c r="H55" s="541">
        <v>2154240</v>
      </c>
      <c r="I55" s="541">
        <v>179520</v>
      </c>
      <c r="J55" s="541">
        <v>50223.96</v>
      </c>
      <c r="K55" s="541">
        <v>469108.59399999998</v>
      </c>
      <c r="L55" s="541">
        <v>39092.382833333329</v>
      </c>
      <c r="M55" s="542"/>
      <c r="N55" s="542"/>
    </row>
    <row r="56" spans="1:14" x14ac:dyDescent="0.2">
      <c r="A56" s="11">
        <v>43101</v>
      </c>
      <c r="B56" s="380">
        <v>0</v>
      </c>
      <c r="C56" s="380">
        <v>0</v>
      </c>
      <c r="D56" s="381"/>
      <c r="E56" s="381"/>
      <c r="F56" s="381"/>
      <c r="G56" s="542">
        <v>279330</v>
      </c>
      <c r="H56" s="541">
        <v>2185086.1425999999</v>
      </c>
      <c r="I56" s="541">
        <v>182090.51188333333</v>
      </c>
      <c r="J56" s="541">
        <v>41304.300000000003</v>
      </c>
      <c r="K56" s="541">
        <v>479234.76799999998</v>
      </c>
      <c r="L56" s="541">
        <v>39936.230666666663</v>
      </c>
      <c r="M56" s="542"/>
      <c r="N56" s="542"/>
    </row>
    <row r="57" spans="1:14" x14ac:dyDescent="0.2">
      <c r="A57" s="11">
        <v>43132</v>
      </c>
      <c r="B57" s="380">
        <v>0</v>
      </c>
      <c r="C57" s="380">
        <v>0</v>
      </c>
      <c r="D57" s="381"/>
      <c r="E57" s="381"/>
      <c r="F57" s="381"/>
      <c r="G57" s="542">
        <v>221040</v>
      </c>
      <c r="H57" s="541">
        <v>1982166.1425999999</v>
      </c>
      <c r="I57" s="541">
        <v>165180.51188333333</v>
      </c>
      <c r="J57" s="541">
        <v>34758.300000000003</v>
      </c>
      <c r="K57" s="541">
        <v>477153.69299999997</v>
      </c>
      <c r="L57" s="541">
        <v>39762.80775</v>
      </c>
      <c r="M57" s="542"/>
      <c r="N57" s="542"/>
    </row>
    <row r="58" spans="1:14" x14ac:dyDescent="0.2">
      <c r="A58" s="11">
        <v>43160</v>
      </c>
      <c r="B58" s="380">
        <v>0</v>
      </c>
      <c r="C58" s="380">
        <v>7</v>
      </c>
      <c r="D58" s="381"/>
      <c r="E58" s="381"/>
      <c r="F58" s="381"/>
      <c r="G58" s="542">
        <v>236710</v>
      </c>
      <c r="H58" s="541">
        <v>1772496.1425999999</v>
      </c>
      <c r="I58" s="541">
        <v>147708.01188333333</v>
      </c>
      <c r="J58" s="541">
        <v>41500.699999999997</v>
      </c>
      <c r="K58" s="541">
        <v>477647.44800000003</v>
      </c>
      <c r="L58" s="541">
        <v>39803.954000000005</v>
      </c>
      <c r="M58" s="542"/>
      <c r="N58" s="542"/>
    </row>
    <row r="59" spans="1:14" x14ac:dyDescent="0.2">
      <c r="A59" s="11">
        <v>43191</v>
      </c>
      <c r="B59" s="380">
        <v>11.510999999999999</v>
      </c>
      <c r="C59" s="380">
        <v>0</v>
      </c>
      <c r="D59" s="381"/>
      <c r="E59" s="381">
        <f>0.13*(1000+1600)</f>
        <v>338</v>
      </c>
      <c r="F59" s="381">
        <f>0.15*(1000+400)</f>
        <v>210</v>
      </c>
      <c r="G59" s="542">
        <v>202920</v>
      </c>
      <c r="H59" s="541">
        <v>1559606.1425999999</v>
      </c>
      <c r="I59" s="541">
        <v>129967.17855</v>
      </c>
      <c r="J59" s="541">
        <v>47230.911</v>
      </c>
      <c r="K59" s="541">
        <v>486650.08400000003</v>
      </c>
      <c r="L59" s="541">
        <v>40554.173666666669</v>
      </c>
      <c r="M59" s="542"/>
      <c r="N59" s="615">
        <v>84454.3</v>
      </c>
    </row>
    <row r="60" spans="1:14" x14ac:dyDescent="0.2">
      <c r="A60" s="11">
        <v>43221</v>
      </c>
      <c r="B60" s="380">
        <v>0</v>
      </c>
      <c r="C60" s="380">
        <v>0</v>
      </c>
      <c r="D60" s="381"/>
      <c r="E60" s="381"/>
      <c r="F60" s="381"/>
      <c r="G60" s="542">
        <v>209670</v>
      </c>
      <c r="H60" s="541">
        <v>1523966.1425999999</v>
      </c>
      <c r="I60" s="541">
        <v>126997.17855</v>
      </c>
      <c r="J60" s="541">
        <v>67920</v>
      </c>
      <c r="K60" s="541">
        <v>513083.77900000004</v>
      </c>
      <c r="L60" s="541">
        <v>42756.981583333334</v>
      </c>
      <c r="M60" s="542"/>
      <c r="N60" s="542"/>
    </row>
    <row r="61" spans="1:14" x14ac:dyDescent="0.2">
      <c r="A61" s="11">
        <v>43252</v>
      </c>
      <c r="B61" s="380">
        <v>0</v>
      </c>
      <c r="C61" s="380">
        <v>0</v>
      </c>
      <c r="D61" s="381"/>
      <c r="E61" s="381"/>
      <c r="F61" s="381"/>
      <c r="G61" s="542">
        <v>212890</v>
      </c>
      <c r="H61" s="541">
        <v>1317936.1425999999</v>
      </c>
      <c r="I61" s="541">
        <v>109828.01188333333</v>
      </c>
      <c r="J61" s="541">
        <v>94123.65</v>
      </c>
      <c r="K61" s="541">
        <v>569746.554</v>
      </c>
      <c r="L61" s="541">
        <v>47478.879500000003</v>
      </c>
      <c r="M61" s="542"/>
      <c r="N61" s="542"/>
    </row>
    <row r="62" spans="1:14" x14ac:dyDescent="0.2">
      <c r="A62" s="11">
        <v>43282</v>
      </c>
      <c r="B62" s="388">
        <v>0</v>
      </c>
      <c r="C62" s="388">
        <v>0</v>
      </c>
      <c r="D62" s="389">
        <v>0</v>
      </c>
      <c r="E62" s="389">
        <f>0.13*800</f>
        <v>104</v>
      </c>
      <c r="F62" s="389">
        <f>0.15*200</f>
        <v>30</v>
      </c>
      <c r="G62" s="542">
        <v>215660</v>
      </c>
      <c r="H62" s="541">
        <v>1121186.1425999999</v>
      </c>
      <c r="I62" s="541">
        <v>93432.178549999997</v>
      </c>
      <c r="J62" s="541">
        <v>44290.8</v>
      </c>
      <c r="K62" s="541">
        <v>579852.25100000005</v>
      </c>
      <c r="L62" s="541">
        <v>48321.020916666668</v>
      </c>
      <c r="M62" s="542"/>
      <c r="N62" s="542"/>
    </row>
    <row r="63" spans="1:14" x14ac:dyDescent="0.2">
      <c r="A63" s="11">
        <v>43313</v>
      </c>
      <c r="B63" s="388">
        <v>0</v>
      </c>
      <c r="C63" s="388">
        <v>0</v>
      </c>
      <c r="D63" s="389">
        <v>0</v>
      </c>
      <c r="E63" s="389">
        <v>0</v>
      </c>
      <c r="F63" s="389">
        <v>0</v>
      </c>
      <c r="G63" s="542">
        <v>206030</v>
      </c>
      <c r="H63" s="541">
        <v>1223383.9226000002</v>
      </c>
      <c r="I63" s="541">
        <v>101948.66021666669</v>
      </c>
      <c r="J63" s="541">
        <v>42851.4</v>
      </c>
      <c r="K63" s="541">
        <v>589996.77600000007</v>
      </c>
      <c r="L63" s="541">
        <v>49166.398000000008</v>
      </c>
      <c r="M63" s="542"/>
      <c r="N63" s="542"/>
    </row>
    <row r="64" spans="1:14" x14ac:dyDescent="0.2">
      <c r="A64" s="11">
        <v>43344</v>
      </c>
      <c r="B64" s="388">
        <v>0.186</v>
      </c>
      <c r="C64" s="388">
        <v>14</v>
      </c>
      <c r="D64" s="389">
        <v>0</v>
      </c>
      <c r="E64" s="389">
        <v>0</v>
      </c>
      <c r="F64" s="389">
        <v>0</v>
      </c>
      <c r="G64" s="542">
        <v>196750</v>
      </c>
      <c r="H64" s="541">
        <v>2781320</v>
      </c>
      <c r="I64" s="541">
        <v>231776.66666666666</v>
      </c>
      <c r="J64" s="541">
        <v>88281.695999999996</v>
      </c>
      <c r="K64" s="541">
        <v>639279.03799999994</v>
      </c>
      <c r="L64" s="541">
        <v>53273.253166666662</v>
      </c>
      <c r="M64" s="542"/>
      <c r="N64" s="542"/>
    </row>
    <row r="65" spans="1:14" x14ac:dyDescent="0.2">
      <c r="A65" s="11">
        <v>43374</v>
      </c>
      <c r="B65" s="388">
        <v>0</v>
      </c>
      <c r="C65" s="388">
        <v>0</v>
      </c>
      <c r="D65" s="389"/>
      <c r="E65" s="389"/>
      <c r="F65" s="389"/>
      <c r="G65" s="542">
        <v>205700</v>
      </c>
      <c r="H65" s="541">
        <v>2715780</v>
      </c>
      <c r="I65" s="541">
        <v>226315</v>
      </c>
      <c r="J65" s="541">
        <v>50819.95</v>
      </c>
      <c r="K65" s="541">
        <v>651293.67800000007</v>
      </c>
      <c r="L65" s="541">
        <v>54274.47316666667</v>
      </c>
      <c r="M65" s="542"/>
      <c r="N65" s="542"/>
    </row>
    <row r="66" spans="1:14" x14ac:dyDescent="0.2">
      <c r="A66" s="11">
        <v>43405</v>
      </c>
      <c r="B66" s="392">
        <v>0.44900000000000001</v>
      </c>
      <c r="C66" s="392">
        <v>0</v>
      </c>
      <c r="D66" s="389"/>
      <c r="E66" s="389">
        <f>0.13*2000</f>
        <v>260</v>
      </c>
      <c r="F66" s="389"/>
      <c r="G66" s="542">
        <v>233760</v>
      </c>
      <c r="H66" s="541">
        <v>2657430</v>
      </c>
      <c r="I66" s="541">
        <v>221452.5</v>
      </c>
      <c r="J66" s="541">
        <v>74759.599000000002</v>
      </c>
      <c r="K66" s="541">
        <v>678065.26599999995</v>
      </c>
      <c r="L66" s="541">
        <v>56505.438833333326</v>
      </c>
      <c r="M66" s="542"/>
      <c r="N66" s="542"/>
    </row>
    <row r="67" spans="1:14" x14ac:dyDescent="0.2">
      <c r="A67" s="11">
        <v>43435</v>
      </c>
      <c r="B67" s="392">
        <v>0.186</v>
      </c>
      <c r="C67" s="392">
        <v>20</v>
      </c>
      <c r="D67" s="389"/>
      <c r="E67" s="389"/>
      <c r="F67" s="389"/>
      <c r="G67" s="542">
        <v>234150</v>
      </c>
      <c r="H67" s="541">
        <v>2654610</v>
      </c>
      <c r="I67" s="541">
        <v>221217.5</v>
      </c>
      <c r="J67" s="541">
        <v>106520.58600000001</v>
      </c>
      <c r="K67" s="541">
        <v>734361.89200000011</v>
      </c>
      <c r="L67" s="541">
        <v>61196.824333333345</v>
      </c>
      <c r="M67" s="542"/>
      <c r="N67" s="542">
        <v>78.186000000000007</v>
      </c>
    </row>
    <row r="68" spans="1:14" x14ac:dyDescent="0.2">
      <c r="A68" s="11">
        <v>43466</v>
      </c>
      <c r="B68" s="392">
        <v>0</v>
      </c>
      <c r="C68" s="392">
        <v>0</v>
      </c>
      <c r="D68" s="389"/>
      <c r="E68" s="389"/>
      <c r="F68" s="389"/>
      <c r="G68" s="541">
        <v>0</v>
      </c>
      <c r="H68" s="541">
        <v>0</v>
      </c>
      <c r="I68" s="541">
        <v>115765</v>
      </c>
      <c r="J68" s="541">
        <v>1891588.3981833332</v>
      </c>
      <c r="K68" s="541">
        <v>157632.36651527777</v>
      </c>
      <c r="L68" s="542"/>
      <c r="M68" s="542">
        <v>689.5</v>
      </c>
      <c r="N68" s="541">
        <v>689.5</v>
      </c>
    </row>
    <row r="69" spans="1:14" x14ac:dyDescent="0.2">
      <c r="A69" s="11">
        <v>43497</v>
      </c>
      <c r="B69" s="392">
        <v>3.9449999999999998</v>
      </c>
      <c r="C69" s="388">
        <v>3</v>
      </c>
      <c r="D69" s="389"/>
      <c r="E69" s="389"/>
      <c r="F69" s="389"/>
      <c r="G69" s="541">
        <v>0</v>
      </c>
      <c r="H69" s="541">
        <v>204315.61740000002</v>
      </c>
      <c r="I69" s="541">
        <v>19532030.253000002</v>
      </c>
      <c r="J69" s="541">
        <v>1627669.1877500003</v>
      </c>
      <c r="K69" s="542"/>
      <c r="L69" s="542">
        <v>390</v>
      </c>
      <c r="M69" s="541">
        <v>493721.39716666669</v>
      </c>
      <c r="N69" s="541">
        <v>41143.449763888893</v>
      </c>
    </row>
    <row r="70" spans="1:14" x14ac:dyDescent="0.2">
      <c r="A70" s="11">
        <v>43525</v>
      </c>
      <c r="B70" s="392">
        <v>0</v>
      </c>
      <c r="C70" s="392">
        <v>0</v>
      </c>
      <c r="D70" s="389"/>
      <c r="E70" s="389"/>
      <c r="F70" s="389"/>
      <c r="G70" s="541">
        <v>267556.14260000002</v>
      </c>
      <c r="H70" s="541">
        <v>2185086.1425999999</v>
      </c>
      <c r="I70" s="541">
        <v>182090.51188333333</v>
      </c>
      <c r="J70" s="542"/>
      <c r="K70" s="542">
        <v>180</v>
      </c>
      <c r="L70" s="541">
        <v>5600141.6845152779</v>
      </c>
      <c r="M70" s="541">
        <v>466678.47370960651</v>
      </c>
      <c r="N70" s="541">
        <v>2675656.7970833331</v>
      </c>
    </row>
    <row r="71" spans="1:14" x14ac:dyDescent="0.2">
      <c r="A71" s="11">
        <v>43556</v>
      </c>
      <c r="B71" s="392">
        <v>1.47</v>
      </c>
      <c r="C71" s="392">
        <v>18</v>
      </c>
      <c r="D71" s="389"/>
      <c r="E71" s="389"/>
      <c r="F71" s="389"/>
      <c r="G71" s="541">
        <v>0</v>
      </c>
      <c r="H71" s="541">
        <v>0</v>
      </c>
      <c r="I71" s="542">
        <v>-1</v>
      </c>
      <c r="J71" s="542">
        <v>8380</v>
      </c>
      <c r="K71" s="541">
        <v>4097205.2669333331</v>
      </c>
      <c r="L71" s="541">
        <v>341433.77224444441</v>
      </c>
      <c r="M71" s="541">
        <v>45909.760000000002</v>
      </c>
      <c r="N71" s="541">
        <v>1006999.1308762731</v>
      </c>
    </row>
    <row r="72" spans="1:14" x14ac:dyDescent="0.2">
      <c r="A72" s="11">
        <v>43586</v>
      </c>
      <c r="B72" s="392">
        <v>1.841</v>
      </c>
      <c r="C72" s="392">
        <v>0</v>
      </c>
      <c r="D72" s="389"/>
      <c r="E72" s="389"/>
      <c r="F72" s="389"/>
      <c r="G72" s="541">
        <v>0</v>
      </c>
      <c r="H72" s="542"/>
      <c r="I72" s="542">
        <v>18316</v>
      </c>
      <c r="J72" s="541">
        <v>21054171.282200001</v>
      </c>
      <c r="K72" s="541">
        <v>1754514.2735166668</v>
      </c>
      <c r="L72" s="541">
        <v>47338.690999999999</v>
      </c>
      <c r="M72" s="541">
        <v>6359520.4356763884</v>
      </c>
      <c r="N72" s="541">
        <v>529960.03630636574</v>
      </c>
    </row>
    <row r="73" spans="1:14" x14ac:dyDescent="0.2">
      <c r="A73" s="11">
        <v>43617</v>
      </c>
      <c r="B73" s="392">
        <v>0</v>
      </c>
      <c r="C73" s="392">
        <v>0</v>
      </c>
      <c r="D73" s="389"/>
      <c r="E73" s="389"/>
      <c r="F73" s="389"/>
      <c r="G73" s="542"/>
      <c r="H73" s="542">
        <v>38325</v>
      </c>
      <c r="I73" s="541">
        <v>15581436.825200001</v>
      </c>
      <c r="J73" s="541">
        <v>1298453.0687666668</v>
      </c>
      <c r="K73" s="541">
        <v>46129.3</v>
      </c>
      <c r="L73" s="541">
        <v>9928510.1079652775</v>
      </c>
      <c r="M73" s="541">
        <v>827375.84233043983</v>
      </c>
      <c r="N73" s="542"/>
    </row>
    <row r="74" spans="1:14" x14ac:dyDescent="0.2">
      <c r="A74" s="11">
        <v>43647</v>
      </c>
      <c r="B74" s="380">
        <v>20.067</v>
      </c>
      <c r="C74" s="380">
        <v>0</v>
      </c>
      <c r="D74" s="381"/>
      <c r="E74" s="381"/>
      <c r="F74" s="381"/>
      <c r="G74" s="542">
        <v>180019.99999999997</v>
      </c>
      <c r="H74" s="541">
        <v>1523966.1425999999</v>
      </c>
      <c r="I74" s="541">
        <v>126997.17855</v>
      </c>
      <c r="J74" s="541">
        <v>57730.107000000004</v>
      </c>
      <c r="K74" s="541">
        <v>26301225.274900004</v>
      </c>
      <c r="L74" s="541">
        <v>2191768.7729083337</v>
      </c>
      <c r="M74" s="542"/>
      <c r="N74" s="542">
        <v>20.067</v>
      </c>
    </row>
    <row r="75" spans="1:14" x14ac:dyDescent="0.2">
      <c r="A75" s="11">
        <v>43678</v>
      </c>
      <c r="B75" s="380">
        <v>0</v>
      </c>
      <c r="C75" s="380">
        <v>0</v>
      </c>
      <c r="D75" s="381"/>
      <c r="E75" s="381"/>
      <c r="F75" s="381"/>
      <c r="G75" s="541">
        <v>0</v>
      </c>
      <c r="H75" s="541">
        <v>0</v>
      </c>
      <c r="I75" s="541">
        <v>115861.29999999999</v>
      </c>
      <c r="J75" s="541">
        <v>36573257.735299997</v>
      </c>
      <c r="K75" s="541">
        <v>3047771.4779416663</v>
      </c>
      <c r="L75" s="542"/>
      <c r="M75" s="542">
        <v>369.1</v>
      </c>
      <c r="N75" s="541">
        <v>8194264.5088831009</v>
      </c>
    </row>
    <row r="76" spans="1:14" x14ac:dyDescent="0.2">
      <c r="A76" s="11">
        <v>43709</v>
      </c>
      <c r="B76" s="380">
        <v>0.78900000000000003</v>
      </c>
      <c r="C76" s="380">
        <v>20</v>
      </c>
      <c r="D76" s="381"/>
      <c r="E76" s="381"/>
      <c r="F76" s="381"/>
      <c r="G76" s="541">
        <v>0</v>
      </c>
      <c r="H76" s="541">
        <v>295175.28899999999</v>
      </c>
      <c r="I76" s="541">
        <v>12274688.1916</v>
      </c>
      <c r="J76" s="541">
        <v>1022890.6826333334</v>
      </c>
      <c r="K76" s="542"/>
      <c r="L76" s="542">
        <v>549</v>
      </c>
      <c r="M76" s="541">
        <v>18282108.764966667</v>
      </c>
      <c r="N76" s="541">
        <v>1523509.0637472223</v>
      </c>
    </row>
    <row r="77" spans="1:14" x14ac:dyDescent="0.2">
      <c r="A77" s="11">
        <v>43739</v>
      </c>
      <c r="B77" s="380">
        <v>15.38</v>
      </c>
      <c r="C77" s="380">
        <v>9</v>
      </c>
      <c r="D77" s="381">
        <v>0</v>
      </c>
      <c r="E77" s="381">
        <v>0</v>
      </c>
      <c r="F77" s="381">
        <v>0</v>
      </c>
      <c r="G77" s="541">
        <v>307897.78000000003</v>
      </c>
      <c r="H77" s="541">
        <v>1223383.9226000002</v>
      </c>
      <c r="I77" s="541">
        <v>101948.66021666669</v>
      </c>
      <c r="J77" s="542"/>
      <c r="K77" s="542">
        <v>286</v>
      </c>
      <c r="L77" s="541">
        <v>36817371.117806949</v>
      </c>
      <c r="M77" s="541">
        <v>3068114.2598172459</v>
      </c>
      <c r="N77" s="541">
        <v>1710161.142816667</v>
      </c>
    </row>
    <row r="78" spans="1:14" x14ac:dyDescent="0.2">
      <c r="A78" s="11">
        <v>43770</v>
      </c>
      <c r="B78" s="380">
        <v>3.4</v>
      </c>
      <c r="C78" s="380">
        <v>6</v>
      </c>
      <c r="D78" s="381"/>
      <c r="E78" s="381"/>
      <c r="F78" s="381"/>
      <c r="G78" s="541">
        <v>0</v>
      </c>
      <c r="H78" s="541">
        <v>0</v>
      </c>
      <c r="I78" s="542"/>
      <c r="J78" s="542">
        <v>12137</v>
      </c>
      <c r="K78" s="541">
        <v>63652798.047833331</v>
      </c>
      <c r="L78" s="541">
        <v>5304399.8373194439</v>
      </c>
      <c r="M78" s="541">
        <v>64863.5</v>
      </c>
      <c r="N78" s="541">
        <v>29609351.033667013</v>
      </c>
    </row>
    <row r="79" spans="1:14" x14ac:dyDescent="0.2">
      <c r="A79" s="11">
        <v>43800</v>
      </c>
      <c r="B79" s="380">
        <v>5.57</v>
      </c>
      <c r="C79" s="380">
        <v>11</v>
      </c>
      <c r="D79" s="381"/>
      <c r="E79" s="381"/>
      <c r="F79" s="381"/>
      <c r="G79" s="541">
        <v>0</v>
      </c>
      <c r="H79" s="542"/>
      <c r="I79" s="542">
        <v>14624</v>
      </c>
      <c r="J79" s="541">
        <v>48063756.920450002</v>
      </c>
      <c r="K79" s="541">
        <v>4005313.0767041668</v>
      </c>
      <c r="L79" s="541">
        <v>77551.5</v>
      </c>
      <c r="M79" s="541">
        <v>60309454.483759724</v>
      </c>
      <c r="N79" s="541">
        <v>5025787.8736466439</v>
      </c>
    </row>
    <row r="80" spans="1:14" x14ac:dyDescent="0.2">
      <c r="A80" s="11">
        <v>43831</v>
      </c>
      <c r="B80" s="380">
        <v>0</v>
      </c>
      <c r="C80" s="380">
        <v>0</v>
      </c>
      <c r="D80" s="381"/>
      <c r="E80" s="381"/>
      <c r="F80" s="381"/>
      <c r="G80" s="542"/>
      <c r="H80" s="542">
        <v>28801</v>
      </c>
      <c r="I80" s="541">
        <v>5499053.1141999997</v>
      </c>
      <c r="J80" s="541">
        <v>458254.42618333333</v>
      </c>
      <c r="K80" s="541">
        <v>75785.350000000006</v>
      </c>
      <c r="L80" s="541">
        <v>102981208.06782916</v>
      </c>
      <c r="M80" s="541">
        <v>8581767.3389857635</v>
      </c>
      <c r="N80" s="542"/>
    </row>
    <row r="81" spans="1:14" x14ac:dyDescent="0.2">
      <c r="A81" s="11">
        <v>43862</v>
      </c>
      <c r="B81" s="380">
        <v>0</v>
      </c>
      <c r="C81" s="380">
        <v>0</v>
      </c>
      <c r="D81" s="381"/>
      <c r="E81" s="381"/>
      <c r="F81" s="381"/>
      <c r="G81" s="542"/>
      <c r="H81" s="541"/>
      <c r="J81" s="541"/>
      <c r="K81" s="541"/>
      <c r="M81" s="542"/>
      <c r="N81" s="542"/>
    </row>
    <row r="82" spans="1:14" x14ac:dyDescent="0.2">
      <c r="A82" s="11">
        <v>43891</v>
      </c>
      <c r="B82" s="380">
        <v>0</v>
      </c>
      <c r="C82" s="380">
        <v>0</v>
      </c>
      <c r="D82" s="381"/>
      <c r="E82" s="381"/>
      <c r="F82" s="381"/>
      <c r="G82" s="542"/>
      <c r="H82" s="541"/>
      <c r="J82" s="541"/>
      <c r="K82" s="541"/>
      <c r="M82" s="542"/>
      <c r="N82" s="542"/>
    </row>
    <row r="83" spans="1:14" x14ac:dyDescent="0.2">
      <c r="A83" s="11">
        <v>43922</v>
      </c>
      <c r="B83" s="380">
        <v>0</v>
      </c>
      <c r="C83" s="380">
        <v>0</v>
      </c>
      <c r="D83" s="381"/>
      <c r="E83" s="381"/>
      <c r="F83" s="381"/>
      <c r="G83" s="542"/>
      <c r="H83" s="541"/>
      <c r="J83" s="541"/>
      <c r="K83" s="541"/>
      <c r="M83" s="542"/>
      <c r="N83" s="542"/>
    </row>
    <row r="84" spans="1:14" x14ac:dyDescent="0.2">
      <c r="A84" s="11">
        <v>43952</v>
      </c>
      <c r="B84" s="380">
        <v>10.829000000000001</v>
      </c>
      <c r="C84" s="380">
        <v>2</v>
      </c>
      <c r="D84" s="381"/>
      <c r="E84" s="381"/>
      <c r="F84" s="381"/>
      <c r="G84" s="542"/>
      <c r="H84" s="541"/>
      <c r="J84" s="541"/>
      <c r="K84" s="541"/>
      <c r="M84" s="542"/>
      <c r="N84" s="542"/>
    </row>
    <row r="85" spans="1:14" x14ac:dyDescent="0.2">
      <c r="A85" s="11">
        <v>43983</v>
      </c>
      <c r="B85" s="380">
        <v>10.52</v>
      </c>
      <c r="C85" s="380">
        <v>0</v>
      </c>
      <c r="D85" s="381"/>
      <c r="E85" s="381"/>
      <c r="F85" s="381"/>
      <c r="G85" s="542"/>
      <c r="H85" s="541"/>
      <c r="J85" s="541"/>
      <c r="K85" s="541"/>
      <c r="M85" s="542"/>
      <c r="N85" s="542"/>
    </row>
    <row r="86" spans="1:14" x14ac:dyDescent="0.2">
      <c r="A86" s="11">
        <v>44013</v>
      </c>
      <c r="B86" s="392">
        <v>0.85099999999999998</v>
      </c>
      <c r="C86" s="392">
        <v>6</v>
      </c>
      <c r="D86" s="393"/>
      <c r="E86" s="393"/>
      <c r="F86" s="393"/>
      <c r="G86" s="542"/>
      <c r="H86" s="541"/>
      <c r="J86" s="541"/>
      <c r="K86" s="541"/>
      <c r="M86" s="542"/>
      <c r="N86" s="542"/>
    </row>
    <row r="87" spans="1:14" x14ac:dyDescent="0.2">
      <c r="A87" s="11">
        <v>44044</v>
      </c>
      <c r="B87" s="392">
        <v>0</v>
      </c>
      <c r="C87" s="392">
        <v>0</v>
      </c>
      <c r="D87" s="393"/>
      <c r="E87" s="393"/>
      <c r="F87" s="393"/>
      <c r="G87" s="542"/>
      <c r="H87" s="541"/>
      <c r="J87" s="541"/>
      <c r="K87" s="541"/>
      <c r="M87" s="542"/>
      <c r="N87" s="542"/>
    </row>
    <row r="88" spans="1:14" x14ac:dyDescent="0.2">
      <c r="A88" s="11">
        <v>44075</v>
      </c>
      <c r="B88" s="392">
        <v>0.78900000000000003</v>
      </c>
      <c r="C88" s="392">
        <v>0</v>
      </c>
      <c r="D88" s="393"/>
      <c r="E88" s="393"/>
      <c r="F88" s="393"/>
      <c r="G88" s="542"/>
      <c r="H88" s="541"/>
      <c r="J88" s="541"/>
      <c r="K88" s="541"/>
      <c r="M88" s="542"/>
      <c r="N88" s="542"/>
    </row>
    <row r="89" spans="1:14" x14ac:dyDescent="0.2">
      <c r="A89" s="11">
        <v>44105</v>
      </c>
      <c r="B89" s="392">
        <v>0</v>
      </c>
      <c r="C89" s="392">
        <v>6</v>
      </c>
      <c r="D89" s="393"/>
      <c r="E89" s="393"/>
      <c r="F89" s="393"/>
      <c r="G89" s="542"/>
      <c r="H89" s="541"/>
      <c r="J89" s="541"/>
      <c r="K89" s="541"/>
      <c r="M89" s="542"/>
      <c r="N89" s="542"/>
    </row>
    <row r="90" spans="1:14" x14ac:dyDescent="0.2">
      <c r="A90" s="11">
        <v>44136</v>
      </c>
      <c r="B90" s="392">
        <v>0.46400000000000002</v>
      </c>
      <c r="C90" s="392">
        <v>7</v>
      </c>
      <c r="D90" s="393"/>
      <c r="E90" s="393"/>
      <c r="F90" s="393"/>
      <c r="G90" s="542"/>
      <c r="H90" s="541"/>
      <c r="J90" s="541"/>
      <c r="K90" s="541"/>
      <c r="M90" s="542"/>
      <c r="N90" s="542"/>
    </row>
    <row r="91" spans="1:14" x14ac:dyDescent="0.2">
      <c r="A91" s="11">
        <v>44166</v>
      </c>
      <c r="B91" s="392">
        <v>0.92800000000000005</v>
      </c>
      <c r="C91" s="392">
        <v>0</v>
      </c>
      <c r="D91" s="393"/>
      <c r="E91" s="393"/>
      <c r="F91" s="393"/>
      <c r="G91" s="542"/>
      <c r="H91" s="541"/>
      <c r="J91" s="541"/>
      <c r="K91" s="541"/>
      <c r="M91" s="542"/>
      <c r="N91" s="542"/>
    </row>
    <row r="92" spans="1:14" x14ac:dyDescent="0.2">
      <c r="A92" s="11">
        <v>44197</v>
      </c>
      <c r="B92" s="392">
        <v>4.6399999999999997</v>
      </c>
      <c r="C92" s="392">
        <v>0</v>
      </c>
      <c r="D92" s="393"/>
      <c r="E92" s="393"/>
      <c r="F92" s="393"/>
      <c r="G92" s="542"/>
      <c r="H92" s="541"/>
      <c r="J92" s="541"/>
      <c r="K92" s="541"/>
      <c r="M92" s="542"/>
      <c r="N92" s="542"/>
    </row>
    <row r="93" spans="1:14" x14ac:dyDescent="0.2">
      <c r="A93" s="11">
        <v>44228</v>
      </c>
      <c r="B93" s="392">
        <v>3.911</v>
      </c>
      <c r="C93" s="392">
        <v>0</v>
      </c>
      <c r="D93" s="393"/>
      <c r="E93" s="393"/>
      <c r="F93" s="393"/>
      <c r="G93" s="542"/>
      <c r="H93" s="541"/>
      <c r="J93" s="541"/>
      <c r="K93" s="541"/>
      <c r="M93" s="542"/>
      <c r="N93" s="542"/>
    </row>
    <row r="94" spans="1:14" x14ac:dyDescent="0.2">
      <c r="A94" s="11">
        <v>44256</v>
      </c>
      <c r="B94" s="392">
        <v>4.3630000000000004</v>
      </c>
      <c r="C94" s="392">
        <v>0</v>
      </c>
      <c r="D94" s="393"/>
      <c r="E94" s="393"/>
      <c r="F94" s="393"/>
      <c r="G94" s="542"/>
      <c r="H94" s="541"/>
      <c r="J94" s="541"/>
      <c r="K94" s="541"/>
      <c r="M94" s="542"/>
      <c r="N94" s="542"/>
    </row>
    <row r="95" spans="1:14" x14ac:dyDescent="0.2">
      <c r="A95" s="11">
        <v>44287</v>
      </c>
      <c r="B95" s="392">
        <v>0.35599999999999998</v>
      </c>
      <c r="C95" s="392">
        <v>0</v>
      </c>
      <c r="D95" s="393"/>
      <c r="E95" s="393"/>
      <c r="F95" s="393"/>
      <c r="G95" s="542"/>
      <c r="H95" s="541"/>
      <c r="J95" s="541"/>
      <c r="K95" s="541"/>
      <c r="M95" s="542"/>
      <c r="N95" s="542"/>
    </row>
    <row r="96" spans="1:14" x14ac:dyDescent="0.2">
      <c r="A96" s="11">
        <v>44317</v>
      </c>
      <c r="B96" s="392">
        <v>5.415</v>
      </c>
      <c r="C96" s="392">
        <v>0</v>
      </c>
      <c r="D96" s="393"/>
      <c r="E96" s="393"/>
      <c r="F96" s="393"/>
      <c r="G96" s="542"/>
      <c r="H96" s="541"/>
      <c r="J96" s="541"/>
      <c r="K96" s="541"/>
      <c r="M96" s="542"/>
      <c r="N96" s="542"/>
    </row>
    <row r="97" spans="1:14" x14ac:dyDescent="0.2">
      <c r="A97" s="11">
        <v>44348</v>
      </c>
      <c r="B97" s="392">
        <v>3.8679999999999999</v>
      </c>
      <c r="C97" s="392">
        <v>0</v>
      </c>
      <c r="D97" s="393"/>
      <c r="E97" s="393"/>
      <c r="F97" s="393"/>
      <c r="G97" s="542">
        <v>111190</v>
      </c>
      <c r="H97" s="541">
        <v>111190</v>
      </c>
      <c r="I97" s="541">
        <v>9265.8333333333339</v>
      </c>
      <c r="J97" s="541">
        <v>92885.967999999993</v>
      </c>
      <c r="K97" s="541">
        <v>92885.967999999993</v>
      </c>
      <c r="L97" s="541">
        <v>7740.4973333333328</v>
      </c>
      <c r="M97" s="542"/>
      <c r="N97" s="615">
        <v>204075.96799999999</v>
      </c>
    </row>
    <row r="98" spans="1:14" x14ac:dyDescent="0.2">
      <c r="A98" s="11">
        <v>44378</v>
      </c>
      <c r="B98" s="380">
        <v>3.8679999999999999</v>
      </c>
      <c r="C98" s="380">
        <v>0</v>
      </c>
      <c r="D98" s="381"/>
      <c r="E98" s="381"/>
      <c r="F98" s="381"/>
      <c r="G98" s="542">
        <v>117730</v>
      </c>
      <c r="H98" s="541">
        <v>228920</v>
      </c>
      <c r="I98" s="541">
        <v>19076.666666666668</v>
      </c>
      <c r="J98" s="541">
        <v>99787.217999999993</v>
      </c>
      <c r="K98" s="541">
        <v>192673.18599999999</v>
      </c>
      <c r="L98" s="541">
        <v>16056.098833333332</v>
      </c>
      <c r="M98" s="542"/>
      <c r="N98" s="542"/>
    </row>
    <row r="99" spans="1:14" x14ac:dyDescent="0.2">
      <c r="A99" s="11">
        <v>44409</v>
      </c>
      <c r="B99" s="380">
        <v>0.20300000000000001</v>
      </c>
      <c r="C99" s="380">
        <v>0</v>
      </c>
      <c r="D99" s="381"/>
      <c r="E99" s="381"/>
      <c r="F99" s="381"/>
      <c r="G99" s="542">
        <v>132220</v>
      </c>
      <c r="H99" s="541">
        <v>361140</v>
      </c>
      <c r="I99" s="541">
        <v>30095</v>
      </c>
      <c r="J99" s="541">
        <v>106308.09299999999</v>
      </c>
      <c r="K99" s="541">
        <v>298981.27899999998</v>
      </c>
      <c r="L99" s="541">
        <v>24915.10658333333</v>
      </c>
      <c r="M99" s="542"/>
      <c r="N99" s="542"/>
    </row>
    <row r="100" spans="1:14" x14ac:dyDescent="0.2">
      <c r="A100" s="11">
        <v>44440</v>
      </c>
      <c r="B100" s="380">
        <v>0</v>
      </c>
      <c r="C100" s="380">
        <v>0</v>
      </c>
      <c r="D100" s="381"/>
      <c r="E100" s="381"/>
      <c r="F100" s="381"/>
      <c r="G100" s="542">
        <v>154490</v>
      </c>
      <c r="H100" s="541">
        <v>515630</v>
      </c>
      <c r="I100" s="541">
        <v>42969.166666666664</v>
      </c>
      <c r="J100" s="541">
        <v>98591.05</v>
      </c>
      <c r="K100" s="541">
        <v>397572.32899999997</v>
      </c>
      <c r="L100" s="541">
        <v>33131.027416666664</v>
      </c>
      <c r="M100" s="542"/>
      <c r="N100" s="542"/>
    </row>
    <row r="101" spans="1:14" x14ac:dyDescent="0.2">
      <c r="A101" s="11">
        <v>44470</v>
      </c>
      <c r="B101" s="380">
        <v>0</v>
      </c>
      <c r="C101" s="380">
        <v>0</v>
      </c>
      <c r="D101" s="381"/>
      <c r="E101" s="381"/>
      <c r="F101" s="381"/>
      <c r="G101" s="542">
        <v>143570</v>
      </c>
      <c r="H101" s="541">
        <v>659200</v>
      </c>
      <c r="I101" s="541">
        <v>54933.333333333336</v>
      </c>
      <c r="J101" s="541">
        <v>111552.35</v>
      </c>
      <c r="K101" s="541">
        <v>509124.679</v>
      </c>
      <c r="L101" s="541">
        <v>42427.056583333331</v>
      </c>
      <c r="M101" s="542"/>
      <c r="N101" s="542"/>
    </row>
    <row r="102" spans="1:14" x14ac:dyDescent="0.2">
      <c r="A102" s="11">
        <v>44501</v>
      </c>
      <c r="B102" s="380">
        <v>0.77400000000000002</v>
      </c>
      <c r="C102" s="380">
        <v>0</v>
      </c>
      <c r="D102" s="381"/>
      <c r="E102" s="381"/>
      <c r="F102" s="381"/>
      <c r="G102" s="542">
        <v>144810</v>
      </c>
      <c r="H102" s="541">
        <v>804010</v>
      </c>
      <c r="I102" s="541">
        <v>67000.833333333328</v>
      </c>
      <c r="J102" s="541">
        <v>107433.38399999999</v>
      </c>
      <c r="K102" s="541">
        <v>616558.06299999997</v>
      </c>
      <c r="L102" s="541">
        <v>51379.83858333333</v>
      </c>
      <c r="M102" s="542"/>
      <c r="N102" s="542"/>
    </row>
    <row r="103" spans="1:14" x14ac:dyDescent="0.2">
      <c r="A103" s="11">
        <v>44531</v>
      </c>
      <c r="B103" s="380">
        <v>0.38700000000000001</v>
      </c>
      <c r="C103" s="380">
        <v>0</v>
      </c>
      <c r="D103" s="381"/>
      <c r="E103" s="381"/>
      <c r="F103" s="381"/>
      <c r="G103" s="542">
        <v>143687</v>
      </c>
      <c r="H103" s="541">
        <v>947697</v>
      </c>
      <c r="I103" s="541">
        <v>78974.75</v>
      </c>
      <c r="J103" s="541">
        <v>108138.23699999999</v>
      </c>
      <c r="K103" s="541">
        <v>724696.29999999993</v>
      </c>
      <c r="L103" s="541">
        <v>60391.35833333333</v>
      </c>
      <c r="M103" s="542"/>
      <c r="N103" s="542"/>
    </row>
    <row r="104" spans="1:14" x14ac:dyDescent="0.2">
      <c r="A104" s="11">
        <v>44562</v>
      </c>
      <c r="B104" s="380">
        <v>0</v>
      </c>
      <c r="C104" s="380">
        <v>0</v>
      </c>
      <c r="D104" s="381"/>
      <c r="E104" s="381"/>
      <c r="F104" s="381"/>
      <c r="G104" s="542">
        <v>144020</v>
      </c>
      <c r="H104" s="541">
        <v>1091717</v>
      </c>
      <c r="I104" s="541">
        <v>90976.416666666672</v>
      </c>
      <c r="J104" s="541">
        <v>105774.65</v>
      </c>
      <c r="K104" s="541">
        <v>830470.95</v>
      </c>
      <c r="L104" s="541">
        <v>69205.912499999991</v>
      </c>
      <c r="M104" s="542"/>
      <c r="N104" s="542"/>
    </row>
    <row r="105" spans="1:14" x14ac:dyDescent="0.2">
      <c r="A105" s="11">
        <v>44593</v>
      </c>
      <c r="B105" s="380">
        <v>0.371</v>
      </c>
      <c r="C105" s="380">
        <v>0</v>
      </c>
      <c r="D105" s="381"/>
      <c r="E105" s="381"/>
      <c r="F105" s="381"/>
      <c r="G105" s="542">
        <v>110360</v>
      </c>
      <c r="H105" s="541">
        <v>1202077</v>
      </c>
      <c r="I105" s="541">
        <v>100173.08333333333</v>
      </c>
      <c r="J105" s="541">
        <v>64836.481</v>
      </c>
      <c r="K105" s="541">
        <v>895307.43099999998</v>
      </c>
      <c r="L105" s="541">
        <v>74608.952583333332</v>
      </c>
      <c r="M105" s="542"/>
      <c r="N105" s="542"/>
    </row>
    <row r="106" spans="1:14" x14ac:dyDescent="0.2">
      <c r="A106" s="11">
        <v>44621</v>
      </c>
      <c r="B106" s="380">
        <v>0</v>
      </c>
      <c r="C106" s="380">
        <v>0</v>
      </c>
      <c r="D106" s="381"/>
      <c r="E106" s="381"/>
      <c r="F106" s="381"/>
      <c r="G106" s="542">
        <v>112280</v>
      </c>
      <c r="H106" s="541">
        <v>1314357</v>
      </c>
      <c r="I106" s="541">
        <v>109529.75</v>
      </c>
      <c r="J106" s="541">
        <v>74307.149999999994</v>
      </c>
      <c r="K106" s="541">
        <v>969614.58100000001</v>
      </c>
      <c r="L106" s="541">
        <v>80801.215083333329</v>
      </c>
      <c r="M106" s="542"/>
      <c r="N106" s="542"/>
    </row>
    <row r="107" spans="1:14" x14ac:dyDescent="0.2">
      <c r="A107" s="11">
        <v>44652</v>
      </c>
      <c r="B107" s="380">
        <v>4.641</v>
      </c>
      <c r="C107" s="380">
        <v>0</v>
      </c>
      <c r="D107" s="381"/>
      <c r="E107" s="381"/>
      <c r="F107" s="381"/>
      <c r="G107" s="542">
        <v>109680</v>
      </c>
      <c r="H107" s="541">
        <v>1424037</v>
      </c>
      <c r="I107" s="541">
        <v>118669.75</v>
      </c>
      <c r="J107" s="541">
        <v>80531.380999999994</v>
      </c>
      <c r="K107" s="541">
        <v>1050145.9620000001</v>
      </c>
      <c r="L107" s="541">
        <v>87512.16350000001</v>
      </c>
      <c r="M107" s="542"/>
      <c r="N107" s="542"/>
    </row>
    <row r="108" spans="1:14" x14ac:dyDescent="0.2">
      <c r="A108" s="11">
        <v>44682</v>
      </c>
      <c r="B108" s="380">
        <v>0</v>
      </c>
      <c r="C108" s="380">
        <v>0</v>
      </c>
      <c r="D108" s="381"/>
      <c r="E108" s="381"/>
      <c r="F108" s="381"/>
      <c r="G108" s="542">
        <v>128780</v>
      </c>
      <c r="H108" s="541">
        <v>1552817</v>
      </c>
      <c r="I108" s="541">
        <v>129401.41666666667</v>
      </c>
      <c r="J108" s="541">
        <v>90153.35</v>
      </c>
      <c r="K108" s="541">
        <v>1140299.3120000002</v>
      </c>
      <c r="L108" s="541">
        <v>95024.942666666684</v>
      </c>
      <c r="M108" s="542"/>
      <c r="N108" s="542"/>
    </row>
    <row r="109" spans="1:14" x14ac:dyDescent="0.2">
      <c r="A109" s="11">
        <v>44713</v>
      </c>
      <c r="B109" s="380">
        <v>0</v>
      </c>
      <c r="C109" s="380">
        <v>0</v>
      </c>
      <c r="D109" s="381"/>
      <c r="E109" s="381"/>
      <c r="F109" s="381"/>
      <c r="G109" s="542">
        <v>133160</v>
      </c>
      <c r="H109" s="541">
        <v>1574787</v>
      </c>
      <c r="I109" s="541">
        <v>131232.25</v>
      </c>
      <c r="J109" s="541">
        <v>89542.8</v>
      </c>
      <c r="K109" s="541">
        <v>1136956.1439999999</v>
      </c>
      <c r="L109" s="541">
        <v>94746.345333333316</v>
      </c>
      <c r="M109" s="542"/>
      <c r="N109" s="615">
        <v>2711743.1439999999</v>
      </c>
    </row>
    <row r="110" spans="1:14" x14ac:dyDescent="0.2">
      <c r="A110" s="11">
        <v>44743</v>
      </c>
      <c r="B110" s="392">
        <v>0</v>
      </c>
      <c r="C110" s="392">
        <v>0</v>
      </c>
      <c r="D110" s="393"/>
      <c r="E110" s="393"/>
      <c r="F110" s="393"/>
      <c r="G110" s="542">
        <v>133830</v>
      </c>
      <c r="H110" s="541">
        <v>1590887</v>
      </c>
      <c r="I110" s="541">
        <v>132573.91666666666</v>
      </c>
      <c r="J110" s="541">
        <v>81459.95</v>
      </c>
      <c r="K110" s="541">
        <v>1118628.8760000002</v>
      </c>
      <c r="L110" s="541">
        <v>93219.073000000019</v>
      </c>
      <c r="M110" s="542"/>
      <c r="N110" s="542"/>
    </row>
    <row r="111" spans="1:14" x14ac:dyDescent="0.2">
      <c r="A111" s="11">
        <v>44774</v>
      </c>
      <c r="B111" s="392">
        <v>0</v>
      </c>
      <c r="C111" s="392">
        <v>0</v>
      </c>
      <c r="D111" s="393"/>
      <c r="E111" s="393"/>
      <c r="F111" s="393"/>
      <c r="G111" s="542">
        <v>142600</v>
      </c>
      <c r="H111" s="541">
        <v>1601267</v>
      </c>
      <c r="I111" s="541">
        <v>133438.91666666666</v>
      </c>
      <c r="J111" s="541">
        <v>97312.25</v>
      </c>
      <c r="K111" s="541">
        <v>1109633.0329999998</v>
      </c>
      <c r="L111" s="541">
        <v>92469.419416666657</v>
      </c>
      <c r="M111" s="542"/>
      <c r="N111" s="542"/>
    </row>
    <row r="112" spans="1:14" x14ac:dyDescent="0.2">
      <c r="A112" s="11">
        <v>44805</v>
      </c>
      <c r="B112" s="392">
        <v>0</v>
      </c>
      <c r="C112" s="392">
        <v>0</v>
      </c>
      <c r="D112" s="393"/>
      <c r="E112" s="393"/>
      <c r="F112" s="393"/>
      <c r="G112" s="542">
        <v>173160</v>
      </c>
      <c r="H112" s="541">
        <v>1619937</v>
      </c>
      <c r="I112" s="541">
        <v>134994.75</v>
      </c>
      <c r="J112" s="541">
        <v>102162.85</v>
      </c>
      <c r="K112" s="541">
        <v>1113204.8330000001</v>
      </c>
      <c r="L112" s="541">
        <v>92767.06941666668</v>
      </c>
      <c r="M112" s="542"/>
      <c r="N112" s="542"/>
    </row>
    <row r="113" spans="1:23" x14ac:dyDescent="0.2">
      <c r="A113" s="11">
        <v>44835</v>
      </c>
      <c r="B113" s="392">
        <v>0</v>
      </c>
      <c r="C113" s="392">
        <v>0</v>
      </c>
      <c r="D113" s="393"/>
      <c r="E113" s="393"/>
      <c r="F113" s="393"/>
      <c r="G113" s="542">
        <v>168060</v>
      </c>
      <c r="H113" s="541">
        <v>1644427</v>
      </c>
      <c r="I113" s="541">
        <v>137035.58333333334</v>
      </c>
      <c r="J113" s="541">
        <v>106460.55</v>
      </c>
      <c r="K113" s="541">
        <v>1108113.0330000001</v>
      </c>
      <c r="L113" s="541">
        <v>92342.75275</v>
      </c>
      <c r="M113" s="542"/>
      <c r="N113" s="542"/>
    </row>
    <row r="114" spans="1:23" x14ac:dyDescent="0.2">
      <c r="A114" s="11">
        <v>44866</v>
      </c>
      <c r="B114" s="392">
        <v>0</v>
      </c>
      <c r="C114" s="392">
        <v>0</v>
      </c>
      <c r="D114" s="393"/>
      <c r="E114" s="393"/>
      <c r="F114" s="393"/>
      <c r="G114" s="542">
        <v>166850</v>
      </c>
      <c r="H114" s="541">
        <v>1666467</v>
      </c>
      <c r="I114" s="541">
        <v>138872.25</v>
      </c>
      <c r="J114" s="541">
        <v>107788.5</v>
      </c>
      <c r="K114" s="541">
        <v>1108468.1490000002</v>
      </c>
      <c r="L114" s="541">
        <v>92372.345750000022</v>
      </c>
      <c r="M114" s="542"/>
      <c r="N114" s="542"/>
    </row>
    <row r="115" spans="1:23" x14ac:dyDescent="0.2">
      <c r="A115" s="11">
        <v>44896</v>
      </c>
      <c r="B115" s="392">
        <v>0</v>
      </c>
      <c r="C115" s="392">
        <v>0</v>
      </c>
      <c r="D115" s="393"/>
      <c r="E115" s="393"/>
      <c r="F115" s="393"/>
      <c r="G115" s="542">
        <v>154040</v>
      </c>
      <c r="H115" s="541">
        <v>1676820</v>
      </c>
      <c r="I115" s="541">
        <v>139735</v>
      </c>
      <c r="J115" s="541">
        <v>110169</v>
      </c>
      <c r="K115" s="541">
        <v>1110498.912</v>
      </c>
      <c r="L115" s="541">
        <v>92541.576000000001</v>
      </c>
      <c r="M115" s="542"/>
      <c r="N115" s="542"/>
    </row>
    <row r="116" spans="1:23" x14ac:dyDescent="0.2">
      <c r="A116" s="11">
        <v>44927</v>
      </c>
      <c r="B116" s="392">
        <v>0</v>
      </c>
      <c r="C116" s="392">
        <v>0</v>
      </c>
      <c r="D116" s="393"/>
      <c r="E116" s="393"/>
      <c r="F116" s="393"/>
      <c r="G116" s="542">
        <v>124160</v>
      </c>
      <c r="H116" s="541">
        <v>1656960</v>
      </c>
      <c r="I116" s="541">
        <v>138080</v>
      </c>
      <c r="J116" s="541">
        <v>100297</v>
      </c>
      <c r="K116" s="541">
        <v>1105021.2620000001</v>
      </c>
      <c r="L116" s="541">
        <v>92085.105166666675</v>
      </c>
      <c r="M116" s="542"/>
      <c r="N116" s="542"/>
    </row>
    <row r="117" spans="1:23" x14ac:dyDescent="0.2">
      <c r="A117" s="11">
        <v>44958</v>
      </c>
      <c r="B117" s="392">
        <v>0</v>
      </c>
      <c r="C117" s="392">
        <v>0</v>
      </c>
      <c r="D117" s="393"/>
      <c r="E117" s="393"/>
      <c r="F117" s="393"/>
      <c r="G117" s="542">
        <v>152050</v>
      </c>
      <c r="H117" s="541">
        <v>1698650</v>
      </c>
      <c r="I117" s="541">
        <v>141554.16666666666</v>
      </c>
      <c r="J117" s="541">
        <v>81578.399999999994</v>
      </c>
      <c r="K117" s="541">
        <v>1121763.1810000001</v>
      </c>
      <c r="L117" s="541">
        <v>93480.265083333346</v>
      </c>
      <c r="M117" s="614"/>
      <c r="N117" s="614"/>
      <c r="R117" s="92"/>
      <c r="S117" s="92"/>
      <c r="T117" s="92"/>
      <c r="U117" s="92"/>
      <c r="V117" s="92"/>
      <c r="W117" s="92"/>
    </row>
    <row r="118" spans="1:23" x14ac:dyDescent="0.2">
      <c r="A118" s="11">
        <v>44986</v>
      </c>
      <c r="B118" s="392">
        <v>0</v>
      </c>
      <c r="C118" s="392">
        <v>0</v>
      </c>
      <c r="D118" s="393"/>
      <c r="E118" s="393"/>
      <c r="F118" s="393"/>
      <c r="G118" s="542">
        <v>169890</v>
      </c>
      <c r="H118" s="541">
        <v>1756260</v>
      </c>
      <c r="I118" s="541">
        <v>146355</v>
      </c>
      <c r="J118" s="541">
        <v>97111.3</v>
      </c>
      <c r="K118" s="541">
        <v>1144567.331</v>
      </c>
      <c r="L118" s="541">
        <v>95380.610916666672</v>
      </c>
      <c r="M118" s="614"/>
      <c r="N118" s="614"/>
      <c r="R118" s="92"/>
      <c r="S118" s="92"/>
      <c r="T118" s="92"/>
      <c r="U118" s="92"/>
      <c r="V118" s="92"/>
      <c r="W118" s="92"/>
    </row>
    <row r="119" spans="1:23" x14ac:dyDescent="0.2">
      <c r="A119" s="11">
        <v>45017</v>
      </c>
      <c r="B119" s="392">
        <v>0</v>
      </c>
      <c r="C119" s="392">
        <v>0</v>
      </c>
      <c r="D119" s="393"/>
      <c r="E119" s="393"/>
      <c r="F119" s="393"/>
      <c r="G119" s="542">
        <v>149490</v>
      </c>
      <c r="H119" s="541">
        <v>1796070</v>
      </c>
      <c r="I119" s="541">
        <v>149672.5</v>
      </c>
      <c r="J119" s="541">
        <v>91605.75</v>
      </c>
      <c r="K119" s="541">
        <v>1155641.7000000002</v>
      </c>
      <c r="L119" s="541">
        <v>96303.47500000002</v>
      </c>
      <c r="M119" s="614"/>
      <c r="N119" s="614"/>
      <c r="R119" s="92"/>
      <c r="S119" s="92"/>
      <c r="T119" s="92"/>
      <c r="U119" s="92"/>
      <c r="V119" s="92"/>
      <c r="W119" s="92"/>
    </row>
    <row r="120" spans="1:23" x14ac:dyDescent="0.2">
      <c r="A120" s="11">
        <v>45047</v>
      </c>
      <c r="B120" s="392">
        <v>0</v>
      </c>
      <c r="C120" s="392">
        <v>0</v>
      </c>
      <c r="D120" s="393"/>
      <c r="E120" s="393"/>
      <c r="F120" s="393"/>
      <c r="G120" s="542">
        <v>151970</v>
      </c>
      <c r="H120" s="541">
        <v>1819260</v>
      </c>
      <c r="I120" s="541">
        <v>151605</v>
      </c>
      <c r="J120" s="541">
        <v>94968.9</v>
      </c>
      <c r="K120" s="541">
        <v>1160457.25</v>
      </c>
      <c r="L120" s="541">
        <v>96704.770833333328</v>
      </c>
      <c r="M120" s="614"/>
      <c r="N120" s="614"/>
      <c r="R120" s="92"/>
      <c r="S120" s="92"/>
      <c r="T120" s="92"/>
      <c r="U120" s="92"/>
      <c r="V120" s="92"/>
      <c r="W120" s="92"/>
    </row>
    <row r="121" spans="1:23" x14ac:dyDescent="0.2">
      <c r="A121" s="11">
        <v>45078</v>
      </c>
      <c r="B121" s="394">
        <v>0</v>
      </c>
      <c r="C121" s="394">
        <v>0</v>
      </c>
      <c r="D121" s="393"/>
      <c r="E121" s="393"/>
      <c r="F121" s="393"/>
      <c r="G121" s="542">
        <v>142210</v>
      </c>
      <c r="H121" s="541">
        <v>1828310</v>
      </c>
      <c r="I121" s="541">
        <v>152359.16666666666</v>
      </c>
      <c r="J121" s="541">
        <v>98477.05</v>
      </c>
      <c r="K121" s="541">
        <v>1169391.5000000002</v>
      </c>
      <c r="L121" s="541">
        <v>97449.291666666686</v>
      </c>
      <c r="M121" s="614"/>
      <c r="N121" s="615">
        <v>2997701.5</v>
      </c>
      <c r="R121" s="92"/>
      <c r="S121" s="92"/>
      <c r="T121" s="92"/>
      <c r="U121" s="92"/>
      <c r="V121" s="92"/>
      <c r="W121" s="92"/>
    </row>
    <row r="122" spans="1:23" x14ac:dyDescent="0.2">
      <c r="A122" s="11">
        <v>45108</v>
      </c>
      <c r="B122" s="394">
        <v>0</v>
      </c>
      <c r="C122" s="394">
        <v>0</v>
      </c>
      <c r="D122" s="381"/>
      <c r="E122" s="381"/>
      <c r="F122" s="381"/>
      <c r="G122" s="542">
        <v>136680</v>
      </c>
      <c r="H122" s="541">
        <v>1831160</v>
      </c>
      <c r="I122" s="541">
        <v>152596.66666666666</v>
      </c>
      <c r="J122" s="541">
        <v>77767</v>
      </c>
      <c r="K122" s="541">
        <v>1165698.55</v>
      </c>
      <c r="L122" s="541">
        <v>97141.545833333337</v>
      </c>
      <c r="M122" s="614"/>
      <c r="N122" s="614"/>
      <c r="R122" s="92"/>
      <c r="S122" s="92"/>
      <c r="T122" s="92"/>
      <c r="U122" s="92"/>
      <c r="V122" s="92"/>
      <c r="W122" s="92"/>
    </row>
    <row r="123" spans="1:23" x14ac:dyDescent="0.2">
      <c r="A123" s="11">
        <v>45139</v>
      </c>
      <c r="B123" s="394">
        <v>0</v>
      </c>
      <c r="C123" s="394">
        <v>0</v>
      </c>
      <c r="D123" s="381"/>
      <c r="E123" s="381"/>
      <c r="F123" s="381"/>
      <c r="G123" s="542">
        <v>153100</v>
      </c>
      <c r="H123" s="541">
        <v>1841660</v>
      </c>
      <c r="I123" s="541">
        <v>153471.66666666666</v>
      </c>
      <c r="J123" s="541">
        <v>85047.5</v>
      </c>
      <c r="K123" s="541">
        <v>1153433.8000000003</v>
      </c>
      <c r="L123" s="541">
        <v>96119.483333333352</v>
      </c>
      <c r="M123" s="614"/>
      <c r="N123" s="614"/>
      <c r="R123" s="92"/>
      <c r="S123" s="92"/>
      <c r="T123" s="92"/>
      <c r="U123" s="92"/>
      <c r="V123" s="92"/>
      <c r="W123" s="92"/>
    </row>
    <row r="124" spans="1:23" ht="17" customHeight="1" x14ac:dyDescent="0.2">
      <c r="A124" s="11">
        <v>45170</v>
      </c>
      <c r="B124" s="394">
        <v>0</v>
      </c>
      <c r="C124" s="394">
        <v>0</v>
      </c>
      <c r="D124" s="381"/>
      <c r="E124" s="381"/>
      <c r="F124" s="381"/>
      <c r="G124" s="542">
        <v>157880</v>
      </c>
      <c r="H124" s="541">
        <v>1826380</v>
      </c>
      <c r="I124" s="541">
        <v>152198.33333333334</v>
      </c>
      <c r="J124" s="541">
        <v>108615.35</v>
      </c>
      <c r="K124" s="541">
        <v>1159886.3000000003</v>
      </c>
      <c r="L124" s="541">
        <v>96657.191666666695</v>
      </c>
      <c r="M124" s="543"/>
      <c r="N124" s="543"/>
      <c r="R124" s="92"/>
      <c r="S124" s="92"/>
      <c r="T124" s="92"/>
      <c r="U124" s="92"/>
      <c r="V124" s="92"/>
      <c r="W124" s="92"/>
    </row>
    <row r="125" spans="1:23" x14ac:dyDescent="0.2">
      <c r="A125" s="11">
        <v>45200</v>
      </c>
      <c r="B125" s="394">
        <v>0</v>
      </c>
      <c r="C125" s="394">
        <v>0</v>
      </c>
      <c r="D125" s="381"/>
      <c r="E125" s="381"/>
      <c r="F125" s="381"/>
      <c r="G125" s="542">
        <v>151690</v>
      </c>
      <c r="H125" s="541">
        <v>1810010</v>
      </c>
      <c r="I125" s="541">
        <v>150834.16666666666</v>
      </c>
      <c r="J125" s="541">
        <v>90634.599999999991</v>
      </c>
      <c r="K125" s="541">
        <v>1144060.3500000001</v>
      </c>
      <c r="L125" s="541">
        <v>95338.362500000003</v>
      </c>
      <c r="M125" s="543"/>
      <c r="N125" s="543"/>
      <c r="R125" s="92"/>
      <c r="S125" s="92"/>
      <c r="T125" s="92"/>
      <c r="U125" s="92"/>
      <c r="V125" s="92"/>
      <c r="W125" s="92"/>
    </row>
    <row r="126" spans="1:23" x14ac:dyDescent="0.2">
      <c r="A126" s="11">
        <v>45253</v>
      </c>
      <c r="B126" s="394">
        <v>0</v>
      </c>
      <c r="C126" s="394">
        <v>0</v>
      </c>
      <c r="D126" s="381"/>
      <c r="E126" s="381"/>
      <c r="F126" s="381"/>
      <c r="G126" s="542">
        <v>158262</v>
      </c>
      <c r="H126" s="541">
        <v>1801422</v>
      </c>
      <c r="I126" s="541">
        <v>150118.5</v>
      </c>
      <c r="J126" s="541">
        <v>96127.2</v>
      </c>
      <c r="K126" s="541">
        <v>1132399.05</v>
      </c>
      <c r="L126" s="541">
        <v>94366.587500000009</v>
      </c>
      <c r="M126" s="543"/>
      <c r="N126" s="543"/>
      <c r="R126" s="92"/>
      <c r="S126" s="92"/>
      <c r="T126" s="92"/>
      <c r="U126" s="92"/>
      <c r="V126" s="92"/>
      <c r="W126" s="92"/>
    </row>
    <row r="127" spans="1:23" x14ac:dyDescent="0.2">
      <c r="A127" s="11">
        <v>45261</v>
      </c>
      <c r="B127" s="394">
        <v>0</v>
      </c>
      <c r="C127" s="394">
        <v>0</v>
      </c>
      <c r="D127" s="381"/>
      <c r="E127" s="381"/>
      <c r="F127" s="381"/>
      <c r="G127" s="542">
        <v>148708</v>
      </c>
      <c r="H127" s="541">
        <v>1796090</v>
      </c>
      <c r="I127" s="541">
        <v>149674.16666666666</v>
      </c>
      <c r="J127" s="541">
        <v>96713.1</v>
      </c>
      <c r="K127" s="541">
        <v>1118943.1499999999</v>
      </c>
      <c r="L127" s="541">
        <v>93245.262499999997</v>
      </c>
      <c r="M127" s="543"/>
      <c r="N127" s="543"/>
      <c r="P127" s="354">
        <f>K133/H133</f>
        <v>0.62721395404948599</v>
      </c>
      <c r="R127" s="92"/>
      <c r="S127" s="92"/>
      <c r="T127" s="92"/>
      <c r="U127" s="92"/>
      <c r="V127" s="92"/>
      <c r="W127" s="92"/>
    </row>
    <row r="128" spans="1:23" x14ac:dyDescent="0.2">
      <c r="A128" s="11">
        <v>45292</v>
      </c>
      <c r="B128" s="394">
        <v>0</v>
      </c>
      <c r="C128" s="394">
        <v>0</v>
      </c>
      <c r="D128" s="384"/>
      <c r="E128" s="384"/>
      <c r="F128" s="384"/>
      <c r="G128" s="542">
        <v>130338</v>
      </c>
      <c r="H128" s="541">
        <v>1802268</v>
      </c>
      <c r="I128" s="541">
        <v>150189</v>
      </c>
      <c r="J128" s="541">
        <v>94030.200000000012</v>
      </c>
      <c r="K128" s="541">
        <v>1112676.3499999999</v>
      </c>
      <c r="L128" s="541">
        <v>92723.02916666666</v>
      </c>
      <c r="M128" s="543"/>
      <c r="N128" s="543"/>
      <c r="R128" s="92"/>
      <c r="S128" s="92"/>
      <c r="T128" s="92"/>
      <c r="U128" s="92"/>
      <c r="V128" s="92"/>
      <c r="W128" s="92"/>
    </row>
    <row r="129" spans="1:19" x14ac:dyDescent="0.2">
      <c r="A129" s="11">
        <v>45323</v>
      </c>
      <c r="B129" s="394">
        <v>0</v>
      </c>
      <c r="C129" s="394">
        <v>0</v>
      </c>
      <c r="D129" s="384"/>
      <c r="E129" s="384"/>
      <c r="F129" s="384"/>
      <c r="G129" s="542">
        <v>123019.9</v>
      </c>
      <c r="H129" s="541">
        <v>1773237.9</v>
      </c>
      <c r="I129" s="541">
        <v>147769.82499999998</v>
      </c>
      <c r="J129" s="541">
        <v>88272.8</v>
      </c>
      <c r="K129" s="541">
        <v>1119370.75</v>
      </c>
      <c r="L129" s="541">
        <v>93280.895833333328</v>
      </c>
      <c r="M129" s="543"/>
      <c r="N129" s="543"/>
    </row>
    <row r="130" spans="1:19" x14ac:dyDescent="0.2">
      <c r="A130" s="11">
        <v>45352</v>
      </c>
      <c r="B130" s="394">
        <v>0</v>
      </c>
      <c r="C130" s="394">
        <v>0</v>
      </c>
      <c r="D130" s="384"/>
      <c r="E130" s="384"/>
      <c r="F130" s="384"/>
      <c r="G130" s="542">
        <v>141749.70000000001</v>
      </c>
      <c r="H130" s="541">
        <v>1745097.5999999999</v>
      </c>
      <c r="I130" s="541">
        <v>145424.79999999999</v>
      </c>
      <c r="J130" s="541">
        <v>99355.200000000012</v>
      </c>
      <c r="K130" s="541">
        <v>1121614.6499999999</v>
      </c>
      <c r="L130" s="541">
        <v>93467.887499999997</v>
      </c>
      <c r="M130" s="543"/>
      <c r="N130" s="543"/>
    </row>
    <row r="131" spans="1:19" x14ac:dyDescent="0.2">
      <c r="A131" s="11">
        <v>45383</v>
      </c>
      <c r="B131" s="395">
        <v>0</v>
      </c>
      <c r="C131" s="395">
        <v>0</v>
      </c>
      <c r="D131" s="384"/>
      <c r="E131" s="384"/>
      <c r="F131" s="384"/>
      <c r="G131" s="542">
        <v>136279</v>
      </c>
      <c r="H131" s="541">
        <v>1731886.5999999999</v>
      </c>
      <c r="I131" s="541">
        <v>144323.88333333333</v>
      </c>
      <c r="J131" s="541">
        <v>90233.600000000006</v>
      </c>
      <c r="K131" s="541">
        <v>1120242.5</v>
      </c>
      <c r="L131" s="541">
        <v>93353.541666666672</v>
      </c>
      <c r="M131" s="543"/>
      <c r="N131" s="543"/>
      <c r="O131" s="406"/>
      <c r="R131" s="354"/>
    </row>
    <row r="132" spans="1:19" x14ac:dyDescent="0.2">
      <c r="A132" s="11">
        <v>45413</v>
      </c>
      <c r="B132" s="398">
        <v>0</v>
      </c>
      <c r="C132" s="395">
        <v>0</v>
      </c>
      <c r="D132" s="384"/>
      <c r="E132" s="384"/>
      <c r="F132" s="384"/>
      <c r="G132" s="542">
        <v>168240</v>
      </c>
      <c r="H132" s="541">
        <v>1748156.5999999999</v>
      </c>
      <c r="I132" s="541">
        <v>145679.71666666665</v>
      </c>
      <c r="J132" s="541">
        <v>89013.2</v>
      </c>
      <c r="K132" s="541">
        <v>1114286.8</v>
      </c>
      <c r="L132" s="541">
        <v>92857.233333333337</v>
      </c>
      <c r="M132" s="543"/>
      <c r="N132" s="543"/>
      <c r="O132" s="406"/>
      <c r="R132" s="354"/>
    </row>
    <row r="133" spans="1:19" x14ac:dyDescent="0.2">
      <c r="A133" s="11">
        <v>45444</v>
      </c>
      <c r="B133" s="395">
        <v>0</v>
      </c>
      <c r="C133" s="395">
        <v>0</v>
      </c>
      <c r="D133" s="395"/>
      <c r="E133" s="395"/>
      <c r="F133" s="395"/>
      <c r="G133" s="542">
        <v>146382</v>
      </c>
      <c r="H133" s="541">
        <v>1752328.5999999999</v>
      </c>
      <c r="I133" s="541">
        <v>146027.38333333333</v>
      </c>
      <c r="J133" s="541">
        <v>83275.199999999997</v>
      </c>
      <c r="K133" s="541">
        <v>1099084.95</v>
      </c>
      <c r="L133" s="541">
        <v>91590.412499999991</v>
      </c>
      <c r="M133" s="543"/>
      <c r="N133" s="615">
        <v>2851413.55</v>
      </c>
      <c r="Q133" s="354" t="s">
        <v>496</v>
      </c>
      <c r="R133" s="354" t="s">
        <v>489</v>
      </c>
    </row>
    <row r="134" spans="1:19" x14ac:dyDescent="0.2">
      <c r="A134" s="11">
        <v>45474</v>
      </c>
      <c r="B134" s="382">
        <v>0</v>
      </c>
      <c r="C134" s="382">
        <v>0</v>
      </c>
      <c r="D134" s="382"/>
      <c r="E134" s="382"/>
      <c r="F134" s="382"/>
      <c r="G134" s="542">
        <v>160720.6</v>
      </c>
      <c r="H134" s="541">
        <v>1776369.2000000002</v>
      </c>
      <c r="I134" s="541">
        <v>148030.76666666669</v>
      </c>
      <c r="J134" s="541">
        <v>89193</v>
      </c>
      <c r="K134" s="541">
        <v>1110510.9499999997</v>
      </c>
      <c r="L134" s="541">
        <v>92542.579166666648</v>
      </c>
      <c r="M134" s="543"/>
      <c r="N134" s="541"/>
      <c r="P134" s="354" t="s">
        <v>58</v>
      </c>
      <c r="Q134" s="354">
        <v>9423.4034166666661</v>
      </c>
      <c r="R134" s="354">
        <v>276791.66666666669</v>
      </c>
      <c r="S134" s="407">
        <f t="shared" ref="S134:S142" si="0">Q134/R134</f>
        <v>3.4045112449194635E-2</v>
      </c>
    </row>
    <row r="135" spans="1:19" x14ac:dyDescent="0.2">
      <c r="A135" s="11">
        <v>45505</v>
      </c>
      <c r="B135" s="382">
        <v>0</v>
      </c>
      <c r="C135" s="382">
        <v>0</v>
      </c>
      <c r="D135" s="382"/>
      <c r="E135" s="382"/>
      <c r="F135" s="382"/>
      <c r="G135" s="542">
        <v>140037</v>
      </c>
      <c r="H135" s="541">
        <v>1763306.2000000002</v>
      </c>
      <c r="I135" s="541">
        <v>146942.18333333335</v>
      </c>
      <c r="J135" s="541">
        <v>98710.7</v>
      </c>
      <c r="K135" s="541">
        <v>1124174.1499999999</v>
      </c>
      <c r="L135" s="541">
        <v>93681.179166666654</v>
      </c>
      <c r="M135" s="543"/>
      <c r="N135" s="541"/>
      <c r="P135" s="354" t="s">
        <v>61</v>
      </c>
      <c r="Q135" s="354">
        <v>10069.918499833337</v>
      </c>
      <c r="R135" s="354">
        <v>265604.16666666669</v>
      </c>
      <c r="S135" s="407">
        <f t="shared" si="0"/>
        <v>3.7913254999764695E-2</v>
      </c>
    </row>
    <row r="136" spans="1:19" x14ac:dyDescent="0.2">
      <c r="A136" s="11">
        <v>45536</v>
      </c>
      <c r="B136" s="382">
        <v>0</v>
      </c>
      <c r="C136" s="382">
        <v>0</v>
      </c>
      <c r="D136" s="382"/>
      <c r="E136" s="382"/>
      <c r="F136" s="382"/>
      <c r="G136" s="542">
        <v>153930</v>
      </c>
      <c r="H136" s="541">
        <v>1759356.2000000002</v>
      </c>
      <c r="I136" s="541">
        <v>146613.01666666669</v>
      </c>
      <c r="J136" s="541">
        <v>99513.3</v>
      </c>
      <c r="K136" s="541">
        <v>1115072.0999999999</v>
      </c>
      <c r="L136" s="541">
        <v>92922.674999999988</v>
      </c>
      <c r="M136" s="543"/>
      <c r="N136" s="541"/>
      <c r="P136" s="354" t="s">
        <v>63</v>
      </c>
      <c r="Q136" s="354">
        <v>32198.020249916666</v>
      </c>
      <c r="R136" s="354">
        <v>246776.66666666666</v>
      </c>
      <c r="S136" s="407">
        <f t="shared" si="0"/>
        <v>0.13047433002816311</v>
      </c>
    </row>
    <row r="137" spans="1:19" x14ac:dyDescent="0.2">
      <c r="A137" s="11">
        <v>45566</v>
      </c>
      <c r="B137" s="382">
        <v>0</v>
      </c>
      <c r="C137" s="382">
        <v>0</v>
      </c>
      <c r="D137" s="382"/>
      <c r="E137" s="382"/>
      <c r="F137" s="382"/>
      <c r="G137" s="542">
        <v>156680</v>
      </c>
      <c r="H137" s="541">
        <v>1764346.2000000002</v>
      </c>
      <c r="I137" s="541">
        <v>147028.85</v>
      </c>
      <c r="J137" s="541">
        <v>104290.1</v>
      </c>
      <c r="K137" s="541">
        <v>1128727.5999999999</v>
      </c>
      <c r="L137" s="541">
        <v>94060.633333333317</v>
      </c>
      <c r="M137" s="543"/>
      <c r="N137" s="541"/>
      <c r="P137" s="354" t="s">
        <v>64</v>
      </c>
      <c r="Q137" s="354">
        <v>47478.879500000003</v>
      </c>
      <c r="R137" s="354">
        <v>241889.16666666666</v>
      </c>
      <c r="S137" s="407">
        <f t="shared" si="0"/>
        <v>0.19628361267384858</v>
      </c>
    </row>
    <row r="138" spans="1:19" x14ac:dyDescent="0.2">
      <c r="A138" s="11">
        <v>45597</v>
      </c>
      <c r="B138" s="382">
        <v>0</v>
      </c>
      <c r="C138" s="382">
        <v>0</v>
      </c>
      <c r="D138" s="382"/>
      <c r="E138" s="382"/>
      <c r="F138" s="382"/>
      <c r="G138" s="542">
        <v>157420</v>
      </c>
      <c r="H138" s="541">
        <v>1763504.2000000002</v>
      </c>
      <c r="I138" s="541">
        <v>146958.68333333335</v>
      </c>
      <c r="J138" s="541">
        <v>105070.1</v>
      </c>
      <c r="K138" s="541">
        <v>1137670.5</v>
      </c>
      <c r="L138" s="541">
        <v>94805.875</v>
      </c>
      <c r="M138" s="543"/>
      <c r="N138" s="541"/>
      <c r="P138" s="354" t="s">
        <v>65</v>
      </c>
      <c r="Q138" s="354">
        <v>63529.373083333339</v>
      </c>
      <c r="R138" s="354">
        <v>193603.89108333329</v>
      </c>
      <c r="S138" s="407">
        <f t="shared" si="0"/>
        <v>0.32814099307533168</v>
      </c>
    </row>
    <row r="139" spans="1:19" x14ac:dyDescent="0.2">
      <c r="A139" s="11">
        <v>45627</v>
      </c>
      <c r="B139" s="382">
        <v>0</v>
      </c>
      <c r="C139" s="382">
        <v>0</v>
      </c>
      <c r="D139" s="382"/>
      <c r="E139" s="382"/>
      <c r="F139" s="382"/>
      <c r="G139" s="542">
        <v>143500</v>
      </c>
      <c r="H139" s="541">
        <v>1758296.2</v>
      </c>
      <c r="I139" s="541">
        <v>146524.68333333332</v>
      </c>
      <c r="J139" s="541">
        <v>86822.7</v>
      </c>
      <c r="K139" s="541">
        <v>1127780.1000000001</v>
      </c>
      <c r="L139" s="541">
        <v>93981.675000000003</v>
      </c>
      <c r="M139" s="543"/>
      <c r="N139" s="541"/>
      <c r="P139" s="354" t="s">
        <v>66</v>
      </c>
      <c r="Q139" s="354">
        <v>75551.927916666667</v>
      </c>
      <c r="R139" s="354">
        <v>149170</v>
      </c>
      <c r="S139" s="407">
        <f t="shared" si="0"/>
        <v>0.50648205347366537</v>
      </c>
    </row>
    <row r="140" spans="1:19" x14ac:dyDescent="0.2">
      <c r="A140" s="11">
        <v>45658</v>
      </c>
      <c r="B140" s="382">
        <v>0</v>
      </c>
      <c r="C140" s="382">
        <v>0</v>
      </c>
      <c r="D140" s="382"/>
      <c r="E140" s="382"/>
      <c r="F140" s="382"/>
      <c r="G140" s="542">
        <v>123900</v>
      </c>
      <c r="H140" s="541">
        <v>1751858.2</v>
      </c>
      <c r="I140" s="541">
        <v>145988.18333333332</v>
      </c>
      <c r="J140" s="541">
        <v>82734.2</v>
      </c>
      <c r="K140" s="541">
        <v>1116484.0999999999</v>
      </c>
      <c r="L140" s="541">
        <v>93040.34166666666</v>
      </c>
      <c r="M140" s="543"/>
      <c r="N140" s="541"/>
      <c r="P140" s="354" t="s">
        <v>68</v>
      </c>
      <c r="Q140" s="354">
        <v>86727.125416666662</v>
      </c>
      <c r="R140" s="354">
        <v>119968.33333333333</v>
      </c>
      <c r="S140" s="407">
        <f t="shared" si="0"/>
        <v>0.72291681485391979</v>
      </c>
    </row>
    <row r="141" spans="1:19" x14ac:dyDescent="0.2">
      <c r="A141" s="11">
        <v>45689</v>
      </c>
      <c r="B141" s="382">
        <v>0</v>
      </c>
      <c r="C141" s="382">
        <v>0</v>
      </c>
      <c r="D141" s="382"/>
      <c r="E141" s="382"/>
      <c r="F141" s="382"/>
      <c r="G141" s="542">
        <v>139910</v>
      </c>
      <c r="H141" s="541">
        <v>1768748.2999999998</v>
      </c>
      <c r="I141" s="541">
        <v>147395.69166666665</v>
      </c>
      <c r="J141" s="541">
        <v>86284.800000000003</v>
      </c>
      <c r="K141" s="541">
        <v>1114496.0999999999</v>
      </c>
      <c r="L141" s="541">
        <v>92874.674999999988</v>
      </c>
      <c r="M141" s="543"/>
      <c r="N141" s="541"/>
      <c r="P141" s="354" t="s">
        <v>70</v>
      </c>
      <c r="Q141" s="354">
        <v>94779.712</v>
      </c>
      <c r="R141" s="354">
        <v>131232.25</v>
      </c>
      <c r="S141" s="407">
        <f t="shared" si="0"/>
        <v>0.72222881189646604</v>
      </c>
    </row>
    <row r="142" spans="1:19" x14ac:dyDescent="0.2">
      <c r="A142" s="11">
        <v>45717</v>
      </c>
      <c r="B142" s="391">
        <v>0</v>
      </c>
      <c r="C142" s="391">
        <v>0</v>
      </c>
      <c r="D142" s="391"/>
      <c r="E142" s="391"/>
      <c r="F142" s="391"/>
      <c r="G142" s="542">
        <v>159210</v>
      </c>
      <c r="H142" s="541">
        <v>1786208.6</v>
      </c>
      <c r="I142" s="541">
        <v>148850.71666666667</v>
      </c>
      <c r="J142" s="541">
        <v>102684.6</v>
      </c>
      <c r="K142" s="541">
        <v>1117825.5</v>
      </c>
      <c r="L142" s="541">
        <v>93152.125</v>
      </c>
      <c r="M142" s="543"/>
      <c r="N142" s="541"/>
      <c r="O142" s="541"/>
      <c r="P142" s="541" t="s">
        <v>72</v>
      </c>
      <c r="Q142" s="541">
        <v>96835.150000000023</v>
      </c>
      <c r="R142" s="541">
        <v>152359.16666666666</v>
      </c>
      <c r="S142" s="110">
        <f t="shared" si="0"/>
        <v>0.63557153874342986</v>
      </c>
    </row>
    <row r="143" spans="1:19" x14ac:dyDescent="0.2">
      <c r="A143" s="11">
        <v>45748</v>
      </c>
      <c r="B143" s="382">
        <v>0</v>
      </c>
      <c r="C143" s="382">
        <v>0</v>
      </c>
      <c r="D143" s="382"/>
      <c r="E143" s="382"/>
      <c r="F143" s="382"/>
      <c r="G143" s="542">
        <v>146360</v>
      </c>
      <c r="H143" s="541">
        <v>1796289.6</v>
      </c>
      <c r="I143" s="541">
        <v>149690.80000000002</v>
      </c>
      <c r="J143" s="541">
        <v>93350.6</v>
      </c>
      <c r="K143" s="541">
        <v>1120942.5</v>
      </c>
      <c r="L143" s="541">
        <v>93411.875</v>
      </c>
      <c r="M143" s="543"/>
      <c r="N143" s="541"/>
      <c r="P143" s="354" t="s">
        <v>74</v>
      </c>
      <c r="Q143" s="354">
        <v>90505.829166666677</v>
      </c>
      <c r="R143" s="354">
        <v>146027.38333333333</v>
      </c>
      <c r="S143" s="407">
        <f>Q143/R143</f>
        <v>0.61978669411661724</v>
      </c>
    </row>
    <row r="144" spans="1:19" x14ac:dyDescent="0.2">
      <c r="A144" s="11">
        <v>45778</v>
      </c>
      <c r="B144" s="382">
        <v>0</v>
      </c>
      <c r="C144" s="382">
        <v>0</v>
      </c>
      <c r="D144" s="382"/>
      <c r="E144" s="382"/>
      <c r="F144" s="382"/>
      <c r="G144" s="542">
        <v>160120</v>
      </c>
      <c r="H144" s="541">
        <v>1788169.6</v>
      </c>
      <c r="I144" s="541">
        <v>149014.13333333333</v>
      </c>
      <c r="J144" s="541">
        <v>96431.400000000023</v>
      </c>
      <c r="K144" s="541">
        <v>1128360.7</v>
      </c>
      <c r="L144" s="541">
        <v>94030.058333333334</v>
      </c>
      <c r="M144" s="543"/>
      <c r="N144" s="541"/>
      <c r="P144" s="354" t="s">
        <v>76</v>
      </c>
      <c r="R144" s="354"/>
    </row>
    <row r="145" spans="1:18" x14ac:dyDescent="0.2">
      <c r="A145" s="11">
        <v>45809</v>
      </c>
      <c r="B145" s="382">
        <v>0</v>
      </c>
      <c r="C145" s="382">
        <v>0</v>
      </c>
      <c r="D145" s="382"/>
      <c r="E145" s="382"/>
      <c r="F145" s="382"/>
      <c r="G145" s="542">
        <v>152210</v>
      </c>
      <c r="H145" s="541">
        <v>1793997.6</v>
      </c>
      <c r="I145" s="541">
        <v>149499.80000000002</v>
      </c>
      <c r="J145" s="541">
        <v>90380.3</v>
      </c>
      <c r="K145" s="541">
        <v>1135465.7999999998</v>
      </c>
      <c r="L145" s="541">
        <v>94622.14999999998</v>
      </c>
      <c r="M145" s="543"/>
      <c r="N145" s="615">
        <v>2929463.4</v>
      </c>
      <c r="P145" s="407">
        <f>K145/N145</f>
        <v>0.38760197516036549</v>
      </c>
      <c r="R145" s="354"/>
    </row>
    <row r="146" spans="1:18" x14ac:dyDescent="0.2">
      <c r="A146" s="11">
        <v>45839</v>
      </c>
      <c r="B146" s="384"/>
      <c r="C146" s="384"/>
      <c r="D146" s="384"/>
      <c r="E146" s="384"/>
      <c r="F146" s="384"/>
      <c r="G146" s="542">
        <v>144060</v>
      </c>
      <c r="H146" s="543"/>
      <c r="I146" s="543"/>
      <c r="J146" s="541"/>
      <c r="K146" s="541"/>
      <c r="M146" s="8"/>
      <c r="N146" s="8"/>
      <c r="O146" s="8"/>
      <c r="P146" s="8"/>
      <c r="Q146" s="8"/>
    </row>
    <row r="147" spans="1:18" x14ac:dyDescent="0.2">
      <c r="A147" s="11">
        <v>45870</v>
      </c>
      <c r="B147" s="384"/>
      <c r="C147" s="384"/>
      <c r="D147" s="384"/>
      <c r="E147" s="384"/>
      <c r="F147" s="384"/>
      <c r="G147" s="542">
        <v>155500</v>
      </c>
      <c r="H147" s="543"/>
      <c r="I147" s="543"/>
      <c r="J147" s="541"/>
      <c r="K147" s="541"/>
      <c r="M147" s="541"/>
      <c r="N147" s="541"/>
      <c r="O147" s="8"/>
      <c r="P147" s="8"/>
      <c r="Q147" s="8"/>
    </row>
    <row r="148" spans="1:18" x14ac:dyDescent="0.2">
      <c r="A148" s="11">
        <v>45901</v>
      </c>
      <c r="B148" s="384"/>
      <c r="C148" s="384"/>
      <c r="D148" s="384"/>
      <c r="E148" s="384"/>
      <c r="F148" s="384"/>
      <c r="G148" s="541">
        <v>166440</v>
      </c>
      <c r="H148" s="543"/>
      <c r="I148" s="543"/>
      <c r="J148" s="541"/>
      <c r="K148" s="541"/>
      <c r="M148" s="541"/>
      <c r="N148" s="541"/>
      <c r="O148" s="8"/>
      <c r="P148" s="8"/>
      <c r="Q148" s="8"/>
    </row>
    <row r="149" spans="1:18" x14ac:dyDescent="0.2">
      <c r="A149" s="11">
        <v>45931</v>
      </c>
      <c r="B149" s="384"/>
      <c r="C149" s="384"/>
      <c r="D149" s="384"/>
      <c r="E149" s="384"/>
      <c r="F149" s="384"/>
      <c r="G149" s="541"/>
      <c r="H149" s="617"/>
      <c r="I149" s="543"/>
      <c r="J149" s="541"/>
      <c r="K149" s="541"/>
      <c r="M149" s="541"/>
      <c r="N149" s="541"/>
      <c r="O149" s="8"/>
      <c r="P149" s="8"/>
      <c r="Q149" s="8"/>
    </row>
    <row r="150" spans="1:18" x14ac:dyDescent="0.2">
      <c r="A150" s="11">
        <v>45962</v>
      </c>
      <c r="B150" s="384"/>
      <c r="C150" s="384"/>
      <c r="D150" s="384"/>
      <c r="E150" s="384"/>
      <c r="F150" s="384"/>
      <c r="G150" s="541"/>
      <c r="H150" s="543"/>
      <c r="I150" s="543"/>
      <c r="J150" s="541"/>
      <c r="K150" s="541"/>
      <c r="M150" s="541"/>
      <c r="N150" s="541"/>
      <c r="O150" s="8"/>
      <c r="P150" s="8"/>
      <c r="Q150" s="8"/>
    </row>
    <row r="151" spans="1:18" x14ac:dyDescent="0.2">
      <c r="A151" s="11">
        <v>45992</v>
      </c>
      <c r="B151" s="384"/>
      <c r="C151" s="384"/>
      <c r="D151" s="384"/>
      <c r="E151" s="384"/>
      <c r="F151" s="384"/>
      <c r="G151" s="541"/>
      <c r="H151" s="543"/>
      <c r="I151" s="543"/>
      <c r="J151" s="541"/>
      <c r="K151" s="541"/>
      <c r="M151" s="541"/>
      <c r="N151" s="541"/>
      <c r="O151" s="8"/>
      <c r="P151" s="8"/>
      <c r="Q151" s="8"/>
    </row>
    <row r="152" spans="1:18" x14ac:dyDescent="0.2">
      <c r="A152" s="11">
        <v>46023</v>
      </c>
      <c r="B152" s="384"/>
      <c r="C152" s="384"/>
      <c r="D152" s="384"/>
      <c r="E152" s="384"/>
      <c r="F152" s="384"/>
      <c r="G152" s="541"/>
      <c r="H152" s="543"/>
      <c r="I152" s="543"/>
      <c r="J152" s="541"/>
      <c r="K152" s="541"/>
      <c r="M152" s="541"/>
      <c r="N152" s="541"/>
      <c r="O152" s="8"/>
      <c r="P152" s="8"/>
      <c r="Q152" s="8"/>
    </row>
    <row r="153" spans="1:18" x14ac:dyDescent="0.2">
      <c r="A153" s="11">
        <v>46054</v>
      </c>
      <c r="B153" s="384"/>
      <c r="C153" s="384"/>
      <c r="D153" s="384"/>
      <c r="E153" s="384"/>
      <c r="F153" s="384"/>
      <c r="G153" s="541"/>
      <c r="H153" s="543"/>
      <c r="I153" s="543"/>
      <c r="J153" s="541"/>
      <c r="K153" s="541"/>
      <c r="M153" s="541"/>
      <c r="N153" s="541"/>
      <c r="O153" s="8"/>
      <c r="P153" s="8"/>
      <c r="Q153" s="8"/>
    </row>
    <row r="154" spans="1:18" x14ac:dyDescent="0.2">
      <c r="A154" s="11">
        <v>46082</v>
      </c>
      <c r="B154" s="384"/>
      <c r="C154" s="384"/>
      <c r="D154" s="384"/>
      <c r="E154" s="384"/>
      <c r="F154" s="384"/>
      <c r="G154" s="541"/>
      <c r="H154" s="543"/>
      <c r="I154" s="543"/>
      <c r="J154" s="541"/>
      <c r="K154" s="541"/>
      <c r="M154" s="541"/>
      <c r="N154" s="541"/>
      <c r="O154" s="8"/>
      <c r="P154" s="8"/>
      <c r="Q154" s="8"/>
    </row>
    <row r="155" spans="1:18" x14ac:dyDescent="0.2">
      <c r="A155" s="11">
        <v>46113</v>
      </c>
      <c r="B155" s="384"/>
      <c r="C155" s="384"/>
      <c r="D155" s="384"/>
      <c r="E155" s="384"/>
      <c r="F155" s="384"/>
      <c r="G155" s="541"/>
      <c r="H155" s="543"/>
      <c r="I155" s="543"/>
      <c r="J155" s="541"/>
      <c r="K155" s="541"/>
      <c r="M155" s="541"/>
      <c r="N155" s="541"/>
      <c r="O155" s="8"/>
      <c r="P155" s="8"/>
      <c r="Q155" s="8"/>
    </row>
    <row r="156" spans="1:18" x14ac:dyDescent="0.2">
      <c r="A156" s="11">
        <v>46143</v>
      </c>
      <c r="B156" s="384"/>
      <c r="C156" s="384"/>
      <c r="D156" s="384"/>
      <c r="E156" s="384"/>
      <c r="F156" s="384"/>
      <c r="G156" s="541"/>
      <c r="H156" s="543"/>
      <c r="I156" s="543"/>
      <c r="J156" s="541"/>
      <c r="K156" s="541"/>
      <c r="M156" s="541"/>
      <c r="N156" s="541"/>
      <c r="O156" s="8"/>
      <c r="P156" s="8"/>
      <c r="Q156" s="8"/>
    </row>
    <row r="157" spans="1:18" x14ac:dyDescent="0.2">
      <c r="A157" s="11">
        <v>46174</v>
      </c>
      <c r="B157" s="384"/>
      <c r="C157" s="384"/>
      <c r="D157" s="384"/>
      <c r="E157" s="384"/>
      <c r="F157" s="384"/>
      <c r="G157" s="541"/>
      <c r="H157" s="543"/>
      <c r="I157" s="543"/>
      <c r="J157" s="541"/>
      <c r="K157" s="541"/>
      <c r="M157" s="8"/>
      <c r="N157" s="8"/>
      <c r="O157" s="8"/>
      <c r="P157" s="8"/>
      <c r="Q157" s="8"/>
    </row>
    <row r="158" spans="1:18" x14ac:dyDescent="0.2">
      <c r="A158" s="59"/>
      <c r="C158" s="8"/>
      <c r="D158" s="8"/>
      <c r="E158" s="8"/>
      <c r="F158" s="8"/>
      <c r="G158" s="354"/>
      <c r="H158" s="409"/>
      <c r="I158" s="543"/>
      <c r="M158" s="8"/>
      <c r="N158" s="8"/>
      <c r="O158" s="8"/>
      <c r="P158" s="8"/>
      <c r="Q158" s="8"/>
    </row>
    <row r="159" spans="1:18" x14ac:dyDescent="0.2">
      <c r="A159" s="59"/>
      <c r="C159" s="8"/>
      <c r="D159" s="8"/>
      <c r="E159" s="8"/>
      <c r="F159" s="8"/>
      <c r="G159" s="354"/>
      <c r="H159" s="409"/>
      <c r="I159" s="543"/>
      <c r="M159" s="8"/>
      <c r="N159" s="8"/>
      <c r="O159" s="8"/>
      <c r="P159" s="8"/>
      <c r="Q159" s="8"/>
    </row>
    <row r="160" spans="1:18" x14ac:dyDescent="0.2">
      <c r="A160" s="59"/>
      <c r="C160" s="8"/>
      <c r="D160" s="8"/>
      <c r="E160" s="8"/>
      <c r="F160" s="8"/>
      <c r="G160" s="354"/>
      <c r="H160" s="409"/>
      <c r="I160" s="543"/>
      <c r="M160" s="8"/>
      <c r="N160" s="8"/>
      <c r="O160" s="8"/>
      <c r="P160" s="8"/>
      <c r="Q160" s="8"/>
    </row>
    <row r="161" spans="1:17" x14ac:dyDescent="0.2">
      <c r="A161" s="59"/>
      <c r="C161" s="8"/>
      <c r="D161" s="8"/>
      <c r="E161" s="8"/>
      <c r="F161" s="8"/>
      <c r="G161" s="354"/>
      <c r="H161" s="409"/>
      <c r="I161" s="543"/>
      <c r="M161" s="8"/>
      <c r="N161" s="8"/>
      <c r="O161" s="8"/>
      <c r="P161" s="8"/>
      <c r="Q161" s="8"/>
    </row>
    <row r="162" spans="1:17" x14ac:dyDescent="0.2">
      <c r="A162" s="59"/>
      <c r="C162" s="8"/>
      <c r="D162" s="8"/>
      <c r="E162" s="8"/>
      <c r="F162" s="8"/>
      <c r="G162" s="354"/>
      <c r="H162" s="409"/>
      <c r="I162" s="543"/>
      <c r="M162" s="8"/>
      <c r="N162" s="8"/>
      <c r="O162" s="8"/>
      <c r="P162" s="8"/>
      <c r="Q162" s="8"/>
    </row>
    <row r="163" spans="1:17" x14ac:dyDescent="0.2">
      <c r="C163" s="8"/>
      <c r="D163" s="8"/>
      <c r="E163" s="8"/>
      <c r="F163" s="8"/>
      <c r="G163" s="354"/>
      <c r="H163" s="404"/>
      <c r="I163" s="542"/>
      <c r="M163" s="8"/>
      <c r="N163" s="8"/>
      <c r="O163" s="8"/>
      <c r="P163" s="8"/>
      <c r="Q163" s="8"/>
    </row>
    <row r="164" spans="1:17" x14ac:dyDescent="0.2">
      <c r="C164" s="8"/>
      <c r="D164" s="8"/>
      <c r="E164" s="8"/>
      <c r="F164" s="8"/>
      <c r="G164" s="354"/>
      <c r="H164" s="404"/>
      <c r="I164" s="542"/>
      <c r="M164" s="8"/>
      <c r="N164" s="8"/>
      <c r="O164" s="8"/>
      <c r="P164" s="8"/>
      <c r="Q164" s="8"/>
    </row>
    <row r="165" spans="1:17" x14ac:dyDescent="0.2">
      <c r="C165" s="8"/>
      <c r="D165" s="8"/>
      <c r="E165" s="8"/>
      <c r="F165" s="8"/>
      <c r="G165" s="354"/>
      <c r="H165" s="404"/>
      <c r="I165" s="542"/>
      <c r="M165" s="8"/>
      <c r="N165" s="8"/>
      <c r="O165" s="8"/>
      <c r="P165" s="8"/>
      <c r="Q165" s="8"/>
    </row>
    <row r="166" spans="1:17" x14ac:dyDescent="0.2">
      <c r="C166" s="8"/>
      <c r="D166" s="8"/>
      <c r="E166" s="8"/>
      <c r="F166" s="8"/>
      <c r="G166" s="354"/>
      <c r="H166" s="404"/>
      <c r="I166" s="542"/>
      <c r="M166" s="8"/>
      <c r="N166" s="8"/>
      <c r="O166" s="8"/>
      <c r="P166" s="8"/>
      <c r="Q166" s="8"/>
    </row>
    <row r="167" spans="1:17" x14ac:dyDescent="0.2">
      <c r="C167" s="8"/>
      <c r="D167" s="8"/>
      <c r="E167" s="8"/>
      <c r="F167" s="8"/>
      <c r="G167" s="354"/>
      <c r="H167" s="404"/>
      <c r="I167" s="542"/>
      <c r="M167" s="8"/>
      <c r="N167" s="8"/>
      <c r="O167" s="8"/>
      <c r="P167" s="8"/>
      <c r="Q167" s="8"/>
    </row>
    <row r="168" spans="1:17" x14ac:dyDescent="0.2">
      <c r="C168" s="8"/>
      <c r="D168" s="8"/>
      <c r="E168" s="8"/>
      <c r="F168" s="8"/>
      <c r="G168" s="354"/>
      <c r="H168" s="404"/>
      <c r="I168" s="542"/>
      <c r="M168" s="8"/>
      <c r="N168" s="8"/>
      <c r="O168" s="8"/>
      <c r="P168" s="8"/>
      <c r="Q168" s="8"/>
    </row>
    <row r="169" spans="1:17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spans="1:17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spans="1:17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spans="1:17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spans="1:17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spans="1:17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spans="1:17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spans="1:17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spans="3:27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spans="3:27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spans="3:27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spans="3:27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spans="3:27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spans="3:27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spans="3:27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spans="3:27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spans="3:27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spans="3:27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spans="3:27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spans="3:27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3:27" ht="17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60" t="s">
        <v>551</v>
      </c>
      <c r="Q189" s="402"/>
      <c r="R189" s="402"/>
      <c r="S189" s="402"/>
      <c r="T189" s="402"/>
      <c r="U189" s="402"/>
      <c r="V189" s="402"/>
      <c r="W189" s="402"/>
      <c r="X189" s="402"/>
      <c r="Y189" s="354"/>
      <c r="Z189" s="402"/>
      <c r="AA189" s="403"/>
    </row>
    <row r="190" spans="3:27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59"/>
      <c r="Q190" s="678" t="s">
        <v>552</v>
      </c>
      <c r="R190" s="678"/>
      <c r="S190" s="678"/>
      <c r="T190" s="678"/>
      <c r="U190" s="405"/>
      <c r="V190" s="405"/>
      <c r="W190" s="405"/>
      <c r="X190" s="405"/>
      <c r="Y190" s="354"/>
      <c r="Z190" s="405"/>
      <c r="AA190" s="405"/>
    </row>
    <row r="191" spans="3:27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59"/>
      <c r="Q191" s="678" t="s">
        <v>553</v>
      </c>
      <c r="R191" s="678"/>
      <c r="S191" s="678"/>
      <c r="T191" s="678"/>
      <c r="U191" s="405"/>
      <c r="V191" s="405"/>
      <c r="W191" s="405"/>
      <c r="X191" s="405"/>
      <c r="Y191" s="354"/>
      <c r="Z191" s="405"/>
      <c r="AA191" s="405"/>
    </row>
    <row r="192" spans="3:27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59"/>
      <c r="Q192" s="678" t="s">
        <v>554</v>
      </c>
      <c r="R192" s="678"/>
      <c r="S192" s="678"/>
      <c r="T192" s="678"/>
      <c r="U192" s="405"/>
      <c r="V192" s="405"/>
      <c r="W192" s="405"/>
      <c r="X192" s="405"/>
      <c r="Y192" s="354"/>
      <c r="Z192" s="405"/>
      <c r="AA192" s="405"/>
    </row>
    <row r="193" spans="3:34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59"/>
      <c r="Q193" s="678" t="s">
        <v>555</v>
      </c>
      <c r="R193" s="678"/>
      <c r="S193" s="678"/>
      <c r="T193" s="405"/>
      <c r="U193" s="405"/>
      <c r="V193" s="405"/>
      <c r="W193" s="405"/>
      <c r="X193" s="405"/>
      <c r="Y193" s="354"/>
      <c r="Z193" s="405"/>
      <c r="AA193" s="405"/>
    </row>
    <row r="194" spans="3:34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59"/>
      <c r="Q194" s="678" t="s">
        <v>556</v>
      </c>
      <c r="R194" s="678"/>
      <c r="S194" s="678"/>
      <c r="T194" s="678"/>
      <c r="U194" s="678"/>
      <c r="V194" s="405"/>
      <c r="W194" s="405"/>
      <c r="X194" s="405"/>
      <c r="Y194" s="354"/>
      <c r="Z194" s="405"/>
      <c r="AA194" s="405"/>
    </row>
    <row r="195" spans="3:34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59"/>
      <c r="Q195" s="678" t="s">
        <v>557</v>
      </c>
      <c r="R195" s="678"/>
      <c r="S195" s="678"/>
      <c r="T195" s="678"/>
      <c r="U195" s="678"/>
      <c r="V195" s="678"/>
      <c r="W195" s="678"/>
      <c r="X195" s="405"/>
      <c r="Y195" s="354"/>
      <c r="Z195" s="405"/>
      <c r="AA195" s="405"/>
    </row>
    <row r="196" spans="3:34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59"/>
      <c r="Q196" s="678" t="s">
        <v>558</v>
      </c>
      <c r="R196" s="678"/>
      <c r="S196" s="678"/>
      <c r="T196" s="678"/>
      <c r="U196" s="405"/>
      <c r="V196" s="405"/>
      <c r="W196" s="405"/>
      <c r="X196" s="405"/>
      <c r="Y196" s="354"/>
      <c r="Z196" s="405"/>
      <c r="AA196" s="405"/>
    </row>
    <row r="197" spans="3:34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59"/>
      <c r="Q197" s="678" t="s">
        <v>559</v>
      </c>
      <c r="R197" s="678"/>
      <c r="S197" s="678"/>
      <c r="T197" s="678"/>
      <c r="U197" s="678"/>
      <c r="V197" s="405"/>
      <c r="W197" s="405"/>
      <c r="X197" s="405"/>
      <c r="Y197" s="354"/>
      <c r="Z197" s="405"/>
      <c r="AA197" s="405"/>
    </row>
    <row r="198" spans="3:34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AB198" s="354"/>
      <c r="AC198" s="354"/>
      <c r="AD198" s="354"/>
      <c r="AE198" s="354"/>
      <c r="AF198" s="354"/>
      <c r="AG198" s="404"/>
      <c r="AH198" s="402"/>
    </row>
    <row r="199" spans="3:34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AB199" s="354"/>
      <c r="AC199" s="354"/>
      <c r="AD199" s="354"/>
      <c r="AE199" s="354"/>
      <c r="AF199" s="354"/>
      <c r="AG199" s="405"/>
      <c r="AH199" s="405"/>
    </row>
    <row r="200" spans="3:34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AB200" s="354"/>
      <c r="AC200" s="354"/>
      <c r="AD200" s="354"/>
      <c r="AE200" s="354"/>
      <c r="AF200" s="354"/>
      <c r="AG200" s="405"/>
      <c r="AH200" s="405"/>
    </row>
    <row r="201" spans="3:34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AB201" s="354"/>
      <c r="AC201" s="354"/>
      <c r="AD201" s="354"/>
      <c r="AE201" s="354"/>
      <c r="AF201" s="354"/>
      <c r="AG201" s="405"/>
      <c r="AH201" s="405"/>
    </row>
    <row r="202" spans="3:34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AB202" s="354"/>
      <c r="AC202" s="354"/>
      <c r="AD202" s="354"/>
      <c r="AE202" s="354"/>
      <c r="AF202" s="354"/>
      <c r="AG202" s="405"/>
      <c r="AH202" s="405"/>
    </row>
    <row r="203" spans="3:34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AB203" s="354"/>
      <c r="AC203" s="354"/>
      <c r="AD203" s="354"/>
      <c r="AE203" s="354"/>
      <c r="AF203" s="354"/>
      <c r="AG203" s="405"/>
      <c r="AH203" s="405"/>
    </row>
    <row r="204" spans="3:34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AB204" s="354"/>
      <c r="AC204" s="354"/>
      <c r="AD204" s="354"/>
      <c r="AE204" s="354"/>
      <c r="AF204" s="354"/>
      <c r="AG204" s="405"/>
      <c r="AH204" s="405"/>
    </row>
    <row r="205" spans="3:34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AB205" s="354"/>
      <c r="AC205" s="354"/>
      <c r="AD205" s="354"/>
      <c r="AE205" s="354"/>
      <c r="AF205" s="354"/>
      <c r="AG205" s="405"/>
      <c r="AH205" s="405"/>
    </row>
    <row r="206" spans="3:34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AB206" s="354"/>
      <c r="AC206" s="354"/>
      <c r="AD206" s="354"/>
      <c r="AE206" s="354"/>
      <c r="AF206" s="354"/>
      <c r="AG206" s="405"/>
      <c r="AH206" s="405"/>
    </row>
    <row r="207" spans="3:34" ht="16.25" customHeight="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AB207" s="405"/>
      <c r="AC207" s="405"/>
      <c r="AD207" s="405"/>
      <c r="AE207" s="405"/>
      <c r="AF207" s="405"/>
      <c r="AG207" s="405"/>
      <c r="AH207" s="405"/>
    </row>
    <row r="208" spans="3:34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spans="3:17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spans="3:17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spans="3:17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spans="3:17" x14ac:dyDescent="0.2"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spans="3:17" x14ac:dyDescent="0.2"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spans="3:17" x14ac:dyDescent="0.2"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spans="3:17" x14ac:dyDescent="0.2"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spans="3:17" x14ac:dyDescent="0.2"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spans="3:17" x14ac:dyDescent="0.2"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spans="3:17" x14ac:dyDescent="0.2"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spans="3:17" x14ac:dyDescent="0.2"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spans="3:17" x14ac:dyDescent="0.2"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spans="3:17" x14ac:dyDescent="0.2"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spans="3:17" x14ac:dyDescent="0.2"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spans="3:17" x14ac:dyDescent="0.2">
      <c r="G223" s="8"/>
      <c r="H223" s="8"/>
      <c r="I223" s="8"/>
    </row>
    <row r="224" spans="3:17" x14ac:dyDescent="0.2">
      <c r="G224" s="8"/>
      <c r="H224" s="8"/>
      <c r="I224" s="8"/>
    </row>
    <row r="225" spans="7:9" x14ac:dyDescent="0.2">
      <c r="G225" s="8"/>
      <c r="H225" s="8"/>
      <c r="I225" s="8"/>
    </row>
    <row r="226" spans="7:9" x14ac:dyDescent="0.2">
      <c r="G226" s="8"/>
      <c r="H226" s="8"/>
      <c r="I226" s="8"/>
    </row>
    <row r="227" spans="7:9" x14ac:dyDescent="0.2">
      <c r="G227" s="8"/>
      <c r="H227" s="8"/>
      <c r="I227" s="8"/>
    </row>
    <row r="228" spans="7:9" x14ac:dyDescent="0.2">
      <c r="G228" s="8"/>
      <c r="H228" s="8"/>
      <c r="I228" s="8"/>
    </row>
    <row r="229" spans="7:9" x14ac:dyDescent="0.2">
      <c r="G229" s="8"/>
      <c r="H229" s="8"/>
      <c r="I229" s="8"/>
    </row>
    <row r="230" spans="7:9" x14ac:dyDescent="0.2">
      <c r="G230" s="8"/>
      <c r="H230" s="8"/>
      <c r="I230" s="8"/>
    </row>
    <row r="231" spans="7:9" x14ac:dyDescent="0.2">
      <c r="G231" s="8"/>
      <c r="H231" s="8"/>
      <c r="I231" s="8"/>
    </row>
    <row r="232" spans="7:9" x14ac:dyDescent="0.2">
      <c r="G232" s="8"/>
      <c r="H232" s="8"/>
      <c r="I232" s="8"/>
    </row>
  </sheetData>
  <mergeCells count="8">
    <mergeCell ref="Q196:T196"/>
    <mergeCell ref="Q197:U197"/>
    <mergeCell ref="Q190:T190"/>
    <mergeCell ref="Q191:T191"/>
    <mergeCell ref="Q192:T192"/>
    <mergeCell ref="Q193:S193"/>
    <mergeCell ref="Q194:U194"/>
    <mergeCell ref="Q195:W195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16"/>
      <c r="B1" s="416" t="s">
        <v>14</v>
      </c>
      <c r="C1" s="416" t="s">
        <v>560</v>
      </c>
      <c r="D1" s="416" t="s">
        <v>24</v>
      </c>
      <c r="E1" s="416" t="s">
        <v>490</v>
      </c>
      <c r="F1" s="416" t="s">
        <v>561</v>
      </c>
      <c r="G1" s="416" t="s">
        <v>562</v>
      </c>
      <c r="H1" s="416" t="s">
        <v>563</v>
      </c>
      <c r="I1" s="416" t="s">
        <v>8</v>
      </c>
      <c r="J1" s="416" t="s">
        <v>45</v>
      </c>
      <c r="K1" s="416" t="s">
        <v>82</v>
      </c>
    </row>
    <row r="2" spans="1:15" ht="16" x14ac:dyDescent="0.2">
      <c r="A2" s="417">
        <v>45108</v>
      </c>
      <c r="B2" s="418">
        <v>24538</v>
      </c>
      <c r="C2" s="418">
        <v>21744</v>
      </c>
      <c r="D2" s="418">
        <v>24538</v>
      </c>
      <c r="E2" s="418">
        <v>23940</v>
      </c>
      <c r="F2" s="418">
        <v>1234</v>
      </c>
      <c r="G2" s="418">
        <v>15397</v>
      </c>
      <c r="H2" s="418">
        <v>20367</v>
      </c>
      <c r="I2" s="418">
        <v>5164</v>
      </c>
      <c r="J2" s="419" t="s">
        <v>549</v>
      </c>
      <c r="K2" s="418">
        <f>SUM(B2:J2)</f>
        <v>136922</v>
      </c>
      <c r="N2" s="517" t="s">
        <v>564</v>
      </c>
      <c r="O2" s="517" t="s">
        <v>565</v>
      </c>
    </row>
    <row r="3" spans="1:15" ht="16" x14ac:dyDescent="0.2">
      <c r="A3" s="417">
        <v>45139</v>
      </c>
      <c r="B3" s="418">
        <v>32023</v>
      </c>
      <c r="C3" s="418">
        <v>23917</v>
      </c>
      <c r="D3" s="418">
        <v>32023</v>
      </c>
      <c r="E3" s="418">
        <v>29050</v>
      </c>
      <c r="F3" s="418">
        <v>1446</v>
      </c>
      <c r="G3" s="418">
        <v>16293</v>
      </c>
      <c r="H3" s="418">
        <v>21851</v>
      </c>
      <c r="I3" s="418">
        <v>5090</v>
      </c>
      <c r="J3" s="419" t="s">
        <v>549</v>
      </c>
      <c r="K3" s="418">
        <f t="shared" ref="K3:K12" si="0">SUM(B3:J3)</f>
        <v>161693</v>
      </c>
      <c r="N3" s="420" t="s">
        <v>562</v>
      </c>
      <c r="O3" s="421" t="s">
        <v>566</v>
      </c>
    </row>
    <row r="4" spans="1:15" ht="16" x14ac:dyDescent="0.2">
      <c r="A4" s="417">
        <v>45170</v>
      </c>
      <c r="B4" s="418">
        <v>33678</v>
      </c>
      <c r="C4" s="418">
        <v>34781</v>
      </c>
      <c r="D4" s="418">
        <v>23660</v>
      </c>
      <c r="E4" s="418">
        <v>18300</v>
      </c>
      <c r="F4" s="418">
        <v>1142</v>
      </c>
      <c r="G4" s="418">
        <v>16977</v>
      </c>
      <c r="H4" s="418">
        <v>21635</v>
      </c>
      <c r="I4" s="418">
        <v>7710</v>
      </c>
      <c r="J4" s="419" t="s">
        <v>549</v>
      </c>
      <c r="K4" s="418">
        <f t="shared" si="0"/>
        <v>157883</v>
      </c>
      <c r="N4" s="420" t="s">
        <v>567</v>
      </c>
      <c r="O4" s="420" t="s">
        <v>568</v>
      </c>
    </row>
    <row r="5" spans="1:15" ht="16" x14ac:dyDescent="0.2">
      <c r="A5" s="417">
        <v>45200</v>
      </c>
      <c r="B5" s="418">
        <v>30520</v>
      </c>
      <c r="C5" s="418">
        <v>33067</v>
      </c>
      <c r="D5" s="418">
        <v>22740</v>
      </c>
      <c r="E5" s="418">
        <v>17930</v>
      </c>
      <c r="F5" s="418">
        <v>1512</v>
      </c>
      <c r="G5" s="418">
        <v>17573</v>
      </c>
      <c r="H5" s="418">
        <v>23299</v>
      </c>
      <c r="I5" s="418">
        <v>7128</v>
      </c>
      <c r="J5" s="419" t="s">
        <v>549</v>
      </c>
      <c r="K5" s="418">
        <f t="shared" si="0"/>
        <v>153769</v>
      </c>
      <c r="N5" s="420" t="s">
        <v>8</v>
      </c>
      <c r="O5" s="420" t="s">
        <v>569</v>
      </c>
    </row>
    <row r="6" spans="1:15" ht="16" x14ac:dyDescent="0.2">
      <c r="A6" s="417">
        <v>45231</v>
      </c>
      <c r="B6" s="418">
        <v>33259</v>
      </c>
      <c r="C6" s="418">
        <v>33410</v>
      </c>
      <c r="D6" s="418">
        <v>20571</v>
      </c>
      <c r="E6" s="418">
        <v>19760</v>
      </c>
      <c r="F6" s="418">
        <v>1767</v>
      </c>
      <c r="G6" s="418">
        <v>18181</v>
      </c>
      <c r="H6" s="418">
        <v>23075</v>
      </c>
      <c r="I6" s="418">
        <v>7879</v>
      </c>
      <c r="J6" s="419" t="s">
        <v>549</v>
      </c>
      <c r="K6" s="418">
        <f t="shared" si="0"/>
        <v>157902</v>
      </c>
      <c r="N6" s="420" t="s">
        <v>570</v>
      </c>
      <c r="O6" s="420" t="s">
        <v>570</v>
      </c>
    </row>
    <row r="7" spans="1:15" ht="16" x14ac:dyDescent="0.2">
      <c r="A7" s="417">
        <v>45261</v>
      </c>
      <c r="B7" s="418">
        <v>30251</v>
      </c>
      <c r="C7" s="418">
        <v>28610</v>
      </c>
      <c r="D7" s="418">
        <v>18500</v>
      </c>
      <c r="E7" s="418">
        <v>19890</v>
      </c>
      <c r="F7" s="418">
        <v>1338</v>
      </c>
      <c r="G7" s="418">
        <v>16001</v>
      </c>
      <c r="H7" s="418">
        <v>22396</v>
      </c>
      <c r="I7" s="418">
        <v>6190</v>
      </c>
      <c r="J7" s="419" t="s">
        <v>549</v>
      </c>
      <c r="K7" s="418">
        <f t="shared" si="0"/>
        <v>143176</v>
      </c>
      <c r="N7" s="420" t="s">
        <v>571</v>
      </c>
      <c r="O7" s="421" t="s">
        <v>572</v>
      </c>
    </row>
    <row r="8" spans="1:15" ht="16" x14ac:dyDescent="0.2">
      <c r="A8" s="417">
        <v>45292</v>
      </c>
      <c r="B8" s="418">
        <v>22433</v>
      </c>
      <c r="C8" s="418">
        <v>22959</v>
      </c>
      <c r="D8" s="418">
        <v>20720</v>
      </c>
      <c r="E8" s="418">
        <v>20330</v>
      </c>
      <c r="F8" s="418">
        <v>1356</v>
      </c>
      <c r="G8" s="418">
        <v>14704</v>
      </c>
      <c r="H8" s="418">
        <v>21806</v>
      </c>
      <c r="I8" s="418">
        <v>5979</v>
      </c>
      <c r="J8" s="419" t="s">
        <v>549</v>
      </c>
      <c r="K8" s="418">
        <f t="shared" si="0"/>
        <v>130287</v>
      </c>
      <c r="N8" s="420" t="s">
        <v>573</v>
      </c>
      <c r="O8" s="421" t="s">
        <v>574</v>
      </c>
    </row>
    <row r="9" spans="1:15" ht="16" x14ac:dyDescent="0.2">
      <c r="A9" s="417">
        <v>45323</v>
      </c>
      <c r="B9" s="418">
        <v>24875</v>
      </c>
      <c r="C9" s="418">
        <v>24776</v>
      </c>
      <c r="D9" s="418">
        <v>20343</v>
      </c>
      <c r="E9" s="418">
        <v>15820</v>
      </c>
      <c r="F9" s="418">
        <v>1020</v>
      </c>
      <c r="G9" s="418">
        <v>13870</v>
      </c>
      <c r="H9" s="418">
        <v>17213</v>
      </c>
      <c r="I9" s="418">
        <v>5095</v>
      </c>
      <c r="J9" s="419" t="s">
        <v>549</v>
      </c>
      <c r="K9" s="418">
        <f t="shared" si="0"/>
        <v>123012</v>
      </c>
      <c r="N9" s="420" t="s">
        <v>561</v>
      </c>
      <c r="O9" s="420" t="s">
        <v>575</v>
      </c>
    </row>
    <row r="10" spans="1:15" ht="16" x14ac:dyDescent="0.2">
      <c r="A10" s="417">
        <v>45352</v>
      </c>
      <c r="B10" s="418">
        <v>30076</v>
      </c>
      <c r="C10" s="418">
        <v>29629</v>
      </c>
      <c r="D10" s="418">
        <v>19412</v>
      </c>
      <c r="E10" s="418">
        <v>17340</v>
      </c>
      <c r="F10" s="418">
        <v>1131</v>
      </c>
      <c r="G10" s="418">
        <v>17880</v>
      </c>
      <c r="H10" s="418">
        <v>20056</v>
      </c>
      <c r="I10" s="418">
        <v>6175</v>
      </c>
      <c r="J10" s="419" t="s">
        <v>549</v>
      </c>
      <c r="K10" s="418">
        <f t="shared" si="0"/>
        <v>141699</v>
      </c>
      <c r="N10" s="420" t="s">
        <v>560</v>
      </c>
      <c r="O10" s="420" t="s">
        <v>576</v>
      </c>
    </row>
    <row r="11" spans="1:15" ht="16" x14ac:dyDescent="0.2">
      <c r="A11" s="417">
        <v>45383</v>
      </c>
      <c r="B11" s="418">
        <v>30642</v>
      </c>
      <c r="C11" s="418">
        <v>26442</v>
      </c>
      <c r="D11" s="418">
        <v>20486</v>
      </c>
      <c r="E11" s="418">
        <v>18260</v>
      </c>
      <c r="F11" s="418">
        <v>883</v>
      </c>
      <c r="G11" s="418">
        <v>15053</v>
      </c>
      <c r="H11" s="418">
        <v>19608</v>
      </c>
      <c r="I11" s="418">
        <v>4888</v>
      </c>
      <c r="J11" s="419" t="s">
        <v>549</v>
      </c>
      <c r="K11" s="418">
        <f t="shared" si="0"/>
        <v>136262</v>
      </c>
      <c r="N11" s="420" t="s">
        <v>490</v>
      </c>
      <c r="O11" s="420" t="s">
        <v>577</v>
      </c>
    </row>
    <row r="12" spans="1:15" ht="16" x14ac:dyDescent="0.2">
      <c r="A12" s="417">
        <v>45413</v>
      </c>
      <c r="B12" s="418">
        <v>43625</v>
      </c>
      <c r="C12" s="418">
        <v>32901</v>
      </c>
      <c r="D12" s="418">
        <v>21884</v>
      </c>
      <c r="E12" s="418">
        <v>21780</v>
      </c>
      <c r="F12" s="418">
        <v>1338</v>
      </c>
      <c r="G12" s="418">
        <v>20425</v>
      </c>
      <c r="H12" s="418">
        <v>21124</v>
      </c>
      <c r="I12" s="418">
        <v>5164</v>
      </c>
      <c r="J12" s="419" t="s">
        <v>549</v>
      </c>
      <c r="K12" s="418">
        <f t="shared" si="0"/>
        <v>168241</v>
      </c>
      <c r="N12" s="420" t="s">
        <v>496</v>
      </c>
      <c r="O12" s="420" t="s">
        <v>578</v>
      </c>
    </row>
    <row r="13" spans="1:15" x14ac:dyDescent="0.2">
      <c r="A13" s="417">
        <v>45444</v>
      </c>
      <c r="B13" s="418">
        <v>36930</v>
      </c>
      <c r="C13" s="418">
        <v>24515</v>
      </c>
      <c r="D13" s="418">
        <v>22658</v>
      </c>
      <c r="E13" s="418">
        <v>19770</v>
      </c>
      <c r="F13" s="418">
        <v>780</v>
      </c>
      <c r="G13" s="418">
        <v>19424</v>
      </c>
      <c r="H13" s="418">
        <v>17962</v>
      </c>
      <c r="I13" s="418">
        <v>4391</v>
      </c>
      <c r="J13" s="419" t="s">
        <v>549</v>
      </c>
      <c r="K13" s="418">
        <f t="shared" ref="K13:K25" si="1">SUM(B13:J13)</f>
        <v>146430</v>
      </c>
      <c r="L13" s="422">
        <f>SUM(K2:K13)</f>
        <v>1757276</v>
      </c>
    </row>
    <row r="14" spans="1:15" x14ac:dyDescent="0.2">
      <c r="A14" s="417">
        <v>45474</v>
      </c>
      <c r="B14" s="418">
        <v>25340</v>
      </c>
      <c r="C14" s="418">
        <v>24197</v>
      </c>
      <c r="D14" s="418">
        <v>18706</v>
      </c>
      <c r="E14" s="418">
        <v>23390</v>
      </c>
      <c r="F14" s="418">
        <v>1181</v>
      </c>
      <c r="G14" s="418">
        <v>18237</v>
      </c>
      <c r="H14" s="418">
        <v>21370</v>
      </c>
      <c r="I14" s="418">
        <v>4741</v>
      </c>
      <c r="J14" s="419" t="s">
        <v>549</v>
      </c>
      <c r="K14" s="418">
        <f t="shared" si="1"/>
        <v>137162</v>
      </c>
    </row>
    <row r="15" spans="1:15" x14ac:dyDescent="0.2">
      <c r="A15" s="417">
        <v>45505</v>
      </c>
      <c r="B15" s="418">
        <v>29881</v>
      </c>
      <c r="C15" s="418">
        <v>23900</v>
      </c>
      <c r="D15" s="418">
        <v>23141</v>
      </c>
      <c r="E15" s="418">
        <v>19700</v>
      </c>
      <c r="F15" s="418">
        <v>824</v>
      </c>
      <c r="G15" s="418">
        <v>18647</v>
      </c>
      <c r="H15" s="418">
        <v>18110</v>
      </c>
      <c r="I15" s="418">
        <v>5798</v>
      </c>
      <c r="J15" s="419" t="s">
        <v>549</v>
      </c>
      <c r="K15" s="418">
        <f t="shared" si="1"/>
        <v>140001</v>
      </c>
    </row>
    <row r="16" spans="1:15" x14ac:dyDescent="0.2">
      <c r="A16" s="417">
        <v>45536</v>
      </c>
      <c r="B16" s="418">
        <v>35310</v>
      </c>
      <c r="C16" s="418">
        <v>27318</v>
      </c>
      <c r="D16" s="418">
        <v>24410</v>
      </c>
      <c r="E16" s="418">
        <v>19020</v>
      </c>
      <c r="F16" s="418">
        <v>494</v>
      </c>
      <c r="G16" s="418">
        <v>19810</v>
      </c>
      <c r="H16" s="418">
        <v>20336</v>
      </c>
      <c r="I16" s="418">
        <v>7131</v>
      </c>
      <c r="J16" s="419" t="s">
        <v>549</v>
      </c>
      <c r="K16" s="418">
        <f t="shared" si="1"/>
        <v>153829</v>
      </c>
    </row>
    <row r="17" spans="1:12" x14ac:dyDescent="0.2">
      <c r="A17" s="417">
        <v>45566</v>
      </c>
      <c r="B17" s="418">
        <v>34316</v>
      </c>
      <c r="C17" s="418">
        <v>27481</v>
      </c>
      <c r="D17" s="418">
        <v>22550</v>
      </c>
      <c r="E17" s="418">
        <v>17510</v>
      </c>
      <c r="F17" s="418">
        <v>847</v>
      </c>
      <c r="G17" s="418">
        <v>22790</v>
      </c>
      <c r="H17" s="418">
        <v>23054</v>
      </c>
      <c r="I17" s="418">
        <v>8137</v>
      </c>
      <c r="J17" s="419" t="s">
        <v>549</v>
      </c>
      <c r="K17" s="418">
        <f t="shared" si="1"/>
        <v>156685</v>
      </c>
    </row>
    <row r="18" spans="1:12" x14ac:dyDescent="0.2">
      <c r="A18" s="417">
        <v>45597</v>
      </c>
      <c r="B18" s="418">
        <v>33644</v>
      </c>
      <c r="C18" s="418">
        <v>28361</v>
      </c>
      <c r="D18" s="418">
        <v>22574</v>
      </c>
      <c r="E18" s="418">
        <v>16450</v>
      </c>
      <c r="F18" s="418">
        <v>1181</v>
      </c>
      <c r="G18" s="418">
        <v>23820</v>
      </c>
      <c r="H18" s="418">
        <v>22365</v>
      </c>
      <c r="I18" s="418">
        <v>8954</v>
      </c>
      <c r="J18" s="419" t="s">
        <v>549</v>
      </c>
      <c r="K18" s="418">
        <f t="shared" si="1"/>
        <v>157349</v>
      </c>
    </row>
    <row r="19" spans="1:12" x14ac:dyDescent="0.2">
      <c r="A19" s="417">
        <v>45627</v>
      </c>
      <c r="B19" s="418">
        <v>22250</v>
      </c>
      <c r="C19" s="418">
        <v>19020</v>
      </c>
      <c r="D19" s="418">
        <v>17474</v>
      </c>
      <c r="E19" s="419" t="s">
        <v>549</v>
      </c>
      <c r="F19" s="418">
        <v>888</v>
      </c>
      <c r="G19" s="418">
        <v>14277</v>
      </c>
      <c r="H19" s="418">
        <v>14600</v>
      </c>
      <c r="I19" s="418">
        <v>5825</v>
      </c>
      <c r="J19" s="419" t="s">
        <v>549</v>
      </c>
      <c r="K19" s="418">
        <f t="shared" si="1"/>
        <v>94334</v>
      </c>
    </row>
    <row r="20" spans="1:12" x14ac:dyDescent="0.2">
      <c r="A20" s="417">
        <v>45658</v>
      </c>
      <c r="B20" s="418">
        <f>AVERAGE(B2:B19,B22:B25)</f>
        <v>31661.045454545456</v>
      </c>
      <c r="C20" s="418">
        <f t="shared" ref="C20:I20" si="2">AVERAGE(C2:C19,C22:C25)</f>
        <v>27002.227272727272</v>
      </c>
      <c r="D20" s="418">
        <f t="shared" si="2"/>
        <v>22169.545454545456</v>
      </c>
      <c r="E20" s="418">
        <f t="shared" si="2"/>
        <v>20128.571428571428</v>
      </c>
      <c r="F20" s="418">
        <f t="shared" si="2"/>
        <v>1110.409090909091</v>
      </c>
      <c r="G20" s="418">
        <f t="shared" si="2"/>
        <v>17956.090909090908</v>
      </c>
      <c r="H20" s="418">
        <f t="shared" si="2"/>
        <v>20734.590909090908</v>
      </c>
      <c r="I20" s="418">
        <f t="shared" si="2"/>
        <v>5813.363636363636</v>
      </c>
      <c r="J20" s="419" t="s">
        <v>549</v>
      </c>
      <c r="K20" s="418">
        <f t="shared" si="1"/>
        <v>146575.84415584416</v>
      </c>
    </row>
    <row r="21" spans="1:12" x14ac:dyDescent="0.2">
      <c r="A21" s="417">
        <v>45689</v>
      </c>
      <c r="B21" s="418">
        <f>AVERAGE(B2:B19,B22:B25)</f>
        <v>31661.045454545456</v>
      </c>
      <c r="C21" s="418">
        <f t="shared" ref="C21:I21" si="3">AVERAGE(C2:C19,C22:C25)</f>
        <v>27002.227272727272</v>
      </c>
      <c r="D21" s="418">
        <f t="shared" si="3"/>
        <v>22169.545454545456</v>
      </c>
      <c r="E21" s="418">
        <f t="shared" si="3"/>
        <v>20128.571428571428</v>
      </c>
      <c r="F21" s="418">
        <f t="shared" si="3"/>
        <v>1110.409090909091</v>
      </c>
      <c r="G21" s="418">
        <f t="shared" si="3"/>
        <v>17956.090909090908</v>
      </c>
      <c r="H21" s="418">
        <f t="shared" si="3"/>
        <v>20734.590909090908</v>
      </c>
      <c r="I21" s="418">
        <f t="shared" si="3"/>
        <v>5813.363636363636</v>
      </c>
      <c r="J21" s="419" t="s">
        <v>549</v>
      </c>
      <c r="K21" s="418">
        <f t="shared" si="1"/>
        <v>146575.84415584416</v>
      </c>
    </row>
    <row r="22" spans="1:12" x14ac:dyDescent="0.2">
      <c r="A22" s="417">
        <v>45717</v>
      </c>
      <c r="B22" s="418">
        <v>34294</v>
      </c>
      <c r="C22" s="418">
        <v>29801</v>
      </c>
      <c r="D22" s="418">
        <v>24654</v>
      </c>
      <c r="E22" s="418">
        <v>19610</v>
      </c>
      <c r="F22" s="418">
        <v>1346</v>
      </c>
      <c r="G22" s="418">
        <v>19762</v>
      </c>
      <c r="H22" s="418">
        <v>22464</v>
      </c>
      <c r="I22" s="418">
        <v>4465</v>
      </c>
      <c r="J22" s="418">
        <v>2811</v>
      </c>
      <c r="K22" s="418">
        <f t="shared" si="1"/>
        <v>159207</v>
      </c>
    </row>
    <row r="23" spans="1:12" x14ac:dyDescent="0.2">
      <c r="A23" s="417">
        <v>45748</v>
      </c>
      <c r="B23" s="418">
        <v>33529</v>
      </c>
      <c r="C23" s="418">
        <v>24621</v>
      </c>
      <c r="D23" s="418">
        <v>21880</v>
      </c>
      <c r="E23" s="418">
        <v>21290</v>
      </c>
      <c r="F23" s="418">
        <v>876</v>
      </c>
      <c r="G23" s="418">
        <v>16938</v>
      </c>
      <c r="H23" s="418">
        <v>20489</v>
      </c>
      <c r="I23" s="418">
        <v>4359</v>
      </c>
      <c r="J23" s="418">
        <v>2381</v>
      </c>
      <c r="K23" s="418">
        <f t="shared" si="1"/>
        <v>146363</v>
      </c>
    </row>
    <row r="24" spans="1:12" x14ac:dyDescent="0.2">
      <c r="A24" s="417">
        <v>45778</v>
      </c>
      <c r="B24" s="418">
        <v>40048</v>
      </c>
      <c r="C24" s="418">
        <v>27099</v>
      </c>
      <c r="D24" s="418">
        <v>23180</v>
      </c>
      <c r="E24" s="418">
        <v>19990</v>
      </c>
      <c r="F24" s="418">
        <v>850</v>
      </c>
      <c r="G24" s="418">
        <v>20186</v>
      </c>
      <c r="H24" s="418">
        <v>21851</v>
      </c>
      <c r="I24" s="418">
        <v>4217</v>
      </c>
      <c r="J24" s="418">
        <v>2698</v>
      </c>
      <c r="K24" s="418">
        <f t="shared" si="1"/>
        <v>160119</v>
      </c>
    </row>
    <row r="25" spans="1:12" x14ac:dyDescent="0.2">
      <c r="A25" s="417">
        <v>45809</v>
      </c>
      <c r="B25" s="418">
        <v>35081</v>
      </c>
      <c r="C25" s="418">
        <v>25500</v>
      </c>
      <c r="D25" s="418">
        <v>21626</v>
      </c>
      <c r="E25" s="418">
        <v>23570</v>
      </c>
      <c r="F25" s="418">
        <v>995</v>
      </c>
      <c r="G25" s="418">
        <v>18789</v>
      </c>
      <c r="H25" s="418">
        <v>21130</v>
      </c>
      <c r="I25" s="418">
        <v>3414</v>
      </c>
      <c r="J25" s="418">
        <v>2109</v>
      </c>
      <c r="K25" s="418">
        <f t="shared" si="1"/>
        <v>152214</v>
      </c>
      <c r="L25" s="422">
        <f>SUM(K14:K25)</f>
        <v>1750414.6883116884</v>
      </c>
    </row>
    <row r="26" spans="1:12" x14ac:dyDescent="0.2">
      <c r="B26" s="422"/>
      <c r="C26" s="422"/>
      <c r="D26" s="422"/>
      <c r="E26" s="422"/>
      <c r="F26" s="422"/>
      <c r="G26" s="422"/>
      <c r="H26" s="422"/>
      <c r="I26" s="422"/>
      <c r="J26" s="422"/>
      <c r="K26" s="422"/>
    </row>
    <row r="27" spans="1:12" x14ac:dyDescent="0.2">
      <c r="B27" s="422"/>
      <c r="C27" s="422"/>
      <c r="D27" s="422"/>
      <c r="E27" s="422"/>
      <c r="F27" s="422"/>
      <c r="G27" s="422"/>
      <c r="H27" s="422"/>
      <c r="I27" s="422"/>
      <c r="J27" s="422"/>
      <c r="K27" s="422"/>
    </row>
    <row r="28" spans="1:12" x14ac:dyDescent="0.2">
      <c r="A28" t="s">
        <v>74</v>
      </c>
      <c r="B28" s="422">
        <f>SUM(B2:B13)</f>
        <v>372850</v>
      </c>
      <c r="C28" s="422">
        <f t="shared" ref="C28:J28" si="4">SUM(C2:C13)</f>
        <v>336751</v>
      </c>
      <c r="D28" s="422">
        <f t="shared" si="4"/>
        <v>267535</v>
      </c>
      <c r="E28" s="422">
        <f t="shared" si="4"/>
        <v>242170</v>
      </c>
      <c r="F28" s="422">
        <f t="shared" si="4"/>
        <v>14947</v>
      </c>
      <c r="G28" s="422">
        <f t="shared" si="4"/>
        <v>201778</v>
      </c>
      <c r="H28" s="422">
        <f t="shared" si="4"/>
        <v>250392</v>
      </c>
      <c r="I28" s="422">
        <f t="shared" si="4"/>
        <v>70853</v>
      </c>
      <c r="J28" s="422">
        <f t="shared" si="4"/>
        <v>0</v>
      </c>
      <c r="K28" s="422"/>
    </row>
    <row r="29" spans="1:12" x14ac:dyDescent="0.2">
      <c r="A29" t="s">
        <v>76</v>
      </c>
      <c r="B29" s="422">
        <f>SUM(B14:B25)</f>
        <v>387015.09090909094</v>
      </c>
      <c r="C29" s="422">
        <f t="shared" ref="C29:J29" si="5">SUM(C14:C25)</f>
        <v>311302.45454545453</v>
      </c>
      <c r="D29" s="422">
        <f t="shared" si="5"/>
        <v>264534.09090909094</v>
      </c>
      <c r="E29" s="422">
        <f t="shared" si="5"/>
        <v>220787.14285714284</v>
      </c>
      <c r="F29" s="422">
        <f t="shared" si="5"/>
        <v>11702.818181818182</v>
      </c>
      <c r="G29" s="422">
        <f t="shared" si="5"/>
        <v>229168.18181818182</v>
      </c>
      <c r="H29" s="422">
        <f t="shared" si="5"/>
        <v>247238.18181818182</v>
      </c>
      <c r="I29" s="422">
        <f t="shared" si="5"/>
        <v>68667.727272727265</v>
      </c>
      <c r="J29" s="422">
        <f t="shared" si="5"/>
        <v>9999</v>
      </c>
    </row>
    <row r="31" spans="1:12" x14ac:dyDescent="0.2">
      <c r="B31" s="422"/>
      <c r="C31" s="422"/>
      <c r="D31" s="422"/>
      <c r="E31" s="422"/>
    </row>
    <row r="33" spans="6:8" ht="16" thickBot="1" x14ac:dyDescent="0.25"/>
    <row r="34" spans="6:8" ht="28" thickBot="1" x14ac:dyDescent="0.25">
      <c r="F34" s="423" t="s">
        <v>74</v>
      </c>
      <c r="G34" s="423" t="s">
        <v>76</v>
      </c>
    </row>
    <row r="35" spans="6:8" ht="28" thickTop="1" thickBot="1" x14ac:dyDescent="0.25">
      <c r="F35" s="424">
        <v>372850</v>
      </c>
      <c r="G35" s="424">
        <v>387015</v>
      </c>
      <c r="H35" s="426">
        <f>(F35-G35)/G35</f>
        <v>-3.6600648553673627E-2</v>
      </c>
    </row>
    <row r="36" spans="6:8" ht="27" thickBot="1" x14ac:dyDescent="0.25">
      <c r="F36" s="425">
        <v>336751</v>
      </c>
      <c r="G36" s="425">
        <v>311302</v>
      </c>
      <c r="H36" s="426">
        <f t="shared" ref="H36:H44" si="6">(F36-G36)/G36</f>
        <v>8.175019755735588E-2</v>
      </c>
    </row>
    <row r="37" spans="6:8" ht="27" thickBot="1" x14ac:dyDescent="0.25">
      <c r="F37" s="425">
        <v>267535</v>
      </c>
      <c r="G37" s="425">
        <v>264534</v>
      </c>
      <c r="H37" s="426">
        <f t="shared" si="6"/>
        <v>1.1344477458474146E-2</v>
      </c>
    </row>
    <row r="38" spans="6:8" ht="27" thickBot="1" x14ac:dyDescent="0.25">
      <c r="F38" s="425">
        <v>250392</v>
      </c>
      <c r="G38" s="425">
        <v>247238</v>
      </c>
      <c r="H38" s="426">
        <f t="shared" si="6"/>
        <v>1.2756938658296864E-2</v>
      </c>
    </row>
    <row r="39" spans="6:8" ht="27" thickBot="1" x14ac:dyDescent="0.25">
      <c r="F39" s="425">
        <v>201778</v>
      </c>
      <c r="G39" s="425">
        <v>229168</v>
      </c>
      <c r="H39" s="426">
        <f t="shared" si="6"/>
        <v>-0.11951930461495497</v>
      </c>
    </row>
    <row r="40" spans="6:8" ht="27" thickBot="1" x14ac:dyDescent="0.25">
      <c r="F40" s="425">
        <v>242170</v>
      </c>
      <c r="G40" s="425">
        <v>220787</v>
      </c>
      <c r="H40" s="426">
        <f t="shared" si="6"/>
        <v>9.6848999261731891E-2</v>
      </c>
    </row>
    <row r="41" spans="6:8" ht="27" thickBot="1" x14ac:dyDescent="0.25">
      <c r="F41" s="425">
        <v>70853</v>
      </c>
      <c r="G41" s="425">
        <v>68668</v>
      </c>
      <c r="H41" s="426">
        <f t="shared" si="6"/>
        <v>3.1819770489893401E-2</v>
      </c>
    </row>
    <row r="42" spans="6:8" ht="27" thickBot="1" x14ac:dyDescent="0.25">
      <c r="F42" s="425">
        <v>9999</v>
      </c>
      <c r="G42" s="425">
        <v>9999</v>
      </c>
      <c r="H42" s="426">
        <f t="shared" si="6"/>
        <v>0</v>
      </c>
    </row>
    <row r="43" spans="6:8" ht="27" thickBot="1" x14ac:dyDescent="0.25">
      <c r="F43" s="425">
        <v>14947</v>
      </c>
      <c r="G43" s="425">
        <v>11703</v>
      </c>
      <c r="H43" s="426">
        <f t="shared" si="6"/>
        <v>0.27719388191062122</v>
      </c>
    </row>
    <row r="44" spans="6:8" ht="27" thickBot="1" x14ac:dyDescent="0.25">
      <c r="F44" s="425">
        <v>1757276</v>
      </c>
      <c r="G44" s="425">
        <v>1750415</v>
      </c>
      <c r="H44" s="426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478">
        <v>45748</v>
      </c>
      <c r="B2" s="479">
        <v>246.4</v>
      </c>
      <c r="C2" s="479">
        <v>15.3</v>
      </c>
      <c r="D2" s="479">
        <v>51.6</v>
      </c>
      <c r="E2" s="479" t="s">
        <v>549</v>
      </c>
      <c r="F2" s="479" t="s">
        <v>549</v>
      </c>
      <c r="G2" s="479">
        <f>SUM(B2:F2)</f>
        <v>313.3</v>
      </c>
    </row>
    <row r="3" spans="1:8" x14ac:dyDescent="0.2">
      <c r="A3" s="478">
        <v>45778</v>
      </c>
      <c r="B3" s="479">
        <v>308.2</v>
      </c>
      <c r="C3" s="479">
        <v>25.3</v>
      </c>
      <c r="D3" s="479">
        <v>92.5</v>
      </c>
      <c r="E3" s="479" t="s">
        <v>549</v>
      </c>
      <c r="F3" s="479" t="s">
        <v>549</v>
      </c>
      <c r="G3" s="479">
        <f>SUM(B3:F3)</f>
        <v>426</v>
      </c>
      <c r="H3" s="427">
        <f>SUM(G2:G7)</f>
        <v>2454.5</v>
      </c>
    </row>
    <row r="4" spans="1:8" x14ac:dyDescent="0.2">
      <c r="A4" s="478">
        <v>45809</v>
      </c>
      <c r="B4" s="479">
        <v>254.2</v>
      </c>
      <c r="C4" s="479">
        <v>12.7</v>
      </c>
      <c r="D4" s="479">
        <v>58.3</v>
      </c>
      <c r="E4" s="479" t="s">
        <v>549</v>
      </c>
      <c r="F4" s="479" t="s">
        <v>549</v>
      </c>
      <c r="G4" s="479">
        <f t="shared" ref="G4:G16" si="0">SUM(B4:F4)</f>
        <v>325.2</v>
      </c>
    </row>
    <row r="5" spans="1:8" x14ac:dyDescent="0.2">
      <c r="A5" s="478">
        <v>45839</v>
      </c>
      <c r="B5" s="479">
        <v>509.7</v>
      </c>
      <c r="C5" s="479">
        <v>16.100000000000001</v>
      </c>
      <c r="D5" s="479">
        <v>55</v>
      </c>
      <c r="E5" s="479" t="s">
        <v>549</v>
      </c>
      <c r="F5" s="479" t="s">
        <v>549</v>
      </c>
      <c r="G5" s="479">
        <f t="shared" si="0"/>
        <v>580.79999999999995</v>
      </c>
    </row>
    <row r="6" spans="1:8" x14ac:dyDescent="0.2">
      <c r="A6" s="478">
        <v>45870</v>
      </c>
      <c r="B6" s="479">
        <v>411.2</v>
      </c>
      <c r="C6" s="479">
        <v>12</v>
      </c>
      <c r="D6" s="479">
        <v>83.1</v>
      </c>
      <c r="E6" s="479" t="s">
        <v>549</v>
      </c>
      <c r="F6" s="479" t="s">
        <v>549</v>
      </c>
      <c r="G6" s="479">
        <f t="shared" si="0"/>
        <v>506.29999999999995</v>
      </c>
    </row>
    <row r="7" spans="1:8" x14ac:dyDescent="0.2">
      <c r="A7" s="478">
        <v>45901</v>
      </c>
      <c r="B7" s="479">
        <v>208.7</v>
      </c>
      <c r="C7" s="479">
        <v>11.1</v>
      </c>
      <c r="D7" s="479">
        <v>83.1</v>
      </c>
      <c r="E7" s="479" t="s">
        <v>549</v>
      </c>
      <c r="F7" s="479" t="s">
        <v>549</v>
      </c>
      <c r="G7" s="479">
        <f t="shared" si="0"/>
        <v>302.89999999999998</v>
      </c>
      <c r="H7" s="509">
        <f>(G7-G5)/G5</f>
        <v>-0.47847796143250687</v>
      </c>
    </row>
    <row r="8" spans="1:8" x14ac:dyDescent="0.2">
      <c r="A8" s="478">
        <v>45931</v>
      </c>
      <c r="B8" s="479">
        <v>197.5</v>
      </c>
      <c r="C8" s="479">
        <v>21.4</v>
      </c>
      <c r="D8" s="479">
        <v>68.3</v>
      </c>
      <c r="E8" s="479" t="s">
        <v>549</v>
      </c>
      <c r="F8" s="479" t="s">
        <v>549</v>
      </c>
      <c r="G8" s="479">
        <f t="shared" si="0"/>
        <v>287.2</v>
      </c>
    </row>
    <row r="9" spans="1:8" x14ac:dyDescent="0.2">
      <c r="A9" s="478">
        <v>45962</v>
      </c>
      <c r="B9" s="479">
        <v>263.2</v>
      </c>
      <c r="C9" s="479">
        <v>11.9</v>
      </c>
      <c r="D9" s="479">
        <v>59.5</v>
      </c>
      <c r="E9" s="479" t="s">
        <v>549</v>
      </c>
      <c r="F9" s="479" t="s">
        <v>549</v>
      </c>
      <c r="G9" s="479">
        <f t="shared" si="0"/>
        <v>334.59999999999997</v>
      </c>
    </row>
    <row r="10" spans="1:8" x14ac:dyDescent="0.2">
      <c r="A10" s="478">
        <v>45992</v>
      </c>
      <c r="B10" s="479">
        <v>115</v>
      </c>
      <c r="C10" s="479">
        <v>9.1999999999999993</v>
      </c>
      <c r="D10" s="479">
        <v>45</v>
      </c>
      <c r="E10" s="479"/>
      <c r="F10" s="479"/>
      <c r="G10" s="479">
        <f t="shared" si="0"/>
        <v>169.2</v>
      </c>
      <c r="H10">
        <f>(G10-G9)/G9</f>
        <v>-0.49432157800358634</v>
      </c>
    </row>
    <row r="11" spans="1:8" x14ac:dyDescent="0.2">
      <c r="A11" s="478">
        <v>46023</v>
      </c>
      <c r="B11" s="479"/>
      <c r="C11" s="479"/>
      <c r="D11" s="479"/>
      <c r="E11" s="479"/>
      <c r="F11" s="479"/>
      <c r="G11" s="479">
        <f t="shared" si="0"/>
        <v>0</v>
      </c>
    </row>
    <row r="12" spans="1:8" x14ac:dyDescent="0.2">
      <c r="A12" s="478">
        <v>46054</v>
      </c>
      <c r="B12" s="479"/>
      <c r="C12" s="479"/>
      <c r="D12" s="479"/>
      <c r="E12" s="479"/>
      <c r="F12" s="479"/>
      <c r="G12" s="479">
        <f t="shared" si="0"/>
        <v>0</v>
      </c>
    </row>
    <row r="13" spans="1:8" x14ac:dyDescent="0.2">
      <c r="A13" s="478">
        <v>46082</v>
      </c>
      <c r="B13" s="479"/>
      <c r="C13" s="479"/>
      <c r="D13" s="479"/>
      <c r="E13" s="479"/>
      <c r="F13" s="479"/>
      <c r="G13" s="479">
        <f t="shared" si="0"/>
        <v>0</v>
      </c>
    </row>
    <row r="14" spans="1:8" x14ac:dyDescent="0.2">
      <c r="A14" s="478">
        <v>46113</v>
      </c>
      <c r="B14" s="479"/>
      <c r="C14" s="479"/>
      <c r="D14" s="479"/>
      <c r="E14" s="479"/>
      <c r="F14" s="479"/>
      <c r="G14" s="479">
        <f t="shared" si="0"/>
        <v>0</v>
      </c>
    </row>
    <row r="15" spans="1:8" x14ac:dyDescent="0.2">
      <c r="A15" s="478">
        <v>46143</v>
      </c>
      <c r="B15" s="479"/>
      <c r="C15" s="479"/>
      <c r="D15" s="479"/>
      <c r="E15" s="479"/>
      <c r="F15" s="479"/>
      <c r="G15" s="479">
        <f t="shared" si="0"/>
        <v>0</v>
      </c>
    </row>
    <row r="16" spans="1:8" x14ac:dyDescent="0.2">
      <c r="A16" s="478">
        <v>46174</v>
      </c>
      <c r="B16" s="479"/>
      <c r="C16" s="479"/>
      <c r="D16" s="479"/>
      <c r="E16" s="479"/>
      <c r="F16" s="479"/>
      <c r="G16" s="479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27">
        <f>B5-B4</f>
        <v>255.5</v>
      </c>
    </row>
    <row r="20" spans="2:7" x14ac:dyDescent="0.2">
      <c r="B20" s="427">
        <f>B7-B5</f>
        <v>-301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zoomScale="101"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508" t="s">
        <v>582</v>
      </c>
      <c r="B2" s="479">
        <v>68.400000000000006</v>
      </c>
      <c r="C2" s="479">
        <v>4.4000000000000004</v>
      </c>
      <c r="D2" s="479">
        <v>25.3</v>
      </c>
      <c r="E2" s="479" t="s">
        <v>549</v>
      </c>
      <c r="F2" s="479">
        <v>24.7</v>
      </c>
      <c r="G2" s="479">
        <f t="shared" ref="G2:G3" si="0">SUM(B2:F2)</f>
        <v>122.80000000000001</v>
      </c>
    </row>
    <row r="3" spans="1:8" x14ac:dyDescent="0.2">
      <c r="A3" s="508" t="s">
        <v>583</v>
      </c>
      <c r="B3" s="479">
        <v>57.9</v>
      </c>
      <c r="C3" s="479">
        <v>6.5</v>
      </c>
      <c r="D3" s="479">
        <v>8.8000000000000007</v>
      </c>
      <c r="E3" s="479" t="s">
        <v>549</v>
      </c>
      <c r="F3" s="479">
        <v>20.7</v>
      </c>
      <c r="G3" s="479">
        <f t="shared" si="0"/>
        <v>93.9</v>
      </c>
    </row>
    <row r="4" spans="1:8" x14ac:dyDescent="0.2">
      <c r="A4" s="478">
        <v>45778</v>
      </c>
      <c r="B4" s="479">
        <v>139.30000000000001</v>
      </c>
      <c r="C4" s="479">
        <v>7.9</v>
      </c>
      <c r="D4" s="479">
        <v>55.2</v>
      </c>
      <c r="E4" s="479" t="s">
        <v>549</v>
      </c>
      <c r="F4" s="479">
        <v>56.5</v>
      </c>
      <c r="G4" s="479">
        <f>SUM(B4:F4)</f>
        <v>258.90000000000003</v>
      </c>
    </row>
    <row r="5" spans="1:8" x14ac:dyDescent="0.2">
      <c r="A5" s="478">
        <v>45809</v>
      </c>
      <c r="B5" s="479">
        <v>155.5</v>
      </c>
      <c r="C5" s="479">
        <v>31.7</v>
      </c>
      <c r="D5" s="479">
        <v>48.4</v>
      </c>
      <c r="E5" s="479" t="s">
        <v>549</v>
      </c>
      <c r="F5" s="479">
        <v>34.5</v>
      </c>
      <c r="G5" s="479">
        <f t="shared" ref="G5:G6" si="1">SUM(B5:F5)</f>
        <v>270.10000000000002</v>
      </c>
    </row>
    <row r="6" spans="1:8" x14ac:dyDescent="0.2">
      <c r="A6" s="478">
        <v>45839</v>
      </c>
      <c r="B6" s="479">
        <v>210.4</v>
      </c>
      <c r="C6" s="479">
        <v>16.3</v>
      </c>
      <c r="D6" s="479">
        <v>67</v>
      </c>
      <c r="E6" s="479" t="s">
        <v>549</v>
      </c>
      <c r="F6" s="479">
        <v>81.2</v>
      </c>
      <c r="G6" s="479">
        <f t="shared" si="1"/>
        <v>374.90000000000003</v>
      </c>
      <c r="H6" s="427"/>
    </row>
    <row r="7" spans="1:8" x14ac:dyDescent="0.2">
      <c r="A7" s="478">
        <v>45870</v>
      </c>
      <c r="B7" s="479">
        <v>170.4</v>
      </c>
      <c r="C7" s="479">
        <v>13.3</v>
      </c>
      <c r="D7" s="479">
        <v>55.9</v>
      </c>
      <c r="E7" s="479" t="s">
        <v>549</v>
      </c>
      <c r="F7" s="479">
        <v>80</v>
      </c>
      <c r="G7" s="479">
        <f>SUM(B7:F7)</f>
        <v>319.60000000000002</v>
      </c>
    </row>
    <row r="8" spans="1:8" x14ac:dyDescent="0.2">
      <c r="A8" s="478">
        <v>45901</v>
      </c>
      <c r="B8" s="507">
        <v>234.7</v>
      </c>
      <c r="C8" s="507">
        <v>16.399999999999999</v>
      </c>
      <c r="D8" s="507">
        <v>72.8</v>
      </c>
      <c r="E8" s="507" t="s">
        <v>549</v>
      </c>
      <c r="F8" s="479">
        <v>63.6</v>
      </c>
      <c r="G8" s="479">
        <f>SUM(B8:F8)</f>
        <v>387.5</v>
      </c>
    </row>
    <row r="9" spans="1:8" x14ac:dyDescent="0.2">
      <c r="A9" s="478">
        <v>45931</v>
      </c>
      <c r="B9" s="479">
        <v>181.1</v>
      </c>
      <c r="C9" s="479">
        <v>16.600000000000001</v>
      </c>
      <c r="D9" s="479">
        <v>65.099999999999994</v>
      </c>
      <c r="E9" s="479"/>
      <c r="F9" s="479">
        <v>61.2</v>
      </c>
      <c r="G9" s="479">
        <f t="shared" ref="G9:G17" si="2">SUM(B9:F9)</f>
        <v>323.99999999999994</v>
      </c>
      <c r="H9" s="509">
        <f>(G9-G8)/G8</f>
        <v>-0.16387096774193563</v>
      </c>
    </row>
    <row r="10" spans="1:8" x14ac:dyDescent="0.2">
      <c r="A10" s="478">
        <v>45962</v>
      </c>
      <c r="B10" s="479">
        <v>165.3</v>
      </c>
      <c r="C10" s="479">
        <v>15.2</v>
      </c>
      <c r="D10" s="479">
        <v>71.599999999999994</v>
      </c>
      <c r="E10" s="479"/>
      <c r="F10" s="479">
        <v>69</v>
      </c>
      <c r="G10" s="479">
        <f t="shared" si="2"/>
        <v>321.10000000000002</v>
      </c>
    </row>
    <row r="11" spans="1:8" x14ac:dyDescent="0.2">
      <c r="A11" s="478">
        <v>45992</v>
      </c>
      <c r="B11" s="479">
        <v>151</v>
      </c>
      <c r="C11" s="479">
        <v>12.6</v>
      </c>
      <c r="D11" s="479">
        <v>88.1</v>
      </c>
      <c r="E11" s="479"/>
      <c r="F11" s="479">
        <v>70.5</v>
      </c>
      <c r="G11" s="479">
        <f t="shared" si="2"/>
        <v>322.2</v>
      </c>
    </row>
    <row r="12" spans="1:8" x14ac:dyDescent="0.2">
      <c r="A12" s="478">
        <v>46023</v>
      </c>
      <c r="B12" s="479"/>
      <c r="C12" s="479"/>
      <c r="D12" s="479"/>
      <c r="E12" s="479"/>
      <c r="F12" s="479"/>
      <c r="G12" s="479">
        <f t="shared" si="2"/>
        <v>0</v>
      </c>
    </row>
    <row r="13" spans="1:8" x14ac:dyDescent="0.2">
      <c r="A13" s="478">
        <v>46054</v>
      </c>
      <c r="B13" s="479"/>
      <c r="C13" s="479"/>
      <c r="D13" s="479"/>
      <c r="E13" s="479"/>
      <c r="F13" s="479"/>
      <c r="G13" s="479">
        <f t="shared" si="2"/>
        <v>0</v>
      </c>
    </row>
    <row r="14" spans="1:8" x14ac:dyDescent="0.2">
      <c r="A14" s="478">
        <v>46082</v>
      </c>
      <c r="B14" s="479"/>
      <c r="C14" s="479"/>
      <c r="D14" s="479"/>
      <c r="E14" s="479"/>
      <c r="F14" s="479"/>
      <c r="G14" s="479">
        <f t="shared" si="2"/>
        <v>0</v>
      </c>
    </row>
    <row r="15" spans="1:8" x14ac:dyDescent="0.2">
      <c r="A15" s="478">
        <v>46113</v>
      </c>
      <c r="B15" s="479"/>
      <c r="C15" s="479"/>
      <c r="D15" s="479"/>
      <c r="E15" s="479"/>
      <c r="F15" s="479"/>
      <c r="G15" s="479">
        <f t="shared" si="2"/>
        <v>0</v>
      </c>
    </row>
    <row r="16" spans="1:8" x14ac:dyDescent="0.2">
      <c r="A16" s="478">
        <v>46143</v>
      </c>
      <c r="B16" s="479"/>
      <c r="C16" s="479"/>
      <c r="D16" s="479"/>
      <c r="E16" s="479"/>
      <c r="F16" s="479"/>
      <c r="G16" s="479">
        <f t="shared" si="2"/>
        <v>0</v>
      </c>
    </row>
    <row r="17" spans="1:7" x14ac:dyDescent="0.2">
      <c r="A17" s="478">
        <v>46174</v>
      </c>
      <c r="B17" s="479"/>
      <c r="C17" s="479"/>
      <c r="D17" s="479"/>
      <c r="E17" s="479"/>
      <c r="F17" s="479"/>
      <c r="G17" s="479">
        <f t="shared" si="2"/>
        <v>0</v>
      </c>
    </row>
    <row r="18" spans="1:7" x14ac:dyDescent="0.2">
      <c r="B18" s="427">
        <f>B8-B7</f>
        <v>64.299999999999983</v>
      </c>
      <c r="C18" s="427">
        <f t="shared" ref="C18:G18" si="3">C8-C7</f>
        <v>3.0999999999999979</v>
      </c>
      <c r="D18" s="427">
        <f t="shared" si="3"/>
        <v>16.899999999999999</v>
      </c>
      <c r="E18" s="427" t="e">
        <f t="shared" si="3"/>
        <v>#VALUE!</v>
      </c>
      <c r="F18" s="427">
        <f t="shared" si="3"/>
        <v>-16.399999999999999</v>
      </c>
      <c r="G18" s="427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zoomScale="125" workbookViewId="0">
      <pane xSplit="1" ySplit="1" topLeftCell="B102" activePane="bottomRight" state="frozen"/>
      <selection pane="topRight"/>
      <selection pane="bottomLeft"/>
      <selection pane="bottomRight" activeCell="P60" sqref="P60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21.66406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501</v>
      </c>
      <c r="C1" s="347" t="s">
        <v>584</v>
      </c>
      <c r="D1" s="347" t="s">
        <v>585</v>
      </c>
      <c r="E1" s="347" t="s">
        <v>502</v>
      </c>
      <c r="F1" s="347" t="s">
        <v>503</v>
      </c>
      <c r="G1" s="347" t="s">
        <v>504</v>
      </c>
      <c r="H1" s="347" t="s">
        <v>505</v>
      </c>
      <c r="I1" s="347" t="s">
        <v>273</v>
      </c>
      <c r="J1" s="347" t="s">
        <v>586</v>
      </c>
      <c r="K1" s="347" t="s">
        <v>587</v>
      </c>
      <c r="L1" s="347" t="s">
        <v>506</v>
      </c>
      <c r="M1" s="347" t="s">
        <v>45</v>
      </c>
      <c r="N1" s="347" t="s">
        <v>24</v>
      </c>
      <c r="O1" s="347" t="s">
        <v>588</v>
      </c>
      <c r="P1" s="347" t="s">
        <v>507</v>
      </c>
      <c r="Q1" s="347" t="s">
        <v>589</v>
      </c>
      <c r="R1" s="496" t="s">
        <v>590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f>(C2+D2)</f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f>N2+O2</f>
        <v>0</v>
      </c>
      <c r="Q2" s="336">
        <f t="shared" ref="Q2:Q33" si="0">B2+SUM(E2:I2)+SUM(L2:M2)+P2</f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f t="shared" ref="E3:E66" si="1">(C3+D3)</f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2">J3+K3</f>
        <v>775</v>
      </c>
      <c r="M3" s="336">
        <v>925</v>
      </c>
      <c r="N3" s="336"/>
      <c r="O3" s="336"/>
      <c r="P3" s="336">
        <f t="shared" ref="P3:P66" si="3">N3+O3</f>
        <v>0</v>
      </c>
      <c r="Q3" s="336">
        <f t="shared" si="0"/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f t="shared" si="1"/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2"/>
        <v>625</v>
      </c>
      <c r="M4" s="336">
        <v>850</v>
      </c>
      <c r="N4" s="336"/>
      <c r="O4" s="336"/>
      <c r="P4" s="336">
        <f t="shared" si="3"/>
        <v>0</v>
      </c>
      <c r="Q4" s="336">
        <f t="shared" si="0"/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f t="shared" si="1"/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2"/>
        <v>100</v>
      </c>
      <c r="M5" s="336">
        <v>900</v>
      </c>
      <c r="N5" s="336"/>
      <c r="O5" s="336"/>
      <c r="P5" s="336">
        <f t="shared" si="3"/>
        <v>0</v>
      </c>
      <c r="Q5" s="336">
        <f t="shared" si="0"/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f t="shared" si="1"/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2"/>
        <v>750</v>
      </c>
      <c r="M6" s="336">
        <v>250</v>
      </c>
      <c r="N6" s="336"/>
      <c r="O6" s="336"/>
      <c r="P6" s="336">
        <f t="shared" si="3"/>
        <v>0</v>
      </c>
      <c r="Q6" s="336">
        <f t="shared" si="0"/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f t="shared" si="1"/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2"/>
        <v>825</v>
      </c>
      <c r="M7" s="336">
        <v>100</v>
      </c>
      <c r="N7" s="336"/>
      <c r="O7" s="336">
        <v>325</v>
      </c>
      <c r="P7" s="336">
        <f t="shared" si="3"/>
        <v>325</v>
      </c>
      <c r="Q7" s="336">
        <f t="shared" si="0"/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f t="shared" si="1"/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2"/>
        <v>975</v>
      </c>
      <c r="M8" s="336">
        <v>25</v>
      </c>
      <c r="N8" s="336"/>
      <c r="O8" s="336">
        <v>950</v>
      </c>
      <c r="P8" s="336">
        <f t="shared" si="3"/>
        <v>950</v>
      </c>
      <c r="Q8" s="336">
        <f t="shared" si="0"/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f t="shared" si="1"/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2"/>
        <v>750</v>
      </c>
      <c r="M9" s="336">
        <v>175</v>
      </c>
      <c r="N9" s="336"/>
      <c r="O9" s="336">
        <v>775</v>
      </c>
      <c r="P9" s="336">
        <f t="shared" si="3"/>
        <v>775</v>
      </c>
      <c r="Q9" s="336">
        <f t="shared" si="0"/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f t="shared" si="1"/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2"/>
        <v>300</v>
      </c>
      <c r="M10" s="336">
        <v>950</v>
      </c>
      <c r="N10" s="336"/>
      <c r="O10" s="336">
        <v>725</v>
      </c>
      <c r="P10" s="336">
        <f t="shared" si="3"/>
        <v>725</v>
      </c>
      <c r="Q10" s="336">
        <f t="shared" si="0"/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f t="shared" si="1"/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2"/>
        <v>200</v>
      </c>
      <c r="M11" s="336">
        <v>1750</v>
      </c>
      <c r="N11" s="336"/>
      <c r="O11" s="336">
        <v>775</v>
      </c>
      <c r="P11" s="336">
        <f t="shared" si="3"/>
        <v>775</v>
      </c>
      <c r="Q11" s="336">
        <f t="shared" si="0"/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f t="shared" si="1"/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2"/>
        <v>25</v>
      </c>
      <c r="M12" s="336">
        <v>2450</v>
      </c>
      <c r="N12" s="336"/>
      <c r="O12" s="336">
        <v>975</v>
      </c>
      <c r="P12" s="336">
        <f t="shared" si="3"/>
        <v>975</v>
      </c>
      <c r="Q12" s="336">
        <f t="shared" si="0"/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f t="shared" si="1"/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2"/>
        <v>950</v>
      </c>
      <c r="M13" s="336">
        <v>2825</v>
      </c>
      <c r="N13" s="336"/>
      <c r="O13" s="336">
        <v>875</v>
      </c>
      <c r="P13" s="336">
        <f t="shared" si="3"/>
        <v>875</v>
      </c>
      <c r="Q13" s="336">
        <f t="shared" si="0"/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f t="shared" si="1"/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2"/>
        <v>675</v>
      </c>
      <c r="M14" s="336">
        <v>3025</v>
      </c>
      <c r="N14" s="336"/>
      <c r="O14" s="336">
        <v>775</v>
      </c>
      <c r="P14" s="336">
        <f t="shared" si="3"/>
        <v>775</v>
      </c>
      <c r="Q14" s="336">
        <f t="shared" si="0"/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f t="shared" si="1"/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2"/>
        <v>875</v>
      </c>
      <c r="M15" s="336">
        <v>3900</v>
      </c>
      <c r="N15" s="336"/>
      <c r="O15" s="336">
        <v>200</v>
      </c>
      <c r="P15" s="336">
        <f t="shared" si="3"/>
        <v>200</v>
      </c>
      <c r="Q15" s="336">
        <f t="shared" si="0"/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f t="shared" si="1"/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2"/>
        <v>675</v>
      </c>
      <c r="M16" s="336">
        <v>4525</v>
      </c>
      <c r="N16" s="336"/>
      <c r="O16" s="336">
        <v>750</v>
      </c>
      <c r="P16" s="336">
        <f t="shared" si="3"/>
        <v>750</v>
      </c>
      <c r="Q16" s="336">
        <f t="shared" si="0"/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f t="shared" si="1"/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2"/>
        <v>875</v>
      </c>
      <c r="M17" s="336">
        <v>2450</v>
      </c>
      <c r="N17" s="336"/>
      <c r="O17" s="336">
        <v>825</v>
      </c>
      <c r="P17" s="336">
        <f t="shared" si="3"/>
        <v>825</v>
      </c>
      <c r="Q17" s="336">
        <f t="shared" si="0"/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f t="shared" si="1"/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2"/>
        <v>525</v>
      </c>
      <c r="M18" s="336">
        <v>2125</v>
      </c>
      <c r="N18" s="336"/>
      <c r="O18" s="336">
        <v>700</v>
      </c>
      <c r="P18" s="336">
        <f t="shared" si="3"/>
        <v>700</v>
      </c>
      <c r="Q18" s="336">
        <f t="shared" si="0"/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f t="shared" si="1"/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2"/>
        <v>900</v>
      </c>
      <c r="M19" s="336">
        <v>2725</v>
      </c>
      <c r="N19" s="336"/>
      <c r="O19" s="336">
        <v>725</v>
      </c>
      <c r="P19" s="336">
        <f t="shared" si="3"/>
        <v>725</v>
      </c>
      <c r="Q19" s="336">
        <f t="shared" si="0"/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f t="shared" si="1"/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2"/>
        <v>900</v>
      </c>
      <c r="M20" s="336">
        <v>2475</v>
      </c>
      <c r="N20" s="336"/>
      <c r="O20" s="336">
        <v>750</v>
      </c>
      <c r="P20" s="336">
        <f t="shared" si="3"/>
        <v>750</v>
      </c>
      <c r="Q20" s="336">
        <f t="shared" si="0"/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f t="shared" si="1"/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2"/>
        <v>1025</v>
      </c>
      <c r="M21" s="336">
        <v>4875</v>
      </c>
      <c r="N21" s="336"/>
      <c r="O21" s="336">
        <v>825</v>
      </c>
      <c r="P21" s="336">
        <f t="shared" si="3"/>
        <v>825</v>
      </c>
      <c r="Q21" s="336">
        <f t="shared" si="0"/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f t="shared" si="1"/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2"/>
        <v>725</v>
      </c>
      <c r="M22" s="336">
        <v>4775</v>
      </c>
      <c r="N22" s="336"/>
      <c r="O22" s="336">
        <v>775</v>
      </c>
      <c r="P22" s="336">
        <f t="shared" si="3"/>
        <v>775</v>
      </c>
      <c r="Q22" s="336">
        <f t="shared" si="0"/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f t="shared" si="1"/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2"/>
        <v>800</v>
      </c>
      <c r="M23" s="337">
        <v>4900</v>
      </c>
      <c r="N23" s="337"/>
      <c r="O23" s="337">
        <v>850</v>
      </c>
      <c r="P23" s="336">
        <f t="shared" si="3"/>
        <v>850</v>
      </c>
      <c r="Q23" s="336">
        <f t="shared" si="0"/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f t="shared" si="1"/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2"/>
        <v>1129</v>
      </c>
      <c r="M24" s="337">
        <v>698</v>
      </c>
      <c r="N24" s="337">
        <v>410</v>
      </c>
      <c r="O24" s="337">
        <v>801.8</v>
      </c>
      <c r="P24" s="336">
        <f t="shared" si="3"/>
        <v>1211.8</v>
      </c>
      <c r="Q24" s="336">
        <f t="shared" si="0"/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f t="shared" si="1"/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2"/>
        <v>969</v>
      </c>
      <c r="M25" s="337">
        <v>1428.5</v>
      </c>
      <c r="N25" s="337">
        <v>464</v>
      </c>
      <c r="O25" s="337">
        <v>432</v>
      </c>
      <c r="P25" s="336">
        <f t="shared" si="3"/>
        <v>896</v>
      </c>
      <c r="Q25" s="336">
        <f t="shared" si="0"/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f t="shared" si="1"/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2"/>
        <v>1385</v>
      </c>
      <c r="M26" s="337">
        <v>1943</v>
      </c>
      <c r="N26" s="337">
        <v>771</v>
      </c>
      <c r="O26" s="337">
        <v>401.5</v>
      </c>
      <c r="P26" s="336">
        <f t="shared" si="3"/>
        <v>1172.5</v>
      </c>
      <c r="Q26" s="336">
        <f t="shared" si="0"/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f t="shared" si="1"/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2"/>
        <v>892</v>
      </c>
      <c r="M27" s="337">
        <v>1859</v>
      </c>
      <c r="N27" s="337">
        <v>701</v>
      </c>
      <c r="O27" s="337">
        <v>355</v>
      </c>
      <c r="P27" s="336">
        <f t="shared" si="3"/>
        <v>1056</v>
      </c>
      <c r="Q27" s="336">
        <f t="shared" si="0"/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f t="shared" si="1"/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2"/>
        <v>1013</v>
      </c>
      <c r="M28" s="337">
        <v>2771</v>
      </c>
      <c r="N28" s="337">
        <v>873</v>
      </c>
      <c r="O28" s="337">
        <v>590.5</v>
      </c>
      <c r="P28" s="336">
        <f t="shared" si="3"/>
        <v>1463.5</v>
      </c>
      <c r="Q28" s="336">
        <f t="shared" si="0"/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f t="shared" si="1"/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2"/>
        <v>1002.5</v>
      </c>
      <c r="M29" s="337">
        <v>2805</v>
      </c>
      <c r="N29" s="337">
        <v>722.5</v>
      </c>
      <c r="O29" s="337">
        <v>661</v>
      </c>
      <c r="P29" s="336">
        <f t="shared" si="3"/>
        <v>1383.5</v>
      </c>
      <c r="Q29" s="336">
        <f t="shared" si="0"/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f t="shared" si="1"/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2"/>
        <v>964</v>
      </c>
      <c r="M30" s="337">
        <v>2159.5</v>
      </c>
      <c r="N30" s="337">
        <v>572.5</v>
      </c>
      <c r="O30" s="337">
        <v>623</v>
      </c>
      <c r="P30" s="336">
        <f t="shared" si="3"/>
        <v>1195.5</v>
      </c>
      <c r="Q30" s="336">
        <f t="shared" si="0"/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f t="shared" si="1"/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2"/>
        <v>1894.5</v>
      </c>
      <c r="M31" s="337">
        <v>2328.5</v>
      </c>
      <c r="N31" s="337">
        <v>1050</v>
      </c>
      <c r="O31" s="337">
        <v>784.5</v>
      </c>
      <c r="P31" s="336">
        <f t="shared" si="3"/>
        <v>1834.5</v>
      </c>
      <c r="Q31" s="336">
        <f t="shared" si="0"/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f t="shared" si="1"/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2"/>
        <v>1515</v>
      </c>
      <c r="M32" s="337">
        <v>2543</v>
      </c>
      <c r="N32" s="337">
        <v>1346.5</v>
      </c>
      <c r="O32" s="337">
        <v>1086</v>
      </c>
      <c r="P32" s="336">
        <f t="shared" si="3"/>
        <v>2432.5</v>
      </c>
      <c r="Q32" s="336">
        <f t="shared" si="0"/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f t="shared" si="1"/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2"/>
        <v>1330.5</v>
      </c>
      <c r="M33" s="337">
        <v>2498</v>
      </c>
      <c r="N33" s="337">
        <v>1177</v>
      </c>
      <c r="O33" s="337">
        <v>1150.5</v>
      </c>
      <c r="P33" s="336">
        <f t="shared" si="3"/>
        <v>2327.5</v>
      </c>
      <c r="Q33" s="336">
        <f t="shared" si="0"/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f t="shared" si="1"/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2"/>
        <v>851.5</v>
      </c>
      <c r="M34" s="337">
        <v>2776.5</v>
      </c>
      <c r="N34" s="337">
        <v>522.5</v>
      </c>
      <c r="O34" s="337">
        <v>827.5</v>
      </c>
      <c r="P34" s="336">
        <f t="shared" si="3"/>
        <v>1350</v>
      </c>
      <c r="Q34" s="336">
        <f t="shared" ref="Q34:Q65" si="4">B34+SUM(E34:I34)+SUM(L34:M34)+P34</f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f t="shared" si="1"/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2"/>
        <v>880</v>
      </c>
      <c r="M35" s="338">
        <v>2117</v>
      </c>
      <c r="N35" s="338">
        <v>0</v>
      </c>
      <c r="O35" s="338">
        <v>690</v>
      </c>
      <c r="P35" s="336">
        <f t="shared" si="3"/>
        <v>690</v>
      </c>
      <c r="Q35" s="336">
        <f t="shared" si="4"/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f t="shared" si="1"/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2"/>
        <v>1008</v>
      </c>
      <c r="M36" s="338">
        <v>3266</v>
      </c>
      <c r="N36" s="338">
        <v>570</v>
      </c>
      <c r="O36" s="338">
        <v>982</v>
      </c>
      <c r="P36" s="336">
        <f t="shared" si="3"/>
        <v>1552</v>
      </c>
      <c r="Q36" s="336">
        <f t="shared" si="4"/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f t="shared" si="1"/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2"/>
        <v>1517.5</v>
      </c>
      <c r="M37" s="337">
        <v>2346</v>
      </c>
      <c r="N37" s="337">
        <v>1577.5</v>
      </c>
      <c r="O37" s="337">
        <v>478.5</v>
      </c>
      <c r="P37" s="336">
        <f t="shared" si="3"/>
        <v>2056</v>
      </c>
      <c r="Q37" s="336">
        <f t="shared" si="4"/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f t="shared" si="1"/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2"/>
        <v>807</v>
      </c>
      <c r="M38" s="337">
        <v>3256</v>
      </c>
      <c r="N38" s="337">
        <v>1197</v>
      </c>
      <c r="O38" s="337">
        <v>648</v>
      </c>
      <c r="P38" s="336">
        <f t="shared" si="3"/>
        <v>1845</v>
      </c>
      <c r="Q38" s="336">
        <f t="shared" si="4"/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f t="shared" si="1"/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2"/>
        <v>1033.5</v>
      </c>
      <c r="M39" s="337">
        <v>2227</v>
      </c>
      <c r="N39" s="337">
        <v>1445</v>
      </c>
      <c r="O39" s="337">
        <v>688.5</v>
      </c>
      <c r="P39" s="336">
        <f t="shared" si="3"/>
        <v>2133.5</v>
      </c>
      <c r="Q39" s="336">
        <f t="shared" si="4"/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f t="shared" si="1"/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2"/>
        <v>458</v>
      </c>
      <c r="M40" s="337">
        <v>3077</v>
      </c>
      <c r="N40" s="337">
        <v>2081</v>
      </c>
      <c r="O40" s="337">
        <v>556</v>
      </c>
      <c r="P40" s="336">
        <f t="shared" si="3"/>
        <v>2637</v>
      </c>
      <c r="Q40" s="336">
        <f t="shared" si="4"/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f t="shared" si="1"/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2"/>
        <v>318.5</v>
      </c>
      <c r="M41" s="337">
        <v>2438</v>
      </c>
      <c r="N41" s="337">
        <v>331</v>
      </c>
      <c r="O41" s="337">
        <v>174.5</v>
      </c>
      <c r="P41" s="336">
        <f t="shared" si="3"/>
        <v>505.5</v>
      </c>
      <c r="Q41" s="336">
        <f t="shared" si="4"/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f t="shared" si="1"/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2"/>
        <v>423.5</v>
      </c>
      <c r="M42" s="337">
        <v>163</v>
      </c>
      <c r="N42" s="337">
        <v>598</v>
      </c>
      <c r="O42" s="337">
        <v>480</v>
      </c>
      <c r="P42" s="336">
        <f t="shared" si="3"/>
        <v>1078</v>
      </c>
      <c r="Q42" s="336">
        <f t="shared" si="4"/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f t="shared" si="1"/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2"/>
        <v>597.5</v>
      </c>
      <c r="M43" s="337">
        <v>239.5</v>
      </c>
      <c r="N43" s="337">
        <v>719</v>
      </c>
      <c r="O43" s="337">
        <v>480</v>
      </c>
      <c r="P43" s="336">
        <f t="shared" si="3"/>
        <v>1199</v>
      </c>
      <c r="Q43" s="336">
        <f t="shared" si="4"/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f t="shared" si="1"/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2"/>
        <v>290</v>
      </c>
      <c r="M44" s="337">
        <v>0</v>
      </c>
      <c r="N44" s="337">
        <v>776</v>
      </c>
      <c r="O44" s="337">
        <v>325</v>
      </c>
      <c r="P44" s="336">
        <f t="shared" si="3"/>
        <v>1101</v>
      </c>
      <c r="Q44" s="336">
        <f t="shared" si="4"/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f t="shared" si="1"/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2"/>
        <v>377</v>
      </c>
      <c r="M45" s="337">
        <v>0</v>
      </c>
      <c r="N45" s="337">
        <v>569.5</v>
      </c>
      <c r="O45" s="337">
        <v>333.5</v>
      </c>
      <c r="P45" s="336">
        <f t="shared" si="3"/>
        <v>903</v>
      </c>
      <c r="Q45" s="336">
        <f t="shared" si="4"/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f t="shared" si="1"/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2"/>
        <v>436.1266730098319</v>
      </c>
      <c r="M46" s="336">
        <v>0</v>
      </c>
      <c r="N46" s="336">
        <v>258.50567713288933</v>
      </c>
      <c r="O46" s="336">
        <v>185.8812876625436</v>
      </c>
      <c r="P46" s="336">
        <f t="shared" si="3"/>
        <v>444.38696479543296</v>
      </c>
      <c r="Q46" s="336">
        <f t="shared" si="4"/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f t="shared" si="1"/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2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f t="shared" si="3"/>
        <v>1436.6519505233111</v>
      </c>
      <c r="Q47" s="336">
        <f t="shared" si="4"/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f t="shared" si="1"/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2"/>
        <v>844</v>
      </c>
      <c r="M48" s="336">
        <v>939</v>
      </c>
      <c r="N48" s="336">
        <v>1200</v>
      </c>
      <c r="O48" s="336">
        <v>737</v>
      </c>
      <c r="P48" s="336">
        <f t="shared" si="3"/>
        <v>1937</v>
      </c>
      <c r="Q48" s="336">
        <f t="shared" si="4"/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f t="shared" si="1"/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2"/>
        <v>924</v>
      </c>
      <c r="M49" s="336">
        <v>1363</v>
      </c>
      <c r="N49" s="336">
        <v>917</v>
      </c>
      <c r="O49" s="336">
        <v>734</v>
      </c>
      <c r="P49" s="336">
        <f t="shared" si="3"/>
        <v>1651</v>
      </c>
      <c r="Q49" s="336">
        <f t="shared" si="4"/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f t="shared" si="1"/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2"/>
        <v>822</v>
      </c>
      <c r="M50" s="336">
        <v>1157</v>
      </c>
      <c r="N50" s="336">
        <v>1958</v>
      </c>
      <c r="O50" s="336">
        <v>754</v>
      </c>
      <c r="P50" s="336">
        <f t="shared" si="3"/>
        <v>2712</v>
      </c>
      <c r="Q50" s="336">
        <f t="shared" si="4"/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f t="shared" si="1"/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2"/>
        <v>1480</v>
      </c>
      <c r="M51" s="336">
        <v>1802</v>
      </c>
      <c r="N51" s="336">
        <v>1465</v>
      </c>
      <c r="O51" s="336">
        <v>1007</v>
      </c>
      <c r="P51" s="336">
        <f t="shared" si="3"/>
        <v>2472</v>
      </c>
      <c r="Q51" s="336">
        <f t="shared" si="4"/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f t="shared" si="1"/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2"/>
        <v>1224</v>
      </c>
      <c r="M52" s="337">
        <v>583</v>
      </c>
      <c r="N52" s="339">
        <v>1649</v>
      </c>
      <c r="O52" s="337">
        <v>920</v>
      </c>
      <c r="P52" s="336">
        <f t="shared" si="3"/>
        <v>2569</v>
      </c>
      <c r="Q52" s="336">
        <f t="shared" si="4"/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f t="shared" si="1"/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2"/>
        <v>1338</v>
      </c>
      <c r="M53" s="340">
        <v>0</v>
      </c>
      <c r="N53" s="338">
        <v>152</v>
      </c>
      <c r="O53" s="341">
        <v>284</v>
      </c>
      <c r="P53" s="336">
        <f t="shared" si="3"/>
        <v>436</v>
      </c>
      <c r="Q53" s="336">
        <f t="shared" si="4"/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f t="shared" si="1"/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2"/>
        <v>1268</v>
      </c>
      <c r="M54" s="336">
        <v>0</v>
      </c>
      <c r="N54" s="342">
        <v>471</v>
      </c>
      <c r="O54" s="336">
        <v>672</v>
      </c>
      <c r="P54" s="336">
        <f t="shared" si="3"/>
        <v>1143</v>
      </c>
      <c r="Q54" s="336">
        <f t="shared" si="4"/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f t="shared" si="1"/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2"/>
        <v>1584</v>
      </c>
      <c r="M55" s="336">
        <v>120</v>
      </c>
      <c r="N55" s="336">
        <v>1367</v>
      </c>
      <c r="O55" s="336">
        <v>1297</v>
      </c>
      <c r="P55" s="336">
        <f t="shared" si="3"/>
        <v>2664</v>
      </c>
      <c r="Q55" s="336">
        <f t="shared" si="4"/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f t="shared" si="1"/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2"/>
        <v>1593</v>
      </c>
      <c r="M56" s="336">
        <v>80</v>
      </c>
      <c r="N56" s="336">
        <v>1465</v>
      </c>
      <c r="O56" s="336">
        <v>222</v>
      </c>
      <c r="P56" s="336">
        <f t="shared" si="3"/>
        <v>1687</v>
      </c>
      <c r="Q56" s="336">
        <f t="shared" si="4"/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f t="shared" si="1"/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2"/>
        <v>1575</v>
      </c>
      <c r="M57" s="336">
        <v>566</v>
      </c>
      <c r="N57" s="336">
        <v>1138</v>
      </c>
      <c r="O57" s="336">
        <v>323</v>
      </c>
      <c r="P57" s="336">
        <f t="shared" si="3"/>
        <v>1461</v>
      </c>
      <c r="Q57" s="336">
        <f t="shared" si="4"/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f t="shared" si="1"/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2"/>
        <v>1542</v>
      </c>
      <c r="M58" s="336">
        <v>2054</v>
      </c>
      <c r="N58" s="336">
        <v>1580</v>
      </c>
      <c r="O58" s="336">
        <v>183</v>
      </c>
      <c r="P58" s="336">
        <f t="shared" si="3"/>
        <v>1763</v>
      </c>
      <c r="Q58" s="336">
        <f t="shared" si="4"/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f t="shared" si="1"/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2"/>
        <v>1305</v>
      </c>
      <c r="M59" s="336">
        <v>1877</v>
      </c>
      <c r="N59" s="336">
        <v>1597</v>
      </c>
      <c r="O59" s="336">
        <v>1094</v>
      </c>
      <c r="P59" s="336">
        <f t="shared" si="3"/>
        <v>2691</v>
      </c>
      <c r="Q59" s="336">
        <f t="shared" si="4"/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f t="shared" si="1"/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2"/>
        <v>1290</v>
      </c>
      <c r="M60" s="336">
        <v>1489</v>
      </c>
      <c r="N60" s="336">
        <v>1183</v>
      </c>
      <c r="O60" s="336">
        <v>1229</v>
      </c>
      <c r="P60" s="336">
        <f t="shared" si="3"/>
        <v>2412</v>
      </c>
      <c r="Q60" s="336">
        <f t="shared" si="4"/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f t="shared" si="1"/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2"/>
        <v>1267</v>
      </c>
      <c r="M61" s="336">
        <v>1101</v>
      </c>
      <c r="N61" s="336">
        <v>1239</v>
      </c>
      <c r="O61" s="336">
        <v>1297</v>
      </c>
      <c r="P61" s="336">
        <f t="shared" si="3"/>
        <v>2536</v>
      </c>
      <c r="Q61" s="336">
        <f t="shared" si="4"/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f t="shared" si="1"/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2"/>
        <v>2383</v>
      </c>
      <c r="M62" s="336">
        <v>1707</v>
      </c>
      <c r="N62" s="336">
        <v>1651</v>
      </c>
      <c r="O62" s="336">
        <v>1311</v>
      </c>
      <c r="P62" s="336">
        <f t="shared" si="3"/>
        <v>2962</v>
      </c>
      <c r="Q62" s="336">
        <f t="shared" si="4"/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f t="shared" si="1"/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2"/>
        <v>1998</v>
      </c>
      <c r="M63" s="336">
        <v>1660</v>
      </c>
      <c r="N63" s="336">
        <v>1535</v>
      </c>
      <c r="O63" s="336">
        <v>1717</v>
      </c>
      <c r="P63" s="336">
        <f t="shared" si="3"/>
        <v>3252</v>
      </c>
      <c r="Q63" s="336">
        <f t="shared" si="4"/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f t="shared" si="1"/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2"/>
        <v>1847</v>
      </c>
      <c r="M64" s="336">
        <v>1949</v>
      </c>
      <c r="N64" s="336">
        <v>1298</v>
      </c>
      <c r="O64" s="336">
        <v>1730</v>
      </c>
      <c r="P64" s="336">
        <f t="shared" si="3"/>
        <v>3028</v>
      </c>
      <c r="Q64" s="336">
        <f t="shared" si="4"/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f t="shared" si="1"/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2"/>
        <v>1720</v>
      </c>
      <c r="M65" s="336">
        <v>1449</v>
      </c>
      <c r="N65" s="336">
        <v>1243</v>
      </c>
      <c r="O65" s="336">
        <v>1413</v>
      </c>
      <c r="P65" s="336">
        <f t="shared" si="3"/>
        <v>2656</v>
      </c>
      <c r="Q65" s="336">
        <f t="shared" si="4"/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f t="shared" si="1"/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2"/>
        <v>1493</v>
      </c>
      <c r="M66" s="336">
        <v>614</v>
      </c>
      <c r="N66" s="336">
        <v>715</v>
      </c>
      <c r="O66" s="336">
        <v>829</v>
      </c>
      <c r="P66" s="336">
        <f t="shared" si="3"/>
        <v>1544</v>
      </c>
      <c r="Q66" s="336">
        <f t="shared" ref="Q66:Q106" si="5">B66+SUM(E66:I66)+SUM(L66:M66)+P66</f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f t="shared" ref="E67:E82" si="6">(C67+D67)</f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7">J67+K67</f>
        <v>1340</v>
      </c>
      <c r="M67" s="336">
        <v>436</v>
      </c>
      <c r="N67" s="336">
        <v>719</v>
      </c>
      <c r="O67" s="336">
        <v>812</v>
      </c>
      <c r="P67" s="336">
        <f t="shared" ref="P67:P82" si="8">N67+O67</f>
        <v>1531</v>
      </c>
      <c r="Q67" s="336">
        <f t="shared" si="5"/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f t="shared" si="6"/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7"/>
        <v>1957</v>
      </c>
      <c r="M68" s="336">
        <v>220</v>
      </c>
      <c r="N68" s="336">
        <v>1151</v>
      </c>
      <c r="O68" s="336">
        <v>1126</v>
      </c>
      <c r="P68" s="336">
        <f t="shared" si="8"/>
        <v>2277</v>
      </c>
      <c r="Q68" s="336">
        <f t="shared" si="5"/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f t="shared" si="6"/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7"/>
        <v>1671</v>
      </c>
      <c r="M69" s="336">
        <v>381</v>
      </c>
      <c r="N69" s="336">
        <v>1186</v>
      </c>
      <c r="O69" s="336">
        <v>1062</v>
      </c>
      <c r="P69" s="336">
        <f t="shared" si="8"/>
        <v>2248</v>
      </c>
      <c r="Q69" s="336">
        <f t="shared" si="5"/>
        <v>27462</v>
      </c>
      <c r="R69" s="7"/>
    </row>
    <row r="70" spans="1:20" ht="17" thickBot="1" x14ac:dyDescent="0.25">
      <c r="A70" s="502">
        <v>44713</v>
      </c>
      <c r="B70" s="504">
        <v>3331</v>
      </c>
      <c r="C70" s="504">
        <v>7588</v>
      </c>
      <c r="D70" s="504">
        <v>1395</v>
      </c>
      <c r="E70" s="504">
        <f t="shared" si="6"/>
        <v>8983</v>
      </c>
      <c r="F70" s="504">
        <v>3488</v>
      </c>
      <c r="G70" s="504">
        <v>1308</v>
      </c>
      <c r="H70" s="504">
        <v>801</v>
      </c>
      <c r="I70" s="504">
        <v>582</v>
      </c>
      <c r="J70" s="504">
        <v>1023</v>
      </c>
      <c r="K70" s="504">
        <v>720</v>
      </c>
      <c r="L70" s="504">
        <f t="shared" si="7"/>
        <v>1743</v>
      </c>
      <c r="M70" s="504">
        <v>657</v>
      </c>
      <c r="N70" s="504">
        <v>1001</v>
      </c>
      <c r="O70" s="504">
        <v>972</v>
      </c>
      <c r="P70" s="504">
        <f t="shared" si="8"/>
        <v>1973</v>
      </c>
      <c r="Q70" s="504">
        <f t="shared" si="5"/>
        <v>22866</v>
      </c>
      <c r="R70" s="505">
        <f>SUM(Q59:Q70)</f>
        <v>389823.6</v>
      </c>
      <c r="S70" s="5">
        <f t="shared" ref="S70" si="9">R70/365</f>
        <v>1068.0098630136986</v>
      </c>
      <c r="T70" s="5">
        <f t="shared" ref="T70" si="10">S70*0.9</f>
        <v>961.20887671232879</v>
      </c>
    </row>
    <row r="71" spans="1:20" ht="16" x14ac:dyDescent="0.2">
      <c r="A71" s="500">
        <v>44743</v>
      </c>
      <c r="B71" s="342">
        <v>3449</v>
      </c>
      <c r="C71" s="342">
        <v>9430</v>
      </c>
      <c r="D71" s="342">
        <v>1463</v>
      </c>
      <c r="E71" s="342">
        <f t="shared" si="6"/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7"/>
        <v>1557</v>
      </c>
      <c r="M71" s="342">
        <v>936</v>
      </c>
      <c r="N71" s="342">
        <v>970</v>
      </c>
      <c r="O71" s="342">
        <v>961</v>
      </c>
      <c r="P71" s="342">
        <f t="shared" si="8"/>
        <v>1931</v>
      </c>
      <c r="Q71" s="342">
        <f t="shared" si="5"/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f t="shared" si="6"/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7"/>
        <v>1738</v>
      </c>
      <c r="M72" s="336">
        <v>1091</v>
      </c>
      <c r="N72" s="336">
        <v>979</v>
      </c>
      <c r="O72" s="336">
        <v>942</v>
      </c>
      <c r="P72" s="336">
        <f t="shared" si="8"/>
        <v>1921</v>
      </c>
      <c r="Q72" s="336">
        <f t="shared" si="5"/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f t="shared" si="6"/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7"/>
        <v>1893</v>
      </c>
      <c r="M73" s="336">
        <v>1322</v>
      </c>
      <c r="N73" s="336">
        <v>1760</v>
      </c>
      <c r="O73" s="336">
        <v>1204</v>
      </c>
      <c r="P73" s="336">
        <f t="shared" si="8"/>
        <v>2964</v>
      </c>
      <c r="Q73" s="336">
        <f t="shared" si="5"/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f t="shared" si="6"/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7"/>
        <v>1877</v>
      </c>
      <c r="M74" s="336">
        <v>1089</v>
      </c>
      <c r="N74" s="336">
        <v>1227</v>
      </c>
      <c r="O74" s="336">
        <v>1050</v>
      </c>
      <c r="P74" s="336">
        <f t="shared" si="8"/>
        <v>2277</v>
      </c>
      <c r="Q74" s="336">
        <f t="shared" si="5"/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f t="shared" si="6"/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7"/>
        <v>1551</v>
      </c>
      <c r="M75" s="336">
        <v>1116</v>
      </c>
      <c r="N75" s="336">
        <v>1166</v>
      </c>
      <c r="O75" s="336">
        <v>955</v>
      </c>
      <c r="P75" s="336">
        <f t="shared" si="8"/>
        <v>2121</v>
      </c>
      <c r="Q75" s="336">
        <f t="shared" si="5"/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f t="shared" si="6"/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7"/>
        <v>2054</v>
      </c>
      <c r="M76" s="336">
        <v>1484</v>
      </c>
      <c r="N76" s="336">
        <v>1563</v>
      </c>
      <c r="O76" s="336">
        <v>1230</v>
      </c>
      <c r="P76" s="336">
        <f t="shared" si="8"/>
        <v>2793</v>
      </c>
      <c r="Q76" s="336">
        <f t="shared" si="5"/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f t="shared" si="6"/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7"/>
        <v>1586</v>
      </c>
      <c r="M77" s="336">
        <v>1144</v>
      </c>
      <c r="N77" s="336">
        <v>1287</v>
      </c>
      <c r="O77" s="336">
        <v>1150</v>
      </c>
      <c r="P77" s="336">
        <f t="shared" si="8"/>
        <v>2437</v>
      </c>
      <c r="Q77" s="336">
        <f t="shared" si="5"/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f t="shared" si="6"/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7"/>
        <v>1471</v>
      </c>
      <c r="M78" s="336">
        <v>1292</v>
      </c>
      <c r="N78" s="336">
        <v>1024</v>
      </c>
      <c r="O78" s="336">
        <v>924</v>
      </c>
      <c r="P78" s="336">
        <f t="shared" si="8"/>
        <v>1948</v>
      </c>
      <c r="Q78" s="336">
        <f t="shared" si="5"/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f t="shared" si="6"/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7"/>
        <v>1681</v>
      </c>
      <c r="M79" s="336">
        <v>1366</v>
      </c>
      <c r="N79" s="336">
        <v>1764</v>
      </c>
      <c r="O79" s="336">
        <v>1059</v>
      </c>
      <c r="P79" s="336">
        <f t="shared" si="8"/>
        <v>2823</v>
      </c>
      <c r="Q79" s="336">
        <f t="shared" si="5"/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f t="shared" si="6"/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7"/>
        <v>1787</v>
      </c>
      <c r="M80" s="336">
        <v>1342</v>
      </c>
      <c r="N80" s="336">
        <v>1648.5</v>
      </c>
      <c r="O80" s="336">
        <v>954</v>
      </c>
      <c r="P80" s="336">
        <f t="shared" si="8"/>
        <v>2602.5</v>
      </c>
      <c r="Q80" s="336">
        <f t="shared" si="5"/>
        <v>39810.5</v>
      </c>
      <c r="R80" s="7"/>
    </row>
    <row r="81" spans="1:20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f>(C81+D81)</f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7"/>
        <v>1684</v>
      </c>
      <c r="M81" s="336">
        <v>1642</v>
      </c>
      <c r="N81" s="336">
        <v>2110</v>
      </c>
      <c r="O81" s="336">
        <v>833</v>
      </c>
      <c r="P81" s="336">
        <f t="shared" si="8"/>
        <v>2943</v>
      </c>
      <c r="Q81" s="336">
        <f>B81+SUM(E81:I81)+SUM(L81:M81)+P81</f>
        <v>39784</v>
      </c>
      <c r="R81" s="7"/>
    </row>
    <row r="82" spans="1:20" ht="17" thickBot="1" x14ac:dyDescent="0.25">
      <c r="A82" s="502">
        <v>45078</v>
      </c>
      <c r="B82" s="503">
        <f>4156+9925</f>
        <v>14081</v>
      </c>
      <c r="C82" s="503">
        <v>8465</v>
      </c>
      <c r="D82" s="503">
        <v>2788</v>
      </c>
      <c r="E82" s="504">
        <f t="shared" si="6"/>
        <v>11253</v>
      </c>
      <c r="F82" s="503">
        <v>2130</v>
      </c>
      <c r="G82" s="503">
        <v>1685</v>
      </c>
      <c r="H82" s="503">
        <v>1303</v>
      </c>
      <c r="I82" s="503">
        <v>2420</v>
      </c>
      <c r="J82" s="503">
        <v>1158</v>
      </c>
      <c r="K82" s="503">
        <v>591</v>
      </c>
      <c r="L82" s="504">
        <f t="shared" si="7"/>
        <v>1749</v>
      </c>
      <c r="M82" s="503">
        <v>1746</v>
      </c>
      <c r="N82" s="503">
        <v>2087.6</v>
      </c>
      <c r="O82" s="503">
        <f>798+897</f>
        <v>1695</v>
      </c>
      <c r="P82" s="504">
        <f t="shared" si="8"/>
        <v>3782.6</v>
      </c>
      <c r="Q82" s="504">
        <f t="shared" si="5"/>
        <v>40149.599999999999</v>
      </c>
      <c r="R82" s="505">
        <f>SUM(Q71:Q82)</f>
        <v>431763.1</v>
      </c>
      <c r="S82" s="5">
        <f>R82/365</f>
        <v>1182.912602739726</v>
      </c>
      <c r="T82" s="5">
        <f t="shared" ref="T82" si="11">S82*0.9</f>
        <v>1064.6213424657535</v>
      </c>
    </row>
    <row r="83" spans="1:20" ht="16" x14ac:dyDescent="0.2">
      <c r="A83" s="500">
        <v>45108</v>
      </c>
      <c r="B83" s="501">
        <v>7456</v>
      </c>
      <c r="C83" s="501"/>
      <c r="D83" s="501"/>
      <c r="E83" s="457">
        <v>7333.6</v>
      </c>
      <c r="F83" s="501">
        <v>1940.5</v>
      </c>
      <c r="G83" s="501">
        <v>1322.5</v>
      </c>
      <c r="H83" s="501">
        <v>427.5</v>
      </c>
      <c r="I83" s="501">
        <v>1793.5</v>
      </c>
      <c r="J83" s="501"/>
      <c r="K83" s="501"/>
      <c r="L83" s="346">
        <v>0</v>
      </c>
      <c r="M83" s="501">
        <v>738.5</v>
      </c>
      <c r="N83" s="501">
        <v>2185.4</v>
      </c>
      <c r="O83" s="501"/>
      <c r="P83" s="342">
        <f>SUM(N83:O83)+99</f>
        <v>2284.4</v>
      </c>
      <c r="Q83" s="342">
        <f t="shared" si="5"/>
        <v>23296.5</v>
      </c>
      <c r="R83" s="7"/>
    </row>
    <row r="84" spans="1:20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f>SUM(N84:O84)+56</f>
        <v>2206.1</v>
      </c>
      <c r="Q84" s="336">
        <f t="shared" si="5"/>
        <v>28190.499999999996</v>
      </c>
      <c r="R84" s="7"/>
    </row>
    <row r="85" spans="1:20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f>SUM(N85:O85)+144.5</f>
        <v>2158.3000000000002</v>
      </c>
      <c r="Q85" s="336">
        <f t="shared" si="5"/>
        <v>30387</v>
      </c>
      <c r="R85" s="7"/>
    </row>
    <row r="86" spans="1:20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f>SUM(N86:O86)+157</f>
        <v>2398.6</v>
      </c>
      <c r="Q86" s="336">
        <f t="shared" si="5"/>
        <v>30156.499999999996</v>
      </c>
      <c r="R86" s="7"/>
    </row>
    <row r="87" spans="1:20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f t="shared" si="5"/>
        <v>42615.9</v>
      </c>
      <c r="R87" s="7"/>
    </row>
    <row r="88" spans="1:20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f t="shared" si="5"/>
        <v>35693.299999999996</v>
      </c>
      <c r="R88" s="7"/>
    </row>
    <row r="89" spans="1:20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f t="shared" si="5"/>
        <v>29377.9</v>
      </c>
      <c r="R89" s="7"/>
    </row>
    <row r="90" spans="1:20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f>B90+SUM(E90:I90)+SUM(L90:M90)+P90</f>
        <v>35652.6</v>
      </c>
      <c r="R90" s="7"/>
    </row>
    <row r="91" spans="1:20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f t="shared" si="5"/>
        <v>43510.8</v>
      </c>
      <c r="R91" s="7"/>
    </row>
    <row r="92" spans="1:20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f t="shared" si="5"/>
        <v>39601</v>
      </c>
      <c r="R92" s="7"/>
    </row>
    <row r="93" spans="1:20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f t="shared" si="5"/>
        <v>40905.300000000003</v>
      </c>
      <c r="R93" s="7"/>
    </row>
    <row r="94" spans="1:20" ht="15" customHeight="1" thickBot="1" x14ac:dyDescent="0.25">
      <c r="A94" s="502">
        <v>45466</v>
      </c>
      <c r="B94" s="506">
        <v>11557.2</v>
      </c>
      <c r="C94" s="506"/>
      <c r="D94" s="506"/>
      <c r="E94" s="506">
        <v>9417.7000000000007</v>
      </c>
      <c r="F94" s="506">
        <v>586</v>
      </c>
      <c r="G94" s="506">
        <v>1702.6</v>
      </c>
      <c r="H94" s="506">
        <v>503.8</v>
      </c>
      <c r="I94" s="506">
        <v>2130.4</v>
      </c>
      <c r="J94" s="506"/>
      <c r="K94" s="506"/>
      <c r="L94" s="506">
        <v>208.2</v>
      </c>
      <c r="M94" s="506">
        <v>920</v>
      </c>
      <c r="N94" s="506"/>
      <c r="O94" s="506"/>
      <c r="P94" s="506">
        <v>3034.1</v>
      </c>
      <c r="Q94" s="504">
        <f t="shared" si="5"/>
        <v>30060</v>
      </c>
      <c r="R94" s="505">
        <f>SUM(Q83:Q94)</f>
        <v>409447.3</v>
      </c>
      <c r="S94" s="5">
        <f>R94/365</f>
        <v>1121.7734246575342</v>
      </c>
      <c r="T94" s="5">
        <f>S94*0.9</f>
        <v>1009.5960821917807</v>
      </c>
    </row>
    <row r="95" spans="1:20" ht="15" customHeight="1" x14ac:dyDescent="0.2">
      <c r="A95" s="500">
        <v>45496</v>
      </c>
      <c r="B95" s="457">
        <v>12616.3</v>
      </c>
      <c r="C95" s="457"/>
      <c r="D95" s="457"/>
      <c r="E95" s="457">
        <v>12850.5</v>
      </c>
      <c r="F95" s="457">
        <v>644.6</v>
      </c>
      <c r="G95" s="457">
        <v>1284.7</v>
      </c>
      <c r="H95" s="457">
        <v>425.3</v>
      </c>
      <c r="I95" s="457">
        <v>2178.1999999999998</v>
      </c>
      <c r="J95" s="457"/>
      <c r="K95" s="457"/>
      <c r="L95" s="457">
        <v>239.8</v>
      </c>
      <c r="M95" s="457">
        <v>734.1</v>
      </c>
      <c r="N95" s="457"/>
      <c r="O95" s="457"/>
      <c r="P95" s="457">
        <v>3135.2999999999997</v>
      </c>
      <c r="Q95" s="457">
        <f>B95+SUM(E95:I95)+SUM(L95:M95)+P95</f>
        <v>34108.800000000003</v>
      </c>
      <c r="R95" s="7"/>
      <c r="S95" s="57"/>
    </row>
    <row r="96" spans="1:20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f t="shared" si="5"/>
        <v>36595.5</v>
      </c>
      <c r="R96" s="7"/>
    </row>
    <row r="97" spans="1:20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f t="shared" si="5"/>
        <v>46111.7</v>
      </c>
      <c r="R97" s="7"/>
    </row>
    <row r="98" spans="1:20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f t="shared" si="5"/>
        <v>50542.2</v>
      </c>
    </row>
    <row r="99" spans="1:20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f>B99+SUM(E99:I99)+SUM(L99:M99)+P99</f>
        <v>50742.400000000009</v>
      </c>
    </row>
    <row r="100" spans="1:20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f t="shared" si="5"/>
        <v>42777</v>
      </c>
    </row>
    <row r="101" spans="1:20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f t="shared" si="5"/>
        <v>32055</v>
      </c>
    </row>
    <row r="102" spans="1:20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f t="shared" si="5"/>
        <v>41573.300000000003</v>
      </c>
    </row>
    <row r="103" spans="1:20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f t="shared" si="5"/>
        <v>49419.1</v>
      </c>
    </row>
    <row r="104" spans="1:20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f t="shared" si="5"/>
        <v>42293.100000000006</v>
      </c>
    </row>
    <row r="105" spans="1:20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f t="shared" si="5"/>
        <v>44778.400000000009</v>
      </c>
    </row>
    <row r="106" spans="1:20" ht="15" customHeight="1" thickBot="1" x14ac:dyDescent="0.25">
      <c r="A106" s="502">
        <v>45831</v>
      </c>
      <c r="B106" s="506">
        <v>11953.9</v>
      </c>
      <c r="C106" s="506"/>
      <c r="D106" s="506"/>
      <c r="E106" s="506">
        <v>12025.4</v>
      </c>
      <c r="F106" s="506">
        <v>275.8</v>
      </c>
      <c r="G106" s="506">
        <v>1250.5999999999999</v>
      </c>
      <c r="H106" s="506">
        <v>445.6</v>
      </c>
      <c r="I106" s="506">
        <v>2717.6</v>
      </c>
      <c r="J106" s="506"/>
      <c r="K106" s="506"/>
      <c r="L106" s="506">
        <v>195.1</v>
      </c>
      <c r="M106" s="506">
        <v>718.4</v>
      </c>
      <c r="N106" s="506"/>
      <c r="O106" s="506"/>
      <c r="P106" s="506">
        <v>1952</v>
      </c>
      <c r="Q106" s="506">
        <f t="shared" si="5"/>
        <v>31534.400000000001</v>
      </c>
      <c r="R106" s="538">
        <f>SUM(Q95:Q106)</f>
        <v>502530.9</v>
      </c>
      <c r="S106" s="5">
        <f>R106/365</f>
        <v>1376.79698630137</v>
      </c>
      <c r="T106" s="5">
        <f t="shared" ref="T106" si="12">S106*0.9</f>
        <v>1239.117287671233</v>
      </c>
    </row>
    <row r="107" spans="1:20" ht="15" customHeight="1" x14ac:dyDescent="0.2">
      <c r="A107" s="500">
        <v>45861</v>
      </c>
      <c r="B107" s="457">
        <v>12164</v>
      </c>
      <c r="C107" s="457"/>
      <c r="D107" s="457"/>
      <c r="E107" s="457">
        <v>12435.9</v>
      </c>
      <c r="F107" s="457">
        <v>245.8</v>
      </c>
      <c r="G107" s="457">
        <v>1259.9000000000001</v>
      </c>
      <c r="H107" s="457">
        <v>377.9</v>
      </c>
      <c r="I107" s="457">
        <v>3060.2</v>
      </c>
      <c r="J107" s="457"/>
      <c r="K107" s="457"/>
      <c r="L107" s="457">
        <v>199.8</v>
      </c>
      <c r="M107" s="457">
        <v>658.3</v>
      </c>
      <c r="N107" s="457"/>
      <c r="O107" s="457"/>
      <c r="P107" s="457">
        <v>358</v>
      </c>
      <c r="Q107" s="457">
        <f t="shared" ref="Q107:Q114" si="13">B107+SUM(E107:I107)+SUM(L107:M107)+P107</f>
        <v>30759.799999999996</v>
      </c>
      <c r="R107" s="62"/>
    </row>
    <row r="108" spans="1:20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f t="shared" si="13"/>
        <v>31994.2</v>
      </c>
      <c r="R108" s="62"/>
    </row>
    <row r="109" spans="1:20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f t="shared" si="13"/>
        <v>42403.399999999994</v>
      </c>
      <c r="R109" s="62"/>
    </row>
    <row r="110" spans="1:20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f t="shared" si="13"/>
        <v>47055.799999999996</v>
      </c>
      <c r="R110" s="62"/>
    </row>
    <row r="111" spans="1:20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f t="shared" si="13"/>
        <v>51520.399999999994</v>
      </c>
      <c r="R111" s="62"/>
    </row>
    <row r="112" spans="1:20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f t="shared" si="13"/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f t="shared" si="13"/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f t="shared" si="13"/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33" sqref="A1:XFD1048576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501</v>
      </c>
      <c r="C1" s="368" t="s">
        <v>502</v>
      </c>
      <c r="D1" s="368" t="s">
        <v>503</v>
      </c>
      <c r="E1" s="368" t="s">
        <v>504</v>
      </c>
      <c r="F1" s="368" t="s">
        <v>505</v>
      </c>
      <c r="G1" s="368" t="s">
        <v>273</v>
      </c>
      <c r="H1" s="368" t="s">
        <v>591</v>
      </c>
      <c r="I1" s="368" t="s">
        <v>45</v>
      </c>
      <c r="J1" s="368" t="s">
        <v>507</v>
      </c>
      <c r="K1" s="368" t="s">
        <v>589</v>
      </c>
      <c r="L1" s="368" t="s">
        <v>592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76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76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76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76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76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76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76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497">
        <f>SUM('Raw Food Data (KG)'!P83:P94)</f>
        <v>31086.399999999998</v>
      </c>
      <c r="K9" s="497">
        <f>B9+SUM(C9:G9)+SUM(H9:I9)+J9</f>
        <v>409447.30000000005</v>
      </c>
      <c r="L9" s="476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76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593</v>
      </c>
    </row>
    <row r="14" spans="1:13" x14ac:dyDescent="0.2">
      <c r="B14" s="53" t="s">
        <v>594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489</v>
      </c>
      <c r="C1" s="221" t="s">
        <v>492</v>
      </c>
      <c r="D1" s="221" t="s">
        <v>493</v>
      </c>
      <c r="E1" s="221" t="s">
        <v>494</v>
      </c>
      <c r="F1" s="221" t="s">
        <v>26</v>
      </c>
      <c r="G1" s="221" t="s">
        <v>495</v>
      </c>
      <c r="I1" s="221" t="s">
        <v>595</v>
      </c>
      <c r="J1" s="221" t="s">
        <v>489</v>
      </c>
      <c r="K1" s="221" t="s">
        <v>492</v>
      </c>
      <c r="L1" s="221" t="s">
        <v>493</v>
      </c>
      <c r="M1" s="221" t="s">
        <v>494</v>
      </c>
      <c r="N1" s="221" t="s">
        <v>26</v>
      </c>
      <c r="O1" s="221" t="s">
        <v>495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596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597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598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599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600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601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602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603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604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605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606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607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608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609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610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611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612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613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614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615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616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617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618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619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620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621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622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623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624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625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626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627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628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629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630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631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632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633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634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635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636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637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638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639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640</v>
      </c>
      <c r="J46" s="15">
        <f t="shared" ref="J46:O46" si="0">SUM(B134:B136)</f>
        <v>454687.6</v>
      </c>
      <c r="K46" s="15">
        <f t="shared" si="0"/>
        <v>43384.2</v>
      </c>
      <c r="L46" s="15">
        <f t="shared" si="0"/>
        <v>55889</v>
      </c>
      <c r="M46" s="15">
        <f t="shared" si="0"/>
        <v>6161.5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641</v>
      </c>
      <c r="J47" s="323">
        <f t="shared" ref="J47:O47" si="1">SUM(B137:B139)</f>
        <v>457600</v>
      </c>
      <c r="K47" s="323">
        <f t="shared" si="1"/>
        <v>45619</v>
      </c>
      <c r="L47" s="323">
        <f t="shared" si="1"/>
        <v>48086</v>
      </c>
      <c r="M47" s="323">
        <f t="shared" si="1"/>
        <v>3496.6000000000004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642</v>
      </c>
      <c r="J48" s="15">
        <f t="shared" ref="J48:O48" si="2">SUM(B140:B142)</f>
        <v>423020</v>
      </c>
      <c r="K48" s="15">
        <f t="shared" si="2"/>
        <v>42790</v>
      </c>
      <c r="L48" s="15">
        <f t="shared" si="2"/>
        <v>49424</v>
      </c>
      <c r="M48" s="15">
        <f t="shared" si="2"/>
        <v>4250.7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643</v>
      </c>
      <c r="J49" s="15">
        <f t="shared" ref="J49:O49" si="3">SUM(B143:B145)</f>
        <v>458690</v>
      </c>
      <c r="K49" s="15">
        <f t="shared" si="3"/>
        <v>45083</v>
      </c>
      <c r="L49" s="15">
        <f t="shared" si="3"/>
        <v>58132</v>
      </c>
      <c r="M49" s="15">
        <f t="shared" si="3"/>
        <v>3168.5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644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645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549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549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549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(KG)'!E131)+SUM('Raw Data (KG)'!H131:I131)+SUM('Raw Data (KG)'!J131)+SUM('Raw Data (KG)'!P131:Q131)</f>
        <v>13058.8</v>
      </c>
      <c r="D131" s="14">
        <f>SUM('Raw Data (KG)'!F131:G131)+SUM('Raw Data (KG)'!M131:N131)+SUM('Raw Data (KG)'!V131)</f>
        <v>16539</v>
      </c>
      <c r="E131" s="14">
        <f>SUM('Raw Data (KG)'!K131:L131)+SUM('Raw Data (KG)'!O131)+SUM('Raw Data (KG)'!U131)</f>
        <v>1597</v>
      </c>
      <c r="F131" s="15">
        <f>SUM('Raw Food Data (KG)'!Q92)</f>
        <v>39601</v>
      </c>
      <c r="G131" s="14">
        <f>SUM('Raw Data (KG)'!X131:Y131)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(KG)'!E132)+SUM('Raw Data (KG)'!H132:I132)+SUM('Raw Data (KG)'!J132)+SUM('Raw Data (KG)'!P132:Q132)</f>
        <v>13974.2</v>
      </c>
      <c r="D132" s="14">
        <f>SUM('Raw Data (KG)'!F132:G132)+SUM('Raw Data (KG)'!M132:N132)+SUM('Raw Data (KG)'!V132)</f>
        <v>13957</v>
      </c>
      <c r="E132" s="14">
        <f>SUM('Raw Data (KG)'!K132:L132)+SUM('Raw Data (KG)'!O132)+SUM('Raw Data (KG)'!U132)</f>
        <v>871</v>
      </c>
      <c r="F132" s="15">
        <f>SUM('Raw Food Data (KG)'!Q93)</f>
        <v>40905.300000000003</v>
      </c>
      <c r="G132" s="14">
        <f>SUM('Raw Data (KG)'!X132:Y132)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(KG)'!E133)+SUM('Raw Data (KG)'!H131:I133)+SUM('Raw Data (KG)'!J133)+SUM('Raw Data (KG)'!P133:Q133)</f>
        <v>14169</v>
      </c>
      <c r="D133" s="14">
        <f>SUM('Raw Data (KG)'!F133:G133)+SUM('Raw Data (KG)'!M133:N133)+SUM('Raw Data (KG)'!V133)</f>
        <v>19687</v>
      </c>
      <c r="E133" s="14">
        <f>SUM('Raw Data (KG)'!K133:L133)+SUM('Raw Data (KG)'!O133)+SUM('Raw Data (KG)'!U133)</f>
        <v>1134.5</v>
      </c>
      <c r="F133" s="15">
        <f>SUM('Raw Food Data (KG)'!Q94)</f>
        <v>30060</v>
      </c>
      <c r="G133" s="14">
        <f>SUM('Raw Data (KG)'!X133:Y133)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(KG)'!E134)+SUM('Raw Data (KG)'!H132:I134)+SUM('Raw Data (KG)'!J134)+SUM('Raw Data (KG)'!P134:Q134)</f>
        <v>13748.2</v>
      </c>
      <c r="D134" s="14">
        <f>SUM('Raw Data (KG)'!F134:G134)+SUM('Raw Data (KG)'!M134:N134)+SUM('Raw Data (KG)'!V134)</f>
        <v>20094</v>
      </c>
      <c r="E134" s="14">
        <f>SUM('Raw Data (KG)'!K134:L134)+SUM('Raw Data (KG)'!O134)+SUM('Raw Data (KG)'!U134)</f>
        <v>2373.5</v>
      </c>
      <c r="F134" s="15">
        <f>SUM('Raw Food Data (KG)'!Q95)</f>
        <v>34108.800000000003</v>
      </c>
      <c r="G134" s="14">
        <f>SUM('Raw Data (KG)'!X134:Y134)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(KG)'!E135)+SUM('Raw Data (KG)'!H133:I135)+SUM('Raw Data (KG)'!J135)+SUM('Raw Data (KG)'!P135:Q135)</f>
        <v>14942</v>
      </c>
      <c r="D135" s="14">
        <f>SUM('Raw Data (KG)'!F135:G135)+SUM('Raw Data (KG)'!M135:N135)+SUM('Raw Data (KG)'!V135)</f>
        <v>22587</v>
      </c>
      <c r="E135" s="14">
        <f>SUM('Raw Data (KG)'!K135:L135)+SUM('Raw Data (KG)'!O135)+SUM('Raw Data (KG)'!U135)</f>
        <v>1229</v>
      </c>
      <c r="F135" s="15">
        <f>SUM('Raw Food Data (KG)'!Q96)</f>
        <v>36595.5</v>
      </c>
      <c r="G135" s="14">
        <f>SUM('Raw Data (KG)'!X135:Y135)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(KG)'!E136)+SUM('Raw Data (KG)'!H134:I136)+SUM('Raw Data (KG)'!J136)+SUM('Raw Data (KG)'!P136:Q136)</f>
        <v>14694</v>
      </c>
      <c r="D136" s="14">
        <f>SUM('Raw Data (KG)'!F136:G136)+SUM('Raw Data (KG)'!M136:N136)+SUM('Raw Data (KG)'!V136)</f>
        <v>13208</v>
      </c>
      <c r="E136" s="14">
        <f>SUM('Raw Data (KG)'!K136:L136)+SUM('Raw Data (KG)'!O136)+SUM('Raw Data (KG)'!U136)</f>
        <v>2559</v>
      </c>
      <c r="F136" s="15">
        <f>SUM('Raw Food Data (KG)'!Q97)</f>
        <v>46111.7</v>
      </c>
      <c r="G136" s="14">
        <f>SUM('Raw Data (KG)'!X136:Y136)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(KG)'!E137)+SUM('Raw Data (KG)'!H135:I137)+SUM('Raw Data (KG)'!J137)+SUM('Raw Data (KG)'!P137:Q137)</f>
        <v>15773</v>
      </c>
      <c r="D137" s="14">
        <f>SUM('Raw Data (KG)'!F137:G137)+SUM('Raw Data (KG)'!M137:N137)+SUM('Raw Data (KG)'!V137)</f>
        <v>13931</v>
      </c>
      <c r="E137" s="14">
        <f>SUM('Raw Data (KG)'!K137:L137)+SUM('Raw Data (KG)'!O137)+SUM('Raw Data (KG)'!U137)</f>
        <v>1667.3</v>
      </c>
      <c r="F137" s="15">
        <f>SUM('Raw Food Data (KG)'!Q98)</f>
        <v>50542.2</v>
      </c>
      <c r="G137" s="14">
        <f>SUM('Raw Data (KG)'!X137:Y137)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(KG)'!E138)+SUM('Raw Data (KG)'!H136:I138)+SUM('Raw Data (KG)'!J138)+SUM('Raw Data (KG)'!P138:Q138)</f>
        <v>15368</v>
      </c>
      <c r="D138" s="14">
        <f>SUM('Raw Data (KG)'!F138:G138)+SUM('Raw Data (KG)'!M138:N138)+SUM('Raw Data (KG)'!V138)</f>
        <v>20080</v>
      </c>
      <c r="E138" s="14">
        <f>SUM('Raw Data (KG)'!K138:L138)+SUM('Raw Data (KG)'!O138)+SUM('Raw Data (KG)'!U138)</f>
        <v>860</v>
      </c>
      <c r="F138" s="15">
        <f>SUM('Raw Food Data (KG)'!Q99)</f>
        <v>50742.400000000009</v>
      </c>
      <c r="G138" s="14">
        <f>SUM('Raw Data (KG)'!X138:Y138)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(KG)'!E139)+SUM('Raw Data (KG)'!H137:I139)+SUM('Raw Data (KG)'!J139)+SUM('Raw Data (KG)'!P139:Q139)</f>
        <v>14478</v>
      </c>
      <c r="D139" s="14">
        <f>SUM('Raw Data (KG)'!F139:G139)+SUM('Raw Data (KG)'!M139:N139)+SUM('Raw Data (KG)'!V139)</f>
        <v>14075</v>
      </c>
      <c r="E139" s="14">
        <f>SUM('Raw Data (KG)'!K139:L139)+SUM('Raw Data (KG)'!O139)+SUM('Raw Data (KG)'!U139)</f>
        <v>969.3</v>
      </c>
      <c r="F139" s="15">
        <f>SUM('Raw Food Data (KG)'!Q100)</f>
        <v>42777</v>
      </c>
      <c r="G139" s="14">
        <f>SUM('Raw Data (KG)'!X139:Y139)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(KG)'!E140)+SUM('Raw Data (KG)'!H138:I140)+SUM('Raw Data (KG)'!J140)+SUM('Raw Data (KG)'!P140:Q140)</f>
        <v>13415</v>
      </c>
      <c r="D140" s="14">
        <f>SUM('Raw Data (KG)'!F140:G140)+SUM('Raw Data (KG)'!M140:N140)+SUM('Raw Data (KG)'!V140)</f>
        <v>15937</v>
      </c>
      <c r="E140" s="14">
        <f>SUM('Raw Data (KG)'!K140:L140)+SUM('Raw Data (KG)'!O140)+SUM('Raw Data (KG)'!U140)</f>
        <v>1377.7</v>
      </c>
      <c r="F140" s="15">
        <f>SUM('Raw Food Data (KG)'!Q101)</f>
        <v>32055</v>
      </c>
      <c r="G140" s="14">
        <f>SUM('Raw Data (KG)'!X140:Y140)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(KG)'!E141)+SUM('Raw Data (KG)'!H139:I141)+SUM('Raw Data (KG)'!J141)+SUM('Raw Data (KG)'!P141:Q141)</f>
        <v>14094</v>
      </c>
      <c r="D141" s="14">
        <f>SUM('Raw Data (KG)'!F141:G141)+SUM('Raw Data (KG)'!M141:N141)+SUM('Raw Data (KG)'!V141)</f>
        <v>13254</v>
      </c>
      <c r="E141" s="14">
        <f>SUM('Raw Data (KG)'!K141:L141)+SUM('Raw Data (KG)'!O141)+SUM('Raw Data (KG)'!U141)</f>
        <v>930.5</v>
      </c>
      <c r="F141" s="15">
        <f>SUM('Raw Food Data (KG)'!Q102)</f>
        <v>41573.300000000003</v>
      </c>
      <c r="G141" s="14">
        <f>SUM('Raw Data (KG)'!X141:Y141)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(KG)'!E142)+SUM('Raw Data (KG)'!H140:I142)+SUM('Raw Data (KG)'!J142)+SUM('Raw Data (KG)'!P142:Q142)</f>
        <v>15281</v>
      </c>
      <c r="D142" s="14">
        <f>SUM('Raw Data (KG)'!F142:G142)+SUM('Raw Data (KG)'!M142:N142)+SUM('Raw Data (KG)'!V142)</f>
        <v>20233</v>
      </c>
      <c r="E142" s="14">
        <f>SUM('Raw Data (KG)'!K142:L142)+SUM('Raw Data (KG)'!O142)+SUM('Raw Data (KG)'!U142)</f>
        <v>1942.5</v>
      </c>
      <c r="F142" s="15">
        <f>SUM('Raw Food Data (KG)'!Q103)</f>
        <v>49419.1</v>
      </c>
      <c r="G142" s="14">
        <f>SUM('Raw Data (KG)'!X142:Y142)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(KG)'!E143)+SUM('Raw Data (KG)'!H141:I143)+SUM('Raw Data (KG)'!J143)+SUM('Raw Data (KG)'!P143:Q143)</f>
        <v>15380</v>
      </c>
      <c r="D143" s="14">
        <f>SUM('Raw Data (KG)'!F143:G143)+SUM('Raw Data (KG)'!M143:N143)+SUM('Raw Data (KG)'!V143)</f>
        <v>17558</v>
      </c>
      <c r="E143" s="14">
        <f>SUM('Raw Data (KG)'!K143:L143)+SUM('Raw Data (KG)'!O143)+SUM('Raw Data (KG)'!U143)</f>
        <v>391.5</v>
      </c>
      <c r="F143" s="15">
        <f>SUM('Raw Food Data (KG)'!Q104)</f>
        <v>42293.100000000006</v>
      </c>
      <c r="G143" s="14">
        <f>SUM('Raw Data (KG)'!X143:Y143)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(KG)'!E144)+SUM('Raw Data (KG)'!H142:I144)+SUM('Raw Data (KG)'!J144)+SUM('Raw Data (KG)'!P144:Q144)</f>
        <v>15298</v>
      </c>
      <c r="D144" s="14">
        <f>SUM('Raw Data (KG)'!F144:G144)+SUM('Raw Data (KG)'!M144:N144)+SUM('Raw Data (KG)'!V144)</f>
        <v>20395</v>
      </c>
      <c r="E144" s="14">
        <f>SUM('Raw Data (KG)'!K144:L144)+SUM('Raw Data (KG)'!O144)+SUM('Raw Data (KG)'!U144)</f>
        <v>1527.9</v>
      </c>
      <c r="F144" s="15">
        <f>SUM('Raw Food Data (KG)'!Q105)</f>
        <v>44778.400000000009</v>
      </c>
      <c r="G144" s="14">
        <f>SUM('Raw Data (KG)'!X144:Y144)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(KG)'!E145)+SUM('Raw Data (KG)'!H143:I145)+SUM('Raw Data (KG)'!J145)+SUM('Raw Data (KG)'!P145:Q145)</f>
        <v>14405</v>
      </c>
      <c r="D145" s="14">
        <f>SUM('Raw Data (KG)'!F145:G145)+SUM('Raw Data (KG)'!M145:N145)+SUM('Raw Data (KG)'!V145)</f>
        <v>20179</v>
      </c>
      <c r="E145" s="14">
        <f>SUM('Raw Data (KG)'!K145:L145)+SUM('Raw Data (KG)'!O145)+SUM('Raw Data (KG)'!U145)</f>
        <v>1249.0999999999999</v>
      </c>
      <c r="F145" s="15">
        <f>SUM('Raw Food Data (KG)'!Q106)</f>
        <v>31534.400000000001</v>
      </c>
      <c r="G145" s="14">
        <f>SUM('Raw Data (KG)'!X145:Y145)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171</v>
      </c>
      <c r="B148" s="15">
        <f t="shared" ref="B148:G148" si="4">SUM(B134:B145)</f>
        <v>1793997.6</v>
      </c>
      <c r="C148" s="15">
        <f t="shared" si="4"/>
        <v>176876.2</v>
      </c>
      <c r="D148" s="15">
        <f t="shared" si="4"/>
        <v>211531</v>
      </c>
      <c r="E148" s="15">
        <f t="shared" si="4"/>
        <v>17077.3</v>
      </c>
      <c r="F148" s="15">
        <f t="shared" si="4"/>
        <v>502530.9</v>
      </c>
      <c r="G148" s="15">
        <f t="shared" si="4"/>
        <v>238264</v>
      </c>
      <c r="H148" s="15">
        <f>SUM(B148:G148)</f>
        <v>2940276.9999999995</v>
      </c>
    </row>
    <row r="149" spans="1:8" x14ac:dyDescent="0.2">
      <c r="B149" s="202">
        <f>B148/H148</f>
        <v>0.61014577878206722</v>
      </c>
      <c r="C149" s="202">
        <f>C148/$H$148</f>
        <v>6.0156305001195481E-2</v>
      </c>
      <c r="D149" s="202">
        <f t="shared" ref="D149:G149" si="5">D148/$H$148</f>
        <v>7.1942541468031765E-2</v>
      </c>
      <c r="E149" s="202">
        <f t="shared" si="5"/>
        <v>5.8080582203649525E-3</v>
      </c>
      <c r="F149" s="202">
        <f t="shared" si="5"/>
        <v>0.17091277454471129</v>
      </c>
      <c r="G149" s="202">
        <f t="shared" si="5"/>
        <v>8.1034541983629443E-2</v>
      </c>
    </row>
    <row r="150" spans="1:8" x14ac:dyDescent="0.2">
      <c r="A150" s="328" t="s">
        <v>170</v>
      </c>
      <c r="B150" s="15">
        <f t="shared" ref="B150:G150" si="6">SUM(B122:B133)</f>
        <v>1752221</v>
      </c>
      <c r="C150" s="15">
        <f t="shared" si="6"/>
        <v>154594</v>
      </c>
      <c r="D150" s="15">
        <f t="shared" si="6"/>
        <v>201184</v>
      </c>
      <c r="E150" s="15">
        <f t="shared" si="6"/>
        <v>18195.5</v>
      </c>
      <c r="F150" s="15">
        <f t="shared" si="6"/>
        <v>409116.8</v>
      </c>
      <c r="G150" s="15">
        <f t="shared" si="6"/>
        <v>285291</v>
      </c>
      <c r="H150" s="15">
        <f>SUM(B150:G150)</f>
        <v>2820602.3</v>
      </c>
    </row>
    <row r="151" spans="1:8" x14ac:dyDescent="0.2">
      <c r="B151" s="202">
        <f t="shared" ref="B151:G151" si="7">B150/$H$150</f>
        <v>0.62122228291453929</v>
      </c>
      <c r="C151" s="202">
        <f t="shared" si="7"/>
        <v>5.4808861213791117E-2</v>
      </c>
      <c r="D151" s="202">
        <f t="shared" si="7"/>
        <v>7.1326609922994111E-2</v>
      </c>
      <c r="E151" s="202">
        <f t="shared" si="7"/>
        <v>6.4509271654497342E-3</v>
      </c>
      <c r="F151" s="202">
        <f t="shared" si="7"/>
        <v>0.14504590030292466</v>
      </c>
      <c r="G151" s="202">
        <f t="shared" si="7"/>
        <v>0.10114541848030119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475</v>
      </c>
      <c r="C1" s="65" t="s">
        <v>476</v>
      </c>
      <c r="D1" s="65" t="s">
        <v>477</v>
      </c>
      <c r="E1" s="65" t="s">
        <v>478</v>
      </c>
      <c r="F1" s="65" t="s">
        <v>26</v>
      </c>
      <c r="G1" s="65" t="s">
        <v>479</v>
      </c>
      <c r="H1" s="65" t="s">
        <v>480</v>
      </c>
      <c r="I1" s="65" t="s">
        <v>481</v>
      </c>
      <c r="J1" s="66" t="str">
        <f>'Raw Data (KG)'!U1</f>
        <v>Electrical Appliance</v>
      </c>
      <c r="K1" s="66" t="s">
        <v>27</v>
      </c>
      <c r="L1" s="67" t="s">
        <v>646</v>
      </c>
      <c r="M1" s="91"/>
      <c r="N1" s="12"/>
      <c r="O1" s="675" t="s">
        <v>647</v>
      </c>
      <c r="P1" s="675"/>
    </row>
    <row r="2" spans="1:16" s="13" customFormat="1" x14ac:dyDescent="0.2">
      <c r="A2" s="68">
        <v>41456</v>
      </c>
      <c r="B2" s="75">
        <f>SUM('Raw Data (KG)'!D2:E2)</f>
        <v>7120</v>
      </c>
      <c r="C2" s="70">
        <f>SUM('Raw Data (KG)'!F2:G2)</f>
        <v>108</v>
      </c>
      <c r="D2" s="73">
        <f>SUM('Raw Data (KG)'!H2:I2)</f>
        <v>240</v>
      </c>
      <c r="E2" s="70">
        <f>'Raw Data (KG)'!K2</f>
        <v>0</v>
      </c>
      <c r="F2" s="76"/>
      <c r="G2" s="70">
        <f>'Raw Data (KG)'!X2</f>
        <v>0</v>
      </c>
      <c r="H2" s="75">
        <f>'Raw Data (KG)'!Y2</f>
        <v>0</v>
      </c>
      <c r="I2" s="77">
        <f>'Raw Data (KG)'!V2</f>
        <v>0</v>
      </c>
      <c r="J2" s="75">
        <f>'Raw Data (KG)'!U2</f>
        <v>0</v>
      </c>
      <c r="K2" s="74">
        <f>'Raw Data (KG)'!J2+SUM('Raw Data (KG)'!L2:P2)+SUM('Raw Data (KG)'!R2:T2)+'Raw Data (KG)'!Z2</f>
        <v>358.49</v>
      </c>
      <c r="L2" s="71">
        <f t="shared" ref="L2:L33" si="0">SUM(B2:K2)</f>
        <v>7826.49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(KG)'!D3:E3)</f>
        <v>6100</v>
      </c>
      <c r="C3" s="70">
        <f>SUM('Raw Data (KG)'!F3:G3)</f>
        <v>300</v>
      </c>
      <c r="D3" s="73">
        <f>SUM('Raw Data (KG)'!H3:I3)</f>
        <v>250</v>
      </c>
      <c r="E3" s="70">
        <f>'Raw Data (KG)'!K3</f>
        <v>0</v>
      </c>
      <c r="F3" s="76"/>
      <c r="G3" s="70">
        <f>'Raw Data (KG)'!X3</f>
        <v>0</v>
      </c>
      <c r="H3" s="75">
        <f>'Raw Data (KG)'!Y3</f>
        <v>0</v>
      </c>
      <c r="I3" s="77">
        <f>'Raw Data (KG)'!V3</f>
        <v>0</v>
      </c>
      <c r="J3" s="75">
        <f>'Raw Data (KG)'!U3</f>
        <v>0</v>
      </c>
      <c r="K3" s="74">
        <f>'Raw Data (KG)'!J3+SUM('Raw Data (KG)'!L3:P3)+SUM('Raw Data (KG)'!R3:T3)+'Raw Data (KG)'!Z3</f>
        <v>344.75000000000006</v>
      </c>
      <c r="L3" s="71">
        <f t="shared" si="0"/>
        <v>6994.75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(KG)'!D4:E4)</f>
        <v>6900</v>
      </c>
      <c r="C4" s="75">
        <f>SUM('Raw Data (KG)'!F4:G4)</f>
        <v>320</v>
      </c>
      <c r="D4" s="73">
        <f>SUM('Raw Data (KG)'!H4:I4)</f>
        <v>310</v>
      </c>
      <c r="E4" s="75">
        <f>'Raw Data (KG)'!K4</f>
        <v>0</v>
      </c>
      <c r="F4" s="76"/>
      <c r="G4" s="70">
        <f>'Raw Data (KG)'!X4</f>
        <v>0</v>
      </c>
      <c r="H4" s="75">
        <f>'Raw Data (KG)'!Y4</f>
        <v>0</v>
      </c>
      <c r="I4" s="77">
        <f>'Raw Data (KG)'!V4</f>
        <v>0</v>
      </c>
      <c r="J4" s="75">
        <f>'Raw Data (KG)'!U4</f>
        <v>0</v>
      </c>
      <c r="K4" s="74">
        <f>'Raw Data (KG)'!J4+SUM('Raw Data (KG)'!L4:P4)+SUM('Raw Data (KG)'!R4:T4)+'Raw Data (KG)'!Z4</f>
        <v>337.476</v>
      </c>
      <c r="L4" s="71">
        <f t="shared" si="0"/>
        <v>7867.4759999999997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(KG)'!D5:E5)</f>
        <v>6700</v>
      </c>
      <c r="C5" s="75">
        <f>SUM('Raw Data (KG)'!F5:G5)</f>
        <v>150</v>
      </c>
      <c r="D5" s="73">
        <f>SUM('Raw Data (KG)'!H5:I5)</f>
        <v>440</v>
      </c>
      <c r="E5" s="75">
        <f>'Raw Data (KG)'!K5</f>
        <v>0</v>
      </c>
      <c r="F5" s="76"/>
      <c r="G5" s="75">
        <f>'Raw Data (KG)'!X5</f>
        <v>0</v>
      </c>
      <c r="H5" s="75">
        <f>'Raw Data (KG)'!Y5</f>
        <v>0</v>
      </c>
      <c r="I5" s="77">
        <f>'Raw Data (KG)'!V5</f>
        <v>0</v>
      </c>
      <c r="J5" s="75">
        <f>'Raw Data (KG)'!U5</f>
        <v>0</v>
      </c>
      <c r="K5" s="74">
        <f>'Raw Data (KG)'!J5+SUM('Raw Data (KG)'!L5:P5)+SUM('Raw Data (KG)'!R5:T5)+'Raw Data (KG)'!Z5</f>
        <v>748.22500000000002</v>
      </c>
      <c r="L5" s="71">
        <f t="shared" si="0"/>
        <v>8038.2250000000004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(KG)'!D6:E6)</f>
        <v>6450</v>
      </c>
      <c r="C6" s="75">
        <f>SUM('Raw Data (KG)'!F6:G6)</f>
        <v>11</v>
      </c>
      <c r="D6" s="73">
        <f>SUM('Raw Data (KG)'!H6:I6)</f>
        <v>570</v>
      </c>
      <c r="E6" s="75">
        <f>'Raw Data (KG)'!K6</f>
        <v>0</v>
      </c>
      <c r="F6" s="76"/>
      <c r="G6" s="75">
        <f>'Raw Data (KG)'!X6</f>
        <v>0</v>
      </c>
      <c r="H6" s="75">
        <f>'Raw Data (KG)'!Y6</f>
        <v>0</v>
      </c>
      <c r="I6" s="77">
        <f>'Raw Data (KG)'!V6</f>
        <v>0</v>
      </c>
      <c r="J6" s="75">
        <f>'Raw Data (KG)'!U6</f>
        <v>0</v>
      </c>
      <c r="K6" s="74">
        <f>'Raw Data (KG)'!J6+SUM('Raw Data (KG)'!L6:P6)+SUM('Raw Data (KG)'!R6:T6)+'Raw Data (KG)'!Z6</f>
        <v>1297.5530000000001</v>
      </c>
      <c r="L6" s="71">
        <f t="shared" si="0"/>
        <v>8328.5529999999999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(KG)'!D7:E7)</f>
        <v>6150</v>
      </c>
      <c r="C7" s="75">
        <f>SUM('Raw Data (KG)'!F7:G7)</f>
        <v>90</v>
      </c>
      <c r="D7" s="73">
        <f>SUM('Raw Data (KG)'!H7:I7)</f>
        <v>600</v>
      </c>
      <c r="E7" s="75">
        <f>'Raw Data (KG)'!K7</f>
        <v>0</v>
      </c>
      <c r="F7" s="76"/>
      <c r="G7" s="75">
        <f>'Raw Data (KG)'!X7</f>
        <v>0</v>
      </c>
      <c r="H7" s="75">
        <f>'Raw Data (KG)'!Y7</f>
        <v>0</v>
      </c>
      <c r="I7" s="77">
        <f>'Raw Data (KG)'!V7</f>
        <v>0</v>
      </c>
      <c r="J7" s="75">
        <f>'Raw Data (KG)'!U7</f>
        <v>0</v>
      </c>
      <c r="K7" s="74">
        <f>'Raw Data (KG)'!J7+SUM('Raw Data (KG)'!L7:P7)+SUM('Raw Data (KG)'!R7:T7)+'Raw Data (KG)'!Z7</f>
        <v>1080.1880000000001</v>
      </c>
      <c r="L7" s="71">
        <f t="shared" si="0"/>
        <v>7920.1880000000001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(KG)'!D8:E8)</f>
        <v>6360</v>
      </c>
      <c r="C8" s="75">
        <f>SUM('Raw Data (KG)'!F8:G8)</f>
        <v>70</v>
      </c>
      <c r="D8" s="73">
        <f>SUM('Raw Data (KG)'!H8:I8)</f>
        <v>520</v>
      </c>
      <c r="E8" s="75">
        <f>'Raw Data (KG)'!K8</f>
        <v>0</v>
      </c>
      <c r="F8" s="76"/>
      <c r="G8" s="75">
        <f>'Raw Data (KG)'!X8</f>
        <v>0</v>
      </c>
      <c r="H8" s="75">
        <f>'Raw Data (KG)'!Y8</f>
        <v>0</v>
      </c>
      <c r="I8" s="77">
        <f>'Raw Data (KG)'!V8</f>
        <v>0</v>
      </c>
      <c r="J8" s="75">
        <f>'Raw Data (KG)'!U8</f>
        <v>0</v>
      </c>
      <c r="K8" s="74">
        <f>'Raw Data (KG)'!J8+SUM('Raw Data (KG)'!L8:P8)+SUM('Raw Data (KG)'!R8:T8)+'Raw Data (KG)'!Z8</f>
        <v>865.42899999999997</v>
      </c>
      <c r="L8" s="71">
        <f t="shared" si="0"/>
        <v>7815.4290000000001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(KG)'!D9:E9)</f>
        <v>6400</v>
      </c>
      <c r="C9" s="75">
        <f>SUM('Raw Data (KG)'!F9:G9)</f>
        <v>200</v>
      </c>
      <c r="D9" s="73">
        <f>SUM('Raw Data (KG)'!H9:I9)</f>
        <v>410</v>
      </c>
      <c r="E9" s="75">
        <f>'Raw Data (KG)'!K9</f>
        <v>0</v>
      </c>
      <c r="F9" s="76"/>
      <c r="G9" s="75">
        <f>'Raw Data (KG)'!X9</f>
        <v>0</v>
      </c>
      <c r="H9" s="75">
        <f>'Raw Data (KG)'!Y9</f>
        <v>0</v>
      </c>
      <c r="I9" s="77">
        <f>'Raw Data (KG)'!V9</f>
        <v>0</v>
      </c>
      <c r="J9" s="75">
        <f>'Raw Data (KG)'!U9</f>
        <v>0</v>
      </c>
      <c r="K9" s="74">
        <f>'Raw Data (KG)'!J9+SUM('Raw Data (KG)'!L9:P9)+SUM('Raw Data (KG)'!R9:T9)+'Raw Data (KG)'!Z9</f>
        <v>1106.7840000000001</v>
      </c>
      <c r="L9" s="71">
        <f t="shared" si="0"/>
        <v>8116.7839999999997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(KG)'!D10:E10)</f>
        <v>6800</v>
      </c>
      <c r="C10" s="75">
        <f>SUM('Raw Data (KG)'!F10:G10)</f>
        <v>150</v>
      </c>
      <c r="D10" s="73">
        <f>SUM('Raw Data (KG)'!H10:I10)</f>
        <v>390</v>
      </c>
      <c r="E10" s="75">
        <f>'Raw Data (KG)'!K10</f>
        <v>0</v>
      </c>
      <c r="F10" s="76"/>
      <c r="G10" s="75">
        <f>'Raw Data (KG)'!X10</f>
        <v>0</v>
      </c>
      <c r="H10" s="75">
        <f>'Raw Data (KG)'!Y10</f>
        <v>0</v>
      </c>
      <c r="I10" s="77">
        <f>'Raw Data (KG)'!V10</f>
        <v>0</v>
      </c>
      <c r="J10" s="75">
        <f>'Raw Data (KG)'!U10</f>
        <v>0</v>
      </c>
      <c r="K10" s="74">
        <f>'Raw Data (KG)'!J10+SUM('Raw Data (KG)'!L10:P10)+SUM('Raw Data (KG)'!R10:T10)+'Raw Data (KG)'!Z10</f>
        <v>1314.163</v>
      </c>
      <c r="L10" s="71">
        <f t="shared" si="0"/>
        <v>8654.1630000000005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(KG)'!D11:E11)</f>
        <v>6620</v>
      </c>
      <c r="C11" s="75">
        <f>SUM('Raw Data (KG)'!F11:G11)</f>
        <v>110</v>
      </c>
      <c r="D11" s="73">
        <f>SUM('Raw Data (KG)'!H11:I11)</f>
        <v>510</v>
      </c>
      <c r="E11" s="75">
        <f>'Raw Data (KG)'!K11</f>
        <v>0</v>
      </c>
      <c r="F11" s="76"/>
      <c r="G11" s="75">
        <f>'Raw Data (KG)'!X11</f>
        <v>0</v>
      </c>
      <c r="H11" s="75">
        <f>'Raw Data (KG)'!Y11</f>
        <v>0</v>
      </c>
      <c r="I11" s="77">
        <f>'Raw Data (KG)'!V11</f>
        <v>0</v>
      </c>
      <c r="J11" s="75">
        <f>'Raw Data (KG)'!U11</f>
        <v>0</v>
      </c>
      <c r="K11" s="74">
        <f>'Raw Data (KG)'!J11+SUM('Raw Data (KG)'!L11:P11)+SUM('Raw Data (KG)'!R11:T11)+'Raw Data (KG)'!Z11</f>
        <v>1324.9789999999998</v>
      </c>
      <c r="L11" s="71">
        <f t="shared" si="0"/>
        <v>8564.9789999999994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(KG)'!D12:E12)</f>
        <v>6900</v>
      </c>
      <c r="C12" s="75">
        <f>SUM('Raw Data (KG)'!F12:G12)</f>
        <v>350</v>
      </c>
      <c r="D12" s="73">
        <f>SUM('Raw Data (KG)'!H12:I12)</f>
        <v>470</v>
      </c>
      <c r="E12" s="75">
        <f>'Raw Data (KG)'!K12</f>
        <v>0</v>
      </c>
      <c r="F12" s="76"/>
      <c r="G12" s="75">
        <f>'Raw Data (KG)'!X12</f>
        <v>0</v>
      </c>
      <c r="H12" s="75">
        <f>'Raw Data (KG)'!Y12</f>
        <v>0</v>
      </c>
      <c r="I12" s="77">
        <f>'Raw Data (KG)'!V12</f>
        <v>0</v>
      </c>
      <c r="J12" s="75">
        <f>'Raw Data (KG)'!U12</f>
        <v>0</v>
      </c>
      <c r="K12" s="74">
        <f>'Raw Data (KG)'!J12+SUM('Raw Data (KG)'!L12:P12)+SUM('Raw Data (KG)'!R12:T12)+'Raw Data (KG)'!Z12</f>
        <v>1302.7350000000001</v>
      </c>
      <c r="L12" s="71">
        <f t="shared" si="0"/>
        <v>9022.7350000000006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(KG)'!D13:E13)</f>
        <v>6700</v>
      </c>
      <c r="C13" s="75">
        <f>SUM('Raw Data (KG)'!F13:G13)</f>
        <v>450</v>
      </c>
      <c r="D13" s="73">
        <f>SUM('Raw Data (KG)'!H13:I13)</f>
        <v>400</v>
      </c>
      <c r="E13" s="75">
        <f>'Raw Data (KG)'!K13</f>
        <v>0</v>
      </c>
      <c r="F13" s="76"/>
      <c r="G13" s="75">
        <f>'Raw Data (KG)'!X13</f>
        <v>0</v>
      </c>
      <c r="H13" s="75">
        <f>'Raw Data (KG)'!Y13</f>
        <v>0</v>
      </c>
      <c r="I13" s="77">
        <f>'Raw Data (KG)'!V13</f>
        <v>0</v>
      </c>
      <c r="J13" s="75">
        <f>'Raw Data (KG)'!U13</f>
        <v>0</v>
      </c>
      <c r="K13" s="74">
        <f>'Raw Data (KG)'!J13+SUM('Raw Data (KG)'!L13:P13)+SUM('Raw Data (KG)'!R13:T13)+'Raw Data (KG)'!Z13</f>
        <v>1289.876</v>
      </c>
      <c r="L13" s="71">
        <f t="shared" si="0"/>
        <v>8839.8760000000002</v>
      </c>
      <c r="M13" s="150">
        <f>SUM(L2:L13)</f>
        <v>97989.648000000016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(KG)'!D14:E14)</f>
        <v>6520</v>
      </c>
      <c r="C14" s="9">
        <f>SUM('Raw Data (KG)'!F14:G14)</f>
        <v>150</v>
      </c>
      <c r="D14" s="8">
        <f>SUM('Raw Data (KG)'!H14:I14)</f>
        <v>370</v>
      </c>
      <c r="E14" s="9">
        <f>'Raw Data (KG)'!K14</f>
        <v>0</v>
      </c>
      <c r="F14" s="7"/>
      <c r="G14" s="9">
        <f>'Raw Data (KG)'!X14</f>
        <v>0</v>
      </c>
      <c r="H14" s="9">
        <f>'Raw Data (KG)'!Y14</f>
        <v>0</v>
      </c>
      <c r="I14" s="352">
        <f>'Raw Data (KG)'!V14</f>
        <v>0</v>
      </c>
      <c r="J14" s="9">
        <f>'Raw Data (KG)'!U14</f>
        <v>0</v>
      </c>
      <c r="K14" s="62">
        <f>'Raw Data (KG)'!J14+SUM('Raw Data (KG)'!L14:P14)+SUM('Raw Data (KG)'!R14:T14)+'Raw Data (KG)'!Z14</f>
        <v>1703.4670000000001</v>
      </c>
      <c r="L14" s="353">
        <f t="shared" si="0"/>
        <v>8743.4670000000006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(KG)'!D15:E15)</f>
        <v>6610</v>
      </c>
      <c r="C15" s="9">
        <f>SUM('Raw Data (KG)'!F15:G15)</f>
        <v>140</v>
      </c>
      <c r="D15" s="8">
        <f>SUM('Raw Data (KG)'!H15:I15)</f>
        <v>400</v>
      </c>
      <c r="E15" s="9">
        <f>'Raw Data (KG)'!K15</f>
        <v>626</v>
      </c>
      <c r="F15" s="7"/>
      <c r="G15" s="9">
        <f>'Raw Data (KG)'!X15</f>
        <v>0</v>
      </c>
      <c r="H15" s="9">
        <f>'Raw Data (KG)'!Y15</f>
        <v>0</v>
      </c>
      <c r="I15" s="352">
        <f>'Raw Data (KG)'!V15</f>
        <v>0</v>
      </c>
      <c r="J15" s="9">
        <f>'Raw Data (KG)'!U15</f>
        <v>0</v>
      </c>
      <c r="K15" s="62">
        <f>'Raw Data (KG)'!J15+SUM('Raw Data (KG)'!L15:P15)+SUM('Raw Data (KG)'!R15:T15)+'Raw Data (KG)'!Z15</f>
        <v>1273.7169999999999</v>
      </c>
      <c r="L15" s="353">
        <f t="shared" si="0"/>
        <v>9049.7170000000006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(KG)'!D16:E16)</f>
        <v>6500</v>
      </c>
      <c r="C16" s="9">
        <f>SUM('Raw Data (KG)'!F16:G16)</f>
        <v>350</v>
      </c>
      <c r="D16" s="8">
        <f>SUM('Raw Data (KG)'!H16:I16)</f>
        <v>390</v>
      </c>
      <c r="E16" s="9">
        <f>'Raw Data (KG)'!K16</f>
        <v>827</v>
      </c>
      <c r="F16" s="7"/>
      <c r="G16" s="9">
        <f>'Raw Data (KG)'!X16</f>
        <v>0</v>
      </c>
      <c r="H16" s="9">
        <f>'Raw Data (KG)'!Y16</f>
        <v>0</v>
      </c>
      <c r="I16" s="352">
        <f>'Raw Data (KG)'!V16</f>
        <v>0</v>
      </c>
      <c r="J16" s="9">
        <f>'Raw Data (KG)'!U16</f>
        <v>0</v>
      </c>
      <c r="K16" s="62">
        <f>'Raw Data (KG)'!J16+SUM('Raw Data (KG)'!L16:P16)+SUM('Raw Data (KG)'!R16:T16)+'Raw Data (KG)'!Z16</f>
        <v>1297.152</v>
      </c>
      <c r="L16" s="353">
        <f t="shared" si="0"/>
        <v>9364.152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(KG)'!D17:E17)</f>
        <v>6100</v>
      </c>
      <c r="C17" s="9">
        <f>SUM('Raw Data (KG)'!F17:G17)</f>
        <v>90</v>
      </c>
      <c r="D17" s="8">
        <f>SUM('Raw Data (KG)'!H17:I17)</f>
        <v>420</v>
      </c>
      <c r="E17" s="9">
        <f>'Raw Data (KG)'!K17</f>
        <v>728</v>
      </c>
      <c r="F17" s="7"/>
      <c r="G17" s="9">
        <f>'Raw Data (KG)'!X17</f>
        <v>0</v>
      </c>
      <c r="H17" s="9">
        <f>'Raw Data (KG)'!Y17</f>
        <v>0</v>
      </c>
      <c r="I17" s="352">
        <f>'Raw Data (KG)'!V17</f>
        <v>0</v>
      </c>
      <c r="J17" s="9">
        <f>'Raw Data (KG)'!U17</f>
        <v>0</v>
      </c>
      <c r="K17" s="62">
        <f>'Raw Data (KG)'!J17+SUM('Raw Data (KG)'!L17:P17)+SUM('Raw Data (KG)'!R17:T17)+'Raw Data (KG)'!Z17</f>
        <v>1267.5260000000001</v>
      </c>
      <c r="L17" s="353">
        <f t="shared" si="0"/>
        <v>8605.5259999999998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(KG)'!D18:E18)</f>
        <v>6900</v>
      </c>
      <c r="C18" s="9">
        <f>SUM('Raw Data (KG)'!F18:G18)</f>
        <v>110</v>
      </c>
      <c r="D18" s="8">
        <f>SUM('Raw Data (KG)'!H18:I18)</f>
        <v>390</v>
      </c>
      <c r="E18" s="9">
        <f>'Raw Data (KG)'!K18</f>
        <v>1653</v>
      </c>
      <c r="F18" s="7"/>
      <c r="G18" s="9">
        <f>'Raw Data (KG)'!X18</f>
        <v>0</v>
      </c>
      <c r="H18" s="9">
        <f>'Raw Data (KG)'!Y18</f>
        <v>0</v>
      </c>
      <c r="I18" s="352">
        <f>'Raw Data (KG)'!V18</f>
        <v>0</v>
      </c>
      <c r="J18" s="9">
        <f>'Raw Data (KG)'!U18</f>
        <v>0</v>
      </c>
      <c r="K18" s="62">
        <f>'Raw Data (KG)'!J18+SUM('Raw Data (KG)'!L18:P18)+SUM('Raw Data (KG)'!R18:T18)+'Raw Data (KG)'!Z18</f>
        <v>1269.4749999999999</v>
      </c>
      <c r="L18" s="353">
        <f t="shared" si="0"/>
        <v>10322.475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(KG)'!D19:E19)</f>
        <v>6750</v>
      </c>
      <c r="C19" s="9">
        <f>SUM('Raw Data (KG)'!F19:G19)</f>
        <v>100</v>
      </c>
      <c r="D19" s="8">
        <f>SUM('Raw Data (KG)'!H19:I19)</f>
        <v>420</v>
      </c>
      <c r="E19" s="9">
        <f>'Raw Data (KG)'!K19</f>
        <v>875</v>
      </c>
      <c r="F19" s="7"/>
      <c r="G19" s="9">
        <f>'Raw Data (KG)'!X19</f>
        <v>0</v>
      </c>
      <c r="H19" s="9">
        <f>'Raw Data (KG)'!Y19</f>
        <v>0</v>
      </c>
      <c r="I19" s="352">
        <f>'Raw Data (KG)'!V19</f>
        <v>0</v>
      </c>
      <c r="J19" s="9">
        <f>'Raw Data (KG)'!U19</f>
        <v>0</v>
      </c>
      <c r="K19" s="62">
        <f>'Raw Data (KG)'!J19+SUM('Raw Data (KG)'!L19:P19)+SUM('Raw Data (KG)'!R19:T19)+'Raw Data (KG)'!Z19</f>
        <v>1630.6809999999998</v>
      </c>
      <c r="L19" s="15">
        <f t="shared" si="0"/>
        <v>9775.6810000000005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(KG)'!D20:E20)</f>
        <v>6640</v>
      </c>
      <c r="C20" s="9">
        <f>SUM('Raw Data (KG)'!F20:G20)</f>
        <v>370</v>
      </c>
      <c r="D20" s="8">
        <f>SUM('Raw Data (KG)'!H20:I20)</f>
        <v>390</v>
      </c>
      <c r="E20" s="9">
        <f>'Raw Data (KG)'!K20</f>
        <v>870</v>
      </c>
      <c r="F20" s="7"/>
      <c r="G20" s="9">
        <f>'Raw Data (KG)'!X20</f>
        <v>0</v>
      </c>
      <c r="H20" s="9">
        <f>'Raw Data (KG)'!Y20</f>
        <v>0</v>
      </c>
      <c r="I20" s="352">
        <f>'Raw Data (KG)'!V20</f>
        <v>0</v>
      </c>
      <c r="J20" s="9">
        <f>'Raw Data (KG)'!U20</f>
        <v>0</v>
      </c>
      <c r="K20" s="62">
        <f>'Raw Data (KG)'!J20+SUM('Raw Data (KG)'!L20:P20)+SUM('Raw Data (KG)'!R20:T20)+'Raw Data (KG)'!Z20</f>
        <v>1372.5069999999998</v>
      </c>
      <c r="L20" s="15">
        <f t="shared" si="0"/>
        <v>9642.5069999999996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(KG)'!D21:E21)</f>
        <v>6540</v>
      </c>
      <c r="C21" s="9">
        <f>SUM('Raw Data (KG)'!F21:G21)</f>
        <v>110</v>
      </c>
      <c r="D21" s="8">
        <f>SUM('Raw Data (KG)'!H21:I21)</f>
        <v>380</v>
      </c>
      <c r="E21" s="9">
        <f>'Raw Data (KG)'!K21</f>
        <v>856</v>
      </c>
      <c r="F21" s="7"/>
      <c r="G21" s="9">
        <f>'Raw Data (KG)'!X21</f>
        <v>0</v>
      </c>
      <c r="H21" s="9">
        <f>'Raw Data (KG)'!Y21</f>
        <v>0</v>
      </c>
      <c r="I21" s="352">
        <f>'Raw Data (KG)'!V21</f>
        <v>0</v>
      </c>
      <c r="J21" s="9">
        <f>'Raw Data (KG)'!U21</f>
        <v>0</v>
      </c>
      <c r="K21" s="62">
        <f>'Raw Data (KG)'!J21+SUM('Raw Data (KG)'!L21:P21)+SUM('Raw Data (KG)'!R21:T21)+'Raw Data (KG)'!Z21</f>
        <v>1279.607</v>
      </c>
      <c r="L21" s="15">
        <f t="shared" si="0"/>
        <v>9165.607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(KG)'!D22:E22)</f>
        <v>6140</v>
      </c>
      <c r="C22" s="9">
        <f>SUM('Raw Data (KG)'!F22:G22)</f>
        <v>140</v>
      </c>
      <c r="D22" s="8">
        <f>SUM('Raw Data (KG)'!H22:I22)</f>
        <v>410</v>
      </c>
      <c r="E22" s="9">
        <f>'Raw Data (KG)'!K22</f>
        <v>1953</v>
      </c>
      <c r="F22" s="7"/>
      <c r="G22" s="9">
        <f>'Raw Data (KG)'!X22</f>
        <v>0</v>
      </c>
      <c r="H22" s="9">
        <f>'Raw Data (KG)'!Y22</f>
        <v>0</v>
      </c>
      <c r="I22" s="352">
        <f>'Raw Data (KG)'!V22</f>
        <v>0</v>
      </c>
      <c r="J22" s="9">
        <f>'Raw Data (KG)'!U22</f>
        <v>0</v>
      </c>
      <c r="K22" s="62">
        <f>'Raw Data (KG)'!J22+SUM('Raw Data (KG)'!L22:P22)+SUM('Raw Data (KG)'!R22:T22)+'Raw Data (KG)'!Z22</f>
        <v>1289.4679999999998</v>
      </c>
      <c r="L22" s="15">
        <f t="shared" si="0"/>
        <v>9932.4680000000008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(KG)'!D23:E23)</f>
        <v>6040</v>
      </c>
      <c r="C23" s="9">
        <f>SUM('Raw Data (KG)'!F23:G23)</f>
        <v>110</v>
      </c>
      <c r="D23" s="8">
        <f>SUM('Raw Data (KG)'!H23:I23)</f>
        <v>500</v>
      </c>
      <c r="E23" s="9">
        <f>'Raw Data (KG)'!K23</f>
        <v>1067</v>
      </c>
      <c r="F23" s="7"/>
      <c r="G23" s="9">
        <f>'Raw Data (KG)'!X23</f>
        <v>0</v>
      </c>
      <c r="H23" s="9">
        <f>'Raw Data (KG)'!Y23</f>
        <v>0</v>
      </c>
      <c r="I23" s="352">
        <f>'Raw Data (KG)'!V23</f>
        <v>0</v>
      </c>
      <c r="J23" s="9">
        <f>'Raw Data (KG)'!U23</f>
        <v>0</v>
      </c>
      <c r="K23" s="62">
        <f>'Raw Data (KG)'!J23+SUM('Raw Data (KG)'!L23:P23)+SUM('Raw Data (KG)'!R23:T23)+'Raw Data (KG)'!Z23</f>
        <v>1699.6100000000001</v>
      </c>
      <c r="L23" s="15">
        <f t="shared" si="0"/>
        <v>9416.61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(KG)'!D24:E24)</f>
        <v>6090</v>
      </c>
      <c r="C24" s="9">
        <f>SUM('Raw Data (KG)'!F24:G24)</f>
        <v>550</v>
      </c>
      <c r="D24" s="8">
        <f>SUM('Raw Data (KG)'!H24:I24)</f>
        <v>460</v>
      </c>
      <c r="E24" s="9">
        <f>'Raw Data (KG)'!K24</f>
        <v>1074</v>
      </c>
      <c r="F24" s="7"/>
      <c r="G24" s="9">
        <f>'Raw Data (KG)'!X24</f>
        <v>0</v>
      </c>
      <c r="H24" s="9">
        <f>'Raw Data (KG)'!Y24</f>
        <v>0</v>
      </c>
      <c r="I24" s="352">
        <f>'Raw Data (KG)'!V24</f>
        <v>0</v>
      </c>
      <c r="J24" s="9">
        <f>'Raw Data (KG)'!U24</f>
        <v>0</v>
      </c>
      <c r="K24" s="62">
        <f>'Raw Data (KG)'!J24+SUM('Raw Data (KG)'!L24:P24)+SUM('Raw Data (KG)'!R24:T24)+'Raw Data (KG)'!Z24</f>
        <v>1680.4069999999999</v>
      </c>
      <c r="L24" s="15">
        <f t="shared" si="0"/>
        <v>9854.4069999999992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(KG)'!D25:E25)</f>
        <v>6000</v>
      </c>
      <c r="C25" s="9">
        <f>SUM('Raw Data (KG)'!F25:G25)</f>
        <v>150</v>
      </c>
      <c r="D25" s="8">
        <f>SUM('Raw Data (KG)'!H25:I25)</f>
        <v>410</v>
      </c>
      <c r="E25" s="9">
        <f>'Raw Data (KG)'!K25</f>
        <v>1038</v>
      </c>
      <c r="F25" s="7"/>
      <c r="G25" s="9">
        <f>'Raw Data (KG)'!X25</f>
        <v>0</v>
      </c>
      <c r="H25" s="9">
        <f>'Raw Data (KG)'!Y25</f>
        <v>0</v>
      </c>
      <c r="I25" s="352">
        <f>'Raw Data (KG)'!V25</f>
        <v>0</v>
      </c>
      <c r="J25" s="9">
        <f>'Raw Data (KG)'!U25</f>
        <v>0</v>
      </c>
      <c r="K25" s="62">
        <f>'Raw Data (KG)'!J25+SUM('Raw Data (KG)'!L25:P25)+SUM('Raw Data (KG)'!R25:T25)+'Raw Data (KG)'!Z25</f>
        <v>1564.2239999999999</v>
      </c>
      <c r="L25" s="15">
        <f t="shared" si="0"/>
        <v>9162.2240000000002</v>
      </c>
      <c r="M25" s="150">
        <f>SUM(L14:L25)</f>
        <v>113034.841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(KG)'!D26:E26)</f>
        <v>6150</v>
      </c>
      <c r="C26" s="75">
        <f>SUM('Raw Data (KG)'!F26:G26)</f>
        <v>110</v>
      </c>
      <c r="D26" s="73">
        <f>SUM('Raw Data (KG)'!H26:I26)</f>
        <v>510</v>
      </c>
      <c r="E26" s="75">
        <f>'Raw Data (KG)'!K26</f>
        <v>957</v>
      </c>
      <c r="F26" s="76"/>
      <c r="G26" s="75">
        <f>'Raw Data (KG)'!X26</f>
        <v>0</v>
      </c>
      <c r="H26" s="75">
        <f>'Raw Data (KG)'!Y26</f>
        <v>0</v>
      </c>
      <c r="I26" s="77">
        <f>'Raw Data (KG)'!V26</f>
        <v>0</v>
      </c>
      <c r="J26" s="75">
        <f>'Raw Data (KG)'!U26</f>
        <v>0</v>
      </c>
      <c r="K26" s="74">
        <f>'Raw Data (KG)'!J26+SUM('Raw Data (KG)'!L26:P26)+SUM('Raw Data (KG)'!R26:T26)+'Raw Data (KG)'!Z26</f>
        <v>1703.9119999999998</v>
      </c>
      <c r="L26" s="72">
        <f t="shared" si="0"/>
        <v>9430.9120000000003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(KG)'!D27:E27)</f>
        <v>6020</v>
      </c>
      <c r="C27" s="75">
        <f>SUM('Raw Data (KG)'!F27:G27)</f>
        <v>130</v>
      </c>
      <c r="D27" s="73">
        <f>SUM('Raw Data (KG)'!H27:I27)</f>
        <v>480</v>
      </c>
      <c r="E27" s="75">
        <f>'Raw Data (KG)'!K27</f>
        <v>827</v>
      </c>
      <c r="F27" s="76"/>
      <c r="G27" s="75">
        <f>'Raw Data (KG)'!X27</f>
        <v>0</v>
      </c>
      <c r="H27" s="75">
        <f>'Raw Data (KG)'!Y27</f>
        <v>0</v>
      </c>
      <c r="I27" s="77">
        <f>'Raw Data (KG)'!V27</f>
        <v>0</v>
      </c>
      <c r="J27" s="75">
        <f>'Raw Data (KG)'!U27</f>
        <v>0</v>
      </c>
      <c r="K27" s="74">
        <f>'Raw Data (KG)'!J27+SUM('Raw Data (KG)'!L27:P27)+SUM('Raw Data (KG)'!R27:T27)+'Raw Data (KG)'!Z27</f>
        <v>1545.356</v>
      </c>
      <c r="L27" s="72">
        <f t="shared" si="0"/>
        <v>9002.3559999999998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(KG)'!D28:E28)</f>
        <v>5810</v>
      </c>
      <c r="C28" s="75">
        <f>SUM('Raw Data (KG)'!F28:G28)</f>
        <v>100</v>
      </c>
      <c r="D28" s="73">
        <f>SUM('Raw Data (KG)'!H28:I28)</f>
        <v>390</v>
      </c>
      <c r="E28" s="75">
        <f>'Raw Data (KG)'!K28</f>
        <v>1956</v>
      </c>
      <c r="F28" s="76"/>
      <c r="G28" s="75">
        <f>'Raw Data (KG)'!X28</f>
        <v>0</v>
      </c>
      <c r="H28" s="75">
        <f>'Raw Data (KG)'!Y28</f>
        <v>0</v>
      </c>
      <c r="I28" s="77">
        <f>'Raw Data (KG)'!V28</f>
        <v>0</v>
      </c>
      <c r="J28" s="75">
        <f>'Raw Data (KG)'!U28</f>
        <v>0</v>
      </c>
      <c r="K28" s="74">
        <f>'Raw Data (KG)'!J28+SUM('Raw Data (KG)'!L28:P28)+SUM('Raw Data (KG)'!R28:T28)+'Raw Data (KG)'!Z28</f>
        <v>1607.338</v>
      </c>
      <c r="L28" s="72">
        <f t="shared" si="0"/>
        <v>9863.3379999999997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(KG)'!D29:E29)</f>
        <v>5970</v>
      </c>
      <c r="C29" s="75">
        <f>SUM('Raw Data (KG)'!F29:G29)</f>
        <v>90</v>
      </c>
      <c r="D29" s="73">
        <f>SUM('Raw Data (KG)'!H29:I29)</f>
        <v>480</v>
      </c>
      <c r="E29" s="75">
        <f>'Raw Data (KG)'!K29</f>
        <v>3297</v>
      </c>
      <c r="F29" s="76"/>
      <c r="G29" s="75">
        <f>'Raw Data (KG)'!X29</f>
        <v>0</v>
      </c>
      <c r="H29" s="75">
        <f>'Raw Data (KG)'!Y29</f>
        <v>0</v>
      </c>
      <c r="I29" s="77">
        <f>'Raw Data (KG)'!V29</f>
        <v>0</v>
      </c>
      <c r="J29" s="75">
        <f>'Raw Data (KG)'!U29</f>
        <v>0</v>
      </c>
      <c r="K29" s="74">
        <f>'Raw Data (KG)'!J29+SUM('Raw Data (KG)'!L29:P29)+SUM('Raw Data (KG)'!R29:T29)+'Raw Data (KG)'!Z29</f>
        <v>1231.0519999999999</v>
      </c>
      <c r="L29" s="72">
        <f t="shared" si="0"/>
        <v>11068.052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(KG)'!D30:E30)</f>
        <v>5890</v>
      </c>
      <c r="C30" s="75">
        <f>SUM('Raw Data (KG)'!F30:G30)</f>
        <v>100</v>
      </c>
      <c r="D30" s="73">
        <f>SUM('Raw Data (KG)'!H30:I30)</f>
        <v>450</v>
      </c>
      <c r="E30" s="75">
        <f>'Raw Data (KG)'!K30</f>
        <v>1785</v>
      </c>
      <c r="F30" s="76"/>
      <c r="G30" s="75">
        <f>'Raw Data (KG)'!X30</f>
        <v>0</v>
      </c>
      <c r="H30" s="75">
        <f>'Raw Data (KG)'!Y30</f>
        <v>0</v>
      </c>
      <c r="I30" s="77">
        <f>'Raw Data (KG)'!V30</f>
        <v>0</v>
      </c>
      <c r="J30" s="75">
        <f>'Raw Data (KG)'!U30</f>
        <v>0</v>
      </c>
      <c r="K30" s="74">
        <f>'Raw Data (KG)'!J30+SUM('Raw Data (KG)'!L30:P30)+SUM('Raw Data (KG)'!R30:T30)+'Raw Data (KG)'!Z30</f>
        <v>1545.8719999999998</v>
      </c>
      <c r="L30" s="72">
        <f t="shared" si="0"/>
        <v>9770.8719999999994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(KG)'!D31:E31)</f>
        <v>5810</v>
      </c>
      <c r="C31" s="75">
        <f>SUM('Raw Data (KG)'!F31:G31)</f>
        <v>250</v>
      </c>
      <c r="D31" s="73">
        <f>SUM('Raw Data (KG)'!H31:I31)</f>
        <v>370</v>
      </c>
      <c r="E31" s="75">
        <f>'Raw Data (KG)'!K31</f>
        <v>1400</v>
      </c>
      <c r="F31" s="76"/>
      <c r="G31" s="75">
        <f>'Raw Data (KG)'!X31</f>
        <v>0</v>
      </c>
      <c r="H31" s="75">
        <f>'Raw Data (KG)'!Y31</f>
        <v>0</v>
      </c>
      <c r="I31" s="77">
        <f>'Raw Data (KG)'!V31</f>
        <v>0</v>
      </c>
      <c r="J31" s="75">
        <f>'Raw Data (KG)'!U31</f>
        <v>0</v>
      </c>
      <c r="K31" s="74">
        <f>'Raw Data (KG)'!J31+SUM('Raw Data (KG)'!L31:P31)+SUM('Raw Data (KG)'!R31:T31)+'Raw Data (KG)'!Z31</f>
        <v>2745.174</v>
      </c>
      <c r="L31" s="72">
        <f t="shared" si="0"/>
        <v>10575.173999999999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(KG)'!D32:E32)</f>
        <v>6407.8083329999999</v>
      </c>
      <c r="C32" s="75">
        <f>SUM('Raw Data (KG)'!F32:G32)</f>
        <v>300</v>
      </c>
      <c r="D32" s="73">
        <f>SUM('Raw Data (KG)'!H32:I32)</f>
        <v>460</v>
      </c>
      <c r="E32" s="75">
        <f>'Raw Data (KG)'!K32</f>
        <v>1647</v>
      </c>
      <c r="F32" s="76"/>
      <c r="G32" s="75">
        <f>'Raw Data (KG)'!X32</f>
        <v>0</v>
      </c>
      <c r="H32" s="75">
        <f>'Raw Data (KG)'!Y32</f>
        <v>0</v>
      </c>
      <c r="I32" s="77">
        <f>'Raw Data (KG)'!V32</f>
        <v>0</v>
      </c>
      <c r="J32" s="75">
        <f>'Raw Data (KG)'!U32</f>
        <v>0</v>
      </c>
      <c r="K32" s="74">
        <f>'Raw Data (KG)'!J32+SUM('Raw Data (KG)'!L32:P32)+SUM('Raw Data (KG)'!R32:T32)+'Raw Data (KG)'!Z32</f>
        <v>1751.76</v>
      </c>
      <c r="L32" s="72">
        <f t="shared" si="0"/>
        <v>10566.568333000001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(KG)'!D33:E33)</f>
        <v>6247.8083329999999</v>
      </c>
      <c r="C33" s="75">
        <f>SUM('Raw Data (KG)'!F33:G33)</f>
        <v>250</v>
      </c>
      <c r="D33" s="73">
        <f>SUM('Raw Data (KG)'!H33:I33)</f>
        <v>490</v>
      </c>
      <c r="E33" s="75">
        <f>'Raw Data (KG)'!K33</f>
        <v>3015</v>
      </c>
      <c r="F33" s="76"/>
      <c r="G33" s="75">
        <f>'Raw Data (KG)'!X33</f>
        <v>0</v>
      </c>
      <c r="H33" s="75">
        <f>'Raw Data (KG)'!Y33</f>
        <v>0</v>
      </c>
      <c r="I33" s="77">
        <f>'Raw Data (KG)'!V33</f>
        <v>0</v>
      </c>
      <c r="J33" s="75">
        <f>'Raw Data (KG)'!U33</f>
        <v>0</v>
      </c>
      <c r="K33" s="74">
        <f>'Raw Data (KG)'!J33+SUM('Raw Data (KG)'!L33:P33)+SUM('Raw Data (KG)'!R33:T33)+'Raw Data (KG)'!Z33</f>
        <v>998.298</v>
      </c>
      <c r="L33" s="72">
        <f t="shared" si="0"/>
        <v>11001.106333000002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(KG)'!D34:E34)</f>
        <v>6297.8083329999999</v>
      </c>
      <c r="C34" s="75">
        <f>SUM('Raw Data (KG)'!F34:G34)</f>
        <v>170</v>
      </c>
      <c r="D34" s="73">
        <f>SUM('Raw Data (KG)'!H34:I34)</f>
        <v>500</v>
      </c>
      <c r="E34" s="75">
        <f>'Raw Data (KG)'!K34</f>
        <v>1168</v>
      </c>
      <c r="F34" s="76"/>
      <c r="G34" s="75">
        <f>'Raw Data (KG)'!X34</f>
        <v>0</v>
      </c>
      <c r="H34" s="75">
        <f>'Raw Data (KG)'!Y34</f>
        <v>0</v>
      </c>
      <c r="I34" s="77">
        <f>'Raw Data (KG)'!V34</f>
        <v>0</v>
      </c>
      <c r="J34" s="75">
        <f>'Raw Data (KG)'!U34</f>
        <v>0</v>
      </c>
      <c r="K34" s="74">
        <f>'Raw Data (KG)'!J34+SUM('Raw Data (KG)'!L34:P34)+SUM('Raw Data (KG)'!R34:T34)+'Raw Data (KG)'!Z34</f>
        <v>1718.5359999999998</v>
      </c>
      <c r="L34" s="72">
        <f t="shared" ref="L34:L65" si="1">SUM(B34:K34)</f>
        <v>9854.3443329999991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(KG)'!D35:E35)</f>
        <v>6227.8083329999999</v>
      </c>
      <c r="C35" s="75">
        <f>SUM('Raw Data (KG)'!F35:G35)</f>
        <v>140</v>
      </c>
      <c r="D35" s="73">
        <f>SUM('Raw Data (KG)'!H35:I35)</f>
        <v>410</v>
      </c>
      <c r="E35" s="75">
        <f>'Raw Data (KG)'!K35</f>
        <v>1397</v>
      </c>
      <c r="F35" s="76"/>
      <c r="G35" s="75">
        <f>'Raw Data (KG)'!X35</f>
        <v>0</v>
      </c>
      <c r="H35" s="75">
        <f>'Raw Data (KG)'!Y35</f>
        <v>0</v>
      </c>
      <c r="I35" s="77">
        <f>'Raw Data (KG)'!V35</f>
        <v>0</v>
      </c>
      <c r="J35" s="75">
        <f>'Raw Data (KG)'!U35</f>
        <v>0</v>
      </c>
      <c r="K35" s="74">
        <f>'Raw Data (KG)'!J35+SUM('Raw Data (KG)'!L35:P35)+SUM('Raw Data (KG)'!R35:T35)+'Raw Data (KG)'!Z35</f>
        <v>1156.0339999999999</v>
      </c>
      <c r="L35" s="72">
        <f t="shared" si="1"/>
        <v>9330.8423330000005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(KG)'!D36:E36)</f>
        <v>6257.8083329999999</v>
      </c>
      <c r="C36" s="75">
        <f>SUM('Raw Data (KG)'!F36:G36)</f>
        <v>110</v>
      </c>
      <c r="D36" s="73">
        <f>SUM('Raw Data (KG)'!H36:I36)</f>
        <v>500</v>
      </c>
      <c r="E36" s="75">
        <f>'Raw Data (KG)'!K36</f>
        <v>1824</v>
      </c>
      <c r="F36" s="76"/>
      <c r="G36" s="75">
        <f>'Raw Data (KG)'!X36</f>
        <v>0</v>
      </c>
      <c r="H36" s="75">
        <f>'Raw Data (KG)'!Y36</f>
        <v>0</v>
      </c>
      <c r="I36" s="77">
        <f>'Raw Data (KG)'!V36</f>
        <v>0</v>
      </c>
      <c r="J36" s="75">
        <f>'Raw Data (KG)'!U36</f>
        <v>0</v>
      </c>
      <c r="K36" s="74">
        <f>'Raw Data (KG)'!J36+SUM('Raw Data (KG)'!L36:P36)+SUM('Raw Data (KG)'!R36:T36)+'Raw Data (KG)'!Z36</f>
        <v>1584.84</v>
      </c>
      <c r="L36" s="72">
        <f t="shared" si="1"/>
        <v>10276.648333000001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(KG)'!D37:E37)</f>
        <v>6297.8083329999999</v>
      </c>
      <c r="C37" s="75">
        <f>SUM('Raw Data (KG)'!F37:G37)</f>
        <v>270</v>
      </c>
      <c r="D37" s="73">
        <f>SUM('Raw Data (KG)'!H37:I37)</f>
        <v>490</v>
      </c>
      <c r="E37" s="75">
        <f>'Raw Data (KG)'!K37</f>
        <v>1672</v>
      </c>
      <c r="F37" s="76"/>
      <c r="G37" s="75">
        <f>'Raw Data (KG)'!X37</f>
        <v>0</v>
      </c>
      <c r="H37" s="75">
        <f>'Raw Data (KG)'!Y37</f>
        <v>0</v>
      </c>
      <c r="I37" s="77">
        <f>'Raw Data (KG)'!V37</f>
        <v>0</v>
      </c>
      <c r="J37" s="75">
        <f>'Raw Data (KG)'!U37</f>
        <v>0</v>
      </c>
      <c r="K37" s="74">
        <f>'Raw Data (KG)'!J37+SUM('Raw Data (KG)'!L37:P37)+SUM('Raw Data (KG)'!R37:T37)+'Raw Data (KG)'!Z37</f>
        <v>1540</v>
      </c>
      <c r="L37" s="72">
        <f t="shared" si="1"/>
        <v>10269.808333000001</v>
      </c>
      <c r="M37" s="150">
        <f>SUM(L26:L37)</f>
        <v>121010.02199800001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(KG)'!D38:E38)</f>
        <v>5637.8083329999999</v>
      </c>
      <c r="C38" s="9">
        <f>SUM('Raw Data (KG)'!F38:G38)</f>
        <v>260</v>
      </c>
      <c r="D38" s="8">
        <f>SUM('Raw Data (KG)'!H38:I38)</f>
        <v>510</v>
      </c>
      <c r="E38" s="9">
        <f>'Raw Data (KG)'!K38</f>
        <v>2495</v>
      </c>
      <c r="F38" s="7"/>
      <c r="G38" s="9">
        <f>'Raw Data (KG)'!X38</f>
        <v>0</v>
      </c>
      <c r="H38" s="9">
        <f>'Raw Data (KG)'!Y38</f>
        <v>0</v>
      </c>
      <c r="I38" s="352">
        <f>'Raw Data (KG)'!V38</f>
        <v>0</v>
      </c>
      <c r="J38" s="9">
        <f>'Raw Data (KG)'!U38</f>
        <v>0</v>
      </c>
      <c r="K38" s="62">
        <f>'Raw Data (KG)'!J38+SUM('Raw Data (KG)'!L38:P38)+SUM('Raw Data (KG)'!R38:T38)+'Raw Data (KG)'!Z38</f>
        <v>1600</v>
      </c>
      <c r="L38" s="15">
        <f t="shared" si="1"/>
        <v>10502.808333000001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(KG)'!D39:E39)</f>
        <v>9917.8083330000009</v>
      </c>
      <c r="C39" s="9">
        <f>SUM('Raw Data (KG)'!F39:G39)</f>
        <v>400</v>
      </c>
      <c r="D39" s="8">
        <f>SUM('Raw Data (KG)'!H39:I39)</f>
        <v>577.5</v>
      </c>
      <c r="E39" s="9">
        <f>'Raw Data (KG)'!K39</f>
        <v>1142</v>
      </c>
      <c r="F39" s="7"/>
      <c r="G39" s="9">
        <f>'Raw Data (KG)'!X39</f>
        <v>0</v>
      </c>
      <c r="H39" s="9">
        <f>'Raw Data (KG)'!Y39</f>
        <v>0</v>
      </c>
      <c r="I39" s="352">
        <f>'Raw Data (KG)'!V39</f>
        <v>0</v>
      </c>
      <c r="J39" s="9">
        <f>'Raw Data (KG)'!U39</f>
        <v>0</v>
      </c>
      <c r="K39" s="62">
        <f>'Raw Data (KG)'!J39+SUM('Raw Data (KG)'!L39:P39)+SUM('Raw Data (KG)'!R39:T39)+'Raw Data (KG)'!Z39</f>
        <v>2800</v>
      </c>
      <c r="L39" s="15">
        <f t="shared" si="1"/>
        <v>14837.308333000001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(KG)'!D40:E40)</f>
        <v>10827.808333000001</v>
      </c>
      <c r="C40" s="9">
        <f>SUM('Raw Data (KG)'!F40:G40)</f>
        <v>250</v>
      </c>
      <c r="D40" s="8">
        <f>SUM('Raw Data (KG)'!H40:I40)</f>
        <v>1119.8</v>
      </c>
      <c r="E40" s="9">
        <f>'Raw Data (KG)'!K40</f>
        <v>2204</v>
      </c>
      <c r="F40" s="348">
        <v>11950</v>
      </c>
      <c r="G40" s="9">
        <f>'Raw Data (KG)'!X40</f>
        <v>0</v>
      </c>
      <c r="H40" s="9">
        <f>'Raw Data (KG)'!Y40</f>
        <v>0</v>
      </c>
      <c r="I40" s="352">
        <f>'Raw Data (KG)'!V40</f>
        <v>0</v>
      </c>
      <c r="J40" s="9">
        <f>'Raw Data (KG)'!U40</f>
        <v>0</v>
      </c>
      <c r="K40" s="62">
        <f>'Raw Data (KG)'!J40+SUM('Raw Data (KG)'!L40:P40)+SUM('Raw Data (KG)'!R40:T40)+'Raw Data (KG)'!Z40</f>
        <v>2589.5100000000002</v>
      </c>
      <c r="L40" s="15">
        <f t="shared" si="1"/>
        <v>28941.118332999999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(KG)'!D41:E41)</f>
        <v>9477.8083333333325</v>
      </c>
      <c r="C41" s="9">
        <f>SUM('Raw Data (KG)'!F41:G41)</f>
        <v>150</v>
      </c>
      <c r="D41" s="8">
        <f>SUM('Raw Data (KG)'!H41:I41)</f>
        <v>2310</v>
      </c>
      <c r="E41" s="9">
        <f>'Raw Data (KG)'!K41</f>
        <v>1653</v>
      </c>
      <c r="F41" s="7">
        <f>'Raw Food Data (KG)'!Q2</f>
        <v>21800</v>
      </c>
      <c r="G41" s="9">
        <f>'Raw Data (KG)'!X41</f>
        <v>0</v>
      </c>
      <c r="H41" s="9">
        <f>'Raw Data (KG)'!Y41</f>
        <v>0</v>
      </c>
      <c r="I41" s="352">
        <f>'Raw Data (KG)'!V41</f>
        <v>0</v>
      </c>
      <c r="J41" s="9">
        <f>'Raw Data (KG)'!U41</f>
        <v>0</v>
      </c>
      <c r="K41" s="62">
        <f>'Raw Data (KG)'!J41+SUM('Raw Data (KG)'!L41:P41)+SUM('Raw Data (KG)'!R41:T41)+'Raw Data (KG)'!Z41</f>
        <v>2213.462</v>
      </c>
      <c r="L41" s="15">
        <f t="shared" si="1"/>
        <v>37604.270333333334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(KG)'!D42:E42)</f>
        <v>10077.808333333332</v>
      </c>
      <c r="C42" s="9">
        <f>SUM('Raw Data (KG)'!F42:G42)</f>
        <v>110</v>
      </c>
      <c r="D42" s="8">
        <f>SUM('Raw Data (KG)'!H42:I42)</f>
        <v>2627.5</v>
      </c>
      <c r="E42" s="9">
        <f>'Raw Data (KG)'!K42</f>
        <v>3458</v>
      </c>
      <c r="F42" s="7">
        <f>'Raw Food Data (KG)'!Q3</f>
        <v>19250</v>
      </c>
      <c r="G42" s="9">
        <f>'Raw Data (KG)'!X42</f>
        <v>66</v>
      </c>
      <c r="H42" s="9">
        <f>'Raw Data (KG)'!Y42</f>
        <v>0</v>
      </c>
      <c r="I42" s="352">
        <f>'Raw Data (KG)'!V42</f>
        <v>0</v>
      </c>
      <c r="J42" s="9">
        <f>'Raw Data (KG)'!U42</f>
        <v>0</v>
      </c>
      <c r="K42" s="62">
        <f>'Raw Data (KG)'!J42+SUM('Raw Data (KG)'!L42:P42)+SUM('Raw Data (KG)'!R42:T42)+'Raw Data (KG)'!Z42</f>
        <v>2148.0700000000002</v>
      </c>
      <c r="L42" s="15">
        <f t="shared" si="1"/>
        <v>37737.378333333334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(KG)'!D43:E43)</f>
        <v>9627.8083333333325</v>
      </c>
      <c r="C43" s="9">
        <f>SUM('Raw Data (KG)'!F43:G43)</f>
        <v>270</v>
      </c>
      <c r="D43" s="8">
        <f>SUM('Raw Data (KG)'!H43:I43)</f>
        <v>1472.5</v>
      </c>
      <c r="E43" s="9">
        <f>'Raw Data (KG)'!K43</f>
        <v>1465</v>
      </c>
      <c r="F43" s="7">
        <f>'Raw Food Data (KG)'!Q4</f>
        <v>16900</v>
      </c>
      <c r="G43" s="9">
        <f>'Raw Data (KG)'!X43</f>
        <v>62.5</v>
      </c>
      <c r="H43" s="9">
        <f>'Raw Data (KG)'!Y43</f>
        <v>0</v>
      </c>
      <c r="I43" s="352">
        <f>'Raw Data (KG)'!V43</f>
        <v>0</v>
      </c>
      <c r="J43" s="9">
        <f>'Raw Data (KG)'!U43</f>
        <v>0</v>
      </c>
      <c r="K43" s="62">
        <f>'Raw Data (KG)'!J43+SUM('Raw Data (KG)'!L43:P43)+SUM('Raw Data (KG)'!R43:T43)+'Raw Data (KG)'!Z43</f>
        <v>1655.65</v>
      </c>
      <c r="L43" s="15">
        <f t="shared" si="1"/>
        <v>31453.458333333336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(KG)'!D44:E44)</f>
        <v>12293.875</v>
      </c>
      <c r="C44" s="9">
        <f>SUM('Raw Data (KG)'!F44:G44)</f>
        <v>180</v>
      </c>
      <c r="D44" s="8">
        <f>SUM('Raw Data (KG)'!H44:I44)</f>
        <v>1682</v>
      </c>
      <c r="E44" s="9">
        <f>'Raw Data (KG)'!K44</f>
        <v>1726</v>
      </c>
      <c r="F44" s="7">
        <f>'Raw Food Data (KG)'!Q5</f>
        <v>13750</v>
      </c>
      <c r="G44" s="9">
        <f>'Raw Data (KG)'!X44</f>
        <v>0</v>
      </c>
      <c r="H44" s="9">
        <f>'Raw Data (KG)'!Y44</f>
        <v>0</v>
      </c>
      <c r="I44" s="352">
        <f>'Raw Data (KG)'!V44</f>
        <v>0</v>
      </c>
      <c r="J44" s="9">
        <f>'Raw Data (KG)'!U44</f>
        <v>0</v>
      </c>
      <c r="K44" s="62">
        <f>'Raw Data (KG)'!J44+SUM('Raw Data (KG)'!L44:P44)+SUM('Raw Data (KG)'!R44:T44)+'Raw Data (KG)'!Z44</f>
        <v>1546.251</v>
      </c>
      <c r="L44" s="15">
        <f t="shared" si="1"/>
        <v>31178.126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(KG)'!D45:E45)</f>
        <v>11163.875</v>
      </c>
      <c r="C45" s="9">
        <f>SUM('Raw Data (KG)'!F45:G45)</f>
        <v>210</v>
      </c>
      <c r="D45" s="8">
        <f>SUM('Raw Data (KG)'!H45:I45)</f>
        <v>1845.5</v>
      </c>
      <c r="E45" s="9">
        <f>'Raw Data (KG)'!K45</f>
        <v>1475</v>
      </c>
      <c r="F45" s="7">
        <f>'Raw Food Data (KG)'!Q6</f>
        <v>18825</v>
      </c>
      <c r="G45" s="9">
        <f>'Raw Data (KG)'!X45</f>
        <v>0</v>
      </c>
      <c r="H45" s="9">
        <f>'Raw Data (KG)'!Y45</f>
        <v>0</v>
      </c>
      <c r="I45" s="352">
        <f>'Raw Data (KG)'!V45</f>
        <v>0</v>
      </c>
      <c r="J45" s="9">
        <f>'Raw Data (KG)'!U45</f>
        <v>0</v>
      </c>
      <c r="K45" s="62">
        <f>'Raw Data (KG)'!J45+SUM('Raw Data (KG)'!L45:P45)+SUM('Raw Data (KG)'!R45:T45)+'Raw Data (KG)'!Z45</f>
        <v>3320</v>
      </c>
      <c r="L45" s="15">
        <f t="shared" si="1"/>
        <v>36839.375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(KG)'!D46:E46)</f>
        <v>11933.875</v>
      </c>
      <c r="C46" s="9">
        <f>SUM('Raw Data (KG)'!F46:G46)</f>
        <v>210</v>
      </c>
      <c r="D46" s="8">
        <f>SUM('Raw Data (KG)'!H46:I46)</f>
        <v>1991</v>
      </c>
      <c r="E46" s="9">
        <f>'Raw Data (KG)'!K46</f>
        <v>1816</v>
      </c>
      <c r="F46" s="7">
        <f>'Raw Food Data (KG)'!Q7</f>
        <v>21975</v>
      </c>
      <c r="G46" s="9">
        <f>'Raw Data (KG)'!X46</f>
        <v>0</v>
      </c>
      <c r="H46" s="9">
        <f>'Raw Data (KG)'!Y46</f>
        <v>0</v>
      </c>
      <c r="I46" s="352">
        <f>'Raw Data (KG)'!V46</f>
        <v>0</v>
      </c>
      <c r="J46" s="9">
        <f>'Raw Data (KG)'!U46</f>
        <v>0</v>
      </c>
      <c r="K46" s="62">
        <f>'Raw Data (KG)'!J46+SUM('Raw Data (KG)'!L46:P46)+SUM('Raw Data (KG)'!R46:T46)+'Raw Data (KG)'!Z46</f>
        <v>3081.07</v>
      </c>
      <c r="L46" s="15">
        <f t="shared" si="1"/>
        <v>41006.945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(KG)'!D47:E47)</f>
        <v>12513.875</v>
      </c>
      <c r="C47" s="9">
        <f>SUM('Raw Data (KG)'!F47:G47)</f>
        <v>290</v>
      </c>
      <c r="D47" s="8">
        <f>SUM('Raw Data (KG)'!H47:I47)</f>
        <v>2070.1999999999998</v>
      </c>
      <c r="E47" s="9">
        <f>'Raw Data (KG)'!K47</f>
        <v>1894</v>
      </c>
      <c r="F47" s="7">
        <f>'Raw Food Data (KG)'!Q8</f>
        <v>18850</v>
      </c>
      <c r="G47" s="9">
        <f>'Raw Data (KG)'!X47</f>
        <v>0</v>
      </c>
      <c r="H47" s="9">
        <f>'Raw Data (KG)'!Y47</f>
        <v>0</v>
      </c>
      <c r="I47" s="352">
        <f>'Raw Data (KG)'!V47</f>
        <v>0</v>
      </c>
      <c r="J47" s="9">
        <f>'Raw Data (KG)'!U47</f>
        <v>0</v>
      </c>
      <c r="K47" s="62">
        <f>'Raw Data (KG)'!J47+SUM('Raw Data (KG)'!L47:P47)+SUM('Raw Data (KG)'!R47:T47)+'Raw Data (KG)'!Z47</f>
        <v>2610.1999999999998</v>
      </c>
      <c r="L47" s="15">
        <f t="shared" si="1"/>
        <v>38228.274999999994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(KG)'!D48:E48)</f>
        <v>13343.875</v>
      </c>
      <c r="C48" s="9">
        <f>SUM('Raw Data (KG)'!F48:G48)</f>
        <v>260</v>
      </c>
      <c r="D48" s="8">
        <f>SUM('Raw Data (KG)'!H48:I48)</f>
        <v>1900</v>
      </c>
      <c r="E48" s="9">
        <f>'Raw Data (KG)'!K48</f>
        <v>1563</v>
      </c>
      <c r="F48" s="7">
        <f>'Raw Food Data (KG)'!Q9</f>
        <v>20275</v>
      </c>
      <c r="G48" s="9">
        <f>'Raw Data (KG)'!X48</f>
        <v>0</v>
      </c>
      <c r="H48" s="9">
        <f>'Raw Data (KG)'!Y48</f>
        <v>0</v>
      </c>
      <c r="I48" s="352">
        <f>'Raw Data (KG)'!V48</f>
        <v>0</v>
      </c>
      <c r="J48" s="9">
        <f>'Raw Data (KG)'!U48</f>
        <v>0</v>
      </c>
      <c r="K48" s="62">
        <f>'Raw Data (KG)'!J48+SUM('Raw Data (KG)'!L48:P48)+SUM('Raw Data (KG)'!R48:T48)+'Raw Data (KG)'!Z48</f>
        <v>4144.43</v>
      </c>
      <c r="L48" s="15">
        <f t="shared" si="1"/>
        <v>41486.305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(KG)'!D49:E49)</f>
        <v>9253.875</v>
      </c>
      <c r="C49" s="9">
        <f>SUM('Raw Data (KG)'!F49:G49)</f>
        <v>400</v>
      </c>
      <c r="D49" s="8">
        <f>SUM('Raw Data (KG)'!H49:I49)</f>
        <v>3011</v>
      </c>
      <c r="E49" s="9">
        <f>'Raw Data (KG)'!K49</f>
        <v>1981</v>
      </c>
      <c r="F49" s="7">
        <f>'Raw Food Data (KG)'!Q10</f>
        <v>21025</v>
      </c>
      <c r="G49" s="9">
        <f>'Raw Data (KG)'!X49</f>
        <v>0</v>
      </c>
      <c r="H49" s="9">
        <f>'Raw Data (KG)'!Y49</f>
        <v>0</v>
      </c>
      <c r="I49" s="352">
        <f>'Raw Data (KG)'!V49</f>
        <v>0</v>
      </c>
      <c r="J49" s="9">
        <f>'Raw Data (KG)'!U49</f>
        <v>0</v>
      </c>
      <c r="K49" s="62">
        <f>'Raw Data (KG)'!J49+SUM('Raw Data (KG)'!L49:P49)+SUM('Raw Data (KG)'!R49:T49)+'Raw Data (KG)'!Z49</f>
        <v>1790</v>
      </c>
      <c r="L49" s="15">
        <f t="shared" si="1"/>
        <v>37460.875</v>
      </c>
      <c r="M49" s="150">
        <f>SUM(L38:L49)</f>
        <v>387276.24299899995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(KG)'!D50:E50)</f>
        <v>13023.875</v>
      </c>
      <c r="C50" s="75">
        <f>SUM('Raw Data (KG)'!F50:G50)</f>
        <v>270</v>
      </c>
      <c r="D50" s="73">
        <f>SUM('Raw Data (KG)'!H50:I50)</f>
        <v>1863.5</v>
      </c>
      <c r="E50" s="75">
        <f>'Raw Data (KG)'!K50</f>
        <v>1948</v>
      </c>
      <c r="F50" s="76">
        <f>'Raw Food Data (KG)'!Q11</f>
        <v>13275</v>
      </c>
      <c r="G50" s="75">
        <f>'Raw Data (KG)'!X50</f>
        <v>0</v>
      </c>
      <c r="H50" s="75">
        <f>'Raw Data (KG)'!Y50</f>
        <v>0</v>
      </c>
      <c r="I50" s="77">
        <f>'Raw Data (KG)'!V50</f>
        <v>0</v>
      </c>
      <c r="J50" s="75">
        <f>'Raw Data (KG)'!U50</f>
        <v>0</v>
      </c>
      <c r="K50" s="74">
        <f>'Raw Data (KG)'!J50+SUM('Raw Data (KG)'!L50:P50)+SUM('Raw Data (KG)'!R50:T50)+'Raw Data (KG)'!Z50</f>
        <v>3801.7280000000001</v>
      </c>
      <c r="L50" s="72">
        <f t="shared" si="1"/>
        <v>34182.103000000003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(KG)'!D51:E51)</f>
        <v>12793.875</v>
      </c>
      <c r="C51" s="75">
        <f>SUM('Raw Data (KG)'!F51:G51)</f>
        <v>210</v>
      </c>
      <c r="D51" s="73">
        <f>SUM('Raw Data (KG)'!H51:I51)</f>
        <v>975</v>
      </c>
      <c r="E51" s="75">
        <f>'Raw Data (KG)'!K51</f>
        <v>1726</v>
      </c>
      <c r="F51" s="76">
        <f>'Raw Food Data (KG)'!Q12</f>
        <v>15525</v>
      </c>
      <c r="G51" s="75">
        <f>'Raw Data (KG)'!X51</f>
        <v>0</v>
      </c>
      <c r="H51" s="75">
        <f>'Raw Data (KG)'!Y51</f>
        <v>0</v>
      </c>
      <c r="I51" s="77">
        <f>'Raw Data (KG)'!V51</f>
        <v>0</v>
      </c>
      <c r="J51" s="75">
        <f>'Raw Data (KG)'!U51</f>
        <v>0</v>
      </c>
      <c r="K51" s="74">
        <f>'Raw Data (KG)'!J51+SUM('Raw Data (KG)'!L51:P51)+SUM('Raw Data (KG)'!R51:T51)+'Raw Data (KG)'!Z51</f>
        <v>1477</v>
      </c>
      <c r="L51" s="72">
        <f t="shared" si="1"/>
        <v>32706.875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(KG)'!D52:E52)</f>
        <v>7881</v>
      </c>
      <c r="C52" s="75">
        <f>SUM('Raw Data (KG)'!F52:G52)</f>
        <v>400</v>
      </c>
      <c r="D52" s="73">
        <f>SUM('Raw Data (KG)'!H52:I52)</f>
        <v>975</v>
      </c>
      <c r="E52" s="75">
        <f>'Raw Data (KG)'!K52</f>
        <v>3290</v>
      </c>
      <c r="F52" s="76">
        <f>'Raw Food Data (KG)'!Q13</f>
        <v>25050</v>
      </c>
      <c r="G52" s="75">
        <f>'Raw Data (KG)'!X52</f>
        <v>0</v>
      </c>
      <c r="H52" s="75">
        <f>'Raw Data (KG)'!Y52</f>
        <v>0</v>
      </c>
      <c r="I52" s="77">
        <f>'Raw Data (KG)'!V52</f>
        <v>0</v>
      </c>
      <c r="J52" s="75">
        <f>'Raw Data (KG)'!U52</f>
        <v>0</v>
      </c>
      <c r="K52" s="74">
        <f>'Raw Data (KG)'!J52+SUM('Raw Data (KG)'!L52:P52)+SUM('Raw Data (KG)'!R52:T52)+'Raw Data (KG)'!Z52</f>
        <v>1403.434</v>
      </c>
      <c r="L52" s="72">
        <f t="shared" si="1"/>
        <v>38999.434000000001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(KG)'!D53:E53)</f>
        <v>10333</v>
      </c>
      <c r="C53" s="75">
        <f>SUM('Raw Data (KG)'!F53:G53)</f>
        <v>200</v>
      </c>
      <c r="D53" s="73">
        <f>SUM('Raw Data (KG)'!H53:I53)</f>
        <v>1691</v>
      </c>
      <c r="E53" s="75">
        <f>'Raw Data (KG)'!K53</f>
        <v>0</v>
      </c>
      <c r="F53" s="76">
        <f>'Raw Food Data (KG)'!Q14</f>
        <v>25175</v>
      </c>
      <c r="G53" s="75">
        <f>'Raw Data (KG)'!X53</f>
        <v>0</v>
      </c>
      <c r="H53" s="75">
        <f>'Raw Data (KG)'!Y53</f>
        <v>0</v>
      </c>
      <c r="I53" s="77">
        <f>'Raw Data (KG)'!V53</f>
        <v>0</v>
      </c>
      <c r="J53" s="75">
        <f>'Raw Data (KG)'!U53</f>
        <v>0</v>
      </c>
      <c r="K53" s="74">
        <f>'Raw Data (KG)'!J53+SUM('Raw Data (KG)'!L53:P53)+SUM('Raw Data (KG)'!R53:T53)+'Raw Data (KG)'!Z53</f>
        <v>1399.31</v>
      </c>
      <c r="L53" s="72">
        <f t="shared" si="1"/>
        <v>38798.31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(KG)'!D54:E54)</f>
        <v>10568</v>
      </c>
      <c r="C54" s="75">
        <f>SUM('Raw Data (KG)'!F54:G54)</f>
        <v>210</v>
      </c>
      <c r="D54" s="73">
        <f>SUM('Raw Data (KG)'!H54:I54)</f>
        <v>975</v>
      </c>
      <c r="E54" s="75">
        <f>'Raw Data (KG)'!K54</f>
        <v>3956</v>
      </c>
      <c r="F54" s="76">
        <f>'Raw Food Data (KG)'!Q15</f>
        <v>30100</v>
      </c>
      <c r="G54" s="75">
        <f>'Raw Data (KG)'!X54</f>
        <v>0</v>
      </c>
      <c r="H54" s="75">
        <f>'Raw Data (KG)'!Y54</f>
        <v>0</v>
      </c>
      <c r="I54" s="77">
        <f>'Raw Data (KG)'!V54</f>
        <v>0</v>
      </c>
      <c r="J54" s="75">
        <f>'Raw Data (KG)'!U54</f>
        <v>0</v>
      </c>
      <c r="K54" s="74">
        <f>'Raw Data (KG)'!J54+SUM('Raw Data (KG)'!L54:P54)+SUM('Raw Data (KG)'!R54:T54)+'Raw Data (KG)'!Z54</f>
        <v>2179.011</v>
      </c>
      <c r="L54" s="72">
        <f t="shared" si="1"/>
        <v>47988.010999999999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(KG)'!D55:E55)</f>
        <v>10345</v>
      </c>
      <c r="C55" s="75">
        <f>SUM('Raw Data (KG)'!F55:G55)</f>
        <v>150</v>
      </c>
      <c r="D55" s="73">
        <f>SUM('Raw Data (KG)'!H55:I55)</f>
        <v>1992.05</v>
      </c>
      <c r="E55" s="75">
        <f>'Raw Data (KG)'!K55</f>
        <v>4858</v>
      </c>
      <c r="F55" s="76">
        <f>'Raw Food Data (KG)'!Q16</f>
        <v>30200</v>
      </c>
      <c r="G55" s="75">
        <f>'Raw Data (KG)'!X55</f>
        <v>0</v>
      </c>
      <c r="H55" s="75">
        <f>'Raw Data (KG)'!Y55</f>
        <v>0</v>
      </c>
      <c r="I55" s="77">
        <f>'Raw Data (KG)'!V55</f>
        <v>0</v>
      </c>
      <c r="J55" s="75">
        <f>'Raw Data (KG)'!U55</f>
        <v>0</v>
      </c>
      <c r="K55" s="74">
        <f>'Raw Data (KG)'!J55+SUM('Raw Data (KG)'!L55:P55)+SUM('Raw Data (KG)'!R55:T55)+'Raw Data (KG)'!Z55</f>
        <v>2678.91</v>
      </c>
      <c r="L55" s="72">
        <f t="shared" si="1"/>
        <v>50223.960000000006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(KG)'!D56:E56)</f>
        <v>9936</v>
      </c>
      <c r="C56" s="75">
        <f>SUM('Raw Data (KG)'!F56:G56)</f>
        <v>210</v>
      </c>
      <c r="D56" s="73">
        <f>SUM('Raw Data (KG)'!H56:I56)</f>
        <v>1033.3</v>
      </c>
      <c r="E56" s="75">
        <f>'Raw Data (KG)'!K56</f>
        <v>0</v>
      </c>
      <c r="F56" s="76">
        <f>'Raw Food Data (KG)'!Q17</f>
        <v>27975</v>
      </c>
      <c r="G56" s="75">
        <f>'Raw Data (KG)'!X56</f>
        <v>0</v>
      </c>
      <c r="H56" s="75">
        <f>'Raw Data (KG)'!Y56</f>
        <v>0</v>
      </c>
      <c r="I56" s="77">
        <f>'Raw Data (KG)'!V56</f>
        <v>0</v>
      </c>
      <c r="J56" s="75">
        <f>'Raw Data (KG)'!U56</f>
        <v>0</v>
      </c>
      <c r="K56" s="74">
        <f>'Raw Data (KG)'!J56+SUM('Raw Data (KG)'!L56:P56)+SUM('Raw Data (KG)'!R56:T56)+'Raw Data (KG)'!Z56</f>
        <v>2150</v>
      </c>
      <c r="L56" s="72">
        <f t="shared" si="1"/>
        <v>41304.300000000003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(KG)'!D57:E57)</f>
        <v>7843</v>
      </c>
      <c r="C57" s="75">
        <f>SUM('Raw Data (KG)'!F57:G57)</f>
        <v>150</v>
      </c>
      <c r="D57" s="73">
        <f>SUM('Raw Data (KG)'!H57:I57)</f>
        <v>200.3</v>
      </c>
      <c r="E57" s="75">
        <f>'Raw Data (KG)'!K57</f>
        <v>2040</v>
      </c>
      <c r="F57" s="76">
        <f>'Raw Food Data (KG)'!Q18</f>
        <v>21825</v>
      </c>
      <c r="G57" s="75">
        <f>'Raw Data (KG)'!X57</f>
        <v>0</v>
      </c>
      <c r="H57" s="75">
        <f>'Raw Data (KG)'!Y57</f>
        <v>0</v>
      </c>
      <c r="I57" s="77">
        <f>'Raw Data (KG)'!V57</f>
        <v>1300</v>
      </c>
      <c r="J57" s="75">
        <f>'Raw Data (KG)'!U57</f>
        <v>0</v>
      </c>
      <c r="K57" s="74">
        <f>'Raw Data (KG)'!J57+SUM('Raw Data (KG)'!L57:P57)+SUM('Raw Data (KG)'!R57:T57)+'Raw Data (KG)'!Z57</f>
        <v>1400</v>
      </c>
      <c r="L57" s="72">
        <f t="shared" si="1"/>
        <v>34758.300000000003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(KG)'!D58:E58)</f>
        <v>9681</v>
      </c>
      <c r="C58" s="75">
        <f>SUM('Raw Data (KG)'!F58:G58)</f>
        <v>500</v>
      </c>
      <c r="D58" s="73">
        <f>SUM('Raw Data (KG)'!H58:I58)</f>
        <v>518.5</v>
      </c>
      <c r="E58" s="75">
        <f>'Raw Data (KG)'!K58</f>
        <v>1740</v>
      </c>
      <c r="F58" s="76">
        <f>'Raw Food Data (KG)'!Q19</f>
        <v>25300</v>
      </c>
      <c r="G58" s="75">
        <f>'Raw Data (KG)'!X58</f>
        <v>0</v>
      </c>
      <c r="H58" s="75">
        <f>'Raw Data (KG)'!Y58</f>
        <v>0</v>
      </c>
      <c r="I58" s="77">
        <f>'Raw Data (KG)'!V58</f>
        <v>1500</v>
      </c>
      <c r="J58" s="75">
        <f>'Raw Data (KG)'!U58</f>
        <v>0</v>
      </c>
      <c r="K58" s="74">
        <f>'Raw Data (KG)'!J58+SUM('Raw Data (KG)'!L58:P58)+SUM('Raw Data (KG)'!R58:T58)+'Raw Data (KG)'!Z58</f>
        <v>2254.1999999999998</v>
      </c>
      <c r="L58" s="72">
        <f t="shared" si="1"/>
        <v>41493.699999999997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(KG)'!D59:E59)</f>
        <v>9790</v>
      </c>
      <c r="C59" s="75">
        <f>SUM('Raw Data (KG)'!F59:G59)</f>
        <v>170</v>
      </c>
      <c r="D59" s="73">
        <f>SUM('Raw Data (KG)'!H59:I59)</f>
        <v>516.4</v>
      </c>
      <c r="E59" s="75">
        <f>'Raw Data (KG)'!K59</f>
        <v>1490</v>
      </c>
      <c r="F59" s="76">
        <f>'Raw Food Data (KG)'!Q20</f>
        <v>25225</v>
      </c>
      <c r="G59" s="75">
        <f>'Raw Data (KG)'!X59</f>
        <v>0</v>
      </c>
      <c r="H59" s="75">
        <f>'Raw Data (KG)'!Y59</f>
        <v>3000</v>
      </c>
      <c r="I59" s="77">
        <f>'Raw Data (KG)'!V59</f>
        <v>1300</v>
      </c>
      <c r="J59" s="75">
        <f>'Raw Data (KG)'!U59</f>
        <v>0</v>
      </c>
      <c r="K59" s="74">
        <f>'Raw Data (KG)'!J59+SUM('Raw Data (KG)'!L59:P59)+SUM('Raw Data (KG)'!R59:T59)+'Raw Data (KG)'!Z59</f>
        <v>5739.5110000000004</v>
      </c>
      <c r="L59" s="72">
        <f t="shared" si="1"/>
        <v>47230.911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(KG)'!D60:E60)</f>
        <v>11710</v>
      </c>
      <c r="C60" s="75">
        <f>SUM('Raw Data (KG)'!F60:G60)</f>
        <v>170</v>
      </c>
      <c r="D60" s="73">
        <f>SUM('Raw Data (KG)'!H60:I60)</f>
        <v>670</v>
      </c>
      <c r="E60" s="75">
        <f>'Raw Data (KG)'!K60</f>
        <v>0</v>
      </c>
      <c r="F60" s="76">
        <f>'Raw Food Data (KG)'!Q21</f>
        <v>37200</v>
      </c>
      <c r="G60" s="75">
        <f>'Raw Data (KG)'!X60</f>
        <v>0</v>
      </c>
      <c r="H60" s="75">
        <f>'Raw Data (KG)'!Y60</f>
        <v>12000</v>
      </c>
      <c r="I60" s="77">
        <f>'Raw Data (KG)'!V60</f>
        <v>3400.0000000000005</v>
      </c>
      <c r="J60" s="75">
        <f>'Raw Data (KG)'!U60</f>
        <v>0</v>
      </c>
      <c r="K60" s="74">
        <f>'Raw Data (KG)'!J60+SUM('Raw Data (KG)'!L60:P60)+SUM('Raw Data (KG)'!R60:T60)+'Raw Data (KG)'!Z60</f>
        <v>2770</v>
      </c>
      <c r="L60" s="72">
        <f t="shared" si="1"/>
        <v>67920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(KG)'!D61:E61)</f>
        <v>14234</v>
      </c>
      <c r="C61" s="75">
        <f>SUM('Raw Data (KG)'!F61:G61)</f>
        <v>210</v>
      </c>
      <c r="D61" s="73">
        <f>SUM('Raw Data (KG)'!H61:I61)</f>
        <v>459.65</v>
      </c>
      <c r="E61" s="75">
        <f>'Raw Data (KG)'!K61</f>
        <v>3470</v>
      </c>
      <c r="F61" s="76">
        <f>'Raw Food Data (KG)'!Q22</f>
        <v>27900</v>
      </c>
      <c r="G61" s="75">
        <f>'Raw Data (KG)'!X61</f>
        <v>0</v>
      </c>
      <c r="H61" s="75">
        <f>'Raw Data (KG)'!Y61</f>
        <v>6000</v>
      </c>
      <c r="I61" s="77">
        <f>'Raw Data (KG)'!V61</f>
        <v>40370</v>
      </c>
      <c r="J61" s="75">
        <f>'Raw Data (KG)'!U61</f>
        <v>0</v>
      </c>
      <c r="K61" s="74">
        <f>'Raw Data (KG)'!J61+SUM('Raw Data (KG)'!L61:P61)+SUM('Raw Data (KG)'!R61:T61)+'Raw Data (KG)'!Z61</f>
        <v>1480</v>
      </c>
      <c r="L61" s="72">
        <f t="shared" si="1"/>
        <v>94123.65</v>
      </c>
      <c r="M61" s="150">
        <f>SUM(L50:L61)</f>
        <v>569729.554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(KG)'!D62:E62)</f>
        <v>11274</v>
      </c>
      <c r="C62" s="9">
        <f>SUM('Raw Data (KG)'!F62:G62)</f>
        <v>260</v>
      </c>
      <c r="D62" s="8">
        <f>SUM('Raw Data (KG)'!H62:I62)</f>
        <v>617.79999999999995</v>
      </c>
      <c r="E62" s="9">
        <f>'Raw Data (KG)'!K62</f>
        <v>0</v>
      </c>
      <c r="F62" s="7">
        <f>'Raw Food Data (KG)'!Q23</f>
        <v>25675</v>
      </c>
      <c r="G62" s="9">
        <f>'Raw Data (KG)'!X62</f>
        <v>0</v>
      </c>
      <c r="H62" s="9">
        <f>'Raw Data (KG)'!Y62</f>
        <v>5000</v>
      </c>
      <c r="I62" s="352">
        <f>'Raw Data (KG)'!V62</f>
        <v>0</v>
      </c>
      <c r="J62" s="9">
        <f>'Raw Data (KG)'!U62</f>
        <v>0</v>
      </c>
      <c r="K62" s="62">
        <f>'Raw Data (KG)'!J62+SUM('Raw Data (KG)'!L62:P62)+SUM('Raw Data (KG)'!R62:T62)+'Raw Data (KG)'!Z62</f>
        <v>1464</v>
      </c>
      <c r="L62" s="15">
        <f t="shared" si="1"/>
        <v>44290.8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(KG)'!D63:E63)</f>
        <v>10236</v>
      </c>
      <c r="C63" s="9">
        <f>SUM('Raw Data (KG)'!F63:G63)</f>
        <v>310</v>
      </c>
      <c r="D63" s="8">
        <f>SUM('Raw Data (KG)'!H63:I63)</f>
        <v>569.5</v>
      </c>
      <c r="E63" s="9">
        <f>'Raw Data (KG)'!K63</f>
        <v>2620</v>
      </c>
      <c r="F63" s="7">
        <f>'Raw Food Data (KG)'!Q24</f>
        <v>16633.900000000001</v>
      </c>
      <c r="G63" s="9">
        <f>'Raw Data (KG)'!X63</f>
        <v>0</v>
      </c>
      <c r="H63" s="9">
        <f>'Raw Data (KG)'!Y63</f>
        <v>3500</v>
      </c>
      <c r="I63" s="352">
        <f>'Raw Data (KG)'!V63</f>
        <v>7200</v>
      </c>
      <c r="J63" s="9">
        <f>'Raw Data (KG)'!U63</f>
        <v>582</v>
      </c>
      <c r="K63" s="62">
        <f>'Raw Data (KG)'!J63+SUM('Raw Data (KG)'!L63:P63)+SUM('Raw Data (KG)'!R63:T63)+'Raw Data (KG)'!Z63</f>
        <v>1200</v>
      </c>
      <c r="L63" s="15">
        <f t="shared" si="1"/>
        <v>42851.4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(KG)'!D64:E64)</f>
        <v>9699</v>
      </c>
      <c r="C64" s="9">
        <f>SUM('Raw Data (KG)'!F64:G64)</f>
        <v>270</v>
      </c>
      <c r="D64" s="8">
        <f>SUM('Raw Data (KG)'!H64:I64)</f>
        <v>660</v>
      </c>
      <c r="E64" s="9">
        <f>'Raw Data (KG)'!K64</f>
        <v>845</v>
      </c>
      <c r="F64" s="7">
        <f>'Raw Food Data (KG)'!Q25</f>
        <v>18194.05</v>
      </c>
      <c r="G64" s="9">
        <f>'Raw Data (KG)'!X64</f>
        <v>7680</v>
      </c>
      <c r="H64" s="9">
        <f>'Raw Data (KG)'!Y64</f>
        <v>45500</v>
      </c>
      <c r="I64" s="352">
        <f>'Raw Data (KG)'!V64</f>
        <v>3800</v>
      </c>
      <c r="J64" s="9">
        <f>'Raw Data (KG)'!U64</f>
        <v>0</v>
      </c>
      <c r="K64" s="62">
        <f>'Raw Data (KG)'!J64+SUM('Raw Data (KG)'!L64:P64)+SUM('Raw Data (KG)'!R64:T64)+'Raw Data (KG)'!Z64</f>
        <v>1619.646</v>
      </c>
      <c r="L64" s="15">
        <f t="shared" si="1"/>
        <v>88267.695999999996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(KG)'!D65:E65)</f>
        <v>7765</v>
      </c>
      <c r="C65" s="9">
        <f>SUM('Raw Data (KG)'!F65:G65)</f>
        <v>190</v>
      </c>
      <c r="D65" s="8">
        <f>SUM('Raw Data (KG)'!H65:I65)</f>
        <v>1393.45</v>
      </c>
      <c r="E65" s="9">
        <f>'Raw Data (KG)'!K65</f>
        <v>1663</v>
      </c>
      <c r="F65" s="7">
        <f>'Raw Food Data (KG)'!Q26</f>
        <v>26058</v>
      </c>
      <c r="G65" s="9">
        <f>'Raw Data (KG)'!X65</f>
        <v>7680</v>
      </c>
      <c r="H65" s="9">
        <f>'Raw Data (KG)'!Y65</f>
        <v>0</v>
      </c>
      <c r="I65" s="352">
        <f>'Raw Data (KG)'!V65</f>
        <v>2700</v>
      </c>
      <c r="J65" s="9">
        <f>'Raw Data (KG)'!U65</f>
        <v>340.5</v>
      </c>
      <c r="K65" s="62">
        <f>'Raw Data (KG)'!J65+SUM('Raw Data (KG)'!L65:P65)+SUM('Raw Data (KG)'!R65:T65)+'Raw Data (KG)'!Z65</f>
        <v>3030</v>
      </c>
      <c r="L65" s="15">
        <f t="shared" si="1"/>
        <v>50819.95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(KG)'!D66:E66)</f>
        <v>8086</v>
      </c>
      <c r="C66" s="9">
        <f>SUM('Raw Data (KG)'!F66:G66)</f>
        <v>170</v>
      </c>
      <c r="D66" s="8">
        <f>SUM('Raw Data (KG)'!H66:I66)</f>
        <v>979.65</v>
      </c>
      <c r="E66" s="9">
        <f>'Raw Data (KG)'!K66</f>
        <v>812</v>
      </c>
      <c r="F66" s="7">
        <f>'Raw Food Data (KG)'!Q27</f>
        <v>28892.5</v>
      </c>
      <c r="G66" s="9">
        <f>'Raw Data (KG)'!X66</f>
        <v>7680</v>
      </c>
      <c r="H66" s="9">
        <f>'Raw Data (KG)'!Y66</f>
        <v>21000</v>
      </c>
      <c r="I66" s="352">
        <f>'Raw Data (KG)'!V66</f>
        <v>3700</v>
      </c>
      <c r="J66" s="9">
        <f>'Raw Data (KG)'!U66</f>
        <v>1179</v>
      </c>
      <c r="K66" s="62">
        <f>'Raw Data (KG)'!J66+SUM('Raw Data (KG)'!L66:P66)+SUM('Raw Data (KG)'!R66:T66)+'Raw Data (KG)'!Z66</f>
        <v>2260.4490000000001</v>
      </c>
      <c r="L66" s="15">
        <f t="shared" ref="L66:L97" si="2">SUM(B66:K66)</f>
        <v>74759.598999999987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(KG)'!D67:E67)</f>
        <v>7819</v>
      </c>
      <c r="C67" s="9">
        <f>SUM('Raw Data (KG)'!F67:G67)</f>
        <v>120</v>
      </c>
      <c r="D67" s="8">
        <f>SUM('Raw Data (KG)'!H67:I67)</f>
        <v>908</v>
      </c>
      <c r="E67" s="9">
        <f>'Raw Data (KG)'!K67</f>
        <v>2191</v>
      </c>
      <c r="F67" s="7">
        <f>'Raw Food Data (KG)'!Q28</f>
        <v>24534.5</v>
      </c>
      <c r="G67" s="9">
        <f>'Raw Data (KG)'!X67</f>
        <v>7680</v>
      </c>
      <c r="H67" s="9">
        <f>'Raw Data (KG)'!Y67</f>
        <v>28000</v>
      </c>
      <c r="I67" s="352">
        <f>'Raw Data (KG)'!V67</f>
        <v>32700.000000000004</v>
      </c>
      <c r="J67" s="9">
        <f>'Raw Data (KG)'!U67</f>
        <v>0</v>
      </c>
      <c r="K67" s="62">
        <f>'Raw Data (KG)'!J67+SUM('Raw Data (KG)'!L67:P67)+SUM('Raw Data (KG)'!R67:T67)+'Raw Data (KG)'!Z67</f>
        <v>2548.0860000000002</v>
      </c>
      <c r="L67" s="15">
        <f t="shared" si="2"/>
        <v>106500.586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(KG)'!D68:E68)</f>
        <v>9880</v>
      </c>
      <c r="C68" s="9">
        <f>SUM('Raw Data (KG)'!F68:G68)</f>
        <v>170</v>
      </c>
      <c r="D68" s="8">
        <f>SUM('Raw Data (KG)'!H68:I68)</f>
        <v>689.5</v>
      </c>
      <c r="E68" s="9">
        <f>'Raw Data (KG)'!K68</f>
        <v>1388</v>
      </c>
      <c r="F68" s="7">
        <f>'Raw Food Data (KG)'!Q29</f>
        <v>21757.5</v>
      </c>
      <c r="G68" s="9">
        <f>'Raw Data (KG)'!X68</f>
        <v>7680</v>
      </c>
      <c r="H68" s="9">
        <f>'Raw Data (KG)'!Y68</f>
        <v>38500</v>
      </c>
      <c r="I68" s="352">
        <f>'Raw Data (KG)'!V68</f>
        <v>7800</v>
      </c>
      <c r="J68" s="9">
        <f>'Raw Data (KG)'!U68</f>
        <v>850</v>
      </c>
      <c r="K68" s="62">
        <f>'Raw Data (KG)'!J68+SUM('Raw Data (KG)'!L68:P68)+SUM('Raw Data (KG)'!R68:T68)+'Raw Data (KG)'!Z68</f>
        <v>3380</v>
      </c>
      <c r="L68" s="15">
        <f t="shared" si="2"/>
        <v>92095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(KG)'!D69:E69)</f>
        <v>7233</v>
      </c>
      <c r="C69" s="9">
        <f>SUM('Raw Data (KG)'!F69:G69)</f>
        <v>160</v>
      </c>
      <c r="D69" s="8">
        <f>SUM('Raw Data (KG)'!H69:I69)</f>
        <v>451.5</v>
      </c>
      <c r="E69" s="9">
        <f>'Raw Data (KG)'!K69</f>
        <v>1172</v>
      </c>
      <c r="F69" s="7">
        <f>'Raw Food Data (KG)'!Q30</f>
        <v>24584.5</v>
      </c>
      <c r="G69" s="9">
        <f>'Raw Data (KG)'!X69</f>
        <v>7680</v>
      </c>
      <c r="H69" s="9">
        <f>'Raw Data (KG)'!Y69</f>
        <v>0</v>
      </c>
      <c r="I69" s="352">
        <f>'Raw Data (KG)'!V69</f>
        <v>1900</v>
      </c>
      <c r="J69" s="9">
        <f>'Raw Data (KG)'!U69</f>
        <v>0</v>
      </c>
      <c r="K69" s="62">
        <f>'Raw Data (KG)'!J69+SUM('Raw Data (KG)'!L69:P69)+SUM('Raw Data (KG)'!R69:T69)+'Raw Data (KG)'!Z69</f>
        <v>1887.6949999999999</v>
      </c>
      <c r="L69" s="15">
        <f t="shared" si="2"/>
        <v>45068.695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(KG)'!D70:E70)</f>
        <v>9744</v>
      </c>
      <c r="C70" s="9">
        <f>SUM('Raw Data (KG)'!F70:G70)</f>
        <v>180</v>
      </c>
      <c r="D70" s="8">
        <f>SUM('Raw Data (KG)'!H70:I70)</f>
        <v>1020.2</v>
      </c>
      <c r="E70" s="9">
        <f>'Raw Data (KG)'!K70</f>
        <v>1793</v>
      </c>
      <c r="F70" s="7">
        <f>'Raw Food Data (KG)'!Q31</f>
        <v>30930.5</v>
      </c>
      <c r="G70" s="9">
        <f>'Raw Data (KG)'!X70</f>
        <v>0</v>
      </c>
      <c r="H70" s="9">
        <f>'Raw Data (KG)'!Y70</f>
        <v>3500</v>
      </c>
      <c r="I70" s="352">
        <f>'Raw Data (KG)'!V70</f>
        <v>2500</v>
      </c>
      <c r="J70" s="9">
        <f>'Raw Data (KG)'!U70</f>
        <v>0</v>
      </c>
      <c r="K70" s="62">
        <f>'Raw Data (KG)'!J70+SUM('Raw Data (KG)'!L70:P70)+SUM('Raw Data (KG)'!R70:T70)+'Raw Data (KG)'!Z70</f>
        <v>1180.3</v>
      </c>
      <c r="L70" s="15">
        <f t="shared" si="2"/>
        <v>50848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(KG)'!D71:E71)</f>
        <v>8705</v>
      </c>
      <c r="C71" s="9">
        <f>SUM('Raw Data (KG)'!F71:G71)</f>
        <v>160</v>
      </c>
      <c r="D71" s="8">
        <f>SUM('Raw Data (KG)'!H71:I71)</f>
        <v>920</v>
      </c>
      <c r="E71" s="9">
        <f>'Raw Data (KG)'!K71</f>
        <v>1845</v>
      </c>
      <c r="F71" s="7">
        <f>'Raw Food Data (KG)'!Q32</f>
        <v>32534.5</v>
      </c>
      <c r="G71" s="9">
        <f>'Raw Data (KG)'!X71</f>
        <v>0</v>
      </c>
      <c r="H71" s="9">
        <f>'Raw Data (KG)'!Y71</f>
        <v>0</v>
      </c>
      <c r="I71" s="352">
        <f>'Raw Data (KG)'!V71</f>
        <v>7800</v>
      </c>
      <c r="J71" s="9">
        <f>'Raw Data (KG)'!U71</f>
        <v>0</v>
      </c>
      <c r="K71" s="62">
        <f>'Raw Data (KG)'!J71+SUM('Raw Data (KG)'!L71:P71)+SUM('Raw Data (KG)'!R71:T71)+'Raw Data (KG)'!Z71</f>
        <v>2793.2599999999998</v>
      </c>
      <c r="L71" s="15">
        <f t="shared" si="2"/>
        <v>54757.760000000002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(KG)'!D72:E72)</f>
        <v>18316</v>
      </c>
      <c r="C72" s="9">
        <f>SUM('Raw Data (KG)'!F72:G72)</f>
        <v>140</v>
      </c>
      <c r="D72" s="8">
        <f>SUM('Raw Data (KG)'!H72:I72)</f>
        <v>1142.3499999999999</v>
      </c>
      <c r="E72" s="9">
        <f>'Raw Data (KG)'!K72</f>
        <v>1356</v>
      </c>
      <c r="F72" s="7">
        <f>'Raw Food Data (KG)'!Q33</f>
        <v>31664</v>
      </c>
      <c r="G72" s="9">
        <f>'Raw Data (KG)'!X72</f>
        <v>0</v>
      </c>
      <c r="H72" s="9">
        <f>'Raw Data (KG)'!Y72</f>
        <v>0</v>
      </c>
      <c r="I72" s="352">
        <f>'Raw Data (KG)'!V72</f>
        <v>10400</v>
      </c>
      <c r="J72" s="9">
        <f>'Raw Data (KG)'!U72</f>
        <v>1504.5</v>
      </c>
      <c r="K72" s="62">
        <f>'Raw Data (KG)'!J72+SUM('Raw Data (KG)'!L72:P72)+SUM('Raw Data (KG)'!R72:T72)+'Raw Data (KG)'!Z72</f>
        <v>1131.8409999999999</v>
      </c>
      <c r="L72" s="15">
        <f t="shared" si="2"/>
        <v>65654.690999999992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(KG)'!D73:E73)</f>
        <v>7675</v>
      </c>
      <c r="C73" s="9">
        <f>SUM('Raw Data (KG)'!F73:G73)</f>
        <v>170</v>
      </c>
      <c r="D73" s="8">
        <f>SUM('Raw Data (KG)'!H73:I73)</f>
        <v>933.8</v>
      </c>
      <c r="E73" s="9">
        <f>'Raw Data (KG)'!K73</f>
        <v>2613</v>
      </c>
      <c r="F73" s="7">
        <f>'Raw Food Data (KG)'!Q34</f>
        <v>23162.5</v>
      </c>
      <c r="G73" s="9">
        <f>'Raw Data (KG)'!X73</f>
        <v>0</v>
      </c>
      <c r="H73" s="9">
        <f>'Raw Data (KG)'!Y73</f>
        <v>0</v>
      </c>
      <c r="I73" s="352">
        <f>'Raw Data (KG)'!V73</f>
        <v>11000</v>
      </c>
      <c r="J73" s="9">
        <f>'Raw Data (KG)'!U73</f>
        <v>0</v>
      </c>
      <c r="K73" s="62">
        <f>'Raw Data (KG)'!J73+SUM('Raw Data (KG)'!L73:P73)+SUM('Raw Data (KG)'!R73:T73)+'Raw Data (KG)'!Z73</f>
        <v>1150</v>
      </c>
      <c r="L73" s="15">
        <f t="shared" si="2"/>
        <v>46704.3</v>
      </c>
      <c r="M73" s="150">
        <f>SUM(L62:L73)</f>
        <v>762618.47700000007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(KG)'!D74:E74)</f>
        <v>15258</v>
      </c>
      <c r="C74" s="75">
        <f>SUM('Raw Data (KG)'!F74:G74)</f>
        <v>523</v>
      </c>
      <c r="D74" s="73">
        <f>SUM('Raw Data (KG)'!H74:I74)</f>
        <v>390</v>
      </c>
      <c r="E74" s="75">
        <f>'Raw Data (KG)'!K74</f>
        <v>1388</v>
      </c>
      <c r="F74" s="76">
        <f>'Raw Food Data (KG)'!Q35</f>
        <v>19566</v>
      </c>
      <c r="G74" s="75">
        <f>'Raw Data (KG)'!X74</f>
        <v>0</v>
      </c>
      <c r="H74" s="75">
        <f>'Raw Data (KG)'!Y74</f>
        <v>0</v>
      </c>
      <c r="I74" s="77">
        <f>'Raw Data (KG)'!V74</f>
        <v>19200</v>
      </c>
      <c r="J74" s="75">
        <f>'Raw Data (KG)'!U74</f>
        <v>0</v>
      </c>
      <c r="K74" s="74">
        <f>'Raw Data (KG)'!J74+SUM('Raw Data (KG)'!L74:P74)+SUM('Raw Data (KG)'!R74:T74)+'Raw Data (KG)'!Z74</f>
        <v>1405.107</v>
      </c>
      <c r="L74" s="72">
        <f t="shared" si="2"/>
        <v>57730.107000000004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(KG)'!D75:E75)</f>
        <v>9745.2000000000007</v>
      </c>
      <c r="C75" s="75">
        <f>SUM('Raw Data (KG)'!F75:G75)</f>
        <v>318</v>
      </c>
      <c r="D75" s="73">
        <f>SUM('Raw Data (KG)'!H75:I75)</f>
        <v>369.1</v>
      </c>
      <c r="E75" s="75">
        <f>'Raw Data (KG)'!K75</f>
        <v>2411</v>
      </c>
      <c r="F75" s="76">
        <f>'Raw Food Data (KG)'!Q36</f>
        <v>24598</v>
      </c>
      <c r="G75" s="75">
        <f>'Raw Data (KG)'!X75</f>
        <v>0</v>
      </c>
      <c r="H75" s="75">
        <f>'Raw Data (KG)'!Y75</f>
        <v>0</v>
      </c>
      <c r="I75" s="77">
        <f>'Raw Data (KG)'!V75</f>
        <v>25600</v>
      </c>
      <c r="J75" s="75">
        <f>'Raw Data (KG)'!U75</f>
        <v>0</v>
      </c>
      <c r="K75" s="74">
        <f>'Raw Data (KG)'!J75+SUM('Raw Data (KG)'!L75:P75)+SUM('Raw Data (KG)'!R75:T75)+'Raw Data (KG)'!Z75</f>
        <v>1070</v>
      </c>
      <c r="L75" s="72">
        <f t="shared" si="2"/>
        <v>64111.3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(KG)'!D76:E76)</f>
        <v>18691.399999999998</v>
      </c>
      <c r="C76" s="75">
        <f>SUM('Raw Data (KG)'!F76:G76)</f>
        <v>252</v>
      </c>
      <c r="D76" s="73">
        <f>SUM('Raw Data (KG)'!H76:I76)</f>
        <v>537.25</v>
      </c>
      <c r="E76" s="75">
        <f>'Raw Data (KG)'!K76</f>
        <v>2352</v>
      </c>
      <c r="F76" s="76">
        <f>'Raw Food Data (KG)'!Q37</f>
        <v>34879.5</v>
      </c>
      <c r="G76" s="75">
        <f>'Raw Data (KG)'!X76</f>
        <v>10560</v>
      </c>
      <c r="H76" s="75">
        <f>'Raw Data (KG)'!Y76</f>
        <v>17500</v>
      </c>
      <c r="I76" s="77">
        <f>'Raw Data (KG)'!V76</f>
        <v>24100</v>
      </c>
      <c r="J76" s="75">
        <f>'Raw Data (KG)'!U76</f>
        <v>852</v>
      </c>
      <c r="K76" s="74">
        <f>'Raw Data (KG)'!J76+SUM('Raw Data (KG)'!L76:P76)+SUM('Raw Data (KG)'!R76:T76)+'Raw Data (KG)'!Z76</f>
        <v>1511.1389999999999</v>
      </c>
      <c r="L76" s="72">
        <f t="shared" si="2"/>
        <v>111235.28899999999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(KG)'!D77:E77)</f>
        <v>14952</v>
      </c>
      <c r="C77" s="75">
        <f>SUM('Raw Data (KG)'!F77:G77)</f>
        <v>286</v>
      </c>
      <c r="D77" s="73">
        <f>SUM('Raw Data (KG)'!H77:I77)</f>
        <v>543</v>
      </c>
      <c r="E77" s="75">
        <f>'Raw Data (KG)'!K77</f>
        <v>2259</v>
      </c>
      <c r="F77" s="76">
        <f>'Raw Food Data (KG)'!Q38</f>
        <v>37724</v>
      </c>
      <c r="G77" s="75">
        <f>'Raw Data (KG)'!X77</f>
        <v>10560</v>
      </c>
      <c r="H77" s="75">
        <f>'Raw Data (KG)'!Y77</f>
        <v>10500</v>
      </c>
      <c r="I77" s="77">
        <f>'Raw Data (KG)'!V77</f>
        <v>14400</v>
      </c>
      <c r="J77" s="75">
        <f>'Raw Data (KG)'!U77</f>
        <v>0</v>
      </c>
      <c r="K77" s="74">
        <f>'Raw Data (KG)'!J77+SUM('Raw Data (KG)'!L77:P77)+SUM('Raw Data (KG)'!R77:T77)+'Raw Data (KG)'!Z77</f>
        <v>935.78</v>
      </c>
      <c r="L77" s="72">
        <f t="shared" si="2"/>
        <v>92159.78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(KG)'!D78:E78)</f>
        <v>14244</v>
      </c>
      <c r="C78" s="75">
        <f>SUM('Raw Data (KG)'!F78:G78)</f>
        <v>327</v>
      </c>
      <c r="D78" s="73">
        <f>SUM('Raw Data (KG)'!H78:I78)</f>
        <v>792.95</v>
      </c>
      <c r="E78" s="75">
        <f>'Raw Data (KG)'!K78</f>
        <v>542</v>
      </c>
      <c r="F78" s="76">
        <f>'Raw Food Data (KG)'!Q39</f>
        <v>27265.5</v>
      </c>
      <c r="G78" s="75">
        <f>'Raw Data (KG)'!X78</f>
        <v>10240</v>
      </c>
      <c r="H78" s="75">
        <f>'Raw Data (KG)'!Y78</f>
        <v>14000</v>
      </c>
      <c r="I78" s="77">
        <f>'Raw Data (KG)'!V78</f>
        <v>10500</v>
      </c>
      <c r="J78" s="75">
        <f>'Raw Data (KG)'!U78</f>
        <v>0</v>
      </c>
      <c r="K78" s="74">
        <f>'Raw Data (KG)'!J78+SUM('Raw Data (KG)'!L78:P78)+SUM('Raw Data (KG)'!R78:T78)+'Raw Data (KG)'!Z78</f>
        <v>1297.0500000000002</v>
      </c>
      <c r="L78" s="72">
        <f t="shared" si="2"/>
        <v>79208.5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(KG)'!D79:E79)</f>
        <v>14624</v>
      </c>
      <c r="C79" s="75">
        <f>SUM('Raw Data (KG)'!F79:G79)</f>
        <v>291</v>
      </c>
      <c r="D79" s="73">
        <f>SUM('Raw Data (KG)'!H79:I79)</f>
        <v>412.35</v>
      </c>
      <c r="E79" s="75">
        <f>'Raw Data (KG)'!K79</f>
        <v>874</v>
      </c>
      <c r="F79" s="76">
        <f>'Raw Food Data (KG)'!Q40</f>
        <v>28071.5</v>
      </c>
      <c r="G79" s="75">
        <f>'Raw Data (KG)'!X79</f>
        <v>10240</v>
      </c>
      <c r="H79" s="75">
        <f>'Raw Data (KG)'!Y79</f>
        <v>24500</v>
      </c>
      <c r="I79" s="77">
        <f>'Raw Data (KG)'!V79</f>
        <v>10100</v>
      </c>
      <c r="J79" s="75">
        <f>'Raw Data (KG)'!U79</f>
        <v>1746.5</v>
      </c>
      <c r="K79" s="74">
        <f>'Raw Data (KG)'!J79+SUM('Raw Data (KG)'!L79:P79)+SUM('Raw Data (KG)'!R79:T79)+'Raw Data (KG)'!Z79</f>
        <v>1305.1499999999999</v>
      </c>
      <c r="L79" s="72">
        <f t="shared" si="2"/>
        <v>92164.5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(KG)'!D80:E80)</f>
        <v>13764</v>
      </c>
      <c r="C80" s="75">
        <f>SUM('Raw Data (KG)'!F80:G80)</f>
        <v>294</v>
      </c>
      <c r="D80" s="73">
        <f>SUM('Raw Data (KG)'!H80:I80)</f>
        <v>356.85</v>
      </c>
      <c r="E80" s="75">
        <f>'Raw Data (KG)'!K80</f>
        <v>0</v>
      </c>
      <c r="F80" s="76">
        <f>'Raw Food Data (KG)'!Q41</f>
        <v>23781.5</v>
      </c>
      <c r="G80" s="75">
        <f>'Raw Data (KG)'!X80</f>
        <v>5120</v>
      </c>
      <c r="H80" s="75">
        <f>'Raw Data (KG)'!Y80</f>
        <v>21000</v>
      </c>
      <c r="I80" s="77">
        <f>'Raw Data (KG)'!V80</f>
        <v>11200</v>
      </c>
      <c r="J80" s="75">
        <f>'Raw Data (KG)'!U80</f>
        <v>0</v>
      </c>
      <c r="K80" s="74">
        <f>'Raw Data (KG)'!J80+SUM('Raw Data (KG)'!L80:P80)+SUM('Raw Data (KG)'!R80:T80)+'Raw Data (KG)'!Z80</f>
        <v>1280</v>
      </c>
      <c r="L80" s="72">
        <f t="shared" si="2"/>
        <v>76796.350000000006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(KG)'!D81:E81)</f>
        <v>7410</v>
      </c>
      <c r="C81" s="75">
        <f>SUM('Raw Data (KG)'!F81:G81)</f>
        <v>220</v>
      </c>
      <c r="D81" s="73">
        <f>SUM('Raw Data (KG)'!H81:I81)</f>
        <v>321.89999999999998</v>
      </c>
      <c r="E81" s="75">
        <f>'Raw Data (KG)'!K81</f>
        <v>0</v>
      </c>
      <c r="F81" s="76">
        <f>'Raw Food Data (KG)'!Q42</f>
        <v>11633.5</v>
      </c>
      <c r="G81" s="75">
        <f>'Raw Data (KG)'!X81</f>
        <v>6400</v>
      </c>
      <c r="H81" s="75">
        <f>'Raw Data (KG)'!Y81</f>
        <v>21000</v>
      </c>
      <c r="I81" s="77">
        <f>'Raw Data (KG)'!V81</f>
        <v>7900</v>
      </c>
      <c r="J81" s="75">
        <f>'Raw Data (KG)'!U81</f>
        <v>0</v>
      </c>
      <c r="K81" s="74">
        <f>'Raw Data (KG)'!J81+SUM('Raw Data (KG)'!L81:P81)+SUM('Raw Data (KG)'!R81:T81)+'Raw Data (KG)'!Z81</f>
        <v>600</v>
      </c>
      <c r="L81" s="72">
        <f t="shared" si="2"/>
        <v>55485.4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(KG)'!D82:E82)</f>
        <v>10261</v>
      </c>
      <c r="C82" s="75">
        <f>SUM('Raw Data (KG)'!F82:G82)</f>
        <v>288</v>
      </c>
      <c r="D82" s="73">
        <f>SUM('Raw Data (KG)'!H82:I82)</f>
        <v>438.1</v>
      </c>
      <c r="E82" s="75">
        <f>'Raw Data (KG)'!K82</f>
        <v>1020</v>
      </c>
      <c r="F82" s="76">
        <f>'Raw Food Data (KG)'!Q43</f>
        <v>13782.5</v>
      </c>
      <c r="G82" s="75">
        <f>'Raw Data (KG)'!X82</f>
        <v>4800</v>
      </c>
      <c r="H82" s="75">
        <f>'Raw Data (KG)'!Y82</f>
        <v>21000</v>
      </c>
      <c r="I82" s="77">
        <f>'Raw Data (KG)'!V82</f>
        <v>10000</v>
      </c>
      <c r="J82" s="75">
        <f>'Raw Data (KG)'!U82</f>
        <v>0</v>
      </c>
      <c r="K82" s="74">
        <f>'Raw Data (KG)'!J82+SUM('Raw Data (KG)'!L82:P82)+SUM('Raw Data (KG)'!R82:T82)+'Raw Data (KG)'!Z82</f>
        <v>600</v>
      </c>
      <c r="L82" s="72">
        <f t="shared" si="2"/>
        <v>62189.599999999999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(KG)'!D83:E83)</f>
        <v>9155</v>
      </c>
      <c r="C83" s="75">
        <f>SUM('Raw Data (KG)'!F83:G83)</f>
        <v>281</v>
      </c>
      <c r="D83" s="73">
        <f>SUM('Raw Data (KG)'!H83:I83)</f>
        <v>420</v>
      </c>
      <c r="E83" s="75">
        <f>'Raw Data (KG)'!K83</f>
        <v>0</v>
      </c>
      <c r="F83" s="76">
        <f>'Raw Food Data (KG)'!Q44</f>
        <v>11779</v>
      </c>
      <c r="G83" s="75">
        <f>'Raw Data (KG)'!X83</f>
        <v>4800</v>
      </c>
      <c r="H83" s="75">
        <f>'Raw Data (KG)'!Y83</f>
        <v>24500</v>
      </c>
      <c r="I83" s="77">
        <f>'Raw Data (KG)'!V83</f>
        <v>5200</v>
      </c>
      <c r="J83" s="75">
        <f>'Raw Data (KG)'!U83</f>
        <v>0</v>
      </c>
      <c r="K83" s="74">
        <f>'Raw Data (KG)'!J83+SUM('Raw Data (KG)'!L83:P83)+SUM('Raw Data (KG)'!R83:T83)+'Raw Data (KG)'!Z83</f>
        <v>600</v>
      </c>
      <c r="L83" s="72">
        <f t="shared" si="2"/>
        <v>56735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(KG)'!D84:E84)</f>
        <v>10768</v>
      </c>
      <c r="C84" s="75">
        <f>SUM('Raw Data (KG)'!F84:G84)</f>
        <v>1819</v>
      </c>
      <c r="D84" s="73">
        <f>SUM('Raw Data (KG)'!H84:I84)</f>
        <v>514.15</v>
      </c>
      <c r="E84" s="75">
        <f>'Raw Data (KG)'!K84</f>
        <v>863</v>
      </c>
      <c r="F84" s="76">
        <f>'Raw Food Data (KG)'!Q45</f>
        <v>15765</v>
      </c>
      <c r="G84" s="75">
        <f>'Raw Data (KG)'!X84</f>
        <v>6400</v>
      </c>
      <c r="H84" s="75">
        <f>'Raw Data (KG)'!Y84</f>
        <v>28000</v>
      </c>
      <c r="I84" s="77">
        <f>'Raw Data (KG)'!V84</f>
        <v>11500</v>
      </c>
      <c r="J84" s="75">
        <f>'Raw Data (KG)'!U84</f>
        <v>729</v>
      </c>
      <c r="K84" s="74">
        <f>'Raw Data (KG)'!J84+SUM('Raw Data (KG)'!L84:P84)+SUM('Raw Data (KG)'!R84:T84)+'Raw Data (KG)'!Z84</f>
        <v>1320.039</v>
      </c>
      <c r="L84" s="72">
        <f t="shared" si="2"/>
        <v>77678.188999999998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(KG)'!D85:E85)</f>
        <v>13277</v>
      </c>
      <c r="C85" s="75">
        <f>SUM('Raw Data (KG)'!F85:G85)</f>
        <v>2352</v>
      </c>
      <c r="D85" s="73">
        <f>SUM('Raw Data (KG)'!H85:I85)</f>
        <v>467.1</v>
      </c>
      <c r="E85" s="75">
        <f>'Raw Data (KG)'!K85</f>
        <v>982</v>
      </c>
      <c r="F85" s="76">
        <f>'Raw Food Data (KG)'!Q46</f>
        <v>20002.000000000004</v>
      </c>
      <c r="G85" s="75">
        <f>'Raw Data (KG)'!X85</f>
        <v>6400</v>
      </c>
      <c r="H85" s="75">
        <f>'Raw Data (KG)'!Y85</f>
        <v>28000</v>
      </c>
      <c r="I85" s="77">
        <f>'Raw Data (KG)'!V85</f>
        <v>7200</v>
      </c>
      <c r="J85" s="75">
        <f>'Raw Data (KG)'!U85</f>
        <v>1045.5</v>
      </c>
      <c r="K85" s="74">
        <f>'Raw Data (KG)'!J85+SUM('Raw Data (KG)'!L85:P85)+SUM('Raw Data (KG)'!R85:T85)+'Raw Data (KG)'!Z85</f>
        <v>2358.02</v>
      </c>
      <c r="L85" s="72">
        <f t="shared" si="2"/>
        <v>82083.62000000001</v>
      </c>
      <c r="M85" s="150">
        <f>SUM(L74:L85)</f>
        <v>907577.63500000001</v>
      </c>
      <c r="N85" s="12"/>
      <c r="O85" s="12"/>
      <c r="P85" s="12"/>
    </row>
    <row r="86" spans="1:16" x14ac:dyDescent="0.2">
      <c r="A86" s="68">
        <v>44013</v>
      </c>
      <c r="B86" s="9">
        <f>SUM('Raw Data (KG)'!D86:E86)</f>
        <v>12705</v>
      </c>
      <c r="C86" s="9">
        <f>SUM('Raw Data (KG)'!F86:G86)</f>
        <v>1566</v>
      </c>
      <c r="D86" s="8">
        <f>SUM('Raw Data (KG)'!H86:I86)</f>
        <v>573.79999999999995</v>
      </c>
      <c r="E86" s="9">
        <f>'Raw Data (KG)'!K86</f>
        <v>0</v>
      </c>
      <c r="F86" s="7">
        <f>'Raw Food Data (KG)'!Q47</f>
        <v>24809</v>
      </c>
      <c r="G86" s="9">
        <f>'Raw Data (KG)'!X86</f>
        <v>4800</v>
      </c>
      <c r="H86" s="9">
        <f>'Raw Data (KG)'!Y86</f>
        <v>17500</v>
      </c>
      <c r="I86" s="352">
        <f>'Raw Data (KG)'!V86</f>
        <v>12300</v>
      </c>
      <c r="J86" s="9">
        <f>'Raw Data (KG)'!U86</f>
        <v>0</v>
      </c>
      <c r="K86" s="62">
        <f>'Raw Data (KG)'!J86+SUM('Raw Data (KG)'!L86:P86)+SUM('Raw Data (KG)'!R86:T86)+'Raw Data (KG)'!Z86</f>
        <v>818.25099999999998</v>
      </c>
      <c r="L86" s="15">
        <f t="shared" si="2"/>
        <v>75072.051000000007</v>
      </c>
    </row>
    <row r="87" spans="1:16" x14ac:dyDescent="0.2">
      <c r="A87" s="68">
        <v>44044</v>
      </c>
      <c r="B87" s="9">
        <f>SUM('Raw Data (KG)'!D87:E87)</f>
        <v>12499</v>
      </c>
      <c r="C87" s="9">
        <f>SUM('Raw Data (KG)'!F87:G87)</f>
        <v>1981</v>
      </c>
      <c r="D87" s="8">
        <f>SUM('Raw Data (KG)'!H87:I87)</f>
        <v>480.15</v>
      </c>
      <c r="E87" s="9">
        <f>'Raw Data (KG)'!K87</f>
        <v>734</v>
      </c>
      <c r="F87" s="7">
        <f>'Raw Food Data (KG)'!Q48</f>
        <v>23143</v>
      </c>
      <c r="G87" s="9">
        <f>'Raw Data (KG)'!X87</f>
        <v>4800</v>
      </c>
      <c r="H87" s="9">
        <f>'Raw Data (KG)'!Y87</f>
        <v>24000</v>
      </c>
      <c r="I87" s="352">
        <f>'Raw Data (KG)'!V87</f>
        <v>12400</v>
      </c>
      <c r="J87" s="9">
        <f>'Raw Data (KG)'!U87</f>
        <v>1080</v>
      </c>
      <c r="K87" s="62">
        <f>'Raw Data (KG)'!J87+SUM('Raw Data (KG)'!L87:P87)+SUM('Raw Data (KG)'!R87:T87)+'Raw Data (KG)'!Z87</f>
        <v>1900</v>
      </c>
      <c r="L87" s="15">
        <f t="shared" si="2"/>
        <v>83017.149999999994</v>
      </c>
    </row>
    <row r="88" spans="1:16" x14ac:dyDescent="0.2">
      <c r="A88" s="68">
        <v>44075</v>
      </c>
      <c r="B88" s="9">
        <f>SUM('Raw Data (KG)'!D88:E88)</f>
        <v>14382</v>
      </c>
      <c r="C88" s="9">
        <f>SUM('Raw Data (KG)'!F88:G88)</f>
        <v>371</v>
      </c>
      <c r="D88" s="8">
        <f>SUM('Raw Data (KG)'!H88:I88)</f>
        <v>512.75</v>
      </c>
      <c r="E88" s="9">
        <f>'Raw Data (KG)'!K88</f>
        <v>643</v>
      </c>
      <c r="F88" s="7">
        <f>'Raw Food Data (KG)'!Q49</f>
        <v>28611</v>
      </c>
      <c r="G88" s="9">
        <f>'Raw Data (KG)'!X88</f>
        <v>6400</v>
      </c>
      <c r="H88" s="9">
        <f>'Raw Data (KG)'!Y88</f>
        <v>21000</v>
      </c>
      <c r="I88" s="352">
        <f>'Raw Data (KG)'!V88</f>
        <v>10400</v>
      </c>
      <c r="J88" s="9">
        <f>'Raw Data (KG)'!U88</f>
        <v>0</v>
      </c>
      <c r="K88" s="62">
        <f>'Raw Data (KG)'!J88+SUM('Raw Data (KG)'!L88:P88)+SUM('Raw Data (KG)'!R88:T88)+'Raw Data (KG)'!Z88</f>
        <v>1283.1990000000001</v>
      </c>
      <c r="L88" s="15">
        <f t="shared" si="2"/>
        <v>83602.948999999993</v>
      </c>
    </row>
    <row r="89" spans="1:16" x14ac:dyDescent="0.2">
      <c r="A89" s="68">
        <v>44105</v>
      </c>
      <c r="B89" s="9">
        <f>SUM('Raw Data (KG)'!D89:E89)</f>
        <v>14003</v>
      </c>
      <c r="C89" s="9">
        <f>SUM('Raw Data (KG)'!F89:G89)</f>
        <v>345</v>
      </c>
      <c r="D89" s="8">
        <f>SUM('Raw Data (KG)'!H89:I89)</f>
        <v>510.7</v>
      </c>
      <c r="E89" s="9">
        <f>'Raw Data (KG)'!K89</f>
        <v>971</v>
      </c>
      <c r="F89" s="7">
        <f>'Raw Food Data (KG)'!Q50</f>
        <v>31009</v>
      </c>
      <c r="G89" s="9">
        <f>'Raw Data (KG)'!X89</f>
        <v>4800</v>
      </c>
      <c r="H89" s="9">
        <f>'Raw Data (KG)'!Y89</f>
        <v>24500</v>
      </c>
      <c r="I89" s="352">
        <f>'Raw Data (KG)'!V89</f>
        <v>12200</v>
      </c>
      <c r="J89" s="9">
        <f>'Raw Data (KG)'!U89</f>
        <v>792</v>
      </c>
      <c r="K89" s="62">
        <f>'Raw Data (KG)'!J89+SUM('Raw Data (KG)'!L89:P89)+SUM('Raw Data (KG)'!R89:T89)+'Raw Data (KG)'!Z89</f>
        <v>857.62</v>
      </c>
      <c r="L89" s="15">
        <f t="shared" si="2"/>
        <v>89988.319999999992</v>
      </c>
    </row>
    <row r="90" spans="1:16" x14ac:dyDescent="0.2">
      <c r="A90" s="68">
        <v>44136</v>
      </c>
      <c r="B90" s="9">
        <f>SUM('Raw Data (KG)'!D90:E90)</f>
        <v>12844</v>
      </c>
      <c r="C90" s="9">
        <f>SUM('Raw Data (KG)'!F90:G90)</f>
        <v>421</v>
      </c>
      <c r="D90" s="8">
        <f>SUM('Raw Data (KG)'!H90:I90)</f>
        <v>719.15</v>
      </c>
      <c r="E90" s="9">
        <f>'Raw Data (KG)'!K90</f>
        <v>781</v>
      </c>
      <c r="F90" s="7">
        <f>'Raw Food Data (KG)'!Q51</f>
        <v>34289</v>
      </c>
      <c r="G90" s="9">
        <f>'Raw Data (KG)'!X90</f>
        <v>3200</v>
      </c>
      <c r="H90" s="9">
        <f>'Raw Data (KG)'!Y90</f>
        <v>21000</v>
      </c>
      <c r="I90" s="352">
        <f>'Raw Data (KG)'!V90</f>
        <v>13500</v>
      </c>
      <c r="J90" s="9">
        <f>'Raw Data (KG)'!U90</f>
        <v>1427</v>
      </c>
      <c r="K90" s="62">
        <f>'Raw Data (KG)'!J90+SUM('Raw Data (KG)'!L90:P90)+SUM('Raw Data (KG)'!R90:T90)+'Raw Data (KG)'!Z90</f>
        <v>1284.2139999999999</v>
      </c>
      <c r="L90" s="15">
        <f t="shared" si="2"/>
        <v>89465.364000000001</v>
      </c>
    </row>
    <row r="91" spans="1:16" x14ac:dyDescent="0.2">
      <c r="A91" s="68">
        <v>44166</v>
      </c>
      <c r="B91" s="9">
        <f>SUM('Raw Data (KG)'!D91:E91)</f>
        <v>12153</v>
      </c>
      <c r="C91" s="9">
        <f>SUM('Raw Data (KG)'!F91:G91)</f>
        <v>407</v>
      </c>
      <c r="D91" s="8">
        <f>SUM('Raw Data (KG)'!H91:I91)</f>
        <v>513.04999999999995</v>
      </c>
      <c r="E91" s="9">
        <f>'Raw Data (KG)'!K91</f>
        <v>971</v>
      </c>
      <c r="F91" s="7">
        <f>'Raw Food Data (KG)'!Q52</f>
        <v>33360</v>
      </c>
      <c r="G91" s="9">
        <f>'Raw Data (KG)'!X91</f>
        <v>3200</v>
      </c>
      <c r="H91" s="9">
        <f>'Raw Data (KG)'!Y91</f>
        <v>10500</v>
      </c>
      <c r="I91" s="352">
        <f>'Raw Data (KG)'!V91</f>
        <v>14600</v>
      </c>
      <c r="J91" s="9">
        <f>'Raw Data (KG)'!U91</f>
        <v>0</v>
      </c>
      <c r="K91" s="62">
        <f>'Raw Data (KG)'!J91+SUM('Raw Data (KG)'!L91:P91)+SUM('Raw Data (KG)'!R91:T91)+'Raw Data (KG)'!Z91</f>
        <v>867.928</v>
      </c>
      <c r="L91" s="15">
        <f t="shared" si="2"/>
        <v>76571.978000000003</v>
      </c>
    </row>
    <row r="92" spans="1:16" x14ac:dyDescent="0.2">
      <c r="A92" s="68">
        <v>44197</v>
      </c>
      <c r="B92" s="9">
        <f>SUM('Raw Data (KG)'!D92:E92)</f>
        <v>12848</v>
      </c>
      <c r="C92" s="9">
        <f>SUM('Raw Data (KG)'!F92:G92)</f>
        <v>344</v>
      </c>
      <c r="D92" s="8">
        <f>SUM('Raw Data (KG)'!H92:I92)</f>
        <v>388.55</v>
      </c>
      <c r="E92" s="9">
        <f>'Raw Data (KG)'!K92</f>
        <v>1544</v>
      </c>
      <c r="F92" s="7">
        <f>'Raw Food Data (KG)'!Q53</f>
        <v>33517</v>
      </c>
      <c r="G92" s="9">
        <f>'Raw Data (KG)'!X92</f>
        <v>3200</v>
      </c>
      <c r="H92" s="9">
        <f>'Raw Data (KG)'!Y92</f>
        <v>24500</v>
      </c>
      <c r="I92" s="352">
        <f>'Raw Data (KG)'!V92</f>
        <v>18700</v>
      </c>
      <c r="J92" s="9">
        <f>'Raw Data (KG)'!U92</f>
        <v>0</v>
      </c>
      <c r="K92" s="62">
        <f>'Raw Data (KG)'!J92+SUM('Raw Data (KG)'!L92:P92)+SUM('Raw Data (KG)'!R92:T92)+'Raw Data (KG)'!Z92</f>
        <v>1079.68</v>
      </c>
      <c r="L92" s="15">
        <f t="shared" si="2"/>
        <v>96121.23</v>
      </c>
    </row>
    <row r="93" spans="1:16" x14ac:dyDescent="0.2">
      <c r="A93" s="68">
        <v>44228</v>
      </c>
      <c r="B93" s="9">
        <f>SUM('Raw Data (KG)'!D93:E93)</f>
        <v>11928</v>
      </c>
      <c r="C93" s="9">
        <f>SUM('Raw Data (KG)'!F93:G93)</f>
        <v>1790</v>
      </c>
      <c r="D93" s="8">
        <f>SUM('Raw Data (KG)'!H93:I93)</f>
        <v>551.04999999999995</v>
      </c>
      <c r="E93" s="9">
        <f>'Raw Data (KG)'!K93</f>
        <v>0</v>
      </c>
      <c r="F93" s="7">
        <f>'Raw Food Data (KG)'!Q54</f>
        <v>29468</v>
      </c>
      <c r="G93" s="9">
        <f>'Raw Data (KG)'!X93</f>
        <v>4800</v>
      </c>
      <c r="H93" s="9">
        <f>'Raw Data (KG)'!Y93</f>
        <v>14000</v>
      </c>
      <c r="I93" s="352">
        <f>'Raw Data (KG)'!V93</f>
        <v>6000</v>
      </c>
      <c r="J93" s="9">
        <f>'Raw Data (KG)'!U93</f>
        <v>652.5</v>
      </c>
      <c r="K93" s="62">
        <f>'Raw Data (KG)'!J93+SUM('Raw Data (KG)'!L93:P93)+SUM('Raw Data (KG)'!R93:T93)+'Raw Data (KG)'!Z93</f>
        <v>1003.9109999999999</v>
      </c>
      <c r="L93" s="15">
        <f t="shared" si="2"/>
        <v>70193.460999999996</v>
      </c>
    </row>
    <row r="94" spans="1:16" x14ac:dyDescent="0.2">
      <c r="A94" s="68">
        <v>44256</v>
      </c>
      <c r="B94" s="9">
        <f>SUM('Raw Data (KG)'!D94:E94)</f>
        <v>14779</v>
      </c>
      <c r="C94" s="9">
        <f>SUM('Raw Data (KG)'!F94:G94)</f>
        <v>341</v>
      </c>
      <c r="D94" s="8">
        <f>SUM('Raw Data (KG)'!H94:I94)</f>
        <v>575.6</v>
      </c>
      <c r="E94" s="9">
        <f>'Raw Data (KG)'!K94</f>
        <v>758</v>
      </c>
      <c r="F94" s="7">
        <f>'Raw Food Data (KG)'!Q55</f>
        <v>35447</v>
      </c>
      <c r="G94" s="9">
        <f>'Raw Data (KG)'!X94</f>
        <v>8000</v>
      </c>
      <c r="H94" s="9">
        <f>'Raw Data (KG)'!Y94</f>
        <v>17500</v>
      </c>
      <c r="I94" s="352">
        <f>'Raw Data (KG)'!V94</f>
        <v>14700</v>
      </c>
      <c r="J94" s="9">
        <f>'Raw Data (KG)'!U94</f>
        <v>0</v>
      </c>
      <c r="K94" s="62">
        <f>'Raw Data (KG)'!J94+SUM('Raw Data (KG)'!L94:P94)+SUM('Raw Data (KG)'!R94:T94)+'Raw Data (KG)'!Z94</f>
        <v>708.0630000000001</v>
      </c>
      <c r="L94" s="15">
        <f t="shared" si="2"/>
        <v>92808.663</v>
      </c>
    </row>
    <row r="95" spans="1:16" x14ac:dyDescent="0.2">
      <c r="A95" s="68">
        <v>44287</v>
      </c>
      <c r="B95" s="9">
        <f>SUM('Raw Data (KG)'!D95:E95)</f>
        <v>13066</v>
      </c>
      <c r="C95" s="9">
        <f>SUM('Raw Data (KG)'!F95:G95)</f>
        <v>1351</v>
      </c>
      <c r="D95" s="8">
        <f>SUM('Raw Data (KG)'!H95:I95)</f>
        <v>507.75</v>
      </c>
      <c r="E95" s="9">
        <f>'Raw Data (KG)'!K95</f>
        <v>0</v>
      </c>
      <c r="F95" s="7">
        <f>'Raw Food Data (KG)'!Q56</f>
        <v>43497</v>
      </c>
      <c r="G95" s="9">
        <f>'Raw Data (KG)'!X95</f>
        <v>4800</v>
      </c>
      <c r="H95" s="9">
        <f>'Raw Data (KG)'!Y95</f>
        <v>14000</v>
      </c>
      <c r="I95" s="352">
        <f>'Raw Data (KG)'!V95</f>
        <v>20500</v>
      </c>
      <c r="J95" s="9">
        <f>'Raw Data (KG)'!U95</f>
        <v>0</v>
      </c>
      <c r="K95" s="62">
        <f>'Raw Data (KG)'!J95+SUM('Raw Data (KG)'!L95:P95)+SUM('Raw Data (KG)'!R95:T95)+'Raw Data (KG)'!Z95</f>
        <v>1450.9559999999999</v>
      </c>
      <c r="L95" s="15">
        <f t="shared" si="2"/>
        <v>99172.706000000006</v>
      </c>
    </row>
    <row r="96" spans="1:16" x14ac:dyDescent="0.2">
      <c r="A96" s="68">
        <v>44317</v>
      </c>
      <c r="B96" s="9">
        <f>SUM('Raw Data (KG)'!D96:E96)</f>
        <v>13007</v>
      </c>
      <c r="C96" s="9">
        <f>SUM('Raw Data (KG)'!F96:G96)</f>
        <v>879</v>
      </c>
      <c r="D96" s="8">
        <f>SUM('Raw Data (KG)'!H96:I96)</f>
        <v>693.3</v>
      </c>
      <c r="E96" s="9">
        <f>'Raw Data (KG)'!K96</f>
        <v>1085</v>
      </c>
      <c r="F96" s="7">
        <f>'Raw Food Data (KG)'!Q57</f>
        <v>40188</v>
      </c>
      <c r="G96" s="9">
        <f>'Raw Data (KG)'!X96</f>
        <v>6400</v>
      </c>
      <c r="H96" s="9">
        <f>'Raw Data (KG)'!Y96</f>
        <v>17500</v>
      </c>
      <c r="I96" s="352">
        <f>'Raw Data (KG)'!V96</f>
        <v>10400</v>
      </c>
      <c r="J96" s="9">
        <f>'Raw Data (KG)'!U96</f>
        <v>675</v>
      </c>
      <c r="K96" s="62">
        <f>'Raw Data (KG)'!J96+SUM('Raw Data (KG)'!L96:P96)+SUM('Raw Data (KG)'!R96:T96)+'Raw Data (KG)'!Z96</f>
        <v>1379.365</v>
      </c>
      <c r="L96" s="15">
        <f t="shared" si="2"/>
        <v>92206.665000000008</v>
      </c>
    </row>
    <row r="97" spans="1:13" x14ac:dyDescent="0.2">
      <c r="A97" s="68">
        <v>44348</v>
      </c>
      <c r="B97" s="9">
        <f>SUM('Raw Data (KG)'!D97:E97)</f>
        <v>14483</v>
      </c>
      <c r="C97" s="9">
        <f>SUM('Raw Data (KG)'!F97:G97)</f>
        <v>332</v>
      </c>
      <c r="D97" s="8">
        <f>SUM('Raw Data (KG)'!H97:I97)</f>
        <v>465.7</v>
      </c>
      <c r="E97" s="9">
        <f>'Raw Data (KG)'!K97</f>
        <v>908</v>
      </c>
      <c r="F97" s="7">
        <f>'Raw Food Data (KG)'!Q58</f>
        <v>35583</v>
      </c>
      <c r="G97" s="9">
        <f>'Raw Data (KG)'!X97</f>
        <v>4800</v>
      </c>
      <c r="H97" s="9">
        <f>'Raw Data (KG)'!Y97</f>
        <v>24500</v>
      </c>
      <c r="I97" s="352">
        <f>'Raw Data (KG)'!V97</f>
        <v>10400</v>
      </c>
      <c r="J97" s="9">
        <f>'Raw Data (KG)'!U97</f>
        <v>0</v>
      </c>
      <c r="K97" s="62">
        <f>'Raw Data (KG)'!J97+SUM('Raw Data (KG)'!L97:P97)+SUM('Raw Data (KG)'!R97:T97)+'Raw Data (KG)'!Z97</f>
        <v>1414.268</v>
      </c>
      <c r="L97" s="15">
        <f t="shared" si="2"/>
        <v>92885.967999999993</v>
      </c>
      <c r="M97" s="15">
        <f>SUM(L86:L97)</f>
        <v>1041106.505</v>
      </c>
    </row>
    <row r="98" spans="1:13" x14ac:dyDescent="0.2">
      <c r="A98" s="68">
        <v>44378</v>
      </c>
      <c r="B98" s="75">
        <f>SUM('Raw Data (KG)'!D98:E98)</f>
        <v>13408</v>
      </c>
      <c r="C98" s="75">
        <f>SUM('Raw Data (KG)'!F98:G98)</f>
        <v>1128</v>
      </c>
      <c r="D98" s="73">
        <f>SUM('Raw Data (KG)'!H98:I98)</f>
        <v>616.85</v>
      </c>
      <c r="E98" s="75">
        <f>'Raw Data (KG)'!K98</f>
        <v>1043</v>
      </c>
      <c r="F98" s="76">
        <f>'Raw Food Data (KG)'!Q59</f>
        <v>36437</v>
      </c>
      <c r="G98" s="75">
        <f>'Raw Data (KG)'!X98</f>
        <v>8000</v>
      </c>
      <c r="H98" s="75">
        <f>'Raw Data (KG)'!Y98</f>
        <v>21000</v>
      </c>
      <c r="I98" s="77">
        <f>'Raw Data (KG)'!V98</f>
        <v>16700</v>
      </c>
      <c r="J98" s="75">
        <f>'Raw Data (KG)'!U98</f>
        <v>0</v>
      </c>
      <c r="K98" s="74">
        <f>'Raw Data (KG)'!J98+SUM('Raw Data (KG)'!L98:P98)+SUM('Raw Data (KG)'!R98:T98)+'Raw Data (KG)'!Z98</f>
        <v>1454.3679999999999</v>
      </c>
      <c r="L98" s="72">
        <f t="shared" ref="L98:L129" si="3">SUM(B98:K98)</f>
        <v>99787.218000000008</v>
      </c>
    </row>
    <row r="99" spans="1:13" x14ac:dyDescent="0.2">
      <c r="A99" s="68">
        <v>44409</v>
      </c>
      <c r="B99" s="75">
        <f>SUM('Raw Data (KG)'!D99:E99)</f>
        <v>15364</v>
      </c>
      <c r="C99" s="75">
        <f>SUM('Raw Data (KG)'!F99:G99)</f>
        <v>376</v>
      </c>
      <c r="D99" s="73">
        <f>SUM('Raw Data (KG)'!H99:I99)</f>
        <v>431.95</v>
      </c>
      <c r="E99" s="75">
        <f>'Raw Data (KG)'!K99</f>
        <v>0</v>
      </c>
      <c r="F99" s="76">
        <f>'Raw Food Data (KG)'!Q60</f>
        <v>33584</v>
      </c>
      <c r="G99" s="75">
        <f>'Raw Data (KG)'!X99</f>
        <v>6400</v>
      </c>
      <c r="H99" s="75">
        <f>'Raw Data (KG)'!Y99</f>
        <v>35000</v>
      </c>
      <c r="I99" s="77">
        <f>'Raw Data (KG)'!V99</f>
        <v>13700</v>
      </c>
      <c r="J99" s="75">
        <f>'Raw Data (KG)'!U99</f>
        <v>0</v>
      </c>
      <c r="K99" s="74">
        <f>'Raw Data (KG)'!J99+SUM('Raw Data (KG)'!L99:P99)+SUM('Raw Data (KG)'!R99:T99)+'Raw Data (KG)'!Z99</f>
        <v>1452.143</v>
      </c>
      <c r="L99" s="72">
        <f t="shared" si="3"/>
        <v>106308.09299999999</v>
      </c>
    </row>
    <row r="100" spans="1:13" x14ac:dyDescent="0.2">
      <c r="A100" s="68">
        <v>44440</v>
      </c>
      <c r="B100" s="75">
        <f>SUM('Raw Data (KG)'!D100:E100)</f>
        <v>15654</v>
      </c>
      <c r="C100" s="75">
        <f>SUM('Raw Data (KG)'!F100:G100)</f>
        <v>902</v>
      </c>
      <c r="D100" s="73">
        <f>SUM('Raw Data (KG)'!H100:I100)</f>
        <v>406.05</v>
      </c>
      <c r="E100" s="75">
        <f>'Raw Data (KG)'!K100</f>
        <v>1006</v>
      </c>
      <c r="F100" s="76">
        <f>'Raw Food Data (KG)'!Q61</f>
        <v>35376</v>
      </c>
      <c r="G100" s="75">
        <f>'Raw Data (KG)'!X100</f>
        <v>6400</v>
      </c>
      <c r="H100" s="75">
        <f>'Raw Data (KG)'!Y100</f>
        <v>28000</v>
      </c>
      <c r="I100" s="77">
        <f>'Raw Data (KG)'!V100</f>
        <v>9500</v>
      </c>
      <c r="J100" s="75">
        <f>'Raw Data (KG)'!U100</f>
        <v>0</v>
      </c>
      <c r="K100" s="74">
        <f>'Raw Data (KG)'!J100+SUM('Raw Data (KG)'!L100:P100)+SUM('Raw Data (KG)'!R100:T100)+'Raw Data (KG)'!Z100</f>
        <v>1347</v>
      </c>
      <c r="L100" s="72">
        <f t="shared" si="3"/>
        <v>98591.05</v>
      </c>
    </row>
    <row r="101" spans="1:13" x14ac:dyDescent="0.2">
      <c r="A101" s="68">
        <v>44470</v>
      </c>
      <c r="B101" s="75">
        <f>SUM('Raw Data (KG)'!D101:E101)</f>
        <v>13228</v>
      </c>
      <c r="C101" s="75">
        <f>SUM('Raw Data (KG)'!F101:G101)</f>
        <v>992</v>
      </c>
      <c r="D101" s="73">
        <f>SUM('Raw Data (KG)'!H101:I101)</f>
        <v>461.35</v>
      </c>
      <c r="E101" s="75">
        <f>'Raw Data (KG)'!K101</f>
        <v>891</v>
      </c>
      <c r="F101" s="76">
        <f>'Raw Food Data (KG)'!Q62</f>
        <v>45400</v>
      </c>
      <c r="G101" s="75">
        <f>'Raw Data (KG)'!X101</f>
        <v>6400</v>
      </c>
      <c r="H101" s="75">
        <f>'Raw Data (KG)'!Y101</f>
        <v>35000</v>
      </c>
      <c r="I101" s="77">
        <f>'Raw Data (KG)'!V101</f>
        <v>7830</v>
      </c>
      <c r="J101" s="75">
        <f>'Raw Data (KG)'!U101</f>
        <v>0</v>
      </c>
      <c r="K101" s="74">
        <f>'Raw Data (KG)'!J101+SUM('Raw Data (KG)'!L101:P101)+SUM('Raw Data (KG)'!R101:T101)+'Raw Data (KG)'!Z101</f>
        <v>1350</v>
      </c>
      <c r="L101" s="72">
        <f t="shared" si="3"/>
        <v>111552.35</v>
      </c>
    </row>
    <row r="102" spans="1:13" x14ac:dyDescent="0.2">
      <c r="A102" s="68">
        <v>44501</v>
      </c>
      <c r="B102" s="75">
        <f>SUM('Raw Data (KG)'!D102:E102)</f>
        <v>14446</v>
      </c>
      <c r="C102" s="75">
        <f>SUM('Raw Data (KG)'!F102:G102)</f>
        <v>370</v>
      </c>
      <c r="D102" s="73">
        <f>SUM('Raw Data (KG)'!H102:I102)</f>
        <v>352.75</v>
      </c>
      <c r="E102" s="75">
        <f>'Raw Data (KG)'!K102</f>
        <v>625</v>
      </c>
      <c r="F102" s="76">
        <f>'Raw Food Data (KG)'!Q63</f>
        <v>42665</v>
      </c>
      <c r="G102" s="75">
        <f>'Raw Data (KG)'!X102</f>
        <v>4800</v>
      </c>
      <c r="H102" s="75">
        <f>'Raw Data (KG)'!Y102</f>
        <v>35000</v>
      </c>
      <c r="I102" s="77">
        <f>'Raw Data (KG)'!V102</f>
        <v>5800</v>
      </c>
      <c r="J102" s="75">
        <f>'Raw Data (KG)'!U102</f>
        <v>1971</v>
      </c>
      <c r="K102" s="74">
        <f>'Raw Data (KG)'!J102+SUM('Raw Data (KG)'!L102:P102)+SUM('Raw Data (KG)'!R102:T102)+'Raw Data (KG)'!Z102</f>
        <v>1403.634</v>
      </c>
      <c r="L102" s="72">
        <f t="shared" si="3"/>
        <v>107433.38400000001</v>
      </c>
    </row>
    <row r="103" spans="1:13" x14ac:dyDescent="0.2">
      <c r="A103" s="68">
        <v>44531</v>
      </c>
      <c r="B103" s="75">
        <f>SUM('Raw Data (KG)'!D103:E103)</f>
        <v>14118</v>
      </c>
      <c r="C103" s="75">
        <f>SUM('Raw Data (KG)'!F103:G103)</f>
        <v>1071</v>
      </c>
      <c r="D103" s="73">
        <f>SUM('Raw Data (KG)'!H103:I103)</f>
        <v>424.95</v>
      </c>
      <c r="E103" s="75">
        <f>'Raw Data (KG)'!K103</f>
        <v>0</v>
      </c>
      <c r="F103" s="76">
        <f>'Raw Food Data (KG)'!Q64</f>
        <v>41338</v>
      </c>
      <c r="G103" s="75">
        <f>'Raw Data (KG)'!X103</f>
        <v>8000</v>
      </c>
      <c r="H103" s="75">
        <f>'Raw Data (KG)'!Y103</f>
        <v>31500</v>
      </c>
      <c r="I103" s="77">
        <f>'Raw Data (KG)'!V103</f>
        <v>10180</v>
      </c>
      <c r="J103" s="75">
        <f>'Raw Data (KG)'!U103</f>
        <v>355.5</v>
      </c>
      <c r="K103" s="74">
        <f>'Raw Data (KG)'!J103+SUM('Raw Data (KG)'!L103:P103)+SUM('Raw Data (KG)'!R103:T103)+'Raw Data (KG)'!Z103</f>
        <v>1150.787</v>
      </c>
      <c r="L103" s="72">
        <f t="shared" si="3"/>
        <v>108138.23699999999</v>
      </c>
    </row>
    <row r="104" spans="1:13" x14ac:dyDescent="0.2">
      <c r="A104" s="68">
        <v>44562</v>
      </c>
      <c r="B104" s="75">
        <f>SUM('Raw Data (KG)'!D104:E104)</f>
        <v>14832</v>
      </c>
      <c r="C104" s="75">
        <f>SUM('Raw Data (KG)'!F104:G104)</f>
        <v>1212</v>
      </c>
      <c r="D104" s="73">
        <f>SUM('Raw Data (KG)'!H104:I104)</f>
        <v>421.65</v>
      </c>
      <c r="E104" s="75">
        <f>'Raw Data (KG)'!K104</f>
        <v>0</v>
      </c>
      <c r="F104" s="76">
        <f>'Raw Food Data (KG)'!Q65</f>
        <v>33071</v>
      </c>
      <c r="G104" s="75">
        <f>'Raw Data (KG)'!X104</f>
        <v>6400</v>
      </c>
      <c r="H104" s="75">
        <f>'Raw Data (KG)'!Y104</f>
        <v>28000</v>
      </c>
      <c r="I104" s="77">
        <f>'Raw Data (KG)'!V104</f>
        <v>19838</v>
      </c>
      <c r="J104" s="75">
        <f>'Raw Data (KG)'!U104</f>
        <v>0</v>
      </c>
      <c r="K104" s="74">
        <f>'Raw Data (KG)'!J104+SUM('Raw Data (KG)'!L104:P104)+SUM('Raw Data (KG)'!R104:T104)+'Raw Data (KG)'!Z104</f>
        <v>2000</v>
      </c>
      <c r="L104" s="72">
        <f t="shared" si="3"/>
        <v>105774.65</v>
      </c>
    </row>
    <row r="105" spans="1:13" x14ac:dyDescent="0.2">
      <c r="A105" s="68">
        <v>44593</v>
      </c>
      <c r="B105" s="75">
        <f>SUM('Raw Data (KG)'!D105:E105)</f>
        <v>11046</v>
      </c>
      <c r="C105" s="75">
        <f>SUM('Raw Data (KG)'!F105:G105)</f>
        <v>313</v>
      </c>
      <c r="D105" s="73">
        <f>SUM('Raw Data (KG)'!H105:I105)</f>
        <v>258.64999999999998</v>
      </c>
      <c r="E105" s="75">
        <f>'Raw Data (KG)'!K105</f>
        <v>869</v>
      </c>
      <c r="F105" s="76">
        <f>'Raw Food Data (KG)'!Q66</f>
        <v>24947</v>
      </c>
      <c r="G105" s="75">
        <f>'Raw Data (KG)'!X105</f>
        <v>4800</v>
      </c>
      <c r="H105" s="75">
        <f>'Raw Data (KG)'!Y105</f>
        <v>14000</v>
      </c>
      <c r="I105" s="77">
        <f>'Raw Data (KG)'!V105</f>
        <v>7420</v>
      </c>
      <c r="J105" s="75">
        <f>'Raw Data (KG)'!U105</f>
        <v>256.5</v>
      </c>
      <c r="K105" s="74">
        <f>'Raw Data (KG)'!J105+SUM('Raw Data (KG)'!L105:P105)+SUM('Raw Data (KG)'!R105:T105)+'Raw Data (KG)'!Z105</f>
        <v>926.33100000000002</v>
      </c>
      <c r="L105" s="72">
        <f t="shared" si="3"/>
        <v>64836.481</v>
      </c>
    </row>
    <row r="106" spans="1:13" x14ac:dyDescent="0.2">
      <c r="A106" s="68">
        <v>44621</v>
      </c>
      <c r="B106" s="75">
        <f>SUM('Raw Data (KG)'!D106:E106)</f>
        <v>10035</v>
      </c>
      <c r="C106" s="75">
        <f>SUM('Raw Data (KG)'!F106:G106)</f>
        <v>389</v>
      </c>
      <c r="D106" s="73">
        <f>SUM('Raw Data (KG)'!H106:I106)</f>
        <v>392.15</v>
      </c>
      <c r="E106" s="75">
        <f>'Raw Data (KG)'!K106</f>
        <v>0</v>
      </c>
      <c r="F106" s="76">
        <f>'Raw Food Data (KG)'!Q67</f>
        <v>22091</v>
      </c>
      <c r="G106" s="75">
        <f>'Raw Data (KG)'!X106</f>
        <v>6400</v>
      </c>
      <c r="H106" s="75">
        <f>'Raw Data (KG)'!Y106</f>
        <v>24500</v>
      </c>
      <c r="I106" s="77">
        <f>'Raw Data (KG)'!V106</f>
        <v>9700</v>
      </c>
      <c r="J106" s="75">
        <f>'Raw Data (KG)'!U106</f>
        <v>0</v>
      </c>
      <c r="K106" s="74">
        <f>'Raw Data (KG)'!J106+SUM('Raw Data (KG)'!L106:P106)+SUM('Raw Data (KG)'!R106:T106)+'Raw Data (KG)'!Z106</f>
        <v>800</v>
      </c>
      <c r="L106" s="72">
        <f t="shared" si="3"/>
        <v>74307.149999999994</v>
      </c>
    </row>
    <row r="107" spans="1:13" x14ac:dyDescent="0.2">
      <c r="A107" s="68">
        <v>44652</v>
      </c>
      <c r="B107" s="75">
        <f>SUM('Raw Data (KG)'!D107:E107)</f>
        <v>9482</v>
      </c>
      <c r="C107" s="75">
        <f>SUM('Raw Data (KG)'!F107:G107)</f>
        <v>1101</v>
      </c>
      <c r="D107" s="73">
        <f>SUM('Raw Data (KG)'!H107:I107)</f>
        <v>290.8</v>
      </c>
      <c r="E107" s="75">
        <f>'Raw Data (KG)'!K107</f>
        <v>1036</v>
      </c>
      <c r="F107" s="76">
        <f>'Raw Food Data (KG)'!Q68</f>
        <v>24586.6</v>
      </c>
      <c r="G107" s="75">
        <f>'Raw Data (KG)'!X107</f>
        <v>6400</v>
      </c>
      <c r="H107" s="75">
        <f>'Raw Data (KG)'!Y107</f>
        <v>24500</v>
      </c>
      <c r="I107" s="77">
        <f>'Raw Data (KG)'!V107</f>
        <v>10420</v>
      </c>
      <c r="J107" s="75">
        <f>'Raw Data (KG)'!U107</f>
        <v>1482</v>
      </c>
      <c r="K107" s="74">
        <f>'Raw Data (KG)'!J107+SUM('Raw Data (KG)'!L107:P107)+SUM('Raw Data (KG)'!R107:T107)+'Raw Data (KG)'!Z107</f>
        <v>1232.981</v>
      </c>
      <c r="L107" s="72">
        <f t="shared" si="3"/>
        <v>80531.380999999994</v>
      </c>
    </row>
    <row r="108" spans="1:13" x14ac:dyDescent="0.2">
      <c r="A108" s="68">
        <v>44682</v>
      </c>
      <c r="B108" s="75">
        <f>SUM('Raw Data (KG)'!D108:E108)</f>
        <v>10889</v>
      </c>
      <c r="C108" s="75">
        <f>SUM('Raw Data (KG)'!F108:G108)</f>
        <v>316</v>
      </c>
      <c r="D108" s="73">
        <f>SUM('Raw Data (KG)'!H108:I108)</f>
        <v>170.35</v>
      </c>
      <c r="E108" s="75">
        <f>'Raw Data (KG)'!K108</f>
        <v>0</v>
      </c>
      <c r="F108" s="76">
        <f>'Raw Food Data (KG)'!Q69</f>
        <v>27462</v>
      </c>
      <c r="G108" s="75">
        <f>'Raw Data (KG)'!X108</f>
        <v>6400</v>
      </c>
      <c r="H108" s="75">
        <f>'Raw Data (KG)'!Y108</f>
        <v>31500</v>
      </c>
      <c r="I108" s="77">
        <f>'Raw Data (KG)'!V108</f>
        <v>12000</v>
      </c>
      <c r="J108" s="75">
        <f>'Raw Data (KG)'!U108</f>
        <v>736</v>
      </c>
      <c r="K108" s="74">
        <f>'Raw Data (KG)'!J108+SUM('Raw Data (KG)'!L108:P108)+SUM('Raw Data (KG)'!R108:T108)+'Raw Data (KG)'!Z108</f>
        <v>680</v>
      </c>
      <c r="L108" s="72">
        <f t="shared" si="3"/>
        <v>90153.35</v>
      </c>
    </row>
    <row r="109" spans="1:13" x14ac:dyDescent="0.2">
      <c r="A109" s="68">
        <v>44713</v>
      </c>
      <c r="B109" s="75">
        <f>SUM('Raw Data (KG)'!D109:E109)</f>
        <v>10770</v>
      </c>
      <c r="C109" s="75">
        <f>SUM('Raw Data (KG)'!F109:G109)</f>
        <v>304</v>
      </c>
      <c r="D109" s="73">
        <f>SUM('Raw Data (KG)'!H109:I109)</f>
        <v>275.8</v>
      </c>
      <c r="E109" s="75">
        <f>'Raw Data (KG)'!K109</f>
        <v>1056</v>
      </c>
      <c r="F109" s="76">
        <f>'Raw Food Data (KG)'!Q70</f>
        <v>22866</v>
      </c>
      <c r="G109" s="75">
        <f>'Raw Data (KG)'!X109</f>
        <v>8000</v>
      </c>
      <c r="H109" s="75">
        <f>'Raw Data (KG)'!Y109</f>
        <v>35000</v>
      </c>
      <c r="I109" s="77">
        <f>'Raw Data (KG)'!V109</f>
        <v>9000</v>
      </c>
      <c r="J109" s="75">
        <f>'Raw Data (KG)'!U109</f>
        <v>819</v>
      </c>
      <c r="K109" s="74">
        <f>'Raw Data (KG)'!J109+SUM('Raw Data (KG)'!L109:P109)+SUM('Raw Data (KG)'!R109:T109)+'Raw Data (KG)'!Z109</f>
        <v>1452</v>
      </c>
      <c r="L109" s="72">
        <f t="shared" si="3"/>
        <v>89542.8</v>
      </c>
      <c r="M109" s="15">
        <f>SUM(L98:L109)</f>
        <v>1136956.1440000001</v>
      </c>
    </row>
    <row r="110" spans="1:13" x14ac:dyDescent="0.2">
      <c r="A110" s="68">
        <v>44743</v>
      </c>
      <c r="B110" s="9">
        <f>SUM('Raw Data (KG)'!D110:E110)</f>
        <v>10655</v>
      </c>
      <c r="C110" s="9">
        <f>SUM('Raw Data (KG)'!F110:G110)</f>
        <v>810</v>
      </c>
      <c r="D110" s="8">
        <f>SUM('Raw Data (KG)'!H110:I110)</f>
        <v>333.95</v>
      </c>
      <c r="E110" s="9">
        <f>'Raw Data (KG)'!K110</f>
        <v>0</v>
      </c>
      <c r="F110" s="7">
        <f>'Raw Food Data (KG)'!Q71</f>
        <v>25176</v>
      </c>
      <c r="G110" s="9">
        <f>'Raw Data (KG)'!X110</f>
        <v>6400</v>
      </c>
      <c r="H110" s="9">
        <f>'Raw Data (KG)'!Y110</f>
        <v>24500</v>
      </c>
      <c r="I110" s="352">
        <f>'Raw Data (KG)'!V110</f>
        <v>12000</v>
      </c>
      <c r="J110" s="9">
        <f>'Raw Data (KG)'!U110</f>
        <v>0</v>
      </c>
      <c r="K110" s="62">
        <f>'Raw Data (KG)'!J110+SUM('Raw Data (KG)'!L110:P110)+'Raw Data (KG)'!Z110</f>
        <v>1585</v>
      </c>
      <c r="L110" s="15">
        <f t="shared" si="3"/>
        <v>81459.95</v>
      </c>
    </row>
    <row r="111" spans="1:13" x14ac:dyDescent="0.2">
      <c r="A111" s="68">
        <v>44774</v>
      </c>
      <c r="B111" s="9">
        <f>SUM('Raw Data (KG)'!D111:E111)</f>
        <v>11619</v>
      </c>
      <c r="C111" s="9">
        <f>SUM('Raw Data (KG)'!F111:G111)</f>
        <v>1303</v>
      </c>
      <c r="D111" s="8">
        <f>SUM('Raw Data (KG)'!H111:I111)</f>
        <v>338.25</v>
      </c>
      <c r="E111" s="9">
        <f>'Raw Data (KG)'!K111</f>
        <v>1973</v>
      </c>
      <c r="F111" s="7">
        <f>'Raw Food Data (KG)'!Q72</f>
        <v>26660</v>
      </c>
      <c r="G111" s="9">
        <f>'Raw Data (KG)'!X111</f>
        <v>6400</v>
      </c>
      <c r="H111" s="9">
        <f>'Raw Data (KG)'!Y111</f>
        <v>31500</v>
      </c>
      <c r="I111" s="352">
        <f>'Raw Data (KG)'!V111</f>
        <v>15000</v>
      </c>
      <c r="J111" s="9">
        <f>'Raw Data (KG)'!U111</f>
        <v>604</v>
      </c>
      <c r="K111" s="62">
        <f>'Raw Data (KG)'!J111+SUM('Raw Data (KG)'!L111:P111)+'Raw Data (KG)'!Z111</f>
        <v>1915</v>
      </c>
      <c r="L111" s="15">
        <f t="shared" si="3"/>
        <v>97312.25</v>
      </c>
    </row>
    <row r="112" spans="1:13" x14ac:dyDescent="0.2">
      <c r="A112" s="68">
        <v>44805</v>
      </c>
      <c r="B112" s="9">
        <f>SUM('Raw Data (KG)'!D112:E112)</f>
        <v>13120</v>
      </c>
      <c r="C112" s="9">
        <f>SUM('Raw Data (KG)'!F112:G112)</f>
        <v>631</v>
      </c>
      <c r="D112" s="8">
        <f>SUM('Raw Data (KG)'!H112:I112)</f>
        <v>321.25</v>
      </c>
      <c r="E112" s="9">
        <f>'Raw Data (KG)'!K112</f>
        <v>0</v>
      </c>
      <c r="F112" s="7">
        <f>'Raw Food Data (KG)'!Q73</f>
        <v>35619</v>
      </c>
      <c r="G112" s="9">
        <f>'Raw Data (KG)'!X112</f>
        <v>8000</v>
      </c>
      <c r="H112" s="9">
        <f>'Raw Data (KG)'!Y112</f>
        <v>31500</v>
      </c>
      <c r="I112" s="352">
        <f>'Raw Data (KG)'!V112</f>
        <v>12000</v>
      </c>
      <c r="J112" s="9">
        <f>'Raw Data (KG)'!U112</f>
        <v>0</v>
      </c>
      <c r="K112" s="62">
        <f>'Raw Data (KG)'!J112+SUM('Raw Data (KG)'!L112:P112)+'Raw Data (KG)'!Z112</f>
        <v>971.6</v>
      </c>
      <c r="L112" s="15">
        <f t="shared" si="3"/>
        <v>102162.85</v>
      </c>
    </row>
    <row r="113" spans="1:13" x14ac:dyDescent="0.2">
      <c r="A113" s="68">
        <v>44835</v>
      </c>
      <c r="B113" s="9">
        <f>SUM('Raw Data (KG)'!D113:E113)</f>
        <v>13030</v>
      </c>
      <c r="C113" s="9">
        <f>SUM('Raw Data (KG)'!F113:G113)</f>
        <v>726</v>
      </c>
      <c r="D113" s="8">
        <f>SUM('Raw Data (KG)'!H113:I113)</f>
        <v>386.55</v>
      </c>
      <c r="E113" s="9">
        <f>'Raw Data (KG)'!K113</f>
        <v>1009</v>
      </c>
      <c r="F113" s="7">
        <f>'Raw Food Data (KG)'!Q74</f>
        <v>39851</v>
      </c>
      <c r="G113" s="9">
        <f>'Raw Data (KG)'!X113</f>
        <v>6400</v>
      </c>
      <c r="H113" s="9">
        <f>'Raw Data (KG)'!Y113</f>
        <v>28000</v>
      </c>
      <c r="I113" s="352">
        <f>'Raw Data (KG)'!V113</f>
        <v>15000</v>
      </c>
      <c r="J113" s="9">
        <f>'Raw Data (KG)'!U113</f>
        <v>731</v>
      </c>
      <c r="K113" s="62">
        <f>'Raw Data (KG)'!J113+SUM('Raw Data (KG)'!L113:P113)+'Raw Data (KG)'!Z113</f>
        <v>1327</v>
      </c>
      <c r="L113" s="15">
        <f t="shared" si="3"/>
        <v>106460.55</v>
      </c>
    </row>
    <row r="114" spans="1:13" x14ac:dyDescent="0.2">
      <c r="A114" s="68">
        <v>44866</v>
      </c>
      <c r="B114" s="9">
        <f>SUM('Raw Data (KG)'!D114:E114)</f>
        <v>12168</v>
      </c>
      <c r="C114" s="9">
        <f>SUM('Raw Data (KG)'!F114:G114)</f>
        <v>736</v>
      </c>
      <c r="D114" s="8">
        <f>SUM('Raw Data (KG)'!H114:I114)</f>
        <v>273</v>
      </c>
      <c r="E114" s="9">
        <f>'Raw Data (KG)'!K114</f>
        <v>993</v>
      </c>
      <c r="F114" s="7">
        <f>'Raw Food Data (KG)'!Q75</f>
        <v>42228</v>
      </c>
      <c r="G114" s="9">
        <f>'Raw Data (KG)'!X114</f>
        <v>6400</v>
      </c>
      <c r="H114" s="9">
        <f>'Raw Data (KG)'!Y114</f>
        <v>31500</v>
      </c>
      <c r="I114" s="352">
        <f>'Raw Data (KG)'!V114</f>
        <v>12000</v>
      </c>
      <c r="J114" s="9">
        <f>'Raw Data (KG)'!U114</f>
        <v>0</v>
      </c>
      <c r="K114" s="62">
        <f>'Raw Data (KG)'!J114+SUM('Raw Data (KG)'!L114:P114)+'Raw Data (KG)'!Z114</f>
        <v>1490.5</v>
      </c>
      <c r="L114" s="15">
        <f t="shared" si="3"/>
        <v>107788.5</v>
      </c>
    </row>
    <row r="115" spans="1:13" x14ac:dyDescent="0.2">
      <c r="A115" s="68">
        <v>44896</v>
      </c>
      <c r="B115" s="9">
        <f>SUM('Raw Data (KG)'!D115:E115)</f>
        <v>12209</v>
      </c>
      <c r="C115" s="9">
        <f>SUM('Raw Data (KG)'!F115:G115)</f>
        <v>1633</v>
      </c>
      <c r="D115" s="8">
        <f>SUM('Raw Data (KG)'!H115:I115)</f>
        <v>279</v>
      </c>
      <c r="E115" s="9">
        <f>'Raw Data (KG)'!K115</f>
        <v>762</v>
      </c>
      <c r="F115" s="7">
        <f>'Raw Food Data (KG)'!Q76</f>
        <v>44338</v>
      </c>
      <c r="G115" s="9">
        <f>'Raw Data (KG)'!X115</f>
        <v>6400</v>
      </c>
      <c r="H115" s="9">
        <f>'Raw Data (KG)'!Y115</f>
        <v>28000</v>
      </c>
      <c r="I115" s="352">
        <f>'Raw Data (KG)'!V115</f>
        <v>15000</v>
      </c>
      <c r="J115" s="9">
        <f>'Raw Data (KG)'!U115</f>
        <v>0</v>
      </c>
      <c r="K115" s="62">
        <f>'Raw Data (KG)'!J115+SUM('Raw Data (KG)'!L115:P115)+'Raw Data (KG)'!Z115</f>
        <v>1548</v>
      </c>
      <c r="L115" s="15">
        <f t="shared" si="3"/>
        <v>110169</v>
      </c>
    </row>
    <row r="116" spans="1:13" x14ac:dyDescent="0.2">
      <c r="A116" s="68">
        <v>44927</v>
      </c>
      <c r="B116" s="9">
        <f>SUM('Raw Data (KG)'!D116:E116)</f>
        <v>9418</v>
      </c>
      <c r="C116" s="9">
        <f>SUM('Raw Data (KG)'!F116:G116)</f>
        <v>772</v>
      </c>
      <c r="D116" s="8">
        <f>SUM('Raw Data (KG)'!H116:I116)</f>
        <v>234.5</v>
      </c>
      <c r="E116" s="9">
        <f>'Raw Data (KG)'!K116</f>
        <v>757</v>
      </c>
      <c r="F116" s="7">
        <f>'Raw Food Data (KG)'!Q77</f>
        <v>34407</v>
      </c>
      <c r="G116" s="9">
        <f>'Raw Data (KG)'!X116</f>
        <v>6400</v>
      </c>
      <c r="H116" s="9">
        <f>'Raw Data (KG)'!Y116</f>
        <v>31500</v>
      </c>
      <c r="I116" s="352">
        <f>'Raw Data (KG)'!V116</f>
        <v>15000</v>
      </c>
      <c r="J116" s="9">
        <f>'Raw Data (KG)'!U116</f>
        <v>1109</v>
      </c>
      <c r="K116" s="62">
        <f>'Raw Data (KG)'!J116+SUM('Raw Data (KG)'!L116:P116)+'Raw Data (KG)'!Z116</f>
        <v>699.5</v>
      </c>
      <c r="L116" s="15">
        <f t="shared" si="3"/>
        <v>100297</v>
      </c>
    </row>
    <row r="117" spans="1:13" x14ac:dyDescent="0.2">
      <c r="A117" s="68">
        <v>44958</v>
      </c>
      <c r="B117" s="9">
        <f>SUM('Raw Data (KG)'!D117:E117)</f>
        <v>10379</v>
      </c>
      <c r="C117" s="9">
        <f>SUM('Raw Data (KG)'!F117:G117)</f>
        <v>1110</v>
      </c>
      <c r="D117" s="8">
        <f>SUM('Raw Data (KG)'!H117:I117)</f>
        <v>217</v>
      </c>
      <c r="E117" s="9">
        <f>'Raw Data (KG)'!K117</f>
        <v>670</v>
      </c>
      <c r="F117" s="7">
        <f>'Raw Food Data (KG)'!Q78</f>
        <v>28553</v>
      </c>
      <c r="G117" s="9">
        <f>'Raw Data (KG)'!X117</f>
        <v>6400</v>
      </c>
      <c r="H117" s="9">
        <f>'Raw Data (KG)'!Y117</f>
        <v>21000</v>
      </c>
      <c r="I117" s="352">
        <f>'Raw Data (KG)'!V117</f>
        <v>12000</v>
      </c>
      <c r="J117" s="9">
        <f>'Raw Data (KG)'!U117</f>
        <v>0</v>
      </c>
      <c r="K117" s="62">
        <f>'Raw Data (KG)'!J117+SUM('Raw Data (KG)'!L117:P117)+'Raw Data (KG)'!Z117</f>
        <v>1249.4000000000001</v>
      </c>
      <c r="L117" s="15">
        <f t="shared" si="3"/>
        <v>81578.399999999994</v>
      </c>
    </row>
    <row r="118" spans="1:13" x14ac:dyDescent="0.2">
      <c r="A118" s="68">
        <v>44986</v>
      </c>
      <c r="B118" s="9">
        <f>SUM('Raw Data (KG)'!D118:E118)</f>
        <v>11198</v>
      </c>
      <c r="C118" s="9">
        <f>SUM('Raw Data (KG)'!F118:G118)</f>
        <v>974</v>
      </c>
      <c r="D118" s="8">
        <f>SUM('Raw Data (KG)'!H118:I118)</f>
        <v>320.8</v>
      </c>
      <c r="E118" s="9">
        <f>'Raw Data (KG)'!K118</f>
        <v>603</v>
      </c>
      <c r="F118" s="7">
        <f>'Raw Food Data (KG)'!Q79</f>
        <v>35187</v>
      </c>
      <c r="G118" s="9">
        <f>'Raw Data (KG)'!X118</f>
        <v>8000</v>
      </c>
      <c r="H118" s="9">
        <f>'Raw Data (KG)'!Y118</f>
        <v>24500</v>
      </c>
      <c r="I118" s="352">
        <f>'Raw Data (KG)'!V118</f>
        <v>15000</v>
      </c>
      <c r="J118" s="9">
        <f>'Raw Data (KG)'!U118</f>
        <v>0</v>
      </c>
      <c r="K118" s="62">
        <f>'Raw Data (KG)'!J118+SUM('Raw Data (KG)'!L118:P118)+'Raw Data (KG)'!Z118</f>
        <v>1328.5</v>
      </c>
      <c r="L118" s="15">
        <f t="shared" si="3"/>
        <v>97111.3</v>
      </c>
    </row>
    <row r="119" spans="1:13" x14ac:dyDescent="0.2">
      <c r="A119" s="68">
        <v>45017</v>
      </c>
      <c r="B119" s="9">
        <f>SUM('Raw Data (KG)'!D119:E119)</f>
        <v>10871</v>
      </c>
      <c r="C119" s="9">
        <f>SUM('Raw Data (KG)'!F119:G119)</f>
        <v>727</v>
      </c>
      <c r="D119" s="8">
        <f>SUM('Raw Data (KG)'!H119:I119)</f>
        <v>255.75</v>
      </c>
      <c r="E119" s="9">
        <f>'Raw Data (KG)'!K119</f>
        <v>499</v>
      </c>
      <c r="F119" s="7">
        <f>'Raw Food Data (KG)'!Q80</f>
        <v>39810.5</v>
      </c>
      <c r="G119" s="9">
        <f>'Raw Data (KG)'!X119</f>
        <v>4800</v>
      </c>
      <c r="H119" s="9">
        <f>'Raw Data (KG)'!Y119</f>
        <v>17500</v>
      </c>
      <c r="I119" s="352">
        <f>'Raw Data (KG)'!V119</f>
        <v>15000</v>
      </c>
      <c r="J119" s="9">
        <f>'Raw Data (KG)'!U119</f>
        <v>1438</v>
      </c>
      <c r="K119" s="62">
        <f>'Raw Data (KG)'!J119+SUM('Raw Data (KG)'!L119:P119)+'Raw Data (KG)'!Z119</f>
        <v>704.5</v>
      </c>
      <c r="L119" s="15">
        <f t="shared" si="3"/>
        <v>91605.75</v>
      </c>
    </row>
    <row r="120" spans="1:13" x14ac:dyDescent="0.2">
      <c r="A120" s="68">
        <v>45047</v>
      </c>
      <c r="B120" s="9">
        <f>SUM('Raw Data (KG)'!D120:E120)</f>
        <v>10533</v>
      </c>
      <c r="C120" s="9">
        <f>SUM('Raw Data (KG)'!F120:G120)</f>
        <v>638</v>
      </c>
      <c r="D120" s="8">
        <f>SUM('Raw Data (KG)'!H120:I120)</f>
        <v>288.89999999999998</v>
      </c>
      <c r="E120" s="9">
        <f>'Raw Data (KG)'!K120</f>
        <v>0</v>
      </c>
      <c r="F120" s="7">
        <f>'Raw Food Data (KG)'!Q81</f>
        <v>39784</v>
      </c>
      <c r="G120" s="9">
        <f>'Raw Data (KG)'!X120</f>
        <v>6400</v>
      </c>
      <c r="H120" s="9">
        <f>'Raw Data (KG)'!Y120</f>
        <v>24500</v>
      </c>
      <c r="I120" s="352">
        <f>'Raw Data (KG)'!V120</f>
        <v>12000</v>
      </c>
      <c r="J120" s="9">
        <f>'Raw Data (KG)'!U120</f>
        <v>0</v>
      </c>
      <c r="K120" s="62">
        <f>'Raw Data (KG)'!J120+SUM('Raw Data (KG)'!L120:P120)+'Raw Data (KG)'!Z120</f>
        <v>825</v>
      </c>
      <c r="L120" s="15">
        <f t="shared" si="3"/>
        <v>94968.9</v>
      </c>
    </row>
    <row r="121" spans="1:13" x14ac:dyDescent="0.2">
      <c r="A121" s="68">
        <v>45078</v>
      </c>
      <c r="B121" s="9">
        <f>SUM('Raw Data (KG)'!D121:E121)</f>
        <v>10392</v>
      </c>
      <c r="C121" s="9">
        <f>SUM('Raw Data (KG)'!F121:G121)</f>
        <v>897</v>
      </c>
      <c r="D121" s="8">
        <f>SUM('Raw Data (KG)'!H121:I121)</f>
        <v>285.45</v>
      </c>
      <c r="E121" s="9">
        <f>'Raw Data (KG)'!K121</f>
        <v>608</v>
      </c>
      <c r="F121" s="7">
        <f>'Raw Food Data (KG)'!Q82</f>
        <v>40149.599999999999</v>
      </c>
      <c r="G121" s="9">
        <f>'Raw Data (KG)'!X121</f>
        <v>8000</v>
      </c>
      <c r="H121" s="9">
        <f>'Raw Data (KG)'!Y121</f>
        <v>24500</v>
      </c>
      <c r="I121" s="352">
        <f>'Raw Data (KG)'!V121</f>
        <v>12000</v>
      </c>
      <c r="J121" s="9">
        <f>'Raw Data (KG)'!U121</f>
        <v>0</v>
      </c>
      <c r="K121" s="62">
        <f>'Raw Data (KG)'!J121+SUM('Raw Data (KG)'!L121:P121)+'Raw Data (KG)'!Z121</f>
        <v>1645</v>
      </c>
      <c r="L121" s="15">
        <f t="shared" si="3"/>
        <v>98477.05</v>
      </c>
      <c r="M121" s="15">
        <f>SUM(L110:L121)</f>
        <v>1169391.5000000002</v>
      </c>
    </row>
    <row r="122" spans="1:13" x14ac:dyDescent="0.2">
      <c r="A122" s="68">
        <v>45108</v>
      </c>
      <c r="B122" s="75">
        <f>SUM('Raw Data (KG)'!D122:E122)</f>
        <v>10670</v>
      </c>
      <c r="C122" s="75">
        <f>SUM('Raw Data (KG)'!F122:G122)</f>
        <v>915</v>
      </c>
      <c r="D122" s="73">
        <f>SUM('Raw Data (KG)'!H122:I122)</f>
        <v>259.5</v>
      </c>
      <c r="E122" s="75">
        <f>'Raw Data (KG)'!K122</f>
        <v>673</v>
      </c>
      <c r="F122" s="76">
        <f>'Raw Food Data (KG)'!Q83</f>
        <v>23296.5</v>
      </c>
      <c r="G122" s="75">
        <f>'Raw Data (KG)'!X122</f>
        <v>7185</v>
      </c>
      <c r="H122" s="75">
        <f>'Raw Data (KG)'!Y122</f>
        <v>14485</v>
      </c>
      <c r="I122" s="77">
        <f>'Raw Data (KG)'!V122</f>
        <v>18000</v>
      </c>
      <c r="J122" s="75">
        <f>'Raw Data (KG)'!U122</f>
        <v>513</v>
      </c>
      <c r="K122" s="74">
        <f>'Raw Data (KG)'!J122+SUM('Raw Data (KG)'!L122:P122)+'Raw Data (KG)'!Z122</f>
        <v>1770</v>
      </c>
      <c r="L122" s="72">
        <f t="shared" si="3"/>
        <v>77767</v>
      </c>
    </row>
    <row r="123" spans="1:13" x14ac:dyDescent="0.2">
      <c r="A123" s="68">
        <v>45139</v>
      </c>
      <c r="B123" s="75">
        <f>SUM('Raw Data (KG)'!D123:E123)</f>
        <v>10732</v>
      </c>
      <c r="C123" s="75">
        <f>SUM('Raw Data (KG)'!F123:G123)</f>
        <v>872</v>
      </c>
      <c r="D123" s="73">
        <f>SUM('Raw Data (KG)'!H123:I123)</f>
        <v>280.89999999999998</v>
      </c>
      <c r="E123" s="75">
        <f>'Raw Data (KG)'!K123</f>
        <v>996</v>
      </c>
      <c r="F123" s="76">
        <f>'Raw Food Data (KG)'!Q84</f>
        <v>28190.499999999996</v>
      </c>
      <c r="G123" s="75">
        <f>'Raw Data (KG)'!X123</f>
        <v>7200</v>
      </c>
      <c r="H123" s="75">
        <f>'Raw Data (KG)'!Y123</f>
        <v>20070</v>
      </c>
      <c r="I123" s="77">
        <f>'Raw Data (KG)'!V123</f>
        <v>15000</v>
      </c>
      <c r="J123" s="75">
        <f>'Raw Data (KG)'!U123</f>
        <v>435</v>
      </c>
      <c r="K123" s="74">
        <f>'Raw Data (KG)'!J123+SUM('Raw Data (KG)'!L123:P123)+'Raw Data (KG)'!Z123</f>
        <v>1271.0999999999999</v>
      </c>
      <c r="L123" s="72">
        <f t="shared" si="3"/>
        <v>85047.5</v>
      </c>
      <c r="M123" s="15">
        <f>SUM(L122:L130)</f>
        <v>836562.95</v>
      </c>
    </row>
    <row r="124" spans="1:13" x14ac:dyDescent="0.2">
      <c r="A124" s="68">
        <v>45170</v>
      </c>
      <c r="B124" s="75">
        <f>SUM('Raw Data (KG)'!D124:E124)</f>
        <v>11135</v>
      </c>
      <c r="C124" s="75">
        <f>SUM('Raw Data (KG)'!F124:G124)</f>
        <v>801</v>
      </c>
      <c r="D124" s="73">
        <f>SUM('Raw Data (KG)'!H124:I124)</f>
        <v>304.75</v>
      </c>
      <c r="E124" s="75">
        <f>'Raw Data (KG)'!K124</f>
        <v>0</v>
      </c>
      <c r="F124" s="76">
        <f>'Raw Food Data (KG)'!Q85</f>
        <v>30387</v>
      </c>
      <c r="G124" s="75">
        <f>'Raw Data (KG)'!X124</f>
        <v>11215</v>
      </c>
      <c r="H124" s="75">
        <f>'Raw Data (KG)'!Y124</f>
        <v>37770</v>
      </c>
      <c r="I124" s="77">
        <f>'Raw Data (KG)'!V124</f>
        <v>15000</v>
      </c>
      <c r="J124" s="75">
        <f>'Raw Data (KG)'!U124</f>
        <v>531</v>
      </c>
      <c r="K124" s="74">
        <f>'Raw Data (KG)'!J124+SUM('Raw Data (KG)'!L124:P124)+'Raw Data (KG)'!Z124</f>
        <v>1471.6</v>
      </c>
      <c r="L124" s="72">
        <f t="shared" si="3"/>
        <v>108615.35</v>
      </c>
    </row>
    <row r="125" spans="1:13" x14ac:dyDescent="0.2">
      <c r="A125" s="68">
        <v>45200</v>
      </c>
      <c r="B125" s="75">
        <f>SUM('Raw Data (KG)'!D125:E125)</f>
        <v>11304</v>
      </c>
      <c r="C125" s="75">
        <f>SUM('Raw Data (KG)'!F125:G125)</f>
        <v>733</v>
      </c>
      <c r="D125" s="73">
        <f>SUM('Raw Data (KG)'!H125:I125)</f>
        <v>342.6</v>
      </c>
      <c r="E125" s="75">
        <f>'Raw Data (KG)'!K125</f>
        <v>1412</v>
      </c>
      <c r="F125" s="76">
        <f>'Raw Food Data (KG)'!Q86</f>
        <v>30156.499999999996</v>
      </c>
      <c r="G125" s="75">
        <f>'Raw Data (KG)'!X125</f>
        <v>9565</v>
      </c>
      <c r="H125" s="75">
        <f>'Raw Data (KG)'!Y125</f>
        <v>20910</v>
      </c>
      <c r="I125" s="77">
        <f>'Raw Data (KG)'!V125</f>
        <v>15000</v>
      </c>
      <c r="J125" s="75">
        <f>'Raw Data (KG)'!U125</f>
        <v>364.5</v>
      </c>
      <c r="K125" s="74">
        <f>'Raw Data (KG)'!J125+SUM('Raw Data (KG)'!L125:P125)+'Raw Data (KG)'!Z125</f>
        <v>847</v>
      </c>
      <c r="L125" s="72">
        <f t="shared" si="3"/>
        <v>90634.6</v>
      </c>
    </row>
    <row r="126" spans="1:13" x14ac:dyDescent="0.2">
      <c r="A126" s="69">
        <v>45231</v>
      </c>
      <c r="B126" s="75">
        <f>SUM('Raw Data (KG)'!D126:E126)</f>
        <v>13460</v>
      </c>
      <c r="C126" s="75">
        <f>SUM('Raw Data (KG)'!F126:G126)</f>
        <v>752</v>
      </c>
      <c r="D126" s="73">
        <f>SUM('Raw Data (KG)'!H126:I126)</f>
        <v>419.6</v>
      </c>
      <c r="E126" s="75">
        <f>'Raw Data (KG)'!K126</f>
        <v>975</v>
      </c>
      <c r="F126" s="76">
        <f>'Raw Food Data (KG)'!Q87</f>
        <v>42615.9</v>
      </c>
      <c r="G126" s="75">
        <f>'Raw Data (KG)'!X126</f>
        <v>7803</v>
      </c>
      <c r="H126" s="75">
        <f>'Raw Data (KG)'!Y126</f>
        <v>15947</v>
      </c>
      <c r="I126" s="77">
        <f>'Raw Data (KG)'!V126</f>
        <v>12000</v>
      </c>
      <c r="J126" s="75">
        <f>'Raw Data (KG)'!U126</f>
        <v>737.5</v>
      </c>
      <c r="K126" s="74">
        <f>'Raw Data (KG)'!J126+SUM('Raw Data (KG)'!L126:P126)+'Raw Data (KG)'!Z126</f>
        <v>1417.2</v>
      </c>
      <c r="L126" s="72">
        <f t="shared" si="3"/>
        <v>96127.2</v>
      </c>
    </row>
    <row r="127" spans="1:13" x14ac:dyDescent="0.2">
      <c r="A127" s="69">
        <v>45261</v>
      </c>
      <c r="B127" s="75">
        <f>SUM('Raw Data (KG)'!D127:E127)</f>
        <v>13442</v>
      </c>
      <c r="C127" s="75">
        <f>SUM('Raw Data (KG)'!F127:G127)</f>
        <v>342</v>
      </c>
      <c r="D127" s="73">
        <f>SUM('Raw Data (KG)'!H127:I127)</f>
        <v>396.8</v>
      </c>
      <c r="E127" s="75">
        <f>'Raw Data (KG)'!K127</f>
        <v>856</v>
      </c>
      <c r="F127" s="76">
        <f>'Raw Food Data (KG)'!Q88</f>
        <v>35693.299999999996</v>
      </c>
      <c r="G127" s="75">
        <f>'Raw Data (KG)'!X127</f>
        <v>19833</v>
      </c>
      <c r="H127" s="75">
        <f>'Raw Data (KG)'!Y127</f>
        <v>7885</v>
      </c>
      <c r="I127" s="77">
        <f>'Raw Data (KG)'!V127</f>
        <v>15000</v>
      </c>
      <c r="J127" s="75">
        <f>'Raw Data (KG)'!U127</f>
        <v>1285</v>
      </c>
      <c r="K127" s="74">
        <f>'Raw Data (KG)'!J127+SUM('Raw Data (KG)'!L127:P127)+'Raw Data (KG)'!Z127</f>
        <v>1980</v>
      </c>
      <c r="L127" s="72">
        <f t="shared" si="3"/>
        <v>96713.099999999991</v>
      </c>
    </row>
    <row r="128" spans="1:13" x14ac:dyDescent="0.2">
      <c r="A128" s="69">
        <v>45292</v>
      </c>
      <c r="B128" s="75">
        <f>SUM('Raw Data (KG)'!D128:E128)</f>
        <v>13416</v>
      </c>
      <c r="C128" s="75">
        <f>SUM('Raw Data (KG)'!F128:G128)</f>
        <v>735</v>
      </c>
      <c r="D128" s="73">
        <f>SUM('Raw Data (KG)'!H128:I128)</f>
        <v>378.8</v>
      </c>
      <c r="E128" s="75">
        <f>'Raw Data (KG)'!K128</f>
        <v>0</v>
      </c>
      <c r="F128" s="76">
        <f>'Raw Food Data (KG)'!Q89</f>
        <v>29377.9</v>
      </c>
      <c r="G128" s="75">
        <f>'Raw Data (KG)'!X128</f>
        <v>21650</v>
      </c>
      <c r="H128" s="75">
        <f>'Raw Data (KG)'!Y128</f>
        <v>7650</v>
      </c>
      <c r="I128" s="77">
        <f>'Raw Data (KG)'!V128</f>
        <v>18000</v>
      </c>
      <c r="J128" s="75">
        <f>'Raw Data (KG)'!U128</f>
        <v>917.5</v>
      </c>
      <c r="K128" s="74">
        <f>'Raw Data (KG)'!J128+SUM('Raw Data (KG)'!L128:P128)+'Raw Data (KG)'!Z128</f>
        <v>1905</v>
      </c>
      <c r="L128" s="72">
        <f t="shared" si="3"/>
        <v>94030.2</v>
      </c>
    </row>
    <row r="129" spans="1:15" x14ac:dyDescent="0.2">
      <c r="A129" s="69">
        <v>45323</v>
      </c>
      <c r="B129" s="75">
        <f>SUM('Raw Data (KG)'!D129:E129)</f>
        <v>12589</v>
      </c>
      <c r="C129" s="75">
        <f>SUM('Raw Data (KG)'!F129:G129)</f>
        <v>318</v>
      </c>
      <c r="D129" s="73">
        <f>SUM('Raw Data (KG)'!H129:I129)</f>
        <v>371.4</v>
      </c>
      <c r="E129" s="75">
        <f>'Raw Data (KG)'!K129</f>
        <v>698</v>
      </c>
      <c r="F129" s="76">
        <f>'Raw Food Data (KG)'!Q90</f>
        <v>35652.6</v>
      </c>
      <c r="G129" s="75">
        <f>'Raw Data (KG)'!X129</f>
        <v>15470</v>
      </c>
      <c r="H129" s="75">
        <f>'Raw Data (KG)'!Y129</f>
        <v>6340</v>
      </c>
      <c r="I129" s="77">
        <f>'Raw Data (KG)'!V129</f>
        <v>15000</v>
      </c>
      <c r="J129" s="75">
        <f>'Raw Data (KG)'!U129</f>
        <v>353.1</v>
      </c>
      <c r="K129" s="74">
        <f>'Raw Data (KG)'!J129+SUM('Raw Data (KG)'!L129:P129)+'Raw Data (KG)'!Z129</f>
        <v>1480.7</v>
      </c>
      <c r="L129" s="72">
        <f t="shared" si="3"/>
        <v>88272.8</v>
      </c>
    </row>
    <row r="130" spans="1:15" x14ac:dyDescent="0.2">
      <c r="A130" s="69">
        <v>45352</v>
      </c>
      <c r="B130" s="75">
        <f>SUM('Raw Data (KG)'!D130:E130)</f>
        <v>13346</v>
      </c>
      <c r="C130" s="75">
        <f>SUM('Raw Data (KG)'!F130:G130)</f>
        <v>533</v>
      </c>
      <c r="D130" s="73">
        <f>SUM('Raw Data (KG)'!H130:I130)</f>
        <v>415.8</v>
      </c>
      <c r="E130" s="75">
        <f>'Raw Data (KG)'!K130</f>
        <v>597</v>
      </c>
      <c r="F130" s="76">
        <f>'Raw Food Data (KG)'!Q91</f>
        <v>43510.8</v>
      </c>
      <c r="G130" s="75">
        <f>'Raw Data (KG)'!X130</f>
        <v>17465</v>
      </c>
      <c r="H130" s="75">
        <f>'Raw Data (KG)'!Y130</f>
        <v>6740</v>
      </c>
      <c r="I130" s="77">
        <f>'Raw Data (KG)'!V130</f>
        <v>15000</v>
      </c>
      <c r="J130" s="75">
        <f>'Raw Data (KG)'!U130</f>
        <v>785</v>
      </c>
      <c r="K130" s="74">
        <f>'Raw Data (KG)'!J130+SUM('Raw Data (KG)'!L130:P130)+'Raw Data (KG)'!Z130</f>
        <v>962.6</v>
      </c>
      <c r="L130" s="72">
        <f t="shared" ref="L130:L135" si="4">SUM(B130:K130)</f>
        <v>99355.200000000012</v>
      </c>
    </row>
    <row r="131" spans="1:15" x14ac:dyDescent="0.2">
      <c r="A131" s="69">
        <v>45383</v>
      </c>
      <c r="B131" s="75">
        <f>SUM('Raw Data (KG)'!D131:E131)</f>
        <v>12371</v>
      </c>
      <c r="C131" s="75">
        <f>SUM('Raw Data (KG)'!F131:G131)</f>
        <v>739</v>
      </c>
      <c r="D131" s="73">
        <f>SUM('Raw Data (KG)'!H131:I131)</f>
        <v>477.8</v>
      </c>
      <c r="E131" s="75">
        <f>'Raw Data (KG)'!K131</f>
        <v>917</v>
      </c>
      <c r="F131" s="76">
        <f>'Raw Food Data (KG)'!Q92</f>
        <v>39601</v>
      </c>
      <c r="G131" s="75">
        <f>'Raw Data (KG)'!X131</f>
        <v>6415</v>
      </c>
      <c r="H131" s="75">
        <f>'Raw Data (KG)'!Y131</f>
        <v>13000</v>
      </c>
      <c r="I131" s="77">
        <f>'Raw Data (KG)'!V131</f>
        <v>15000</v>
      </c>
      <c r="J131" s="75">
        <f>'Raw Data (KG)'!U131</f>
        <v>440</v>
      </c>
      <c r="K131" s="74">
        <f>'Raw Data (KG)'!J131+SUM('Raw Data (KG)'!L131:P131)+'Raw Data (KG)'!Z131</f>
        <v>1272.8</v>
      </c>
      <c r="L131" s="72">
        <f t="shared" si="4"/>
        <v>90233.600000000006</v>
      </c>
    </row>
    <row r="132" spans="1:15" x14ac:dyDescent="0.2">
      <c r="A132" s="69">
        <v>45413</v>
      </c>
      <c r="B132" s="75">
        <f>SUM('Raw Data (KG)'!D132:E132)</f>
        <v>13434</v>
      </c>
      <c r="C132" s="75">
        <f>SUM('Raw Data (KG)'!F132:G132)</f>
        <v>757</v>
      </c>
      <c r="D132" s="73">
        <f>SUM('Raw Data (KG)'!H132:I132)</f>
        <v>466.2</v>
      </c>
      <c r="E132" s="75">
        <f>'Raw Data (KG)'!K132</f>
        <v>321</v>
      </c>
      <c r="F132" s="76">
        <f>'Raw Food Data (KG)'!Q93</f>
        <v>40905.300000000003</v>
      </c>
      <c r="G132" s="75">
        <f>'Raw Data (KG)'!X132</f>
        <v>7575</v>
      </c>
      <c r="H132" s="75">
        <f>'Raw Data (KG)'!Y132</f>
        <v>11695</v>
      </c>
      <c r="I132" s="77">
        <f>'Raw Data (KG)'!V132</f>
        <v>12000</v>
      </c>
      <c r="J132" s="75">
        <f>'Raw Data (KG)'!U132</f>
        <v>359</v>
      </c>
      <c r="K132" s="74">
        <f>'Raw Data (KG)'!J132+SUM('Raw Data (KG)'!L132:P132)+'Raw Data (KG)'!Z132</f>
        <v>1500.7</v>
      </c>
      <c r="L132" s="72">
        <f t="shared" si="4"/>
        <v>89013.2</v>
      </c>
    </row>
    <row r="133" spans="1:15" x14ac:dyDescent="0.2">
      <c r="A133" s="69">
        <v>45444</v>
      </c>
      <c r="B133" s="75">
        <f>SUM('Raw Data (KG)'!D133:E133)</f>
        <v>12778</v>
      </c>
      <c r="C133" s="75">
        <f>SUM('Raw Data (KG)'!F133:G133)</f>
        <v>1087</v>
      </c>
      <c r="D133" s="73">
        <f>SUM('Raw Data (KG)'!H133:I133)</f>
        <v>447</v>
      </c>
      <c r="E133" s="75">
        <f>'Raw Data (KG)'!K133</f>
        <v>612</v>
      </c>
      <c r="F133" s="76">
        <f>'Raw Food Data (KG)'!Q94</f>
        <v>30060</v>
      </c>
      <c r="G133" s="75">
        <f>'Raw Data (KG)'!X133</f>
        <v>4565</v>
      </c>
      <c r="H133" s="75">
        <f>'Raw Data (KG)'!Y133</f>
        <v>14570</v>
      </c>
      <c r="I133" s="77">
        <f>'Raw Data (KG)'!V133</f>
        <v>18000</v>
      </c>
      <c r="J133" s="75">
        <f>'Raw Data (KG)'!U133</f>
        <v>372.5</v>
      </c>
      <c r="K133" s="74">
        <f>'Raw Data (KG)'!J133+SUM('Raw Data (KG)'!L133:P133)+'Raw Data (KG)'!Z133</f>
        <v>783.7</v>
      </c>
      <c r="L133" s="72">
        <f t="shared" si="4"/>
        <v>83275.199999999997</v>
      </c>
      <c r="M133" s="15">
        <f>SUM(L122:L133)</f>
        <v>1099084.95</v>
      </c>
    </row>
    <row r="134" spans="1:15" x14ac:dyDescent="0.2">
      <c r="A134" s="69">
        <v>45474</v>
      </c>
      <c r="B134" s="9">
        <f>SUM('Raw Data (KG)'!D134:E134)</f>
        <v>12412</v>
      </c>
      <c r="C134" s="9">
        <f>SUM('Raw Data (KG)'!F134:G134)</f>
        <v>894</v>
      </c>
      <c r="D134" s="8">
        <f>SUM('Raw Data (KG)'!H134:I134)</f>
        <v>423</v>
      </c>
      <c r="E134" s="9">
        <f>'Raw Data (KG)'!K134</f>
        <v>704</v>
      </c>
      <c r="F134" s="7">
        <f>'Raw Food Data (KG)'!Q95</f>
        <v>34108.800000000003</v>
      </c>
      <c r="G134" s="9">
        <f>'Raw Data (KG)'!X134</f>
        <v>6540</v>
      </c>
      <c r="H134" s="9">
        <f>'Raw Data (KG)'!Y134</f>
        <v>13230</v>
      </c>
      <c r="I134" s="352">
        <f>'Raw Data (KG)'!V134</f>
        <v>18000</v>
      </c>
      <c r="J134" s="9">
        <f>'Raw Data (KG)'!U134</f>
        <v>1459.5</v>
      </c>
      <c r="K134" s="62">
        <f>'Raw Data (KG)'!J134+SUM('Raw Data (KG)'!L134:P134)+SUM('Raw Data (KG)'!R134:T134)+'Raw Data (KG)'!Z134</f>
        <v>1421.7</v>
      </c>
      <c r="L134" s="15">
        <f t="shared" si="4"/>
        <v>89193</v>
      </c>
    </row>
    <row r="135" spans="1:15" x14ac:dyDescent="0.2">
      <c r="A135" s="69">
        <v>45505</v>
      </c>
      <c r="B135" s="9">
        <f>SUM('Raw Data (KG)'!D135:E135)</f>
        <v>13553</v>
      </c>
      <c r="C135" s="9">
        <f>SUM('Raw Data (KG)'!F135:G135)</f>
        <v>387</v>
      </c>
      <c r="D135" s="8">
        <f>SUM('Raw Data (KG)'!H135:I135)</f>
        <v>431</v>
      </c>
      <c r="E135" s="9">
        <f>'Raw Data (KG)'!K135</f>
        <v>479</v>
      </c>
      <c r="F135" s="7">
        <f>'Raw Food Data (KG)'!Q96</f>
        <v>36595.5</v>
      </c>
      <c r="G135" s="9">
        <f>'Raw Data (KG)'!X135</f>
        <v>7880</v>
      </c>
      <c r="H135" s="9">
        <f>'Raw Data (KG)'!Y135</f>
        <v>16335</v>
      </c>
      <c r="I135" s="352">
        <f>'Raw Data (KG)'!V135</f>
        <v>21000</v>
      </c>
      <c r="J135" s="9">
        <f>'Raw Data (KG)'!U135</f>
        <v>574</v>
      </c>
      <c r="K135" s="62">
        <f>'Raw Data (KG)'!J135+SUM('Raw Data (KG)'!L135:P135)+SUM('Raw Data (KG)'!R135:T135)+'Raw Data (KG)'!Z135</f>
        <v>1476.2</v>
      </c>
      <c r="L135" s="15">
        <f t="shared" si="4"/>
        <v>98710.7</v>
      </c>
    </row>
    <row r="136" spans="1:15" x14ac:dyDescent="0.2">
      <c r="A136" s="69">
        <v>45536</v>
      </c>
      <c r="B136" s="9">
        <f>SUM('Raw Data (KG)'!D136:E136)</f>
        <v>13355</v>
      </c>
      <c r="C136" s="9">
        <f>SUM('Raw Data (KG)'!F136:G136)</f>
        <v>608</v>
      </c>
      <c r="D136" s="8">
        <f>SUM('Raw Data (KG)'!H136:I136)</f>
        <v>428</v>
      </c>
      <c r="E136" s="9">
        <f>'Raw Data (KG)'!K136</f>
        <v>432</v>
      </c>
      <c r="F136" s="7">
        <f>'Raw Food Data (KG)'!Q97</f>
        <v>46111.7</v>
      </c>
      <c r="G136" s="9">
        <f>'Raw Data (KG)'!X136</f>
        <v>6620</v>
      </c>
      <c r="H136" s="9">
        <f>'Raw Data (KG)'!Y136</f>
        <v>17160</v>
      </c>
      <c r="I136" s="352">
        <f>'Raw Data (KG)'!V136</f>
        <v>12000</v>
      </c>
      <c r="J136" s="9">
        <f>'Raw Data (KG)'!U136</f>
        <v>1960</v>
      </c>
      <c r="K136" s="62">
        <f>'Raw Data (KG)'!J136+SUM('Raw Data (KG)'!L136:P136)+SUM('Raw Data (KG)'!R136:T136)+'Raw Data (KG)'!Z136</f>
        <v>838.6</v>
      </c>
      <c r="L136" s="15">
        <f t="shared" ref="L136" si="5">SUM(B136:K136)</f>
        <v>99513.3</v>
      </c>
    </row>
    <row r="137" spans="1:15" x14ac:dyDescent="0.2">
      <c r="A137" s="69">
        <v>45566</v>
      </c>
      <c r="B137" s="9">
        <f>SUM('Raw Data (KG)'!D137:E137)</f>
        <v>14395</v>
      </c>
      <c r="C137" s="9">
        <f>SUM('Raw Data (KG)'!F137:G137)</f>
        <v>731</v>
      </c>
      <c r="D137" s="8">
        <f>SUM('Raw Data (KG)'!H137:I137)</f>
        <v>479</v>
      </c>
      <c r="E137" s="9">
        <f>'Raw Data (KG)'!K137</f>
        <v>483.3</v>
      </c>
      <c r="F137" s="7">
        <f>'Raw Food Data (KG)'!Q98</f>
        <v>50542.2</v>
      </c>
      <c r="G137" s="9">
        <f>'Raw Data (KG)'!X137</f>
        <v>6395</v>
      </c>
      <c r="H137" s="9">
        <f>'Raw Data (KG)'!Y137</f>
        <v>16830</v>
      </c>
      <c r="I137" s="352">
        <f>'Raw Data (KG)'!V137</f>
        <v>12000</v>
      </c>
      <c r="J137" s="9">
        <f>'Raw Data (KG)'!U137</f>
        <v>945</v>
      </c>
      <c r="K137" s="62">
        <f>'Raw Data (KG)'!J137+SUM('Raw Data (KG)'!L137:P137)+SUM('Raw Data (KG)'!R137:T137)+'Raw Data (KG)'!Z137</f>
        <v>1489.6</v>
      </c>
      <c r="L137" s="15">
        <f t="shared" ref="L137:L139" si="6">SUM(B137:K137)</f>
        <v>104290.1</v>
      </c>
    </row>
    <row r="138" spans="1:15" x14ac:dyDescent="0.2">
      <c r="A138" s="69">
        <v>45597</v>
      </c>
      <c r="B138" s="9">
        <f>SUM('Raw Data (KG)'!D138:E138)</f>
        <v>13980</v>
      </c>
      <c r="C138" s="9">
        <f>SUM('Raw Data (KG)'!F138:G138)</f>
        <v>1080</v>
      </c>
      <c r="D138" s="8">
        <f>SUM('Raw Data (KG)'!H138:I138)</f>
        <v>451</v>
      </c>
      <c r="E138" s="9">
        <f>'Raw Data (KG)'!K138</f>
        <v>597</v>
      </c>
      <c r="F138" s="7">
        <f>'Raw Food Data (KG)'!Q99</f>
        <v>50742.400000000009</v>
      </c>
      <c r="G138" s="9">
        <f>'Raw Data (KG)'!X138</f>
        <v>6575</v>
      </c>
      <c r="H138" s="9">
        <f>'Raw Data (KG)'!Y138</f>
        <v>12345</v>
      </c>
      <c r="I138" s="352">
        <f>'Raw Data (KG)'!V138</f>
        <v>18000</v>
      </c>
      <c r="J138" s="9">
        <f>'Raw Data (KG)'!U138</f>
        <v>252</v>
      </c>
      <c r="K138" s="62">
        <f>'Raw Data (KG)'!J138+SUM('Raw Data (KG)'!L138:P138)+SUM('Raw Data (KG)'!R138:T138)+'Raw Data (KG)'!Z138</f>
        <v>1047.7</v>
      </c>
      <c r="L138" s="15">
        <f t="shared" si="6"/>
        <v>105070.1</v>
      </c>
    </row>
    <row r="139" spans="1:15" x14ac:dyDescent="0.2">
      <c r="A139" s="69">
        <v>45627</v>
      </c>
      <c r="B139" s="9">
        <f>SUM('Raw Data (KG)'!D139:E139)</f>
        <v>13076</v>
      </c>
      <c r="C139" s="9">
        <f>SUM('Raw Data (KG)'!F139:G139)</f>
        <v>875</v>
      </c>
      <c r="D139" s="8">
        <f>SUM('Raw Data (KG)'!H139:I139)</f>
        <v>396</v>
      </c>
      <c r="E139" s="9">
        <f>'Raw Data (KG)'!K139</f>
        <v>500.3</v>
      </c>
      <c r="F139" s="7">
        <f>'Raw Food Data (KG)'!Q100</f>
        <v>42777</v>
      </c>
      <c r="G139" s="9">
        <f>'Raw Data (KG)'!X139</f>
        <v>4805</v>
      </c>
      <c r="H139" s="9">
        <f>'Raw Data (KG)'!Y139</f>
        <v>10635</v>
      </c>
      <c r="I139" s="352">
        <f>'Raw Data (KG)'!V139</f>
        <v>12000</v>
      </c>
      <c r="J139" s="9">
        <f>'Raw Data (KG)'!U139</f>
        <v>324</v>
      </c>
      <c r="K139" s="62">
        <f>'Raw Data (KG)'!J139+SUM('Raw Data (KG)'!L139:P139)+SUM('Raw Data (KG)'!R139:T139)+'Raw Data (KG)'!Z139</f>
        <v>1434.4</v>
      </c>
      <c r="L139" s="15">
        <f t="shared" si="6"/>
        <v>86822.7</v>
      </c>
    </row>
    <row r="140" spans="1:15" x14ac:dyDescent="0.2">
      <c r="A140" s="369">
        <v>45658</v>
      </c>
      <c r="B140" s="9">
        <f>SUM('Raw Data (KG)'!D140:E140)</f>
        <v>12180</v>
      </c>
      <c r="C140" s="9">
        <f>SUM('Raw Data (KG)'!F140:G140)</f>
        <v>337</v>
      </c>
      <c r="D140" s="8">
        <f>SUM('Raw Data (KG)'!H140:I140)</f>
        <v>388</v>
      </c>
      <c r="E140" s="9">
        <f>'Raw Data (KG)'!K140</f>
        <v>535.70000000000005</v>
      </c>
      <c r="F140" s="7">
        <f>'Raw Food Data (KG)'!Q101</f>
        <v>32055</v>
      </c>
      <c r="G140" s="9">
        <f>'Raw Data (KG)'!X140</f>
        <v>6125</v>
      </c>
      <c r="H140" s="9">
        <f>'Raw Data (KG)'!Y140</f>
        <v>14663</v>
      </c>
      <c r="I140" s="352">
        <f>'Raw Data (KG)'!V140</f>
        <v>15000</v>
      </c>
      <c r="J140" s="9">
        <f>'Raw Data (KG)'!U140</f>
        <v>702</v>
      </c>
      <c r="K140" s="62">
        <f>'Raw Data (KG)'!J140+SUM('Raw Data (KG)'!L140:P140)+SUM('Raw Data (KG)'!R140:T140)+'Raw Data (KG)'!Z140</f>
        <v>748.5</v>
      </c>
      <c r="L140" s="15">
        <f t="shared" ref="L140:L145" si="7">SUM(B140:K140)</f>
        <v>82734.2</v>
      </c>
    </row>
    <row r="141" spans="1:15" x14ac:dyDescent="0.2">
      <c r="A141" s="369">
        <v>45689</v>
      </c>
      <c r="B141" s="9">
        <f>SUM('Raw Data (KG)'!D141:E141)</f>
        <v>12819</v>
      </c>
      <c r="C141" s="9">
        <f>SUM('Raw Data (KG)'!F141:G141)</f>
        <v>854</v>
      </c>
      <c r="D141" s="8">
        <f>SUM('Raw Data (KG)'!H141:I141)</f>
        <v>438</v>
      </c>
      <c r="E141" s="9">
        <f>'Raw Data (KG)'!K141</f>
        <v>307.5</v>
      </c>
      <c r="F141" s="7">
        <f>'Raw Food Data (KG)'!Q102</f>
        <v>41573.300000000003</v>
      </c>
      <c r="G141" s="9">
        <f>'Raw Data (KG)'!X141</f>
        <v>6455</v>
      </c>
      <c r="H141" s="9">
        <f>'Raw Data (KG)'!Y141</f>
        <v>10741</v>
      </c>
      <c r="I141" s="352">
        <f>'Raw Data (KG)'!V141</f>
        <v>12000</v>
      </c>
      <c r="J141" s="9">
        <f>'Raw Data (KG)'!U141</f>
        <v>403</v>
      </c>
      <c r="K141" s="62">
        <f>'Raw Data (KG)'!J141+SUM('Raw Data (KG)'!L141:P141)+SUM('Raw Data (KG)'!R141:T141)+'Raw Data (KG)'!Z141</f>
        <v>694</v>
      </c>
      <c r="L141" s="15">
        <f t="shared" si="7"/>
        <v>86284.800000000003</v>
      </c>
    </row>
    <row r="142" spans="1:15" x14ac:dyDescent="0.2">
      <c r="A142" s="369">
        <v>45717</v>
      </c>
      <c r="B142" s="9">
        <f>SUM('Raw Data (KG)'!D142:E142)</f>
        <v>13802</v>
      </c>
      <c r="C142" s="9">
        <f>SUM('Raw Data (KG)'!F142:G142)</f>
        <v>1033</v>
      </c>
      <c r="D142" s="8">
        <f>SUM('Raw Data (KG)'!H142:I142)</f>
        <v>626</v>
      </c>
      <c r="E142" s="9">
        <f>'Raw Data (KG)'!K142</f>
        <v>913</v>
      </c>
      <c r="F142" s="7">
        <f>'Raw Food Data (KG)'!Q103</f>
        <v>49419.1</v>
      </c>
      <c r="G142" s="9">
        <f>'Raw Data (KG)'!X142</f>
        <v>5720</v>
      </c>
      <c r="H142" s="9">
        <f>'Raw Data (KG)'!Y142</f>
        <v>10890</v>
      </c>
      <c r="I142" s="352">
        <f>'Raw Data (KG)'!V142</f>
        <v>18000</v>
      </c>
      <c r="J142" s="9">
        <f>'Raw Data (KG)'!U142</f>
        <v>779.5</v>
      </c>
      <c r="K142" s="62">
        <f>'Raw Data (KG)'!J142+SUM('Raw Data (KG)'!L142:P142)+SUM('Raw Data (KG)'!R142:T142)+'Raw Data (KG)'!Z142</f>
        <v>1502</v>
      </c>
      <c r="L142" s="15">
        <f t="shared" si="7"/>
        <v>102684.6</v>
      </c>
      <c r="O142" s="14"/>
    </row>
    <row r="143" spans="1:15" x14ac:dyDescent="0.2">
      <c r="A143" s="369">
        <v>45748</v>
      </c>
      <c r="B143" s="9">
        <f>SUM('Raw Data (KG)'!D143:E143)</f>
        <v>13793</v>
      </c>
      <c r="C143" s="9">
        <f>SUM('Raw Data (KG)'!F143:G143)</f>
        <v>1358</v>
      </c>
      <c r="D143" s="8">
        <f>SUM('Raw Data (KG)'!H143:I143)</f>
        <v>472</v>
      </c>
      <c r="E143" s="9">
        <f>'Raw Data (KG)'!K143</f>
        <v>0</v>
      </c>
      <c r="F143" s="7">
        <f>'Raw Food Data (KG)'!Q104</f>
        <v>42293.100000000006</v>
      </c>
      <c r="G143" s="9">
        <f>'Raw Data (KG)'!X143</f>
        <v>5518</v>
      </c>
      <c r="H143" s="9">
        <f>'Raw Data (KG)'!Y143</f>
        <v>13267</v>
      </c>
      <c r="I143" s="352">
        <f>'Raw Data (KG)'!V143</f>
        <v>15000</v>
      </c>
      <c r="J143" s="9">
        <f>'Raw Data (KG)'!U143</f>
        <v>108.5</v>
      </c>
      <c r="K143" s="62">
        <f>'Raw Data (KG)'!J143+SUM('Raw Data (KG)'!L143:P143)+SUM('Raw Data (KG)'!R143:T143)+'Raw Data (KG)'!Z143</f>
        <v>1541</v>
      </c>
      <c r="L143" s="15">
        <f t="shared" si="7"/>
        <v>93350.6</v>
      </c>
    </row>
    <row r="144" spans="1:15" x14ac:dyDescent="0.2">
      <c r="A144" s="369">
        <v>45778</v>
      </c>
      <c r="B144" s="9">
        <f>SUM('Raw Data (KG)'!D144:E144)</f>
        <v>13599</v>
      </c>
      <c r="C144" s="9">
        <f>SUM('Raw Data (KG)'!F144:G144)</f>
        <v>1195</v>
      </c>
      <c r="D144" s="8">
        <f>SUM('Raw Data (KG)'!H144:I144)</f>
        <v>543</v>
      </c>
      <c r="E144" s="9">
        <f>'Raw Data (KG)'!K144</f>
        <v>774.4</v>
      </c>
      <c r="F144" s="7">
        <f>'Raw Food Data (KG)'!Q105</f>
        <v>44778.400000000009</v>
      </c>
      <c r="G144" s="9">
        <f>'Raw Data (KG)'!X144</f>
        <v>5925</v>
      </c>
      <c r="H144" s="9">
        <f>'Raw Data (KG)'!Y144</f>
        <v>9595</v>
      </c>
      <c r="I144" s="352">
        <f>'Raw Data (KG)'!V144</f>
        <v>18000</v>
      </c>
      <c r="J144" s="9">
        <f>'Raw Data (KG)'!U144</f>
        <v>475.5</v>
      </c>
      <c r="K144" s="62">
        <f>'Raw Data (KG)'!J144+SUM('Raw Data (KG)'!L144:P144)+SUM('Raw Data (KG)'!R144:T144)+'Raw Data (KG)'!Z144</f>
        <v>1546.1</v>
      </c>
      <c r="L144" s="15">
        <f t="shared" si="7"/>
        <v>96431.400000000023</v>
      </c>
    </row>
    <row r="145" spans="1:12" x14ac:dyDescent="0.2">
      <c r="A145" s="369">
        <v>45809</v>
      </c>
      <c r="B145" s="9">
        <f>SUM('Raw Data (KG)'!D145:E145)</f>
        <v>12886</v>
      </c>
      <c r="C145" s="9">
        <f>SUM('Raw Data (KG)'!F145:G145)</f>
        <v>979</v>
      </c>
      <c r="D145" s="8">
        <f>SUM('Raw Data (KG)'!H145:I145)</f>
        <v>476</v>
      </c>
      <c r="E145" s="9">
        <f>'Raw Data (KG)'!K145</f>
        <v>314.60000000000002</v>
      </c>
      <c r="F145" s="7">
        <f>'Raw Food Data (KG)'!Q106</f>
        <v>31534.400000000001</v>
      </c>
      <c r="G145" s="9">
        <f>'Raw Data (KG)'!X145</f>
        <v>5780</v>
      </c>
      <c r="H145" s="9">
        <f>'Raw Data (KG)'!Y145</f>
        <v>18235</v>
      </c>
      <c r="I145" s="352">
        <f>'Raw Data (KG)'!V145</f>
        <v>18000</v>
      </c>
      <c r="J145" s="9">
        <f>'Raw Data (KG)'!U145</f>
        <v>671.5</v>
      </c>
      <c r="K145" s="62">
        <f>'Raw Data (KG)'!J145+SUM('Raw Data (KG)'!L145:P145)+SUM('Raw Data (KG)'!R145:T145)+'Raw Data (KG)'!Z145</f>
        <v>1503.8</v>
      </c>
      <c r="L145" s="15">
        <f t="shared" si="7"/>
        <v>90380.3</v>
      </c>
    </row>
    <row r="146" spans="1:12" x14ac:dyDescent="0.2">
      <c r="A146" s="369">
        <v>45839</v>
      </c>
      <c r="B146" s="9">
        <f>SUM('Raw Data (KG)'!D146:E146)</f>
        <v>14144</v>
      </c>
      <c r="C146" s="9">
        <f>SUM('Raw Data (KG)'!F146:G146)</f>
        <v>1062</v>
      </c>
      <c r="D146" s="8">
        <f>SUM('Raw Data (KG)'!H146:I146)</f>
        <v>516</v>
      </c>
      <c r="E146" s="9">
        <f>'Raw Data (KG)'!K146</f>
        <v>0</v>
      </c>
      <c r="F146" s="7">
        <f>'Raw Food Data (KG)'!Q107</f>
        <v>30759.799999999996</v>
      </c>
      <c r="G146" s="9">
        <f>'Raw Data (KG)'!X146</f>
        <v>6740</v>
      </c>
      <c r="H146" s="9">
        <f>'Raw Data (KG)'!Y146</f>
        <v>13345</v>
      </c>
      <c r="I146" s="352">
        <f>'Raw Data (KG)'!V146</f>
        <v>13120</v>
      </c>
      <c r="J146" s="9">
        <f>'Raw Data (KG)'!U146</f>
        <v>0</v>
      </c>
      <c r="K146" s="62">
        <f>'Raw Data (KG)'!J146+SUM('Raw Data (KG)'!L146:P146)+SUM('Raw Data (KG)'!R146:T146)+'Raw Data (KG)'!Z146</f>
        <v>1384</v>
      </c>
      <c r="L146" s="15">
        <f t="shared" ref="L146:L156" si="8">SUM(B146:K146)</f>
        <v>81070.799999999988</v>
      </c>
    </row>
    <row r="147" spans="1:12" x14ac:dyDescent="0.2">
      <c r="A147" s="369">
        <v>45870</v>
      </c>
      <c r="B147" s="9">
        <f>SUM('Raw Data (KG)'!D147:E147)</f>
        <v>14513</v>
      </c>
      <c r="C147" s="9">
        <f>SUM('Raw Data (KG)'!F147:G147)</f>
        <v>890</v>
      </c>
      <c r="D147" s="8">
        <f>SUM('Raw Data (KG)'!H147:I147)</f>
        <v>545</v>
      </c>
      <c r="E147" s="9">
        <f>'Raw Data (KG)'!K147</f>
        <v>893</v>
      </c>
      <c r="F147" s="7">
        <f>'Raw Food Data (KG)'!Q108</f>
        <v>31994.2</v>
      </c>
      <c r="G147" s="9">
        <f>'Raw Data (KG)'!X147</f>
        <v>8680</v>
      </c>
      <c r="H147" s="9">
        <f>'Raw Data (KG)'!Y147</f>
        <v>20840</v>
      </c>
      <c r="I147" s="352">
        <f>'Raw Data (KG)'!V147</f>
        <v>15150</v>
      </c>
      <c r="J147" s="9">
        <f>'Raw Data (KG)'!U147</f>
        <v>0</v>
      </c>
      <c r="K147" s="62">
        <f>'Raw Data (KG)'!J147+SUM('Raw Data (KG)'!L147:P147)+SUM('Raw Data (KG)'!R147:T147)+'Raw Data (KG)'!Z147</f>
        <v>1371</v>
      </c>
      <c r="L147" s="15">
        <f t="shared" si="8"/>
        <v>94876.2</v>
      </c>
    </row>
    <row r="148" spans="1:12" x14ac:dyDescent="0.2">
      <c r="A148" s="369">
        <v>45901</v>
      </c>
      <c r="B148" s="9">
        <f>SUM('Raw Data (KG)'!D148:E148)</f>
        <v>14116</v>
      </c>
      <c r="C148" s="9">
        <f>SUM('Raw Data (KG)'!F148:G148)</f>
        <v>1915</v>
      </c>
      <c r="D148" s="8">
        <f>SUM('Raw Data (KG)'!H148:I148)</f>
        <v>518</v>
      </c>
      <c r="E148" s="9" t="str">
        <f>'Raw Data (KG)'!K148</f>
        <v>-</v>
      </c>
      <c r="F148" s="7">
        <f>'Raw Food Data (KG)'!Q109</f>
        <v>42403.399999999994</v>
      </c>
      <c r="G148" s="9">
        <f>'Raw Data (KG)'!X148</f>
        <v>11010</v>
      </c>
      <c r="H148" s="9">
        <f>'Raw Data (KG)'!Y148</f>
        <v>13360</v>
      </c>
      <c r="I148" s="352">
        <f>'Raw Data (KG)'!V148</f>
        <v>14305</v>
      </c>
      <c r="J148" s="9">
        <f>'Raw Data (KG)'!U148</f>
        <v>0</v>
      </c>
      <c r="K148" s="62">
        <f>'Raw Data (KG)'!J148+SUM('Raw Data (KG)'!L148:P148)+SUM('Raw Data (KG)'!R148:T148)+'Raw Data (KG)'!Z148</f>
        <v>1205</v>
      </c>
      <c r="L148" s="15">
        <f t="shared" si="8"/>
        <v>98832.4</v>
      </c>
    </row>
    <row r="149" spans="1:12" x14ac:dyDescent="0.2">
      <c r="A149" s="369">
        <v>45931</v>
      </c>
      <c r="B149" s="9">
        <f>SUM('Raw Data (KG)'!D149:E149)</f>
        <v>13952</v>
      </c>
      <c r="C149" s="9">
        <f>SUM('Raw Data (KG)'!F149:G149)</f>
        <v>1164</v>
      </c>
      <c r="D149" s="8">
        <f>SUM('Raw Data (KG)'!H149:I149)</f>
        <v>500</v>
      </c>
      <c r="E149" s="9">
        <f>'Raw Data (KG)'!K149</f>
        <v>191.2</v>
      </c>
      <c r="F149" s="7">
        <f>'Raw Food Data (KG)'!Q110</f>
        <v>47055.799999999996</v>
      </c>
      <c r="G149" s="9">
        <f>'Raw Data (KG)'!X149</f>
        <v>10020</v>
      </c>
      <c r="H149" s="9">
        <f>'Raw Data (KG)'!Y149</f>
        <v>19145</v>
      </c>
      <c r="I149" s="352">
        <f>'Raw Data (KG)'!V149</f>
        <v>9655</v>
      </c>
      <c r="J149" s="9">
        <f>'Raw Data (KG)'!U149</f>
        <v>0</v>
      </c>
      <c r="K149" s="62">
        <f>'Raw Data (KG)'!J149+SUM('Raw Data (KG)'!L149:P149)+SUM('Raw Data (KG)'!R149:T149)+'Raw Data (KG)'!Z149</f>
        <v>653.5</v>
      </c>
      <c r="L149" s="15">
        <f t="shared" si="8"/>
        <v>102336.5</v>
      </c>
    </row>
    <row r="150" spans="1:12" x14ac:dyDescent="0.2">
      <c r="A150" s="369">
        <v>45962</v>
      </c>
      <c r="B150" s="9">
        <f>SUM('Raw Data (KG)'!D150:E150)</f>
        <v>14700</v>
      </c>
      <c r="C150" s="9">
        <f>SUM('Raw Data (KG)'!F150:G150)</f>
        <v>1502</v>
      </c>
      <c r="D150" s="8">
        <f>SUM('Raw Data (KG)'!H150:I150)</f>
        <v>604</v>
      </c>
      <c r="E150" s="9">
        <f>'Raw Data (KG)'!K150</f>
        <v>946</v>
      </c>
      <c r="F150" s="7">
        <f>'Raw Food Data (KG)'!Q111</f>
        <v>51520.399999999994</v>
      </c>
      <c r="G150" s="9">
        <f>'Raw Data (KG)'!X150</f>
        <v>8905</v>
      </c>
      <c r="H150" s="9">
        <f>'Raw Data (KG)'!Y150</f>
        <v>15420</v>
      </c>
      <c r="I150" s="352">
        <f>'Raw Data (KG)'!V150</f>
        <v>9530</v>
      </c>
      <c r="J150" s="9">
        <f>'Raw Data (KG)'!U150</f>
        <v>0</v>
      </c>
      <c r="K150" s="62">
        <f>'Raw Data (KG)'!J150+SUM('Raw Data (KG)'!L150:P150)+SUM('Raw Data (KG)'!R150:T150)+'Raw Data (KG)'!Z150</f>
        <v>1257</v>
      </c>
      <c r="L150" s="15">
        <f t="shared" si="8"/>
        <v>104384.4</v>
      </c>
    </row>
    <row r="151" spans="1:12" x14ac:dyDescent="0.2">
      <c r="A151" s="369">
        <v>45992</v>
      </c>
      <c r="B151" s="9">
        <f>SUM('Raw Data (KG)'!D151:E151)</f>
        <v>12838</v>
      </c>
      <c r="C151" s="9">
        <f>SUM('Raw Data (KG)'!F151:G151)</f>
        <v>397</v>
      </c>
      <c r="D151" s="8">
        <f>SUM('Raw Data (KG)'!H151:I151)</f>
        <v>527</v>
      </c>
      <c r="E151" s="9">
        <f>'Raw Data (KG)'!K151</f>
        <v>0</v>
      </c>
      <c r="F151" s="7">
        <f>'Raw Food Data (KG)'!Q112</f>
        <v>40105.1</v>
      </c>
      <c r="G151" s="9">
        <f>'Raw Data (KG)'!X151</f>
        <v>10775</v>
      </c>
      <c r="H151" s="9">
        <f>'Raw Data (KG)'!Y151</f>
        <v>11475</v>
      </c>
      <c r="I151" s="352">
        <f>'Raw Data (KG)'!V151</f>
        <v>11380</v>
      </c>
      <c r="J151" s="9">
        <f>'Raw Data (KG)'!U151</f>
        <v>0</v>
      </c>
      <c r="K151" s="62">
        <f>'Raw Data (KG)'!J151+SUM('Raw Data (KG)'!L151:P151)+SUM('Raw Data (KG)'!R151:T151)+'Raw Data (KG)'!Z151</f>
        <v>1273</v>
      </c>
      <c r="L151" s="15">
        <f t="shared" si="8"/>
        <v>88770.1</v>
      </c>
    </row>
    <row r="152" spans="1:12" x14ac:dyDescent="0.2">
      <c r="A152" s="369">
        <v>46023</v>
      </c>
      <c r="B152" s="9">
        <f>SUM('Raw Data (KG)'!D152:E152)</f>
        <v>13661</v>
      </c>
      <c r="C152" s="9">
        <f>SUM('Raw Data (KG)'!F152:G152)</f>
        <v>997</v>
      </c>
      <c r="D152" s="8">
        <f>SUM('Raw Data (KG)'!H152:I152)</f>
        <v>390</v>
      </c>
      <c r="E152" s="9">
        <f>'Raw Data (KG)'!K152</f>
        <v>1116</v>
      </c>
      <c r="F152" s="7">
        <f>'Raw Food Data (KG)'!Q113</f>
        <v>30488.999999999996</v>
      </c>
      <c r="G152" s="9">
        <f>'Raw Data (KG)'!X152</f>
        <v>11975</v>
      </c>
      <c r="H152" s="9">
        <f>'Raw Data (KG)'!Y152</f>
        <v>8510</v>
      </c>
      <c r="I152" s="352">
        <f>'Raw Data (KG)'!V152</f>
        <v>10865</v>
      </c>
      <c r="J152" s="9">
        <f>'Raw Data (KG)'!U152</f>
        <v>0</v>
      </c>
      <c r="K152" s="62">
        <f>'Raw Data (KG)'!J152+SUM('Raw Data (KG)'!L152:P152)+SUM('Raw Data (KG)'!R152:T152)+'Raw Data (KG)'!Z152</f>
        <v>1261</v>
      </c>
      <c r="L152" s="15">
        <f t="shared" si="8"/>
        <v>79264</v>
      </c>
    </row>
    <row r="153" spans="1:12" x14ac:dyDescent="0.2">
      <c r="A153" s="369">
        <v>46054</v>
      </c>
      <c r="B153" s="9">
        <f>SUM('Raw Data (KG)'!D153:E153)</f>
        <v>11648</v>
      </c>
      <c r="C153" s="9">
        <f>SUM('Raw Data (KG)'!F153:G153)</f>
        <v>609</v>
      </c>
      <c r="D153" s="8">
        <f>SUM('Raw Data (KG)'!H153:I153)</f>
        <v>302</v>
      </c>
      <c r="E153" s="9">
        <f>'Raw Data (KG)'!K153</f>
        <v>0</v>
      </c>
      <c r="F153" s="7">
        <f>'Raw Food Data (KG)'!Q114</f>
        <v>27489.000000000004</v>
      </c>
      <c r="G153" s="9">
        <f>'Raw Data (KG)'!X153</f>
        <v>12319</v>
      </c>
      <c r="H153" s="9">
        <f>'Raw Data (KG)'!Y153</f>
        <v>8672</v>
      </c>
      <c r="I153" s="352">
        <f>'Raw Data (KG)'!V153</f>
        <v>20659</v>
      </c>
      <c r="J153" s="9">
        <f>'Raw Data (KG)'!U153</f>
        <v>0</v>
      </c>
      <c r="K153" s="62">
        <f>'Raw Data (KG)'!J153+SUM('Raw Data (KG)'!L153:P153)+SUM('Raw Data (KG)'!R153:T153)+'Raw Data (KG)'!Z153</f>
        <v>1200</v>
      </c>
      <c r="L153" s="15">
        <f t="shared" si="8"/>
        <v>82898</v>
      </c>
    </row>
    <row r="154" spans="1:12" x14ac:dyDescent="0.2">
      <c r="A154" s="369">
        <v>46082</v>
      </c>
      <c r="B154" s="9">
        <f>SUM('Raw Data (KG)'!D154:E154)</f>
        <v>13565</v>
      </c>
      <c r="C154" s="9">
        <f>SUM('Raw Data (KG)'!F154:G154)</f>
        <v>1687</v>
      </c>
      <c r="D154" s="8">
        <f>SUM('Raw Data (KG)'!H154:I154)</f>
        <v>432</v>
      </c>
      <c r="E154" s="9">
        <f>'Raw Data (KG)'!K154</f>
        <v>672.9</v>
      </c>
      <c r="F154" s="7">
        <f>'Raw Food Data (KG)'!Q115</f>
        <v>0</v>
      </c>
      <c r="G154" s="9">
        <f>'Raw Data (KG)'!X154</f>
        <v>12478</v>
      </c>
      <c r="H154" s="9">
        <f>'Raw Data (KG)'!Y154</f>
        <v>12330</v>
      </c>
      <c r="I154" s="352">
        <f>'Raw Data (KG)'!V154</f>
        <v>10009</v>
      </c>
      <c r="J154" s="9">
        <f>'Raw Data (KG)'!U154</f>
        <v>0</v>
      </c>
      <c r="K154" s="62">
        <f>'Raw Data (KG)'!J154+SUM('Raw Data (KG)'!L154:P154)+SUM('Raw Data (KG)'!R154:T154)+'Raw Data (KG)'!Z154</f>
        <v>1259.5</v>
      </c>
      <c r="L154" s="15">
        <f t="shared" si="8"/>
        <v>52433.4</v>
      </c>
    </row>
    <row r="155" spans="1:12" x14ac:dyDescent="0.2">
      <c r="A155" s="369">
        <v>46113</v>
      </c>
      <c r="B155" s="9">
        <f>SUM('Raw Data (KG)'!D155:E155)</f>
        <v>12906</v>
      </c>
      <c r="C155" s="9">
        <f>SUM('Raw Data (KG)'!F155:G155)</f>
        <v>340</v>
      </c>
      <c r="D155" s="8">
        <f>SUM('Raw Data (KG)'!H155:I155)</f>
        <v>377</v>
      </c>
      <c r="E155" s="9">
        <f>'Raw Data (KG)'!K155</f>
        <v>0</v>
      </c>
      <c r="F155" s="7">
        <f>'Raw Food Data (KG)'!Q116</f>
        <v>0</v>
      </c>
      <c r="G155" s="9">
        <f>'Raw Data (KG)'!X155</f>
        <v>11114</v>
      </c>
      <c r="H155" s="9">
        <f>'Raw Data (KG)'!Y155</f>
        <v>9640</v>
      </c>
      <c r="I155" s="352">
        <f>'Raw Data (KG)'!V155</f>
        <v>6591</v>
      </c>
      <c r="J155" s="9">
        <f>'Raw Data (KG)'!U155</f>
        <v>0</v>
      </c>
      <c r="K155" s="62">
        <f>'Raw Data (KG)'!J155+SUM('Raw Data (KG)'!L155:P155)+SUM('Raw Data (KG)'!R155:T155)+'Raw Data (KG)'!Z155</f>
        <v>626</v>
      </c>
      <c r="L155" s="15">
        <f t="shared" si="8"/>
        <v>41594</v>
      </c>
    </row>
    <row r="156" spans="1:12" x14ac:dyDescent="0.2">
      <c r="A156" s="369">
        <v>46143</v>
      </c>
      <c r="B156" s="9">
        <f>SUM('Raw Data (KG)'!D156:E156)</f>
        <v>13759</v>
      </c>
      <c r="C156" s="9">
        <f>SUM('Raw Data (KG)'!F156:G156)</f>
        <v>0</v>
      </c>
      <c r="D156" s="8">
        <f>SUM('Raw Data (KG)'!H156:I156)</f>
        <v>0</v>
      </c>
      <c r="E156" s="9">
        <f>'Raw Data (KG)'!K156</f>
        <v>1073.5</v>
      </c>
      <c r="F156" s="7">
        <f>'Raw Food Data (KG)'!Q117</f>
        <v>0</v>
      </c>
      <c r="G156" s="9">
        <f>'Raw Data (KG)'!X156</f>
        <v>10244</v>
      </c>
      <c r="H156" s="9">
        <f>'Raw Data (KG)'!Y156</f>
        <v>11378</v>
      </c>
      <c r="I156" s="352">
        <f>'Raw Data (KG)'!V156</f>
        <v>12012</v>
      </c>
      <c r="J156" s="9">
        <f>'Raw Data (KG)'!U156</f>
        <v>0</v>
      </c>
      <c r="K156" s="62">
        <f>'Raw Data (KG)'!J156+SUM('Raw Data (KG)'!L156:P156)+SUM('Raw Data (KG)'!R156:T156)+'Raw Data (KG)'!Z156</f>
        <v>600</v>
      </c>
      <c r="L156" s="15">
        <f t="shared" si="8"/>
        <v>49066.5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475</v>
      </c>
      <c r="C1" s="17" t="s">
        <v>476</v>
      </c>
      <c r="D1" s="17" t="s">
        <v>477</v>
      </c>
      <c r="E1" s="17" t="s">
        <v>478</v>
      </c>
      <c r="F1" s="17" t="s">
        <v>26</v>
      </c>
      <c r="G1" s="17" t="s">
        <v>479</v>
      </c>
      <c r="H1" s="17" t="s">
        <v>480</v>
      </c>
      <c r="I1" s="17" t="s">
        <v>481</v>
      </c>
      <c r="J1" s="17" t="s">
        <v>498</v>
      </c>
      <c r="K1" s="17" t="s">
        <v>648</v>
      </c>
      <c r="L1" s="17" t="s">
        <v>649</v>
      </c>
      <c r="M1" s="17" t="s">
        <v>646</v>
      </c>
      <c r="N1" s="17" t="s">
        <v>650</v>
      </c>
      <c r="O1" s="17" t="s">
        <v>651</v>
      </c>
      <c r="P1" s="18" t="s">
        <v>652</v>
      </c>
      <c r="Q1" s="18" t="s">
        <v>653</v>
      </c>
    </row>
    <row r="2" spans="1:17" x14ac:dyDescent="0.2">
      <c r="A2" s="371" t="s">
        <v>133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134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135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118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39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40">
        <f>L6/'Yearly GHG (mCO2)'!G6</f>
        <v>203.30477356181152</v>
      </c>
      <c r="O6" s="532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1">
        <f>L7/'Yearly GHG (mCO2)'!G7</f>
        <v>191.7453823476325</v>
      </c>
      <c r="O7" s="532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1">
        <f>L8/'Yearly GHG (mCO2)'!G8</f>
        <v>171.16101621434146</v>
      </c>
      <c r="O8" s="532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1">
        <f>L9/'Yearly GHG (mCO2)'!G9</f>
        <v>161.91034117220408</v>
      </c>
      <c r="O9" s="532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1">
        <f>L10/'Yearly GHG (mCO2)'!G10</f>
        <v>125.50990085636329</v>
      </c>
      <c r="O10" s="532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1">
        <f>L11/'Yearly GHG (mCO2)'!G11</f>
        <v>101.25007070535663</v>
      </c>
      <c r="O11" s="532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1">
        <f>L12/'Yearly GHG (mCO2)'!G12</f>
        <v>73.033422934523514</v>
      </c>
      <c r="O12" s="532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1">
        <f>L13/'Yearly GHG (mCO2)'!G13</f>
        <v>76.668451540670787</v>
      </c>
      <c r="O13" s="532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135592</v>
      </c>
      <c r="C14" s="9">
        <f>SUM('Monthly Recycling'!C110:C121)</f>
        <v>10957</v>
      </c>
      <c r="D14" s="8">
        <f>SUM('Monthly Recycling'!D110:D121)</f>
        <v>3534.4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15289</v>
      </c>
      <c r="L14" s="9">
        <f>SUM('Raw Data (KG)'!B110:C121)</f>
        <v>1828310</v>
      </c>
      <c r="M14" s="9">
        <f>SUM(B14:K14)</f>
        <v>1169391.5</v>
      </c>
      <c r="N14" s="531">
        <f>L14/'Yearly GHG (mCO2)'!G14</f>
        <v>85.049541796529752</v>
      </c>
      <c r="O14" s="532">
        <f>L14/'Yearly GHG (mCO2)'!H14</f>
        <v>3.163127782189489</v>
      </c>
      <c r="P14" s="202">
        <f t="shared" si="1"/>
        <v>0.39009604525333824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4561.1500000000005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16662.400000000001</v>
      </c>
      <c r="L15" s="9">
        <f>SUM('Raw Data (KG)'!B122:C133)</f>
        <v>1752328.5999999999</v>
      </c>
      <c r="M15" s="9">
        <f>SUM(B15:K15)</f>
        <v>1099084.95</v>
      </c>
      <c r="N15" s="531">
        <f>L15/'Yearly GHG (mCO2)'!G15</f>
        <v>79.044097613785013</v>
      </c>
      <c r="O15" s="532">
        <f>L15/'Yearly GHG (mCO2)'!H15</f>
        <v>2.9837433508374027</v>
      </c>
      <c r="P15" s="202">
        <f t="shared" si="1"/>
        <v>0.38545266434607495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5551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15243.6</v>
      </c>
      <c r="L16" s="9">
        <f>SUM('Raw Data (KG)'!B134:C145)</f>
        <v>1793997.6</v>
      </c>
      <c r="M16" s="9">
        <f>SUM(B16:K16)</f>
        <v>1135465.8</v>
      </c>
      <c r="N16" s="531">
        <f>L16/'Yearly GHG (mCO2)'!G16</f>
        <v>75.134966704359854</v>
      </c>
      <c r="O16" s="532">
        <f>L16/'Yearly GHG (mCO2)'!H16</f>
        <v>3.0546944279847166</v>
      </c>
      <c r="P16" s="202">
        <f t="shared" si="1"/>
        <v>0.38760197516036549</v>
      </c>
      <c r="Q16" s="202">
        <f t="shared" si="2"/>
        <v>2.3779215838855929E-2</v>
      </c>
    </row>
    <row r="17" spans="1:17" x14ac:dyDescent="0.2">
      <c r="A17" s="51" t="s">
        <v>111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5644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16519.2</v>
      </c>
      <c r="L17" s="9">
        <f>SUM('Raw Data (KG)'!B124:C135)</f>
        <v>1763306.2000000002</v>
      </c>
      <c r="M17" s="9">
        <f>SUM(B17:K17)</f>
        <v>1128656.8999999999</v>
      </c>
      <c r="N17" s="531" t="e">
        <f>L17/'Yearly GHG (mCO2)'!G17</f>
        <v>#DIV/0!</v>
      </c>
      <c r="O17" s="532" t="e">
        <f>L17/'Yearly GHG (mCO2)'!H17</f>
        <v>#DIV/0!</v>
      </c>
      <c r="P17" s="202">
        <f t="shared" ref="P17" si="3">M17/(M17+L17)</f>
        <v>0.39027361725327681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712" workbookViewId="0">
      <selection activeCell="G678" sqref="G678"/>
    </sheetView>
  </sheetViews>
  <sheetFormatPr baseColWidth="10" defaultColWidth="11.5" defaultRowHeight="15" x14ac:dyDescent="0.2"/>
  <cols>
    <col min="2" max="11" width="10.6640625" style="427"/>
  </cols>
  <sheetData>
    <row r="1" spans="1:11" ht="96" x14ac:dyDescent="0.2">
      <c r="A1" s="428" t="s">
        <v>28</v>
      </c>
      <c r="B1" s="429" t="s">
        <v>501</v>
      </c>
      <c r="C1" s="429" t="s">
        <v>502</v>
      </c>
      <c r="D1" s="429" t="s">
        <v>503</v>
      </c>
      <c r="E1" s="429" t="s">
        <v>504</v>
      </c>
      <c r="F1" s="429" t="s">
        <v>505</v>
      </c>
      <c r="G1" s="429" t="s">
        <v>273</v>
      </c>
      <c r="H1" s="429" t="s">
        <v>586</v>
      </c>
      <c r="I1" s="429" t="s">
        <v>45</v>
      </c>
      <c r="J1" s="429" t="s">
        <v>507</v>
      </c>
      <c r="K1" s="429" t="s">
        <v>589</v>
      </c>
    </row>
    <row r="2" spans="1:11" x14ac:dyDescent="0.2">
      <c r="A2" s="430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0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0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0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0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0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0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0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0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0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0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0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0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0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0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0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0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0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0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0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0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0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0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0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0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0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0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0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0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0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0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0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0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0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0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0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0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0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0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0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0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0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0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0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0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0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0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0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0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0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0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0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0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0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0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0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0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0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0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0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0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0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0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0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0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0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0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0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0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0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0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0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0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0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0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0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0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0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0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0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0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0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0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0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0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0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0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0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0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0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0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0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0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0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0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0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0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0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0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0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0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0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0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0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0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0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0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0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0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0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0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0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0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0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0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0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0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0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0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0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0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0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0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0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0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0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0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0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0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0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0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0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0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0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0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0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0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0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0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0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0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0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0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0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0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0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0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0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0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0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0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0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0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0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0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0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0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0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0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0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0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0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0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0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0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0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0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0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0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0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0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0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0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0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0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0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0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0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0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0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0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0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0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0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0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0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0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0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0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0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0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0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0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0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0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0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0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0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0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0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0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0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0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0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0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0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0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0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0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0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0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0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0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0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0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0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0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0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0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0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0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0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0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0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0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0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0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0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0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0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0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0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0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0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0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0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0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0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0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0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0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0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0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0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0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0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0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0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0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0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0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0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0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0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0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0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0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0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0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0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0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0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0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0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0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0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0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0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0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0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0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0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0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0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0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0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0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0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0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0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0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0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0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0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0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0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0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0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0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0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0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0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0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0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0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0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0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0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0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0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0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0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0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0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0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0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0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0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0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0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0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0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0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0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0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0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0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0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0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0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0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0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0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0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0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0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0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0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0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0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0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0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0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0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0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0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0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0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0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0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0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0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0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0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0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0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0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0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0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0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0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0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0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0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0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0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0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0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0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0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0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0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0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0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0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0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0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0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0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0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0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0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0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0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0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0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0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0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0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0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0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0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0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0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0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0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0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0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0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0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0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0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0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0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0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0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0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0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0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0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0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0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0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0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0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0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0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0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0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0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0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0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0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0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0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0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0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0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0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0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0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0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0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0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0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0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0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0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0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0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0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0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0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0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0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0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0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0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0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0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0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0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0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0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0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0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0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0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0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0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0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0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0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0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0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0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0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0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0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0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0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0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0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0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0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0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0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0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0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0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0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0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0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0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0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0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0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0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0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0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0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0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0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0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0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0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0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0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0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0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0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0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0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0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0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0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0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0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0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0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0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0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0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0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0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0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0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0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0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0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0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0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0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0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0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0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0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0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0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0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0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0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0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0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0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0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0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0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0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0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0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0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0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0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0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0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0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0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0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0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0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0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0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0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0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0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0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0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0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0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0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0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0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0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0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0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0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0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0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0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0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0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0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0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0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0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0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0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0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0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0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0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0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0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0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0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0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0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0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0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0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0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0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0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0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0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0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0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0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0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0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0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0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0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0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0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0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0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0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0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0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0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0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0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0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0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0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0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0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0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0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0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0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0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0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0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0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0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0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0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0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0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0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0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0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0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0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0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0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0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0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0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0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0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0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0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0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0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0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0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0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0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0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0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0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0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0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0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0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0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0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0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0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0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0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0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0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0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0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0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0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0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0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0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0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0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0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0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0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0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0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0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0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0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0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0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0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0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0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0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0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0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0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0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0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0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0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0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0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0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0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0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0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0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0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0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0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0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0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0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0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0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0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0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0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0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0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0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0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0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0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0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0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0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0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0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0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0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0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0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0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0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0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0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0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0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0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0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0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0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0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654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655</v>
      </c>
      <c r="B2" s="679" t="s">
        <v>656</v>
      </c>
      <c r="C2" s="680"/>
      <c r="D2" s="679" t="s">
        <v>657</v>
      </c>
      <c r="E2" s="680"/>
      <c r="F2" s="679" t="s">
        <v>658</v>
      </c>
      <c r="G2" s="680"/>
      <c r="H2" s="679" t="s">
        <v>659</v>
      </c>
      <c r="I2" s="680"/>
      <c r="J2" s="23" t="s">
        <v>660</v>
      </c>
      <c r="K2" s="679" t="s">
        <v>661</v>
      </c>
      <c r="L2" s="680"/>
      <c r="M2" s="679" t="s">
        <v>662</v>
      </c>
      <c r="N2" s="680"/>
      <c r="O2" s="23" t="s">
        <v>663</v>
      </c>
      <c r="P2" s="23" t="s">
        <v>664</v>
      </c>
    </row>
    <row r="3" spans="1:16" s="21" customFormat="1" x14ac:dyDescent="0.2">
      <c r="A3" s="19" t="s">
        <v>665</v>
      </c>
      <c r="B3" s="20" t="s">
        <v>666</v>
      </c>
      <c r="C3" s="20" t="s">
        <v>667</v>
      </c>
      <c r="D3" s="20" t="s">
        <v>668</v>
      </c>
      <c r="E3" s="20" t="s">
        <v>667</v>
      </c>
      <c r="F3" s="20" t="s">
        <v>669</v>
      </c>
      <c r="G3" s="20" t="s">
        <v>667</v>
      </c>
      <c r="H3" s="20" t="s">
        <v>670</v>
      </c>
      <c r="I3" s="20" t="s">
        <v>667</v>
      </c>
      <c r="J3" s="20" t="s">
        <v>671</v>
      </c>
      <c r="K3" s="20" t="s">
        <v>672</v>
      </c>
      <c r="L3" s="20" t="s">
        <v>673</v>
      </c>
      <c r="M3" s="20" t="s">
        <v>674</v>
      </c>
      <c r="N3" s="20" t="s">
        <v>675</v>
      </c>
      <c r="O3" s="20" t="s">
        <v>673</v>
      </c>
      <c r="P3" s="20" t="s">
        <v>673</v>
      </c>
    </row>
    <row r="4" spans="1:16" s="21" customFormat="1" x14ac:dyDescent="0.2">
      <c r="A4" s="19" t="s">
        <v>676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677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678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679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680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681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682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683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684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685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686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687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688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689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690</v>
      </c>
      <c r="S143" s="31" t="s">
        <v>691</v>
      </c>
      <c r="T143" s="31" t="s">
        <v>692</v>
      </c>
      <c r="U143" s="31" t="s">
        <v>693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694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695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499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5"/>
    </row>
    <row r="238" spans="16:16" x14ac:dyDescent="0.2">
      <c r="P238" s="415"/>
    </row>
    <row r="239" spans="16:16" x14ac:dyDescent="0.2">
      <c r="P239" s="415"/>
    </row>
    <row r="240" spans="16:16" x14ac:dyDescent="0.2">
      <c r="P240" s="415"/>
    </row>
    <row r="241" spans="16:16" x14ac:dyDescent="0.2">
      <c r="P241" s="415"/>
    </row>
    <row r="242" spans="16:16" x14ac:dyDescent="0.2">
      <c r="P242" s="415"/>
    </row>
    <row r="243" spans="16:16" x14ac:dyDescent="0.2">
      <c r="P243" s="415"/>
    </row>
    <row r="244" spans="16:16" x14ac:dyDescent="0.2">
      <c r="P244" s="415"/>
    </row>
    <row r="245" spans="16:16" x14ac:dyDescent="0.2">
      <c r="P245" s="415"/>
    </row>
    <row r="246" spans="16:16" x14ac:dyDescent="0.2">
      <c r="P246" s="415"/>
    </row>
    <row r="247" spans="16:16" x14ac:dyDescent="0.2">
      <c r="P247" s="415"/>
    </row>
    <row r="248" spans="16:16" x14ac:dyDescent="0.2">
      <c r="P248" s="415"/>
    </row>
    <row r="249" spans="16:16" x14ac:dyDescent="0.2">
      <c r="P249" s="415"/>
    </row>
    <row r="250" spans="16:16" x14ac:dyDescent="0.2">
      <c r="P250" s="415"/>
    </row>
    <row r="251" spans="16:16" x14ac:dyDescent="0.2">
      <c r="P251" s="415"/>
    </row>
    <row r="252" spans="16:16" x14ac:dyDescent="0.2">
      <c r="P252" s="415"/>
    </row>
    <row r="253" spans="16:16" x14ac:dyDescent="0.2">
      <c r="P253" s="415"/>
    </row>
    <row r="254" spans="16:16" x14ac:dyDescent="0.2">
      <c r="P254" s="415"/>
    </row>
    <row r="255" spans="16:16" x14ac:dyDescent="0.2">
      <c r="P255" s="415"/>
    </row>
    <row r="256" spans="16:16" x14ac:dyDescent="0.2">
      <c r="P256" s="415"/>
    </row>
    <row r="257" spans="16:16" x14ac:dyDescent="0.2">
      <c r="P257" s="415"/>
    </row>
    <row r="258" spans="16:16" x14ac:dyDescent="0.2">
      <c r="P258" s="415"/>
    </row>
    <row r="259" spans="16:16" x14ac:dyDescent="0.2">
      <c r="P259" s="415"/>
    </row>
    <row r="260" spans="16:16" x14ac:dyDescent="0.2">
      <c r="P260" s="415"/>
    </row>
    <row r="261" spans="16:16" x14ac:dyDescent="0.2">
      <c r="P261" s="415"/>
    </row>
    <row r="262" spans="16:16" x14ac:dyDescent="0.2">
      <c r="P262" s="415"/>
    </row>
    <row r="263" spans="16:16" x14ac:dyDescent="0.2">
      <c r="P263" s="415"/>
    </row>
    <row r="264" spans="16:16" x14ac:dyDescent="0.2">
      <c r="P264" s="415"/>
    </row>
    <row r="265" spans="16:16" x14ac:dyDescent="0.2">
      <c r="P265" s="415"/>
    </row>
    <row r="266" spans="16:16" x14ac:dyDescent="0.2">
      <c r="P266" s="415"/>
    </row>
    <row r="267" spans="16:16" x14ac:dyDescent="0.2">
      <c r="P267" s="415"/>
    </row>
    <row r="268" spans="16:16" x14ac:dyDescent="0.2">
      <c r="P268" s="415"/>
    </row>
    <row r="269" spans="16:16" x14ac:dyDescent="0.2">
      <c r="P269" s="415"/>
    </row>
    <row r="270" spans="16:16" x14ac:dyDescent="0.2">
      <c r="P270" s="415"/>
    </row>
    <row r="271" spans="16:16" x14ac:dyDescent="0.2">
      <c r="P271" s="415"/>
    </row>
    <row r="272" spans="16:16" x14ac:dyDescent="0.2">
      <c r="P272" s="415"/>
    </row>
    <row r="273" spans="16:16" x14ac:dyDescent="0.2">
      <c r="P273" s="415"/>
    </row>
    <row r="274" spans="16:16" x14ac:dyDescent="0.2">
      <c r="P274" s="415"/>
    </row>
    <row r="275" spans="16:16" x14ac:dyDescent="0.2">
      <c r="P275" s="415"/>
    </row>
    <row r="276" spans="16:16" x14ac:dyDescent="0.2">
      <c r="P276" s="415"/>
    </row>
    <row r="277" spans="16:16" x14ac:dyDescent="0.2">
      <c r="P277" s="415"/>
    </row>
    <row r="278" spans="16:16" x14ac:dyDescent="0.2">
      <c r="P278" s="415"/>
    </row>
    <row r="279" spans="16:16" x14ac:dyDescent="0.2">
      <c r="P279" s="415"/>
    </row>
    <row r="280" spans="16:16" x14ac:dyDescent="0.2">
      <c r="P280" s="415"/>
    </row>
    <row r="281" spans="16:16" x14ac:dyDescent="0.2">
      <c r="P281" s="415"/>
    </row>
    <row r="282" spans="16:16" x14ac:dyDescent="0.2">
      <c r="P282" s="415"/>
    </row>
    <row r="283" spans="16:16" x14ac:dyDescent="0.2">
      <c r="P283" s="415"/>
    </row>
    <row r="284" spans="16:16" x14ac:dyDescent="0.2">
      <c r="P284" s="415"/>
    </row>
    <row r="285" spans="16:16" x14ac:dyDescent="0.2">
      <c r="P285" s="415"/>
    </row>
    <row r="286" spans="16:16" x14ac:dyDescent="0.2">
      <c r="P286" s="415"/>
    </row>
    <row r="287" spans="16:16" x14ac:dyDescent="0.2">
      <c r="P287" s="415"/>
    </row>
    <row r="288" spans="16:16" x14ac:dyDescent="0.2">
      <c r="P288" s="415"/>
    </row>
    <row r="289" spans="16:16" x14ac:dyDescent="0.2">
      <c r="P289" s="415"/>
    </row>
    <row r="290" spans="16:16" x14ac:dyDescent="0.2">
      <c r="P290" s="415"/>
    </row>
    <row r="291" spans="16:16" x14ac:dyDescent="0.2">
      <c r="P291" s="415"/>
    </row>
    <row r="292" spans="16:16" x14ac:dyDescent="0.2">
      <c r="P292" s="415"/>
    </row>
    <row r="293" spans="16:16" x14ac:dyDescent="0.2">
      <c r="P293" s="415"/>
    </row>
    <row r="294" spans="16:16" x14ac:dyDescent="0.2">
      <c r="P294" s="415"/>
    </row>
    <row r="295" spans="16:16" x14ac:dyDescent="0.2">
      <c r="P295" s="415"/>
    </row>
    <row r="296" spans="16:16" x14ac:dyDescent="0.2">
      <c r="P296" s="415"/>
    </row>
    <row r="297" spans="16:16" x14ac:dyDescent="0.2">
      <c r="P297" s="415"/>
    </row>
    <row r="298" spans="16:16" x14ac:dyDescent="0.2">
      <c r="P298" s="415"/>
    </row>
    <row r="299" spans="16:16" x14ac:dyDescent="0.2">
      <c r="P299" s="415"/>
    </row>
    <row r="300" spans="16:16" x14ac:dyDescent="0.2">
      <c r="P300" s="415"/>
    </row>
    <row r="301" spans="16:16" x14ac:dyDescent="0.2">
      <c r="P301" s="415"/>
    </row>
    <row r="302" spans="16:16" x14ac:dyDescent="0.2">
      <c r="P302" s="415"/>
    </row>
    <row r="303" spans="16:16" x14ac:dyDescent="0.2">
      <c r="P303" s="415"/>
    </row>
    <row r="304" spans="16:16" x14ac:dyDescent="0.2">
      <c r="P304" s="415"/>
    </row>
    <row r="305" spans="16:16" x14ac:dyDescent="0.2">
      <c r="P305" s="415"/>
    </row>
    <row r="306" spans="16:16" x14ac:dyDescent="0.2">
      <c r="P306" s="415"/>
    </row>
    <row r="307" spans="16:16" x14ac:dyDescent="0.2">
      <c r="P307" s="415"/>
    </row>
    <row r="308" spans="16:16" x14ac:dyDescent="0.2">
      <c r="P308" s="415"/>
    </row>
    <row r="309" spans="16:16" x14ac:dyDescent="0.2">
      <c r="P309" s="415"/>
    </row>
    <row r="310" spans="16:16" x14ac:dyDescent="0.2">
      <c r="P310" s="415"/>
    </row>
    <row r="311" spans="16:16" x14ac:dyDescent="0.2">
      <c r="P311" s="415"/>
    </row>
    <row r="312" spans="16:16" x14ac:dyDescent="0.2">
      <c r="P312" s="415"/>
    </row>
    <row r="313" spans="16:16" x14ac:dyDescent="0.2">
      <c r="P313" s="415"/>
    </row>
    <row r="314" spans="16:16" x14ac:dyDescent="0.2">
      <c r="P314" s="415"/>
    </row>
    <row r="315" spans="16:16" x14ac:dyDescent="0.2">
      <c r="P315" s="415"/>
    </row>
    <row r="316" spans="16:16" x14ac:dyDescent="0.2">
      <c r="P316" s="415"/>
    </row>
    <row r="317" spans="16:16" x14ac:dyDescent="0.2">
      <c r="P317" s="415"/>
    </row>
    <row r="318" spans="16:16" x14ac:dyDescent="0.2">
      <c r="P318" s="415"/>
    </row>
    <row r="319" spans="16:16" x14ac:dyDescent="0.2">
      <c r="P319" s="415"/>
    </row>
    <row r="320" spans="16:16" x14ac:dyDescent="0.2">
      <c r="P320" s="415"/>
    </row>
    <row r="321" spans="16:16" x14ac:dyDescent="0.2">
      <c r="P321" s="415"/>
    </row>
    <row r="322" spans="16:16" x14ac:dyDescent="0.2">
      <c r="P322" s="415"/>
    </row>
    <row r="323" spans="16:16" x14ac:dyDescent="0.2">
      <c r="P323" s="415"/>
    </row>
    <row r="324" spans="16:16" x14ac:dyDescent="0.2">
      <c r="P324" s="415"/>
    </row>
    <row r="325" spans="16:16" x14ac:dyDescent="0.2">
      <c r="P325" s="415"/>
    </row>
    <row r="326" spans="16:16" x14ac:dyDescent="0.2">
      <c r="P326" s="415"/>
    </row>
    <row r="327" spans="16:16" x14ac:dyDescent="0.2">
      <c r="P327" s="415"/>
    </row>
    <row r="328" spans="16:16" x14ac:dyDescent="0.2">
      <c r="P328" s="415"/>
    </row>
    <row r="329" spans="16:16" x14ac:dyDescent="0.2">
      <c r="P329" s="415"/>
    </row>
    <row r="330" spans="16:16" x14ac:dyDescent="0.2">
      <c r="P330" s="415"/>
    </row>
    <row r="331" spans="16:16" x14ac:dyDescent="0.2">
      <c r="P331" s="415"/>
    </row>
    <row r="332" spans="16:16" x14ac:dyDescent="0.2">
      <c r="P332" s="415"/>
    </row>
    <row r="333" spans="16:16" x14ac:dyDescent="0.2">
      <c r="P333" s="415"/>
    </row>
    <row r="334" spans="16:16" x14ac:dyDescent="0.2">
      <c r="P334" s="415"/>
    </row>
    <row r="335" spans="16:16" x14ac:dyDescent="0.2">
      <c r="P335" s="415"/>
    </row>
    <row r="336" spans="16:16" x14ac:dyDescent="0.2">
      <c r="P336" s="415"/>
    </row>
    <row r="337" spans="16:16" x14ac:dyDescent="0.2">
      <c r="P337" s="415"/>
    </row>
    <row r="338" spans="16:16" x14ac:dyDescent="0.2">
      <c r="P338" s="415"/>
    </row>
    <row r="339" spans="16:16" x14ac:dyDescent="0.2">
      <c r="P339" s="415"/>
    </row>
    <row r="340" spans="16:16" x14ac:dyDescent="0.2">
      <c r="P340" s="415"/>
    </row>
    <row r="341" spans="16:16" x14ac:dyDescent="0.2">
      <c r="P341" s="415"/>
    </row>
    <row r="342" spans="16:16" x14ac:dyDescent="0.2">
      <c r="P342" s="415"/>
    </row>
    <row r="343" spans="16:16" x14ac:dyDescent="0.2">
      <c r="P343" s="415"/>
    </row>
    <row r="344" spans="16:16" x14ac:dyDescent="0.2">
      <c r="P344" s="415"/>
    </row>
    <row r="345" spans="16:16" x14ac:dyDescent="0.2">
      <c r="P345" s="415"/>
    </row>
    <row r="346" spans="16:16" x14ac:dyDescent="0.2">
      <c r="P346" s="415"/>
    </row>
    <row r="347" spans="16:16" x14ac:dyDescent="0.2">
      <c r="P347" s="415"/>
    </row>
    <row r="348" spans="16:16" x14ac:dyDescent="0.2">
      <c r="P348" s="415"/>
    </row>
    <row r="349" spans="16:16" x14ac:dyDescent="0.2">
      <c r="P349" s="415"/>
    </row>
    <row r="350" spans="16:16" x14ac:dyDescent="0.2">
      <c r="P350" s="415"/>
    </row>
    <row r="351" spans="16:16" x14ac:dyDescent="0.2">
      <c r="P351" s="415"/>
    </row>
    <row r="352" spans="16:16" x14ac:dyDescent="0.2">
      <c r="P352" s="415"/>
    </row>
    <row r="353" spans="16:16" x14ac:dyDescent="0.2">
      <c r="P353" s="415"/>
    </row>
    <row r="354" spans="16:16" x14ac:dyDescent="0.2">
      <c r="P354" s="415"/>
    </row>
    <row r="355" spans="16:16" x14ac:dyDescent="0.2">
      <c r="P355" s="415"/>
    </row>
    <row r="356" spans="16:16" x14ac:dyDescent="0.2">
      <c r="P356" s="415"/>
    </row>
    <row r="357" spans="16:16" x14ac:dyDescent="0.2">
      <c r="P357" s="415"/>
    </row>
    <row r="358" spans="16:16" x14ac:dyDescent="0.2">
      <c r="P358" s="415"/>
    </row>
    <row r="359" spans="16:16" x14ac:dyDescent="0.2">
      <c r="P359" s="415"/>
    </row>
    <row r="360" spans="16:16" x14ac:dyDescent="0.2">
      <c r="P360" s="415"/>
    </row>
    <row r="361" spans="16:16" x14ac:dyDescent="0.2">
      <c r="P361" s="415"/>
    </row>
    <row r="362" spans="16:16" x14ac:dyDescent="0.2">
      <c r="P362" s="415"/>
    </row>
    <row r="363" spans="16:16" x14ac:dyDescent="0.2">
      <c r="P363" s="415"/>
    </row>
    <row r="364" spans="16:16" x14ac:dyDescent="0.2">
      <c r="P364" s="415"/>
    </row>
    <row r="365" spans="16:16" x14ac:dyDescent="0.2">
      <c r="P365" s="415"/>
    </row>
    <row r="366" spans="16:16" x14ac:dyDescent="0.2">
      <c r="P366" s="415"/>
    </row>
    <row r="367" spans="16:16" x14ac:dyDescent="0.2">
      <c r="P367" s="415"/>
    </row>
    <row r="368" spans="16:16" x14ac:dyDescent="0.2">
      <c r="P368" s="415"/>
    </row>
    <row r="369" spans="16:16" x14ac:dyDescent="0.2">
      <c r="P369" s="415"/>
    </row>
    <row r="370" spans="16:16" x14ac:dyDescent="0.2">
      <c r="P370" s="415"/>
    </row>
    <row r="371" spans="16:16" x14ac:dyDescent="0.2">
      <c r="P371" s="415"/>
    </row>
    <row r="372" spans="16:16" x14ac:dyDescent="0.2">
      <c r="P372" s="415"/>
    </row>
    <row r="373" spans="16:16" x14ac:dyDescent="0.2">
      <c r="P373" s="415"/>
    </row>
    <row r="374" spans="16:16" x14ac:dyDescent="0.2">
      <c r="P374" s="415"/>
    </row>
    <row r="375" spans="16:16" x14ac:dyDescent="0.2">
      <c r="P375" s="415"/>
    </row>
    <row r="376" spans="16:16" x14ac:dyDescent="0.2">
      <c r="P376" s="415"/>
    </row>
    <row r="377" spans="16:16" x14ac:dyDescent="0.2">
      <c r="P377" s="415"/>
    </row>
    <row r="378" spans="16:16" x14ac:dyDescent="0.2">
      <c r="P378" s="415"/>
    </row>
    <row r="379" spans="16:16" x14ac:dyDescent="0.2">
      <c r="P379" s="415"/>
    </row>
    <row r="380" spans="16:16" x14ac:dyDescent="0.2">
      <c r="P380" s="415"/>
    </row>
    <row r="381" spans="16:16" x14ac:dyDescent="0.2">
      <c r="P381" s="415"/>
    </row>
    <row r="382" spans="16:16" x14ac:dyDescent="0.2">
      <c r="P382" s="415"/>
    </row>
    <row r="383" spans="16:16" x14ac:dyDescent="0.2">
      <c r="P383" s="415"/>
    </row>
    <row r="384" spans="16:16" x14ac:dyDescent="0.2">
      <c r="P384" s="415"/>
    </row>
    <row r="385" spans="16:16" x14ac:dyDescent="0.2">
      <c r="P385" s="415"/>
    </row>
    <row r="386" spans="16:16" x14ac:dyDescent="0.2">
      <c r="P386" s="415"/>
    </row>
    <row r="387" spans="16:16" x14ac:dyDescent="0.2">
      <c r="P387" s="415"/>
    </row>
    <row r="388" spans="16:16" x14ac:dyDescent="0.2">
      <c r="P388" s="415"/>
    </row>
    <row r="389" spans="16:16" x14ac:dyDescent="0.2">
      <c r="P389" s="415"/>
    </row>
    <row r="390" spans="16:16" x14ac:dyDescent="0.2">
      <c r="P390" s="415"/>
    </row>
    <row r="391" spans="16:16" x14ac:dyDescent="0.2">
      <c r="P391" s="415"/>
    </row>
    <row r="392" spans="16:16" x14ac:dyDescent="0.2">
      <c r="P392" s="415"/>
    </row>
    <row r="393" spans="16:16" x14ac:dyDescent="0.2">
      <c r="P393" s="415"/>
    </row>
    <row r="394" spans="16:16" x14ac:dyDescent="0.2">
      <c r="P394" s="415"/>
    </row>
    <row r="395" spans="16:16" x14ac:dyDescent="0.2">
      <c r="P395" s="415"/>
    </row>
    <row r="396" spans="16:16" x14ac:dyDescent="0.2">
      <c r="P396" s="415"/>
    </row>
    <row r="397" spans="16:16" x14ac:dyDescent="0.2">
      <c r="P397" s="415"/>
    </row>
    <row r="398" spans="16:16" x14ac:dyDescent="0.2">
      <c r="P398" s="415"/>
    </row>
    <row r="399" spans="16:16" x14ac:dyDescent="0.2">
      <c r="P399" s="415"/>
    </row>
    <row r="400" spans="16:16" x14ac:dyDescent="0.2">
      <c r="P400" s="415"/>
    </row>
    <row r="401" spans="16:16" x14ac:dyDescent="0.2">
      <c r="P401" s="415"/>
    </row>
    <row r="402" spans="16:16" x14ac:dyDescent="0.2">
      <c r="P402" s="415"/>
    </row>
    <row r="403" spans="16:16" x14ac:dyDescent="0.2">
      <c r="P403" s="415"/>
    </row>
    <row r="404" spans="16:16" x14ac:dyDescent="0.2">
      <c r="P404" s="415"/>
    </row>
    <row r="405" spans="16:16" x14ac:dyDescent="0.2">
      <c r="P405" s="415"/>
    </row>
    <row r="406" spans="16:16" x14ac:dyDescent="0.2">
      <c r="P406" s="415"/>
    </row>
    <row r="407" spans="16:16" x14ac:dyDescent="0.2">
      <c r="P407" s="415"/>
    </row>
    <row r="408" spans="16:16" x14ac:dyDescent="0.2">
      <c r="P408" s="415"/>
    </row>
    <row r="409" spans="16:16" x14ac:dyDescent="0.2">
      <c r="P409" s="415"/>
    </row>
    <row r="410" spans="16:16" x14ac:dyDescent="0.2">
      <c r="P410" s="415"/>
    </row>
    <row r="411" spans="16:16" x14ac:dyDescent="0.2">
      <c r="P411" s="415"/>
    </row>
    <row r="412" spans="16:16" x14ac:dyDescent="0.2">
      <c r="P412" s="415"/>
    </row>
    <row r="413" spans="16:16" x14ac:dyDescent="0.2">
      <c r="P413" s="415"/>
    </row>
    <row r="414" spans="16:16" x14ac:dyDescent="0.2">
      <c r="P414" s="415"/>
    </row>
    <row r="415" spans="16:16" x14ac:dyDescent="0.2">
      <c r="P415" s="415"/>
    </row>
    <row r="416" spans="16:16" x14ac:dyDescent="0.2">
      <c r="P416" s="415"/>
    </row>
    <row r="417" spans="16:16" x14ac:dyDescent="0.2">
      <c r="P417" s="415"/>
    </row>
    <row r="418" spans="16:16" x14ac:dyDescent="0.2">
      <c r="P418" s="415"/>
    </row>
    <row r="419" spans="16:16" x14ac:dyDescent="0.2">
      <c r="P419" s="415"/>
    </row>
    <row r="420" spans="16:16" x14ac:dyDescent="0.2">
      <c r="P420" s="415"/>
    </row>
    <row r="421" spans="16:16" x14ac:dyDescent="0.2">
      <c r="P421" s="415"/>
    </row>
    <row r="422" spans="16:16" x14ac:dyDescent="0.2">
      <c r="P422" s="415"/>
    </row>
    <row r="423" spans="16:16" x14ac:dyDescent="0.2">
      <c r="P423" s="415"/>
    </row>
    <row r="424" spans="16:16" x14ac:dyDescent="0.2">
      <c r="P424" s="415"/>
    </row>
    <row r="425" spans="16:16" x14ac:dyDescent="0.2">
      <c r="P425" s="415"/>
    </row>
    <row r="426" spans="16:16" x14ac:dyDescent="0.2">
      <c r="P426" s="415"/>
    </row>
    <row r="427" spans="16:16" x14ac:dyDescent="0.2">
      <c r="P427" s="415"/>
    </row>
    <row r="428" spans="16:16" x14ac:dyDescent="0.2">
      <c r="P428" s="415"/>
    </row>
    <row r="429" spans="16:16" x14ac:dyDescent="0.2">
      <c r="P429" s="415"/>
    </row>
    <row r="430" spans="16:16" x14ac:dyDescent="0.2">
      <c r="P430" s="415"/>
    </row>
    <row r="431" spans="16:16" x14ac:dyDescent="0.2">
      <c r="P431" s="415"/>
    </row>
    <row r="432" spans="16:16" x14ac:dyDescent="0.2">
      <c r="P432" s="415"/>
    </row>
    <row r="433" spans="16:16" x14ac:dyDescent="0.2">
      <c r="P433" s="415"/>
    </row>
    <row r="434" spans="16:16" x14ac:dyDescent="0.2">
      <c r="P434" s="415"/>
    </row>
    <row r="435" spans="16:16" x14ac:dyDescent="0.2">
      <c r="P435" s="415"/>
    </row>
    <row r="436" spans="16:16" x14ac:dyDescent="0.2">
      <c r="P436" s="415"/>
    </row>
    <row r="437" spans="16:16" x14ac:dyDescent="0.2">
      <c r="P437" s="415"/>
    </row>
    <row r="438" spans="16:16" x14ac:dyDescent="0.2">
      <c r="P438" s="415"/>
    </row>
    <row r="439" spans="16:16" x14ac:dyDescent="0.2">
      <c r="P439" s="415"/>
    </row>
    <row r="440" spans="16:16" x14ac:dyDescent="0.2">
      <c r="P440" s="415"/>
    </row>
    <row r="441" spans="16:16" x14ac:dyDescent="0.2">
      <c r="P441" s="415"/>
    </row>
    <row r="442" spans="16:16" x14ac:dyDescent="0.2">
      <c r="P442" s="415"/>
    </row>
    <row r="443" spans="16:16" x14ac:dyDescent="0.2">
      <c r="P443" s="415"/>
    </row>
    <row r="444" spans="16:16" x14ac:dyDescent="0.2">
      <c r="P444" s="415"/>
    </row>
    <row r="445" spans="16:16" x14ac:dyDescent="0.2">
      <c r="P445" s="415"/>
    </row>
    <row r="446" spans="16:16" x14ac:dyDescent="0.2">
      <c r="P446" s="415"/>
    </row>
    <row r="447" spans="16:16" x14ac:dyDescent="0.2">
      <c r="P447" s="415"/>
    </row>
    <row r="448" spans="16:16" x14ac:dyDescent="0.2">
      <c r="P448" s="415"/>
    </row>
    <row r="449" spans="16:16" x14ac:dyDescent="0.2">
      <c r="P449" s="415"/>
    </row>
    <row r="450" spans="16:16" x14ac:dyDescent="0.2">
      <c r="P450" s="415"/>
    </row>
    <row r="451" spans="16:16" x14ac:dyDescent="0.2">
      <c r="P451" s="415"/>
    </row>
    <row r="452" spans="16:16" x14ac:dyDescent="0.2">
      <c r="P452" s="415"/>
    </row>
    <row r="453" spans="16:16" x14ac:dyDescent="0.2">
      <c r="P453" s="415"/>
    </row>
    <row r="454" spans="16:16" x14ac:dyDescent="0.2">
      <c r="P454" s="415"/>
    </row>
    <row r="455" spans="16:16" x14ac:dyDescent="0.2">
      <c r="P455" s="415"/>
    </row>
    <row r="456" spans="16:16" x14ac:dyDescent="0.2">
      <c r="P456" s="415"/>
    </row>
    <row r="457" spans="16:16" x14ac:dyDescent="0.2">
      <c r="P457" s="415"/>
    </row>
    <row r="458" spans="16:16" x14ac:dyDescent="0.2">
      <c r="P458" s="415"/>
    </row>
    <row r="459" spans="16:16" x14ac:dyDescent="0.2">
      <c r="P459" s="415"/>
    </row>
    <row r="460" spans="16:16" x14ac:dyDescent="0.2">
      <c r="P460" s="415"/>
    </row>
    <row r="461" spans="16:16" x14ac:dyDescent="0.2">
      <c r="P461" s="415"/>
    </row>
    <row r="462" spans="16:16" x14ac:dyDescent="0.2">
      <c r="P462" s="415"/>
    </row>
    <row r="463" spans="16:16" x14ac:dyDescent="0.2">
      <c r="P463" s="415"/>
    </row>
    <row r="464" spans="16:16" x14ac:dyDescent="0.2">
      <c r="P464" s="415"/>
    </row>
    <row r="465" spans="16:16" x14ac:dyDescent="0.2">
      <c r="P465" s="415"/>
    </row>
    <row r="466" spans="16:16" x14ac:dyDescent="0.2">
      <c r="P466" s="415"/>
    </row>
    <row r="467" spans="16:16" x14ac:dyDescent="0.2">
      <c r="P467" s="415"/>
    </row>
    <row r="468" spans="16:16" x14ac:dyDescent="0.2">
      <c r="P468" s="415"/>
    </row>
    <row r="469" spans="16:16" x14ac:dyDescent="0.2">
      <c r="P469" s="415"/>
    </row>
    <row r="470" spans="16:16" x14ac:dyDescent="0.2">
      <c r="P470" s="415"/>
    </row>
    <row r="471" spans="16:16" x14ac:dyDescent="0.2">
      <c r="P471" s="415"/>
    </row>
    <row r="472" spans="16:16" x14ac:dyDescent="0.2">
      <c r="P472" s="415"/>
    </row>
    <row r="473" spans="16:16" x14ac:dyDescent="0.2">
      <c r="P473" s="415"/>
    </row>
    <row r="474" spans="16:16" x14ac:dyDescent="0.2">
      <c r="P474" s="415"/>
    </row>
    <row r="475" spans="16:16" x14ac:dyDescent="0.2">
      <c r="P475" s="415"/>
    </row>
    <row r="476" spans="16:16" x14ac:dyDescent="0.2">
      <c r="P476" s="415"/>
    </row>
    <row r="477" spans="16:16" x14ac:dyDescent="0.2">
      <c r="P477" s="415"/>
    </row>
    <row r="478" spans="16:16" x14ac:dyDescent="0.2">
      <c r="P478" s="415"/>
    </row>
    <row r="479" spans="16:16" x14ac:dyDescent="0.2">
      <c r="P479" s="415"/>
    </row>
    <row r="480" spans="16:16" x14ac:dyDescent="0.2">
      <c r="P480" s="415"/>
    </row>
    <row r="481" spans="16:16" x14ac:dyDescent="0.2">
      <c r="P481" s="415"/>
    </row>
    <row r="482" spans="16:16" x14ac:dyDescent="0.2">
      <c r="P482" s="415"/>
    </row>
    <row r="483" spans="16:16" x14ac:dyDescent="0.2">
      <c r="P483" s="415"/>
    </row>
    <row r="484" spans="16:16" x14ac:dyDescent="0.2">
      <c r="P484" s="415"/>
    </row>
    <row r="485" spans="16:16" x14ac:dyDescent="0.2">
      <c r="P485" s="415"/>
    </row>
    <row r="486" spans="16:16" x14ac:dyDescent="0.2">
      <c r="P486" s="415"/>
    </row>
    <row r="487" spans="16:16" x14ac:dyDescent="0.2">
      <c r="P487" s="415"/>
    </row>
    <row r="488" spans="16:16" x14ac:dyDescent="0.2">
      <c r="P488" s="415"/>
    </row>
    <row r="489" spans="16:16" x14ac:dyDescent="0.2">
      <c r="P489" s="415"/>
    </row>
    <row r="490" spans="16:16" x14ac:dyDescent="0.2">
      <c r="P490" s="415"/>
    </row>
    <row r="491" spans="16:16" x14ac:dyDescent="0.2">
      <c r="P491" s="415"/>
    </row>
    <row r="492" spans="16:16" x14ac:dyDescent="0.2">
      <c r="P492" s="415"/>
    </row>
    <row r="493" spans="16:16" x14ac:dyDescent="0.2">
      <c r="P493" s="415"/>
    </row>
    <row r="494" spans="16:16" x14ac:dyDescent="0.2">
      <c r="P494" s="415"/>
    </row>
    <row r="495" spans="16:16" x14ac:dyDescent="0.2">
      <c r="P495" s="415"/>
    </row>
    <row r="496" spans="16:16" x14ac:dyDescent="0.2">
      <c r="P496" s="415"/>
    </row>
    <row r="497" spans="16:16" x14ac:dyDescent="0.2">
      <c r="P497" s="415"/>
    </row>
    <row r="498" spans="16:16" x14ac:dyDescent="0.2">
      <c r="P498" s="415"/>
    </row>
    <row r="499" spans="16:16" x14ac:dyDescent="0.2">
      <c r="P499" s="415"/>
    </row>
    <row r="500" spans="16:16" x14ac:dyDescent="0.2">
      <c r="P500" s="415"/>
    </row>
    <row r="501" spans="16:16" x14ac:dyDescent="0.2">
      <c r="P501" s="415"/>
    </row>
    <row r="502" spans="16:16" x14ac:dyDescent="0.2">
      <c r="P502" s="415"/>
    </row>
    <row r="503" spans="16:16" x14ac:dyDescent="0.2">
      <c r="P503" s="415"/>
    </row>
    <row r="504" spans="16:16" x14ac:dyDescent="0.2">
      <c r="P504" s="415"/>
    </row>
    <row r="505" spans="16:16" x14ac:dyDescent="0.2">
      <c r="P505" s="415"/>
    </row>
    <row r="506" spans="16:16" x14ac:dyDescent="0.2">
      <c r="P506" s="415"/>
    </row>
    <row r="507" spans="16:16" x14ac:dyDescent="0.2">
      <c r="P507" s="415"/>
    </row>
    <row r="508" spans="16:16" x14ac:dyDescent="0.2">
      <c r="P508" s="415"/>
    </row>
    <row r="509" spans="16:16" x14ac:dyDescent="0.2">
      <c r="P509" s="415"/>
    </row>
    <row r="510" spans="16:16" x14ac:dyDescent="0.2">
      <c r="P510" s="415"/>
    </row>
    <row r="511" spans="16:16" x14ac:dyDescent="0.2">
      <c r="P511" s="415"/>
    </row>
    <row r="512" spans="16:16" x14ac:dyDescent="0.2">
      <c r="P512" s="415"/>
    </row>
    <row r="513" spans="16:16" x14ac:dyDescent="0.2">
      <c r="P513" s="415"/>
    </row>
    <row r="514" spans="16:16" x14ac:dyDescent="0.2">
      <c r="P514" s="415"/>
    </row>
    <row r="515" spans="16:16" x14ac:dyDescent="0.2">
      <c r="P515" s="415"/>
    </row>
    <row r="516" spans="16:16" x14ac:dyDescent="0.2">
      <c r="P516" s="415"/>
    </row>
    <row r="517" spans="16:16" x14ac:dyDescent="0.2">
      <c r="P517" s="415"/>
    </row>
    <row r="518" spans="16:16" x14ac:dyDescent="0.2">
      <c r="P518" s="415"/>
    </row>
    <row r="519" spans="16:16" x14ac:dyDescent="0.2">
      <c r="P519" s="415"/>
    </row>
    <row r="520" spans="16:16" x14ac:dyDescent="0.2">
      <c r="P520" s="415"/>
    </row>
    <row r="521" spans="16:16" x14ac:dyDescent="0.2">
      <c r="P521" s="415"/>
    </row>
    <row r="522" spans="16:16" x14ac:dyDescent="0.2">
      <c r="P522" s="415"/>
    </row>
    <row r="523" spans="16:16" x14ac:dyDescent="0.2">
      <c r="P523" s="415"/>
    </row>
    <row r="524" spans="16:16" x14ac:dyDescent="0.2">
      <c r="P524" s="415"/>
    </row>
    <row r="525" spans="16:16" x14ac:dyDescent="0.2">
      <c r="P525" s="415"/>
    </row>
    <row r="526" spans="16:16" x14ac:dyDescent="0.2">
      <c r="P526" s="415"/>
    </row>
    <row r="527" spans="16:16" x14ac:dyDescent="0.2">
      <c r="P527" s="415"/>
    </row>
    <row r="528" spans="16:16" x14ac:dyDescent="0.2">
      <c r="P528" s="415"/>
    </row>
    <row r="529" spans="16:16" x14ac:dyDescent="0.2">
      <c r="P529" s="415"/>
    </row>
    <row r="530" spans="16:16" x14ac:dyDescent="0.2">
      <c r="P530" s="415"/>
    </row>
    <row r="531" spans="16:16" x14ac:dyDescent="0.2">
      <c r="P531" s="415"/>
    </row>
    <row r="532" spans="16:16" x14ac:dyDescent="0.2">
      <c r="P532" s="415"/>
    </row>
    <row r="533" spans="16:16" x14ac:dyDescent="0.2">
      <c r="P533" s="415"/>
    </row>
    <row r="534" spans="16:16" x14ac:dyDescent="0.2">
      <c r="P534" s="415"/>
    </row>
    <row r="535" spans="16:16" x14ac:dyDescent="0.2">
      <c r="P535" s="415"/>
    </row>
    <row r="536" spans="16:16" x14ac:dyDescent="0.2">
      <c r="P536" s="415"/>
    </row>
    <row r="537" spans="16:16" x14ac:dyDescent="0.2">
      <c r="P537" s="415"/>
    </row>
    <row r="538" spans="16:16" x14ac:dyDescent="0.2">
      <c r="P538" s="415"/>
    </row>
    <row r="539" spans="16:16" x14ac:dyDescent="0.2">
      <c r="P539" s="415"/>
    </row>
    <row r="540" spans="16:16" x14ac:dyDescent="0.2">
      <c r="P540" s="415"/>
    </row>
    <row r="541" spans="16:16" x14ac:dyDescent="0.2">
      <c r="P541" s="415"/>
    </row>
    <row r="542" spans="16:16" x14ac:dyDescent="0.2">
      <c r="P542" s="415"/>
    </row>
    <row r="543" spans="16:16" x14ac:dyDescent="0.2">
      <c r="P543" s="415"/>
    </row>
    <row r="544" spans="16:16" x14ac:dyDescent="0.2">
      <c r="P544" s="415"/>
    </row>
    <row r="545" spans="16:16" x14ac:dyDescent="0.2">
      <c r="P545" s="415"/>
    </row>
    <row r="546" spans="16:16" x14ac:dyDescent="0.2">
      <c r="P546" s="415"/>
    </row>
    <row r="547" spans="16:16" x14ac:dyDescent="0.2">
      <c r="P547" s="415"/>
    </row>
    <row r="548" spans="16:16" x14ac:dyDescent="0.2">
      <c r="P548" s="415"/>
    </row>
    <row r="549" spans="16:16" x14ac:dyDescent="0.2">
      <c r="P549" s="415"/>
    </row>
    <row r="550" spans="16:16" x14ac:dyDescent="0.2">
      <c r="P550" s="415"/>
    </row>
    <row r="551" spans="16:16" x14ac:dyDescent="0.2">
      <c r="P551" s="415"/>
    </row>
    <row r="552" spans="16:16" x14ac:dyDescent="0.2">
      <c r="P552" s="415"/>
    </row>
    <row r="553" spans="16:16" x14ac:dyDescent="0.2">
      <c r="P553" s="415"/>
    </row>
    <row r="554" spans="16:16" x14ac:dyDescent="0.2">
      <c r="P554" s="415"/>
    </row>
    <row r="555" spans="16:16" x14ac:dyDescent="0.2">
      <c r="P555" s="415"/>
    </row>
    <row r="556" spans="16:16" x14ac:dyDescent="0.2">
      <c r="P556" s="415"/>
    </row>
    <row r="557" spans="16:16" x14ac:dyDescent="0.2">
      <c r="P557" s="415"/>
    </row>
    <row r="558" spans="16:16" x14ac:dyDescent="0.2">
      <c r="P558" s="415"/>
    </row>
    <row r="559" spans="16:16" x14ac:dyDescent="0.2">
      <c r="P559" s="415"/>
    </row>
    <row r="560" spans="16:16" x14ac:dyDescent="0.2">
      <c r="P560" s="415"/>
    </row>
    <row r="561" spans="16:16" x14ac:dyDescent="0.2">
      <c r="P561" s="415"/>
    </row>
    <row r="562" spans="16:16" x14ac:dyDescent="0.2">
      <c r="P562" s="415"/>
    </row>
    <row r="563" spans="16:16" x14ac:dyDescent="0.2">
      <c r="P563" s="415"/>
    </row>
    <row r="564" spans="16:16" x14ac:dyDescent="0.2">
      <c r="P564" s="415"/>
    </row>
    <row r="565" spans="16:16" x14ac:dyDescent="0.2">
      <c r="P565" s="415"/>
    </row>
    <row r="566" spans="16:16" x14ac:dyDescent="0.2">
      <c r="P566" s="415"/>
    </row>
    <row r="567" spans="16:16" x14ac:dyDescent="0.2">
      <c r="P567" s="415"/>
    </row>
    <row r="568" spans="16:16" x14ac:dyDescent="0.2">
      <c r="P568" s="415"/>
    </row>
    <row r="569" spans="16:16" x14ac:dyDescent="0.2">
      <c r="P569" s="415"/>
    </row>
    <row r="570" spans="16:16" x14ac:dyDescent="0.2">
      <c r="P570" s="415"/>
    </row>
    <row r="571" spans="16:16" x14ac:dyDescent="0.2">
      <c r="P571" s="415"/>
    </row>
    <row r="572" spans="16:16" x14ac:dyDescent="0.2">
      <c r="P572" s="415"/>
    </row>
    <row r="573" spans="16:16" x14ac:dyDescent="0.2">
      <c r="P573" s="415"/>
    </row>
    <row r="574" spans="16:16" x14ac:dyDescent="0.2">
      <c r="P574" s="415"/>
    </row>
    <row r="575" spans="16:16" x14ac:dyDescent="0.2">
      <c r="P575" s="415"/>
    </row>
    <row r="576" spans="16:16" x14ac:dyDescent="0.2">
      <c r="P576" s="415"/>
    </row>
    <row r="577" spans="16:16" x14ac:dyDescent="0.2">
      <c r="P577" s="415"/>
    </row>
    <row r="578" spans="16:16" x14ac:dyDescent="0.2">
      <c r="P578" s="415"/>
    </row>
    <row r="579" spans="16:16" x14ac:dyDescent="0.2">
      <c r="P579" s="415"/>
    </row>
    <row r="580" spans="16:16" x14ac:dyDescent="0.2">
      <c r="P580" s="415"/>
    </row>
    <row r="581" spans="16:16" x14ac:dyDescent="0.2">
      <c r="P581" s="415"/>
    </row>
    <row r="582" spans="16:16" x14ac:dyDescent="0.2">
      <c r="P582" s="415"/>
    </row>
    <row r="583" spans="16:16" x14ac:dyDescent="0.2">
      <c r="P583" s="415"/>
    </row>
    <row r="584" spans="16:16" x14ac:dyDescent="0.2">
      <c r="P584" s="415"/>
    </row>
    <row r="585" spans="16:16" x14ac:dyDescent="0.2">
      <c r="P585" s="415"/>
    </row>
    <row r="586" spans="16:16" x14ac:dyDescent="0.2">
      <c r="P586" s="415"/>
    </row>
    <row r="587" spans="16:16" x14ac:dyDescent="0.2">
      <c r="P587" s="415"/>
    </row>
    <row r="588" spans="16:16" x14ac:dyDescent="0.2">
      <c r="P588" s="415"/>
    </row>
    <row r="589" spans="16:16" x14ac:dyDescent="0.2">
      <c r="P589" s="415"/>
    </row>
    <row r="590" spans="16:16" x14ac:dyDescent="0.2">
      <c r="P590" s="415"/>
    </row>
    <row r="591" spans="16:16" x14ac:dyDescent="0.2">
      <c r="P591" s="415"/>
    </row>
    <row r="592" spans="16:16" x14ac:dyDescent="0.2">
      <c r="P592" s="415"/>
    </row>
    <row r="593" spans="16:16" x14ac:dyDescent="0.2">
      <c r="P593" s="415"/>
    </row>
    <row r="594" spans="16:16" x14ac:dyDescent="0.2">
      <c r="P594" s="415"/>
    </row>
    <row r="595" spans="16:16" x14ac:dyDescent="0.2">
      <c r="P595" s="415"/>
    </row>
    <row r="596" spans="16:16" x14ac:dyDescent="0.2">
      <c r="P596" s="415"/>
    </row>
    <row r="597" spans="16:16" x14ac:dyDescent="0.2">
      <c r="P597" s="415"/>
    </row>
    <row r="598" spans="16:16" x14ac:dyDescent="0.2">
      <c r="P598" s="415"/>
    </row>
    <row r="599" spans="16:16" x14ac:dyDescent="0.2">
      <c r="P599" s="415"/>
    </row>
    <row r="600" spans="16:16" x14ac:dyDescent="0.2">
      <c r="P600" s="415"/>
    </row>
    <row r="601" spans="16:16" x14ac:dyDescent="0.2">
      <c r="P601" s="415"/>
    </row>
    <row r="602" spans="16:16" x14ac:dyDescent="0.2">
      <c r="P602" s="415"/>
    </row>
    <row r="603" spans="16:16" x14ac:dyDescent="0.2">
      <c r="P603" s="415"/>
    </row>
    <row r="604" spans="16:16" x14ac:dyDescent="0.2">
      <c r="P604" s="415"/>
    </row>
    <row r="605" spans="16:16" x14ac:dyDescent="0.2">
      <c r="P605" s="415"/>
    </row>
    <row r="606" spans="16:16" x14ac:dyDescent="0.2">
      <c r="P606" s="415"/>
    </row>
    <row r="607" spans="16:16" x14ac:dyDescent="0.2">
      <c r="P607" s="415"/>
    </row>
    <row r="608" spans="16:16" x14ac:dyDescent="0.2">
      <c r="P608" s="415"/>
    </row>
    <row r="609" spans="16:16" x14ac:dyDescent="0.2">
      <c r="P609" s="415"/>
    </row>
    <row r="610" spans="16:16" x14ac:dyDescent="0.2">
      <c r="P610" s="415"/>
    </row>
    <row r="611" spans="16:16" x14ac:dyDescent="0.2">
      <c r="P611" s="415"/>
    </row>
    <row r="612" spans="16:16" x14ac:dyDescent="0.2">
      <c r="P612" s="415"/>
    </row>
    <row r="613" spans="16:16" x14ac:dyDescent="0.2">
      <c r="P613" s="415"/>
    </row>
    <row r="614" spans="16:16" x14ac:dyDescent="0.2">
      <c r="P614" s="415"/>
    </row>
    <row r="615" spans="16:16" x14ac:dyDescent="0.2">
      <c r="P615" s="415"/>
    </row>
    <row r="616" spans="16:16" x14ac:dyDescent="0.2">
      <c r="P616" s="415"/>
    </row>
    <row r="617" spans="16:16" x14ac:dyDescent="0.2">
      <c r="P617" s="415"/>
    </row>
    <row r="618" spans="16:16" x14ac:dyDescent="0.2">
      <c r="P618" s="415"/>
    </row>
    <row r="619" spans="16:16" x14ac:dyDescent="0.2">
      <c r="P619" s="415"/>
    </row>
    <row r="620" spans="16:16" x14ac:dyDescent="0.2">
      <c r="P620" s="415"/>
    </row>
    <row r="621" spans="16:16" x14ac:dyDescent="0.2">
      <c r="P621" s="415"/>
    </row>
    <row r="622" spans="16:16" x14ac:dyDescent="0.2">
      <c r="P622" s="415"/>
    </row>
    <row r="623" spans="16:16" x14ac:dyDescent="0.2">
      <c r="P623" s="415"/>
    </row>
    <row r="624" spans="16:16" x14ac:dyDescent="0.2">
      <c r="P624" s="415"/>
    </row>
    <row r="625" spans="16:16" x14ac:dyDescent="0.2">
      <c r="P625" s="415"/>
    </row>
    <row r="626" spans="16:16" x14ac:dyDescent="0.2">
      <c r="P626" s="415"/>
    </row>
    <row r="627" spans="16:16" x14ac:dyDescent="0.2">
      <c r="P627" s="415"/>
    </row>
    <row r="628" spans="16:16" x14ac:dyDescent="0.2">
      <c r="P628" s="415"/>
    </row>
    <row r="629" spans="16:16" x14ac:dyDescent="0.2">
      <c r="P629" s="415"/>
    </row>
    <row r="630" spans="16:16" x14ac:dyDescent="0.2">
      <c r="P630" s="415"/>
    </row>
    <row r="631" spans="16:16" x14ac:dyDescent="0.2">
      <c r="P631" s="415"/>
    </row>
    <row r="632" spans="16:16" x14ac:dyDescent="0.2">
      <c r="P632" s="415"/>
    </row>
    <row r="633" spans="16:16" x14ac:dyDescent="0.2">
      <c r="P633" s="415"/>
    </row>
    <row r="634" spans="16:16" x14ac:dyDescent="0.2">
      <c r="P634" s="415"/>
    </row>
    <row r="635" spans="16:16" x14ac:dyDescent="0.2">
      <c r="P635" s="415"/>
    </row>
    <row r="636" spans="16:16" x14ac:dyDescent="0.2">
      <c r="P636" s="415"/>
    </row>
    <row r="637" spans="16:16" x14ac:dyDescent="0.2">
      <c r="P637" s="415"/>
    </row>
    <row r="638" spans="16:16" x14ac:dyDescent="0.2">
      <c r="P638" s="415"/>
    </row>
    <row r="639" spans="16:16" x14ac:dyDescent="0.2">
      <c r="P639" s="415"/>
    </row>
    <row r="640" spans="16:16" x14ac:dyDescent="0.2">
      <c r="P640" s="415"/>
    </row>
    <row r="641" spans="16:16" x14ac:dyDescent="0.2">
      <c r="P641" s="415"/>
    </row>
    <row r="642" spans="16:16" x14ac:dyDescent="0.2">
      <c r="P642" s="415"/>
    </row>
    <row r="643" spans="16:16" x14ac:dyDescent="0.2">
      <c r="P643" s="415"/>
    </row>
    <row r="644" spans="16:16" x14ac:dyDescent="0.2">
      <c r="P644" s="415"/>
    </row>
    <row r="645" spans="16:16" x14ac:dyDescent="0.2">
      <c r="P645" s="415"/>
    </row>
    <row r="646" spans="16:16" x14ac:dyDescent="0.2">
      <c r="P646" s="415"/>
    </row>
    <row r="647" spans="16:16" x14ac:dyDescent="0.2">
      <c r="P647" s="415"/>
    </row>
    <row r="648" spans="16:16" x14ac:dyDescent="0.2">
      <c r="P648" s="415"/>
    </row>
    <row r="649" spans="16:16" x14ac:dyDescent="0.2">
      <c r="P649" s="415"/>
    </row>
    <row r="650" spans="16:16" x14ac:dyDescent="0.2">
      <c r="P650" s="415"/>
    </row>
    <row r="651" spans="16:16" x14ac:dyDescent="0.2">
      <c r="P651" s="415"/>
    </row>
    <row r="652" spans="16:16" x14ac:dyDescent="0.2">
      <c r="P652" s="415"/>
    </row>
    <row r="653" spans="16:16" x14ac:dyDescent="0.2">
      <c r="P653" s="415"/>
    </row>
    <row r="654" spans="16:16" x14ac:dyDescent="0.2">
      <c r="P654" s="415"/>
    </row>
    <row r="655" spans="16:16" x14ac:dyDescent="0.2">
      <c r="P655" s="415"/>
    </row>
    <row r="656" spans="16:16" x14ac:dyDescent="0.2">
      <c r="P656" s="415"/>
    </row>
    <row r="657" spans="16:16" x14ac:dyDescent="0.2">
      <c r="P657" s="415"/>
    </row>
    <row r="658" spans="16:16" x14ac:dyDescent="0.2">
      <c r="P658" s="415"/>
    </row>
    <row r="659" spans="16:16" x14ac:dyDescent="0.2">
      <c r="P659" s="415"/>
    </row>
    <row r="660" spans="16:16" x14ac:dyDescent="0.2">
      <c r="P660" s="415"/>
    </row>
    <row r="661" spans="16:16" x14ac:dyDescent="0.2">
      <c r="P661" s="415"/>
    </row>
    <row r="662" spans="16:16" x14ac:dyDescent="0.2">
      <c r="P662" s="415"/>
    </row>
    <row r="663" spans="16:16" x14ac:dyDescent="0.2">
      <c r="P663" s="415"/>
    </row>
    <row r="664" spans="16:16" x14ac:dyDescent="0.2">
      <c r="P664" s="415"/>
    </row>
    <row r="665" spans="16:16" x14ac:dyDescent="0.2">
      <c r="P665" s="415"/>
    </row>
    <row r="666" spans="16:16" x14ac:dyDescent="0.2">
      <c r="P666" s="415"/>
    </row>
    <row r="667" spans="16:16" x14ac:dyDescent="0.2">
      <c r="P667" s="415"/>
    </row>
    <row r="668" spans="16:16" x14ac:dyDescent="0.2">
      <c r="P668" s="415"/>
    </row>
    <row r="669" spans="16:16" x14ac:dyDescent="0.2">
      <c r="P669" s="415"/>
    </row>
    <row r="670" spans="16:16" x14ac:dyDescent="0.2">
      <c r="P670" s="415"/>
    </row>
    <row r="671" spans="16:16" x14ac:dyDescent="0.2">
      <c r="P671" s="415"/>
    </row>
    <row r="672" spans="16:16" x14ac:dyDescent="0.2">
      <c r="P672" s="415"/>
    </row>
    <row r="673" spans="16:16" x14ac:dyDescent="0.2">
      <c r="P673" s="415"/>
    </row>
    <row r="674" spans="16:16" x14ac:dyDescent="0.2">
      <c r="P674" s="415"/>
    </row>
    <row r="675" spans="16:16" x14ac:dyDescent="0.2">
      <c r="P675" s="415"/>
    </row>
    <row r="676" spans="16:16" x14ac:dyDescent="0.2">
      <c r="P676" s="415"/>
    </row>
    <row r="677" spans="16:16" x14ac:dyDescent="0.2">
      <c r="P677" s="415"/>
    </row>
    <row r="678" spans="16:16" x14ac:dyDescent="0.2">
      <c r="P678" s="415"/>
    </row>
    <row r="679" spans="16:16" x14ac:dyDescent="0.2">
      <c r="P679" s="415"/>
    </row>
    <row r="680" spans="16:16" x14ac:dyDescent="0.2">
      <c r="P680" s="415"/>
    </row>
    <row r="681" spans="16:16" x14ac:dyDescent="0.2">
      <c r="P681" s="415"/>
    </row>
    <row r="682" spans="16:16" x14ac:dyDescent="0.2">
      <c r="P682" s="415"/>
    </row>
    <row r="683" spans="16:16" x14ac:dyDescent="0.2">
      <c r="P683" s="415"/>
    </row>
    <row r="684" spans="16:16" x14ac:dyDescent="0.2">
      <c r="P684" s="415"/>
    </row>
    <row r="685" spans="16:16" x14ac:dyDescent="0.2">
      <c r="P685" s="415"/>
    </row>
    <row r="686" spans="16:16" x14ac:dyDescent="0.2">
      <c r="P686" s="415"/>
    </row>
    <row r="687" spans="16:16" x14ac:dyDescent="0.2">
      <c r="P687" s="415"/>
    </row>
    <row r="688" spans="16:16" x14ac:dyDescent="0.2">
      <c r="P688" s="415"/>
    </row>
    <row r="689" spans="16:16" x14ac:dyDescent="0.2">
      <c r="P689" s="415"/>
    </row>
    <row r="690" spans="16:16" x14ac:dyDescent="0.2">
      <c r="P690" s="415"/>
    </row>
    <row r="691" spans="16:16" x14ac:dyDescent="0.2">
      <c r="P691" s="415"/>
    </row>
    <row r="692" spans="16:16" x14ac:dyDescent="0.2">
      <c r="P692" s="415"/>
    </row>
    <row r="693" spans="16:16" x14ac:dyDescent="0.2">
      <c r="P693" s="415"/>
    </row>
    <row r="694" spans="16:16" x14ac:dyDescent="0.2">
      <c r="P694" s="415"/>
    </row>
    <row r="695" spans="16:16" x14ac:dyDescent="0.2">
      <c r="P695" s="415"/>
    </row>
    <row r="696" spans="16:16" x14ac:dyDescent="0.2">
      <c r="P696" s="415"/>
    </row>
    <row r="697" spans="16:16" x14ac:dyDescent="0.2">
      <c r="P697" s="415"/>
    </row>
    <row r="698" spans="16:16" x14ac:dyDescent="0.2">
      <c r="P698" s="415"/>
    </row>
    <row r="699" spans="16:16" x14ac:dyDescent="0.2">
      <c r="P699" s="415"/>
    </row>
    <row r="700" spans="16:16" x14ac:dyDescent="0.2">
      <c r="P700" s="415"/>
    </row>
    <row r="701" spans="16:16" x14ac:dyDescent="0.2">
      <c r="P701" s="415"/>
    </row>
    <row r="702" spans="16:16" x14ac:dyDescent="0.2">
      <c r="P702" s="415"/>
    </row>
    <row r="703" spans="16:16" x14ac:dyDescent="0.2">
      <c r="P703" s="415"/>
    </row>
    <row r="704" spans="16:16" x14ac:dyDescent="0.2">
      <c r="P704" s="415"/>
    </row>
    <row r="705" spans="16:16" x14ac:dyDescent="0.2">
      <c r="P705" s="415"/>
    </row>
    <row r="706" spans="16:16" x14ac:dyDescent="0.2">
      <c r="P706" s="415"/>
    </row>
    <row r="707" spans="16:16" x14ac:dyDescent="0.2">
      <c r="P707" s="415"/>
    </row>
    <row r="708" spans="16:16" x14ac:dyDescent="0.2">
      <c r="P708" s="415"/>
    </row>
    <row r="709" spans="16:16" x14ac:dyDescent="0.2">
      <c r="P709" s="415"/>
    </row>
    <row r="710" spans="16:16" x14ac:dyDescent="0.2">
      <c r="P710" s="415"/>
    </row>
    <row r="711" spans="16:16" x14ac:dyDescent="0.2">
      <c r="P711" s="415"/>
    </row>
    <row r="712" spans="16:16" x14ac:dyDescent="0.2">
      <c r="P712" s="415"/>
    </row>
    <row r="713" spans="16:16" x14ac:dyDescent="0.2">
      <c r="P713" s="415"/>
    </row>
    <row r="714" spans="16:16" x14ac:dyDescent="0.2">
      <c r="P714" s="415"/>
    </row>
    <row r="715" spans="16:16" x14ac:dyDescent="0.2">
      <c r="P715" s="415"/>
    </row>
    <row r="716" spans="16:16" x14ac:dyDescent="0.2">
      <c r="P716" s="415"/>
    </row>
    <row r="717" spans="16:16" x14ac:dyDescent="0.2">
      <c r="P717" s="415"/>
    </row>
    <row r="718" spans="16:16" x14ac:dyDescent="0.2">
      <c r="P718" s="415"/>
    </row>
    <row r="719" spans="16:16" x14ac:dyDescent="0.2">
      <c r="P719" s="415"/>
    </row>
    <row r="720" spans="16:16" x14ac:dyDescent="0.2">
      <c r="P720" s="415"/>
    </row>
    <row r="721" spans="16:16" x14ac:dyDescent="0.2">
      <c r="P721" s="415"/>
    </row>
    <row r="722" spans="16:16" x14ac:dyDescent="0.2">
      <c r="P722" s="415"/>
    </row>
    <row r="723" spans="16:16" x14ac:dyDescent="0.2">
      <c r="P723" s="415"/>
    </row>
    <row r="724" spans="16:16" x14ac:dyDescent="0.2">
      <c r="P724" s="415"/>
    </row>
    <row r="725" spans="16:16" x14ac:dyDescent="0.2">
      <c r="P725" s="415"/>
    </row>
    <row r="726" spans="16:16" x14ac:dyDescent="0.2">
      <c r="P726" s="415"/>
    </row>
    <row r="727" spans="16:16" x14ac:dyDescent="0.2">
      <c r="P727" s="415"/>
    </row>
    <row r="728" spans="16:16" x14ac:dyDescent="0.2">
      <c r="P728" s="415"/>
    </row>
    <row r="729" spans="16:16" x14ac:dyDescent="0.2">
      <c r="P729" s="415"/>
    </row>
    <row r="730" spans="16:16" x14ac:dyDescent="0.2">
      <c r="P730" s="415"/>
    </row>
    <row r="731" spans="16:16" x14ac:dyDescent="0.2">
      <c r="P731" s="415"/>
    </row>
    <row r="732" spans="16:16" x14ac:dyDescent="0.2">
      <c r="P732" s="415"/>
    </row>
    <row r="733" spans="16:16" x14ac:dyDescent="0.2">
      <c r="P733" s="415"/>
    </row>
    <row r="734" spans="16:16" x14ac:dyDescent="0.2">
      <c r="P734" s="415"/>
    </row>
    <row r="735" spans="16:16" x14ac:dyDescent="0.2">
      <c r="P735" s="415"/>
    </row>
    <row r="736" spans="16:16" x14ac:dyDescent="0.2">
      <c r="P736" s="415"/>
    </row>
    <row r="737" spans="16:16" x14ac:dyDescent="0.2">
      <c r="P737" s="415"/>
    </row>
    <row r="738" spans="16:16" x14ac:dyDescent="0.2">
      <c r="P738" s="415"/>
    </row>
    <row r="739" spans="16:16" x14ac:dyDescent="0.2">
      <c r="P739" s="415"/>
    </row>
    <row r="740" spans="16:16" x14ac:dyDescent="0.2">
      <c r="P740" s="415"/>
    </row>
    <row r="741" spans="16:16" x14ac:dyDescent="0.2">
      <c r="P741" s="415"/>
    </row>
    <row r="742" spans="16:16" x14ac:dyDescent="0.2">
      <c r="P742" s="415"/>
    </row>
    <row r="743" spans="16:16" x14ac:dyDescent="0.2">
      <c r="P743" s="415"/>
    </row>
    <row r="744" spans="16:16" x14ac:dyDescent="0.2">
      <c r="P744" s="415"/>
    </row>
    <row r="745" spans="16:16" x14ac:dyDescent="0.2">
      <c r="P745" s="415"/>
    </row>
    <row r="746" spans="16:16" x14ac:dyDescent="0.2">
      <c r="P746" s="415"/>
    </row>
    <row r="747" spans="16:16" x14ac:dyDescent="0.2">
      <c r="P747" s="415"/>
    </row>
    <row r="748" spans="16:16" x14ac:dyDescent="0.2">
      <c r="P748" s="415"/>
    </row>
    <row r="749" spans="16:16" x14ac:dyDescent="0.2">
      <c r="P749" s="415"/>
    </row>
    <row r="750" spans="16:16" x14ac:dyDescent="0.2">
      <c r="P750" s="415"/>
    </row>
    <row r="751" spans="16:16" x14ac:dyDescent="0.2">
      <c r="P751" s="415"/>
    </row>
    <row r="752" spans="16:16" x14ac:dyDescent="0.2">
      <c r="P752" s="415"/>
    </row>
    <row r="753" spans="16:16" x14ac:dyDescent="0.2">
      <c r="P753" s="415"/>
    </row>
    <row r="754" spans="16:16" x14ac:dyDescent="0.2">
      <c r="P754" s="415"/>
    </row>
    <row r="755" spans="16:16" x14ac:dyDescent="0.2">
      <c r="P755" s="415"/>
    </row>
    <row r="756" spans="16:16" x14ac:dyDescent="0.2">
      <c r="P756" s="415"/>
    </row>
    <row r="757" spans="16:16" x14ac:dyDescent="0.2">
      <c r="P757" s="415"/>
    </row>
    <row r="758" spans="16:16" x14ac:dyDescent="0.2">
      <c r="P758" s="415"/>
    </row>
    <row r="759" spans="16:16" x14ac:dyDescent="0.2">
      <c r="P759" s="415"/>
    </row>
    <row r="760" spans="16:16" x14ac:dyDescent="0.2">
      <c r="P760" s="415"/>
    </row>
    <row r="761" spans="16:16" x14ac:dyDescent="0.2">
      <c r="P761" s="415"/>
    </row>
    <row r="762" spans="16:16" x14ac:dyDescent="0.2">
      <c r="P762" s="415"/>
    </row>
    <row r="763" spans="16:16" x14ac:dyDescent="0.2">
      <c r="P763" s="415"/>
    </row>
    <row r="764" spans="16:16" x14ac:dyDescent="0.2">
      <c r="P764" s="415"/>
    </row>
    <row r="765" spans="16:16" x14ac:dyDescent="0.2">
      <c r="P765" s="415"/>
    </row>
    <row r="766" spans="16:16" x14ac:dyDescent="0.2">
      <c r="P766" s="415"/>
    </row>
    <row r="767" spans="16:16" x14ac:dyDescent="0.2">
      <c r="P767" s="415"/>
    </row>
    <row r="768" spans="16:16" x14ac:dyDescent="0.2">
      <c r="P768" s="415"/>
    </row>
    <row r="769" spans="16:16" x14ac:dyDescent="0.2">
      <c r="P769" s="415"/>
    </row>
    <row r="770" spans="16:16" x14ac:dyDescent="0.2">
      <c r="P770" s="415"/>
    </row>
    <row r="771" spans="16:16" x14ac:dyDescent="0.2">
      <c r="P771" s="415"/>
    </row>
    <row r="772" spans="16:16" x14ac:dyDescent="0.2">
      <c r="P772" s="415"/>
    </row>
    <row r="773" spans="16:16" x14ac:dyDescent="0.2">
      <c r="P773" s="415"/>
    </row>
    <row r="774" spans="16:16" x14ac:dyDescent="0.2">
      <c r="P774" s="415"/>
    </row>
    <row r="775" spans="16:16" x14ac:dyDescent="0.2">
      <c r="P775" s="415"/>
    </row>
    <row r="776" spans="16:16" x14ac:dyDescent="0.2">
      <c r="P776" s="415"/>
    </row>
    <row r="777" spans="16:16" x14ac:dyDescent="0.2">
      <c r="P777" s="415"/>
    </row>
    <row r="778" spans="16:16" x14ac:dyDescent="0.2">
      <c r="P778" s="415"/>
    </row>
    <row r="779" spans="16:16" x14ac:dyDescent="0.2">
      <c r="P779" s="415"/>
    </row>
    <row r="780" spans="16:16" x14ac:dyDescent="0.2">
      <c r="P780" s="415"/>
    </row>
    <row r="781" spans="16:16" x14ac:dyDescent="0.2">
      <c r="P781" s="415"/>
    </row>
    <row r="782" spans="16:16" x14ac:dyDescent="0.2">
      <c r="P782" s="415"/>
    </row>
    <row r="783" spans="16:16" x14ac:dyDescent="0.2">
      <c r="P783" s="415"/>
    </row>
    <row r="784" spans="16:16" x14ac:dyDescent="0.2">
      <c r="P784" s="415"/>
    </row>
    <row r="785" spans="16:16" x14ac:dyDescent="0.2">
      <c r="P785" s="415"/>
    </row>
    <row r="786" spans="16:16" x14ac:dyDescent="0.2">
      <c r="P786" s="415"/>
    </row>
    <row r="787" spans="16:16" x14ac:dyDescent="0.2">
      <c r="P787" s="415"/>
    </row>
    <row r="788" spans="16:16" x14ac:dyDescent="0.2">
      <c r="P788" s="415"/>
    </row>
    <row r="789" spans="16:16" x14ac:dyDescent="0.2">
      <c r="P789" s="415"/>
    </row>
    <row r="790" spans="16:16" x14ac:dyDescent="0.2">
      <c r="P790" s="415"/>
    </row>
    <row r="791" spans="16:16" x14ac:dyDescent="0.2">
      <c r="P791" s="415"/>
    </row>
    <row r="792" spans="16:16" x14ac:dyDescent="0.2">
      <c r="P792" s="415"/>
    </row>
    <row r="793" spans="16:16" x14ac:dyDescent="0.2">
      <c r="P793" s="415"/>
    </row>
    <row r="794" spans="16:16" x14ac:dyDescent="0.2">
      <c r="P794" s="415"/>
    </row>
    <row r="795" spans="16:16" x14ac:dyDescent="0.2">
      <c r="P795" s="415"/>
    </row>
    <row r="796" spans="16:16" x14ac:dyDescent="0.2">
      <c r="P796" s="415"/>
    </row>
    <row r="797" spans="16:16" x14ac:dyDescent="0.2">
      <c r="P797" s="415"/>
    </row>
    <row r="798" spans="16:16" x14ac:dyDescent="0.2">
      <c r="P798" s="415"/>
    </row>
    <row r="799" spans="16:16" x14ac:dyDescent="0.2">
      <c r="P799" s="415"/>
    </row>
    <row r="800" spans="16:16" x14ac:dyDescent="0.2">
      <c r="P800" s="415"/>
    </row>
    <row r="801" spans="16:16" x14ac:dyDescent="0.2">
      <c r="P801" s="415"/>
    </row>
    <row r="802" spans="16:16" x14ac:dyDescent="0.2">
      <c r="P802" s="415"/>
    </row>
    <row r="803" spans="16:16" x14ac:dyDescent="0.2">
      <c r="P803" s="415"/>
    </row>
    <row r="804" spans="16:16" x14ac:dyDescent="0.2">
      <c r="P804" s="415"/>
    </row>
    <row r="805" spans="16:16" x14ac:dyDescent="0.2">
      <c r="P805" s="415"/>
    </row>
    <row r="806" spans="16:16" x14ac:dyDescent="0.2">
      <c r="P806" s="415"/>
    </row>
    <row r="807" spans="16:16" x14ac:dyDescent="0.2">
      <c r="P807" s="415"/>
    </row>
    <row r="808" spans="16:16" x14ac:dyDescent="0.2">
      <c r="P808" s="415"/>
    </row>
    <row r="809" spans="16:16" x14ac:dyDescent="0.2">
      <c r="P809" s="415"/>
    </row>
    <row r="810" spans="16:16" x14ac:dyDescent="0.2">
      <c r="P810" s="415"/>
    </row>
    <row r="811" spans="16:16" x14ac:dyDescent="0.2">
      <c r="P811" s="415"/>
    </row>
    <row r="812" spans="16:16" x14ac:dyDescent="0.2">
      <c r="P812" s="415"/>
    </row>
    <row r="813" spans="16:16" x14ac:dyDescent="0.2">
      <c r="P813" s="415"/>
    </row>
    <row r="814" spans="16:16" x14ac:dyDescent="0.2">
      <c r="P814" s="415"/>
    </row>
    <row r="815" spans="16:16" x14ac:dyDescent="0.2">
      <c r="P815" s="415"/>
    </row>
    <row r="816" spans="16:16" x14ac:dyDescent="0.2">
      <c r="P816" s="415"/>
    </row>
    <row r="817" spans="16:16" x14ac:dyDescent="0.2">
      <c r="P817" s="415"/>
    </row>
    <row r="818" spans="16:16" x14ac:dyDescent="0.2">
      <c r="P818" s="415"/>
    </row>
    <row r="819" spans="16:16" x14ac:dyDescent="0.2">
      <c r="P819" s="415"/>
    </row>
    <row r="820" spans="16:16" x14ac:dyDescent="0.2">
      <c r="P820" s="415"/>
    </row>
    <row r="821" spans="16:16" x14ac:dyDescent="0.2">
      <c r="P821" s="415"/>
    </row>
    <row r="822" spans="16:16" x14ac:dyDescent="0.2">
      <c r="P822" s="415"/>
    </row>
    <row r="823" spans="16:16" x14ac:dyDescent="0.2">
      <c r="P823" s="415"/>
    </row>
    <row r="824" spans="16:16" x14ac:dyDescent="0.2">
      <c r="P824" s="415"/>
    </row>
    <row r="825" spans="16:16" x14ac:dyDescent="0.2">
      <c r="P825" s="415"/>
    </row>
    <row r="826" spans="16:16" x14ac:dyDescent="0.2">
      <c r="P826" s="415"/>
    </row>
    <row r="827" spans="16:16" x14ac:dyDescent="0.2">
      <c r="P827" s="415"/>
    </row>
    <row r="828" spans="16:16" x14ac:dyDescent="0.2">
      <c r="P828" s="415"/>
    </row>
    <row r="829" spans="16:16" x14ac:dyDescent="0.2">
      <c r="P829" s="415"/>
    </row>
    <row r="830" spans="16:16" x14ac:dyDescent="0.2">
      <c r="P830" s="415"/>
    </row>
    <row r="831" spans="16:16" x14ac:dyDescent="0.2">
      <c r="P831" s="415"/>
    </row>
    <row r="832" spans="16:16" x14ac:dyDescent="0.2">
      <c r="P832" s="415"/>
    </row>
    <row r="833" spans="16:16" x14ac:dyDescent="0.2">
      <c r="P833" s="415"/>
    </row>
    <row r="834" spans="16:16" x14ac:dyDescent="0.2">
      <c r="P834" s="415"/>
    </row>
    <row r="835" spans="16:16" x14ac:dyDescent="0.2">
      <c r="P835" s="415"/>
    </row>
    <row r="836" spans="16:16" x14ac:dyDescent="0.2">
      <c r="P836" s="415"/>
    </row>
    <row r="837" spans="16:16" x14ac:dyDescent="0.2">
      <c r="P837" s="415"/>
    </row>
    <row r="838" spans="16:16" x14ac:dyDescent="0.2">
      <c r="P838" s="415"/>
    </row>
    <row r="839" spans="16:16" x14ac:dyDescent="0.2">
      <c r="P839" s="415"/>
    </row>
    <row r="840" spans="16:16" x14ac:dyDescent="0.2">
      <c r="P840" s="415"/>
    </row>
    <row r="841" spans="16:16" x14ac:dyDescent="0.2">
      <c r="P841" s="415"/>
    </row>
    <row r="842" spans="16:16" x14ac:dyDescent="0.2">
      <c r="P842" s="415"/>
    </row>
    <row r="843" spans="16:16" x14ac:dyDescent="0.2">
      <c r="P843" s="415"/>
    </row>
    <row r="844" spans="16:16" x14ac:dyDescent="0.2">
      <c r="P844" s="415"/>
    </row>
    <row r="845" spans="16:16" x14ac:dyDescent="0.2">
      <c r="P845" s="415"/>
    </row>
    <row r="846" spans="16:16" x14ac:dyDescent="0.2">
      <c r="P846" s="415"/>
    </row>
    <row r="847" spans="16:16" x14ac:dyDescent="0.2">
      <c r="P847" s="415"/>
    </row>
    <row r="848" spans="16:16" x14ac:dyDescent="0.2">
      <c r="P848" s="415"/>
    </row>
    <row r="849" spans="16:16" x14ac:dyDescent="0.2">
      <c r="P849" s="415"/>
    </row>
    <row r="850" spans="16:16" x14ac:dyDescent="0.2">
      <c r="P850" s="415"/>
    </row>
    <row r="851" spans="16:16" x14ac:dyDescent="0.2">
      <c r="P851" s="415"/>
    </row>
    <row r="852" spans="16:16" x14ac:dyDescent="0.2">
      <c r="P852" s="415"/>
    </row>
    <row r="853" spans="16:16" x14ac:dyDescent="0.2">
      <c r="P853" s="415"/>
    </row>
    <row r="854" spans="16:16" x14ac:dyDescent="0.2">
      <c r="P854" s="415"/>
    </row>
    <row r="855" spans="16:16" x14ac:dyDescent="0.2">
      <c r="P855" s="415"/>
    </row>
    <row r="856" spans="16:16" x14ac:dyDescent="0.2">
      <c r="P856" s="415"/>
    </row>
    <row r="857" spans="16:16" x14ac:dyDescent="0.2">
      <c r="P857" s="415"/>
    </row>
    <row r="858" spans="16:16" x14ac:dyDescent="0.2">
      <c r="P858" s="415"/>
    </row>
    <row r="859" spans="16:16" x14ac:dyDescent="0.2">
      <c r="P859" s="415"/>
    </row>
    <row r="860" spans="16:16" x14ac:dyDescent="0.2">
      <c r="P860" s="415"/>
    </row>
    <row r="861" spans="16:16" x14ac:dyDescent="0.2">
      <c r="P861" s="415"/>
    </row>
    <row r="862" spans="16:16" x14ac:dyDescent="0.2">
      <c r="P862" s="415"/>
    </row>
    <row r="863" spans="16:16" x14ac:dyDescent="0.2">
      <c r="P863" s="415"/>
    </row>
    <row r="864" spans="16:16" x14ac:dyDescent="0.2">
      <c r="P864" s="415"/>
    </row>
    <row r="865" spans="16:16" x14ac:dyDescent="0.2">
      <c r="P865" s="415"/>
    </row>
    <row r="866" spans="16:16" x14ac:dyDescent="0.2">
      <c r="P866" s="415"/>
    </row>
    <row r="867" spans="16:16" x14ac:dyDescent="0.2">
      <c r="P867" s="415"/>
    </row>
    <row r="868" spans="16:16" x14ac:dyDescent="0.2">
      <c r="P868" s="415"/>
    </row>
    <row r="869" spans="16:16" x14ac:dyDescent="0.2">
      <c r="P869" s="415"/>
    </row>
    <row r="870" spans="16:16" x14ac:dyDescent="0.2">
      <c r="P870" s="415"/>
    </row>
    <row r="871" spans="16:16" x14ac:dyDescent="0.2">
      <c r="P871" s="415"/>
    </row>
    <row r="872" spans="16:16" x14ac:dyDescent="0.2">
      <c r="P872" s="415"/>
    </row>
    <row r="873" spans="16:16" x14ac:dyDescent="0.2">
      <c r="P873" s="415"/>
    </row>
    <row r="874" spans="16:16" x14ac:dyDescent="0.2">
      <c r="P874" s="415"/>
    </row>
    <row r="875" spans="16:16" x14ac:dyDescent="0.2">
      <c r="P875" s="415"/>
    </row>
    <row r="876" spans="16:16" x14ac:dyDescent="0.2">
      <c r="P876" s="415"/>
    </row>
    <row r="877" spans="16:16" x14ac:dyDescent="0.2">
      <c r="P877" s="415"/>
    </row>
    <row r="878" spans="16:16" x14ac:dyDescent="0.2">
      <c r="P878" s="415"/>
    </row>
    <row r="879" spans="16:16" x14ac:dyDescent="0.2">
      <c r="P879" s="415"/>
    </row>
    <row r="880" spans="16:16" x14ac:dyDescent="0.2">
      <c r="P880" s="415"/>
    </row>
    <row r="881" spans="16:16" x14ac:dyDescent="0.2">
      <c r="P881" s="415"/>
    </row>
    <row r="882" spans="16:16" x14ac:dyDescent="0.2">
      <c r="P882" s="415"/>
    </row>
    <row r="883" spans="16:16" x14ac:dyDescent="0.2">
      <c r="P883" s="415"/>
    </row>
    <row r="884" spans="16:16" x14ac:dyDescent="0.2">
      <c r="P884" s="415"/>
    </row>
    <row r="885" spans="16:16" x14ac:dyDescent="0.2">
      <c r="P885" s="415"/>
    </row>
    <row r="886" spans="16:16" x14ac:dyDescent="0.2">
      <c r="P886" s="415"/>
    </row>
    <row r="887" spans="16:16" x14ac:dyDescent="0.2">
      <c r="P887" s="415"/>
    </row>
    <row r="888" spans="16:16" x14ac:dyDescent="0.2">
      <c r="P888" s="415"/>
    </row>
    <row r="889" spans="16:16" x14ac:dyDescent="0.2">
      <c r="P889" s="415"/>
    </row>
    <row r="890" spans="16:16" x14ac:dyDescent="0.2">
      <c r="P890" s="415"/>
    </row>
    <row r="891" spans="16:16" x14ac:dyDescent="0.2">
      <c r="P891" s="415"/>
    </row>
    <row r="892" spans="16:16" x14ac:dyDescent="0.2">
      <c r="P892" s="415"/>
    </row>
    <row r="893" spans="16:16" x14ac:dyDescent="0.2">
      <c r="P893" s="415"/>
    </row>
    <row r="894" spans="16:16" x14ac:dyDescent="0.2">
      <c r="P894" s="415"/>
    </row>
    <row r="895" spans="16:16" x14ac:dyDescent="0.2">
      <c r="P895" s="415"/>
    </row>
    <row r="896" spans="16:16" x14ac:dyDescent="0.2">
      <c r="P896" s="415"/>
    </row>
    <row r="897" spans="16:16" x14ac:dyDescent="0.2">
      <c r="P897" s="415"/>
    </row>
    <row r="898" spans="16:16" x14ac:dyDescent="0.2">
      <c r="P898" s="415"/>
    </row>
    <row r="899" spans="16:16" x14ac:dyDescent="0.2">
      <c r="P899" s="415"/>
    </row>
    <row r="900" spans="16:16" x14ac:dyDescent="0.2">
      <c r="P900" s="415"/>
    </row>
    <row r="901" spans="16:16" x14ac:dyDescent="0.2">
      <c r="P901" s="415"/>
    </row>
    <row r="902" spans="16:16" x14ac:dyDescent="0.2">
      <c r="P902" s="415"/>
    </row>
    <row r="903" spans="16:16" x14ac:dyDescent="0.2">
      <c r="P903" s="415"/>
    </row>
    <row r="904" spans="16:16" x14ac:dyDescent="0.2">
      <c r="P904" s="415"/>
    </row>
    <row r="905" spans="16:16" x14ac:dyDescent="0.2">
      <c r="P905" s="415"/>
    </row>
    <row r="906" spans="16:16" x14ac:dyDescent="0.2">
      <c r="P906" s="415"/>
    </row>
    <row r="907" spans="16:16" x14ac:dyDescent="0.2">
      <c r="P907" s="415"/>
    </row>
    <row r="908" spans="16:16" x14ac:dyDescent="0.2">
      <c r="P908" s="415"/>
    </row>
    <row r="909" spans="16:16" x14ac:dyDescent="0.2">
      <c r="P909" s="415"/>
    </row>
    <row r="910" spans="16:16" x14ac:dyDescent="0.2">
      <c r="P910" s="415"/>
    </row>
    <row r="911" spans="16:16" x14ac:dyDescent="0.2">
      <c r="P911" s="415"/>
    </row>
    <row r="912" spans="16:16" x14ac:dyDescent="0.2">
      <c r="P912" s="415"/>
    </row>
    <row r="913" spans="16:16" x14ac:dyDescent="0.2">
      <c r="P913" s="415"/>
    </row>
    <row r="914" spans="16:16" x14ac:dyDescent="0.2">
      <c r="P914" s="415"/>
    </row>
    <row r="915" spans="16:16" x14ac:dyDescent="0.2">
      <c r="P915" s="415"/>
    </row>
    <row r="916" spans="16:16" x14ac:dyDescent="0.2">
      <c r="P916" s="415"/>
    </row>
    <row r="917" spans="16:16" x14ac:dyDescent="0.2">
      <c r="P917" s="415"/>
    </row>
    <row r="918" spans="16:16" x14ac:dyDescent="0.2">
      <c r="P918" s="415"/>
    </row>
    <row r="919" spans="16:16" x14ac:dyDescent="0.2">
      <c r="P919" s="415"/>
    </row>
    <row r="920" spans="16:16" x14ac:dyDescent="0.2">
      <c r="P920" s="415"/>
    </row>
    <row r="921" spans="16:16" x14ac:dyDescent="0.2">
      <c r="P921" s="415"/>
    </row>
    <row r="922" spans="16:16" x14ac:dyDescent="0.2">
      <c r="P922" s="415"/>
    </row>
    <row r="923" spans="16:16" x14ac:dyDescent="0.2">
      <c r="P923" s="415"/>
    </row>
    <row r="924" spans="16:16" x14ac:dyDescent="0.2">
      <c r="P924" s="415"/>
    </row>
    <row r="925" spans="16:16" x14ac:dyDescent="0.2">
      <c r="P925" s="415"/>
    </row>
    <row r="926" spans="16:16" x14ac:dyDescent="0.2">
      <c r="P926" s="415"/>
    </row>
    <row r="927" spans="16:16" x14ac:dyDescent="0.2">
      <c r="P927" s="415"/>
    </row>
    <row r="928" spans="16:16" x14ac:dyDescent="0.2">
      <c r="P928" s="415"/>
    </row>
    <row r="929" spans="16:16" x14ac:dyDescent="0.2">
      <c r="P929" s="415"/>
    </row>
    <row r="930" spans="16:16" x14ac:dyDescent="0.2">
      <c r="P930" s="415"/>
    </row>
    <row r="931" spans="16:16" x14ac:dyDescent="0.2">
      <c r="P931" s="415"/>
    </row>
    <row r="932" spans="16:16" x14ac:dyDescent="0.2">
      <c r="P932" s="415"/>
    </row>
    <row r="933" spans="16:16" x14ac:dyDescent="0.2">
      <c r="P933" s="415"/>
    </row>
    <row r="934" spans="16:16" x14ac:dyDescent="0.2">
      <c r="P934" s="415"/>
    </row>
    <row r="935" spans="16:16" x14ac:dyDescent="0.2">
      <c r="P935" s="415"/>
    </row>
    <row r="936" spans="16:16" x14ac:dyDescent="0.2">
      <c r="P936" s="415"/>
    </row>
    <row r="937" spans="16:16" x14ac:dyDescent="0.2">
      <c r="P937" s="415"/>
    </row>
    <row r="938" spans="16:16" x14ac:dyDescent="0.2">
      <c r="P938" s="415"/>
    </row>
    <row r="939" spans="16:16" x14ac:dyDescent="0.2">
      <c r="P939" s="415"/>
    </row>
    <row r="940" spans="16:16" x14ac:dyDescent="0.2">
      <c r="P940" s="415"/>
    </row>
    <row r="941" spans="16:16" x14ac:dyDescent="0.2">
      <c r="P941" s="415"/>
    </row>
    <row r="942" spans="16:16" x14ac:dyDescent="0.2">
      <c r="P942" s="415"/>
    </row>
    <row r="943" spans="16:16" x14ac:dyDescent="0.2">
      <c r="P943" s="415"/>
    </row>
    <row r="944" spans="16:16" x14ac:dyDescent="0.2">
      <c r="P944" s="415"/>
    </row>
    <row r="945" spans="16:16" x14ac:dyDescent="0.2">
      <c r="P945" s="415"/>
    </row>
    <row r="946" spans="16:16" x14ac:dyDescent="0.2">
      <c r="P946" s="415"/>
    </row>
    <row r="947" spans="16:16" x14ac:dyDescent="0.2">
      <c r="P947" s="415"/>
    </row>
    <row r="948" spans="16:16" x14ac:dyDescent="0.2">
      <c r="P948" s="415"/>
    </row>
    <row r="949" spans="16:16" x14ac:dyDescent="0.2">
      <c r="P949" s="415"/>
    </row>
    <row r="950" spans="16:16" x14ac:dyDescent="0.2">
      <c r="P950" s="415"/>
    </row>
    <row r="951" spans="16:16" x14ac:dyDescent="0.2">
      <c r="P951" s="415"/>
    </row>
    <row r="952" spans="16:16" x14ac:dyDescent="0.2">
      <c r="P952" s="415"/>
    </row>
    <row r="953" spans="16:16" x14ac:dyDescent="0.2">
      <c r="P953" s="415"/>
    </row>
    <row r="954" spans="16:16" x14ac:dyDescent="0.2">
      <c r="P954" s="415"/>
    </row>
    <row r="955" spans="16:16" x14ac:dyDescent="0.2">
      <c r="P955" s="415"/>
    </row>
    <row r="956" spans="16:16" x14ac:dyDescent="0.2">
      <c r="P956" s="415"/>
    </row>
    <row r="957" spans="16:16" x14ac:dyDescent="0.2">
      <c r="P957" s="415"/>
    </row>
    <row r="958" spans="16:16" x14ac:dyDescent="0.2">
      <c r="P958" s="415"/>
    </row>
    <row r="959" spans="16:16" x14ac:dyDescent="0.2">
      <c r="P959" s="415"/>
    </row>
    <row r="960" spans="16:16" x14ac:dyDescent="0.2">
      <c r="P960" s="415"/>
    </row>
    <row r="961" spans="16:16" x14ac:dyDescent="0.2">
      <c r="P961" s="415"/>
    </row>
    <row r="962" spans="16:16" x14ac:dyDescent="0.2">
      <c r="P962" s="415"/>
    </row>
    <row r="963" spans="16:16" x14ac:dyDescent="0.2">
      <c r="P963" s="415"/>
    </row>
    <row r="964" spans="16:16" x14ac:dyDescent="0.2">
      <c r="P964" s="415"/>
    </row>
    <row r="965" spans="16:16" x14ac:dyDescent="0.2">
      <c r="P965" s="415"/>
    </row>
    <row r="966" spans="16:16" x14ac:dyDescent="0.2">
      <c r="P966" s="415"/>
    </row>
    <row r="967" spans="16:16" x14ac:dyDescent="0.2">
      <c r="P967" s="415"/>
    </row>
    <row r="968" spans="16:16" x14ac:dyDescent="0.2">
      <c r="P968" s="415"/>
    </row>
    <row r="969" spans="16:16" x14ac:dyDescent="0.2">
      <c r="P969" s="415"/>
    </row>
    <row r="970" spans="16:16" x14ac:dyDescent="0.2">
      <c r="P970" s="415"/>
    </row>
    <row r="971" spans="16:16" x14ac:dyDescent="0.2">
      <c r="P971" s="415"/>
    </row>
    <row r="972" spans="16:16" x14ac:dyDescent="0.2">
      <c r="P972" s="415"/>
    </row>
    <row r="973" spans="16:16" x14ac:dyDescent="0.2">
      <c r="P973" s="415"/>
    </row>
    <row r="974" spans="16:16" x14ac:dyDescent="0.2">
      <c r="P974" s="415"/>
    </row>
    <row r="975" spans="16:16" x14ac:dyDescent="0.2">
      <c r="P975" s="415"/>
    </row>
    <row r="976" spans="16:16" x14ac:dyDescent="0.2">
      <c r="P976" s="415"/>
    </row>
    <row r="977" spans="16:16" x14ac:dyDescent="0.2">
      <c r="P977" s="415"/>
    </row>
    <row r="978" spans="16:16" x14ac:dyDescent="0.2">
      <c r="P978" s="415"/>
    </row>
    <row r="979" spans="16:16" x14ac:dyDescent="0.2">
      <c r="P979" s="415"/>
    </row>
    <row r="980" spans="16:16" x14ac:dyDescent="0.2">
      <c r="P980" s="415"/>
    </row>
    <row r="981" spans="16:16" x14ac:dyDescent="0.2">
      <c r="P981" s="415"/>
    </row>
    <row r="982" spans="16:16" x14ac:dyDescent="0.2">
      <c r="P982" s="415"/>
    </row>
    <row r="983" spans="16:16" x14ac:dyDescent="0.2">
      <c r="P983" s="415"/>
    </row>
    <row r="984" spans="16:16" x14ac:dyDescent="0.2">
      <c r="P984" s="415"/>
    </row>
    <row r="985" spans="16:16" x14ac:dyDescent="0.2">
      <c r="P985" s="415"/>
    </row>
    <row r="986" spans="16:16" x14ac:dyDescent="0.2">
      <c r="P986" s="415"/>
    </row>
    <row r="987" spans="16:16" x14ac:dyDescent="0.2">
      <c r="P987" s="415"/>
    </row>
    <row r="988" spans="16:16" x14ac:dyDescent="0.2">
      <c r="P988" s="415"/>
    </row>
    <row r="989" spans="16:16" x14ac:dyDescent="0.2">
      <c r="P989" s="415"/>
    </row>
    <row r="990" spans="16:16" x14ac:dyDescent="0.2">
      <c r="P990" s="415"/>
    </row>
    <row r="991" spans="16:16" x14ac:dyDescent="0.2">
      <c r="P991" s="415"/>
    </row>
    <row r="992" spans="16:16" x14ac:dyDescent="0.2">
      <c r="P992" s="415"/>
    </row>
    <row r="993" spans="16:16" x14ac:dyDescent="0.2">
      <c r="P993" s="415"/>
    </row>
    <row r="994" spans="16:16" x14ac:dyDescent="0.2">
      <c r="P994" s="415"/>
    </row>
    <row r="995" spans="16:16" x14ac:dyDescent="0.2">
      <c r="P995" s="415"/>
    </row>
    <row r="996" spans="16:16" x14ac:dyDescent="0.2">
      <c r="P996" s="415"/>
    </row>
    <row r="997" spans="16:16" x14ac:dyDescent="0.2">
      <c r="P997" s="415"/>
    </row>
    <row r="998" spans="16:16" x14ac:dyDescent="0.2">
      <c r="P998" s="415"/>
    </row>
    <row r="999" spans="16:16" x14ac:dyDescent="0.2">
      <c r="P999" s="415"/>
    </row>
    <row r="1000" spans="16:16" x14ac:dyDescent="0.2">
      <c r="P1000" s="415"/>
    </row>
    <row r="1001" spans="16:16" x14ac:dyDescent="0.2">
      <c r="P1001" s="415"/>
    </row>
    <row r="1002" spans="16:16" x14ac:dyDescent="0.2">
      <c r="P1002" s="415"/>
    </row>
    <row r="1003" spans="16:16" x14ac:dyDescent="0.2">
      <c r="P1003" s="415"/>
    </row>
    <row r="1004" spans="16:16" x14ac:dyDescent="0.2">
      <c r="P1004" s="415"/>
    </row>
    <row r="1005" spans="16:16" x14ac:dyDescent="0.2">
      <c r="P1005" s="415"/>
    </row>
    <row r="1006" spans="16:16" x14ac:dyDescent="0.2">
      <c r="P1006" s="415"/>
    </row>
    <row r="1007" spans="16:16" x14ac:dyDescent="0.2">
      <c r="P1007" s="415"/>
    </row>
    <row r="1008" spans="16:16" x14ac:dyDescent="0.2">
      <c r="P1008" s="415"/>
    </row>
    <row r="1009" spans="16:16" x14ac:dyDescent="0.2">
      <c r="P1009" s="415"/>
    </row>
    <row r="1010" spans="16:16" x14ac:dyDescent="0.2">
      <c r="P1010" s="415"/>
    </row>
    <row r="1011" spans="16:16" x14ac:dyDescent="0.2">
      <c r="P1011" s="415"/>
    </row>
    <row r="1012" spans="16:16" x14ac:dyDescent="0.2">
      <c r="P1012" s="415"/>
    </row>
    <row r="1013" spans="16:16" x14ac:dyDescent="0.2">
      <c r="P1013" s="415"/>
    </row>
    <row r="1014" spans="16:16" x14ac:dyDescent="0.2">
      <c r="P1014" s="415"/>
    </row>
    <row r="1015" spans="16:16" x14ac:dyDescent="0.2">
      <c r="P1015" s="415"/>
    </row>
    <row r="1016" spans="16:16" x14ac:dyDescent="0.2">
      <c r="P1016" s="415"/>
    </row>
    <row r="1017" spans="16:16" x14ac:dyDescent="0.2">
      <c r="P1017" s="415"/>
    </row>
    <row r="1018" spans="16:16" x14ac:dyDescent="0.2">
      <c r="P1018" s="415"/>
    </row>
    <row r="1019" spans="16:16" x14ac:dyDescent="0.2">
      <c r="P1019" s="415"/>
    </row>
    <row r="1020" spans="16:16" x14ac:dyDescent="0.2">
      <c r="P1020" s="415"/>
    </row>
    <row r="1021" spans="16:16" x14ac:dyDescent="0.2">
      <c r="P1021" s="415"/>
    </row>
    <row r="1022" spans="16:16" x14ac:dyDescent="0.2">
      <c r="P1022" s="415"/>
    </row>
    <row r="1023" spans="16:16" x14ac:dyDescent="0.2">
      <c r="P1023" s="415"/>
    </row>
    <row r="1024" spans="16:16" x14ac:dyDescent="0.2">
      <c r="P1024" s="415"/>
    </row>
    <row r="1025" spans="16:16" x14ac:dyDescent="0.2">
      <c r="P1025" s="415"/>
    </row>
    <row r="1026" spans="16:16" x14ac:dyDescent="0.2">
      <c r="P1026" s="415"/>
    </row>
    <row r="1027" spans="16:16" x14ac:dyDescent="0.2">
      <c r="P1027" s="415"/>
    </row>
    <row r="1028" spans="16:16" x14ac:dyDescent="0.2">
      <c r="P1028" s="415"/>
    </row>
    <row r="1029" spans="16:16" x14ac:dyDescent="0.2">
      <c r="P1029" s="415"/>
    </row>
    <row r="1030" spans="16:16" x14ac:dyDescent="0.2">
      <c r="P1030" s="415"/>
    </row>
    <row r="1031" spans="16:16" x14ac:dyDescent="0.2">
      <c r="P1031" s="415"/>
    </row>
    <row r="1032" spans="16:16" x14ac:dyDescent="0.2">
      <c r="P1032" s="415"/>
    </row>
    <row r="1033" spans="16:16" x14ac:dyDescent="0.2">
      <c r="P1033" s="415"/>
    </row>
    <row r="1034" spans="16:16" x14ac:dyDescent="0.2">
      <c r="P1034" s="415"/>
    </row>
    <row r="1035" spans="16:16" x14ac:dyDescent="0.2">
      <c r="P1035" s="415"/>
    </row>
    <row r="1036" spans="16:16" x14ac:dyDescent="0.2">
      <c r="P1036" s="415"/>
    </row>
    <row r="1037" spans="16:16" x14ac:dyDescent="0.2">
      <c r="P1037" s="415"/>
    </row>
    <row r="1038" spans="16:16" x14ac:dyDescent="0.2">
      <c r="P1038" s="415"/>
    </row>
    <row r="1039" spans="16:16" x14ac:dyDescent="0.2">
      <c r="P1039" s="415"/>
    </row>
    <row r="1040" spans="16:16" x14ac:dyDescent="0.2">
      <c r="P1040" s="415"/>
    </row>
    <row r="1041" spans="16:16" x14ac:dyDescent="0.2">
      <c r="P1041" s="415"/>
    </row>
    <row r="1042" spans="16:16" x14ac:dyDescent="0.2">
      <c r="P1042" s="415"/>
    </row>
    <row r="1043" spans="16:16" x14ac:dyDescent="0.2">
      <c r="P1043" s="415"/>
    </row>
    <row r="1044" spans="16:16" x14ac:dyDescent="0.2">
      <c r="P1044" s="415"/>
    </row>
    <row r="1045" spans="16:16" x14ac:dyDescent="0.2">
      <c r="P1045" s="415"/>
    </row>
    <row r="1046" spans="16:16" x14ac:dyDescent="0.2">
      <c r="P1046" s="415"/>
    </row>
    <row r="1047" spans="16:16" x14ac:dyDescent="0.2">
      <c r="P1047" s="415"/>
    </row>
    <row r="1048" spans="16:16" x14ac:dyDescent="0.2">
      <c r="P1048" s="415"/>
    </row>
    <row r="1049" spans="16:16" x14ac:dyDescent="0.2">
      <c r="P1049" s="415"/>
    </row>
    <row r="1050" spans="16:16" x14ac:dyDescent="0.2">
      <c r="P1050" s="415"/>
    </row>
    <row r="1051" spans="16:16" x14ac:dyDescent="0.2">
      <c r="P1051" s="415"/>
    </row>
    <row r="1052" spans="16:16" x14ac:dyDescent="0.2">
      <c r="P1052" s="415"/>
    </row>
    <row r="1053" spans="16:16" x14ac:dyDescent="0.2">
      <c r="P1053" s="415"/>
    </row>
    <row r="1054" spans="16:16" x14ac:dyDescent="0.2">
      <c r="P1054" s="415"/>
    </row>
    <row r="1055" spans="16:16" x14ac:dyDescent="0.2">
      <c r="P1055" s="415"/>
    </row>
    <row r="1056" spans="16:16" x14ac:dyDescent="0.2">
      <c r="P1056" s="415"/>
    </row>
    <row r="1057" spans="16:16" x14ac:dyDescent="0.2">
      <c r="P1057" s="415"/>
    </row>
    <row r="1058" spans="16:16" x14ac:dyDescent="0.2">
      <c r="P1058" s="415"/>
    </row>
    <row r="1059" spans="16:16" x14ac:dyDescent="0.2">
      <c r="P1059" s="415"/>
    </row>
    <row r="1060" spans="16:16" x14ac:dyDescent="0.2">
      <c r="P1060" s="415"/>
    </row>
    <row r="1061" spans="16:16" x14ac:dyDescent="0.2">
      <c r="P1061" s="415"/>
    </row>
    <row r="1062" spans="16:16" x14ac:dyDescent="0.2">
      <c r="P1062" s="415"/>
    </row>
    <row r="1063" spans="16:16" x14ac:dyDescent="0.2">
      <c r="P1063" s="415"/>
    </row>
    <row r="1064" spans="16:16" x14ac:dyDescent="0.2">
      <c r="P1064" s="415"/>
    </row>
    <row r="1065" spans="16:16" x14ac:dyDescent="0.2">
      <c r="P1065" s="415"/>
    </row>
    <row r="1066" spans="16:16" x14ac:dyDescent="0.2">
      <c r="P1066" s="415"/>
    </row>
    <row r="1067" spans="16:16" x14ac:dyDescent="0.2">
      <c r="P1067" s="415"/>
    </row>
    <row r="1068" spans="16:16" x14ac:dyDescent="0.2">
      <c r="P1068" s="415"/>
    </row>
    <row r="1069" spans="16:16" x14ac:dyDescent="0.2">
      <c r="P1069" s="415"/>
    </row>
    <row r="1070" spans="16:16" x14ac:dyDescent="0.2">
      <c r="P1070" s="415"/>
    </row>
    <row r="1071" spans="16:16" x14ac:dyDescent="0.2">
      <c r="P1071" s="415"/>
    </row>
    <row r="1072" spans="16:16" x14ac:dyDescent="0.2">
      <c r="P1072" s="415"/>
    </row>
    <row r="1073" spans="16:16" x14ac:dyDescent="0.2">
      <c r="P1073" s="415"/>
    </row>
    <row r="1074" spans="16:16" x14ac:dyDescent="0.2">
      <c r="P1074" s="415"/>
    </row>
    <row r="1075" spans="16:16" x14ac:dyDescent="0.2">
      <c r="P1075" s="415"/>
    </row>
    <row r="1076" spans="16:16" x14ac:dyDescent="0.2">
      <c r="P1076" s="415"/>
    </row>
    <row r="1077" spans="16:16" x14ac:dyDescent="0.2">
      <c r="P1077" s="415"/>
    </row>
    <row r="1078" spans="16:16" x14ac:dyDescent="0.2">
      <c r="P1078" s="415"/>
    </row>
    <row r="1079" spans="16:16" x14ac:dyDescent="0.2">
      <c r="P1079" s="415"/>
    </row>
    <row r="1080" spans="16:16" x14ac:dyDescent="0.2">
      <c r="P1080" s="415"/>
    </row>
    <row r="1081" spans="16:16" x14ac:dyDescent="0.2">
      <c r="P1081" s="415"/>
    </row>
    <row r="1082" spans="16:16" x14ac:dyDescent="0.2">
      <c r="P1082" s="415"/>
    </row>
    <row r="1083" spans="16:16" x14ac:dyDescent="0.2">
      <c r="P1083" s="415"/>
    </row>
    <row r="1084" spans="16:16" x14ac:dyDescent="0.2">
      <c r="P1084" s="415"/>
    </row>
    <row r="1085" spans="16:16" x14ac:dyDescent="0.2">
      <c r="P1085" s="415"/>
    </row>
    <row r="1086" spans="16:16" x14ac:dyDescent="0.2">
      <c r="P1086" s="415"/>
    </row>
    <row r="1087" spans="16:16" x14ac:dyDescent="0.2">
      <c r="P1087" s="415"/>
    </row>
    <row r="1088" spans="16:16" x14ac:dyDescent="0.2">
      <c r="P1088" s="415"/>
    </row>
    <row r="1089" spans="16:16" x14ac:dyDescent="0.2">
      <c r="P1089" s="415"/>
    </row>
    <row r="1090" spans="16:16" x14ac:dyDescent="0.2">
      <c r="P1090" s="415"/>
    </row>
    <row r="1091" spans="16:16" x14ac:dyDescent="0.2">
      <c r="P1091" s="415"/>
    </row>
    <row r="1092" spans="16:16" x14ac:dyDescent="0.2">
      <c r="P1092" s="415"/>
    </row>
    <row r="1093" spans="16:16" x14ac:dyDescent="0.2">
      <c r="P1093" s="415"/>
    </row>
    <row r="1094" spans="16:16" x14ac:dyDescent="0.2">
      <c r="P1094" s="415"/>
    </row>
    <row r="1095" spans="16:16" x14ac:dyDescent="0.2">
      <c r="P1095" s="415"/>
    </row>
    <row r="1096" spans="16:16" x14ac:dyDescent="0.2">
      <c r="P1096" s="415"/>
    </row>
    <row r="1097" spans="16:16" x14ac:dyDescent="0.2">
      <c r="P1097" s="415"/>
    </row>
    <row r="1098" spans="16:16" x14ac:dyDescent="0.2">
      <c r="P1098" s="415"/>
    </row>
    <row r="1099" spans="16:16" x14ac:dyDescent="0.2">
      <c r="P1099" s="415"/>
    </row>
    <row r="1100" spans="16:16" x14ac:dyDescent="0.2">
      <c r="P1100" s="415"/>
    </row>
    <row r="1101" spans="16:16" x14ac:dyDescent="0.2">
      <c r="P1101" s="415"/>
    </row>
    <row r="1102" spans="16:16" x14ac:dyDescent="0.2">
      <c r="P1102" s="415"/>
    </row>
    <row r="1103" spans="16:16" x14ac:dyDescent="0.2">
      <c r="P1103" s="415"/>
    </row>
    <row r="1104" spans="16:16" x14ac:dyDescent="0.2">
      <c r="P1104" s="415"/>
    </row>
    <row r="1105" spans="16:16" x14ac:dyDescent="0.2">
      <c r="P1105" s="415"/>
    </row>
    <row r="1106" spans="16:16" x14ac:dyDescent="0.2">
      <c r="P1106" s="415"/>
    </row>
    <row r="1107" spans="16:16" x14ac:dyDescent="0.2">
      <c r="P1107" s="415"/>
    </row>
    <row r="1108" spans="16:16" x14ac:dyDescent="0.2">
      <c r="P1108" s="415"/>
    </row>
    <row r="1109" spans="16:16" x14ac:dyDescent="0.2">
      <c r="P1109" s="415"/>
    </row>
    <row r="1110" spans="16:16" x14ac:dyDescent="0.2">
      <c r="P1110" s="415"/>
    </row>
    <row r="1111" spans="16:16" x14ac:dyDescent="0.2">
      <c r="P1111" s="415"/>
    </row>
    <row r="1112" spans="16:16" x14ac:dyDescent="0.2">
      <c r="P1112" s="415"/>
    </row>
    <row r="1113" spans="16:16" x14ac:dyDescent="0.2">
      <c r="P1113" s="415"/>
    </row>
    <row r="1114" spans="16:16" x14ac:dyDescent="0.2">
      <c r="P1114" s="415"/>
    </row>
    <row r="1115" spans="16:16" x14ac:dyDescent="0.2">
      <c r="P1115" s="415"/>
    </row>
    <row r="1116" spans="16:16" x14ac:dyDescent="0.2">
      <c r="P1116" s="415"/>
    </row>
    <row r="1117" spans="16:16" x14ac:dyDescent="0.2">
      <c r="P1117" s="415"/>
    </row>
    <row r="1118" spans="16:16" x14ac:dyDescent="0.2">
      <c r="P1118" s="415"/>
    </row>
    <row r="1119" spans="16:16" x14ac:dyDescent="0.2">
      <c r="P1119" s="415"/>
    </row>
    <row r="1120" spans="16:16" x14ac:dyDescent="0.2">
      <c r="P1120" s="415"/>
    </row>
    <row r="1121" spans="16:16" x14ac:dyDescent="0.2">
      <c r="P1121" s="415"/>
    </row>
    <row r="1122" spans="16:16" x14ac:dyDescent="0.2">
      <c r="P1122" s="415"/>
    </row>
    <row r="1123" spans="16:16" x14ac:dyDescent="0.2">
      <c r="P1123" s="415"/>
    </row>
    <row r="1124" spans="16:16" x14ac:dyDescent="0.2">
      <c r="P1124" s="415"/>
    </row>
    <row r="1125" spans="16:16" x14ac:dyDescent="0.2">
      <c r="P1125" s="415"/>
    </row>
    <row r="1126" spans="16:16" x14ac:dyDescent="0.2">
      <c r="P1126" s="415"/>
    </row>
    <row r="1127" spans="16:16" x14ac:dyDescent="0.2">
      <c r="P1127" s="415"/>
    </row>
    <row r="1128" spans="16:16" x14ac:dyDescent="0.2">
      <c r="P1128" s="415"/>
    </row>
    <row r="1129" spans="16:16" x14ac:dyDescent="0.2">
      <c r="P1129" s="415"/>
    </row>
    <row r="1130" spans="16:16" x14ac:dyDescent="0.2">
      <c r="P1130" s="415"/>
    </row>
    <row r="1131" spans="16:16" x14ac:dyDescent="0.2">
      <c r="P1131" s="415"/>
    </row>
    <row r="1132" spans="16:16" x14ac:dyDescent="0.2">
      <c r="P1132" s="415"/>
    </row>
    <row r="1133" spans="16:16" x14ac:dyDescent="0.2">
      <c r="P1133" s="415"/>
    </row>
    <row r="1134" spans="16:16" x14ac:dyDescent="0.2">
      <c r="P1134" s="415"/>
    </row>
    <row r="1135" spans="16:16" x14ac:dyDescent="0.2">
      <c r="P1135" s="415"/>
    </row>
    <row r="1136" spans="16:16" x14ac:dyDescent="0.2">
      <c r="P1136" s="415"/>
    </row>
    <row r="1137" spans="16:16" x14ac:dyDescent="0.2">
      <c r="P1137" s="415"/>
    </row>
    <row r="1138" spans="16:16" x14ac:dyDescent="0.2">
      <c r="P1138" s="415"/>
    </row>
    <row r="1139" spans="16:16" x14ac:dyDescent="0.2">
      <c r="P1139" s="415"/>
    </row>
    <row r="1140" spans="16:16" x14ac:dyDescent="0.2">
      <c r="P1140" s="415"/>
    </row>
    <row r="1141" spans="16:16" x14ac:dyDescent="0.2">
      <c r="P1141" s="415"/>
    </row>
    <row r="1142" spans="16:16" x14ac:dyDescent="0.2">
      <c r="P1142" s="415"/>
    </row>
    <row r="1143" spans="16:16" x14ac:dyDescent="0.2">
      <c r="P1143" s="415"/>
    </row>
    <row r="1144" spans="16:16" x14ac:dyDescent="0.2">
      <c r="P1144" s="415"/>
    </row>
    <row r="1145" spans="16:16" x14ac:dyDescent="0.2">
      <c r="P1145" s="415"/>
    </row>
    <row r="1146" spans="16:16" x14ac:dyDescent="0.2">
      <c r="P1146" s="415"/>
    </row>
    <row r="1147" spans="16:16" x14ac:dyDescent="0.2">
      <c r="P1147" s="415"/>
    </row>
    <row r="1148" spans="16:16" x14ac:dyDescent="0.2">
      <c r="P1148" s="415"/>
    </row>
    <row r="1149" spans="16:16" x14ac:dyDescent="0.2">
      <c r="P1149" s="415"/>
    </row>
    <row r="1150" spans="16:16" x14ac:dyDescent="0.2">
      <c r="P1150" s="415"/>
    </row>
    <row r="1151" spans="16:16" x14ac:dyDescent="0.2">
      <c r="P1151" s="415"/>
    </row>
    <row r="1152" spans="16:16" x14ac:dyDescent="0.2">
      <c r="P1152" s="415"/>
    </row>
    <row r="1153" spans="16:16" x14ac:dyDescent="0.2">
      <c r="P1153" s="415"/>
    </row>
    <row r="1154" spans="16:16" x14ac:dyDescent="0.2">
      <c r="P1154" s="415"/>
    </row>
    <row r="1155" spans="16:16" x14ac:dyDescent="0.2">
      <c r="P1155" s="415"/>
    </row>
    <row r="1156" spans="16:16" x14ac:dyDescent="0.2">
      <c r="P1156" s="415"/>
    </row>
    <row r="1157" spans="16:16" x14ac:dyDescent="0.2">
      <c r="P1157" s="415"/>
    </row>
    <row r="1158" spans="16:16" x14ac:dyDescent="0.2">
      <c r="P1158" s="415"/>
    </row>
    <row r="1159" spans="16:16" x14ac:dyDescent="0.2">
      <c r="P1159" s="415"/>
    </row>
    <row r="1160" spans="16:16" x14ac:dyDescent="0.2">
      <c r="P1160" s="415"/>
    </row>
    <row r="1161" spans="16:16" x14ac:dyDescent="0.2">
      <c r="P1161" s="415"/>
    </row>
    <row r="1162" spans="16:16" x14ac:dyDescent="0.2">
      <c r="P1162" s="415"/>
    </row>
    <row r="1163" spans="16:16" x14ac:dyDescent="0.2">
      <c r="P1163" s="415"/>
    </row>
    <row r="1164" spans="16:16" x14ac:dyDescent="0.2">
      <c r="P1164" s="415"/>
    </row>
    <row r="1165" spans="16:16" x14ac:dyDescent="0.2">
      <c r="P1165" s="415"/>
    </row>
    <row r="1166" spans="16:16" x14ac:dyDescent="0.2">
      <c r="P1166" s="415"/>
    </row>
    <row r="1167" spans="16:16" x14ac:dyDescent="0.2">
      <c r="P1167" s="415"/>
    </row>
    <row r="1168" spans="16:16" x14ac:dyDescent="0.2">
      <c r="P1168" s="415"/>
    </row>
    <row r="1169" spans="16:16" x14ac:dyDescent="0.2">
      <c r="P1169" s="415"/>
    </row>
    <row r="1170" spans="16:16" x14ac:dyDescent="0.2">
      <c r="P1170" s="415"/>
    </row>
    <row r="1171" spans="16:16" x14ac:dyDescent="0.2">
      <c r="P1171" s="415"/>
    </row>
    <row r="1172" spans="16:16" x14ac:dyDescent="0.2">
      <c r="P1172" s="415"/>
    </row>
    <row r="1173" spans="16:16" x14ac:dyDescent="0.2">
      <c r="P1173" s="415"/>
    </row>
    <row r="1174" spans="16:16" x14ac:dyDescent="0.2">
      <c r="P1174" s="415"/>
    </row>
    <row r="1175" spans="16:16" x14ac:dyDescent="0.2">
      <c r="P1175" s="415"/>
    </row>
    <row r="1176" spans="16:16" x14ac:dyDescent="0.2">
      <c r="P1176" s="415"/>
    </row>
    <row r="1177" spans="16:16" x14ac:dyDescent="0.2">
      <c r="P1177" s="415"/>
    </row>
    <row r="1178" spans="16:16" x14ac:dyDescent="0.2">
      <c r="P1178" s="415"/>
    </row>
    <row r="1179" spans="16:16" x14ac:dyDescent="0.2">
      <c r="P1179" s="415"/>
    </row>
    <row r="1180" spans="16:16" x14ac:dyDescent="0.2">
      <c r="P1180" s="415"/>
    </row>
    <row r="1181" spans="16:16" x14ac:dyDescent="0.2">
      <c r="P1181" s="415"/>
    </row>
    <row r="1182" spans="16:16" x14ac:dyDescent="0.2">
      <c r="P1182" s="415"/>
    </row>
    <row r="1183" spans="16:16" x14ac:dyDescent="0.2">
      <c r="P1183" s="415"/>
    </row>
    <row r="1184" spans="16:16" x14ac:dyDescent="0.2">
      <c r="P1184" s="415"/>
    </row>
    <row r="1185" spans="16:16" x14ac:dyDescent="0.2">
      <c r="P1185" s="415"/>
    </row>
    <row r="1186" spans="16:16" x14ac:dyDescent="0.2">
      <c r="P1186" s="415"/>
    </row>
    <row r="1187" spans="16:16" x14ac:dyDescent="0.2">
      <c r="P1187" s="415"/>
    </row>
    <row r="1188" spans="16:16" x14ac:dyDescent="0.2">
      <c r="P1188" s="415"/>
    </row>
    <row r="1189" spans="16:16" x14ac:dyDescent="0.2">
      <c r="P1189" s="415"/>
    </row>
    <row r="1190" spans="16:16" x14ac:dyDescent="0.2">
      <c r="P1190" s="415"/>
    </row>
    <row r="1191" spans="16:16" x14ac:dyDescent="0.2">
      <c r="P1191" s="415"/>
    </row>
    <row r="1192" spans="16:16" x14ac:dyDescent="0.2">
      <c r="P1192" s="415"/>
    </row>
    <row r="1193" spans="16:16" x14ac:dyDescent="0.2">
      <c r="P1193" s="415"/>
    </row>
    <row r="1194" spans="16:16" x14ac:dyDescent="0.2">
      <c r="P1194" s="415"/>
    </row>
    <row r="1195" spans="16:16" x14ac:dyDescent="0.2">
      <c r="P1195" s="415"/>
    </row>
    <row r="1196" spans="16:16" x14ac:dyDescent="0.2">
      <c r="P1196" s="415"/>
    </row>
    <row r="1197" spans="16:16" x14ac:dyDescent="0.2">
      <c r="P1197" s="415"/>
    </row>
    <row r="1198" spans="16:16" x14ac:dyDescent="0.2">
      <c r="P1198" s="415"/>
    </row>
    <row r="1199" spans="16:16" x14ac:dyDescent="0.2">
      <c r="P1199" s="415"/>
    </row>
    <row r="1200" spans="16:16" x14ac:dyDescent="0.2">
      <c r="P1200" s="415"/>
    </row>
    <row r="1201" spans="16:16" x14ac:dyDescent="0.2">
      <c r="P1201" s="415"/>
    </row>
    <row r="1202" spans="16:16" x14ac:dyDescent="0.2">
      <c r="P1202" s="415"/>
    </row>
    <row r="1203" spans="16:16" x14ac:dyDescent="0.2">
      <c r="P1203" s="415"/>
    </row>
    <row r="1204" spans="16:16" x14ac:dyDescent="0.2">
      <c r="P1204" s="415"/>
    </row>
    <row r="1205" spans="16:16" x14ac:dyDescent="0.2">
      <c r="P1205" s="415"/>
    </row>
    <row r="1206" spans="16:16" x14ac:dyDescent="0.2">
      <c r="P1206" s="415"/>
    </row>
    <row r="1207" spans="16:16" x14ac:dyDescent="0.2">
      <c r="P1207" s="415"/>
    </row>
    <row r="1208" spans="16:16" x14ac:dyDescent="0.2">
      <c r="P1208" s="415"/>
    </row>
    <row r="1209" spans="16:16" x14ac:dyDescent="0.2">
      <c r="P1209" s="415"/>
    </row>
    <row r="1210" spans="16:16" x14ac:dyDescent="0.2">
      <c r="P1210" s="415"/>
    </row>
    <row r="1211" spans="16:16" x14ac:dyDescent="0.2">
      <c r="P1211" s="415"/>
    </row>
    <row r="1212" spans="16:16" x14ac:dyDescent="0.2">
      <c r="P1212" s="415"/>
    </row>
    <row r="1213" spans="16:16" x14ac:dyDescent="0.2">
      <c r="P1213" s="415"/>
    </row>
    <row r="1214" spans="16:16" x14ac:dyDescent="0.2">
      <c r="P1214" s="415"/>
    </row>
    <row r="1215" spans="16:16" x14ac:dyDescent="0.2">
      <c r="P1215" s="415"/>
    </row>
    <row r="1216" spans="16:16" x14ac:dyDescent="0.2">
      <c r="P1216" s="415"/>
    </row>
    <row r="1217" spans="16:16" x14ac:dyDescent="0.2">
      <c r="P1217" s="415"/>
    </row>
    <row r="1218" spans="16:16" x14ac:dyDescent="0.2">
      <c r="P1218" s="415"/>
    </row>
    <row r="1219" spans="16:16" x14ac:dyDescent="0.2">
      <c r="P1219" s="415"/>
    </row>
    <row r="1220" spans="16:16" x14ac:dyDescent="0.2">
      <c r="P1220" s="415"/>
    </row>
    <row r="1221" spans="16:16" x14ac:dyDescent="0.2">
      <c r="P1221" s="415"/>
    </row>
    <row r="1222" spans="16:16" x14ac:dyDescent="0.2">
      <c r="P1222" s="415"/>
    </row>
    <row r="1223" spans="16:16" x14ac:dyDescent="0.2">
      <c r="P1223" s="415"/>
    </row>
    <row r="1224" spans="16:16" x14ac:dyDescent="0.2">
      <c r="P1224" s="415"/>
    </row>
    <row r="1225" spans="16:16" x14ac:dyDescent="0.2">
      <c r="P1225" s="415"/>
    </row>
    <row r="1226" spans="16:16" x14ac:dyDescent="0.2">
      <c r="P1226" s="415"/>
    </row>
    <row r="1227" spans="16:16" x14ac:dyDescent="0.2">
      <c r="P1227" s="415"/>
    </row>
    <row r="1228" spans="16:16" x14ac:dyDescent="0.2">
      <c r="P1228" s="415"/>
    </row>
    <row r="1229" spans="16:16" x14ac:dyDescent="0.2">
      <c r="P1229" s="415"/>
    </row>
    <row r="1230" spans="16:16" x14ac:dyDescent="0.2">
      <c r="P1230" s="415"/>
    </row>
    <row r="1231" spans="16:16" x14ac:dyDescent="0.2">
      <c r="P1231" s="415"/>
    </row>
    <row r="1232" spans="16:16" x14ac:dyDescent="0.2">
      <c r="P1232" s="415"/>
    </row>
    <row r="1233" spans="16:16" x14ac:dyDescent="0.2">
      <c r="P1233" s="415"/>
    </row>
    <row r="1234" spans="16:16" x14ac:dyDescent="0.2">
      <c r="P1234" s="415"/>
    </row>
    <row r="1235" spans="16:16" x14ac:dyDescent="0.2">
      <c r="P1235" s="415"/>
    </row>
    <row r="1236" spans="16:16" x14ac:dyDescent="0.2">
      <c r="P1236" s="415"/>
    </row>
    <row r="1237" spans="16:16" x14ac:dyDescent="0.2">
      <c r="P1237" s="415"/>
    </row>
    <row r="1238" spans="16:16" x14ac:dyDescent="0.2">
      <c r="P1238" s="415"/>
    </row>
    <row r="1239" spans="16:16" x14ac:dyDescent="0.2">
      <c r="P1239" s="415"/>
    </row>
    <row r="1240" spans="16:16" x14ac:dyDescent="0.2">
      <c r="P1240" s="415"/>
    </row>
    <row r="1241" spans="16:16" x14ac:dyDescent="0.2">
      <c r="P1241" s="415"/>
    </row>
    <row r="1242" spans="16:16" x14ac:dyDescent="0.2">
      <c r="P1242" s="415"/>
    </row>
    <row r="1243" spans="16:16" x14ac:dyDescent="0.2">
      <c r="P1243" s="415"/>
    </row>
    <row r="1244" spans="16:16" x14ac:dyDescent="0.2">
      <c r="P1244" s="415"/>
    </row>
    <row r="1245" spans="16:16" x14ac:dyDescent="0.2">
      <c r="P1245" s="415"/>
    </row>
    <row r="1246" spans="16:16" x14ac:dyDescent="0.2">
      <c r="P1246" s="415"/>
    </row>
    <row r="1247" spans="16:16" x14ac:dyDescent="0.2">
      <c r="P1247" s="415"/>
    </row>
    <row r="1248" spans="16:16" x14ac:dyDescent="0.2">
      <c r="P1248" s="415"/>
    </row>
    <row r="1249" spans="16:16" x14ac:dyDescent="0.2">
      <c r="P1249" s="415"/>
    </row>
    <row r="1250" spans="16:16" x14ac:dyDescent="0.2">
      <c r="P1250" s="415"/>
    </row>
    <row r="1251" spans="16:16" x14ac:dyDescent="0.2">
      <c r="P1251" s="415"/>
    </row>
    <row r="1252" spans="16:16" x14ac:dyDescent="0.2">
      <c r="P1252" s="415"/>
    </row>
    <row r="1253" spans="16:16" x14ac:dyDescent="0.2">
      <c r="P1253" s="415"/>
    </row>
    <row r="1254" spans="16:16" x14ac:dyDescent="0.2">
      <c r="P1254" s="415"/>
    </row>
    <row r="1255" spans="16:16" x14ac:dyDescent="0.2">
      <c r="P1255" s="415"/>
    </row>
    <row r="1256" spans="16:16" x14ac:dyDescent="0.2">
      <c r="P1256" s="415"/>
    </row>
    <row r="1257" spans="16:16" x14ac:dyDescent="0.2">
      <c r="P1257" s="415"/>
    </row>
    <row r="1258" spans="16:16" x14ac:dyDescent="0.2">
      <c r="P1258" s="415"/>
    </row>
    <row r="1259" spans="16:16" x14ac:dyDescent="0.2">
      <c r="P1259" s="415"/>
    </row>
    <row r="1260" spans="16:16" x14ac:dyDescent="0.2">
      <c r="P1260" s="415"/>
    </row>
    <row r="1261" spans="16:16" x14ac:dyDescent="0.2">
      <c r="P1261" s="415"/>
    </row>
    <row r="1262" spans="16:16" x14ac:dyDescent="0.2">
      <c r="P1262" s="415"/>
    </row>
    <row r="1263" spans="16:16" x14ac:dyDescent="0.2">
      <c r="P1263" s="415"/>
    </row>
    <row r="1264" spans="16:16" x14ac:dyDescent="0.2">
      <c r="P1264" s="415"/>
    </row>
    <row r="1265" spans="16:16" x14ac:dyDescent="0.2">
      <c r="P1265" s="415"/>
    </row>
    <row r="1266" spans="16:16" x14ac:dyDescent="0.2">
      <c r="P1266" s="415"/>
    </row>
    <row r="1267" spans="16:16" x14ac:dyDescent="0.2">
      <c r="P1267" s="415"/>
    </row>
    <row r="1268" spans="16:16" x14ac:dyDescent="0.2">
      <c r="P1268" s="415"/>
    </row>
    <row r="1269" spans="16:16" x14ac:dyDescent="0.2">
      <c r="P1269" s="415"/>
    </row>
    <row r="1270" spans="16:16" x14ac:dyDescent="0.2">
      <c r="P1270" s="415"/>
    </row>
    <row r="1271" spans="16:16" x14ac:dyDescent="0.2">
      <c r="P1271" s="415"/>
    </row>
    <row r="1272" spans="16:16" x14ac:dyDescent="0.2">
      <c r="P1272" s="415"/>
    </row>
    <row r="1273" spans="16:16" x14ac:dyDescent="0.2">
      <c r="P1273" s="415"/>
    </row>
    <row r="1274" spans="16:16" x14ac:dyDescent="0.2">
      <c r="P1274" s="415"/>
    </row>
    <row r="1275" spans="16:16" x14ac:dyDescent="0.2">
      <c r="P1275" s="415"/>
    </row>
    <row r="1276" spans="16:16" x14ac:dyDescent="0.2">
      <c r="P1276" s="415"/>
    </row>
    <row r="1277" spans="16:16" x14ac:dyDescent="0.2">
      <c r="P1277" s="415"/>
    </row>
    <row r="1278" spans="16:16" x14ac:dyDescent="0.2">
      <c r="P1278" s="415"/>
    </row>
    <row r="1279" spans="16:16" x14ac:dyDescent="0.2">
      <c r="P1279" s="415"/>
    </row>
    <row r="1280" spans="16:16" x14ac:dyDescent="0.2">
      <c r="P1280" s="415"/>
    </row>
    <row r="1281" spans="16:16" x14ac:dyDescent="0.2">
      <c r="P1281" s="415"/>
    </row>
    <row r="1282" spans="16:16" x14ac:dyDescent="0.2">
      <c r="P1282" s="415"/>
    </row>
    <row r="1283" spans="16:16" x14ac:dyDescent="0.2">
      <c r="P1283" s="415"/>
    </row>
    <row r="1284" spans="16:16" x14ac:dyDescent="0.2">
      <c r="P1284" s="415"/>
    </row>
    <row r="1285" spans="16:16" x14ac:dyDescent="0.2">
      <c r="P1285" s="415"/>
    </row>
    <row r="1286" spans="16:16" x14ac:dyDescent="0.2">
      <c r="P1286" s="415"/>
    </row>
    <row r="1287" spans="16:16" x14ac:dyDescent="0.2">
      <c r="P1287" s="415"/>
    </row>
    <row r="1288" spans="16:16" x14ac:dyDescent="0.2">
      <c r="P1288" s="415"/>
    </row>
    <row r="1289" spans="16:16" x14ac:dyDescent="0.2">
      <c r="P1289" s="415"/>
    </row>
    <row r="1290" spans="16:16" x14ac:dyDescent="0.2">
      <c r="P1290" s="415"/>
    </row>
    <row r="1291" spans="16:16" x14ac:dyDescent="0.2">
      <c r="P1291" s="415"/>
    </row>
    <row r="1292" spans="16:16" x14ac:dyDescent="0.2">
      <c r="P1292" s="415"/>
    </row>
    <row r="1293" spans="16:16" x14ac:dyDescent="0.2">
      <c r="P1293" s="415"/>
    </row>
    <row r="1294" spans="16:16" x14ac:dyDescent="0.2">
      <c r="P1294" s="415"/>
    </row>
    <row r="1295" spans="16:16" x14ac:dyDescent="0.2">
      <c r="P1295" s="415"/>
    </row>
    <row r="1296" spans="16:16" x14ac:dyDescent="0.2">
      <c r="P1296" s="415"/>
    </row>
    <row r="1297" spans="16:16" x14ac:dyDescent="0.2">
      <c r="P1297" s="415"/>
    </row>
    <row r="1298" spans="16:16" x14ac:dyDescent="0.2">
      <c r="P1298" s="415"/>
    </row>
    <row r="1299" spans="16:16" x14ac:dyDescent="0.2">
      <c r="P1299" s="415"/>
    </row>
    <row r="1300" spans="16:16" x14ac:dyDescent="0.2">
      <c r="P1300" s="415"/>
    </row>
    <row r="1301" spans="16:16" x14ac:dyDescent="0.2">
      <c r="P1301" s="415"/>
    </row>
    <row r="1302" spans="16:16" x14ac:dyDescent="0.2">
      <c r="P1302" s="415"/>
    </row>
    <row r="1303" spans="16:16" x14ac:dyDescent="0.2">
      <c r="P1303" s="415"/>
    </row>
    <row r="1304" spans="16:16" x14ac:dyDescent="0.2">
      <c r="P1304" s="415"/>
    </row>
    <row r="1305" spans="16:16" x14ac:dyDescent="0.2">
      <c r="P1305" s="415"/>
    </row>
    <row r="1306" spans="16:16" x14ac:dyDescent="0.2">
      <c r="P1306" s="415"/>
    </row>
    <row r="1307" spans="16:16" x14ac:dyDescent="0.2">
      <c r="P1307" s="415"/>
    </row>
    <row r="1308" spans="16:16" x14ac:dyDescent="0.2">
      <c r="P1308" s="415"/>
    </row>
    <row r="1309" spans="16:16" x14ac:dyDescent="0.2">
      <c r="P1309" s="415"/>
    </row>
    <row r="1310" spans="16:16" x14ac:dyDescent="0.2">
      <c r="P1310" s="415"/>
    </row>
    <row r="1311" spans="16:16" x14ac:dyDescent="0.2">
      <c r="P1311" s="415"/>
    </row>
    <row r="1312" spans="16:16" x14ac:dyDescent="0.2">
      <c r="P1312" s="415"/>
    </row>
    <row r="1313" spans="16:16" x14ac:dyDescent="0.2">
      <c r="P1313" s="415"/>
    </row>
    <row r="1314" spans="16:16" x14ac:dyDescent="0.2">
      <c r="P1314" s="415"/>
    </row>
    <row r="1315" spans="16:16" x14ac:dyDescent="0.2">
      <c r="P1315" s="415"/>
    </row>
    <row r="1316" spans="16:16" x14ac:dyDescent="0.2">
      <c r="P1316" s="415"/>
    </row>
    <row r="1317" spans="16:16" x14ac:dyDescent="0.2">
      <c r="P1317" s="415"/>
    </row>
    <row r="1318" spans="16:16" x14ac:dyDescent="0.2">
      <c r="P1318" s="415"/>
    </row>
    <row r="1319" spans="16:16" x14ac:dyDescent="0.2">
      <c r="P1319" s="415"/>
    </row>
    <row r="1320" spans="16:16" x14ac:dyDescent="0.2">
      <c r="P1320" s="415"/>
    </row>
    <row r="1321" spans="16:16" x14ac:dyDescent="0.2">
      <c r="P1321" s="415"/>
    </row>
    <row r="1322" spans="16:16" x14ac:dyDescent="0.2">
      <c r="P1322" s="415"/>
    </row>
    <row r="1323" spans="16:16" x14ac:dyDescent="0.2">
      <c r="P1323" s="415"/>
    </row>
    <row r="1324" spans="16:16" x14ac:dyDescent="0.2">
      <c r="P1324" s="415"/>
    </row>
    <row r="1325" spans="16:16" x14ac:dyDescent="0.2">
      <c r="P1325" s="415"/>
    </row>
    <row r="1326" spans="16:16" x14ac:dyDescent="0.2">
      <c r="P1326" s="415"/>
    </row>
    <row r="1327" spans="16:16" x14ac:dyDescent="0.2">
      <c r="P1327" s="415"/>
    </row>
    <row r="1328" spans="16:16" x14ac:dyDescent="0.2">
      <c r="P1328" s="415"/>
    </row>
    <row r="1329" spans="16:16" x14ac:dyDescent="0.2">
      <c r="P1329" s="415"/>
    </row>
    <row r="1330" spans="16:16" x14ac:dyDescent="0.2">
      <c r="P1330" s="415"/>
    </row>
    <row r="1331" spans="16:16" x14ac:dyDescent="0.2">
      <c r="P1331" s="415"/>
    </row>
    <row r="1332" spans="16:16" x14ac:dyDescent="0.2">
      <c r="P1332" s="415"/>
    </row>
    <row r="1333" spans="16:16" x14ac:dyDescent="0.2">
      <c r="P1333" s="415"/>
    </row>
    <row r="1334" spans="16:16" x14ac:dyDescent="0.2">
      <c r="P1334" s="415"/>
    </row>
    <row r="1335" spans="16:16" x14ac:dyDescent="0.2">
      <c r="P1335" s="415"/>
    </row>
    <row r="1336" spans="16:16" x14ac:dyDescent="0.2">
      <c r="P1336" s="415"/>
    </row>
    <row r="1337" spans="16:16" x14ac:dyDescent="0.2">
      <c r="P1337" s="415"/>
    </row>
    <row r="1338" spans="16:16" x14ac:dyDescent="0.2">
      <c r="P1338" s="415"/>
    </row>
    <row r="1339" spans="16:16" x14ac:dyDescent="0.2">
      <c r="P1339" s="415"/>
    </row>
    <row r="1340" spans="16:16" x14ac:dyDescent="0.2">
      <c r="P1340" s="415"/>
    </row>
    <row r="1341" spans="16:16" x14ac:dyDescent="0.2">
      <c r="P1341" s="415"/>
    </row>
    <row r="1342" spans="16:16" x14ac:dyDescent="0.2">
      <c r="P1342" s="415"/>
    </row>
    <row r="1343" spans="16:16" x14ac:dyDescent="0.2">
      <c r="P1343" s="415"/>
    </row>
    <row r="1344" spans="16:16" x14ac:dyDescent="0.2">
      <c r="P1344" s="415"/>
    </row>
    <row r="1345" spans="16:16" x14ac:dyDescent="0.2">
      <c r="P1345" s="415"/>
    </row>
    <row r="1346" spans="16:16" x14ac:dyDescent="0.2">
      <c r="P1346" s="415"/>
    </row>
    <row r="1347" spans="16:16" x14ac:dyDescent="0.2">
      <c r="P1347" s="415"/>
    </row>
    <row r="1348" spans="16:16" x14ac:dyDescent="0.2">
      <c r="P1348" s="415"/>
    </row>
    <row r="1349" spans="16:16" x14ac:dyDescent="0.2">
      <c r="P1349" s="415"/>
    </row>
    <row r="1350" spans="16:16" x14ac:dyDescent="0.2">
      <c r="P1350" s="415"/>
    </row>
    <row r="1351" spans="16:16" x14ac:dyDescent="0.2">
      <c r="P1351" s="415"/>
    </row>
    <row r="1352" spans="16:16" x14ac:dyDescent="0.2">
      <c r="P1352" s="415"/>
    </row>
    <row r="1353" spans="16:16" x14ac:dyDescent="0.2">
      <c r="P1353" s="415"/>
    </row>
    <row r="1354" spans="16:16" x14ac:dyDescent="0.2">
      <c r="P1354" s="415"/>
    </row>
    <row r="1355" spans="16:16" x14ac:dyDescent="0.2">
      <c r="P1355" s="415"/>
    </row>
    <row r="1356" spans="16:16" x14ac:dyDescent="0.2">
      <c r="P1356" s="415"/>
    </row>
    <row r="1357" spans="16:16" x14ac:dyDescent="0.2">
      <c r="P1357" s="415"/>
    </row>
    <row r="1358" spans="16:16" x14ac:dyDescent="0.2">
      <c r="P1358" s="415"/>
    </row>
    <row r="1359" spans="16:16" x14ac:dyDescent="0.2">
      <c r="P1359" s="415"/>
    </row>
    <row r="1360" spans="16:16" x14ac:dyDescent="0.2">
      <c r="P1360" s="415"/>
    </row>
    <row r="1361" spans="16:16" x14ac:dyDescent="0.2">
      <c r="P1361" s="415"/>
    </row>
    <row r="1362" spans="16:16" x14ac:dyDescent="0.2">
      <c r="P1362" s="415"/>
    </row>
    <row r="1363" spans="16:16" x14ac:dyDescent="0.2">
      <c r="P1363" s="415"/>
    </row>
    <row r="1364" spans="16:16" x14ac:dyDescent="0.2">
      <c r="P1364" s="415"/>
    </row>
    <row r="1365" spans="16:16" x14ac:dyDescent="0.2">
      <c r="P1365" s="415"/>
    </row>
    <row r="1366" spans="16:16" x14ac:dyDescent="0.2">
      <c r="P1366" s="415"/>
    </row>
    <row r="1367" spans="16:16" x14ac:dyDescent="0.2">
      <c r="P1367" s="415"/>
    </row>
    <row r="1368" spans="16:16" x14ac:dyDescent="0.2">
      <c r="P1368" s="415"/>
    </row>
    <row r="1369" spans="16:16" x14ac:dyDescent="0.2">
      <c r="P1369" s="415"/>
    </row>
    <row r="1370" spans="16:16" x14ac:dyDescent="0.2">
      <c r="P1370" s="415"/>
    </row>
    <row r="1371" spans="16:16" x14ac:dyDescent="0.2">
      <c r="P1371" s="415"/>
    </row>
    <row r="1372" spans="16:16" x14ac:dyDescent="0.2">
      <c r="P1372" s="415"/>
    </row>
    <row r="1373" spans="16:16" x14ac:dyDescent="0.2">
      <c r="P1373" s="415"/>
    </row>
    <row r="1374" spans="16:16" x14ac:dyDescent="0.2">
      <c r="P1374" s="415"/>
    </row>
    <row r="1375" spans="16:16" x14ac:dyDescent="0.2">
      <c r="P1375" s="415"/>
    </row>
    <row r="1376" spans="16:16" x14ac:dyDescent="0.2">
      <c r="P1376" s="415"/>
    </row>
    <row r="1377" spans="16:16" x14ac:dyDescent="0.2">
      <c r="P1377" s="415"/>
    </row>
    <row r="1378" spans="16:16" x14ac:dyDescent="0.2">
      <c r="P1378" s="415"/>
    </row>
    <row r="1379" spans="16:16" x14ac:dyDescent="0.2">
      <c r="P1379" s="415"/>
    </row>
    <row r="1380" spans="16:16" x14ac:dyDescent="0.2">
      <c r="P1380" s="415"/>
    </row>
    <row r="1381" spans="16:16" x14ac:dyDescent="0.2">
      <c r="P1381" s="415"/>
    </row>
    <row r="1382" spans="16:16" x14ac:dyDescent="0.2">
      <c r="P1382" s="415"/>
    </row>
    <row r="1383" spans="16:16" x14ac:dyDescent="0.2">
      <c r="P1383" s="415"/>
    </row>
    <row r="1384" spans="16:16" x14ac:dyDescent="0.2">
      <c r="P1384" s="415"/>
    </row>
    <row r="1385" spans="16:16" x14ac:dyDescent="0.2">
      <c r="P1385" s="415"/>
    </row>
    <row r="1386" spans="16:16" x14ac:dyDescent="0.2">
      <c r="P1386" s="415"/>
    </row>
    <row r="1387" spans="16:16" x14ac:dyDescent="0.2">
      <c r="P1387" s="415"/>
    </row>
    <row r="1388" spans="16:16" x14ac:dyDescent="0.2">
      <c r="P1388" s="415"/>
    </row>
    <row r="1389" spans="16:16" x14ac:dyDescent="0.2">
      <c r="P1389" s="415"/>
    </row>
    <row r="1390" spans="16:16" x14ac:dyDescent="0.2">
      <c r="P1390" s="415"/>
    </row>
    <row r="1391" spans="16:16" x14ac:dyDescent="0.2">
      <c r="P1391" s="415"/>
    </row>
    <row r="1392" spans="16:16" x14ac:dyDescent="0.2">
      <c r="P1392" s="415"/>
    </row>
    <row r="1393" spans="16:16" x14ac:dyDescent="0.2">
      <c r="P1393" s="415"/>
    </row>
    <row r="1394" spans="16:16" x14ac:dyDescent="0.2">
      <c r="P1394" s="415"/>
    </row>
    <row r="1395" spans="16:16" x14ac:dyDescent="0.2">
      <c r="P1395" s="415"/>
    </row>
    <row r="1396" spans="16:16" x14ac:dyDescent="0.2">
      <c r="P1396" s="415"/>
    </row>
    <row r="1397" spans="16:16" x14ac:dyDescent="0.2">
      <c r="P1397" s="415"/>
    </row>
    <row r="1398" spans="16:16" x14ac:dyDescent="0.2">
      <c r="P1398" s="415"/>
    </row>
    <row r="1399" spans="16:16" x14ac:dyDescent="0.2">
      <c r="P1399" s="415"/>
    </row>
    <row r="1400" spans="16:16" x14ac:dyDescent="0.2">
      <c r="P1400" s="415"/>
    </row>
    <row r="1401" spans="16:16" x14ac:dyDescent="0.2">
      <c r="P1401" s="415"/>
    </row>
    <row r="1402" spans="16:16" x14ac:dyDescent="0.2">
      <c r="P1402" s="415"/>
    </row>
    <row r="1403" spans="16:16" x14ac:dyDescent="0.2">
      <c r="P1403" s="415"/>
    </row>
    <row r="1404" spans="16:16" x14ac:dyDescent="0.2">
      <c r="P1404" s="415"/>
    </row>
    <row r="1405" spans="16:16" x14ac:dyDescent="0.2">
      <c r="P1405" s="415"/>
    </row>
    <row r="1406" spans="16:16" x14ac:dyDescent="0.2">
      <c r="P1406" s="415"/>
    </row>
    <row r="1407" spans="16:16" x14ac:dyDescent="0.2">
      <c r="P1407" s="415"/>
    </row>
    <row r="1408" spans="16:16" x14ac:dyDescent="0.2">
      <c r="P1408" s="415"/>
    </row>
    <row r="1409" spans="16:16" x14ac:dyDescent="0.2">
      <c r="P1409" s="415"/>
    </row>
    <row r="1410" spans="16:16" x14ac:dyDescent="0.2">
      <c r="P1410" s="415"/>
    </row>
    <row r="1411" spans="16:16" x14ac:dyDescent="0.2">
      <c r="P1411" s="415"/>
    </row>
    <row r="1412" spans="16:16" x14ac:dyDescent="0.2">
      <c r="P1412" s="415"/>
    </row>
    <row r="1413" spans="16:16" x14ac:dyDescent="0.2">
      <c r="P1413" s="415"/>
    </row>
    <row r="1414" spans="16:16" x14ac:dyDescent="0.2">
      <c r="P1414" s="415"/>
    </row>
    <row r="1415" spans="16:16" x14ac:dyDescent="0.2">
      <c r="P1415" s="415"/>
    </row>
    <row r="1416" spans="16:16" x14ac:dyDescent="0.2">
      <c r="P1416" s="415"/>
    </row>
    <row r="1417" spans="16:16" x14ac:dyDescent="0.2">
      <c r="P1417" s="415"/>
    </row>
    <row r="1418" spans="16:16" x14ac:dyDescent="0.2">
      <c r="P1418" s="415"/>
    </row>
    <row r="1419" spans="16:16" x14ac:dyDescent="0.2">
      <c r="P1419" s="415"/>
    </row>
    <row r="1420" spans="16:16" x14ac:dyDescent="0.2">
      <c r="P1420" s="415"/>
    </row>
    <row r="1421" spans="16:16" x14ac:dyDescent="0.2">
      <c r="P1421" s="415"/>
    </row>
    <row r="1422" spans="16:16" x14ac:dyDescent="0.2">
      <c r="P1422" s="415"/>
    </row>
    <row r="1423" spans="16:16" x14ac:dyDescent="0.2">
      <c r="P1423" s="415"/>
    </row>
    <row r="1424" spans="16:16" x14ac:dyDescent="0.2">
      <c r="P1424" s="415"/>
    </row>
    <row r="1425" spans="16:16" x14ac:dyDescent="0.2">
      <c r="P1425" s="415"/>
    </row>
    <row r="1426" spans="16:16" x14ac:dyDescent="0.2">
      <c r="P1426" s="415"/>
    </row>
    <row r="1427" spans="16:16" x14ac:dyDescent="0.2">
      <c r="P1427" s="415"/>
    </row>
    <row r="1428" spans="16:16" x14ac:dyDescent="0.2">
      <c r="P1428" s="415"/>
    </row>
    <row r="1429" spans="16:16" x14ac:dyDescent="0.2">
      <c r="P1429" s="415"/>
    </row>
    <row r="1430" spans="16:16" x14ac:dyDescent="0.2">
      <c r="P1430" s="415"/>
    </row>
    <row r="1431" spans="16:16" x14ac:dyDescent="0.2">
      <c r="P1431" s="415"/>
    </row>
    <row r="1432" spans="16:16" x14ac:dyDescent="0.2">
      <c r="P1432" s="415"/>
    </row>
    <row r="1433" spans="16:16" x14ac:dyDescent="0.2">
      <c r="P1433" s="415"/>
    </row>
    <row r="1434" spans="16:16" x14ac:dyDescent="0.2">
      <c r="P1434" s="415"/>
    </row>
    <row r="1435" spans="16:16" x14ac:dyDescent="0.2">
      <c r="P1435" s="415"/>
    </row>
    <row r="1436" spans="16:16" x14ac:dyDescent="0.2">
      <c r="P1436" s="415"/>
    </row>
    <row r="1437" spans="16:16" x14ac:dyDescent="0.2">
      <c r="P1437" s="415"/>
    </row>
    <row r="1438" spans="16:16" x14ac:dyDescent="0.2">
      <c r="P1438" s="415"/>
    </row>
    <row r="1439" spans="16:16" x14ac:dyDescent="0.2">
      <c r="P1439" s="415"/>
    </row>
    <row r="1440" spans="16:16" x14ac:dyDescent="0.2">
      <c r="P1440" s="415"/>
    </row>
    <row r="1441" spans="16:16" x14ac:dyDescent="0.2">
      <c r="P1441" s="415"/>
    </row>
    <row r="1442" spans="16:16" x14ac:dyDescent="0.2">
      <c r="P1442" s="415"/>
    </row>
    <row r="1443" spans="16:16" x14ac:dyDescent="0.2">
      <c r="P1443" s="415"/>
    </row>
    <row r="1444" spans="16:16" x14ac:dyDescent="0.2">
      <c r="P1444" s="415"/>
    </row>
    <row r="1445" spans="16:16" x14ac:dyDescent="0.2">
      <c r="P1445" s="415"/>
    </row>
    <row r="1446" spans="16:16" x14ac:dyDescent="0.2">
      <c r="P1446" s="415"/>
    </row>
    <row r="1447" spans="16:16" x14ac:dyDescent="0.2">
      <c r="P1447" s="415"/>
    </row>
    <row r="1448" spans="16:16" x14ac:dyDescent="0.2">
      <c r="P1448" s="415"/>
    </row>
    <row r="1449" spans="16:16" x14ac:dyDescent="0.2">
      <c r="P1449" s="415"/>
    </row>
    <row r="1450" spans="16:16" x14ac:dyDescent="0.2">
      <c r="P1450" s="415"/>
    </row>
    <row r="1451" spans="16:16" x14ac:dyDescent="0.2">
      <c r="P1451" s="415"/>
    </row>
    <row r="1452" spans="16:16" x14ac:dyDescent="0.2">
      <c r="P1452" s="415"/>
    </row>
    <row r="1453" spans="16:16" x14ac:dyDescent="0.2">
      <c r="P1453" s="415"/>
    </row>
    <row r="1454" spans="16:16" x14ac:dyDescent="0.2">
      <c r="P1454" s="415"/>
    </row>
    <row r="1455" spans="16:16" x14ac:dyDescent="0.2">
      <c r="P1455" s="415"/>
    </row>
    <row r="1456" spans="16:16" x14ac:dyDescent="0.2">
      <c r="P1456" s="415"/>
    </row>
    <row r="1457" spans="16:16" x14ac:dyDescent="0.2">
      <c r="P1457" s="415"/>
    </row>
    <row r="1458" spans="16:16" x14ac:dyDescent="0.2">
      <c r="P1458" s="415"/>
    </row>
    <row r="1459" spans="16:16" x14ac:dyDescent="0.2">
      <c r="P1459" s="415"/>
    </row>
    <row r="1460" spans="16:16" x14ac:dyDescent="0.2">
      <c r="P1460" s="415"/>
    </row>
    <row r="1461" spans="16:16" x14ac:dyDescent="0.2">
      <c r="P1461" s="415"/>
    </row>
    <row r="1462" spans="16:16" x14ac:dyDescent="0.2">
      <c r="P1462" s="415"/>
    </row>
    <row r="1463" spans="16:16" x14ac:dyDescent="0.2">
      <c r="P1463" s="415"/>
    </row>
    <row r="1464" spans="16:16" x14ac:dyDescent="0.2">
      <c r="P1464" s="415"/>
    </row>
    <row r="1465" spans="16:16" x14ac:dyDescent="0.2">
      <c r="P1465" s="415"/>
    </row>
    <row r="1466" spans="16:16" x14ac:dyDescent="0.2">
      <c r="P1466" s="415"/>
    </row>
    <row r="1467" spans="16:16" x14ac:dyDescent="0.2">
      <c r="P1467" s="415"/>
    </row>
    <row r="1468" spans="16:16" x14ac:dyDescent="0.2">
      <c r="P1468" s="415"/>
    </row>
    <row r="1469" spans="16:16" x14ac:dyDescent="0.2">
      <c r="P1469" s="415"/>
    </row>
    <row r="1470" spans="16:16" x14ac:dyDescent="0.2">
      <c r="P1470" s="415"/>
    </row>
    <row r="1471" spans="16:16" x14ac:dyDescent="0.2">
      <c r="P1471" s="415"/>
    </row>
    <row r="1472" spans="16:16" x14ac:dyDescent="0.2">
      <c r="P1472" s="415"/>
    </row>
    <row r="1473" spans="16:16" x14ac:dyDescent="0.2">
      <c r="P1473" s="415"/>
    </row>
    <row r="1474" spans="16:16" x14ac:dyDescent="0.2">
      <c r="P1474" s="415"/>
    </row>
    <row r="1475" spans="16:16" x14ac:dyDescent="0.2">
      <c r="P1475" s="415"/>
    </row>
    <row r="1476" spans="16:16" x14ac:dyDescent="0.2">
      <c r="P1476" s="415"/>
    </row>
    <row r="1477" spans="16:16" x14ac:dyDescent="0.2">
      <c r="P1477" s="415"/>
    </row>
    <row r="1478" spans="16:16" x14ac:dyDescent="0.2">
      <c r="P1478" s="415"/>
    </row>
    <row r="1479" spans="16:16" x14ac:dyDescent="0.2">
      <c r="P1479" s="415"/>
    </row>
    <row r="1480" spans="16:16" x14ac:dyDescent="0.2">
      <c r="P1480" s="415"/>
    </row>
    <row r="1481" spans="16:16" x14ac:dyDescent="0.2">
      <c r="P1481" s="415"/>
    </row>
    <row r="1482" spans="16:16" x14ac:dyDescent="0.2">
      <c r="P1482" s="415"/>
    </row>
    <row r="1483" spans="16:16" x14ac:dyDescent="0.2">
      <c r="P1483" s="415"/>
    </row>
    <row r="1484" spans="16:16" x14ac:dyDescent="0.2">
      <c r="P1484" s="415"/>
    </row>
    <row r="1485" spans="16:16" x14ac:dyDescent="0.2">
      <c r="P1485" s="415"/>
    </row>
    <row r="1486" spans="16:16" x14ac:dyDescent="0.2">
      <c r="P1486" s="415"/>
    </row>
    <row r="1487" spans="16:16" x14ac:dyDescent="0.2">
      <c r="P1487" s="415"/>
    </row>
    <row r="1488" spans="16:16" x14ac:dyDescent="0.2">
      <c r="P1488" s="415"/>
    </row>
    <row r="1489" spans="16:16" x14ac:dyDescent="0.2">
      <c r="P1489" s="415"/>
    </row>
    <row r="1490" spans="16:16" x14ac:dyDescent="0.2">
      <c r="P1490" s="415"/>
    </row>
    <row r="1491" spans="16:16" x14ac:dyDescent="0.2">
      <c r="P1491" s="415"/>
    </row>
    <row r="1492" spans="16:16" x14ac:dyDescent="0.2">
      <c r="P1492" s="415"/>
    </row>
    <row r="1493" spans="16:16" x14ac:dyDescent="0.2">
      <c r="P1493" s="415"/>
    </row>
    <row r="1494" spans="16:16" x14ac:dyDescent="0.2">
      <c r="P1494" s="415"/>
    </row>
    <row r="1495" spans="16:16" x14ac:dyDescent="0.2">
      <c r="P1495" s="415"/>
    </row>
    <row r="1496" spans="16:16" x14ac:dyDescent="0.2">
      <c r="P1496" s="415"/>
    </row>
    <row r="1497" spans="16:16" x14ac:dyDescent="0.2">
      <c r="P1497" s="415"/>
    </row>
    <row r="1498" spans="16:16" x14ac:dyDescent="0.2">
      <c r="P1498" s="415"/>
    </row>
    <row r="1499" spans="16:16" x14ac:dyDescent="0.2">
      <c r="P1499" s="415"/>
    </row>
    <row r="1500" spans="16:16" x14ac:dyDescent="0.2">
      <c r="P1500" s="415"/>
    </row>
    <row r="1501" spans="16:16" x14ac:dyDescent="0.2">
      <c r="P1501" s="415"/>
    </row>
    <row r="1502" spans="16:16" x14ac:dyDescent="0.2">
      <c r="P1502" s="415"/>
    </row>
    <row r="1503" spans="16:16" x14ac:dyDescent="0.2">
      <c r="P1503" s="415"/>
    </row>
    <row r="1504" spans="16:16" x14ac:dyDescent="0.2">
      <c r="P1504" s="415"/>
    </row>
    <row r="1505" spans="16:16" x14ac:dyDescent="0.2">
      <c r="P1505" s="415"/>
    </row>
    <row r="1506" spans="16:16" x14ac:dyDescent="0.2">
      <c r="P1506" s="415"/>
    </row>
    <row r="1507" spans="16:16" x14ac:dyDescent="0.2">
      <c r="P1507" s="415"/>
    </row>
    <row r="1508" spans="16:16" x14ac:dyDescent="0.2">
      <c r="P1508" s="415"/>
    </row>
    <row r="1509" spans="16:16" x14ac:dyDescent="0.2">
      <c r="P1509" s="415"/>
    </row>
    <row r="1510" spans="16:16" x14ac:dyDescent="0.2">
      <c r="P1510" s="415"/>
    </row>
    <row r="1511" spans="16:16" x14ac:dyDescent="0.2">
      <c r="P1511" s="415"/>
    </row>
    <row r="1512" spans="16:16" x14ac:dyDescent="0.2">
      <c r="P1512" s="415"/>
    </row>
    <row r="1513" spans="16:16" x14ac:dyDescent="0.2">
      <c r="P1513" s="415"/>
    </row>
    <row r="1514" spans="16:16" x14ac:dyDescent="0.2">
      <c r="P1514" s="415"/>
    </row>
    <row r="1515" spans="16:16" x14ac:dyDescent="0.2">
      <c r="P1515" s="415"/>
    </row>
    <row r="1516" spans="16:16" x14ac:dyDescent="0.2">
      <c r="P1516" s="415"/>
    </row>
    <row r="1517" spans="16:16" x14ac:dyDescent="0.2">
      <c r="P1517" s="415"/>
    </row>
    <row r="1518" spans="16:16" x14ac:dyDescent="0.2">
      <c r="P1518" s="415"/>
    </row>
    <row r="1519" spans="16:16" x14ac:dyDescent="0.2">
      <c r="P1519" s="415"/>
    </row>
    <row r="1520" spans="16:16" x14ac:dyDescent="0.2">
      <c r="P1520" s="415"/>
    </row>
    <row r="1521" spans="16:16" x14ac:dyDescent="0.2">
      <c r="P1521" s="415"/>
    </row>
    <row r="1522" spans="16:16" x14ac:dyDescent="0.2">
      <c r="P1522" s="415"/>
    </row>
    <row r="1523" spans="16:16" x14ac:dyDescent="0.2">
      <c r="P1523" s="415"/>
    </row>
    <row r="1524" spans="16:16" x14ac:dyDescent="0.2">
      <c r="P1524" s="415"/>
    </row>
    <row r="1525" spans="16:16" x14ac:dyDescent="0.2">
      <c r="P1525" s="415"/>
    </row>
    <row r="1526" spans="16:16" x14ac:dyDescent="0.2">
      <c r="P1526" s="415"/>
    </row>
    <row r="1527" spans="16:16" x14ac:dyDescent="0.2">
      <c r="P1527" s="415"/>
    </row>
    <row r="1528" spans="16:16" x14ac:dyDescent="0.2">
      <c r="P1528" s="415"/>
    </row>
    <row r="1529" spans="16:16" x14ac:dyDescent="0.2">
      <c r="P1529" s="415"/>
    </row>
    <row r="1530" spans="16:16" x14ac:dyDescent="0.2">
      <c r="P1530" s="415"/>
    </row>
    <row r="1531" spans="16:16" x14ac:dyDescent="0.2">
      <c r="P1531" s="415"/>
    </row>
    <row r="1532" spans="16:16" x14ac:dyDescent="0.2">
      <c r="P1532" s="415"/>
    </row>
    <row r="1533" spans="16:16" x14ac:dyDescent="0.2">
      <c r="P1533" s="415"/>
    </row>
    <row r="1534" spans="16:16" x14ac:dyDescent="0.2">
      <c r="P1534" s="415"/>
    </row>
    <row r="1535" spans="16:16" x14ac:dyDescent="0.2">
      <c r="P1535" s="415"/>
    </row>
    <row r="1536" spans="16:16" x14ac:dyDescent="0.2">
      <c r="P1536" s="415"/>
    </row>
    <row r="1537" spans="16:16" x14ac:dyDescent="0.2">
      <c r="P1537" s="415"/>
    </row>
    <row r="1538" spans="16:16" x14ac:dyDescent="0.2">
      <c r="P1538" s="415"/>
    </row>
    <row r="1539" spans="16:16" x14ac:dyDescent="0.2">
      <c r="P1539" s="415"/>
    </row>
    <row r="1540" spans="16:16" x14ac:dyDescent="0.2">
      <c r="P1540" s="415"/>
    </row>
    <row r="1541" spans="16:16" x14ac:dyDescent="0.2">
      <c r="P1541" s="415"/>
    </row>
    <row r="1542" spans="16:16" x14ac:dyDescent="0.2">
      <c r="P1542" s="415"/>
    </row>
    <row r="1543" spans="16:16" x14ac:dyDescent="0.2">
      <c r="P1543" s="415"/>
    </row>
    <row r="1544" spans="16:16" x14ac:dyDescent="0.2">
      <c r="P1544" s="415"/>
    </row>
    <row r="1545" spans="16:16" x14ac:dyDescent="0.2">
      <c r="P1545" s="415"/>
    </row>
    <row r="1546" spans="16:16" x14ac:dyDescent="0.2">
      <c r="P1546" s="415"/>
    </row>
    <row r="1547" spans="16:16" x14ac:dyDescent="0.2">
      <c r="P1547" s="415"/>
    </row>
    <row r="1548" spans="16:16" x14ac:dyDescent="0.2">
      <c r="P1548" s="415"/>
    </row>
    <row r="1549" spans="16:16" x14ac:dyDescent="0.2">
      <c r="P1549" s="415"/>
    </row>
    <row r="1550" spans="16:16" x14ac:dyDescent="0.2">
      <c r="P1550" s="415"/>
    </row>
    <row r="1551" spans="16:16" x14ac:dyDescent="0.2">
      <c r="P1551" s="415"/>
    </row>
    <row r="1552" spans="16:16" x14ac:dyDescent="0.2">
      <c r="P1552" s="415"/>
    </row>
    <row r="1553" spans="16:16" x14ac:dyDescent="0.2">
      <c r="P1553" s="415"/>
    </row>
    <row r="1554" spans="16:16" x14ac:dyDescent="0.2">
      <c r="P1554" s="415"/>
    </row>
    <row r="1555" spans="16:16" x14ac:dyDescent="0.2">
      <c r="P1555" s="415"/>
    </row>
    <row r="1556" spans="16:16" x14ac:dyDescent="0.2">
      <c r="P1556" s="415"/>
    </row>
    <row r="1557" spans="16:16" x14ac:dyDescent="0.2">
      <c r="P1557" s="415"/>
    </row>
    <row r="1558" spans="16:16" x14ac:dyDescent="0.2">
      <c r="P1558" s="415"/>
    </row>
    <row r="1559" spans="16:16" x14ac:dyDescent="0.2">
      <c r="P1559" s="415"/>
    </row>
    <row r="1560" spans="16:16" x14ac:dyDescent="0.2">
      <c r="P1560" s="415"/>
    </row>
    <row r="1561" spans="16:16" x14ac:dyDescent="0.2">
      <c r="P1561" s="415"/>
    </row>
    <row r="1562" spans="16:16" x14ac:dyDescent="0.2">
      <c r="P1562" s="415"/>
    </row>
    <row r="1563" spans="16:16" x14ac:dyDescent="0.2">
      <c r="P1563" s="415"/>
    </row>
    <row r="1564" spans="16:16" x14ac:dyDescent="0.2">
      <c r="P1564" s="415"/>
    </row>
    <row r="1565" spans="16:16" x14ac:dyDescent="0.2">
      <c r="P1565" s="415"/>
    </row>
    <row r="1566" spans="16:16" x14ac:dyDescent="0.2">
      <c r="P1566" s="415"/>
    </row>
    <row r="1567" spans="16:16" x14ac:dyDescent="0.2">
      <c r="P1567" s="415"/>
    </row>
    <row r="1568" spans="16:16" x14ac:dyDescent="0.2">
      <c r="P1568" s="415"/>
    </row>
    <row r="1569" spans="16:16" x14ac:dyDescent="0.2">
      <c r="P1569" s="415"/>
    </row>
    <row r="1570" spans="16:16" x14ac:dyDescent="0.2">
      <c r="P1570" s="415"/>
    </row>
    <row r="1571" spans="16:16" x14ac:dyDescent="0.2">
      <c r="P1571" s="415"/>
    </row>
    <row r="1572" spans="16:16" x14ac:dyDescent="0.2">
      <c r="P1572" s="415"/>
    </row>
    <row r="1573" spans="16:16" x14ac:dyDescent="0.2">
      <c r="P1573" s="415"/>
    </row>
    <row r="1574" spans="16:16" x14ac:dyDescent="0.2">
      <c r="P1574" s="415"/>
    </row>
    <row r="1575" spans="16:16" x14ac:dyDescent="0.2">
      <c r="P1575" s="415"/>
    </row>
    <row r="1576" spans="16:16" x14ac:dyDescent="0.2">
      <c r="P1576" s="415"/>
    </row>
    <row r="1577" spans="16:16" x14ac:dyDescent="0.2">
      <c r="P1577" s="415"/>
    </row>
    <row r="1578" spans="16:16" x14ac:dyDescent="0.2">
      <c r="P1578" s="415"/>
    </row>
    <row r="1579" spans="16:16" x14ac:dyDescent="0.2">
      <c r="P1579" s="415"/>
    </row>
    <row r="1580" spans="16:16" x14ac:dyDescent="0.2">
      <c r="P1580" s="415"/>
    </row>
    <row r="1581" spans="16:16" x14ac:dyDescent="0.2">
      <c r="P1581" s="415"/>
    </row>
    <row r="1582" spans="16:16" x14ac:dyDescent="0.2">
      <c r="P1582" s="415"/>
    </row>
    <row r="1583" spans="16:16" x14ac:dyDescent="0.2">
      <c r="P1583" s="415"/>
    </row>
    <row r="1584" spans="16:16" x14ac:dyDescent="0.2">
      <c r="P1584" s="415"/>
    </row>
    <row r="1585" spans="16:16" x14ac:dyDescent="0.2">
      <c r="P1585" s="415"/>
    </row>
    <row r="1586" spans="16:16" x14ac:dyDescent="0.2">
      <c r="P1586" s="415"/>
    </row>
    <row r="1587" spans="16:16" x14ac:dyDescent="0.2">
      <c r="P1587" s="415"/>
    </row>
    <row r="1588" spans="16:16" x14ac:dyDescent="0.2">
      <c r="P1588" s="415"/>
    </row>
    <row r="1589" spans="16:16" x14ac:dyDescent="0.2">
      <c r="P1589" s="415"/>
    </row>
    <row r="1590" spans="16:16" x14ac:dyDescent="0.2">
      <c r="P1590" s="415"/>
    </row>
    <row r="1591" spans="16:16" x14ac:dyDescent="0.2">
      <c r="P1591" s="415"/>
    </row>
    <row r="1592" spans="16:16" x14ac:dyDescent="0.2">
      <c r="P1592" s="415"/>
    </row>
    <row r="1593" spans="16:16" x14ac:dyDescent="0.2">
      <c r="P1593" s="415"/>
    </row>
    <row r="1594" spans="16:16" x14ac:dyDescent="0.2">
      <c r="P1594" s="415"/>
    </row>
    <row r="1595" spans="16:16" x14ac:dyDescent="0.2">
      <c r="P1595" s="415"/>
    </row>
    <row r="1596" spans="16:16" x14ac:dyDescent="0.2">
      <c r="P1596" s="415"/>
    </row>
    <row r="1597" spans="16:16" x14ac:dyDescent="0.2">
      <c r="P1597" s="415"/>
    </row>
    <row r="1598" spans="16:16" x14ac:dyDescent="0.2">
      <c r="P1598" s="415"/>
    </row>
    <row r="1599" spans="16:16" x14ac:dyDescent="0.2">
      <c r="P1599" s="415"/>
    </row>
    <row r="1600" spans="16:16" x14ac:dyDescent="0.2">
      <c r="P1600" s="415"/>
    </row>
    <row r="1601" spans="16:16" x14ac:dyDescent="0.2">
      <c r="P1601" s="415"/>
    </row>
    <row r="1602" spans="16:16" x14ac:dyDescent="0.2">
      <c r="P1602" s="415"/>
    </row>
    <row r="1603" spans="16:16" x14ac:dyDescent="0.2">
      <c r="P1603" s="415"/>
    </row>
    <row r="1604" spans="16:16" x14ac:dyDescent="0.2">
      <c r="P1604" s="415"/>
    </row>
    <row r="1605" spans="16:16" x14ac:dyDescent="0.2">
      <c r="P1605" s="415"/>
    </row>
    <row r="1606" spans="16:16" x14ac:dyDescent="0.2">
      <c r="P1606" s="415"/>
    </row>
    <row r="1607" spans="16:16" x14ac:dyDescent="0.2">
      <c r="P1607" s="415"/>
    </row>
    <row r="1608" spans="16:16" x14ac:dyDescent="0.2">
      <c r="P1608" s="415"/>
    </row>
    <row r="1609" spans="16:16" x14ac:dyDescent="0.2">
      <c r="P1609" s="415"/>
    </row>
    <row r="1610" spans="16:16" x14ac:dyDescent="0.2">
      <c r="P1610" s="415"/>
    </row>
    <row r="1611" spans="16:16" x14ac:dyDescent="0.2">
      <c r="P1611" s="415"/>
    </row>
    <row r="1612" spans="16:16" x14ac:dyDescent="0.2">
      <c r="P1612" s="415"/>
    </row>
    <row r="1613" spans="16:16" x14ac:dyDescent="0.2">
      <c r="P1613" s="415"/>
    </row>
    <row r="1614" spans="16:16" x14ac:dyDescent="0.2">
      <c r="P1614" s="415"/>
    </row>
    <row r="1615" spans="16:16" x14ac:dyDescent="0.2">
      <c r="P1615" s="415"/>
    </row>
    <row r="1616" spans="16:16" x14ac:dyDescent="0.2">
      <c r="P1616" s="415"/>
    </row>
    <row r="1617" spans="16:16" x14ac:dyDescent="0.2">
      <c r="P1617" s="415"/>
    </row>
    <row r="1618" spans="16:16" x14ac:dyDescent="0.2">
      <c r="P1618" s="415"/>
    </row>
    <row r="1619" spans="16:16" x14ac:dyDescent="0.2">
      <c r="P1619" s="415"/>
    </row>
    <row r="1620" spans="16:16" x14ac:dyDescent="0.2">
      <c r="P1620" s="415"/>
    </row>
    <row r="1621" spans="16:16" x14ac:dyDescent="0.2">
      <c r="P1621" s="415"/>
    </row>
    <row r="1622" spans="16:16" x14ac:dyDescent="0.2">
      <c r="P1622" s="415"/>
    </row>
    <row r="1623" spans="16:16" x14ac:dyDescent="0.2">
      <c r="P1623" s="415"/>
    </row>
    <row r="1624" spans="16:16" x14ac:dyDescent="0.2">
      <c r="P1624" s="415"/>
    </row>
    <row r="1625" spans="16:16" x14ac:dyDescent="0.2">
      <c r="P1625" s="415"/>
    </row>
    <row r="1626" spans="16:16" x14ac:dyDescent="0.2">
      <c r="P1626" s="415"/>
    </row>
    <row r="1627" spans="16:16" x14ac:dyDescent="0.2">
      <c r="P1627" s="415"/>
    </row>
    <row r="1628" spans="16:16" x14ac:dyDescent="0.2">
      <c r="P1628" s="415"/>
    </row>
    <row r="1629" spans="16:16" x14ac:dyDescent="0.2">
      <c r="P1629" s="415"/>
    </row>
    <row r="1630" spans="16:16" x14ac:dyDescent="0.2">
      <c r="P1630" s="415"/>
    </row>
    <row r="1631" spans="16:16" x14ac:dyDescent="0.2">
      <c r="P1631" s="415"/>
    </row>
    <row r="1632" spans="16:16" x14ac:dyDescent="0.2">
      <c r="P1632" s="415"/>
    </row>
    <row r="1633" spans="16:16" x14ac:dyDescent="0.2">
      <c r="P1633" s="415"/>
    </row>
    <row r="1634" spans="16:16" x14ac:dyDescent="0.2">
      <c r="P1634" s="415"/>
    </row>
    <row r="1635" spans="16:16" x14ac:dyDescent="0.2">
      <c r="P1635" s="415"/>
    </row>
    <row r="1636" spans="16:16" x14ac:dyDescent="0.2">
      <c r="P1636" s="415"/>
    </row>
    <row r="1637" spans="16:16" x14ac:dyDescent="0.2">
      <c r="P1637" s="415"/>
    </row>
    <row r="1638" spans="16:16" x14ac:dyDescent="0.2">
      <c r="P1638" s="415"/>
    </row>
    <row r="1639" spans="16:16" x14ac:dyDescent="0.2">
      <c r="P1639" s="415"/>
    </row>
    <row r="1640" spans="16:16" x14ac:dyDescent="0.2">
      <c r="P1640" s="415"/>
    </row>
    <row r="1641" spans="16:16" x14ac:dyDescent="0.2">
      <c r="P1641" s="415"/>
    </row>
    <row r="1642" spans="16:16" x14ac:dyDescent="0.2">
      <c r="P1642" s="415"/>
    </row>
    <row r="1643" spans="16:16" x14ac:dyDescent="0.2">
      <c r="P1643" s="415"/>
    </row>
    <row r="1644" spans="16:16" x14ac:dyDescent="0.2">
      <c r="P1644" s="415"/>
    </row>
    <row r="1645" spans="16:16" x14ac:dyDescent="0.2">
      <c r="P1645" s="415"/>
    </row>
    <row r="1646" spans="16:16" x14ac:dyDescent="0.2">
      <c r="P1646" s="415"/>
    </row>
    <row r="1647" spans="16:16" x14ac:dyDescent="0.2">
      <c r="P1647" s="415"/>
    </row>
    <row r="1648" spans="16:16" x14ac:dyDescent="0.2">
      <c r="P1648" s="415"/>
    </row>
    <row r="1649" spans="16:16" x14ac:dyDescent="0.2">
      <c r="P1649" s="415"/>
    </row>
    <row r="1650" spans="16:16" x14ac:dyDescent="0.2">
      <c r="P1650" s="415"/>
    </row>
    <row r="1651" spans="16:16" x14ac:dyDescent="0.2">
      <c r="P1651" s="415"/>
    </row>
    <row r="1652" spans="16:16" x14ac:dyDescent="0.2">
      <c r="P1652" s="415"/>
    </row>
    <row r="1653" spans="16:16" x14ac:dyDescent="0.2">
      <c r="P1653" s="415"/>
    </row>
    <row r="1654" spans="16:16" x14ac:dyDescent="0.2">
      <c r="P1654" s="415"/>
    </row>
    <row r="1655" spans="16:16" x14ac:dyDescent="0.2">
      <c r="P1655" s="415"/>
    </row>
    <row r="1656" spans="16:16" x14ac:dyDescent="0.2">
      <c r="P1656" s="415"/>
    </row>
    <row r="1657" spans="16:16" x14ac:dyDescent="0.2">
      <c r="P1657" s="415"/>
    </row>
    <row r="1658" spans="16:16" x14ac:dyDescent="0.2">
      <c r="P1658" s="415"/>
    </row>
    <row r="1659" spans="16:16" x14ac:dyDescent="0.2">
      <c r="P1659" s="415"/>
    </row>
    <row r="1660" spans="16:16" x14ac:dyDescent="0.2">
      <c r="P1660" s="415"/>
    </row>
    <row r="1661" spans="16:16" x14ac:dyDescent="0.2">
      <c r="P1661" s="415"/>
    </row>
    <row r="1662" spans="16:16" x14ac:dyDescent="0.2">
      <c r="P1662" s="415"/>
    </row>
    <row r="1663" spans="16:16" x14ac:dyDescent="0.2">
      <c r="P1663" s="415"/>
    </row>
    <row r="1664" spans="16:16" x14ac:dyDescent="0.2">
      <c r="P1664" s="415"/>
    </row>
    <row r="1665" spans="16:16" x14ac:dyDescent="0.2">
      <c r="P1665" s="415"/>
    </row>
    <row r="1666" spans="16:16" x14ac:dyDescent="0.2">
      <c r="P1666" s="415"/>
    </row>
    <row r="1667" spans="16:16" x14ac:dyDescent="0.2">
      <c r="P1667" s="415"/>
    </row>
    <row r="1668" spans="16:16" x14ac:dyDescent="0.2">
      <c r="P1668" s="415"/>
    </row>
    <row r="1669" spans="16:16" x14ac:dyDescent="0.2">
      <c r="P1669" s="415"/>
    </row>
    <row r="1670" spans="16:16" x14ac:dyDescent="0.2">
      <c r="P1670" s="415"/>
    </row>
    <row r="1671" spans="16:16" x14ac:dyDescent="0.2">
      <c r="P1671" s="415"/>
    </row>
    <row r="1672" spans="16:16" x14ac:dyDescent="0.2">
      <c r="P1672" s="415"/>
    </row>
    <row r="1673" spans="16:16" x14ac:dyDescent="0.2">
      <c r="P1673" s="415"/>
    </row>
    <row r="1674" spans="16:16" x14ac:dyDescent="0.2">
      <c r="P1674" s="415"/>
    </row>
    <row r="1675" spans="16:16" x14ac:dyDescent="0.2">
      <c r="P1675" s="415"/>
    </row>
    <row r="1676" spans="16:16" x14ac:dyDescent="0.2">
      <c r="P1676" s="415"/>
    </row>
    <row r="1677" spans="16:16" x14ac:dyDescent="0.2">
      <c r="P1677" s="415"/>
    </row>
    <row r="1678" spans="16:16" x14ac:dyDescent="0.2">
      <c r="P1678" s="415"/>
    </row>
    <row r="1679" spans="16:16" x14ac:dyDescent="0.2">
      <c r="P1679" s="415"/>
    </row>
    <row r="1680" spans="16:16" x14ac:dyDescent="0.2">
      <c r="P1680" s="415"/>
    </row>
    <row r="1681" spans="16:16" x14ac:dyDescent="0.2">
      <c r="P1681" s="415"/>
    </row>
    <row r="1682" spans="16:16" x14ac:dyDescent="0.2">
      <c r="P1682" s="415"/>
    </row>
    <row r="1683" spans="16:16" x14ac:dyDescent="0.2">
      <c r="P1683" s="415"/>
    </row>
    <row r="1684" spans="16:16" x14ac:dyDescent="0.2">
      <c r="P1684" s="415"/>
    </row>
    <row r="1685" spans="16:16" x14ac:dyDescent="0.2">
      <c r="P1685" s="415"/>
    </row>
    <row r="1686" spans="16:16" x14ac:dyDescent="0.2">
      <c r="P1686" s="415"/>
    </row>
    <row r="1687" spans="16:16" x14ac:dyDescent="0.2">
      <c r="P1687" s="415"/>
    </row>
    <row r="1688" spans="16:16" x14ac:dyDescent="0.2">
      <c r="P1688" s="415"/>
    </row>
    <row r="1689" spans="16:16" x14ac:dyDescent="0.2">
      <c r="P1689" s="415"/>
    </row>
    <row r="1690" spans="16:16" x14ac:dyDescent="0.2">
      <c r="P1690" s="415"/>
    </row>
    <row r="1691" spans="16:16" x14ac:dyDescent="0.2">
      <c r="P1691" s="415"/>
    </row>
    <row r="1692" spans="16:16" x14ac:dyDescent="0.2">
      <c r="P1692" s="415"/>
    </row>
    <row r="1693" spans="16:16" x14ac:dyDescent="0.2">
      <c r="P1693" s="415"/>
    </row>
    <row r="1694" spans="16:16" x14ac:dyDescent="0.2">
      <c r="P1694" s="415"/>
    </row>
    <row r="1695" spans="16:16" x14ac:dyDescent="0.2">
      <c r="P1695" s="415"/>
    </row>
    <row r="1696" spans="16:16" x14ac:dyDescent="0.2">
      <c r="P1696" s="415"/>
    </row>
    <row r="1697" spans="16:16" x14ac:dyDescent="0.2">
      <c r="P1697" s="415"/>
    </row>
    <row r="1698" spans="16:16" x14ac:dyDescent="0.2">
      <c r="P1698" s="415"/>
    </row>
    <row r="1699" spans="16:16" x14ac:dyDescent="0.2">
      <c r="P1699" s="415"/>
    </row>
    <row r="1700" spans="16:16" x14ac:dyDescent="0.2">
      <c r="P1700" s="415"/>
    </row>
    <row r="1701" spans="16:16" x14ac:dyDescent="0.2">
      <c r="P1701" s="415"/>
    </row>
    <row r="1702" spans="16:16" x14ac:dyDescent="0.2">
      <c r="P1702" s="415"/>
    </row>
    <row r="1703" spans="16:16" x14ac:dyDescent="0.2">
      <c r="P1703" s="415"/>
    </row>
    <row r="1704" spans="16:16" x14ac:dyDescent="0.2">
      <c r="P1704" s="415"/>
    </row>
    <row r="1705" spans="16:16" x14ac:dyDescent="0.2">
      <c r="P1705" s="415"/>
    </row>
    <row r="1706" spans="16:16" x14ac:dyDescent="0.2">
      <c r="P1706" s="415"/>
    </row>
    <row r="1707" spans="16:16" x14ac:dyDescent="0.2">
      <c r="P1707" s="415"/>
    </row>
    <row r="1708" spans="16:16" x14ac:dyDescent="0.2">
      <c r="P1708" s="415"/>
    </row>
    <row r="1709" spans="16:16" x14ac:dyDescent="0.2">
      <c r="P1709" s="415"/>
    </row>
    <row r="1710" spans="16:16" x14ac:dyDescent="0.2">
      <c r="P1710" s="415"/>
    </row>
    <row r="1711" spans="16:16" x14ac:dyDescent="0.2">
      <c r="P1711" s="415"/>
    </row>
    <row r="1712" spans="16:16" x14ac:dyDescent="0.2">
      <c r="P1712" s="415"/>
    </row>
    <row r="1713" spans="16:16" x14ac:dyDescent="0.2">
      <c r="P1713" s="415"/>
    </row>
    <row r="1714" spans="16:16" x14ac:dyDescent="0.2">
      <c r="P1714" s="415"/>
    </row>
    <row r="1715" spans="16:16" x14ac:dyDescent="0.2">
      <c r="P1715" s="415"/>
    </row>
    <row r="1716" spans="16:16" x14ac:dyDescent="0.2">
      <c r="P1716" s="415"/>
    </row>
    <row r="1717" spans="16:16" x14ac:dyDescent="0.2">
      <c r="P1717" s="415"/>
    </row>
    <row r="1718" spans="16:16" x14ac:dyDescent="0.2">
      <c r="P1718" s="415"/>
    </row>
    <row r="1719" spans="16:16" x14ac:dyDescent="0.2">
      <c r="P1719" s="415"/>
    </row>
    <row r="1720" spans="16:16" x14ac:dyDescent="0.2">
      <c r="P1720" s="415"/>
    </row>
    <row r="1721" spans="16:16" x14ac:dyDescent="0.2">
      <c r="P1721" s="415"/>
    </row>
    <row r="1722" spans="16:16" x14ac:dyDescent="0.2">
      <c r="P1722" s="415"/>
    </row>
    <row r="1723" spans="16:16" x14ac:dyDescent="0.2">
      <c r="P1723" s="415"/>
    </row>
    <row r="1724" spans="16:16" x14ac:dyDescent="0.2">
      <c r="P1724" s="415"/>
    </row>
    <row r="1725" spans="16:16" x14ac:dyDescent="0.2">
      <c r="P1725" s="415"/>
    </row>
    <row r="1726" spans="16:16" x14ac:dyDescent="0.2">
      <c r="P1726" s="415"/>
    </row>
    <row r="1727" spans="16:16" x14ac:dyDescent="0.2">
      <c r="P1727" s="415"/>
    </row>
    <row r="1728" spans="16:16" x14ac:dyDescent="0.2">
      <c r="P1728" s="415"/>
    </row>
    <row r="1729" spans="16:16" x14ac:dyDescent="0.2">
      <c r="P1729" s="415"/>
    </row>
    <row r="1730" spans="16:16" x14ac:dyDescent="0.2">
      <c r="P1730" s="415"/>
    </row>
    <row r="1731" spans="16:16" x14ac:dyDescent="0.2">
      <c r="P1731" s="415"/>
    </row>
    <row r="1732" spans="16:16" x14ac:dyDescent="0.2">
      <c r="P1732" s="415"/>
    </row>
    <row r="1733" spans="16:16" x14ac:dyDescent="0.2">
      <c r="P1733" s="415"/>
    </row>
    <row r="1734" spans="16:16" x14ac:dyDescent="0.2">
      <c r="P1734" s="415"/>
    </row>
    <row r="1735" spans="16:16" x14ac:dyDescent="0.2">
      <c r="P1735" s="415"/>
    </row>
    <row r="1736" spans="16:16" x14ac:dyDescent="0.2">
      <c r="P1736" s="415"/>
    </row>
    <row r="1737" spans="16:16" x14ac:dyDescent="0.2">
      <c r="P1737" s="415"/>
    </row>
    <row r="1738" spans="16:16" x14ac:dyDescent="0.2">
      <c r="P1738" s="415"/>
    </row>
    <row r="1739" spans="16:16" x14ac:dyDescent="0.2">
      <c r="P1739" s="415"/>
    </row>
    <row r="1740" spans="16:16" x14ac:dyDescent="0.2">
      <c r="P1740" s="415"/>
    </row>
    <row r="1741" spans="16:16" x14ac:dyDescent="0.2">
      <c r="P1741" s="415"/>
    </row>
    <row r="1742" spans="16:16" x14ac:dyDescent="0.2">
      <c r="P1742" s="415"/>
    </row>
    <row r="1743" spans="16:16" x14ac:dyDescent="0.2">
      <c r="P1743" s="415"/>
    </row>
    <row r="1744" spans="16:16" x14ac:dyDescent="0.2">
      <c r="P1744" s="415"/>
    </row>
    <row r="1745" spans="16:16" x14ac:dyDescent="0.2">
      <c r="P1745" s="415"/>
    </row>
    <row r="1746" spans="16:16" x14ac:dyDescent="0.2">
      <c r="P1746" s="415"/>
    </row>
    <row r="1747" spans="16:16" x14ac:dyDescent="0.2">
      <c r="P1747" s="415"/>
    </row>
    <row r="1748" spans="16:16" x14ac:dyDescent="0.2">
      <c r="P1748" s="415"/>
    </row>
    <row r="1749" spans="16:16" x14ac:dyDescent="0.2">
      <c r="P1749" s="415"/>
    </row>
    <row r="1750" spans="16:16" x14ac:dyDescent="0.2">
      <c r="P1750" s="415"/>
    </row>
    <row r="1751" spans="16:16" x14ac:dyDescent="0.2">
      <c r="P1751" s="415"/>
    </row>
    <row r="1752" spans="16:16" x14ac:dyDescent="0.2">
      <c r="P1752" s="415"/>
    </row>
    <row r="1753" spans="16:16" x14ac:dyDescent="0.2">
      <c r="P1753" s="415"/>
    </row>
    <row r="1754" spans="16:16" x14ac:dyDescent="0.2">
      <c r="P1754" s="415"/>
    </row>
    <row r="1755" spans="16:16" x14ac:dyDescent="0.2">
      <c r="P1755" s="415"/>
    </row>
    <row r="1756" spans="16:16" x14ac:dyDescent="0.2">
      <c r="P1756" s="415"/>
    </row>
    <row r="1757" spans="16:16" x14ac:dyDescent="0.2">
      <c r="P1757" s="415"/>
    </row>
    <row r="1758" spans="16:16" x14ac:dyDescent="0.2">
      <c r="P1758" s="415"/>
    </row>
    <row r="1759" spans="16:16" x14ac:dyDescent="0.2">
      <c r="P1759" s="415"/>
    </row>
    <row r="1760" spans="16:16" x14ac:dyDescent="0.2">
      <c r="P1760" s="415"/>
    </row>
    <row r="1761" spans="16:16" x14ac:dyDescent="0.2">
      <c r="P1761" s="415"/>
    </row>
    <row r="1762" spans="16:16" x14ac:dyDescent="0.2">
      <c r="P1762" s="415"/>
    </row>
    <row r="1763" spans="16:16" x14ac:dyDescent="0.2">
      <c r="P1763" s="415"/>
    </row>
    <row r="1764" spans="16:16" x14ac:dyDescent="0.2">
      <c r="P1764" s="415"/>
    </row>
    <row r="1765" spans="16:16" x14ac:dyDescent="0.2">
      <c r="P1765" s="415"/>
    </row>
    <row r="1766" spans="16:16" x14ac:dyDescent="0.2">
      <c r="P1766" s="415"/>
    </row>
    <row r="1767" spans="16:16" x14ac:dyDescent="0.2">
      <c r="P1767" s="415"/>
    </row>
    <row r="1768" spans="16:16" x14ac:dyDescent="0.2">
      <c r="P1768" s="415"/>
    </row>
    <row r="1769" spans="16:16" x14ac:dyDescent="0.2">
      <c r="P1769" s="415"/>
    </row>
    <row r="1770" spans="16:16" x14ac:dyDescent="0.2">
      <c r="P1770" s="415"/>
    </row>
    <row r="1771" spans="16:16" x14ac:dyDescent="0.2">
      <c r="P1771" s="415"/>
    </row>
    <row r="1772" spans="16:16" x14ac:dyDescent="0.2">
      <c r="P1772" s="415"/>
    </row>
    <row r="1773" spans="16:16" x14ac:dyDescent="0.2">
      <c r="P1773" s="415"/>
    </row>
    <row r="1774" spans="16:16" x14ac:dyDescent="0.2">
      <c r="P1774" s="415"/>
    </row>
    <row r="1775" spans="16:16" x14ac:dyDescent="0.2">
      <c r="P1775" s="415"/>
    </row>
    <row r="1776" spans="16:16" x14ac:dyDescent="0.2">
      <c r="P1776" s="415"/>
    </row>
    <row r="1777" spans="16:16" x14ac:dyDescent="0.2">
      <c r="P1777" s="415"/>
    </row>
    <row r="1778" spans="16:16" x14ac:dyDescent="0.2">
      <c r="P1778" s="415"/>
    </row>
    <row r="1779" spans="16:16" x14ac:dyDescent="0.2">
      <c r="P1779" s="415"/>
    </row>
    <row r="1780" spans="16:16" x14ac:dyDescent="0.2">
      <c r="P1780" s="415"/>
    </row>
    <row r="1781" spans="16:16" x14ac:dyDescent="0.2">
      <c r="P1781" s="415"/>
    </row>
    <row r="1782" spans="16:16" x14ac:dyDescent="0.2">
      <c r="P1782" s="415"/>
    </row>
    <row r="1783" spans="16:16" x14ac:dyDescent="0.2">
      <c r="P1783" s="415"/>
    </row>
    <row r="1784" spans="16:16" x14ac:dyDescent="0.2">
      <c r="P1784" s="415"/>
    </row>
    <row r="1785" spans="16:16" x14ac:dyDescent="0.2">
      <c r="P1785" s="415"/>
    </row>
    <row r="1786" spans="16:16" x14ac:dyDescent="0.2">
      <c r="P1786" s="415"/>
    </row>
    <row r="1787" spans="16:16" x14ac:dyDescent="0.2">
      <c r="P1787" s="415"/>
    </row>
    <row r="1788" spans="16:16" x14ac:dyDescent="0.2">
      <c r="P1788" s="415"/>
    </row>
    <row r="1789" spans="16:16" x14ac:dyDescent="0.2">
      <c r="P1789" s="415"/>
    </row>
    <row r="1790" spans="16:16" x14ac:dyDescent="0.2">
      <c r="P1790" s="415"/>
    </row>
    <row r="1791" spans="16:16" x14ac:dyDescent="0.2">
      <c r="P1791" s="415"/>
    </row>
    <row r="1792" spans="16:16" x14ac:dyDescent="0.2">
      <c r="P1792" s="415"/>
    </row>
    <row r="1793" spans="16:16" x14ac:dyDescent="0.2">
      <c r="P1793" s="415"/>
    </row>
    <row r="1794" spans="16:16" x14ac:dyDescent="0.2">
      <c r="P1794" s="415"/>
    </row>
    <row r="1795" spans="16:16" x14ac:dyDescent="0.2">
      <c r="P1795" s="415"/>
    </row>
    <row r="1796" spans="16:16" x14ac:dyDescent="0.2">
      <c r="P1796" s="415"/>
    </row>
    <row r="1797" spans="16:16" x14ac:dyDescent="0.2">
      <c r="P1797" s="415"/>
    </row>
    <row r="1798" spans="16:16" x14ac:dyDescent="0.2">
      <c r="P1798" s="415"/>
    </row>
    <row r="1799" spans="16:16" x14ac:dyDescent="0.2">
      <c r="P1799" s="415"/>
    </row>
    <row r="1800" spans="16:16" x14ac:dyDescent="0.2">
      <c r="P1800" s="415"/>
    </row>
    <row r="1801" spans="16:16" x14ac:dyDescent="0.2">
      <c r="P1801" s="415"/>
    </row>
    <row r="1802" spans="16:16" x14ac:dyDescent="0.2">
      <c r="P1802" s="415"/>
    </row>
    <row r="1803" spans="16:16" x14ac:dyDescent="0.2">
      <c r="P1803" s="415"/>
    </row>
    <row r="1804" spans="16:16" x14ac:dyDescent="0.2">
      <c r="P1804" s="415"/>
    </row>
    <row r="1805" spans="16:16" x14ac:dyDescent="0.2">
      <c r="P1805" s="415"/>
    </row>
    <row r="1806" spans="16:16" x14ac:dyDescent="0.2">
      <c r="P1806" s="415"/>
    </row>
    <row r="1807" spans="16:16" x14ac:dyDescent="0.2">
      <c r="P1807" s="415"/>
    </row>
    <row r="1808" spans="16:16" x14ac:dyDescent="0.2">
      <c r="P1808" s="415"/>
    </row>
    <row r="1809" spans="16:16" x14ac:dyDescent="0.2">
      <c r="P1809" s="415"/>
    </row>
    <row r="1810" spans="16:16" x14ac:dyDescent="0.2">
      <c r="P1810" s="415"/>
    </row>
    <row r="1811" spans="16:16" x14ac:dyDescent="0.2">
      <c r="P1811" s="415"/>
    </row>
    <row r="1812" spans="16:16" x14ac:dyDescent="0.2">
      <c r="P1812" s="415"/>
    </row>
    <row r="1813" spans="16:16" x14ac:dyDescent="0.2">
      <c r="P1813" s="415"/>
    </row>
    <row r="1814" spans="16:16" x14ac:dyDescent="0.2">
      <c r="P1814" s="415"/>
    </row>
    <row r="1815" spans="16:16" x14ac:dyDescent="0.2">
      <c r="P1815" s="415"/>
    </row>
    <row r="1816" spans="16:16" x14ac:dyDescent="0.2">
      <c r="P1816" s="415"/>
    </row>
    <row r="1817" spans="16:16" x14ac:dyDescent="0.2">
      <c r="P1817" s="415"/>
    </row>
    <row r="1818" spans="16:16" x14ac:dyDescent="0.2">
      <c r="P1818" s="415"/>
    </row>
    <row r="1819" spans="16:16" x14ac:dyDescent="0.2">
      <c r="P1819" s="415"/>
    </row>
    <row r="1820" spans="16:16" x14ac:dyDescent="0.2">
      <c r="P1820" s="415"/>
    </row>
    <row r="1821" spans="16:16" x14ac:dyDescent="0.2">
      <c r="P1821" s="415"/>
    </row>
    <row r="1822" spans="16:16" x14ac:dyDescent="0.2">
      <c r="P1822" s="415"/>
    </row>
    <row r="1823" spans="16:16" x14ac:dyDescent="0.2">
      <c r="P1823" s="415"/>
    </row>
    <row r="1824" spans="16:16" x14ac:dyDescent="0.2">
      <c r="P1824" s="415"/>
    </row>
    <row r="1825" spans="16:16" x14ac:dyDescent="0.2">
      <c r="P1825" s="415"/>
    </row>
    <row r="1826" spans="16:16" x14ac:dyDescent="0.2">
      <c r="P1826" s="415"/>
    </row>
    <row r="1827" spans="16:16" x14ac:dyDescent="0.2">
      <c r="P1827" s="415"/>
    </row>
    <row r="1828" spans="16:16" x14ac:dyDescent="0.2">
      <c r="P1828" s="415"/>
    </row>
    <row r="1829" spans="16:16" x14ac:dyDescent="0.2">
      <c r="P1829" s="415"/>
    </row>
    <row r="1830" spans="16:16" x14ac:dyDescent="0.2">
      <c r="P1830" s="415"/>
    </row>
    <row r="1831" spans="16:16" x14ac:dyDescent="0.2">
      <c r="P1831" s="415"/>
    </row>
    <row r="1832" spans="16:16" x14ac:dyDescent="0.2">
      <c r="P1832" s="415"/>
    </row>
    <row r="1833" spans="16:16" x14ac:dyDescent="0.2">
      <c r="P1833" s="415"/>
    </row>
    <row r="1834" spans="16:16" x14ac:dyDescent="0.2">
      <c r="P1834" s="415"/>
    </row>
    <row r="1835" spans="16:16" x14ac:dyDescent="0.2">
      <c r="P1835" s="415"/>
    </row>
    <row r="1836" spans="16:16" x14ac:dyDescent="0.2">
      <c r="P1836" s="415"/>
    </row>
    <row r="1837" spans="16:16" x14ac:dyDescent="0.2">
      <c r="P1837" s="415"/>
    </row>
    <row r="1838" spans="16:16" x14ac:dyDescent="0.2">
      <c r="P1838" s="415"/>
    </row>
    <row r="1839" spans="16:16" x14ac:dyDescent="0.2">
      <c r="P1839" s="415"/>
    </row>
    <row r="1840" spans="16:16" x14ac:dyDescent="0.2">
      <c r="P1840" s="415"/>
    </row>
    <row r="1841" spans="16:16" x14ac:dyDescent="0.2">
      <c r="P1841" s="415"/>
    </row>
    <row r="1842" spans="16:16" x14ac:dyDescent="0.2">
      <c r="P1842" s="415"/>
    </row>
    <row r="1843" spans="16:16" x14ac:dyDescent="0.2">
      <c r="P1843" s="415"/>
    </row>
    <row r="1844" spans="16:16" x14ac:dyDescent="0.2">
      <c r="P1844" s="415"/>
    </row>
    <row r="1845" spans="16:16" x14ac:dyDescent="0.2">
      <c r="P1845" s="415"/>
    </row>
    <row r="1846" spans="16:16" x14ac:dyDescent="0.2">
      <c r="P1846" s="415"/>
    </row>
    <row r="1847" spans="16:16" x14ac:dyDescent="0.2">
      <c r="P1847" s="415"/>
    </row>
    <row r="1848" spans="16:16" x14ac:dyDescent="0.2">
      <c r="P1848" s="415"/>
    </row>
    <row r="1849" spans="16:16" x14ac:dyDescent="0.2">
      <c r="P1849" s="415"/>
    </row>
    <row r="1850" spans="16:16" x14ac:dyDescent="0.2">
      <c r="P1850" s="415"/>
    </row>
    <row r="1851" spans="16:16" x14ac:dyDescent="0.2">
      <c r="P1851" s="415"/>
    </row>
    <row r="1852" spans="16:16" x14ac:dyDescent="0.2">
      <c r="P1852" s="415"/>
    </row>
    <row r="1853" spans="16:16" x14ac:dyDescent="0.2">
      <c r="P1853" s="415"/>
    </row>
    <row r="1854" spans="16:16" x14ac:dyDescent="0.2">
      <c r="P1854" s="415"/>
    </row>
    <row r="1855" spans="16:16" x14ac:dyDescent="0.2">
      <c r="P1855" s="415"/>
    </row>
    <row r="1856" spans="16:16" x14ac:dyDescent="0.2">
      <c r="P1856" s="415"/>
    </row>
    <row r="1857" spans="16:16" x14ac:dyDescent="0.2">
      <c r="P1857" s="415"/>
    </row>
    <row r="1858" spans="16:16" x14ac:dyDescent="0.2">
      <c r="P1858" s="415"/>
    </row>
    <row r="1859" spans="16:16" x14ac:dyDescent="0.2">
      <c r="P1859" s="415"/>
    </row>
    <row r="1860" spans="16:16" x14ac:dyDescent="0.2">
      <c r="P1860" s="415"/>
    </row>
    <row r="1861" spans="16:16" x14ac:dyDescent="0.2">
      <c r="P1861" s="415"/>
    </row>
    <row r="1862" spans="16:16" x14ac:dyDescent="0.2">
      <c r="P1862" s="415"/>
    </row>
    <row r="1863" spans="16:16" x14ac:dyDescent="0.2">
      <c r="P1863" s="415"/>
    </row>
    <row r="1864" spans="16:16" x14ac:dyDescent="0.2">
      <c r="P1864" s="415"/>
    </row>
    <row r="1865" spans="16:16" x14ac:dyDescent="0.2">
      <c r="P1865" s="415"/>
    </row>
    <row r="1866" spans="16:16" x14ac:dyDescent="0.2">
      <c r="P1866" s="415"/>
    </row>
    <row r="1867" spans="16:16" x14ac:dyDescent="0.2">
      <c r="P1867" s="415"/>
    </row>
    <row r="1868" spans="16:16" x14ac:dyDescent="0.2">
      <c r="P1868" s="415"/>
    </row>
    <row r="1869" spans="16:16" x14ac:dyDescent="0.2">
      <c r="P1869" s="415"/>
    </row>
    <row r="1870" spans="16:16" x14ac:dyDescent="0.2">
      <c r="P1870" s="415"/>
    </row>
    <row r="1871" spans="16:16" x14ac:dyDescent="0.2">
      <c r="P1871" s="415"/>
    </row>
    <row r="1872" spans="16:16" x14ac:dyDescent="0.2">
      <c r="P1872" s="415"/>
    </row>
    <row r="1873" spans="16:16" x14ac:dyDescent="0.2">
      <c r="P1873" s="415"/>
    </row>
    <row r="1874" spans="16:16" x14ac:dyDescent="0.2">
      <c r="P1874" s="415"/>
    </row>
    <row r="1875" spans="16:16" x14ac:dyDescent="0.2">
      <c r="P1875" s="415"/>
    </row>
    <row r="1876" spans="16:16" x14ac:dyDescent="0.2">
      <c r="P1876" s="415"/>
    </row>
    <row r="1877" spans="16:16" x14ac:dyDescent="0.2">
      <c r="P1877" s="415"/>
    </row>
    <row r="1878" spans="16:16" x14ac:dyDescent="0.2">
      <c r="P1878" s="415"/>
    </row>
    <row r="1879" spans="16:16" x14ac:dyDescent="0.2">
      <c r="P1879" s="415"/>
    </row>
    <row r="1880" spans="16:16" x14ac:dyDescent="0.2">
      <c r="P1880" s="415"/>
    </row>
    <row r="1881" spans="16:16" x14ac:dyDescent="0.2">
      <c r="P1881" s="415"/>
    </row>
    <row r="1882" spans="16:16" x14ac:dyDescent="0.2">
      <c r="P1882" s="415"/>
    </row>
    <row r="1883" spans="16:16" x14ac:dyDescent="0.2">
      <c r="P1883" s="415"/>
    </row>
    <row r="1884" spans="16:16" x14ac:dyDescent="0.2">
      <c r="P1884" s="415"/>
    </row>
    <row r="1885" spans="16:16" x14ac:dyDescent="0.2">
      <c r="P1885" s="415"/>
    </row>
    <row r="1886" spans="16:16" x14ac:dyDescent="0.2">
      <c r="P1886" s="415"/>
    </row>
    <row r="1887" spans="16:16" x14ac:dyDescent="0.2">
      <c r="P1887" s="415"/>
    </row>
    <row r="1888" spans="16:16" x14ac:dyDescent="0.2">
      <c r="P1888" s="415"/>
    </row>
    <row r="1889" spans="16:16" x14ac:dyDescent="0.2">
      <c r="P1889" s="415"/>
    </row>
    <row r="1890" spans="16:16" x14ac:dyDescent="0.2">
      <c r="P1890" s="415"/>
    </row>
    <row r="1891" spans="16:16" x14ac:dyDescent="0.2">
      <c r="P1891" s="415"/>
    </row>
    <row r="1892" spans="16:16" x14ac:dyDescent="0.2">
      <c r="P1892" s="415"/>
    </row>
    <row r="1893" spans="16:16" x14ac:dyDescent="0.2">
      <c r="P1893" s="415"/>
    </row>
    <row r="1894" spans="16:16" x14ac:dyDescent="0.2">
      <c r="P1894" s="415"/>
    </row>
    <row r="1895" spans="16:16" x14ac:dyDescent="0.2">
      <c r="P1895" s="415"/>
    </row>
    <row r="1896" spans="16:16" x14ac:dyDescent="0.2">
      <c r="P1896" s="415"/>
    </row>
    <row r="1897" spans="16:16" x14ac:dyDescent="0.2">
      <c r="P1897" s="415"/>
    </row>
    <row r="1898" spans="16:16" x14ac:dyDescent="0.2">
      <c r="P1898" s="415"/>
    </row>
    <row r="1899" spans="16:16" x14ac:dyDescent="0.2">
      <c r="P1899" s="415"/>
    </row>
    <row r="1900" spans="16:16" x14ac:dyDescent="0.2">
      <c r="P1900" s="415"/>
    </row>
    <row r="1901" spans="16:16" x14ac:dyDescent="0.2">
      <c r="P1901" s="415"/>
    </row>
    <row r="1902" spans="16:16" x14ac:dyDescent="0.2">
      <c r="P1902" s="415"/>
    </row>
    <row r="1903" spans="16:16" x14ac:dyDescent="0.2">
      <c r="P1903" s="415"/>
    </row>
    <row r="1904" spans="16:16" x14ac:dyDescent="0.2">
      <c r="P1904" s="415"/>
    </row>
    <row r="1905" spans="16:16" x14ac:dyDescent="0.2">
      <c r="P1905" s="415"/>
    </row>
    <row r="1906" spans="16:16" x14ac:dyDescent="0.2">
      <c r="P1906" s="415"/>
    </row>
    <row r="1907" spans="16:16" x14ac:dyDescent="0.2">
      <c r="P1907" s="415"/>
    </row>
    <row r="1908" spans="16:16" x14ac:dyDescent="0.2">
      <c r="P1908" s="415"/>
    </row>
    <row r="1909" spans="16:16" x14ac:dyDescent="0.2">
      <c r="P1909" s="415"/>
    </row>
    <row r="1910" spans="16:16" x14ac:dyDescent="0.2">
      <c r="P1910" s="415"/>
    </row>
    <row r="1911" spans="16:16" x14ac:dyDescent="0.2">
      <c r="P1911" s="415"/>
    </row>
    <row r="1912" spans="16:16" x14ac:dyDescent="0.2">
      <c r="P1912" s="415"/>
    </row>
    <row r="1913" spans="16:16" x14ac:dyDescent="0.2">
      <c r="P1913" s="415"/>
    </row>
    <row r="1914" spans="16:16" x14ac:dyDescent="0.2">
      <c r="P1914" s="415"/>
    </row>
    <row r="1915" spans="16:16" x14ac:dyDescent="0.2">
      <c r="P1915" s="415"/>
    </row>
    <row r="1916" spans="16:16" x14ac:dyDescent="0.2">
      <c r="P1916" s="415"/>
    </row>
    <row r="1917" spans="16:16" x14ac:dyDescent="0.2">
      <c r="P1917" s="415"/>
    </row>
    <row r="1918" spans="16:16" x14ac:dyDescent="0.2">
      <c r="P1918" s="415"/>
    </row>
    <row r="1919" spans="16:16" x14ac:dyDescent="0.2">
      <c r="P1919" s="415"/>
    </row>
    <row r="1920" spans="16:16" x14ac:dyDescent="0.2">
      <c r="P1920" s="415"/>
    </row>
    <row r="1921" spans="16:16" x14ac:dyDescent="0.2">
      <c r="P1921" s="415"/>
    </row>
    <row r="1922" spans="16:16" x14ac:dyDescent="0.2">
      <c r="P1922" s="415"/>
    </row>
    <row r="1923" spans="16:16" x14ac:dyDescent="0.2">
      <c r="P1923" s="415"/>
    </row>
    <row r="1924" spans="16:16" x14ac:dyDescent="0.2">
      <c r="P1924" s="415"/>
    </row>
    <row r="1925" spans="16:16" x14ac:dyDescent="0.2">
      <c r="P1925" s="415"/>
    </row>
    <row r="1926" spans="16:16" x14ac:dyDescent="0.2">
      <c r="P1926" s="415"/>
    </row>
    <row r="1927" spans="16:16" x14ac:dyDescent="0.2">
      <c r="P1927" s="415"/>
    </row>
    <row r="1928" spans="16:16" x14ac:dyDescent="0.2">
      <c r="P1928" s="415"/>
    </row>
    <row r="1929" spans="16:16" x14ac:dyDescent="0.2">
      <c r="P1929" s="415"/>
    </row>
    <row r="1930" spans="16:16" x14ac:dyDescent="0.2">
      <c r="P1930" s="415"/>
    </row>
    <row r="1931" spans="16:16" x14ac:dyDescent="0.2">
      <c r="P1931" s="415"/>
    </row>
    <row r="1932" spans="16:16" x14ac:dyDescent="0.2">
      <c r="P1932" s="415"/>
    </row>
    <row r="1933" spans="16:16" x14ac:dyDescent="0.2">
      <c r="P1933" s="415"/>
    </row>
    <row r="1934" spans="16:16" x14ac:dyDescent="0.2">
      <c r="P1934" s="415"/>
    </row>
    <row r="1935" spans="16:16" x14ac:dyDescent="0.2">
      <c r="P1935" s="415"/>
    </row>
    <row r="1936" spans="16:16" x14ac:dyDescent="0.2">
      <c r="P1936" s="415"/>
    </row>
    <row r="1937" spans="16:16" x14ac:dyDescent="0.2">
      <c r="P1937" s="415"/>
    </row>
    <row r="1938" spans="16:16" x14ac:dyDescent="0.2">
      <c r="P1938" s="415"/>
    </row>
    <row r="1939" spans="16:16" x14ac:dyDescent="0.2">
      <c r="P1939" s="415"/>
    </row>
    <row r="1940" spans="16:16" x14ac:dyDescent="0.2">
      <c r="P1940" s="415"/>
    </row>
    <row r="1941" spans="16:16" x14ac:dyDescent="0.2">
      <c r="P1941" s="415"/>
    </row>
    <row r="1942" spans="16:16" x14ac:dyDescent="0.2">
      <c r="P1942" s="415"/>
    </row>
    <row r="1943" spans="16:16" x14ac:dyDescent="0.2">
      <c r="P1943" s="415"/>
    </row>
    <row r="1944" spans="16:16" x14ac:dyDescent="0.2">
      <c r="P1944" s="415"/>
    </row>
    <row r="1945" spans="16:16" x14ac:dyDescent="0.2">
      <c r="P1945" s="415"/>
    </row>
    <row r="1946" spans="16:16" x14ac:dyDescent="0.2">
      <c r="P1946" s="415"/>
    </row>
    <row r="1947" spans="16:16" x14ac:dyDescent="0.2">
      <c r="P1947" s="415"/>
    </row>
    <row r="1948" spans="16:16" x14ac:dyDescent="0.2">
      <c r="P1948" s="415"/>
    </row>
    <row r="1949" spans="16:16" x14ac:dyDescent="0.2">
      <c r="P1949" s="415"/>
    </row>
    <row r="1950" spans="16:16" x14ac:dyDescent="0.2">
      <c r="P1950" s="415"/>
    </row>
    <row r="1951" spans="16:16" x14ac:dyDescent="0.2">
      <c r="P1951" s="415"/>
    </row>
    <row r="1952" spans="16:16" x14ac:dyDescent="0.2">
      <c r="P1952" s="415"/>
    </row>
    <row r="1953" spans="16:16" x14ac:dyDescent="0.2">
      <c r="P1953" s="415"/>
    </row>
    <row r="1954" spans="16:16" x14ac:dyDescent="0.2">
      <c r="P1954" s="415"/>
    </row>
    <row r="1955" spans="16:16" x14ac:dyDescent="0.2">
      <c r="P1955" s="415"/>
    </row>
    <row r="1956" spans="16:16" x14ac:dyDescent="0.2">
      <c r="P1956" s="415"/>
    </row>
    <row r="1957" spans="16:16" x14ac:dyDescent="0.2">
      <c r="P1957" s="415"/>
    </row>
    <row r="1958" spans="16:16" x14ac:dyDescent="0.2">
      <c r="P1958" s="415"/>
    </row>
    <row r="1959" spans="16:16" x14ac:dyDescent="0.2">
      <c r="P1959" s="415"/>
    </row>
    <row r="1960" spans="16:16" x14ac:dyDescent="0.2">
      <c r="P1960" s="415"/>
    </row>
    <row r="1961" spans="16:16" x14ac:dyDescent="0.2">
      <c r="P1961" s="415"/>
    </row>
    <row r="1962" spans="16:16" x14ac:dyDescent="0.2">
      <c r="P1962" s="415"/>
    </row>
    <row r="1963" spans="16:16" x14ac:dyDescent="0.2">
      <c r="P1963" s="415"/>
    </row>
    <row r="1964" spans="16:16" x14ac:dyDescent="0.2">
      <c r="P1964" s="415"/>
    </row>
    <row r="1965" spans="16:16" x14ac:dyDescent="0.2">
      <c r="P1965" s="415"/>
    </row>
    <row r="1966" spans="16:16" x14ac:dyDescent="0.2">
      <c r="P1966" s="415"/>
    </row>
    <row r="1967" spans="16:16" x14ac:dyDescent="0.2">
      <c r="P1967" s="415"/>
    </row>
    <row r="1968" spans="16:16" x14ac:dyDescent="0.2">
      <c r="P1968" s="415"/>
    </row>
    <row r="1969" spans="16:16" x14ac:dyDescent="0.2">
      <c r="P1969" s="415"/>
    </row>
    <row r="1970" spans="16:16" x14ac:dyDescent="0.2">
      <c r="P1970" s="415"/>
    </row>
    <row r="1971" spans="16:16" x14ac:dyDescent="0.2">
      <c r="P1971" s="415"/>
    </row>
    <row r="1972" spans="16:16" x14ac:dyDescent="0.2">
      <c r="P1972" s="415"/>
    </row>
    <row r="1973" spans="16:16" x14ac:dyDescent="0.2">
      <c r="P1973" s="415"/>
    </row>
    <row r="1974" spans="16:16" x14ac:dyDescent="0.2">
      <c r="P1974" s="415"/>
    </row>
    <row r="1975" spans="16:16" x14ac:dyDescent="0.2">
      <c r="P1975" s="415"/>
    </row>
    <row r="1976" spans="16:16" x14ac:dyDescent="0.2">
      <c r="P1976" s="415"/>
    </row>
    <row r="1977" spans="16:16" x14ac:dyDescent="0.2">
      <c r="P1977" s="415"/>
    </row>
    <row r="1978" spans="16:16" x14ac:dyDescent="0.2">
      <c r="P1978" s="415"/>
    </row>
    <row r="1979" spans="16:16" x14ac:dyDescent="0.2">
      <c r="P1979" s="415"/>
    </row>
    <row r="1980" spans="16:16" x14ac:dyDescent="0.2">
      <c r="P1980" s="415"/>
    </row>
    <row r="1981" spans="16:16" x14ac:dyDescent="0.2">
      <c r="P1981" s="415"/>
    </row>
    <row r="1982" spans="16:16" x14ac:dyDescent="0.2">
      <c r="P1982" s="415"/>
    </row>
    <row r="1983" spans="16:16" x14ac:dyDescent="0.2">
      <c r="P1983" s="415"/>
    </row>
    <row r="1984" spans="16:16" x14ac:dyDescent="0.2">
      <c r="P1984" s="415"/>
    </row>
    <row r="1985" spans="16:16" x14ac:dyDescent="0.2">
      <c r="P1985" s="415"/>
    </row>
    <row r="1986" spans="16:16" x14ac:dyDescent="0.2">
      <c r="P1986" s="415"/>
    </row>
    <row r="1987" spans="16:16" x14ac:dyDescent="0.2">
      <c r="P1987" s="415"/>
    </row>
    <row r="1988" spans="16:16" x14ac:dyDescent="0.2">
      <c r="P1988" s="415"/>
    </row>
    <row r="1989" spans="16:16" x14ac:dyDescent="0.2">
      <c r="P1989" s="415"/>
    </row>
    <row r="1990" spans="16:16" x14ac:dyDescent="0.2">
      <c r="P1990" s="415"/>
    </row>
    <row r="1991" spans="16:16" x14ac:dyDescent="0.2">
      <c r="P1991" s="415"/>
    </row>
    <row r="1992" spans="16:16" x14ac:dyDescent="0.2">
      <c r="P1992" s="415"/>
    </row>
    <row r="1993" spans="16:16" x14ac:dyDescent="0.2">
      <c r="P1993" s="415"/>
    </row>
    <row r="1994" spans="16:16" x14ac:dyDescent="0.2">
      <c r="P1994" s="415"/>
    </row>
    <row r="1995" spans="16:16" x14ac:dyDescent="0.2">
      <c r="P1995" s="415"/>
    </row>
    <row r="1996" spans="16:16" x14ac:dyDescent="0.2">
      <c r="P1996" s="415"/>
    </row>
    <row r="1997" spans="16:16" x14ac:dyDescent="0.2">
      <c r="P1997" s="415"/>
    </row>
    <row r="1998" spans="16:16" x14ac:dyDescent="0.2">
      <c r="P1998" s="415"/>
    </row>
    <row r="1999" spans="16:16" x14ac:dyDescent="0.2">
      <c r="P1999" s="415"/>
    </row>
    <row r="2000" spans="16:16" x14ac:dyDescent="0.2">
      <c r="P2000" s="415"/>
    </row>
    <row r="2001" spans="16:16" x14ac:dyDescent="0.2">
      <c r="P2001" s="415"/>
    </row>
    <row r="2002" spans="16:16" x14ac:dyDescent="0.2">
      <c r="P2002" s="415"/>
    </row>
    <row r="2003" spans="16:16" x14ac:dyDescent="0.2">
      <c r="P2003" s="415"/>
    </row>
    <row r="2004" spans="16:16" x14ac:dyDescent="0.2">
      <c r="P2004" s="415"/>
    </row>
    <row r="2005" spans="16:16" x14ac:dyDescent="0.2">
      <c r="P2005" s="415"/>
    </row>
    <row r="2006" spans="16:16" x14ac:dyDescent="0.2">
      <c r="P2006" s="415"/>
    </row>
    <row r="2007" spans="16:16" x14ac:dyDescent="0.2">
      <c r="P2007" s="415"/>
    </row>
    <row r="2008" spans="16:16" x14ac:dyDescent="0.2">
      <c r="P2008" s="415"/>
    </row>
    <row r="2009" spans="16:16" x14ac:dyDescent="0.2">
      <c r="P2009" s="415"/>
    </row>
    <row r="2010" spans="16:16" x14ac:dyDescent="0.2">
      <c r="P2010" s="415"/>
    </row>
    <row r="2011" spans="16:16" x14ac:dyDescent="0.2">
      <c r="P2011" s="415"/>
    </row>
    <row r="2012" spans="16:16" x14ac:dyDescent="0.2">
      <c r="P2012" s="415"/>
    </row>
    <row r="2013" spans="16:16" x14ac:dyDescent="0.2">
      <c r="P2013" s="415"/>
    </row>
    <row r="2014" spans="16:16" x14ac:dyDescent="0.2">
      <c r="P2014" s="415"/>
    </row>
    <row r="2015" spans="16:16" x14ac:dyDescent="0.2">
      <c r="P2015" s="415"/>
    </row>
    <row r="2016" spans="16:16" x14ac:dyDescent="0.2">
      <c r="P2016" s="415"/>
    </row>
    <row r="2017" spans="16:16" x14ac:dyDescent="0.2">
      <c r="P2017" s="415"/>
    </row>
    <row r="2018" spans="16:16" x14ac:dyDescent="0.2">
      <c r="P2018" s="415"/>
    </row>
    <row r="2019" spans="16:16" x14ac:dyDescent="0.2">
      <c r="P2019" s="415"/>
    </row>
    <row r="2020" spans="16:16" x14ac:dyDescent="0.2">
      <c r="P2020" s="415"/>
    </row>
    <row r="2021" spans="16:16" x14ac:dyDescent="0.2">
      <c r="P2021" s="415"/>
    </row>
    <row r="2022" spans="16:16" x14ac:dyDescent="0.2">
      <c r="P2022" s="415"/>
    </row>
    <row r="2023" spans="16:16" x14ac:dyDescent="0.2">
      <c r="P2023" s="415"/>
    </row>
    <row r="2024" spans="16:16" x14ac:dyDescent="0.2">
      <c r="P2024" s="415"/>
    </row>
    <row r="2025" spans="16:16" x14ac:dyDescent="0.2">
      <c r="P2025" s="415"/>
    </row>
    <row r="2026" spans="16:16" x14ac:dyDescent="0.2">
      <c r="P2026" s="415"/>
    </row>
    <row r="2027" spans="16:16" x14ac:dyDescent="0.2">
      <c r="P2027" s="415"/>
    </row>
    <row r="2028" spans="16:16" x14ac:dyDescent="0.2">
      <c r="P2028" s="415"/>
    </row>
    <row r="2029" spans="16:16" x14ac:dyDescent="0.2">
      <c r="P2029" s="415"/>
    </row>
    <row r="2030" spans="16:16" x14ac:dyDescent="0.2">
      <c r="P2030" s="415"/>
    </row>
    <row r="2031" spans="16:16" x14ac:dyDescent="0.2">
      <c r="P2031" s="415"/>
    </row>
    <row r="2032" spans="16:16" x14ac:dyDescent="0.2">
      <c r="P2032" s="415"/>
    </row>
    <row r="2033" spans="16:16" x14ac:dyDescent="0.2">
      <c r="P2033" s="415"/>
    </row>
    <row r="2034" spans="16:16" x14ac:dyDescent="0.2">
      <c r="P2034" s="415"/>
    </row>
    <row r="2035" spans="16:16" x14ac:dyDescent="0.2">
      <c r="P2035" s="415"/>
    </row>
    <row r="2036" spans="16:16" x14ac:dyDescent="0.2">
      <c r="P2036" s="415"/>
    </row>
    <row r="2037" spans="16:16" x14ac:dyDescent="0.2">
      <c r="P2037" s="415"/>
    </row>
    <row r="2038" spans="16:16" x14ac:dyDescent="0.2">
      <c r="P2038" s="415"/>
    </row>
    <row r="2039" spans="16:16" x14ac:dyDescent="0.2">
      <c r="P2039" s="415"/>
    </row>
    <row r="2040" spans="16:16" x14ac:dyDescent="0.2">
      <c r="P2040" s="415"/>
    </row>
    <row r="2041" spans="16:16" x14ac:dyDescent="0.2">
      <c r="P2041" s="415"/>
    </row>
    <row r="2042" spans="16:16" x14ac:dyDescent="0.2">
      <c r="P2042" s="415"/>
    </row>
    <row r="2043" spans="16:16" x14ac:dyDescent="0.2">
      <c r="P2043" s="415"/>
    </row>
    <row r="2044" spans="16:16" x14ac:dyDescent="0.2">
      <c r="P2044" s="415"/>
    </row>
    <row r="2045" spans="16:16" x14ac:dyDescent="0.2">
      <c r="P2045" s="415"/>
    </row>
    <row r="2046" spans="16:16" x14ac:dyDescent="0.2">
      <c r="P2046" s="415"/>
    </row>
    <row r="2047" spans="16:16" x14ac:dyDescent="0.2">
      <c r="P2047" s="415"/>
    </row>
    <row r="2048" spans="16:16" x14ac:dyDescent="0.2">
      <c r="P2048" s="415"/>
    </row>
    <row r="2049" spans="16:16" x14ac:dyDescent="0.2">
      <c r="P2049" s="415"/>
    </row>
    <row r="2050" spans="16:16" x14ac:dyDescent="0.2">
      <c r="P2050" s="415"/>
    </row>
    <row r="2051" spans="16:16" x14ac:dyDescent="0.2">
      <c r="P2051" s="415"/>
    </row>
    <row r="2052" spans="16:16" x14ac:dyDescent="0.2">
      <c r="P2052" s="415"/>
    </row>
    <row r="2053" spans="16:16" x14ac:dyDescent="0.2">
      <c r="P2053" s="415"/>
    </row>
    <row r="2054" spans="16:16" x14ac:dyDescent="0.2">
      <c r="P2054" s="415"/>
    </row>
    <row r="2055" spans="16:16" x14ac:dyDescent="0.2">
      <c r="P2055" s="415"/>
    </row>
    <row r="2056" spans="16:16" x14ac:dyDescent="0.2">
      <c r="P2056" s="415"/>
    </row>
    <row r="2057" spans="16:16" x14ac:dyDescent="0.2">
      <c r="P2057" s="415"/>
    </row>
    <row r="2058" spans="16:16" x14ac:dyDescent="0.2">
      <c r="P2058" s="415"/>
    </row>
    <row r="2059" spans="16:16" x14ac:dyDescent="0.2">
      <c r="P2059" s="415"/>
    </row>
    <row r="2060" spans="16:16" x14ac:dyDescent="0.2">
      <c r="P2060" s="415"/>
    </row>
    <row r="2061" spans="16:16" x14ac:dyDescent="0.2">
      <c r="P2061" s="415"/>
    </row>
    <row r="2062" spans="16:16" x14ac:dyDescent="0.2">
      <c r="P2062" s="415"/>
    </row>
    <row r="2063" spans="16:16" x14ac:dyDescent="0.2">
      <c r="P2063" s="415"/>
    </row>
    <row r="2064" spans="16:16" x14ac:dyDescent="0.2">
      <c r="P2064" s="415"/>
    </row>
    <row r="2065" spans="16:16" x14ac:dyDescent="0.2">
      <c r="P2065" s="415"/>
    </row>
    <row r="2066" spans="16:16" x14ac:dyDescent="0.2">
      <c r="P2066" s="415"/>
    </row>
    <row r="2067" spans="16:16" x14ac:dyDescent="0.2">
      <c r="P2067" s="415"/>
    </row>
    <row r="2068" spans="16:16" x14ac:dyDescent="0.2">
      <c r="P2068" s="415"/>
    </row>
    <row r="2069" spans="16:16" x14ac:dyDescent="0.2">
      <c r="P2069" s="415"/>
    </row>
    <row r="2070" spans="16:16" x14ac:dyDescent="0.2">
      <c r="P2070" s="415"/>
    </row>
    <row r="2071" spans="16:16" x14ac:dyDescent="0.2">
      <c r="P2071" s="415"/>
    </row>
    <row r="2072" spans="16:16" x14ac:dyDescent="0.2">
      <c r="P2072" s="415"/>
    </row>
    <row r="2073" spans="16:16" x14ac:dyDescent="0.2">
      <c r="P2073" s="415"/>
    </row>
    <row r="2074" spans="16:16" x14ac:dyDescent="0.2">
      <c r="P2074" s="415"/>
    </row>
    <row r="2075" spans="16:16" x14ac:dyDescent="0.2">
      <c r="P2075" s="415"/>
    </row>
    <row r="2076" spans="16:16" x14ac:dyDescent="0.2">
      <c r="P2076" s="415"/>
    </row>
    <row r="2077" spans="16:16" x14ac:dyDescent="0.2">
      <c r="P2077" s="415"/>
    </row>
    <row r="2078" spans="16:16" x14ac:dyDescent="0.2">
      <c r="P2078" s="415"/>
    </row>
    <row r="2079" spans="16:16" x14ac:dyDescent="0.2">
      <c r="P2079" s="415"/>
    </row>
    <row r="2080" spans="16:16" x14ac:dyDescent="0.2">
      <c r="P2080" s="415"/>
    </row>
    <row r="2081" spans="16:16" x14ac:dyDescent="0.2">
      <c r="P2081" s="415"/>
    </row>
    <row r="2082" spans="16:16" x14ac:dyDescent="0.2">
      <c r="P2082" s="415"/>
    </row>
    <row r="2083" spans="16:16" x14ac:dyDescent="0.2">
      <c r="P2083" s="415"/>
    </row>
    <row r="2084" spans="16:16" x14ac:dyDescent="0.2">
      <c r="P2084" s="415"/>
    </row>
    <row r="2085" spans="16:16" x14ac:dyDescent="0.2">
      <c r="P2085" s="415"/>
    </row>
    <row r="2086" spans="16:16" x14ac:dyDescent="0.2">
      <c r="P2086" s="415"/>
    </row>
    <row r="2087" spans="16:16" x14ac:dyDescent="0.2">
      <c r="P2087" s="415"/>
    </row>
    <row r="2088" spans="16:16" x14ac:dyDescent="0.2">
      <c r="P2088" s="415"/>
    </row>
    <row r="2089" spans="16:16" x14ac:dyDescent="0.2">
      <c r="P2089" s="415"/>
    </row>
    <row r="2090" spans="16:16" x14ac:dyDescent="0.2">
      <c r="P2090" s="415"/>
    </row>
    <row r="2091" spans="16:16" x14ac:dyDescent="0.2">
      <c r="P2091" s="415"/>
    </row>
    <row r="2092" spans="16:16" x14ac:dyDescent="0.2">
      <c r="P2092" s="415"/>
    </row>
    <row r="2093" spans="16:16" x14ac:dyDescent="0.2">
      <c r="P2093" s="415"/>
    </row>
    <row r="2094" spans="16:16" x14ac:dyDescent="0.2">
      <c r="P2094" s="415"/>
    </row>
    <row r="2095" spans="16:16" x14ac:dyDescent="0.2">
      <c r="P2095" s="415"/>
    </row>
    <row r="2096" spans="16:16" x14ac:dyDescent="0.2">
      <c r="P2096" s="415"/>
    </row>
    <row r="2097" spans="16:16" x14ac:dyDescent="0.2">
      <c r="P2097" s="415"/>
    </row>
    <row r="2098" spans="16:16" x14ac:dyDescent="0.2">
      <c r="P2098" s="415"/>
    </row>
    <row r="2099" spans="16:16" x14ac:dyDescent="0.2">
      <c r="P2099" s="415"/>
    </row>
    <row r="2100" spans="16:16" x14ac:dyDescent="0.2">
      <c r="P2100" s="415"/>
    </row>
    <row r="2101" spans="16:16" x14ac:dyDescent="0.2">
      <c r="P2101" s="415"/>
    </row>
    <row r="2102" spans="16:16" x14ac:dyDescent="0.2">
      <c r="P2102" s="415"/>
    </row>
    <row r="2103" spans="16:16" x14ac:dyDescent="0.2">
      <c r="P2103" s="415"/>
    </row>
    <row r="2104" spans="16:16" x14ac:dyDescent="0.2">
      <c r="P2104" s="415"/>
    </row>
    <row r="2105" spans="16:16" x14ac:dyDescent="0.2">
      <c r="P2105" s="415"/>
    </row>
    <row r="2106" spans="16:16" x14ac:dyDescent="0.2">
      <c r="P2106" s="415"/>
    </row>
    <row r="2107" spans="16:16" x14ac:dyDescent="0.2">
      <c r="P2107" s="415"/>
    </row>
    <row r="2108" spans="16:16" x14ac:dyDescent="0.2">
      <c r="P2108" s="415"/>
    </row>
    <row r="2109" spans="16:16" x14ac:dyDescent="0.2">
      <c r="P2109" s="415"/>
    </row>
    <row r="2110" spans="16:16" x14ac:dyDescent="0.2">
      <c r="P2110" s="415"/>
    </row>
    <row r="2111" spans="16:16" x14ac:dyDescent="0.2">
      <c r="P2111" s="415"/>
    </row>
    <row r="2112" spans="16:16" x14ac:dyDescent="0.2">
      <c r="P2112" s="415"/>
    </row>
    <row r="2113" spans="16:16" x14ac:dyDescent="0.2">
      <c r="P2113" s="415"/>
    </row>
    <row r="2114" spans="16:16" x14ac:dyDescent="0.2">
      <c r="P2114" s="415"/>
    </row>
    <row r="2115" spans="16:16" x14ac:dyDescent="0.2">
      <c r="P2115" s="415"/>
    </row>
    <row r="2116" spans="16:16" x14ac:dyDescent="0.2">
      <c r="P2116" s="415"/>
    </row>
    <row r="2117" spans="16:16" x14ac:dyDescent="0.2">
      <c r="P2117" s="415"/>
    </row>
    <row r="2118" spans="16:16" x14ac:dyDescent="0.2">
      <c r="P2118" s="415"/>
    </row>
    <row r="2119" spans="16:16" x14ac:dyDescent="0.2">
      <c r="P2119" s="415"/>
    </row>
    <row r="2120" spans="16:16" x14ac:dyDescent="0.2">
      <c r="P2120" s="415"/>
    </row>
    <row r="2121" spans="16:16" x14ac:dyDescent="0.2">
      <c r="P2121" s="415"/>
    </row>
    <row r="2122" spans="16:16" x14ac:dyDescent="0.2">
      <c r="P2122" s="415"/>
    </row>
    <row r="2123" spans="16:16" x14ac:dyDescent="0.2">
      <c r="P2123" s="415"/>
    </row>
    <row r="2124" spans="16:16" x14ac:dyDescent="0.2">
      <c r="P2124" s="415"/>
    </row>
    <row r="2125" spans="16:16" x14ac:dyDescent="0.2">
      <c r="P2125" s="415"/>
    </row>
    <row r="2126" spans="16:16" x14ac:dyDescent="0.2">
      <c r="P2126" s="415"/>
    </row>
    <row r="2127" spans="16:16" x14ac:dyDescent="0.2">
      <c r="P2127" s="415"/>
    </row>
    <row r="2128" spans="16:16" x14ac:dyDescent="0.2">
      <c r="P2128" s="415"/>
    </row>
    <row r="2129" spans="16:16" x14ac:dyDescent="0.2">
      <c r="P2129" s="415"/>
    </row>
    <row r="2130" spans="16:16" x14ac:dyDescent="0.2">
      <c r="P2130" s="415"/>
    </row>
    <row r="2131" spans="16:16" x14ac:dyDescent="0.2">
      <c r="P2131" s="415"/>
    </row>
    <row r="2132" spans="16:16" x14ac:dyDescent="0.2">
      <c r="P2132" s="415"/>
    </row>
    <row r="2133" spans="16:16" x14ac:dyDescent="0.2">
      <c r="P2133" s="415"/>
    </row>
    <row r="2134" spans="16:16" x14ac:dyDescent="0.2">
      <c r="P2134" s="415"/>
    </row>
    <row r="2135" spans="16:16" x14ac:dyDescent="0.2">
      <c r="P2135" s="415"/>
    </row>
    <row r="2136" spans="16:16" x14ac:dyDescent="0.2">
      <c r="P2136" s="415"/>
    </row>
    <row r="2137" spans="16:16" x14ac:dyDescent="0.2">
      <c r="P2137" s="415"/>
    </row>
    <row r="2138" spans="16:16" x14ac:dyDescent="0.2">
      <c r="P2138" s="415"/>
    </row>
    <row r="2139" spans="16:16" x14ac:dyDescent="0.2">
      <c r="P2139" s="415"/>
    </row>
    <row r="2140" spans="16:16" x14ac:dyDescent="0.2">
      <c r="P2140" s="415"/>
    </row>
    <row r="2141" spans="16:16" x14ac:dyDescent="0.2">
      <c r="P2141" s="415"/>
    </row>
    <row r="2142" spans="16:16" x14ac:dyDescent="0.2">
      <c r="P2142" s="415"/>
    </row>
    <row r="2143" spans="16:16" x14ac:dyDescent="0.2">
      <c r="P2143" s="415"/>
    </row>
    <row r="2144" spans="16:16" x14ac:dyDescent="0.2">
      <c r="P2144" s="415"/>
    </row>
    <row r="2145" spans="16:16" x14ac:dyDescent="0.2">
      <c r="P2145" s="415"/>
    </row>
    <row r="2146" spans="16:16" x14ac:dyDescent="0.2">
      <c r="P2146" s="415"/>
    </row>
    <row r="2147" spans="16:16" x14ac:dyDescent="0.2">
      <c r="P2147" s="415"/>
    </row>
    <row r="2148" spans="16:16" x14ac:dyDescent="0.2">
      <c r="P2148" s="415"/>
    </row>
    <row r="2149" spans="16:16" x14ac:dyDescent="0.2">
      <c r="P2149" s="415"/>
    </row>
    <row r="2150" spans="16:16" x14ac:dyDescent="0.2">
      <c r="P2150" s="415"/>
    </row>
    <row r="2151" spans="16:16" x14ac:dyDescent="0.2">
      <c r="P2151" s="415"/>
    </row>
    <row r="2152" spans="16:16" x14ac:dyDescent="0.2">
      <c r="P2152" s="415"/>
    </row>
    <row r="2153" spans="16:16" x14ac:dyDescent="0.2">
      <c r="P2153" s="415"/>
    </row>
    <row r="2154" spans="16:16" x14ac:dyDescent="0.2">
      <c r="P2154" s="415"/>
    </row>
    <row r="2155" spans="16:16" x14ac:dyDescent="0.2">
      <c r="P2155" s="415"/>
    </row>
    <row r="2156" spans="16:16" x14ac:dyDescent="0.2">
      <c r="P2156" s="415"/>
    </row>
    <row r="2157" spans="16:16" x14ac:dyDescent="0.2">
      <c r="P2157" s="415"/>
    </row>
    <row r="2158" spans="16:16" x14ac:dyDescent="0.2">
      <c r="P2158" s="415"/>
    </row>
    <row r="2159" spans="16:16" x14ac:dyDescent="0.2">
      <c r="P2159" s="415"/>
    </row>
    <row r="2160" spans="16:16" x14ac:dyDescent="0.2">
      <c r="P2160" s="415"/>
    </row>
    <row r="2161" spans="16:16" x14ac:dyDescent="0.2">
      <c r="P2161" s="415"/>
    </row>
    <row r="2162" spans="16:16" x14ac:dyDescent="0.2">
      <c r="P2162" s="415"/>
    </row>
    <row r="2163" spans="16:16" x14ac:dyDescent="0.2">
      <c r="P2163" s="415"/>
    </row>
    <row r="2164" spans="16:16" x14ac:dyDescent="0.2">
      <c r="P2164" s="415"/>
    </row>
    <row r="2165" spans="16:16" x14ac:dyDescent="0.2">
      <c r="P2165" s="415"/>
    </row>
    <row r="2166" spans="16:16" x14ac:dyDescent="0.2">
      <c r="P2166" s="415"/>
    </row>
    <row r="2167" spans="16:16" x14ac:dyDescent="0.2">
      <c r="P2167" s="415"/>
    </row>
    <row r="2168" spans="16:16" x14ac:dyDescent="0.2">
      <c r="P2168" s="415"/>
    </row>
    <row r="2169" spans="16:16" x14ac:dyDescent="0.2">
      <c r="P2169" s="415"/>
    </row>
    <row r="2170" spans="16:16" x14ac:dyDescent="0.2">
      <c r="P2170" s="415"/>
    </row>
    <row r="2171" spans="16:16" x14ac:dyDescent="0.2">
      <c r="P2171" s="415"/>
    </row>
    <row r="2172" spans="16:16" x14ac:dyDescent="0.2">
      <c r="P2172" s="415"/>
    </row>
    <row r="2173" spans="16:16" x14ac:dyDescent="0.2">
      <c r="P2173" s="415"/>
    </row>
    <row r="2174" spans="16:16" x14ac:dyDescent="0.2">
      <c r="P2174" s="415"/>
    </row>
    <row r="2175" spans="16:16" x14ac:dyDescent="0.2">
      <c r="P2175" s="415"/>
    </row>
    <row r="2176" spans="16:16" x14ac:dyDescent="0.2">
      <c r="P2176" s="415"/>
    </row>
    <row r="2177" spans="16:16" x14ac:dyDescent="0.2">
      <c r="P2177" s="415"/>
    </row>
    <row r="2178" spans="16:16" x14ac:dyDescent="0.2">
      <c r="P2178" s="415"/>
    </row>
    <row r="2179" spans="16:16" x14ac:dyDescent="0.2">
      <c r="P2179" s="415"/>
    </row>
    <row r="2180" spans="16:16" x14ac:dyDescent="0.2">
      <c r="P2180" s="415"/>
    </row>
    <row r="2181" spans="16:16" x14ac:dyDescent="0.2">
      <c r="P2181" s="415"/>
    </row>
    <row r="2182" spans="16:16" x14ac:dyDescent="0.2">
      <c r="P2182" s="415"/>
    </row>
    <row r="2183" spans="16:16" x14ac:dyDescent="0.2">
      <c r="P2183" s="415"/>
    </row>
    <row r="2184" spans="16:16" x14ac:dyDescent="0.2">
      <c r="P2184" s="415"/>
    </row>
    <row r="2185" spans="16:16" x14ac:dyDescent="0.2">
      <c r="P2185" s="415"/>
    </row>
    <row r="2186" spans="16:16" x14ac:dyDescent="0.2">
      <c r="P2186" s="415"/>
    </row>
    <row r="2187" spans="16:16" x14ac:dyDescent="0.2">
      <c r="P2187" s="415"/>
    </row>
    <row r="2188" spans="16:16" x14ac:dyDescent="0.2">
      <c r="P2188" s="415"/>
    </row>
    <row r="2189" spans="16:16" x14ac:dyDescent="0.2">
      <c r="P2189" s="415"/>
    </row>
    <row r="2190" spans="16:16" x14ac:dyDescent="0.2">
      <c r="P2190" s="415"/>
    </row>
    <row r="2191" spans="16:16" x14ac:dyDescent="0.2">
      <c r="P2191" s="415"/>
    </row>
    <row r="2192" spans="16:16" x14ac:dyDescent="0.2">
      <c r="P2192" s="415"/>
    </row>
    <row r="2193" spans="16:16" x14ac:dyDescent="0.2">
      <c r="P2193" s="415"/>
    </row>
    <row r="2194" spans="16:16" x14ac:dyDescent="0.2">
      <c r="P2194" s="415"/>
    </row>
    <row r="2195" spans="16:16" x14ac:dyDescent="0.2">
      <c r="P2195" s="415"/>
    </row>
    <row r="2196" spans="16:16" x14ac:dyDescent="0.2">
      <c r="P2196" s="415"/>
    </row>
    <row r="2197" spans="16:16" x14ac:dyDescent="0.2">
      <c r="P2197" s="415"/>
    </row>
    <row r="2198" spans="16:16" x14ac:dyDescent="0.2">
      <c r="P2198" s="415"/>
    </row>
    <row r="2199" spans="16:16" x14ac:dyDescent="0.2">
      <c r="P2199" s="415"/>
    </row>
    <row r="2200" spans="16:16" x14ac:dyDescent="0.2">
      <c r="P2200" s="415"/>
    </row>
    <row r="2201" spans="16:16" x14ac:dyDescent="0.2">
      <c r="P2201" s="415"/>
    </row>
    <row r="2202" spans="16:16" x14ac:dyDescent="0.2">
      <c r="P2202" s="415"/>
    </row>
    <row r="2203" spans="16:16" x14ac:dyDescent="0.2">
      <c r="P2203" s="415"/>
    </row>
    <row r="2204" spans="16:16" x14ac:dyDescent="0.2">
      <c r="P2204" s="415"/>
    </row>
    <row r="2205" spans="16:16" x14ac:dyDescent="0.2">
      <c r="P2205" s="415"/>
    </row>
    <row r="2206" spans="16:16" x14ac:dyDescent="0.2">
      <c r="P2206" s="415"/>
    </row>
    <row r="2207" spans="16:16" x14ac:dyDescent="0.2">
      <c r="P2207" s="415"/>
    </row>
    <row r="2208" spans="16:16" x14ac:dyDescent="0.2">
      <c r="P2208" s="415"/>
    </row>
    <row r="2209" spans="16:16" x14ac:dyDescent="0.2">
      <c r="P2209" s="415"/>
    </row>
    <row r="2210" spans="16:16" x14ac:dyDescent="0.2">
      <c r="P2210" s="415"/>
    </row>
    <row r="2211" spans="16:16" x14ac:dyDescent="0.2">
      <c r="P2211" s="415"/>
    </row>
    <row r="2212" spans="16:16" x14ac:dyDescent="0.2">
      <c r="P2212" s="415"/>
    </row>
    <row r="2213" spans="16:16" x14ac:dyDescent="0.2">
      <c r="P2213" s="415"/>
    </row>
    <row r="2214" spans="16:16" x14ac:dyDescent="0.2">
      <c r="P2214" s="415"/>
    </row>
    <row r="2215" spans="16:16" x14ac:dyDescent="0.2">
      <c r="P2215" s="415"/>
    </row>
    <row r="2216" spans="16:16" x14ac:dyDescent="0.2">
      <c r="P2216" s="415"/>
    </row>
    <row r="2217" spans="16:16" x14ac:dyDescent="0.2">
      <c r="P2217" s="415"/>
    </row>
    <row r="2218" spans="16:16" x14ac:dyDescent="0.2">
      <c r="P2218" s="415"/>
    </row>
    <row r="2219" spans="16:16" x14ac:dyDescent="0.2">
      <c r="P2219" s="415"/>
    </row>
    <row r="2220" spans="16:16" x14ac:dyDescent="0.2">
      <c r="P2220" s="415"/>
    </row>
    <row r="2221" spans="16:16" x14ac:dyDescent="0.2">
      <c r="P2221" s="415"/>
    </row>
    <row r="2222" spans="16:16" x14ac:dyDescent="0.2">
      <c r="P2222" s="415"/>
    </row>
    <row r="2223" spans="16:16" x14ac:dyDescent="0.2">
      <c r="P2223" s="415"/>
    </row>
    <row r="2224" spans="16:16" x14ac:dyDescent="0.2">
      <c r="P2224" s="415"/>
    </row>
    <row r="2225" spans="16:16" x14ac:dyDescent="0.2">
      <c r="P2225" s="415"/>
    </row>
    <row r="2226" spans="16:16" x14ac:dyDescent="0.2">
      <c r="P2226" s="415"/>
    </row>
    <row r="2227" spans="16:16" x14ac:dyDescent="0.2">
      <c r="P2227" s="415"/>
    </row>
    <row r="2228" spans="16:16" x14ac:dyDescent="0.2">
      <c r="P2228" s="415"/>
    </row>
    <row r="2229" spans="16:16" x14ac:dyDescent="0.2">
      <c r="P2229" s="415"/>
    </row>
    <row r="2230" spans="16:16" x14ac:dyDescent="0.2">
      <c r="P2230" s="415"/>
    </row>
    <row r="2231" spans="16:16" x14ac:dyDescent="0.2">
      <c r="P2231" s="415"/>
    </row>
    <row r="2232" spans="16:16" x14ac:dyDescent="0.2">
      <c r="P2232" s="415"/>
    </row>
    <row r="2233" spans="16:16" x14ac:dyDescent="0.2">
      <c r="P2233" s="415"/>
    </row>
    <row r="2234" spans="16:16" x14ac:dyDescent="0.2">
      <c r="P2234" s="415"/>
    </row>
    <row r="2235" spans="16:16" x14ac:dyDescent="0.2">
      <c r="P2235" s="415"/>
    </row>
    <row r="2236" spans="16:16" x14ac:dyDescent="0.2">
      <c r="P2236" s="415"/>
    </row>
    <row r="2237" spans="16:16" x14ac:dyDescent="0.2">
      <c r="P2237" s="415"/>
    </row>
    <row r="2238" spans="16:16" x14ac:dyDescent="0.2">
      <c r="P2238" s="415"/>
    </row>
    <row r="2239" spans="16:16" x14ac:dyDescent="0.2">
      <c r="P2239" s="415"/>
    </row>
    <row r="2240" spans="16:16" x14ac:dyDescent="0.2">
      <c r="P2240" s="415"/>
    </row>
    <row r="2241" spans="16:16" x14ac:dyDescent="0.2">
      <c r="P2241" s="415"/>
    </row>
    <row r="2242" spans="16:16" x14ac:dyDescent="0.2">
      <c r="P2242" s="415"/>
    </row>
    <row r="2243" spans="16:16" x14ac:dyDescent="0.2">
      <c r="P2243" s="415"/>
    </row>
    <row r="2244" spans="16:16" x14ac:dyDescent="0.2">
      <c r="P2244" s="415"/>
    </row>
    <row r="2245" spans="16:16" x14ac:dyDescent="0.2">
      <c r="P2245" s="415"/>
    </row>
    <row r="2246" spans="16:16" x14ac:dyDescent="0.2">
      <c r="P2246" s="415"/>
    </row>
    <row r="2247" spans="16:16" x14ac:dyDescent="0.2">
      <c r="P2247" s="415"/>
    </row>
    <row r="2248" spans="16:16" x14ac:dyDescent="0.2">
      <c r="P2248" s="415"/>
    </row>
    <row r="2249" spans="16:16" x14ac:dyDescent="0.2">
      <c r="P2249" s="415"/>
    </row>
    <row r="2250" spans="16:16" x14ac:dyDescent="0.2">
      <c r="P2250" s="415"/>
    </row>
    <row r="2251" spans="16:16" x14ac:dyDescent="0.2">
      <c r="P2251" s="415"/>
    </row>
    <row r="2252" spans="16:16" x14ac:dyDescent="0.2">
      <c r="P2252" s="415"/>
    </row>
    <row r="2253" spans="16:16" x14ac:dyDescent="0.2">
      <c r="P2253" s="415"/>
    </row>
    <row r="2254" spans="16:16" x14ac:dyDescent="0.2">
      <c r="P2254" s="415"/>
    </row>
    <row r="2255" spans="16:16" x14ac:dyDescent="0.2">
      <c r="P2255" s="415"/>
    </row>
    <row r="2256" spans="16:16" x14ac:dyDescent="0.2">
      <c r="P2256" s="415"/>
    </row>
    <row r="2257" spans="16:16" x14ac:dyDescent="0.2">
      <c r="P2257" s="415"/>
    </row>
    <row r="2258" spans="16:16" x14ac:dyDescent="0.2">
      <c r="P2258" s="415"/>
    </row>
    <row r="2259" spans="16:16" x14ac:dyDescent="0.2">
      <c r="P2259" s="415"/>
    </row>
    <row r="2260" spans="16:16" x14ac:dyDescent="0.2">
      <c r="P2260" s="415"/>
    </row>
    <row r="2261" spans="16:16" x14ac:dyDescent="0.2">
      <c r="P2261" s="415"/>
    </row>
    <row r="2262" spans="16:16" x14ac:dyDescent="0.2">
      <c r="P2262" s="415"/>
    </row>
    <row r="2263" spans="16:16" x14ac:dyDescent="0.2">
      <c r="P2263" s="415"/>
    </row>
    <row r="2264" spans="16:16" x14ac:dyDescent="0.2">
      <c r="P2264" s="415"/>
    </row>
    <row r="2265" spans="16:16" x14ac:dyDescent="0.2">
      <c r="P2265" s="415"/>
    </row>
    <row r="2266" spans="16:16" x14ac:dyDescent="0.2">
      <c r="P2266" s="415"/>
    </row>
    <row r="2267" spans="16:16" x14ac:dyDescent="0.2">
      <c r="P2267" s="415"/>
    </row>
    <row r="2268" spans="16:16" x14ac:dyDescent="0.2">
      <c r="P2268" s="415"/>
    </row>
    <row r="2269" spans="16:16" x14ac:dyDescent="0.2">
      <c r="P2269" s="415"/>
    </row>
    <row r="2270" spans="16:16" x14ac:dyDescent="0.2">
      <c r="P2270" s="415"/>
    </row>
    <row r="2271" spans="16:16" x14ac:dyDescent="0.2">
      <c r="P2271" s="415"/>
    </row>
    <row r="2272" spans="16:16" x14ac:dyDescent="0.2">
      <c r="P2272" s="415"/>
    </row>
    <row r="2273" spans="16:16" x14ac:dyDescent="0.2">
      <c r="P2273" s="415"/>
    </row>
    <row r="2274" spans="16:16" x14ac:dyDescent="0.2">
      <c r="P2274" s="415"/>
    </row>
    <row r="2275" spans="16:16" x14ac:dyDescent="0.2">
      <c r="P2275" s="415"/>
    </row>
    <row r="2276" spans="16:16" x14ac:dyDescent="0.2">
      <c r="P2276" s="415"/>
    </row>
    <row r="2277" spans="16:16" x14ac:dyDescent="0.2">
      <c r="P2277" s="415"/>
    </row>
    <row r="2278" spans="16:16" x14ac:dyDescent="0.2">
      <c r="P2278" s="415"/>
    </row>
    <row r="2279" spans="16:16" x14ac:dyDescent="0.2">
      <c r="P2279" s="415"/>
    </row>
    <row r="2280" spans="16:16" x14ac:dyDescent="0.2">
      <c r="P2280" s="415"/>
    </row>
    <row r="2281" spans="16:16" x14ac:dyDescent="0.2">
      <c r="P2281" s="415"/>
    </row>
    <row r="2282" spans="16:16" x14ac:dyDescent="0.2">
      <c r="P2282" s="415"/>
    </row>
    <row r="2283" spans="16:16" x14ac:dyDescent="0.2">
      <c r="P2283" s="415"/>
    </row>
    <row r="2284" spans="16:16" x14ac:dyDescent="0.2">
      <c r="P2284" s="415"/>
    </row>
    <row r="2285" spans="16:16" x14ac:dyDescent="0.2">
      <c r="P2285" s="415"/>
    </row>
    <row r="2286" spans="16:16" x14ac:dyDescent="0.2">
      <c r="P2286" s="415"/>
    </row>
    <row r="2287" spans="16:16" x14ac:dyDescent="0.2">
      <c r="P2287" s="415"/>
    </row>
    <row r="2288" spans="16:16" x14ac:dyDescent="0.2">
      <c r="P2288" s="415"/>
    </row>
    <row r="2289" spans="16:16" x14ac:dyDescent="0.2">
      <c r="P2289" s="415"/>
    </row>
    <row r="2290" spans="16:16" x14ac:dyDescent="0.2">
      <c r="P2290" s="415"/>
    </row>
    <row r="2291" spans="16:16" x14ac:dyDescent="0.2">
      <c r="P2291" s="415"/>
    </row>
    <row r="2292" spans="16:16" x14ac:dyDescent="0.2">
      <c r="P2292" s="415"/>
    </row>
    <row r="2293" spans="16:16" x14ac:dyDescent="0.2">
      <c r="P2293" s="415"/>
    </row>
    <row r="2294" spans="16:16" x14ac:dyDescent="0.2">
      <c r="P2294" s="415"/>
    </row>
    <row r="2295" spans="16:16" x14ac:dyDescent="0.2">
      <c r="P2295" s="415"/>
    </row>
    <row r="2296" spans="16:16" x14ac:dyDescent="0.2">
      <c r="P2296" s="415"/>
    </row>
    <row r="2297" spans="16:16" x14ac:dyDescent="0.2">
      <c r="P2297" s="415"/>
    </row>
    <row r="2298" spans="16:16" x14ac:dyDescent="0.2">
      <c r="P2298" s="415"/>
    </row>
    <row r="2299" spans="16:16" x14ac:dyDescent="0.2">
      <c r="P2299" s="415"/>
    </row>
    <row r="2300" spans="16:16" x14ac:dyDescent="0.2">
      <c r="P2300" s="415"/>
    </row>
    <row r="2301" spans="16:16" x14ac:dyDescent="0.2">
      <c r="P2301" s="415"/>
    </row>
    <row r="2302" spans="16:16" x14ac:dyDescent="0.2">
      <c r="P2302" s="415"/>
    </row>
    <row r="2303" spans="16:16" x14ac:dyDescent="0.2">
      <c r="P2303" s="415"/>
    </row>
    <row r="2304" spans="16:16" x14ac:dyDescent="0.2">
      <c r="P2304" s="415"/>
    </row>
    <row r="2305" spans="16:16" x14ac:dyDescent="0.2">
      <c r="P2305" s="415"/>
    </row>
    <row r="2306" spans="16:16" x14ac:dyDescent="0.2">
      <c r="P2306" s="415"/>
    </row>
    <row r="2307" spans="16:16" x14ac:dyDescent="0.2">
      <c r="P2307" s="415"/>
    </row>
    <row r="2308" spans="16:16" x14ac:dyDescent="0.2">
      <c r="P2308" s="415"/>
    </row>
    <row r="2309" spans="16:16" x14ac:dyDescent="0.2">
      <c r="P2309" s="415"/>
    </row>
    <row r="2310" spans="16:16" x14ac:dyDescent="0.2">
      <c r="P2310" s="415"/>
    </row>
    <row r="2311" spans="16:16" x14ac:dyDescent="0.2">
      <c r="P2311" s="415"/>
    </row>
    <row r="2312" spans="16:16" x14ac:dyDescent="0.2">
      <c r="P2312" s="415"/>
    </row>
    <row r="2313" spans="16:16" x14ac:dyDescent="0.2">
      <c r="P2313" s="415"/>
    </row>
    <row r="2314" spans="16:16" x14ac:dyDescent="0.2">
      <c r="P2314" s="415"/>
    </row>
    <row r="2315" spans="16:16" x14ac:dyDescent="0.2">
      <c r="P2315" s="415"/>
    </row>
    <row r="2316" spans="16:16" x14ac:dyDescent="0.2">
      <c r="P2316" s="415"/>
    </row>
    <row r="2317" spans="16:16" x14ac:dyDescent="0.2">
      <c r="P2317" s="415"/>
    </row>
    <row r="2318" spans="16:16" x14ac:dyDescent="0.2">
      <c r="P2318" s="415"/>
    </row>
    <row r="2319" spans="16:16" x14ac:dyDescent="0.2">
      <c r="P2319" s="415"/>
    </row>
    <row r="2320" spans="16:16" x14ac:dyDescent="0.2">
      <c r="P2320" s="415"/>
    </row>
    <row r="2321" spans="16:16" x14ac:dyDescent="0.2">
      <c r="P2321" s="415"/>
    </row>
    <row r="2322" spans="16:16" x14ac:dyDescent="0.2">
      <c r="P2322" s="415"/>
    </row>
    <row r="2323" spans="16:16" x14ac:dyDescent="0.2">
      <c r="P2323" s="415"/>
    </row>
    <row r="2324" spans="16:16" x14ac:dyDescent="0.2">
      <c r="P2324" s="415"/>
    </row>
    <row r="2325" spans="16:16" x14ac:dyDescent="0.2">
      <c r="P2325" s="415"/>
    </row>
    <row r="2326" spans="16:16" x14ac:dyDescent="0.2">
      <c r="P2326" s="415"/>
    </row>
    <row r="2327" spans="16:16" x14ac:dyDescent="0.2">
      <c r="P2327" s="415"/>
    </row>
    <row r="2328" spans="16:16" x14ac:dyDescent="0.2">
      <c r="P2328" s="415"/>
    </row>
    <row r="2329" spans="16:16" x14ac:dyDescent="0.2">
      <c r="P2329" s="415"/>
    </row>
    <row r="2330" spans="16:16" x14ac:dyDescent="0.2">
      <c r="P2330" s="415"/>
    </row>
    <row r="2331" spans="16:16" x14ac:dyDescent="0.2">
      <c r="P2331" s="415"/>
    </row>
    <row r="2332" spans="16:16" x14ac:dyDescent="0.2">
      <c r="P2332" s="415"/>
    </row>
    <row r="2333" spans="16:16" x14ac:dyDescent="0.2">
      <c r="P2333" s="415"/>
    </row>
    <row r="2334" spans="16:16" x14ac:dyDescent="0.2">
      <c r="P2334" s="415"/>
    </row>
    <row r="2335" spans="16:16" x14ac:dyDescent="0.2">
      <c r="P2335" s="415"/>
    </row>
    <row r="2336" spans="16:16" x14ac:dyDescent="0.2">
      <c r="P2336" s="415"/>
    </row>
    <row r="2337" spans="16:16" x14ac:dyDescent="0.2">
      <c r="P2337" s="415"/>
    </row>
    <row r="2338" spans="16:16" x14ac:dyDescent="0.2">
      <c r="P2338" s="415"/>
    </row>
    <row r="2339" spans="16:16" x14ac:dyDescent="0.2">
      <c r="P2339" s="415"/>
    </row>
    <row r="2340" spans="16:16" x14ac:dyDescent="0.2">
      <c r="P2340" s="415"/>
    </row>
    <row r="2341" spans="16:16" x14ac:dyDescent="0.2">
      <c r="P2341" s="415"/>
    </row>
    <row r="2342" spans="16:16" x14ac:dyDescent="0.2">
      <c r="P2342" s="415"/>
    </row>
    <row r="2343" spans="16:16" x14ac:dyDescent="0.2">
      <c r="P2343" s="415"/>
    </row>
    <row r="2344" spans="16:16" x14ac:dyDescent="0.2">
      <c r="P2344" s="415"/>
    </row>
    <row r="2345" spans="16:16" x14ac:dyDescent="0.2">
      <c r="P2345" s="415"/>
    </row>
    <row r="2346" spans="16:16" x14ac:dyDescent="0.2">
      <c r="P2346" s="415"/>
    </row>
    <row r="2347" spans="16:16" x14ac:dyDescent="0.2">
      <c r="P2347" s="415"/>
    </row>
    <row r="2348" spans="16:16" x14ac:dyDescent="0.2">
      <c r="P2348" s="415"/>
    </row>
    <row r="2349" spans="16:16" x14ac:dyDescent="0.2">
      <c r="P2349" s="415"/>
    </row>
    <row r="2350" spans="16:16" x14ac:dyDescent="0.2">
      <c r="P2350" s="415"/>
    </row>
    <row r="2351" spans="16:16" x14ac:dyDescent="0.2">
      <c r="P2351" s="415"/>
    </row>
    <row r="2352" spans="16:16" x14ac:dyDescent="0.2">
      <c r="P2352" s="415"/>
    </row>
    <row r="2353" spans="16:16" x14ac:dyDescent="0.2">
      <c r="P2353" s="415"/>
    </row>
    <row r="2354" spans="16:16" x14ac:dyDescent="0.2">
      <c r="P2354" s="415"/>
    </row>
    <row r="2355" spans="16:16" x14ac:dyDescent="0.2">
      <c r="P2355" s="415"/>
    </row>
    <row r="2356" spans="16:16" x14ac:dyDescent="0.2">
      <c r="P2356" s="415"/>
    </row>
    <row r="2357" spans="16:16" x14ac:dyDescent="0.2">
      <c r="P2357" s="415"/>
    </row>
    <row r="2358" spans="16:16" x14ac:dyDescent="0.2">
      <c r="P2358" s="415"/>
    </row>
    <row r="2359" spans="16:16" x14ac:dyDescent="0.2">
      <c r="P2359" s="415"/>
    </row>
    <row r="2360" spans="16:16" x14ac:dyDescent="0.2">
      <c r="P2360" s="415"/>
    </row>
    <row r="2361" spans="16:16" x14ac:dyDescent="0.2">
      <c r="P2361" s="415"/>
    </row>
    <row r="2362" spans="16:16" x14ac:dyDescent="0.2">
      <c r="P2362" s="415"/>
    </row>
    <row r="2363" spans="16:16" x14ac:dyDescent="0.2">
      <c r="P2363" s="415"/>
    </row>
    <row r="2364" spans="16:16" x14ac:dyDescent="0.2">
      <c r="P2364" s="415"/>
    </row>
    <row r="2365" spans="16:16" x14ac:dyDescent="0.2">
      <c r="P2365" s="415"/>
    </row>
    <row r="2366" spans="16:16" x14ac:dyDescent="0.2">
      <c r="P2366" s="415"/>
    </row>
    <row r="2367" spans="16:16" x14ac:dyDescent="0.2">
      <c r="P2367" s="415"/>
    </row>
    <row r="2368" spans="16:16" x14ac:dyDescent="0.2">
      <c r="P2368" s="415"/>
    </row>
    <row r="2369" spans="16:16" x14ac:dyDescent="0.2">
      <c r="P2369" s="415"/>
    </row>
    <row r="2370" spans="16:16" x14ac:dyDescent="0.2">
      <c r="P2370" s="415"/>
    </row>
    <row r="2371" spans="16:16" x14ac:dyDescent="0.2">
      <c r="P2371" s="415"/>
    </row>
    <row r="2372" spans="16:16" x14ac:dyDescent="0.2">
      <c r="P2372" s="415"/>
    </row>
    <row r="2373" spans="16:16" x14ac:dyDescent="0.2">
      <c r="P2373" s="415"/>
    </row>
    <row r="2374" spans="16:16" x14ac:dyDescent="0.2">
      <c r="P2374" s="415"/>
    </row>
    <row r="2375" spans="16:16" x14ac:dyDescent="0.2">
      <c r="P2375" s="415"/>
    </row>
    <row r="2376" spans="16:16" x14ac:dyDescent="0.2">
      <c r="P2376" s="415"/>
    </row>
    <row r="2377" spans="16:16" x14ac:dyDescent="0.2">
      <c r="P2377" s="415"/>
    </row>
    <row r="2378" spans="16:16" x14ac:dyDescent="0.2">
      <c r="P2378" s="415"/>
    </row>
    <row r="2379" spans="16:16" x14ac:dyDescent="0.2">
      <c r="P2379" s="415"/>
    </row>
    <row r="2380" spans="16:16" x14ac:dyDescent="0.2">
      <c r="P2380" s="415"/>
    </row>
    <row r="2381" spans="16:16" x14ac:dyDescent="0.2">
      <c r="P2381" s="415"/>
    </row>
    <row r="2382" spans="16:16" x14ac:dyDescent="0.2">
      <c r="P2382" s="415"/>
    </row>
    <row r="2383" spans="16:16" x14ac:dyDescent="0.2">
      <c r="P2383" s="415"/>
    </row>
    <row r="2384" spans="16:16" x14ac:dyDescent="0.2">
      <c r="P2384" s="415"/>
    </row>
    <row r="2385" spans="16:16" x14ac:dyDescent="0.2">
      <c r="P2385" s="415"/>
    </row>
    <row r="2386" spans="16:16" x14ac:dyDescent="0.2">
      <c r="P2386" s="415"/>
    </row>
    <row r="2387" spans="16:16" x14ac:dyDescent="0.2">
      <c r="P2387" s="415"/>
    </row>
    <row r="2388" spans="16:16" x14ac:dyDescent="0.2">
      <c r="P2388" s="415"/>
    </row>
    <row r="2389" spans="16:16" x14ac:dyDescent="0.2">
      <c r="P2389" s="415"/>
    </row>
    <row r="2390" spans="16:16" x14ac:dyDescent="0.2">
      <c r="P2390" s="415"/>
    </row>
    <row r="2391" spans="16:16" x14ac:dyDescent="0.2">
      <c r="P2391" s="415"/>
    </row>
    <row r="2392" spans="16:16" x14ac:dyDescent="0.2">
      <c r="P2392" s="415"/>
    </row>
    <row r="2393" spans="16:16" x14ac:dyDescent="0.2">
      <c r="P2393" s="415"/>
    </row>
    <row r="2394" spans="16:16" x14ac:dyDescent="0.2">
      <c r="P2394" s="415"/>
    </row>
    <row r="2395" spans="16:16" x14ac:dyDescent="0.2">
      <c r="P2395" s="415"/>
    </row>
    <row r="2396" spans="16:16" x14ac:dyDescent="0.2">
      <c r="P2396" s="415"/>
    </row>
    <row r="2397" spans="16:16" x14ac:dyDescent="0.2">
      <c r="P2397" s="415"/>
    </row>
    <row r="2398" spans="16:16" x14ac:dyDescent="0.2">
      <c r="P2398" s="415"/>
    </row>
    <row r="2399" spans="16:16" x14ac:dyDescent="0.2">
      <c r="P2399" s="415"/>
    </row>
    <row r="2400" spans="16:16" x14ac:dyDescent="0.2">
      <c r="P2400" s="415"/>
    </row>
    <row r="2401" spans="16:16" x14ac:dyDescent="0.2">
      <c r="P2401" s="415"/>
    </row>
    <row r="2402" spans="16:16" x14ac:dyDescent="0.2">
      <c r="P2402" s="415"/>
    </row>
    <row r="2403" spans="16:16" x14ac:dyDescent="0.2">
      <c r="P2403" s="415"/>
    </row>
    <row r="2404" spans="16:16" x14ac:dyDescent="0.2">
      <c r="P2404" s="415"/>
    </row>
    <row r="2405" spans="16:16" x14ac:dyDescent="0.2">
      <c r="P2405" s="415"/>
    </row>
    <row r="2406" spans="16:16" x14ac:dyDescent="0.2">
      <c r="P2406" s="415"/>
    </row>
    <row r="2407" spans="16:16" x14ac:dyDescent="0.2">
      <c r="P2407" s="415"/>
    </row>
    <row r="2408" spans="16:16" x14ac:dyDescent="0.2">
      <c r="P2408" s="415"/>
    </row>
    <row r="2409" spans="16:16" x14ac:dyDescent="0.2">
      <c r="P2409" s="415"/>
    </row>
    <row r="2410" spans="16:16" x14ac:dyDescent="0.2">
      <c r="P2410" s="415"/>
    </row>
    <row r="2411" spans="16:16" x14ac:dyDescent="0.2">
      <c r="P2411" s="415"/>
    </row>
    <row r="2412" spans="16:16" x14ac:dyDescent="0.2">
      <c r="P2412" s="415"/>
    </row>
    <row r="2413" spans="16:16" x14ac:dyDescent="0.2">
      <c r="P2413" s="415"/>
    </row>
    <row r="2414" spans="16:16" x14ac:dyDescent="0.2">
      <c r="P2414" s="415"/>
    </row>
    <row r="2415" spans="16:16" x14ac:dyDescent="0.2">
      <c r="P2415" s="415"/>
    </row>
    <row r="2416" spans="16:16" x14ac:dyDescent="0.2">
      <c r="P2416" s="415"/>
    </row>
    <row r="2417" spans="16:16" x14ac:dyDescent="0.2">
      <c r="P2417" s="415"/>
    </row>
    <row r="2418" spans="16:16" x14ac:dyDescent="0.2">
      <c r="P2418" s="415"/>
    </row>
    <row r="2419" spans="16:16" x14ac:dyDescent="0.2">
      <c r="P2419" s="415"/>
    </row>
    <row r="2420" spans="16:16" x14ac:dyDescent="0.2">
      <c r="P2420" s="415"/>
    </row>
    <row r="2421" spans="16:16" x14ac:dyDescent="0.2">
      <c r="P2421" s="415"/>
    </row>
    <row r="2422" spans="16:16" x14ac:dyDescent="0.2">
      <c r="P2422" s="415"/>
    </row>
    <row r="2423" spans="16:16" x14ac:dyDescent="0.2">
      <c r="P2423" s="415"/>
    </row>
    <row r="2424" spans="16:16" x14ac:dyDescent="0.2">
      <c r="P2424" s="415"/>
    </row>
    <row r="2425" spans="16:16" x14ac:dyDescent="0.2">
      <c r="P2425" s="415"/>
    </row>
    <row r="2426" spans="16:16" x14ac:dyDescent="0.2">
      <c r="P2426" s="415"/>
    </row>
    <row r="2427" spans="16:16" x14ac:dyDescent="0.2">
      <c r="P2427" s="415"/>
    </row>
    <row r="2428" spans="16:16" x14ac:dyDescent="0.2">
      <c r="P2428" s="415"/>
    </row>
    <row r="2429" spans="16:16" x14ac:dyDescent="0.2">
      <c r="P2429" s="415"/>
    </row>
    <row r="2430" spans="16:16" x14ac:dyDescent="0.2">
      <c r="P2430" s="415"/>
    </row>
    <row r="2431" spans="16:16" x14ac:dyDescent="0.2">
      <c r="P2431" s="415"/>
    </row>
    <row r="2432" spans="16:16" x14ac:dyDescent="0.2">
      <c r="P2432" s="415"/>
    </row>
    <row r="2433" spans="16:16" x14ac:dyDescent="0.2">
      <c r="P2433" s="415"/>
    </row>
    <row r="2434" spans="16:16" x14ac:dyDescent="0.2">
      <c r="P2434" s="415"/>
    </row>
    <row r="2435" spans="16:16" x14ac:dyDescent="0.2">
      <c r="P2435" s="415"/>
    </row>
    <row r="2436" spans="16:16" x14ac:dyDescent="0.2">
      <c r="P2436" s="415"/>
    </row>
    <row r="2437" spans="16:16" x14ac:dyDescent="0.2">
      <c r="P2437" s="415"/>
    </row>
    <row r="2438" spans="16:16" x14ac:dyDescent="0.2">
      <c r="P2438" s="415"/>
    </row>
    <row r="2439" spans="16:16" x14ac:dyDescent="0.2">
      <c r="P2439" s="415"/>
    </row>
    <row r="2440" spans="16:16" x14ac:dyDescent="0.2">
      <c r="P2440" s="415"/>
    </row>
    <row r="2441" spans="16:16" x14ac:dyDescent="0.2">
      <c r="P2441" s="415"/>
    </row>
    <row r="2442" spans="16:16" x14ac:dyDescent="0.2">
      <c r="P2442" s="415"/>
    </row>
    <row r="2443" spans="16:16" x14ac:dyDescent="0.2">
      <c r="P2443" s="415"/>
    </row>
    <row r="2444" spans="16:16" x14ac:dyDescent="0.2">
      <c r="P2444" s="415"/>
    </row>
    <row r="2445" spans="16:16" x14ac:dyDescent="0.2">
      <c r="P2445" s="415"/>
    </row>
    <row r="2446" spans="16:16" x14ac:dyDescent="0.2">
      <c r="P2446" s="415"/>
    </row>
    <row r="2447" spans="16:16" x14ac:dyDescent="0.2">
      <c r="P2447" s="415"/>
    </row>
    <row r="2448" spans="16:16" x14ac:dyDescent="0.2">
      <c r="P2448" s="415"/>
    </row>
    <row r="2449" spans="16:16" x14ac:dyDescent="0.2">
      <c r="P2449" s="415"/>
    </row>
    <row r="2450" spans="16:16" x14ac:dyDescent="0.2">
      <c r="P2450" s="415"/>
    </row>
    <row r="2451" spans="16:16" x14ac:dyDescent="0.2">
      <c r="P2451" s="415"/>
    </row>
    <row r="2452" spans="16:16" x14ac:dyDescent="0.2">
      <c r="P2452" s="415"/>
    </row>
    <row r="2453" spans="16:16" x14ac:dyDescent="0.2">
      <c r="P2453" s="415"/>
    </row>
    <row r="2454" spans="16:16" x14ac:dyDescent="0.2">
      <c r="P2454" s="415"/>
    </row>
    <row r="2455" spans="16:16" x14ac:dyDescent="0.2">
      <c r="P2455" s="415"/>
    </row>
    <row r="2456" spans="16:16" x14ac:dyDescent="0.2">
      <c r="P2456" s="415"/>
    </row>
    <row r="2457" spans="16:16" x14ac:dyDescent="0.2">
      <c r="P2457" s="415"/>
    </row>
    <row r="2458" spans="16:16" x14ac:dyDescent="0.2">
      <c r="P2458" s="415"/>
    </row>
    <row r="2459" spans="16:16" x14ac:dyDescent="0.2">
      <c r="P2459" s="415"/>
    </row>
    <row r="2460" spans="16:16" x14ac:dyDescent="0.2">
      <c r="P2460" s="415"/>
    </row>
    <row r="2461" spans="16:16" x14ac:dyDescent="0.2">
      <c r="P2461" s="415"/>
    </row>
    <row r="2462" spans="16:16" x14ac:dyDescent="0.2">
      <c r="P2462" s="415"/>
    </row>
    <row r="2463" spans="16:16" x14ac:dyDescent="0.2">
      <c r="P2463" s="415"/>
    </row>
    <row r="2464" spans="16:16" x14ac:dyDescent="0.2">
      <c r="P2464" s="415"/>
    </row>
    <row r="2465" spans="16:16" x14ac:dyDescent="0.2">
      <c r="P2465" s="415"/>
    </row>
    <row r="2466" spans="16:16" x14ac:dyDescent="0.2">
      <c r="P2466" s="415"/>
    </row>
    <row r="2467" spans="16:16" x14ac:dyDescent="0.2">
      <c r="P2467" s="415"/>
    </row>
    <row r="2468" spans="16:16" x14ac:dyDescent="0.2">
      <c r="P2468" s="415"/>
    </row>
    <row r="2469" spans="16:16" x14ac:dyDescent="0.2">
      <c r="P2469" s="415"/>
    </row>
    <row r="2470" spans="16:16" x14ac:dyDescent="0.2">
      <c r="P2470" s="415"/>
    </row>
    <row r="2471" spans="16:16" x14ac:dyDescent="0.2">
      <c r="P2471" s="415"/>
    </row>
    <row r="2472" spans="16:16" x14ac:dyDescent="0.2">
      <c r="P2472" s="415"/>
    </row>
    <row r="2473" spans="16:16" x14ac:dyDescent="0.2">
      <c r="P2473" s="415"/>
    </row>
    <row r="2474" spans="16:16" x14ac:dyDescent="0.2">
      <c r="P2474" s="415"/>
    </row>
    <row r="2475" spans="16:16" x14ac:dyDescent="0.2">
      <c r="P2475" s="415"/>
    </row>
    <row r="2476" spans="16:16" x14ac:dyDescent="0.2">
      <c r="P2476" s="415"/>
    </row>
    <row r="2477" spans="16:16" x14ac:dyDescent="0.2">
      <c r="P2477" s="415"/>
    </row>
    <row r="2478" spans="16:16" x14ac:dyDescent="0.2">
      <c r="P2478" s="415"/>
    </row>
    <row r="2479" spans="16:16" x14ac:dyDescent="0.2">
      <c r="P2479" s="415"/>
    </row>
    <row r="2480" spans="16:16" x14ac:dyDescent="0.2">
      <c r="P2480" s="415"/>
    </row>
    <row r="2481" spans="16:16" x14ac:dyDescent="0.2">
      <c r="P2481" s="415"/>
    </row>
    <row r="2482" spans="16:16" x14ac:dyDescent="0.2">
      <c r="P2482" s="415"/>
    </row>
    <row r="2483" spans="16:16" x14ac:dyDescent="0.2">
      <c r="P2483" s="415"/>
    </row>
    <row r="2484" spans="16:16" x14ac:dyDescent="0.2">
      <c r="P2484" s="415"/>
    </row>
    <row r="2485" spans="16:16" x14ac:dyDescent="0.2">
      <c r="P2485" s="415"/>
    </row>
    <row r="2486" spans="16:16" x14ac:dyDescent="0.2">
      <c r="P2486" s="415"/>
    </row>
    <row r="2487" spans="16:16" x14ac:dyDescent="0.2">
      <c r="P2487" s="415"/>
    </row>
    <row r="2488" spans="16:16" x14ac:dyDescent="0.2">
      <c r="P2488" s="415"/>
    </row>
    <row r="2489" spans="16:16" x14ac:dyDescent="0.2">
      <c r="P2489" s="415"/>
    </row>
    <row r="2490" spans="16:16" x14ac:dyDescent="0.2">
      <c r="P2490" s="415"/>
    </row>
    <row r="2491" spans="16:16" x14ac:dyDescent="0.2">
      <c r="P2491" s="415"/>
    </row>
    <row r="2492" spans="16:16" x14ac:dyDescent="0.2">
      <c r="P2492" s="415"/>
    </row>
    <row r="2493" spans="16:16" x14ac:dyDescent="0.2">
      <c r="P2493" s="415"/>
    </row>
    <row r="2494" spans="16:16" x14ac:dyDescent="0.2">
      <c r="P2494" s="415"/>
    </row>
    <row r="2495" spans="16:16" x14ac:dyDescent="0.2">
      <c r="P2495" s="415"/>
    </row>
    <row r="2496" spans="16:16" x14ac:dyDescent="0.2">
      <c r="P2496" s="415"/>
    </row>
    <row r="2497" spans="16:16" x14ac:dyDescent="0.2">
      <c r="P2497" s="415"/>
    </row>
    <row r="2498" spans="16:16" x14ac:dyDescent="0.2">
      <c r="P2498" s="415"/>
    </row>
    <row r="2499" spans="16:16" x14ac:dyDescent="0.2">
      <c r="P2499" s="415"/>
    </row>
    <row r="2500" spans="16:16" x14ac:dyDescent="0.2">
      <c r="P2500" s="415"/>
    </row>
    <row r="2501" spans="16:16" x14ac:dyDescent="0.2">
      <c r="P2501" s="415"/>
    </row>
    <row r="2502" spans="16:16" x14ac:dyDescent="0.2">
      <c r="P2502" s="415"/>
    </row>
    <row r="2503" spans="16:16" x14ac:dyDescent="0.2">
      <c r="P2503" s="415"/>
    </row>
    <row r="2504" spans="16:16" x14ac:dyDescent="0.2">
      <c r="P2504" s="415"/>
    </row>
    <row r="2505" spans="16:16" x14ac:dyDescent="0.2">
      <c r="P2505" s="415"/>
    </row>
    <row r="2506" spans="16:16" x14ac:dyDescent="0.2">
      <c r="P2506" s="415"/>
    </row>
    <row r="2507" spans="16:16" x14ac:dyDescent="0.2">
      <c r="P2507" s="415"/>
    </row>
    <row r="2508" spans="16:16" x14ac:dyDescent="0.2">
      <c r="P2508" s="415"/>
    </row>
    <row r="2509" spans="16:16" x14ac:dyDescent="0.2">
      <c r="P2509" s="415"/>
    </row>
    <row r="2510" spans="16:16" x14ac:dyDescent="0.2">
      <c r="P2510" s="415"/>
    </row>
    <row r="2511" spans="16:16" x14ac:dyDescent="0.2">
      <c r="P2511" s="415"/>
    </row>
    <row r="2512" spans="16:16" x14ac:dyDescent="0.2">
      <c r="P2512" s="415"/>
    </row>
    <row r="2513" spans="16:16" x14ac:dyDescent="0.2">
      <c r="P2513" s="415"/>
    </row>
    <row r="2514" spans="16:16" x14ac:dyDescent="0.2">
      <c r="P2514" s="415"/>
    </row>
    <row r="2515" spans="16:16" x14ac:dyDescent="0.2">
      <c r="P2515" s="415"/>
    </row>
    <row r="2516" spans="16:16" x14ac:dyDescent="0.2">
      <c r="P2516" s="415"/>
    </row>
    <row r="2517" spans="16:16" x14ac:dyDescent="0.2">
      <c r="P2517" s="415"/>
    </row>
    <row r="2518" spans="16:16" x14ac:dyDescent="0.2">
      <c r="P2518" s="415"/>
    </row>
    <row r="2519" spans="16:16" x14ac:dyDescent="0.2">
      <c r="P2519" s="415"/>
    </row>
    <row r="2520" spans="16:16" x14ac:dyDescent="0.2">
      <c r="P2520" s="415"/>
    </row>
    <row r="2521" spans="16:16" x14ac:dyDescent="0.2">
      <c r="P2521" s="415"/>
    </row>
    <row r="2522" spans="16:16" x14ac:dyDescent="0.2">
      <c r="P2522" s="415"/>
    </row>
    <row r="2523" spans="16:16" x14ac:dyDescent="0.2">
      <c r="P2523" s="415"/>
    </row>
    <row r="2524" spans="16:16" x14ac:dyDescent="0.2">
      <c r="P2524" s="415"/>
    </row>
    <row r="2525" spans="16:16" x14ac:dyDescent="0.2">
      <c r="P2525" s="415"/>
    </row>
    <row r="2526" spans="16:16" x14ac:dyDescent="0.2">
      <c r="P2526" s="415"/>
    </row>
    <row r="2527" spans="16:16" x14ac:dyDescent="0.2">
      <c r="P2527" s="415"/>
    </row>
    <row r="2528" spans="16:16" x14ac:dyDescent="0.2">
      <c r="P2528" s="415"/>
    </row>
    <row r="2529" spans="16:16" x14ac:dyDescent="0.2">
      <c r="P2529" s="415"/>
    </row>
    <row r="2530" spans="16:16" x14ac:dyDescent="0.2">
      <c r="P2530" s="415"/>
    </row>
    <row r="2531" spans="16:16" x14ac:dyDescent="0.2">
      <c r="P2531" s="415"/>
    </row>
    <row r="2532" spans="16:16" x14ac:dyDescent="0.2">
      <c r="P2532" s="415"/>
    </row>
    <row r="2533" spans="16:16" x14ac:dyDescent="0.2">
      <c r="P2533" s="415"/>
    </row>
    <row r="2534" spans="16:16" x14ac:dyDescent="0.2">
      <c r="P2534" s="415"/>
    </row>
    <row r="2535" spans="16:16" x14ac:dyDescent="0.2">
      <c r="P2535" s="415"/>
    </row>
    <row r="2536" spans="16:16" x14ac:dyDescent="0.2">
      <c r="P2536" s="415"/>
    </row>
    <row r="2537" spans="16:16" x14ac:dyDescent="0.2">
      <c r="P2537" s="415"/>
    </row>
    <row r="2538" spans="16:16" x14ac:dyDescent="0.2">
      <c r="P2538" s="415"/>
    </row>
    <row r="2539" spans="16:16" x14ac:dyDescent="0.2">
      <c r="P2539" s="415"/>
    </row>
    <row r="2540" spans="16:16" x14ac:dyDescent="0.2">
      <c r="P2540" s="415"/>
    </row>
    <row r="2541" spans="16:16" x14ac:dyDescent="0.2">
      <c r="P2541" s="415"/>
    </row>
    <row r="2542" spans="16:16" x14ac:dyDescent="0.2">
      <c r="P2542" s="415"/>
    </row>
    <row r="2543" spans="16:16" x14ac:dyDescent="0.2">
      <c r="P2543" s="415"/>
    </row>
    <row r="2544" spans="16:16" x14ac:dyDescent="0.2">
      <c r="P2544" s="415"/>
    </row>
    <row r="2545" spans="16:16" x14ac:dyDescent="0.2">
      <c r="P2545" s="415"/>
    </row>
    <row r="2546" spans="16:16" x14ac:dyDescent="0.2">
      <c r="P2546" s="415"/>
    </row>
    <row r="2547" spans="16:16" x14ac:dyDescent="0.2">
      <c r="P2547" s="415"/>
    </row>
    <row r="2548" spans="16:16" x14ac:dyDescent="0.2">
      <c r="P2548" s="415"/>
    </row>
    <row r="2549" spans="16:16" x14ac:dyDescent="0.2">
      <c r="P2549" s="415"/>
    </row>
    <row r="2550" spans="16:16" x14ac:dyDescent="0.2">
      <c r="P2550" s="415"/>
    </row>
    <row r="2551" spans="16:16" x14ac:dyDescent="0.2">
      <c r="P2551" s="415"/>
    </row>
    <row r="2552" spans="16:16" x14ac:dyDescent="0.2">
      <c r="P2552" s="415"/>
    </row>
    <row r="2553" spans="16:16" x14ac:dyDescent="0.2">
      <c r="P2553" s="415"/>
    </row>
    <row r="2554" spans="16:16" x14ac:dyDescent="0.2">
      <c r="P2554" s="415"/>
    </row>
    <row r="2555" spans="16:16" x14ac:dyDescent="0.2">
      <c r="P2555" s="415"/>
    </row>
    <row r="2556" spans="16:16" x14ac:dyDescent="0.2">
      <c r="P2556" s="415"/>
    </row>
    <row r="2557" spans="16:16" x14ac:dyDescent="0.2">
      <c r="P2557" s="415"/>
    </row>
    <row r="2558" spans="16:16" x14ac:dyDescent="0.2">
      <c r="P2558" s="415"/>
    </row>
    <row r="2559" spans="16:16" x14ac:dyDescent="0.2">
      <c r="P2559" s="415"/>
    </row>
    <row r="2560" spans="16:16" x14ac:dyDescent="0.2">
      <c r="P2560" s="415"/>
    </row>
    <row r="2561" spans="16:16" x14ac:dyDescent="0.2">
      <c r="P2561" s="415"/>
    </row>
    <row r="2562" spans="16:16" x14ac:dyDescent="0.2">
      <c r="P2562" s="415"/>
    </row>
    <row r="2563" spans="16:16" x14ac:dyDescent="0.2">
      <c r="P2563" s="415"/>
    </row>
    <row r="2564" spans="16:16" x14ac:dyDescent="0.2">
      <c r="P2564" s="415"/>
    </row>
    <row r="2565" spans="16:16" x14ac:dyDescent="0.2">
      <c r="P2565" s="415"/>
    </row>
    <row r="2566" spans="16:16" x14ac:dyDescent="0.2">
      <c r="P2566" s="415"/>
    </row>
    <row r="2567" spans="16:16" x14ac:dyDescent="0.2">
      <c r="P2567" s="415"/>
    </row>
    <row r="2568" spans="16:16" x14ac:dyDescent="0.2">
      <c r="P2568" s="415"/>
    </row>
    <row r="2569" spans="16:16" x14ac:dyDescent="0.2">
      <c r="P2569" s="415"/>
    </row>
    <row r="2570" spans="16:16" x14ac:dyDescent="0.2">
      <c r="P2570" s="415"/>
    </row>
    <row r="2571" spans="16:16" x14ac:dyDescent="0.2">
      <c r="P2571" s="415"/>
    </row>
    <row r="2572" spans="16:16" x14ac:dyDescent="0.2">
      <c r="P2572" s="415"/>
    </row>
    <row r="2573" spans="16:16" x14ac:dyDescent="0.2">
      <c r="P2573" s="415"/>
    </row>
    <row r="2574" spans="16:16" x14ac:dyDescent="0.2">
      <c r="P2574" s="415"/>
    </row>
    <row r="2575" spans="16:16" x14ac:dyDescent="0.2">
      <c r="P2575" s="415"/>
    </row>
    <row r="2576" spans="16:16" x14ac:dyDescent="0.2">
      <c r="P2576" s="415"/>
    </row>
    <row r="2577" spans="16:16" x14ac:dyDescent="0.2">
      <c r="P2577" s="415"/>
    </row>
    <row r="2578" spans="16:16" x14ac:dyDescent="0.2">
      <c r="P2578" s="415"/>
    </row>
    <row r="2579" spans="16:16" x14ac:dyDescent="0.2">
      <c r="P2579" s="415"/>
    </row>
    <row r="2580" spans="16:16" x14ac:dyDescent="0.2">
      <c r="P2580" s="415"/>
    </row>
    <row r="2581" spans="16:16" x14ac:dyDescent="0.2">
      <c r="P2581" s="415"/>
    </row>
    <row r="2582" spans="16:16" x14ac:dyDescent="0.2">
      <c r="P2582" s="415"/>
    </row>
    <row r="2583" spans="16:16" x14ac:dyDescent="0.2">
      <c r="P2583" s="415"/>
    </row>
    <row r="2584" spans="16:16" x14ac:dyDescent="0.2">
      <c r="P2584" s="415"/>
    </row>
    <row r="2585" spans="16:16" x14ac:dyDescent="0.2">
      <c r="P2585" s="415"/>
    </row>
    <row r="2586" spans="16:16" x14ac:dyDescent="0.2">
      <c r="P2586" s="415"/>
    </row>
    <row r="2587" spans="16:16" x14ac:dyDescent="0.2">
      <c r="P2587" s="415"/>
    </row>
    <row r="2588" spans="16:16" x14ac:dyDescent="0.2">
      <c r="P2588" s="415"/>
    </row>
    <row r="2589" spans="16:16" x14ac:dyDescent="0.2">
      <c r="P2589" s="415"/>
    </row>
    <row r="2590" spans="16:16" x14ac:dyDescent="0.2">
      <c r="P2590" s="415"/>
    </row>
    <row r="2591" spans="16:16" x14ac:dyDescent="0.2">
      <c r="P2591" s="415"/>
    </row>
    <row r="2592" spans="16:16" x14ac:dyDescent="0.2">
      <c r="P2592" s="415"/>
    </row>
    <row r="2593" spans="16:16" x14ac:dyDescent="0.2">
      <c r="P2593" s="415"/>
    </row>
    <row r="2594" spans="16:16" x14ac:dyDescent="0.2">
      <c r="P2594" s="415"/>
    </row>
    <row r="2595" spans="16:16" x14ac:dyDescent="0.2">
      <c r="P2595" s="415"/>
    </row>
    <row r="2596" spans="16:16" x14ac:dyDescent="0.2">
      <c r="P2596" s="415"/>
    </row>
    <row r="2597" spans="16:16" x14ac:dyDescent="0.2">
      <c r="P2597" s="415"/>
    </row>
    <row r="2598" spans="16:16" x14ac:dyDescent="0.2">
      <c r="P2598" s="415"/>
    </row>
    <row r="2599" spans="16:16" x14ac:dyDescent="0.2">
      <c r="P2599" s="415"/>
    </row>
    <row r="2600" spans="16:16" x14ac:dyDescent="0.2">
      <c r="P2600" s="415"/>
    </row>
    <row r="2601" spans="16:16" x14ac:dyDescent="0.2">
      <c r="P2601" s="415"/>
    </row>
    <row r="2602" spans="16:16" x14ac:dyDescent="0.2">
      <c r="P2602" s="415"/>
    </row>
    <row r="2603" spans="16:16" x14ac:dyDescent="0.2">
      <c r="P2603" s="415"/>
    </row>
    <row r="2604" spans="16:16" x14ac:dyDescent="0.2">
      <c r="P2604" s="415"/>
    </row>
    <row r="2605" spans="16:16" x14ac:dyDescent="0.2">
      <c r="P2605" s="415"/>
    </row>
    <row r="2606" spans="16:16" x14ac:dyDescent="0.2">
      <c r="P2606" s="415"/>
    </row>
    <row r="2607" spans="16:16" x14ac:dyDescent="0.2">
      <c r="P2607" s="415"/>
    </row>
    <row r="2608" spans="16:16" x14ac:dyDescent="0.2">
      <c r="P2608" s="415"/>
    </row>
    <row r="2609" spans="16:16" x14ac:dyDescent="0.2">
      <c r="P2609" s="415"/>
    </row>
    <row r="2610" spans="16:16" x14ac:dyDescent="0.2">
      <c r="P2610" s="415"/>
    </row>
    <row r="2611" spans="16:16" x14ac:dyDescent="0.2">
      <c r="P2611" s="415"/>
    </row>
    <row r="2612" spans="16:16" x14ac:dyDescent="0.2">
      <c r="P2612" s="415"/>
    </row>
    <row r="2613" spans="16:16" x14ac:dyDescent="0.2">
      <c r="P2613" s="415"/>
    </row>
    <row r="2614" spans="16:16" x14ac:dyDescent="0.2">
      <c r="P2614" s="415"/>
    </row>
    <row r="2615" spans="16:16" x14ac:dyDescent="0.2">
      <c r="P2615" s="415"/>
    </row>
    <row r="2616" spans="16:16" x14ac:dyDescent="0.2">
      <c r="P2616" s="415"/>
    </row>
    <row r="2617" spans="16:16" x14ac:dyDescent="0.2">
      <c r="P2617" s="415"/>
    </row>
    <row r="2618" spans="16:16" x14ac:dyDescent="0.2">
      <c r="P2618" s="415"/>
    </row>
    <row r="2619" spans="16:16" x14ac:dyDescent="0.2">
      <c r="P2619" s="415"/>
    </row>
    <row r="2620" spans="16:16" x14ac:dyDescent="0.2">
      <c r="P2620" s="415"/>
    </row>
    <row r="2621" spans="16:16" x14ac:dyDescent="0.2">
      <c r="P2621" s="415"/>
    </row>
    <row r="2622" spans="16:16" x14ac:dyDescent="0.2">
      <c r="P2622" s="415"/>
    </row>
    <row r="2623" spans="16:16" x14ac:dyDescent="0.2">
      <c r="P2623" s="415"/>
    </row>
    <row r="2624" spans="16:16" x14ac:dyDescent="0.2">
      <c r="P2624" s="415"/>
    </row>
    <row r="2625" spans="16:16" x14ac:dyDescent="0.2">
      <c r="P2625" s="415"/>
    </row>
    <row r="2626" spans="16:16" x14ac:dyDescent="0.2">
      <c r="P2626" s="415"/>
    </row>
    <row r="2627" spans="16:16" x14ac:dyDescent="0.2">
      <c r="P2627" s="415"/>
    </row>
    <row r="2628" spans="16:16" x14ac:dyDescent="0.2">
      <c r="P2628" s="415"/>
    </row>
    <row r="2629" spans="16:16" x14ac:dyDescent="0.2">
      <c r="P2629" s="415"/>
    </row>
    <row r="2630" spans="16:16" x14ac:dyDescent="0.2">
      <c r="P2630" s="415"/>
    </row>
    <row r="2631" spans="16:16" x14ac:dyDescent="0.2">
      <c r="P2631" s="415"/>
    </row>
    <row r="2632" spans="16:16" x14ac:dyDescent="0.2">
      <c r="P2632" s="415"/>
    </row>
    <row r="2633" spans="16:16" x14ac:dyDescent="0.2">
      <c r="P2633" s="415"/>
    </row>
    <row r="2634" spans="16:16" x14ac:dyDescent="0.2">
      <c r="P2634" s="415"/>
    </row>
    <row r="2635" spans="16:16" x14ac:dyDescent="0.2">
      <c r="P2635" s="415"/>
    </row>
    <row r="2636" spans="16:16" x14ac:dyDescent="0.2">
      <c r="P2636" s="415"/>
    </row>
    <row r="2637" spans="16:16" x14ac:dyDescent="0.2">
      <c r="P2637" s="415"/>
    </row>
    <row r="2638" spans="16:16" x14ac:dyDescent="0.2">
      <c r="P2638" s="415"/>
    </row>
    <row r="2639" spans="16:16" x14ac:dyDescent="0.2">
      <c r="P2639" s="415"/>
    </row>
    <row r="2640" spans="16:16" x14ac:dyDescent="0.2">
      <c r="P2640" s="415"/>
    </row>
    <row r="2641" spans="16:16" x14ac:dyDescent="0.2">
      <c r="P2641" s="415"/>
    </row>
    <row r="2642" spans="16:16" x14ac:dyDescent="0.2">
      <c r="P2642" s="415"/>
    </row>
    <row r="2643" spans="16:16" x14ac:dyDescent="0.2">
      <c r="P2643" s="415"/>
    </row>
    <row r="2644" spans="16:16" x14ac:dyDescent="0.2">
      <c r="P2644" s="415"/>
    </row>
    <row r="2645" spans="16:16" x14ac:dyDescent="0.2">
      <c r="P2645" s="415"/>
    </row>
    <row r="2646" spans="16:16" x14ac:dyDescent="0.2">
      <c r="P2646" s="415"/>
    </row>
    <row r="2647" spans="16:16" x14ac:dyDescent="0.2">
      <c r="P2647" s="415"/>
    </row>
    <row r="2648" spans="16:16" x14ac:dyDescent="0.2">
      <c r="P2648" s="415"/>
    </row>
    <row r="2649" spans="16:16" x14ac:dyDescent="0.2">
      <c r="P2649" s="415"/>
    </row>
    <row r="2650" spans="16:16" x14ac:dyDescent="0.2">
      <c r="P2650" s="415"/>
    </row>
    <row r="2651" spans="16:16" x14ac:dyDescent="0.2">
      <c r="P2651" s="415"/>
    </row>
    <row r="2652" spans="16:16" x14ac:dyDescent="0.2">
      <c r="P2652" s="415"/>
    </row>
    <row r="2653" spans="16:16" x14ac:dyDescent="0.2">
      <c r="P2653" s="415"/>
    </row>
    <row r="2654" spans="16:16" x14ac:dyDescent="0.2">
      <c r="P2654" s="415"/>
    </row>
    <row r="2655" spans="16:16" x14ac:dyDescent="0.2">
      <c r="P2655" s="415"/>
    </row>
    <row r="2656" spans="16:16" x14ac:dyDescent="0.2">
      <c r="P2656" s="415"/>
    </row>
    <row r="2657" spans="16:16" x14ac:dyDescent="0.2">
      <c r="P2657" s="415"/>
    </row>
    <row r="2658" spans="16:16" x14ac:dyDescent="0.2">
      <c r="P2658" s="415"/>
    </row>
    <row r="2659" spans="16:16" x14ac:dyDescent="0.2">
      <c r="P2659" s="415"/>
    </row>
    <row r="2660" spans="16:16" x14ac:dyDescent="0.2">
      <c r="P2660" s="415"/>
    </row>
    <row r="2661" spans="16:16" x14ac:dyDescent="0.2">
      <c r="P2661" s="415"/>
    </row>
    <row r="2662" spans="16:16" x14ac:dyDescent="0.2">
      <c r="P2662" s="415"/>
    </row>
    <row r="2663" spans="16:16" x14ac:dyDescent="0.2">
      <c r="P2663" s="415"/>
    </row>
    <row r="2664" spans="16:16" x14ac:dyDescent="0.2">
      <c r="P2664" s="415"/>
    </row>
    <row r="2665" spans="16:16" x14ac:dyDescent="0.2">
      <c r="P2665" s="415"/>
    </row>
    <row r="2666" spans="16:16" x14ac:dyDescent="0.2">
      <c r="P2666" s="415"/>
    </row>
    <row r="2667" spans="16:16" x14ac:dyDescent="0.2">
      <c r="P2667" s="415"/>
    </row>
    <row r="2668" spans="16:16" x14ac:dyDescent="0.2">
      <c r="P2668" s="415"/>
    </row>
    <row r="2669" spans="16:16" x14ac:dyDescent="0.2">
      <c r="P2669" s="415"/>
    </row>
    <row r="2670" spans="16:16" x14ac:dyDescent="0.2">
      <c r="P2670" s="415"/>
    </row>
    <row r="2671" spans="16:16" x14ac:dyDescent="0.2">
      <c r="P2671" s="415"/>
    </row>
    <row r="2672" spans="16:16" x14ac:dyDescent="0.2">
      <c r="P2672" s="415"/>
    </row>
    <row r="2673" spans="16:16" x14ac:dyDescent="0.2">
      <c r="P2673" s="415"/>
    </row>
    <row r="2674" spans="16:16" x14ac:dyDescent="0.2">
      <c r="P2674" s="415"/>
    </row>
    <row r="2675" spans="16:16" x14ac:dyDescent="0.2">
      <c r="P2675" s="415"/>
    </row>
    <row r="2676" spans="16:16" x14ac:dyDescent="0.2">
      <c r="P2676" s="415"/>
    </row>
    <row r="2677" spans="16:16" x14ac:dyDescent="0.2">
      <c r="P2677" s="415"/>
    </row>
    <row r="2678" spans="16:16" x14ac:dyDescent="0.2">
      <c r="P2678" s="415"/>
    </row>
    <row r="2679" spans="16:16" x14ac:dyDescent="0.2">
      <c r="P2679" s="415"/>
    </row>
    <row r="2680" spans="16:16" x14ac:dyDescent="0.2">
      <c r="P2680" s="415"/>
    </row>
    <row r="2681" spans="16:16" x14ac:dyDescent="0.2">
      <c r="P2681" s="415"/>
    </row>
    <row r="2682" spans="16:16" x14ac:dyDescent="0.2">
      <c r="P2682" s="415"/>
    </row>
    <row r="2683" spans="16:16" x14ac:dyDescent="0.2">
      <c r="P2683" s="415"/>
    </row>
    <row r="2684" spans="16:16" x14ac:dyDescent="0.2">
      <c r="P2684" s="415"/>
    </row>
    <row r="2685" spans="16:16" x14ac:dyDescent="0.2">
      <c r="P2685" s="415"/>
    </row>
    <row r="2686" spans="16:16" x14ac:dyDescent="0.2">
      <c r="P2686" s="415"/>
    </row>
    <row r="2687" spans="16:16" x14ac:dyDescent="0.2">
      <c r="P2687" s="415"/>
    </row>
    <row r="2688" spans="16:16" x14ac:dyDescent="0.2">
      <c r="P2688" s="415"/>
    </row>
    <row r="2689" spans="16:16" x14ac:dyDescent="0.2">
      <c r="P2689" s="415"/>
    </row>
    <row r="2690" spans="16:16" x14ac:dyDescent="0.2">
      <c r="P2690" s="415"/>
    </row>
    <row r="2691" spans="16:16" x14ac:dyDescent="0.2">
      <c r="P2691" s="415"/>
    </row>
    <row r="2692" spans="16:16" x14ac:dyDescent="0.2">
      <c r="P2692" s="415"/>
    </row>
    <row r="2693" spans="16:16" x14ac:dyDescent="0.2">
      <c r="P2693" s="415"/>
    </row>
    <row r="2694" spans="16:16" x14ac:dyDescent="0.2">
      <c r="P2694" s="415"/>
    </row>
    <row r="2695" spans="16:16" x14ac:dyDescent="0.2">
      <c r="P2695" s="415"/>
    </row>
    <row r="2696" spans="16:16" x14ac:dyDescent="0.2">
      <c r="P2696" s="415"/>
    </row>
    <row r="2697" spans="16:16" x14ac:dyDescent="0.2">
      <c r="P2697" s="415"/>
    </row>
    <row r="2698" spans="16:16" x14ac:dyDescent="0.2">
      <c r="P2698" s="415"/>
    </row>
    <row r="2699" spans="16:16" x14ac:dyDescent="0.2">
      <c r="P2699" s="415"/>
    </row>
    <row r="2700" spans="16:16" x14ac:dyDescent="0.2">
      <c r="P2700" s="415"/>
    </row>
    <row r="2701" spans="16:16" x14ac:dyDescent="0.2">
      <c r="P2701" s="415"/>
    </row>
    <row r="2702" spans="16:16" x14ac:dyDescent="0.2">
      <c r="P2702" s="415"/>
    </row>
    <row r="2703" spans="16:16" x14ac:dyDescent="0.2">
      <c r="P2703" s="415"/>
    </row>
    <row r="2704" spans="16:16" x14ac:dyDescent="0.2">
      <c r="P2704" s="415"/>
    </row>
    <row r="2705" spans="16:16" x14ac:dyDescent="0.2">
      <c r="P2705" s="415"/>
    </row>
    <row r="2706" spans="16:16" x14ac:dyDescent="0.2">
      <c r="P2706" s="415"/>
    </row>
    <row r="2707" spans="16:16" x14ac:dyDescent="0.2">
      <c r="P2707" s="415"/>
    </row>
    <row r="2708" spans="16:16" x14ac:dyDescent="0.2">
      <c r="P2708" s="415"/>
    </row>
    <row r="2709" spans="16:16" x14ac:dyDescent="0.2">
      <c r="P2709" s="415"/>
    </row>
    <row r="2710" spans="16:16" x14ac:dyDescent="0.2">
      <c r="P2710" s="415"/>
    </row>
    <row r="2711" spans="16:16" x14ac:dyDescent="0.2">
      <c r="P2711" s="415"/>
    </row>
    <row r="2712" spans="16:16" x14ac:dyDescent="0.2">
      <c r="P2712" s="415"/>
    </row>
    <row r="2713" spans="16:16" x14ac:dyDescent="0.2">
      <c r="P2713" s="415"/>
    </row>
    <row r="2714" spans="16:16" x14ac:dyDescent="0.2">
      <c r="P2714" s="415"/>
    </row>
    <row r="2715" spans="16:16" x14ac:dyDescent="0.2">
      <c r="P2715" s="415"/>
    </row>
    <row r="2716" spans="16:16" x14ac:dyDescent="0.2">
      <c r="P2716" s="415"/>
    </row>
    <row r="2717" spans="16:16" x14ac:dyDescent="0.2">
      <c r="P2717" s="415"/>
    </row>
    <row r="2718" spans="16:16" x14ac:dyDescent="0.2">
      <c r="P2718" s="415"/>
    </row>
    <row r="2719" spans="16:16" x14ac:dyDescent="0.2">
      <c r="P2719" s="415"/>
    </row>
    <row r="2720" spans="16:16" x14ac:dyDescent="0.2">
      <c r="P2720" s="415"/>
    </row>
    <row r="2721" spans="16:16" x14ac:dyDescent="0.2">
      <c r="P2721" s="415"/>
    </row>
    <row r="2722" spans="16:16" x14ac:dyDescent="0.2">
      <c r="P2722" s="415"/>
    </row>
    <row r="2723" spans="16:16" x14ac:dyDescent="0.2">
      <c r="P2723" s="415"/>
    </row>
    <row r="2724" spans="16:16" x14ac:dyDescent="0.2">
      <c r="P2724" s="415"/>
    </row>
    <row r="2725" spans="16:16" x14ac:dyDescent="0.2">
      <c r="P2725" s="415"/>
    </row>
    <row r="2726" spans="16:16" x14ac:dyDescent="0.2">
      <c r="P2726" s="415"/>
    </row>
    <row r="2727" spans="16:16" x14ac:dyDescent="0.2">
      <c r="P2727" s="415"/>
    </row>
    <row r="2728" spans="16:16" x14ac:dyDescent="0.2">
      <c r="P2728" s="415"/>
    </row>
    <row r="2729" spans="16:16" x14ac:dyDescent="0.2">
      <c r="P2729" s="415"/>
    </row>
    <row r="2730" spans="16:16" x14ac:dyDescent="0.2">
      <c r="P2730" s="415"/>
    </row>
    <row r="2731" spans="16:16" x14ac:dyDescent="0.2">
      <c r="P2731" s="415"/>
    </row>
    <row r="2732" spans="16:16" x14ac:dyDescent="0.2">
      <c r="P2732" s="415"/>
    </row>
    <row r="2733" spans="16:16" x14ac:dyDescent="0.2">
      <c r="P2733" s="415"/>
    </row>
    <row r="2734" spans="16:16" x14ac:dyDescent="0.2">
      <c r="P2734" s="415"/>
    </row>
    <row r="2735" spans="16:16" x14ac:dyDescent="0.2">
      <c r="P2735" s="415"/>
    </row>
    <row r="2736" spans="16:16" x14ac:dyDescent="0.2">
      <c r="P2736" s="415"/>
    </row>
    <row r="2737" spans="16:16" x14ac:dyDescent="0.2">
      <c r="P2737" s="415"/>
    </row>
    <row r="2738" spans="16:16" x14ac:dyDescent="0.2">
      <c r="P2738" s="415"/>
    </row>
    <row r="2739" spans="16:16" x14ac:dyDescent="0.2">
      <c r="P2739" s="415"/>
    </row>
    <row r="2740" spans="16:16" x14ac:dyDescent="0.2">
      <c r="P2740" s="415"/>
    </row>
    <row r="2741" spans="16:16" x14ac:dyDescent="0.2">
      <c r="P2741" s="415"/>
    </row>
    <row r="2742" spans="16:16" x14ac:dyDescent="0.2">
      <c r="P2742" s="415"/>
    </row>
    <row r="2743" spans="16:16" x14ac:dyDescent="0.2">
      <c r="P2743" s="415"/>
    </row>
    <row r="2744" spans="16:16" x14ac:dyDescent="0.2">
      <c r="P2744" s="415"/>
    </row>
    <row r="2745" spans="16:16" x14ac:dyDescent="0.2">
      <c r="P2745" s="415"/>
    </row>
    <row r="2746" spans="16:16" x14ac:dyDescent="0.2">
      <c r="P2746" s="415"/>
    </row>
    <row r="2747" spans="16:16" x14ac:dyDescent="0.2">
      <c r="P2747" s="415"/>
    </row>
    <row r="2748" spans="16:16" x14ac:dyDescent="0.2">
      <c r="P2748" s="415"/>
    </row>
    <row r="2749" spans="16:16" x14ac:dyDescent="0.2">
      <c r="P2749" s="415"/>
    </row>
    <row r="2750" spans="16:16" x14ac:dyDescent="0.2">
      <c r="P2750" s="415"/>
    </row>
    <row r="2751" spans="16:16" x14ac:dyDescent="0.2">
      <c r="P2751" s="415"/>
    </row>
    <row r="2752" spans="16:16" x14ac:dyDescent="0.2">
      <c r="P2752" s="415"/>
    </row>
    <row r="2753" spans="16:16" x14ac:dyDescent="0.2">
      <c r="P2753" s="415"/>
    </row>
    <row r="2754" spans="16:16" x14ac:dyDescent="0.2">
      <c r="P2754" s="415"/>
    </row>
    <row r="2755" spans="16:16" x14ac:dyDescent="0.2">
      <c r="P2755" s="415"/>
    </row>
    <row r="2756" spans="16:16" x14ac:dyDescent="0.2">
      <c r="P2756" s="415"/>
    </row>
    <row r="2757" spans="16:16" x14ac:dyDescent="0.2">
      <c r="P2757" s="415"/>
    </row>
    <row r="2758" spans="16:16" x14ac:dyDescent="0.2">
      <c r="P2758" s="415"/>
    </row>
    <row r="2759" spans="16:16" x14ac:dyDescent="0.2">
      <c r="P2759" s="415"/>
    </row>
    <row r="2760" spans="16:16" x14ac:dyDescent="0.2">
      <c r="P2760" s="415"/>
    </row>
    <row r="2761" spans="16:16" x14ac:dyDescent="0.2">
      <c r="P2761" s="415"/>
    </row>
    <row r="2762" spans="16:16" x14ac:dyDescent="0.2">
      <c r="P2762" s="415"/>
    </row>
    <row r="2763" spans="16:16" x14ac:dyDescent="0.2">
      <c r="P2763" s="415"/>
    </row>
    <row r="2764" spans="16:16" x14ac:dyDescent="0.2">
      <c r="P2764" s="415"/>
    </row>
    <row r="2765" spans="16:16" x14ac:dyDescent="0.2">
      <c r="P2765" s="415"/>
    </row>
    <row r="2766" spans="16:16" x14ac:dyDescent="0.2">
      <c r="P2766" s="415"/>
    </row>
    <row r="2767" spans="16:16" x14ac:dyDescent="0.2">
      <c r="P2767" s="415"/>
    </row>
    <row r="2768" spans="16:16" x14ac:dyDescent="0.2">
      <c r="P2768" s="415"/>
    </row>
    <row r="2769" spans="16:16" x14ac:dyDescent="0.2">
      <c r="P2769" s="415"/>
    </row>
    <row r="2770" spans="16:16" x14ac:dyDescent="0.2">
      <c r="P2770" s="415"/>
    </row>
    <row r="2771" spans="16:16" x14ac:dyDescent="0.2">
      <c r="P2771" s="415"/>
    </row>
    <row r="2772" spans="16:16" x14ac:dyDescent="0.2">
      <c r="P2772" s="415"/>
    </row>
    <row r="2773" spans="16:16" x14ac:dyDescent="0.2">
      <c r="P2773" s="415"/>
    </row>
    <row r="2774" spans="16:16" x14ac:dyDescent="0.2">
      <c r="P2774" s="415"/>
    </row>
    <row r="2775" spans="16:16" x14ac:dyDescent="0.2">
      <c r="P2775" s="415"/>
    </row>
    <row r="2776" spans="16:16" x14ac:dyDescent="0.2">
      <c r="P2776" s="415"/>
    </row>
    <row r="2777" spans="16:16" x14ac:dyDescent="0.2">
      <c r="P2777" s="415"/>
    </row>
    <row r="2778" spans="16:16" x14ac:dyDescent="0.2">
      <c r="P2778" s="415"/>
    </row>
    <row r="2779" spans="16:16" x14ac:dyDescent="0.2">
      <c r="P2779" s="415"/>
    </row>
    <row r="2780" spans="16:16" x14ac:dyDescent="0.2">
      <c r="P2780" s="415"/>
    </row>
    <row r="2781" spans="16:16" x14ac:dyDescent="0.2">
      <c r="P2781" s="415"/>
    </row>
    <row r="2782" spans="16:16" x14ac:dyDescent="0.2">
      <c r="P2782" s="415"/>
    </row>
    <row r="2783" spans="16:16" x14ac:dyDescent="0.2">
      <c r="P2783" s="415"/>
    </row>
    <row r="2784" spans="16:16" x14ac:dyDescent="0.2">
      <c r="P2784" s="415"/>
    </row>
    <row r="2785" spans="16:16" x14ac:dyDescent="0.2">
      <c r="P2785" s="415"/>
    </row>
    <row r="2786" spans="16:16" x14ac:dyDescent="0.2">
      <c r="P2786" s="415"/>
    </row>
    <row r="2787" spans="16:16" x14ac:dyDescent="0.2">
      <c r="P2787" s="415"/>
    </row>
    <row r="2788" spans="16:16" x14ac:dyDescent="0.2">
      <c r="P2788" s="415"/>
    </row>
    <row r="2789" spans="16:16" x14ac:dyDescent="0.2">
      <c r="P2789" s="415"/>
    </row>
    <row r="2790" spans="16:16" x14ac:dyDescent="0.2">
      <c r="P2790" s="415"/>
    </row>
    <row r="2791" spans="16:16" x14ac:dyDescent="0.2">
      <c r="P2791" s="415"/>
    </row>
    <row r="2792" spans="16:16" x14ac:dyDescent="0.2">
      <c r="P2792" s="415"/>
    </row>
    <row r="2793" spans="16:16" x14ac:dyDescent="0.2">
      <c r="P2793" s="415"/>
    </row>
    <row r="2794" spans="16:16" x14ac:dyDescent="0.2">
      <c r="P2794" s="415"/>
    </row>
    <row r="2795" spans="16:16" x14ac:dyDescent="0.2">
      <c r="P2795" s="415"/>
    </row>
    <row r="2796" spans="16:16" x14ac:dyDescent="0.2">
      <c r="P2796" s="415"/>
    </row>
    <row r="2797" spans="16:16" x14ac:dyDescent="0.2">
      <c r="P2797" s="415"/>
    </row>
    <row r="2798" spans="16:16" x14ac:dyDescent="0.2">
      <c r="P2798" s="415"/>
    </row>
    <row r="2799" spans="16:16" x14ac:dyDescent="0.2">
      <c r="P2799" s="415"/>
    </row>
    <row r="2800" spans="16:16" x14ac:dyDescent="0.2">
      <c r="P2800" s="415"/>
    </row>
    <row r="2801" spans="16:16" x14ac:dyDescent="0.2">
      <c r="P2801" s="415"/>
    </row>
    <row r="2802" spans="16:16" x14ac:dyDescent="0.2">
      <c r="P2802" s="415"/>
    </row>
    <row r="2803" spans="16:16" x14ac:dyDescent="0.2">
      <c r="P2803" s="415"/>
    </row>
    <row r="2804" spans="16:16" x14ac:dyDescent="0.2">
      <c r="P2804" s="415"/>
    </row>
    <row r="2805" spans="16:16" x14ac:dyDescent="0.2">
      <c r="P2805" s="415"/>
    </row>
    <row r="2806" spans="16:16" x14ac:dyDescent="0.2">
      <c r="P2806" s="415"/>
    </row>
    <row r="2807" spans="16:16" x14ac:dyDescent="0.2">
      <c r="P2807" s="415"/>
    </row>
    <row r="2808" spans="16:16" x14ac:dyDescent="0.2">
      <c r="P2808" s="415"/>
    </row>
    <row r="2809" spans="16:16" x14ac:dyDescent="0.2">
      <c r="P2809" s="415"/>
    </row>
    <row r="2810" spans="16:16" x14ac:dyDescent="0.2">
      <c r="P2810" s="415"/>
    </row>
    <row r="2811" spans="16:16" x14ac:dyDescent="0.2">
      <c r="P2811" s="415"/>
    </row>
    <row r="2812" spans="16:16" x14ac:dyDescent="0.2">
      <c r="P2812" s="415"/>
    </row>
    <row r="2813" spans="16:16" x14ac:dyDescent="0.2">
      <c r="P2813" s="415"/>
    </row>
    <row r="2814" spans="16:16" x14ac:dyDescent="0.2">
      <c r="P2814" s="415"/>
    </row>
    <row r="2815" spans="16:16" x14ac:dyDescent="0.2">
      <c r="P2815" s="415"/>
    </row>
    <row r="2816" spans="16:16" x14ac:dyDescent="0.2">
      <c r="P2816" s="415"/>
    </row>
    <row r="2817" spans="16:16" x14ac:dyDescent="0.2">
      <c r="P2817" s="415"/>
    </row>
    <row r="2818" spans="16:16" x14ac:dyDescent="0.2">
      <c r="P2818" s="415"/>
    </row>
    <row r="2819" spans="16:16" x14ac:dyDescent="0.2">
      <c r="P2819" s="415"/>
    </row>
    <row r="2820" spans="16:16" x14ac:dyDescent="0.2">
      <c r="P2820" s="415"/>
    </row>
    <row r="2821" spans="16:16" x14ac:dyDescent="0.2">
      <c r="P2821" s="415"/>
    </row>
    <row r="2822" spans="16:16" x14ac:dyDescent="0.2">
      <c r="P2822" s="415"/>
    </row>
    <row r="2823" spans="16:16" x14ac:dyDescent="0.2">
      <c r="P2823" s="415"/>
    </row>
    <row r="2824" spans="16:16" x14ac:dyDescent="0.2">
      <c r="P2824" s="415"/>
    </row>
    <row r="2825" spans="16:16" x14ac:dyDescent="0.2">
      <c r="P2825" s="415"/>
    </row>
    <row r="2826" spans="16:16" x14ac:dyDescent="0.2">
      <c r="P2826" s="415"/>
    </row>
    <row r="2827" spans="16:16" x14ac:dyDescent="0.2">
      <c r="P2827" s="415"/>
    </row>
    <row r="2828" spans="16:16" x14ac:dyDescent="0.2">
      <c r="P2828" s="415"/>
    </row>
    <row r="2829" spans="16:16" x14ac:dyDescent="0.2">
      <c r="P2829" s="415"/>
    </row>
    <row r="2830" spans="16:16" x14ac:dyDescent="0.2">
      <c r="P2830" s="415"/>
    </row>
    <row r="2831" spans="16:16" x14ac:dyDescent="0.2">
      <c r="P2831" s="415"/>
    </row>
    <row r="2832" spans="16:16" x14ac:dyDescent="0.2">
      <c r="P2832" s="415"/>
    </row>
    <row r="2833" spans="16:16" x14ac:dyDescent="0.2">
      <c r="P2833" s="415"/>
    </row>
    <row r="2834" spans="16:16" x14ac:dyDescent="0.2">
      <c r="P2834" s="415"/>
    </row>
    <row r="2835" spans="16:16" x14ac:dyDescent="0.2">
      <c r="P2835" s="415"/>
    </row>
    <row r="2836" spans="16:16" x14ac:dyDescent="0.2">
      <c r="P2836" s="415"/>
    </row>
    <row r="2837" spans="16:16" x14ac:dyDescent="0.2">
      <c r="P2837" s="415"/>
    </row>
    <row r="2838" spans="16:16" x14ac:dyDescent="0.2">
      <c r="P2838" s="415"/>
    </row>
    <row r="2839" spans="16:16" x14ac:dyDescent="0.2">
      <c r="P2839" s="415"/>
    </row>
    <row r="2840" spans="16:16" x14ac:dyDescent="0.2">
      <c r="P2840" s="415"/>
    </row>
    <row r="2841" spans="16:16" x14ac:dyDescent="0.2">
      <c r="P2841" s="415"/>
    </row>
    <row r="2842" spans="16:16" x14ac:dyDescent="0.2">
      <c r="P2842" s="415"/>
    </row>
    <row r="2843" spans="16:16" x14ac:dyDescent="0.2">
      <c r="P2843" s="415"/>
    </row>
    <row r="2844" spans="16:16" x14ac:dyDescent="0.2">
      <c r="P2844" s="415"/>
    </row>
    <row r="2845" spans="16:16" x14ac:dyDescent="0.2">
      <c r="P2845" s="415"/>
    </row>
    <row r="2846" spans="16:16" x14ac:dyDescent="0.2">
      <c r="P2846" s="415"/>
    </row>
    <row r="2847" spans="16:16" x14ac:dyDescent="0.2">
      <c r="P2847" s="415"/>
    </row>
    <row r="2848" spans="16:16" x14ac:dyDescent="0.2">
      <c r="P2848" s="415"/>
    </row>
    <row r="2849" spans="16:16" x14ac:dyDescent="0.2">
      <c r="P2849" s="415"/>
    </row>
    <row r="2850" spans="16:16" x14ac:dyDescent="0.2">
      <c r="P2850" s="415"/>
    </row>
    <row r="2851" spans="16:16" x14ac:dyDescent="0.2">
      <c r="P2851" s="415"/>
    </row>
    <row r="2852" spans="16:16" x14ac:dyDescent="0.2">
      <c r="P2852" s="415"/>
    </row>
    <row r="2853" spans="16:16" x14ac:dyDescent="0.2">
      <c r="P2853" s="415"/>
    </row>
    <row r="2854" spans="16:16" x14ac:dyDescent="0.2">
      <c r="P2854" s="415"/>
    </row>
    <row r="2855" spans="16:16" x14ac:dyDescent="0.2">
      <c r="P2855" s="415"/>
    </row>
    <row r="2856" spans="16:16" x14ac:dyDescent="0.2">
      <c r="P2856" s="415"/>
    </row>
    <row r="2857" spans="16:16" x14ac:dyDescent="0.2">
      <c r="P2857" s="415"/>
    </row>
    <row r="2858" spans="16:16" x14ac:dyDescent="0.2">
      <c r="P2858" s="415"/>
    </row>
    <row r="2859" spans="16:16" x14ac:dyDescent="0.2">
      <c r="P2859" s="415"/>
    </row>
    <row r="2860" spans="16:16" x14ac:dyDescent="0.2">
      <c r="P2860" s="415"/>
    </row>
    <row r="2861" spans="16:16" x14ac:dyDescent="0.2">
      <c r="P2861" s="415"/>
    </row>
    <row r="2862" spans="16:16" x14ac:dyDescent="0.2">
      <c r="P2862" s="415"/>
    </row>
    <row r="2863" spans="16:16" x14ac:dyDescent="0.2">
      <c r="P2863" s="415"/>
    </row>
    <row r="2864" spans="16:16" x14ac:dyDescent="0.2">
      <c r="P2864" s="415"/>
    </row>
    <row r="2865" spans="16:16" x14ac:dyDescent="0.2">
      <c r="P2865" s="415"/>
    </row>
    <row r="2866" spans="16:16" x14ac:dyDescent="0.2">
      <c r="P2866" s="415"/>
    </row>
    <row r="2867" spans="16:16" x14ac:dyDescent="0.2">
      <c r="P2867" s="415"/>
    </row>
    <row r="2868" spans="16:16" x14ac:dyDescent="0.2">
      <c r="P2868" s="415"/>
    </row>
    <row r="2869" spans="16:16" x14ac:dyDescent="0.2">
      <c r="P2869" s="415"/>
    </row>
    <row r="2870" spans="16:16" x14ac:dyDescent="0.2">
      <c r="P2870" s="415"/>
    </row>
    <row r="2871" spans="16:16" x14ac:dyDescent="0.2">
      <c r="P2871" s="415"/>
    </row>
    <row r="2872" spans="16:16" x14ac:dyDescent="0.2">
      <c r="P2872" s="415"/>
    </row>
    <row r="2873" spans="16:16" x14ac:dyDescent="0.2">
      <c r="P2873" s="415"/>
    </row>
    <row r="2874" spans="16:16" x14ac:dyDescent="0.2">
      <c r="P2874" s="415"/>
    </row>
    <row r="2875" spans="16:16" x14ac:dyDescent="0.2">
      <c r="P2875" s="415"/>
    </row>
    <row r="2876" spans="16:16" x14ac:dyDescent="0.2">
      <c r="P2876" s="415"/>
    </row>
    <row r="2877" spans="16:16" x14ac:dyDescent="0.2">
      <c r="P2877" s="415"/>
    </row>
    <row r="2878" spans="16:16" x14ac:dyDescent="0.2">
      <c r="P2878" s="415"/>
    </row>
    <row r="2879" spans="16:16" x14ac:dyDescent="0.2">
      <c r="P2879" s="415"/>
    </row>
    <row r="2880" spans="16:16" x14ac:dyDescent="0.2">
      <c r="P2880" s="415"/>
    </row>
    <row r="2881" spans="16:16" x14ac:dyDescent="0.2">
      <c r="P2881" s="415"/>
    </row>
    <row r="2882" spans="16:16" x14ac:dyDescent="0.2">
      <c r="P2882" s="415"/>
    </row>
    <row r="2883" spans="16:16" x14ac:dyDescent="0.2">
      <c r="P2883" s="415"/>
    </row>
    <row r="2884" spans="16:16" x14ac:dyDescent="0.2">
      <c r="P2884" s="415"/>
    </row>
    <row r="2885" spans="16:16" x14ac:dyDescent="0.2">
      <c r="P2885" s="415"/>
    </row>
    <row r="2886" spans="16:16" x14ac:dyDescent="0.2">
      <c r="P2886" s="415"/>
    </row>
    <row r="2887" spans="16:16" x14ac:dyDescent="0.2">
      <c r="P2887" s="415"/>
    </row>
    <row r="2888" spans="16:16" x14ac:dyDescent="0.2">
      <c r="P2888" s="415"/>
    </row>
    <row r="2889" spans="16:16" x14ac:dyDescent="0.2">
      <c r="P2889" s="415"/>
    </row>
    <row r="2890" spans="16:16" x14ac:dyDescent="0.2">
      <c r="P2890" s="415"/>
    </row>
    <row r="2891" spans="16:16" x14ac:dyDescent="0.2">
      <c r="P2891" s="415"/>
    </row>
    <row r="2892" spans="16:16" x14ac:dyDescent="0.2">
      <c r="P2892" s="415"/>
    </row>
    <row r="2893" spans="16:16" x14ac:dyDescent="0.2">
      <c r="P2893" s="415"/>
    </row>
    <row r="2894" spans="16:16" x14ac:dyDescent="0.2">
      <c r="P2894" s="415"/>
    </row>
    <row r="2895" spans="16:16" x14ac:dyDescent="0.2">
      <c r="P2895" s="415"/>
    </row>
    <row r="2896" spans="16:16" x14ac:dyDescent="0.2">
      <c r="P2896" s="415"/>
    </row>
    <row r="2897" spans="16:16" x14ac:dyDescent="0.2">
      <c r="P2897" s="415"/>
    </row>
    <row r="2898" spans="16:16" x14ac:dyDescent="0.2">
      <c r="P2898" s="415"/>
    </row>
    <row r="2899" spans="16:16" x14ac:dyDescent="0.2">
      <c r="P2899" s="415"/>
    </row>
    <row r="2900" spans="16:16" x14ac:dyDescent="0.2">
      <c r="P2900" s="415"/>
    </row>
    <row r="2901" spans="16:16" x14ac:dyDescent="0.2">
      <c r="P2901" s="415"/>
    </row>
    <row r="2902" spans="16:16" x14ac:dyDescent="0.2">
      <c r="P2902" s="415"/>
    </row>
    <row r="2903" spans="16:16" x14ac:dyDescent="0.2">
      <c r="P2903" s="415"/>
    </row>
    <row r="2904" spans="16:16" x14ac:dyDescent="0.2">
      <c r="P2904" s="415"/>
    </row>
    <row r="2905" spans="16:16" x14ac:dyDescent="0.2">
      <c r="P2905" s="415"/>
    </row>
    <row r="2906" spans="16:16" x14ac:dyDescent="0.2">
      <c r="P2906" s="415"/>
    </row>
    <row r="2907" spans="16:16" x14ac:dyDescent="0.2">
      <c r="P2907" s="415"/>
    </row>
    <row r="2908" spans="16:16" x14ac:dyDescent="0.2">
      <c r="P2908" s="415"/>
    </row>
    <row r="2909" spans="16:16" x14ac:dyDescent="0.2">
      <c r="P2909" s="415"/>
    </row>
    <row r="2910" spans="16:16" x14ac:dyDescent="0.2">
      <c r="P2910" s="415"/>
    </row>
    <row r="2911" spans="16:16" x14ac:dyDescent="0.2">
      <c r="P2911" s="415"/>
    </row>
    <row r="2912" spans="16:16" x14ac:dyDescent="0.2">
      <c r="P2912" s="415"/>
    </row>
    <row r="2913" spans="16:16" x14ac:dyDescent="0.2">
      <c r="P2913" s="415"/>
    </row>
    <row r="2914" spans="16:16" x14ac:dyDescent="0.2">
      <c r="P2914" s="415"/>
    </row>
    <row r="2915" spans="16:16" x14ac:dyDescent="0.2">
      <c r="P2915" s="415"/>
    </row>
    <row r="2916" spans="16:16" x14ac:dyDescent="0.2">
      <c r="P2916" s="415"/>
    </row>
    <row r="2917" spans="16:16" x14ac:dyDescent="0.2">
      <c r="P2917" s="415"/>
    </row>
    <row r="2918" spans="16:16" x14ac:dyDescent="0.2">
      <c r="P2918" s="415"/>
    </row>
    <row r="2919" spans="16:16" x14ac:dyDescent="0.2">
      <c r="P2919" s="415"/>
    </row>
    <row r="2920" spans="16:16" x14ac:dyDescent="0.2">
      <c r="P2920" s="415"/>
    </row>
    <row r="2921" spans="16:16" x14ac:dyDescent="0.2">
      <c r="P2921" s="415"/>
    </row>
    <row r="2922" spans="16:16" x14ac:dyDescent="0.2">
      <c r="P2922" s="415"/>
    </row>
    <row r="2923" spans="16:16" x14ac:dyDescent="0.2">
      <c r="P2923" s="415"/>
    </row>
    <row r="2924" spans="16:16" x14ac:dyDescent="0.2">
      <c r="P2924" s="415"/>
    </row>
    <row r="2925" spans="16:16" x14ac:dyDescent="0.2">
      <c r="P2925" s="415"/>
    </row>
    <row r="2926" spans="16:16" x14ac:dyDescent="0.2">
      <c r="P2926" s="415"/>
    </row>
    <row r="2927" spans="16:16" x14ac:dyDescent="0.2">
      <c r="P2927" s="415"/>
    </row>
    <row r="2928" spans="16:16" x14ac:dyDescent="0.2">
      <c r="P2928" s="415"/>
    </row>
    <row r="2929" spans="16:16" x14ac:dyDescent="0.2">
      <c r="P2929" s="415"/>
    </row>
    <row r="2930" spans="16:16" x14ac:dyDescent="0.2">
      <c r="P2930" s="415"/>
    </row>
    <row r="2931" spans="16:16" x14ac:dyDescent="0.2">
      <c r="P2931" s="415"/>
    </row>
    <row r="2932" spans="16:16" x14ac:dyDescent="0.2">
      <c r="P2932" s="415"/>
    </row>
    <row r="2933" spans="16:16" x14ac:dyDescent="0.2">
      <c r="P2933" s="415"/>
    </row>
    <row r="2934" spans="16:16" x14ac:dyDescent="0.2">
      <c r="P2934" s="415"/>
    </row>
    <row r="2935" spans="16:16" x14ac:dyDescent="0.2">
      <c r="P2935" s="415"/>
    </row>
    <row r="2936" spans="16:16" x14ac:dyDescent="0.2">
      <c r="P2936" s="415"/>
    </row>
    <row r="2937" spans="16:16" x14ac:dyDescent="0.2">
      <c r="P2937" s="415"/>
    </row>
    <row r="2938" spans="16:16" x14ac:dyDescent="0.2">
      <c r="P2938" s="415"/>
    </row>
    <row r="2939" spans="16:16" x14ac:dyDescent="0.2">
      <c r="P2939" s="415"/>
    </row>
    <row r="2940" spans="16:16" x14ac:dyDescent="0.2">
      <c r="P2940" s="415"/>
    </row>
    <row r="2941" spans="16:16" x14ac:dyDescent="0.2">
      <c r="P2941" s="415"/>
    </row>
    <row r="2942" spans="16:16" x14ac:dyDescent="0.2">
      <c r="P2942" s="415"/>
    </row>
    <row r="2943" spans="16:16" x14ac:dyDescent="0.2">
      <c r="P2943" s="415"/>
    </row>
    <row r="2944" spans="16:16" x14ac:dyDescent="0.2">
      <c r="P2944" s="415"/>
    </row>
    <row r="2945" spans="16:16" x14ac:dyDescent="0.2">
      <c r="P2945" s="415"/>
    </row>
    <row r="2946" spans="16:16" x14ac:dyDescent="0.2">
      <c r="P2946" s="415"/>
    </row>
    <row r="2947" spans="16:16" x14ac:dyDescent="0.2">
      <c r="P2947" s="415"/>
    </row>
    <row r="2948" spans="16:16" x14ac:dyDescent="0.2">
      <c r="P2948" s="415"/>
    </row>
    <row r="2949" spans="16:16" x14ac:dyDescent="0.2">
      <c r="P2949" s="415"/>
    </row>
    <row r="2950" spans="16:16" x14ac:dyDescent="0.2">
      <c r="P2950" s="415"/>
    </row>
    <row r="2951" spans="16:16" x14ac:dyDescent="0.2">
      <c r="P2951" s="415"/>
    </row>
    <row r="2952" spans="16:16" x14ac:dyDescent="0.2">
      <c r="P2952" s="415"/>
    </row>
    <row r="2953" spans="16:16" x14ac:dyDescent="0.2">
      <c r="P2953" s="415"/>
    </row>
    <row r="2954" spans="16:16" x14ac:dyDescent="0.2">
      <c r="P2954" s="415"/>
    </row>
    <row r="2955" spans="16:16" x14ac:dyDescent="0.2">
      <c r="P2955" s="415"/>
    </row>
    <row r="2956" spans="16:16" x14ac:dyDescent="0.2">
      <c r="P2956" s="415"/>
    </row>
    <row r="2957" spans="16:16" x14ac:dyDescent="0.2">
      <c r="P2957" s="415"/>
    </row>
    <row r="2958" spans="16:16" x14ac:dyDescent="0.2">
      <c r="P2958" s="415"/>
    </row>
    <row r="2959" spans="16:16" x14ac:dyDescent="0.2">
      <c r="P2959" s="415"/>
    </row>
    <row r="2960" spans="16:16" x14ac:dyDescent="0.2">
      <c r="P2960" s="415"/>
    </row>
    <row r="2961" spans="16:16" x14ac:dyDescent="0.2">
      <c r="P2961" s="415"/>
    </row>
    <row r="2962" spans="16:16" x14ac:dyDescent="0.2">
      <c r="P2962" s="415"/>
    </row>
    <row r="2963" spans="16:16" x14ac:dyDescent="0.2">
      <c r="P2963" s="415"/>
    </row>
    <row r="2964" spans="16:16" x14ac:dyDescent="0.2">
      <c r="P2964" s="415"/>
    </row>
    <row r="2965" spans="16:16" x14ac:dyDescent="0.2">
      <c r="P2965" s="415"/>
    </row>
    <row r="2966" spans="16:16" x14ac:dyDescent="0.2">
      <c r="P2966" s="415"/>
    </row>
    <row r="2967" spans="16:16" x14ac:dyDescent="0.2">
      <c r="P2967" s="415"/>
    </row>
    <row r="2968" spans="16:16" x14ac:dyDescent="0.2">
      <c r="P2968" s="415"/>
    </row>
    <row r="2969" spans="16:16" x14ac:dyDescent="0.2">
      <c r="P2969" s="415"/>
    </row>
    <row r="2970" spans="16:16" x14ac:dyDescent="0.2">
      <c r="P2970" s="415"/>
    </row>
    <row r="2971" spans="16:16" x14ac:dyDescent="0.2">
      <c r="P2971" s="415"/>
    </row>
    <row r="2972" spans="16:16" x14ac:dyDescent="0.2">
      <c r="P2972" s="415"/>
    </row>
    <row r="2973" spans="16:16" x14ac:dyDescent="0.2">
      <c r="P2973" s="415"/>
    </row>
    <row r="2974" spans="16:16" x14ac:dyDescent="0.2">
      <c r="P2974" s="415"/>
    </row>
    <row r="2975" spans="16:16" x14ac:dyDescent="0.2">
      <c r="P2975" s="415"/>
    </row>
    <row r="2976" spans="16:16" x14ac:dyDescent="0.2">
      <c r="P2976" s="415"/>
    </row>
    <row r="2977" spans="16:16" x14ac:dyDescent="0.2">
      <c r="P2977" s="415"/>
    </row>
    <row r="2978" spans="16:16" x14ac:dyDescent="0.2">
      <c r="P2978" s="415"/>
    </row>
    <row r="2979" spans="16:16" x14ac:dyDescent="0.2">
      <c r="P2979" s="415"/>
    </row>
    <row r="2980" spans="16:16" x14ac:dyDescent="0.2">
      <c r="P2980" s="415"/>
    </row>
    <row r="2981" spans="16:16" x14ac:dyDescent="0.2">
      <c r="P2981" s="415"/>
    </row>
    <row r="2982" spans="16:16" x14ac:dyDescent="0.2">
      <c r="P2982" s="415"/>
    </row>
    <row r="2983" spans="16:16" x14ac:dyDescent="0.2">
      <c r="P2983" s="415"/>
    </row>
    <row r="2984" spans="16:16" x14ac:dyDescent="0.2">
      <c r="P2984" s="415"/>
    </row>
    <row r="2985" spans="16:16" x14ac:dyDescent="0.2">
      <c r="P2985" s="415"/>
    </row>
    <row r="2986" spans="16:16" x14ac:dyDescent="0.2">
      <c r="P2986" s="415"/>
    </row>
    <row r="2987" spans="16:16" x14ac:dyDescent="0.2">
      <c r="P2987" s="415"/>
    </row>
    <row r="2988" spans="16:16" x14ac:dyDescent="0.2">
      <c r="P2988" s="415"/>
    </row>
    <row r="2989" spans="16:16" x14ac:dyDescent="0.2">
      <c r="P2989" s="415"/>
    </row>
    <row r="2990" spans="16:16" x14ac:dyDescent="0.2">
      <c r="P2990" s="415"/>
    </row>
    <row r="2991" spans="16:16" x14ac:dyDescent="0.2">
      <c r="P2991" s="415"/>
    </row>
    <row r="2992" spans="16:16" x14ac:dyDescent="0.2">
      <c r="P2992" s="415"/>
    </row>
    <row r="2993" spans="16:16" x14ac:dyDescent="0.2">
      <c r="P2993" s="415"/>
    </row>
    <row r="2994" spans="16:16" x14ac:dyDescent="0.2">
      <c r="P2994" s="415"/>
    </row>
    <row r="2995" spans="16:16" x14ac:dyDescent="0.2">
      <c r="P2995" s="415"/>
    </row>
    <row r="2996" spans="16:16" x14ac:dyDescent="0.2">
      <c r="P2996" s="415"/>
    </row>
    <row r="2997" spans="16:16" x14ac:dyDescent="0.2">
      <c r="P2997" s="415"/>
    </row>
    <row r="2998" spans="16:16" x14ac:dyDescent="0.2">
      <c r="P2998" s="415"/>
    </row>
    <row r="2999" spans="16:16" x14ac:dyDescent="0.2">
      <c r="P2999" s="415"/>
    </row>
    <row r="3000" spans="16:16" x14ac:dyDescent="0.2">
      <c r="P3000" s="415"/>
    </row>
    <row r="3001" spans="16:16" x14ac:dyDescent="0.2">
      <c r="P3001" s="415"/>
    </row>
    <row r="3002" spans="16:16" x14ac:dyDescent="0.2">
      <c r="P3002" s="415"/>
    </row>
    <row r="3003" spans="16:16" x14ac:dyDescent="0.2">
      <c r="P3003" s="415"/>
    </row>
    <row r="3004" spans="16:16" x14ac:dyDescent="0.2">
      <c r="P3004" s="415"/>
    </row>
    <row r="3005" spans="16:16" x14ac:dyDescent="0.2">
      <c r="P3005" s="415"/>
    </row>
    <row r="3006" spans="16:16" x14ac:dyDescent="0.2">
      <c r="P3006" s="415"/>
    </row>
    <row r="3007" spans="16:16" x14ac:dyDescent="0.2">
      <c r="P3007" s="415"/>
    </row>
    <row r="3008" spans="16:16" x14ac:dyDescent="0.2">
      <c r="P3008" s="415"/>
    </row>
    <row r="3009" spans="16:16" x14ac:dyDescent="0.2">
      <c r="P3009" s="415"/>
    </row>
    <row r="3010" spans="16:16" x14ac:dyDescent="0.2">
      <c r="P3010" s="415"/>
    </row>
    <row r="3011" spans="16:16" x14ac:dyDescent="0.2">
      <c r="P3011" s="415"/>
    </row>
    <row r="3012" spans="16:16" x14ac:dyDescent="0.2">
      <c r="P3012" s="415"/>
    </row>
    <row r="3013" spans="16:16" x14ac:dyDescent="0.2">
      <c r="P3013" s="415"/>
    </row>
    <row r="3014" spans="16:16" x14ac:dyDescent="0.2">
      <c r="P3014" s="415"/>
    </row>
    <row r="3015" spans="16:16" x14ac:dyDescent="0.2">
      <c r="P3015" s="415"/>
    </row>
    <row r="3016" spans="16:16" x14ac:dyDescent="0.2">
      <c r="P3016" s="415"/>
    </row>
    <row r="3017" spans="16:16" x14ac:dyDescent="0.2">
      <c r="P3017" s="415"/>
    </row>
    <row r="3018" spans="16:16" x14ac:dyDescent="0.2">
      <c r="P3018" s="415"/>
    </row>
    <row r="3019" spans="16:16" x14ac:dyDescent="0.2">
      <c r="P3019" s="415"/>
    </row>
    <row r="3020" spans="16:16" x14ac:dyDescent="0.2">
      <c r="P3020" s="415"/>
    </row>
    <row r="3021" spans="16:16" x14ac:dyDescent="0.2">
      <c r="P3021" s="415"/>
    </row>
    <row r="3022" spans="16:16" x14ac:dyDescent="0.2">
      <c r="P3022" s="415"/>
    </row>
    <row r="3023" spans="16:16" x14ac:dyDescent="0.2">
      <c r="P3023" s="415"/>
    </row>
    <row r="3024" spans="16:16" x14ac:dyDescent="0.2">
      <c r="P3024" s="415"/>
    </row>
    <row r="3025" spans="16:16" x14ac:dyDescent="0.2">
      <c r="P3025" s="415"/>
    </row>
    <row r="3026" spans="16:16" x14ac:dyDescent="0.2">
      <c r="P3026" s="415"/>
    </row>
    <row r="3027" spans="16:16" x14ac:dyDescent="0.2">
      <c r="P3027" s="415"/>
    </row>
    <row r="3028" spans="16:16" x14ac:dyDescent="0.2">
      <c r="P3028" s="415"/>
    </row>
    <row r="3029" spans="16:16" x14ac:dyDescent="0.2">
      <c r="P3029" s="415"/>
    </row>
    <row r="3030" spans="16:16" x14ac:dyDescent="0.2">
      <c r="P3030" s="415"/>
    </row>
    <row r="3031" spans="16:16" x14ac:dyDescent="0.2">
      <c r="P3031" s="415"/>
    </row>
    <row r="3032" spans="16:16" x14ac:dyDescent="0.2">
      <c r="P3032" s="415"/>
    </row>
    <row r="3033" spans="16:16" x14ac:dyDescent="0.2">
      <c r="P3033" s="415"/>
    </row>
    <row r="3034" spans="16:16" x14ac:dyDescent="0.2">
      <c r="P3034" s="415"/>
    </row>
    <row r="3035" spans="16:16" x14ac:dyDescent="0.2">
      <c r="P3035" s="415"/>
    </row>
    <row r="3036" spans="16:16" x14ac:dyDescent="0.2">
      <c r="P3036" s="415"/>
    </row>
    <row r="3037" spans="16:16" x14ac:dyDescent="0.2">
      <c r="P3037" s="415"/>
    </row>
    <row r="3038" spans="16:16" x14ac:dyDescent="0.2">
      <c r="P3038" s="415"/>
    </row>
    <row r="3039" spans="16:16" x14ac:dyDescent="0.2">
      <c r="P3039" s="415"/>
    </row>
    <row r="3040" spans="16:16" x14ac:dyDescent="0.2">
      <c r="P3040" s="415"/>
    </row>
    <row r="3041" spans="16:16" x14ac:dyDescent="0.2">
      <c r="P3041" s="415"/>
    </row>
    <row r="3042" spans="16:16" x14ac:dyDescent="0.2">
      <c r="P3042" s="415"/>
    </row>
    <row r="3043" spans="16:16" x14ac:dyDescent="0.2">
      <c r="P3043" s="415"/>
    </row>
    <row r="3044" spans="16:16" x14ac:dyDescent="0.2">
      <c r="P3044" s="415"/>
    </row>
    <row r="3045" spans="16:16" x14ac:dyDescent="0.2">
      <c r="P3045" s="415"/>
    </row>
    <row r="3046" spans="16:16" x14ac:dyDescent="0.2">
      <c r="P3046" s="415"/>
    </row>
    <row r="3047" spans="16:16" x14ac:dyDescent="0.2">
      <c r="P3047" s="415"/>
    </row>
    <row r="3048" spans="16:16" x14ac:dyDescent="0.2">
      <c r="P3048" s="415"/>
    </row>
    <row r="3049" spans="16:16" x14ac:dyDescent="0.2">
      <c r="P3049" s="415"/>
    </row>
    <row r="3050" spans="16:16" x14ac:dyDescent="0.2">
      <c r="P3050" s="415"/>
    </row>
    <row r="3051" spans="16:16" x14ac:dyDescent="0.2">
      <c r="P3051" s="415"/>
    </row>
    <row r="3052" spans="16:16" x14ac:dyDescent="0.2">
      <c r="P3052" s="415"/>
    </row>
    <row r="3053" spans="16:16" x14ac:dyDescent="0.2">
      <c r="P3053" s="415"/>
    </row>
    <row r="3054" spans="16:16" x14ac:dyDescent="0.2">
      <c r="P3054" s="415"/>
    </row>
    <row r="3055" spans="16:16" x14ac:dyDescent="0.2">
      <c r="P3055" s="415"/>
    </row>
    <row r="3056" spans="16:16" x14ac:dyDescent="0.2">
      <c r="P3056" s="415"/>
    </row>
    <row r="3057" spans="16:16" x14ac:dyDescent="0.2">
      <c r="P3057" s="415"/>
    </row>
    <row r="3058" spans="16:16" x14ac:dyDescent="0.2">
      <c r="P3058" s="415"/>
    </row>
    <row r="3059" spans="16:16" x14ac:dyDescent="0.2">
      <c r="P3059" s="415"/>
    </row>
    <row r="3060" spans="16:16" x14ac:dyDescent="0.2">
      <c r="P3060" s="415"/>
    </row>
    <row r="3061" spans="16:16" x14ac:dyDescent="0.2">
      <c r="P3061" s="415"/>
    </row>
    <row r="3062" spans="16:16" x14ac:dyDescent="0.2">
      <c r="P3062" s="415"/>
    </row>
    <row r="3063" spans="16:16" x14ac:dyDescent="0.2">
      <c r="P3063" s="415"/>
    </row>
    <row r="3064" spans="16:16" x14ac:dyDescent="0.2">
      <c r="P3064" s="415"/>
    </row>
    <row r="3065" spans="16:16" x14ac:dyDescent="0.2">
      <c r="P3065" s="415"/>
    </row>
    <row r="3066" spans="16:16" x14ac:dyDescent="0.2">
      <c r="P3066" s="415"/>
    </row>
    <row r="3067" spans="16:16" x14ac:dyDescent="0.2">
      <c r="P3067" s="415"/>
    </row>
    <row r="3068" spans="16:16" x14ac:dyDescent="0.2">
      <c r="P3068" s="415"/>
    </row>
    <row r="3069" spans="16:16" x14ac:dyDescent="0.2">
      <c r="P3069" s="415"/>
    </row>
    <row r="3070" spans="16:16" x14ac:dyDescent="0.2">
      <c r="P3070" s="415"/>
    </row>
    <row r="3071" spans="16:16" x14ac:dyDescent="0.2">
      <c r="P3071" s="415"/>
    </row>
    <row r="3072" spans="16:16" x14ac:dyDescent="0.2">
      <c r="P3072" s="415"/>
    </row>
    <row r="3073" spans="16:16" x14ac:dyDescent="0.2">
      <c r="P3073" s="415"/>
    </row>
    <row r="3074" spans="16:16" x14ac:dyDescent="0.2">
      <c r="P3074" s="415"/>
    </row>
    <row r="3075" spans="16:16" x14ac:dyDescent="0.2">
      <c r="P3075" s="415"/>
    </row>
    <row r="3076" spans="16:16" x14ac:dyDescent="0.2">
      <c r="P3076" s="415"/>
    </row>
    <row r="3077" spans="16:16" x14ac:dyDescent="0.2">
      <c r="P3077" s="415"/>
    </row>
    <row r="3078" spans="16:16" x14ac:dyDescent="0.2">
      <c r="P3078" s="415"/>
    </row>
    <row r="3079" spans="16:16" x14ac:dyDescent="0.2">
      <c r="P3079" s="415"/>
    </row>
    <row r="3080" spans="16:16" x14ac:dyDescent="0.2">
      <c r="P3080" s="415"/>
    </row>
    <row r="3081" spans="16:16" x14ac:dyDescent="0.2">
      <c r="P3081" s="415"/>
    </row>
    <row r="3082" spans="16:16" x14ac:dyDescent="0.2">
      <c r="P3082" s="415"/>
    </row>
    <row r="3083" spans="16:16" x14ac:dyDescent="0.2">
      <c r="P3083" s="415"/>
    </row>
    <row r="3084" spans="16:16" x14ac:dyDescent="0.2">
      <c r="P3084" s="415"/>
    </row>
    <row r="3085" spans="16:16" x14ac:dyDescent="0.2">
      <c r="P3085" s="415"/>
    </row>
    <row r="3086" spans="16:16" x14ac:dyDescent="0.2">
      <c r="P3086" s="415"/>
    </row>
    <row r="3087" spans="16:16" x14ac:dyDescent="0.2">
      <c r="P3087" s="415"/>
    </row>
    <row r="3088" spans="16:16" x14ac:dyDescent="0.2">
      <c r="P3088" s="415"/>
    </row>
    <row r="3089" spans="16:16" x14ac:dyDescent="0.2">
      <c r="P3089" s="415"/>
    </row>
    <row r="3090" spans="16:16" x14ac:dyDescent="0.2">
      <c r="P3090" s="415"/>
    </row>
    <row r="3091" spans="16:16" x14ac:dyDescent="0.2">
      <c r="P3091" s="415"/>
    </row>
    <row r="3092" spans="16:16" x14ac:dyDescent="0.2">
      <c r="P3092" s="415"/>
    </row>
    <row r="3093" spans="16:16" x14ac:dyDescent="0.2">
      <c r="P3093" s="415"/>
    </row>
    <row r="3094" spans="16:16" x14ac:dyDescent="0.2">
      <c r="P3094" s="415"/>
    </row>
    <row r="3095" spans="16:16" x14ac:dyDescent="0.2">
      <c r="P3095" s="415"/>
    </row>
    <row r="3096" spans="16:16" x14ac:dyDescent="0.2">
      <c r="P3096" s="415"/>
    </row>
    <row r="3097" spans="16:16" x14ac:dyDescent="0.2">
      <c r="P3097" s="415"/>
    </row>
    <row r="3098" spans="16:16" x14ac:dyDescent="0.2">
      <c r="P3098" s="415"/>
    </row>
    <row r="3099" spans="16:16" x14ac:dyDescent="0.2">
      <c r="P3099" s="415"/>
    </row>
    <row r="3100" spans="16:16" x14ac:dyDescent="0.2">
      <c r="P3100" s="415"/>
    </row>
    <row r="3101" spans="16:16" x14ac:dyDescent="0.2">
      <c r="P3101" s="415"/>
    </row>
    <row r="3102" spans="16:16" x14ac:dyDescent="0.2">
      <c r="P3102" s="415"/>
    </row>
    <row r="3103" spans="16:16" x14ac:dyDescent="0.2">
      <c r="P3103" s="415"/>
    </row>
    <row r="3104" spans="16:16" x14ac:dyDescent="0.2">
      <c r="P3104" s="415"/>
    </row>
    <row r="3105" spans="16:16" x14ac:dyDescent="0.2">
      <c r="P3105" s="415"/>
    </row>
    <row r="3106" spans="16:16" x14ac:dyDescent="0.2">
      <c r="P3106" s="415"/>
    </row>
    <row r="3107" spans="16:16" x14ac:dyDescent="0.2">
      <c r="P3107" s="415"/>
    </row>
    <row r="3108" spans="16:16" x14ac:dyDescent="0.2">
      <c r="P3108" s="415"/>
    </row>
    <row r="3109" spans="16:16" x14ac:dyDescent="0.2">
      <c r="P3109" s="415"/>
    </row>
    <row r="3110" spans="16:16" x14ac:dyDescent="0.2">
      <c r="P3110" s="415"/>
    </row>
    <row r="3111" spans="16:16" x14ac:dyDescent="0.2">
      <c r="P3111" s="415"/>
    </row>
    <row r="3112" spans="16:16" x14ac:dyDescent="0.2">
      <c r="P3112" s="415"/>
    </row>
    <row r="3113" spans="16:16" x14ac:dyDescent="0.2">
      <c r="P3113" s="415"/>
    </row>
    <row r="3114" spans="16:16" x14ac:dyDescent="0.2">
      <c r="P3114" s="415"/>
    </row>
    <row r="3115" spans="16:16" x14ac:dyDescent="0.2">
      <c r="P3115" s="415"/>
    </row>
    <row r="3116" spans="16:16" x14ac:dyDescent="0.2">
      <c r="P3116" s="415"/>
    </row>
    <row r="3117" spans="16:16" x14ac:dyDescent="0.2">
      <c r="P3117" s="415"/>
    </row>
    <row r="3118" spans="16:16" x14ac:dyDescent="0.2">
      <c r="P3118" s="415"/>
    </row>
    <row r="3119" spans="16:16" x14ac:dyDescent="0.2">
      <c r="P3119" s="415"/>
    </row>
    <row r="3120" spans="16:16" x14ac:dyDescent="0.2">
      <c r="P3120" s="415"/>
    </row>
    <row r="3121" spans="16:16" x14ac:dyDescent="0.2">
      <c r="P3121" s="415"/>
    </row>
    <row r="3122" spans="16:16" x14ac:dyDescent="0.2">
      <c r="P3122" s="415"/>
    </row>
    <row r="3123" spans="16:16" x14ac:dyDescent="0.2">
      <c r="P3123" s="415"/>
    </row>
    <row r="3124" spans="16:16" x14ac:dyDescent="0.2">
      <c r="P3124" s="415"/>
    </row>
    <row r="3125" spans="16:16" x14ac:dyDescent="0.2">
      <c r="P3125" s="415"/>
    </row>
    <row r="3126" spans="16:16" x14ac:dyDescent="0.2">
      <c r="P3126" s="415"/>
    </row>
    <row r="3127" spans="16:16" x14ac:dyDescent="0.2">
      <c r="P3127" s="415"/>
    </row>
    <row r="3128" spans="16:16" x14ac:dyDescent="0.2">
      <c r="P3128" s="415"/>
    </row>
    <row r="3129" spans="16:16" x14ac:dyDescent="0.2">
      <c r="P3129" s="415"/>
    </row>
    <row r="3130" spans="16:16" x14ac:dyDescent="0.2">
      <c r="P3130" s="415"/>
    </row>
    <row r="3131" spans="16:16" x14ac:dyDescent="0.2">
      <c r="P3131" s="415"/>
    </row>
    <row r="3132" spans="16:16" x14ac:dyDescent="0.2">
      <c r="P3132" s="415"/>
    </row>
    <row r="3133" spans="16:16" x14ac:dyDescent="0.2">
      <c r="P3133" s="415"/>
    </row>
    <row r="3134" spans="16:16" x14ac:dyDescent="0.2">
      <c r="P3134" s="415"/>
    </row>
    <row r="3135" spans="16:16" x14ac:dyDescent="0.2">
      <c r="P3135" s="415"/>
    </row>
    <row r="3136" spans="16:16" x14ac:dyDescent="0.2">
      <c r="P3136" s="415"/>
    </row>
    <row r="3137" spans="16:16" x14ac:dyDescent="0.2">
      <c r="P3137" s="415"/>
    </row>
    <row r="3138" spans="16:16" x14ac:dyDescent="0.2">
      <c r="P3138" s="415"/>
    </row>
    <row r="3139" spans="16:16" x14ac:dyDescent="0.2">
      <c r="P3139" s="415"/>
    </row>
    <row r="3140" spans="16:16" x14ac:dyDescent="0.2">
      <c r="P3140" s="415"/>
    </row>
    <row r="3141" spans="16:16" x14ac:dyDescent="0.2">
      <c r="P3141" s="415"/>
    </row>
    <row r="3142" spans="16:16" x14ac:dyDescent="0.2">
      <c r="P3142" s="415"/>
    </row>
    <row r="3143" spans="16:16" x14ac:dyDescent="0.2">
      <c r="P3143" s="415"/>
    </row>
    <row r="3144" spans="16:16" x14ac:dyDescent="0.2">
      <c r="P3144" s="415"/>
    </row>
    <row r="3145" spans="16:16" x14ac:dyDescent="0.2">
      <c r="P3145" s="415"/>
    </row>
    <row r="3146" spans="16:16" x14ac:dyDescent="0.2">
      <c r="P3146" s="415"/>
    </row>
    <row r="3147" spans="16:16" x14ac:dyDescent="0.2">
      <c r="P3147" s="415"/>
    </row>
    <row r="3148" spans="16:16" x14ac:dyDescent="0.2">
      <c r="P3148" s="415"/>
    </row>
    <row r="3149" spans="16:16" x14ac:dyDescent="0.2">
      <c r="P3149" s="415"/>
    </row>
    <row r="3150" spans="16:16" x14ac:dyDescent="0.2">
      <c r="P3150" s="415"/>
    </row>
    <row r="3151" spans="16:16" x14ac:dyDescent="0.2">
      <c r="P3151" s="415"/>
    </row>
    <row r="3152" spans="16:16" x14ac:dyDescent="0.2">
      <c r="P3152" s="415"/>
    </row>
    <row r="3153" spans="16:16" x14ac:dyDescent="0.2">
      <c r="P3153" s="415"/>
    </row>
    <row r="3154" spans="16:16" x14ac:dyDescent="0.2">
      <c r="P3154" s="415"/>
    </row>
    <row r="3155" spans="16:16" x14ac:dyDescent="0.2">
      <c r="P3155" s="415"/>
    </row>
    <row r="3156" spans="16:16" x14ac:dyDescent="0.2">
      <c r="P3156" s="415"/>
    </row>
    <row r="3157" spans="16:16" x14ac:dyDescent="0.2">
      <c r="P3157" s="415"/>
    </row>
    <row r="3158" spans="16:16" x14ac:dyDescent="0.2">
      <c r="P3158" s="415"/>
    </row>
    <row r="3159" spans="16:16" x14ac:dyDescent="0.2">
      <c r="P3159" s="415"/>
    </row>
    <row r="3160" spans="16:16" x14ac:dyDescent="0.2">
      <c r="P3160" s="415"/>
    </row>
    <row r="3161" spans="16:16" x14ac:dyDescent="0.2">
      <c r="P3161" s="415"/>
    </row>
    <row r="3162" spans="16:16" x14ac:dyDescent="0.2">
      <c r="P3162" s="415"/>
    </row>
    <row r="3163" spans="16:16" x14ac:dyDescent="0.2">
      <c r="P3163" s="415"/>
    </row>
    <row r="3164" spans="16:16" x14ac:dyDescent="0.2">
      <c r="P3164" s="415"/>
    </row>
    <row r="3165" spans="16:16" x14ac:dyDescent="0.2">
      <c r="P3165" s="415"/>
    </row>
    <row r="3166" spans="16:16" x14ac:dyDescent="0.2">
      <c r="P3166" s="415"/>
    </row>
    <row r="3167" spans="16:16" x14ac:dyDescent="0.2">
      <c r="P3167" s="415"/>
    </row>
    <row r="3168" spans="16:16" x14ac:dyDescent="0.2">
      <c r="P3168" s="415"/>
    </row>
    <row r="3169" spans="16:16" x14ac:dyDescent="0.2">
      <c r="P3169" s="415"/>
    </row>
    <row r="3170" spans="16:16" x14ac:dyDescent="0.2">
      <c r="P3170" s="415"/>
    </row>
    <row r="3171" spans="16:16" x14ac:dyDescent="0.2">
      <c r="P3171" s="415"/>
    </row>
    <row r="3172" spans="16:16" x14ac:dyDescent="0.2">
      <c r="P3172" s="415"/>
    </row>
    <row r="3173" spans="16:16" x14ac:dyDescent="0.2">
      <c r="P3173" s="415"/>
    </row>
    <row r="3174" spans="16:16" x14ac:dyDescent="0.2">
      <c r="P3174" s="415"/>
    </row>
    <row r="3175" spans="16:16" x14ac:dyDescent="0.2">
      <c r="P3175" s="415"/>
    </row>
    <row r="3176" spans="16:16" x14ac:dyDescent="0.2">
      <c r="P3176" s="415"/>
    </row>
    <row r="3177" spans="16:16" x14ac:dyDescent="0.2">
      <c r="P3177" s="415"/>
    </row>
    <row r="3178" spans="16:16" x14ac:dyDescent="0.2">
      <c r="P3178" s="415"/>
    </row>
    <row r="3179" spans="16:16" x14ac:dyDescent="0.2">
      <c r="P3179" s="415"/>
    </row>
    <row r="3180" spans="16:16" x14ac:dyDescent="0.2">
      <c r="P3180" s="415"/>
    </row>
    <row r="3181" spans="16:16" x14ac:dyDescent="0.2">
      <c r="P3181" s="415"/>
    </row>
    <row r="3182" spans="16:16" x14ac:dyDescent="0.2">
      <c r="P3182" s="415"/>
    </row>
    <row r="3183" spans="16:16" x14ac:dyDescent="0.2">
      <c r="P3183" s="415"/>
    </row>
    <row r="3184" spans="16:16" x14ac:dyDescent="0.2">
      <c r="P3184" s="415"/>
    </row>
    <row r="3185" spans="16:16" x14ac:dyDescent="0.2">
      <c r="P3185" s="415"/>
    </row>
    <row r="3186" spans="16:16" x14ac:dyDescent="0.2">
      <c r="P3186" s="415"/>
    </row>
    <row r="3187" spans="16:16" x14ac:dyDescent="0.2">
      <c r="P3187" s="415"/>
    </row>
    <row r="3188" spans="16:16" x14ac:dyDescent="0.2">
      <c r="P3188" s="415"/>
    </row>
    <row r="3189" spans="16:16" x14ac:dyDescent="0.2">
      <c r="P3189" s="415"/>
    </row>
    <row r="3190" spans="16:16" x14ac:dyDescent="0.2">
      <c r="P3190" s="415"/>
    </row>
    <row r="3191" spans="16:16" x14ac:dyDescent="0.2">
      <c r="P3191" s="415"/>
    </row>
    <row r="3192" spans="16:16" x14ac:dyDescent="0.2">
      <c r="P3192" s="415"/>
    </row>
    <row r="3193" spans="16:16" x14ac:dyDescent="0.2">
      <c r="P3193" s="415"/>
    </row>
    <row r="3194" spans="16:16" x14ac:dyDescent="0.2">
      <c r="P3194" s="415"/>
    </row>
    <row r="3195" spans="16:16" x14ac:dyDescent="0.2">
      <c r="P3195" s="415"/>
    </row>
    <row r="3196" spans="16:16" x14ac:dyDescent="0.2">
      <c r="P3196" s="415"/>
    </row>
    <row r="3197" spans="16:16" x14ac:dyDescent="0.2">
      <c r="P3197" s="415"/>
    </row>
    <row r="3198" spans="16:16" x14ac:dyDescent="0.2">
      <c r="P3198" s="415"/>
    </row>
    <row r="3199" spans="16:16" x14ac:dyDescent="0.2">
      <c r="P3199" s="415"/>
    </row>
    <row r="3200" spans="16:16" x14ac:dyDescent="0.2">
      <c r="P3200" s="415"/>
    </row>
    <row r="3201" spans="16:16" x14ac:dyDescent="0.2">
      <c r="P3201" s="415"/>
    </row>
    <row r="3202" spans="16:16" x14ac:dyDescent="0.2">
      <c r="P3202" s="415"/>
    </row>
    <row r="3203" spans="16:16" x14ac:dyDescent="0.2">
      <c r="P3203" s="415"/>
    </row>
    <row r="3204" spans="16:16" x14ac:dyDescent="0.2">
      <c r="P3204" s="415"/>
    </row>
    <row r="3205" spans="16:16" x14ac:dyDescent="0.2">
      <c r="P3205" s="415"/>
    </row>
    <row r="3206" spans="16:16" x14ac:dyDescent="0.2">
      <c r="P3206" s="415"/>
    </row>
    <row r="3207" spans="16:16" x14ac:dyDescent="0.2">
      <c r="P3207" s="415"/>
    </row>
    <row r="3208" spans="16:16" x14ac:dyDescent="0.2">
      <c r="P3208" s="415"/>
    </row>
    <row r="3209" spans="16:16" x14ac:dyDescent="0.2">
      <c r="P3209" s="415"/>
    </row>
    <row r="3210" spans="16:16" x14ac:dyDescent="0.2">
      <c r="P3210" s="415"/>
    </row>
    <row r="3211" spans="16:16" x14ac:dyDescent="0.2">
      <c r="P3211" s="415"/>
    </row>
    <row r="3212" spans="16:16" x14ac:dyDescent="0.2">
      <c r="P3212" s="415"/>
    </row>
    <row r="3213" spans="16:16" x14ac:dyDescent="0.2">
      <c r="P3213" s="415"/>
    </row>
    <row r="3214" spans="16:16" x14ac:dyDescent="0.2">
      <c r="P3214" s="415"/>
    </row>
    <row r="3215" spans="16:16" x14ac:dyDescent="0.2">
      <c r="P3215" s="415"/>
    </row>
    <row r="3216" spans="16:16" x14ac:dyDescent="0.2">
      <c r="P3216" s="415"/>
    </row>
    <row r="3217" spans="16:16" x14ac:dyDescent="0.2">
      <c r="P3217" s="415"/>
    </row>
    <row r="3218" spans="16:16" x14ac:dyDescent="0.2">
      <c r="P3218" s="415"/>
    </row>
    <row r="3219" spans="16:16" x14ac:dyDescent="0.2">
      <c r="P3219" s="415"/>
    </row>
    <row r="3220" spans="16:16" x14ac:dyDescent="0.2">
      <c r="P3220" s="415"/>
    </row>
    <row r="3221" spans="16:16" x14ac:dyDescent="0.2">
      <c r="P3221" s="415"/>
    </row>
    <row r="3222" spans="16:16" x14ac:dyDescent="0.2">
      <c r="P3222" s="415"/>
    </row>
    <row r="3223" spans="16:16" x14ac:dyDescent="0.2">
      <c r="P3223" s="415"/>
    </row>
    <row r="3224" spans="16:16" x14ac:dyDescent="0.2">
      <c r="P3224" s="415"/>
    </row>
    <row r="3225" spans="16:16" x14ac:dyDescent="0.2">
      <c r="P3225" s="415"/>
    </row>
    <row r="3226" spans="16:16" x14ac:dyDescent="0.2">
      <c r="P3226" s="415"/>
    </row>
    <row r="3227" spans="16:16" x14ac:dyDescent="0.2">
      <c r="P3227" s="415"/>
    </row>
    <row r="3228" spans="16:16" x14ac:dyDescent="0.2">
      <c r="P3228" s="415"/>
    </row>
    <row r="3229" spans="16:16" x14ac:dyDescent="0.2">
      <c r="P3229" s="415"/>
    </row>
    <row r="3230" spans="16:16" x14ac:dyDescent="0.2">
      <c r="P3230" s="415"/>
    </row>
    <row r="3231" spans="16:16" x14ac:dyDescent="0.2">
      <c r="P3231" s="415"/>
    </row>
    <row r="3232" spans="16:16" x14ac:dyDescent="0.2">
      <c r="P3232" s="415"/>
    </row>
    <row r="3233" spans="16:16" x14ac:dyDescent="0.2">
      <c r="P3233" s="415"/>
    </row>
    <row r="3234" spans="16:16" x14ac:dyDescent="0.2">
      <c r="P3234" s="415"/>
    </row>
    <row r="3235" spans="16:16" x14ac:dyDescent="0.2">
      <c r="P3235" s="415"/>
    </row>
    <row r="3236" spans="16:16" x14ac:dyDescent="0.2">
      <c r="P3236" s="415"/>
    </row>
    <row r="3237" spans="16:16" x14ac:dyDescent="0.2">
      <c r="P3237" s="415"/>
    </row>
    <row r="3238" spans="16:16" x14ac:dyDescent="0.2">
      <c r="P3238" s="415"/>
    </row>
    <row r="3239" spans="16:16" x14ac:dyDescent="0.2">
      <c r="P3239" s="415"/>
    </row>
    <row r="3240" spans="16:16" x14ac:dyDescent="0.2">
      <c r="P3240" s="415"/>
    </row>
    <row r="3241" spans="16:16" x14ac:dyDescent="0.2">
      <c r="P3241" s="415"/>
    </row>
    <row r="3242" spans="16:16" x14ac:dyDescent="0.2">
      <c r="P3242" s="415"/>
    </row>
    <row r="3243" spans="16:16" x14ac:dyDescent="0.2">
      <c r="P3243" s="415"/>
    </row>
    <row r="3244" spans="16:16" x14ac:dyDescent="0.2">
      <c r="P3244" s="415"/>
    </row>
    <row r="3245" spans="16:16" x14ac:dyDescent="0.2">
      <c r="P3245" s="415"/>
    </row>
    <row r="3246" spans="16:16" x14ac:dyDescent="0.2">
      <c r="P3246" s="415"/>
    </row>
    <row r="3247" spans="16:16" x14ac:dyDescent="0.2">
      <c r="P3247" s="415"/>
    </row>
    <row r="3248" spans="16:16" x14ac:dyDescent="0.2">
      <c r="P3248" s="415"/>
    </row>
    <row r="3249" spans="16:16" x14ac:dyDescent="0.2">
      <c r="P3249" s="415"/>
    </row>
    <row r="3250" spans="16:16" x14ac:dyDescent="0.2">
      <c r="P3250" s="415"/>
    </row>
    <row r="3251" spans="16:16" x14ac:dyDescent="0.2">
      <c r="P3251" s="415"/>
    </row>
    <row r="3252" spans="16:16" x14ac:dyDescent="0.2">
      <c r="P3252" s="415"/>
    </row>
    <row r="3253" spans="16:16" x14ac:dyDescent="0.2">
      <c r="P3253" s="415"/>
    </row>
    <row r="3254" spans="16:16" x14ac:dyDescent="0.2">
      <c r="P3254" s="415"/>
    </row>
    <row r="3255" spans="16:16" x14ac:dyDescent="0.2">
      <c r="P3255" s="415"/>
    </row>
    <row r="3256" spans="16:16" x14ac:dyDescent="0.2">
      <c r="P3256" s="415"/>
    </row>
    <row r="3257" spans="16:16" x14ac:dyDescent="0.2">
      <c r="P3257" s="415"/>
    </row>
    <row r="3258" spans="16:16" x14ac:dyDescent="0.2">
      <c r="P3258" s="415"/>
    </row>
    <row r="3259" spans="16:16" x14ac:dyDescent="0.2">
      <c r="P3259" s="415"/>
    </row>
    <row r="3260" spans="16:16" x14ac:dyDescent="0.2">
      <c r="P3260" s="415"/>
    </row>
    <row r="3261" spans="16:16" x14ac:dyDescent="0.2">
      <c r="P3261" s="415"/>
    </row>
    <row r="3262" spans="16:16" x14ac:dyDescent="0.2">
      <c r="P3262" s="415"/>
    </row>
    <row r="3263" spans="16:16" x14ac:dyDescent="0.2">
      <c r="P3263" s="415"/>
    </row>
    <row r="3264" spans="16:16" x14ac:dyDescent="0.2">
      <c r="P3264" s="415"/>
    </row>
    <row r="3265" spans="16:16" x14ac:dyDescent="0.2">
      <c r="P3265" s="415"/>
    </row>
    <row r="3266" spans="16:16" x14ac:dyDescent="0.2">
      <c r="P3266" s="415"/>
    </row>
    <row r="3267" spans="16:16" x14ac:dyDescent="0.2">
      <c r="P3267" s="415"/>
    </row>
    <row r="3268" spans="16:16" x14ac:dyDescent="0.2">
      <c r="P3268" s="415"/>
    </row>
    <row r="3269" spans="16:16" x14ac:dyDescent="0.2">
      <c r="P3269" s="415"/>
    </row>
    <row r="3270" spans="16:16" x14ac:dyDescent="0.2">
      <c r="P3270" s="415"/>
    </row>
    <row r="3271" spans="16:16" x14ac:dyDescent="0.2">
      <c r="P3271" s="415"/>
    </row>
    <row r="3272" spans="16:16" x14ac:dyDescent="0.2">
      <c r="P3272" s="415"/>
    </row>
    <row r="3273" spans="16:16" x14ac:dyDescent="0.2">
      <c r="P3273" s="415"/>
    </row>
    <row r="3274" spans="16:16" x14ac:dyDescent="0.2">
      <c r="P3274" s="415"/>
    </row>
    <row r="3275" spans="16:16" x14ac:dyDescent="0.2">
      <c r="P3275" s="415"/>
    </row>
    <row r="3276" spans="16:16" x14ac:dyDescent="0.2">
      <c r="P3276" s="415"/>
    </row>
    <row r="3277" spans="16:16" x14ac:dyDescent="0.2">
      <c r="P3277" s="415"/>
    </row>
    <row r="3278" spans="16:16" x14ac:dyDescent="0.2">
      <c r="P3278" s="415"/>
    </row>
    <row r="3279" spans="16:16" x14ac:dyDescent="0.2">
      <c r="P3279" s="415"/>
    </row>
    <row r="3280" spans="16:16" x14ac:dyDescent="0.2">
      <c r="P3280" s="415"/>
    </row>
    <row r="3281" spans="16:16" x14ac:dyDescent="0.2">
      <c r="P3281" s="415"/>
    </row>
    <row r="3282" spans="16:16" x14ac:dyDescent="0.2">
      <c r="P3282" s="415"/>
    </row>
    <row r="3283" spans="16:16" x14ac:dyDescent="0.2">
      <c r="P3283" s="415"/>
    </row>
    <row r="3284" spans="16:16" x14ac:dyDescent="0.2">
      <c r="P3284" s="415"/>
    </row>
    <row r="3285" spans="16:16" x14ac:dyDescent="0.2">
      <c r="P3285" s="415"/>
    </row>
    <row r="3286" spans="16:16" x14ac:dyDescent="0.2">
      <c r="P3286" s="415"/>
    </row>
    <row r="3287" spans="16:16" x14ac:dyDescent="0.2">
      <c r="P3287" s="415"/>
    </row>
    <row r="3288" spans="16:16" x14ac:dyDescent="0.2">
      <c r="P3288" s="415"/>
    </row>
    <row r="3289" spans="16:16" x14ac:dyDescent="0.2">
      <c r="P3289" s="415"/>
    </row>
    <row r="3290" spans="16:16" x14ac:dyDescent="0.2">
      <c r="P3290" s="415"/>
    </row>
    <row r="3291" spans="16:16" x14ac:dyDescent="0.2">
      <c r="P3291" s="415"/>
    </row>
    <row r="3292" spans="16:16" x14ac:dyDescent="0.2">
      <c r="P3292" s="415"/>
    </row>
    <row r="3293" spans="16:16" x14ac:dyDescent="0.2">
      <c r="P3293" s="415"/>
    </row>
    <row r="3294" spans="16:16" x14ac:dyDescent="0.2">
      <c r="P3294" s="415"/>
    </row>
    <row r="3295" spans="16:16" x14ac:dyDescent="0.2">
      <c r="P3295" s="415"/>
    </row>
    <row r="3296" spans="16:16" x14ac:dyDescent="0.2">
      <c r="P3296" s="415"/>
    </row>
    <row r="3297" spans="16:16" x14ac:dyDescent="0.2">
      <c r="P3297" s="415"/>
    </row>
    <row r="3298" spans="16:16" x14ac:dyDescent="0.2">
      <c r="P3298" s="415"/>
    </row>
    <row r="3299" spans="16:16" x14ac:dyDescent="0.2">
      <c r="P3299" s="415"/>
    </row>
    <row r="3300" spans="16:16" x14ac:dyDescent="0.2">
      <c r="P3300" s="415"/>
    </row>
    <row r="3301" spans="16:16" x14ac:dyDescent="0.2">
      <c r="P3301" s="415"/>
    </row>
    <row r="3302" spans="16:16" x14ac:dyDescent="0.2">
      <c r="P3302" s="415"/>
    </row>
    <row r="3303" spans="16:16" x14ac:dyDescent="0.2">
      <c r="P3303" s="415"/>
    </row>
    <row r="3304" spans="16:16" x14ac:dyDescent="0.2">
      <c r="P3304" s="415"/>
    </row>
    <row r="3305" spans="16:16" x14ac:dyDescent="0.2">
      <c r="P3305" s="415"/>
    </row>
    <row r="3306" spans="16:16" x14ac:dyDescent="0.2">
      <c r="P3306" s="415"/>
    </row>
    <row r="3307" spans="16:16" x14ac:dyDescent="0.2">
      <c r="P3307" s="415"/>
    </row>
    <row r="3308" spans="16:16" x14ac:dyDescent="0.2">
      <c r="P3308" s="415"/>
    </row>
    <row r="3309" spans="16:16" x14ac:dyDescent="0.2">
      <c r="P3309" s="415"/>
    </row>
    <row r="3310" spans="16:16" x14ac:dyDescent="0.2">
      <c r="P3310" s="415"/>
    </row>
    <row r="3311" spans="16:16" x14ac:dyDescent="0.2">
      <c r="P3311" s="415"/>
    </row>
    <row r="3312" spans="16:16" x14ac:dyDescent="0.2">
      <c r="P3312" s="415"/>
    </row>
    <row r="3313" spans="16:16" x14ac:dyDescent="0.2">
      <c r="P3313" s="415"/>
    </row>
    <row r="3314" spans="16:16" x14ac:dyDescent="0.2">
      <c r="P3314" s="415"/>
    </row>
    <row r="3315" spans="16:16" x14ac:dyDescent="0.2">
      <c r="P3315" s="415"/>
    </row>
    <row r="3316" spans="16:16" x14ac:dyDescent="0.2">
      <c r="P3316" s="415"/>
    </row>
    <row r="3317" spans="16:16" x14ac:dyDescent="0.2">
      <c r="P3317" s="415"/>
    </row>
    <row r="3318" spans="16:16" x14ac:dyDescent="0.2">
      <c r="P3318" s="415"/>
    </row>
    <row r="3319" spans="16:16" x14ac:dyDescent="0.2">
      <c r="P3319" s="415"/>
    </row>
    <row r="3320" spans="16:16" x14ac:dyDescent="0.2">
      <c r="P3320" s="415"/>
    </row>
    <row r="3321" spans="16:16" x14ac:dyDescent="0.2">
      <c r="P3321" s="415"/>
    </row>
    <row r="3322" spans="16:16" x14ac:dyDescent="0.2">
      <c r="P3322" s="415"/>
    </row>
    <row r="3323" spans="16:16" x14ac:dyDescent="0.2">
      <c r="P3323" s="415"/>
    </row>
    <row r="3324" spans="16:16" x14ac:dyDescent="0.2">
      <c r="P3324" s="415"/>
    </row>
    <row r="3325" spans="16:16" x14ac:dyDescent="0.2">
      <c r="P3325" s="415"/>
    </row>
    <row r="3326" spans="16:16" x14ac:dyDescent="0.2">
      <c r="P3326" s="415"/>
    </row>
    <row r="3327" spans="16:16" x14ac:dyDescent="0.2">
      <c r="P3327" s="415"/>
    </row>
    <row r="3328" spans="16:16" x14ac:dyDescent="0.2">
      <c r="P3328" s="415"/>
    </row>
    <row r="3329" spans="16:16" x14ac:dyDescent="0.2">
      <c r="P3329" s="415"/>
    </row>
    <row r="3330" spans="16:16" x14ac:dyDescent="0.2">
      <c r="P3330" s="415"/>
    </row>
    <row r="3331" spans="16:16" x14ac:dyDescent="0.2">
      <c r="P3331" s="415"/>
    </row>
    <row r="3332" spans="16:16" x14ac:dyDescent="0.2">
      <c r="P3332" s="415"/>
    </row>
    <row r="3333" spans="16:16" x14ac:dyDescent="0.2">
      <c r="P3333" s="415"/>
    </row>
    <row r="3334" spans="16:16" x14ac:dyDescent="0.2">
      <c r="P3334" s="415"/>
    </row>
    <row r="3335" spans="16:16" x14ac:dyDescent="0.2">
      <c r="P3335" s="415"/>
    </row>
    <row r="3336" spans="16:16" x14ac:dyDescent="0.2">
      <c r="P3336" s="415"/>
    </row>
    <row r="3337" spans="16:16" x14ac:dyDescent="0.2">
      <c r="P3337" s="415"/>
    </row>
    <row r="3338" spans="16:16" x14ac:dyDescent="0.2">
      <c r="P3338" s="415"/>
    </row>
    <row r="3339" spans="16:16" x14ac:dyDescent="0.2">
      <c r="P3339" s="415"/>
    </row>
    <row r="3340" spans="16:16" x14ac:dyDescent="0.2">
      <c r="P3340" s="415"/>
    </row>
    <row r="3341" spans="16:16" x14ac:dyDescent="0.2">
      <c r="P3341" s="415"/>
    </row>
    <row r="3342" spans="16:16" x14ac:dyDescent="0.2">
      <c r="P3342" s="415"/>
    </row>
    <row r="3343" spans="16:16" x14ac:dyDescent="0.2">
      <c r="P3343" s="415"/>
    </row>
    <row r="3344" spans="16:16" x14ac:dyDescent="0.2">
      <c r="P3344" s="415"/>
    </row>
    <row r="3345" spans="16:16" x14ac:dyDescent="0.2">
      <c r="P3345" s="415"/>
    </row>
    <row r="3346" spans="16:16" x14ac:dyDescent="0.2">
      <c r="P3346" s="415"/>
    </row>
    <row r="3347" spans="16:16" x14ac:dyDescent="0.2">
      <c r="P3347" s="415"/>
    </row>
    <row r="3348" spans="16:16" x14ac:dyDescent="0.2">
      <c r="P3348" s="415"/>
    </row>
    <row r="3349" spans="16:16" x14ac:dyDescent="0.2">
      <c r="P3349" s="415"/>
    </row>
    <row r="3350" spans="16:16" x14ac:dyDescent="0.2">
      <c r="P3350" s="415"/>
    </row>
    <row r="3351" spans="16:16" x14ac:dyDescent="0.2">
      <c r="P3351" s="415"/>
    </row>
    <row r="3352" spans="16:16" x14ac:dyDescent="0.2">
      <c r="P3352" s="415"/>
    </row>
    <row r="3353" spans="16:16" x14ac:dyDescent="0.2">
      <c r="P3353" s="415"/>
    </row>
    <row r="3354" spans="16:16" x14ac:dyDescent="0.2">
      <c r="P3354" s="415"/>
    </row>
    <row r="3355" spans="16:16" x14ac:dyDescent="0.2">
      <c r="P3355" s="415"/>
    </row>
    <row r="3356" spans="16:16" x14ac:dyDescent="0.2">
      <c r="P3356" s="415"/>
    </row>
    <row r="3357" spans="16:16" x14ac:dyDescent="0.2">
      <c r="P3357" s="415"/>
    </row>
    <row r="3358" spans="16:16" x14ac:dyDescent="0.2">
      <c r="P3358" s="415"/>
    </row>
    <row r="3359" spans="16:16" x14ac:dyDescent="0.2">
      <c r="P3359" s="415"/>
    </row>
    <row r="3360" spans="16:16" x14ac:dyDescent="0.2">
      <c r="P3360" s="415"/>
    </row>
    <row r="3361" spans="16:16" x14ac:dyDescent="0.2">
      <c r="P3361" s="415"/>
    </row>
    <row r="3362" spans="16:16" x14ac:dyDescent="0.2">
      <c r="P3362" s="415"/>
    </row>
    <row r="3363" spans="16:16" x14ac:dyDescent="0.2">
      <c r="P3363" s="415"/>
    </row>
    <row r="3364" spans="16:16" x14ac:dyDescent="0.2">
      <c r="P3364" s="415"/>
    </row>
    <row r="3365" spans="16:16" x14ac:dyDescent="0.2">
      <c r="P3365" s="415"/>
    </row>
    <row r="3366" spans="16:16" x14ac:dyDescent="0.2">
      <c r="P3366" s="415"/>
    </row>
    <row r="3367" spans="16:16" x14ac:dyDescent="0.2">
      <c r="P3367" s="415"/>
    </row>
    <row r="3368" spans="16:16" x14ac:dyDescent="0.2">
      <c r="P3368" s="415"/>
    </row>
    <row r="3369" spans="16:16" x14ac:dyDescent="0.2">
      <c r="P3369" s="415"/>
    </row>
    <row r="3370" spans="16:16" x14ac:dyDescent="0.2">
      <c r="P3370" s="415"/>
    </row>
    <row r="3371" spans="16:16" x14ac:dyDescent="0.2">
      <c r="P3371" s="415"/>
    </row>
    <row r="3372" spans="16:16" x14ac:dyDescent="0.2">
      <c r="P3372" s="415"/>
    </row>
    <row r="3373" spans="16:16" x14ac:dyDescent="0.2">
      <c r="P3373" s="415"/>
    </row>
    <row r="3374" spans="16:16" x14ac:dyDescent="0.2">
      <c r="P3374" s="415"/>
    </row>
    <row r="3375" spans="16:16" x14ac:dyDescent="0.2">
      <c r="P3375" s="415"/>
    </row>
    <row r="3376" spans="16:16" x14ac:dyDescent="0.2">
      <c r="P3376" s="415"/>
    </row>
    <row r="3377" spans="16:16" x14ac:dyDescent="0.2">
      <c r="P3377" s="415"/>
    </row>
    <row r="3378" spans="16:16" x14ac:dyDescent="0.2">
      <c r="P3378" s="415"/>
    </row>
    <row r="3379" spans="16:16" x14ac:dyDescent="0.2">
      <c r="P3379" s="415"/>
    </row>
    <row r="3380" spans="16:16" x14ac:dyDescent="0.2">
      <c r="P3380" s="415"/>
    </row>
    <row r="3381" spans="16:16" x14ac:dyDescent="0.2">
      <c r="P3381" s="415"/>
    </row>
    <row r="3382" spans="16:16" x14ac:dyDescent="0.2">
      <c r="P3382" s="415"/>
    </row>
    <row r="3383" spans="16:16" x14ac:dyDescent="0.2">
      <c r="P3383" s="415"/>
    </row>
    <row r="3384" spans="16:16" x14ac:dyDescent="0.2">
      <c r="P3384" s="415"/>
    </row>
    <row r="3385" spans="16:16" x14ac:dyDescent="0.2">
      <c r="P3385" s="415"/>
    </row>
    <row r="3386" spans="16:16" x14ac:dyDescent="0.2">
      <c r="P3386" s="415"/>
    </row>
    <row r="3387" spans="16:16" x14ac:dyDescent="0.2">
      <c r="P3387" s="415"/>
    </row>
    <row r="3388" spans="16:16" x14ac:dyDescent="0.2">
      <c r="P3388" s="415"/>
    </row>
    <row r="3389" spans="16:16" x14ac:dyDescent="0.2">
      <c r="P3389" s="415"/>
    </row>
    <row r="3390" spans="16:16" x14ac:dyDescent="0.2">
      <c r="P3390" s="415"/>
    </row>
    <row r="3391" spans="16:16" x14ac:dyDescent="0.2">
      <c r="P3391" s="415"/>
    </row>
    <row r="3392" spans="16:16" x14ac:dyDescent="0.2">
      <c r="P3392" s="415"/>
    </row>
    <row r="3393" spans="16:16" x14ac:dyDescent="0.2">
      <c r="P3393" s="415"/>
    </row>
    <row r="3394" spans="16:16" x14ac:dyDescent="0.2">
      <c r="P3394" s="415"/>
    </row>
    <row r="3395" spans="16:16" x14ac:dyDescent="0.2">
      <c r="P3395" s="415"/>
    </row>
    <row r="3396" spans="16:16" x14ac:dyDescent="0.2">
      <c r="P3396" s="415"/>
    </row>
    <row r="3397" spans="16:16" x14ac:dyDescent="0.2">
      <c r="P3397" s="415"/>
    </row>
    <row r="3398" spans="16:16" x14ac:dyDescent="0.2">
      <c r="P3398" s="415"/>
    </row>
    <row r="3399" spans="16:16" x14ac:dyDescent="0.2">
      <c r="P3399" s="415"/>
    </row>
    <row r="3400" spans="16:16" x14ac:dyDescent="0.2">
      <c r="P3400" s="415"/>
    </row>
    <row r="3401" spans="16:16" x14ac:dyDescent="0.2">
      <c r="P3401" s="415"/>
    </row>
    <row r="3402" spans="16:16" x14ac:dyDescent="0.2">
      <c r="P3402" s="415"/>
    </row>
    <row r="3403" spans="16:16" x14ac:dyDescent="0.2">
      <c r="P3403" s="415"/>
    </row>
    <row r="3404" spans="16:16" x14ac:dyDescent="0.2">
      <c r="P3404" s="415"/>
    </row>
    <row r="3405" spans="16:16" x14ac:dyDescent="0.2">
      <c r="P3405" s="415"/>
    </row>
    <row r="3406" spans="16:16" x14ac:dyDescent="0.2">
      <c r="P3406" s="415"/>
    </row>
    <row r="3407" spans="16:16" x14ac:dyDescent="0.2">
      <c r="P3407" s="415"/>
    </row>
    <row r="3408" spans="16:16" x14ac:dyDescent="0.2">
      <c r="P3408" s="415"/>
    </row>
    <row r="3409" spans="16:16" x14ac:dyDescent="0.2">
      <c r="P3409" s="415"/>
    </row>
    <row r="3410" spans="16:16" x14ac:dyDescent="0.2">
      <c r="P3410" s="415"/>
    </row>
    <row r="3411" spans="16:16" x14ac:dyDescent="0.2">
      <c r="P3411" s="415"/>
    </row>
    <row r="3412" spans="16:16" x14ac:dyDescent="0.2">
      <c r="P3412" s="415"/>
    </row>
    <row r="3413" spans="16:16" x14ac:dyDescent="0.2">
      <c r="P3413" s="415"/>
    </row>
    <row r="3414" spans="16:16" x14ac:dyDescent="0.2">
      <c r="P3414" s="415"/>
    </row>
    <row r="3415" spans="16:16" x14ac:dyDescent="0.2">
      <c r="P3415" s="415"/>
    </row>
    <row r="3416" spans="16:16" x14ac:dyDescent="0.2">
      <c r="P3416" s="415"/>
    </row>
    <row r="3417" spans="16:16" x14ac:dyDescent="0.2">
      <c r="P3417" s="415"/>
    </row>
    <row r="3418" spans="16:16" x14ac:dyDescent="0.2">
      <c r="P3418" s="415"/>
    </row>
    <row r="3419" spans="16:16" x14ac:dyDescent="0.2">
      <c r="P3419" s="415"/>
    </row>
    <row r="3420" spans="16:16" x14ac:dyDescent="0.2">
      <c r="P3420" s="415"/>
    </row>
    <row r="3421" spans="16:16" x14ac:dyDescent="0.2">
      <c r="P3421" s="415"/>
    </row>
    <row r="3422" spans="16:16" x14ac:dyDescent="0.2">
      <c r="P3422" s="415"/>
    </row>
    <row r="3423" spans="16:16" x14ac:dyDescent="0.2">
      <c r="P3423" s="415"/>
    </row>
    <row r="3424" spans="16:16" x14ac:dyDescent="0.2">
      <c r="P3424" s="415"/>
    </row>
    <row r="3425" spans="16:16" x14ac:dyDescent="0.2">
      <c r="P3425" s="415"/>
    </row>
    <row r="3426" spans="16:16" x14ac:dyDescent="0.2">
      <c r="P3426" s="415"/>
    </row>
    <row r="3427" spans="16:16" x14ac:dyDescent="0.2">
      <c r="P3427" s="415"/>
    </row>
    <row r="3428" spans="16:16" x14ac:dyDescent="0.2">
      <c r="P3428" s="415"/>
    </row>
    <row r="3429" spans="16:16" x14ac:dyDescent="0.2">
      <c r="P3429" s="415"/>
    </row>
    <row r="3430" spans="16:16" x14ac:dyDescent="0.2">
      <c r="P3430" s="415"/>
    </row>
    <row r="3431" spans="16:16" x14ac:dyDescent="0.2">
      <c r="P3431" s="415"/>
    </row>
    <row r="3432" spans="16:16" x14ac:dyDescent="0.2">
      <c r="P3432" s="415"/>
    </row>
    <row r="3433" spans="16:16" x14ac:dyDescent="0.2">
      <c r="P3433" s="415"/>
    </row>
    <row r="3434" spans="16:16" x14ac:dyDescent="0.2">
      <c r="P3434" s="415"/>
    </row>
    <row r="3435" spans="16:16" x14ac:dyDescent="0.2">
      <c r="P3435" s="415"/>
    </row>
    <row r="3436" spans="16:16" x14ac:dyDescent="0.2">
      <c r="P3436" s="415"/>
    </row>
    <row r="3437" spans="16:16" x14ac:dyDescent="0.2">
      <c r="P3437" s="415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696</v>
      </c>
      <c r="C1" s="52" t="s">
        <v>697</v>
      </c>
      <c r="D1" s="52" t="s">
        <v>82</v>
      </c>
    </row>
    <row r="2" spans="1:4" x14ac:dyDescent="0.2">
      <c r="A2" s="51" t="s">
        <v>134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135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118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16"/>
      <c r="C16" s="516"/>
    </row>
    <row r="17" spans="2:3" x14ac:dyDescent="0.2">
      <c r="B17" s="516"/>
      <c r="C17" s="516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698</v>
      </c>
      <c r="C1" s="196" t="s">
        <v>699</v>
      </c>
      <c r="D1" s="196" t="s">
        <v>697</v>
      </c>
      <c r="E1" s="196" t="s">
        <v>700</v>
      </c>
      <c r="F1" s="196" t="s">
        <v>701</v>
      </c>
      <c r="G1" s="196" t="s">
        <v>702</v>
      </c>
      <c r="I1" s="681" t="s">
        <v>703</v>
      </c>
      <c r="J1" s="681"/>
      <c r="K1" s="681"/>
      <c r="L1" s="681"/>
      <c r="M1" s="681"/>
      <c r="N1" s="681"/>
    </row>
    <row r="2" spans="1:14" x14ac:dyDescent="0.2">
      <c r="A2" s="51" t="s">
        <v>134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135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118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704</v>
      </c>
    </row>
    <row r="20" spans="2:2" x14ac:dyDescent="0.2">
      <c r="B20" s="8" t="s">
        <v>705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Props1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Table of Contents</vt:lpstr>
      <vt:lpstr>Annual Report (Energy)</vt:lpstr>
      <vt:lpstr>Monthly Renewable</vt:lpstr>
      <vt:lpstr>Yearly Renewable</vt:lpstr>
      <vt:lpstr>Monthly Electricity (Overview)</vt:lpstr>
      <vt:lpstr>Sheet1</vt:lpstr>
      <vt:lpstr>Monthly Electricity Reformatted</vt:lpstr>
      <vt:lpstr>Yearly Electricity (Overview)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Processed Waste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2026-07-13T03:29:05Z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