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87890E1B-6554-474E-9480-73745B426208}" xr6:coauthVersionLast="47" xr6:coauthVersionMax="47" xr10:uidLastSave="{00000000-0000-0000-0000-000000000000}"/>
  <bookViews>
    <workbookView xWindow="0" yWindow="720" windowWidth="29400" windowHeight="15700" firstSheet="30" activeTab="34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Sheet1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38" l="1"/>
  <c r="E66" i="74" l="1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G146" i="38"/>
  <c r="R76" i="38"/>
  <c r="R69" i="38"/>
  <c r="L12" i="14"/>
  <c r="F35" i="7" l="1"/>
  <c r="G35" i="7" s="1"/>
  <c r="H35" i="7" s="1"/>
  <c r="F34" i="7"/>
  <c r="G34" i="7" s="1"/>
  <c r="H34" i="7" s="1"/>
  <c r="G75" i="48"/>
  <c r="O25" i="74" l="1"/>
  <c r="G74" i="48"/>
  <c r="G47" i="48"/>
  <c r="G46" i="48"/>
  <c r="G73" i="48"/>
  <c r="K146" i="40" l="1"/>
  <c r="K147" i="40"/>
  <c r="K148" i="40"/>
  <c r="K149" i="40"/>
  <c r="K150" i="40"/>
  <c r="K151" i="40"/>
  <c r="K152" i="40"/>
  <c r="K153" i="40"/>
  <c r="K154" i="40"/>
  <c r="K155" i="40"/>
  <c r="K156" i="40"/>
  <c r="D146" i="40"/>
  <c r="E146" i="40"/>
  <c r="F146" i="40"/>
  <c r="G146" i="40"/>
  <c r="H146" i="40"/>
  <c r="I146" i="40"/>
  <c r="J146" i="40"/>
  <c r="E147" i="40"/>
  <c r="F147" i="40"/>
  <c r="G147" i="40"/>
  <c r="H147" i="40"/>
  <c r="I147" i="40"/>
  <c r="J147" i="40"/>
  <c r="E148" i="40"/>
  <c r="F148" i="40"/>
  <c r="G148" i="40"/>
  <c r="H148" i="40"/>
  <c r="I148" i="40"/>
  <c r="J148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L152" i="40" l="1"/>
  <c r="L151" i="40"/>
  <c r="L150" i="40"/>
  <c r="L153" i="40"/>
  <c r="L154" i="40"/>
  <c r="L156" i="40"/>
  <c r="L155" i="40"/>
  <c r="N13" i="35" l="1"/>
  <c r="C13" i="23"/>
  <c r="D13" i="23" s="1"/>
  <c r="B13" i="23"/>
  <c r="B12" i="23"/>
  <c r="E8" i="23"/>
  <c r="Z105" i="22" l="1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7" i="41" l="1"/>
  <c r="S70" i="39"/>
  <c r="T70" i="39" s="1"/>
  <c r="L114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G147" i="38"/>
  <c r="D147" i="40" s="1"/>
  <c r="G149" i="38"/>
  <c r="D149" i="40" s="1"/>
  <c r="S14" i="35" l="1"/>
  <c r="S15" i="35" s="1"/>
  <c r="S12" i="35"/>
  <c r="AE64" i="72"/>
  <c r="AD64" i="72"/>
  <c r="AF64" i="72" s="1"/>
  <c r="E149" i="38"/>
  <c r="C149" i="40" s="1"/>
  <c r="D149" i="38"/>
  <c r="B149" i="40" s="1"/>
  <c r="G148" i="38"/>
  <c r="D148" i="40" s="1"/>
  <c r="E148" i="38"/>
  <c r="C148" i="40" s="1"/>
  <c r="D148" i="38"/>
  <c r="B148" i="40" s="1"/>
  <c r="E147" i="38"/>
  <c r="C147" i="40" s="1"/>
  <c r="D147" i="38"/>
  <c r="B147" i="40" s="1"/>
  <c r="E146" i="38"/>
  <c r="C146" i="40" s="1"/>
  <c r="D146" i="38"/>
  <c r="B146" i="40" s="1"/>
  <c r="L149" i="40" l="1"/>
  <c r="L146" i="40"/>
  <c r="L147" i="40"/>
  <c r="L148" i="40"/>
  <c r="B137" i="45"/>
  <c r="F137" i="45"/>
  <c r="G137" i="45"/>
  <c r="B138" i="45"/>
  <c r="D138" i="45"/>
  <c r="E138" i="45"/>
  <c r="F138" i="45"/>
  <c r="G138" i="45"/>
  <c r="B139" i="45"/>
  <c r="D139" i="45"/>
  <c r="E139" i="45"/>
  <c r="F139" i="45"/>
  <c r="G139" i="45"/>
  <c r="B140" i="45"/>
  <c r="F140" i="45"/>
  <c r="G140" i="45"/>
  <c r="B141" i="45"/>
  <c r="D141" i="45"/>
  <c r="E141" i="45"/>
  <c r="F141" i="45"/>
  <c r="G141" i="45"/>
  <c r="B142" i="45"/>
  <c r="D142" i="45"/>
  <c r="E142" i="45"/>
  <c r="F142" i="45"/>
  <c r="G142" i="45"/>
  <c r="B143" i="45"/>
  <c r="D143" i="45"/>
  <c r="E143" i="45"/>
  <c r="F143" i="45"/>
  <c r="G143" i="45"/>
  <c r="B144" i="45"/>
  <c r="D144" i="45"/>
  <c r="E144" i="45"/>
  <c r="F144" i="45"/>
  <c r="G144" i="45"/>
  <c r="B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O48" i="45" l="1"/>
  <c r="J49" i="45"/>
  <c r="J47" i="45"/>
  <c r="O49" i="45"/>
  <c r="O47" i="45"/>
  <c r="M49" i="45"/>
  <c r="J48" i="45"/>
  <c r="R64" i="55"/>
  <c r="J14" i="61"/>
  <c r="AA64" i="72"/>
  <c r="AB64" i="72"/>
  <c r="AI64" i="72" s="1"/>
  <c r="M14" i="61"/>
  <c r="AA63" i="72"/>
  <c r="AB63" i="72"/>
  <c r="L49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D26" i="66"/>
  <c r="C26" i="66"/>
  <c r="E26" i="66" s="1"/>
  <c r="F25" i="66"/>
  <c r="D25" i="66"/>
  <c r="C25" i="66"/>
  <c r="G24" i="66"/>
  <c r="F24" i="66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H24" i="66" l="1"/>
  <c r="H26" i="66"/>
  <c r="E37" i="66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K732" i="64" l="1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P140" i="38"/>
  <c r="D140" i="45" s="1"/>
  <c r="L48" i="45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J140" i="40" l="1"/>
  <c r="E140" i="45"/>
  <c r="M48" i="45" s="1"/>
  <c r="K10" i="53"/>
  <c r="O14" i="41"/>
  <c r="N14" i="41"/>
  <c r="D145" i="38"/>
  <c r="G144" i="38"/>
  <c r="D144" i="40" s="1"/>
  <c r="G142" i="38"/>
  <c r="D142" i="40" s="1"/>
  <c r="D144" i="38"/>
  <c r="D143" i="38"/>
  <c r="D142" i="38"/>
  <c r="D141" i="38"/>
  <c r="C141" i="45" s="1"/>
  <c r="D140" i="38"/>
  <c r="C140" i="45" s="1"/>
  <c r="C145" i="45" l="1"/>
  <c r="C142" i="45"/>
  <c r="K48" i="45" s="1"/>
  <c r="C143" i="45"/>
  <c r="C144" i="45"/>
  <c r="L10" i="53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L142" i="40" s="1"/>
  <c r="G39" i="66"/>
  <c r="H39" i="66" s="1"/>
  <c r="I39" i="66" s="1"/>
  <c r="B143" i="40"/>
  <c r="L143" i="40" s="1"/>
  <c r="G40" i="66"/>
  <c r="H40" i="66" s="1"/>
  <c r="I40" i="66" s="1"/>
  <c r="B144" i="40"/>
  <c r="L144" i="40" s="1"/>
  <c r="G41" i="66"/>
  <c r="H41" i="66" s="1"/>
  <c r="I41" i="66" s="1"/>
  <c r="B145" i="40"/>
  <c r="L145" i="40" s="1"/>
  <c r="G42" i="66"/>
  <c r="K49" i="45" l="1"/>
  <c r="C57" i="55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P137" i="38"/>
  <c r="D139" i="38"/>
  <c r="D138" i="38"/>
  <c r="E137" i="45" l="1"/>
  <c r="M47" i="45" s="1"/>
  <c r="D137" i="45"/>
  <c r="L47" i="45" s="1"/>
  <c r="D137" i="40"/>
  <c r="G35" i="66"/>
  <c r="H35" i="66" s="1"/>
  <c r="I35" i="66" s="1"/>
  <c r="G36" i="66"/>
  <c r="H36" i="66" s="1"/>
  <c r="I36" i="66" s="1"/>
  <c r="C139" i="45"/>
  <c r="B138" i="40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D137" i="38"/>
  <c r="I15" i="12"/>
  <c r="AG11" i="2" s="1"/>
  <c r="G34" i="66" l="1"/>
  <c r="H34" i="66" s="1"/>
  <c r="I34" i="66" s="1"/>
  <c r="Q7" i="35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41" i="40"/>
  <c r="D45" i="40"/>
  <c r="D52" i="40"/>
  <c r="D56" i="40"/>
  <c r="D57" i="40"/>
  <c r="D60" i="40"/>
  <c r="D61" i="40"/>
  <c r="D73" i="40"/>
  <c r="D75" i="40"/>
  <c r="D80" i="40"/>
  <c r="D81" i="40"/>
  <c r="D82" i="40"/>
  <c r="D83" i="40"/>
  <c r="D101" i="40"/>
  <c r="D104" i="40"/>
  <c r="D106" i="40"/>
  <c r="D110" i="40"/>
  <c r="D112" i="40"/>
  <c r="D114" i="40"/>
  <c r="D115" i="40"/>
  <c r="D117" i="40"/>
  <c r="D120" i="40"/>
  <c r="D121" i="40"/>
  <c r="D132" i="40"/>
  <c r="D133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H136" i="40"/>
  <c r="G136" i="40"/>
  <c r="E136" i="40"/>
  <c r="C136" i="40"/>
  <c r="B136" i="40"/>
  <c r="B17" i="41" s="1"/>
  <c r="G134" i="45"/>
  <c r="G135" i="45"/>
  <c r="G136" i="45"/>
  <c r="H16" i="41" l="1"/>
  <c r="H12" i="35" s="1"/>
  <c r="H17" i="41"/>
  <c r="H13" i="35" s="1"/>
  <c r="G16" i="41"/>
  <c r="G12" i="35" s="1"/>
  <c r="G17" i="41"/>
  <c r="G13" i="35" s="1"/>
  <c r="I16" i="41"/>
  <c r="I12" i="35" s="1"/>
  <c r="I17" i="41"/>
  <c r="I13" i="35" s="1"/>
  <c r="G148" i="45"/>
  <c r="B13" i="35"/>
  <c r="C16" i="41"/>
  <c r="C12" i="35" s="1"/>
  <c r="C14" i="35" s="1"/>
  <c r="C17" i="41"/>
  <c r="C13" i="35" s="1"/>
  <c r="E16" i="41"/>
  <c r="E12" i="35" s="1"/>
  <c r="E17" i="41"/>
  <c r="E13" i="35" s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O46" i="45"/>
  <c r="P136" i="38"/>
  <c r="B136" i="38"/>
  <c r="P135" i="38"/>
  <c r="P134" i="38"/>
  <c r="B135" i="38"/>
  <c r="B134" i="38"/>
  <c r="Q14" i="36" l="1"/>
  <c r="D134" i="45"/>
  <c r="Q15" i="36"/>
  <c r="D135" i="45"/>
  <c r="Q16" i="36"/>
  <c r="D136" i="45"/>
  <c r="C138" i="45"/>
  <c r="D136" i="40"/>
  <c r="D134" i="40"/>
  <c r="C135" i="45"/>
  <c r="C136" i="45"/>
  <c r="C137" i="45"/>
  <c r="D135" i="40"/>
  <c r="L16" i="4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D17" i="41" l="1"/>
  <c r="D13" i="35" s="1"/>
  <c r="K47" i="45"/>
  <c r="L46" i="45"/>
  <c r="D148" i="45"/>
  <c r="D16" i="41"/>
  <c r="D12" i="35" s="1"/>
  <c r="E148" i="45"/>
  <c r="B148" i="45"/>
  <c r="J17" i="41"/>
  <c r="J13" i="35" s="1"/>
  <c r="N16" i="4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D134" i="38"/>
  <c r="G31" i="66" s="1"/>
  <c r="AE14" i="2" l="1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S15" i="36"/>
  <c r="F135" i="45"/>
  <c r="B134" i="40"/>
  <c r="S14" i="36"/>
  <c r="F134" i="45"/>
  <c r="P14" i="36"/>
  <c r="C134" i="45"/>
  <c r="C148" i="45" s="1"/>
  <c r="F15" i="12"/>
  <c r="E15" i="12"/>
  <c r="L135" i="40" l="1"/>
  <c r="F17" i="41"/>
  <c r="F148" i="45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3" i="35" l="1"/>
  <c r="F12" i="35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E132" i="45"/>
  <c r="E133" i="45"/>
  <c r="G132" i="45"/>
  <c r="G133" i="45"/>
  <c r="D132" i="45"/>
  <c r="D133" i="45"/>
  <c r="B132" i="45"/>
  <c r="B133" i="45"/>
  <c r="G131" i="45"/>
  <c r="B131" i="45"/>
  <c r="G150" i="45" l="1"/>
  <c r="B150" i="45"/>
  <c r="L44" i="16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P131" i="38"/>
  <c r="D131" i="45" s="1"/>
  <c r="D150" i="45" s="1"/>
  <c r="G10" i="7"/>
  <c r="H10" i="7" s="1"/>
  <c r="D131" i="40" l="1"/>
  <c r="C131" i="45"/>
  <c r="C133" i="45"/>
  <c r="J131" i="40"/>
  <c r="E131" i="45"/>
  <c r="E150" i="45" s="1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C150" i="45" l="1"/>
  <c r="J12" i="14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P128" i="38"/>
  <c r="D128" i="40" s="1"/>
  <c r="P129" i="38"/>
  <c r="D129" i="40" s="1"/>
  <c r="P130" i="38"/>
  <c r="D130" i="40" s="1"/>
  <c r="B129" i="38"/>
  <c r="B128" i="38"/>
  <c r="B130" i="38"/>
  <c r="L17" i="41" l="1"/>
  <c r="E30" i="66"/>
  <c r="L15" i="41"/>
  <c r="J130" i="40"/>
  <c r="J129" i="40"/>
  <c r="J128" i="40"/>
  <c r="N17" i="41" l="1"/>
  <c r="Q17" i="41"/>
  <c r="O17" i="41"/>
  <c r="L13" i="35"/>
  <c r="Q15" i="4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P13" i="35" l="1"/>
  <c r="F150" i="45"/>
  <c r="N8" i="2"/>
  <c r="AK8" i="2" s="1"/>
  <c r="N9" i="2"/>
  <c r="AK9" i="2" s="1"/>
  <c r="AT14" i="2" s="1"/>
  <c r="N7" i="2"/>
  <c r="AK7" i="2" s="1"/>
  <c r="N10" i="2"/>
  <c r="AK10" i="2" s="1"/>
  <c r="AT13" i="2" s="1"/>
  <c r="R9" i="36"/>
  <c r="D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U6" i="36"/>
  <c r="BW6" i="36"/>
  <c r="BX6" i="36"/>
  <c r="BY6" i="36"/>
  <c r="BR6" i="36"/>
  <c r="CF6" i="36"/>
  <c r="CH6" i="36"/>
  <c r="CJ6" i="36"/>
  <c r="CK6" i="36"/>
  <c r="CL6" i="36"/>
  <c r="CE6" i="36"/>
  <c r="CH3" i="36"/>
  <c r="CL3" i="36"/>
  <c r="CF2" i="36"/>
  <c r="CH2" i="36"/>
  <c r="CJ2" i="36"/>
  <c r="CK2" i="36"/>
  <c r="CL2" i="36"/>
  <c r="CE2" i="36"/>
  <c r="BU3" i="36"/>
  <c r="BY3" i="36"/>
  <c r="CA2" i="36"/>
  <c r="BS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K5" i="36"/>
  <c r="AN5" i="36"/>
  <c r="AO5" i="36"/>
  <c r="AQ5" i="36"/>
  <c r="AI6" i="36"/>
  <c r="AK6" i="36"/>
  <c r="AL6" i="36"/>
  <c r="AN6" i="36"/>
  <c r="AO6" i="36"/>
  <c r="AI7" i="36"/>
  <c r="AK7" i="36"/>
  <c r="AL7" i="36"/>
  <c r="AO7" i="36"/>
  <c r="AQ7" i="36"/>
  <c r="AM8" i="36"/>
  <c r="AN8" i="36"/>
  <c r="AI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Q8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S127" i="38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L3" i="39" l="1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L82" i="39"/>
  <c r="L2" i="39"/>
  <c r="B128" i="36"/>
  <c r="BH2" i="36" l="1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R127" i="38"/>
  <c r="CI2" i="36" l="1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O62" i="38"/>
  <c r="O59" i="38"/>
  <c r="O55" i="38"/>
  <c r="O47" i="38"/>
  <c r="N66" i="38"/>
  <c r="N62" i="38"/>
  <c r="D62" i="40" s="1"/>
  <c r="N59" i="38"/>
  <c r="N54" i="38"/>
  <c r="N51" i="38"/>
  <c r="N47" i="38"/>
  <c r="M55" i="38"/>
  <c r="M54" i="38"/>
  <c r="D54" i="40" s="1"/>
  <c r="M51" i="38"/>
  <c r="M49" i="38"/>
  <c r="K49" i="40" s="1"/>
  <c r="M47" i="38"/>
  <c r="E15" i="41"/>
  <c r="E11" i="35" s="1"/>
  <c r="I15" i="41"/>
  <c r="I11" i="35" s="1"/>
  <c r="H15" i="41"/>
  <c r="H11" i="35" s="1"/>
  <c r="K107" i="38"/>
  <c r="K105" i="38"/>
  <c r="K103" i="38"/>
  <c r="K102" i="38"/>
  <c r="K100" i="38"/>
  <c r="D100" i="40" s="1"/>
  <c r="K99" i="38"/>
  <c r="D99" i="40" s="1"/>
  <c r="K98" i="38"/>
  <c r="D98" i="40" s="1"/>
  <c r="K97" i="38"/>
  <c r="D97" i="40" s="1"/>
  <c r="K96" i="38"/>
  <c r="K95" i="38"/>
  <c r="D95" i="40" s="1"/>
  <c r="K94" i="38"/>
  <c r="D94" i="40" s="1"/>
  <c r="K92" i="38"/>
  <c r="D92" i="40" s="1"/>
  <c r="K91" i="38"/>
  <c r="D91" i="40" s="1"/>
  <c r="K90" i="38"/>
  <c r="K89" i="38"/>
  <c r="K88" i="38"/>
  <c r="D88" i="40" s="1"/>
  <c r="K86" i="38"/>
  <c r="D86" i="40" s="1"/>
  <c r="K85" i="38"/>
  <c r="K84" i="38"/>
  <c r="K79" i="38"/>
  <c r="K78" i="38"/>
  <c r="D78" i="40" s="1"/>
  <c r="K77" i="38"/>
  <c r="D77" i="40" s="1"/>
  <c r="K76" i="38"/>
  <c r="K74" i="38"/>
  <c r="D74" i="40" s="1"/>
  <c r="K71" i="38"/>
  <c r="D71" i="40" s="1"/>
  <c r="K70" i="38"/>
  <c r="D70" i="40" s="1"/>
  <c r="K69" i="38"/>
  <c r="D69" i="40" s="1"/>
  <c r="K67" i="38"/>
  <c r="D67" i="40" s="1"/>
  <c r="K64" i="38"/>
  <c r="D64" i="40" s="1"/>
  <c r="K58" i="38"/>
  <c r="D58" i="40" s="1"/>
  <c r="K55" i="38"/>
  <c r="K53" i="38"/>
  <c r="D53" i="40" s="1"/>
  <c r="K50" i="38"/>
  <c r="D50" i="40" s="1"/>
  <c r="K48" i="38"/>
  <c r="K46" i="38"/>
  <c r="D46" i="40" s="1"/>
  <c r="K44" i="38"/>
  <c r="K42" i="38"/>
  <c r="D42" i="40" s="1"/>
  <c r="K40" i="38"/>
  <c r="K36" i="38"/>
  <c r="K35" i="38"/>
  <c r="K34" i="38"/>
  <c r="K33" i="38"/>
  <c r="K32" i="38"/>
  <c r="K31" i="38"/>
  <c r="K30" i="38"/>
  <c r="K29" i="38"/>
  <c r="K28" i="38"/>
  <c r="K27" i="38"/>
  <c r="K26" i="38"/>
  <c r="K25" i="38"/>
  <c r="K24" i="38"/>
  <c r="K23" i="38"/>
  <c r="K22" i="38"/>
  <c r="K21" i="38"/>
  <c r="K20" i="38"/>
  <c r="K19" i="38"/>
  <c r="K18" i="38"/>
  <c r="K17" i="38"/>
  <c r="K16" i="38"/>
  <c r="K15" i="38"/>
  <c r="K14" i="38"/>
  <c r="K13" i="38"/>
  <c r="K12" i="38"/>
  <c r="K11" i="38"/>
  <c r="K10" i="38"/>
  <c r="K9" i="38"/>
  <c r="K8" i="38"/>
  <c r="K7" i="38"/>
  <c r="K6" i="38"/>
  <c r="K5" i="38"/>
  <c r="K4" i="38"/>
  <c r="K3" i="38"/>
  <c r="K2" i="38"/>
  <c r="J118" i="38"/>
  <c r="J55" i="38"/>
  <c r="J43" i="38"/>
  <c r="D43" i="40" s="1"/>
  <c r="J31" i="38"/>
  <c r="J19" i="38"/>
  <c r="J7" i="38"/>
  <c r="D55" i="40" l="1"/>
  <c r="D51" i="40"/>
  <c r="D7" i="40"/>
  <c r="K35" i="40"/>
  <c r="K4" i="40"/>
  <c r="D4" i="40"/>
  <c r="K20" i="40"/>
  <c r="D20" i="40"/>
  <c r="K36" i="40"/>
  <c r="D19" i="40"/>
  <c r="K5" i="40"/>
  <c r="D5" i="40"/>
  <c r="K13" i="40"/>
  <c r="D13" i="40"/>
  <c r="K21" i="40"/>
  <c r="D21" i="40"/>
  <c r="K29" i="40"/>
  <c r="D29" i="40"/>
  <c r="K40" i="40"/>
  <c r="D31" i="40"/>
  <c r="K6" i="40"/>
  <c r="D6" i="40"/>
  <c r="K14" i="40"/>
  <c r="D14" i="40"/>
  <c r="K22" i="40"/>
  <c r="D22" i="40"/>
  <c r="K30" i="40"/>
  <c r="D30" i="40"/>
  <c r="D47" i="40"/>
  <c r="D59" i="40"/>
  <c r="K16" i="40"/>
  <c r="D16" i="40"/>
  <c r="K32" i="40"/>
  <c r="K118" i="40"/>
  <c r="D118" i="40"/>
  <c r="K9" i="40"/>
  <c r="D9" i="40"/>
  <c r="K17" i="40"/>
  <c r="D17" i="40"/>
  <c r="K25" i="40"/>
  <c r="D25" i="40"/>
  <c r="K3" i="40"/>
  <c r="D3" i="40"/>
  <c r="K15" i="40"/>
  <c r="D15" i="40"/>
  <c r="K23" i="40"/>
  <c r="D23" i="40"/>
  <c r="K33" i="40"/>
  <c r="K24" i="40"/>
  <c r="D24" i="40"/>
  <c r="K2" i="40"/>
  <c r="D2" i="40"/>
  <c r="K10" i="40"/>
  <c r="D10" i="40"/>
  <c r="K18" i="40"/>
  <c r="D18" i="40"/>
  <c r="K26" i="40"/>
  <c r="D26" i="40"/>
  <c r="K34" i="40"/>
  <c r="K11" i="40"/>
  <c r="D11" i="40"/>
  <c r="K8" i="40"/>
  <c r="D8" i="40"/>
  <c r="K27" i="40"/>
  <c r="D27" i="40"/>
  <c r="K12" i="40"/>
  <c r="D12" i="40"/>
  <c r="K28" i="40"/>
  <c r="D28" i="40"/>
  <c r="P11" i="35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L47" i="40" l="1"/>
  <c r="CN2" i="36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K17" i="41" s="1"/>
  <c r="R126" i="38"/>
  <c r="R125" i="38"/>
  <c r="K76" i="40"/>
  <c r="H48" i="38"/>
  <c r="D48" i="40" s="1"/>
  <c r="H44" i="38"/>
  <c r="D44" i="40" s="1"/>
  <c r="K13" i="35" l="1"/>
  <c r="M13" i="35" s="1"/>
  <c r="M17" i="41"/>
  <c r="P17" i="41" s="1"/>
  <c r="K74" i="40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P127" i="38"/>
  <c r="D127" i="38"/>
  <c r="G23" i="66" s="1"/>
  <c r="H23" i="66" s="1"/>
  <c r="I23" i="66" s="1"/>
  <c r="P126" i="38"/>
  <c r="D126" i="38"/>
  <c r="G22" i="66" s="1"/>
  <c r="H22" i="66" s="1"/>
  <c r="I22" i="66" s="1"/>
  <c r="P125" i="38"/>
  <c r="D125" i="38"/>
  <c r="G21" i="66" s="1"/>
  <c r="H21" i="66" s="1"/>
  <c r="I21" i="66" s="1"/>
  <c r="R124" i="38"/>
  <c r="P124" i="38"/>
  <c r="V124" i="38"/>
  <c r="G124" i="38"/>
  <c r="F124" i="38"/>
  <c r="E124" i="38"/>
  <c r="D124" i="38"/>
  <c r="G20" i="66" s="1"/>
  <c r="H20" i="66" s="1"/>
  <c r="I20" i="66" s="1"/>
  <c r="R123" i="38"/>
  <c r="P123" i="38"/>
  <c r="G123" i="38"/>
  <c r="F123" i="38"/>
  <c r="E123" i="38"/>
  <c r="D123" i="38"/>
  <c r="G19" i="66" s="1"/>
  <c r="H19" i="66" s="1"/>
  <c r="I19" i="66" s="1"/>
  <c r="R122" i="38"/>
  <c r="Q2" i="36" s="1"/>
  <c r="D122" i="38"/>
  <c r="G18" i="66" s="1"/>
  <c r="P119" i="38"/>
  <c r="D119" i="40" s="1"/>
  <c r="P116" i="38"/>
  <c r="D116" i="40" s="1"/>
  <c r="P113" i="38"/>
  <c r="D113" i="40" s="1"/>
  <c r="P111" i="38"/>
  <c r="D111" i="40" s="1"/>
  <c r="P109" i="38"/>
  <c r="D109" i="40" s="1"/>
  <c r="P108" i="38"/>
  <c r="D108" i="40" s="1"/>
  <c r="P107" i="38"/>
  <c r="D107" i="40" s="1"/>
  <c r="P105" i="38"/>
  <c r="D105" i="40" s="1"/>
  <c r="P103" i="38"/>
  <c r="D103" i="40" s="1"/>
  <c r="P102" i="38"/>
  <c r="D102" i="40" s="1"/>
  <c r="P96" i="38"/>
  <c r="D96" i="40" s="1"/>
  <c r="P93" i="38"/>
  <c r="D93" i="40" s="1"/>
  <c r="P90" i="38"/>
  <c r="D90" i="40" s="1"/>
  <c r="P89" i="38"/>
  <c r="D89" i="40" s="1"/>
  <c r="P87" i="38"/>
  <c r="D87" i="40" s="1"/>
  <c r="P85" i="38"/>
  <c r="D85" i="40" s="1"/>
  <c r="P84" i="38"/>
  <c r="D84" i="40" s="1"/>
  <c r="P79" i="38"/>
  <c r="D79" i="40" s="1"/>
  <c r="G76" i="40"/>
  <c r="P76" i="38"/>
  <c r="D76" i="38"/>
  <c r="D74" i="38"/>
  <c r="P72" i="38"/>
  <c r="D72" i="40" s="1"/>
  <c r="R68" i="38"/>
  <c r="G68" i="40" s="1"/>
  <c r="P68" i="38"/>
  <c r="P66" i="38"/>
  <c r="D66" i="40" s="1"/>
  <c r="P65" i="38"/>
  <c r="D65" i="40" s="1"/>
  <c r="P63" i="38"/>
  <c r="D63" i="40" s="1"/>
  <c r="G49" i="38"/>
  <c r="U40" i="38"/>
  <c r="D40" i="40" s="1"/>
  <c r="D39" i="38"/>
  <c r="U39" i="38"/>
  <c r="D39" i="40" s="1"/>
  <c r="U38" i="38"/>
  <c r="D38" i="40" s="1"/>
  <c r="D37" i="38"/>
  <c r="U37" i="38"/>
  <c r="D37" i="40" s="1"/>
  <c r="D36" i="38"/>
  <c r="U36" i="38"/>
  <c r="D36" i="40" s="1"/>
  <c r="D35" i="38"/>
  <c r="U35" i="38"/>
  <c r="D35" i="40" s="1"/>
  <c r="D34" i="38"/>
  <c r="U34" i="38"/>
  <c r="D34" i="40" s="1"/>
  <c r="D33" i="38"/>
  <c r="U33" i="38"/>
  <c r="D33" i="40" s="1"/>
  <c r="D32" i="38"/>
  <c r="U32" i="38"/>
  <c r="D32" i="40" s="1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BT6" i="36" l="1"/>
  <c r="D125" i="40"/>
  <c r="AJ5" i="36" s="1"/>
  <c r="Q5" i="36"/>
  <c r="D126" i="40"/>
  <c r="AJ6" i="36" s="1"/>
  <c r="Q6" i="36"/>
  <c r="D127" i="40"/>
  <c r="AJ7" i="36" s="1"/>
  <c r="Q7" i="36"/>
  <c r="D122" i="40"/>
  <c r="AJ2" i="36" s="1"/>
  <c r="R2" i="36"/>
  <c r="CG6" i="36"/>
  <c r="J76" i="40"/>
  <c r="D76" i="40"/>
  <c r="D14" i="41"/>
  <c r="D10" i="35" s="1"/>
  <c r="BT2" i="36"/>
  <c r="CG2" i="36"/>
  <c r="D68" i="40"/>
  <c r="O13" i="35"/>
  <c r="Q13" i="35"/>
  <c r="G30" i="66"/>
  <c r="H18" i="66"/>
  <c r="B2" i="40"/>
  <c r="L2" i="40" s="1"/>
  <c r="B3" i="40"/>
  <c r="L3" i="40" s="1"/>
  <c r="B4" i="40"/>
  <c r="L4" i="40" s="1"/>
  <c r="B5" i="40"/>
  <c r="L5" i="40" s="1"/>
  <c r="B6" i="40"/>
  <c r="L6" i="40" s="1"/>
  <c r="B7" i="40"/>
  <c r="L7" i="40" s="1"/>
  <c r="B8" i="40"/>
  <c r="L8" i="40" s="1"/>
  <c r="B9" i="40"/>
  <c r="L9" i="40" s="1"/>
  <c r="B10" i="40"/>
  <c r="L10" i="40" s="1"/>
  <c r="B11" i="40"/>
  <c r="L11" i="40" s="1"/>
  <c r="B12" i="40"/>
  <c r="L12" i="40" s="1"/>
  <c r="B13" i="40"/>
  <c r="L13" i="40" s="1"/>
  <c r="B14" i="40"/>
  <c r="L14" i="40" s="1"/>
  <c r="B15" i="40"/>
  <c r="L15" i="40" s="1"/>
  <c r="B16" i="40"/>
  <c r="L16" i="40" s="1"/>
  <c r="B17" i="40"/>
  <c r="L17" i="40" s="1"/>
  <c r="B18" i="40"/>
  <c r="L18" i="40" s="1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P5" i="36"/>
  <c r="P6" i="36"/>
  <c r="P3" i="36"/>
  <c r="P4" i="36"/>
  <c r="P7" i="36"/>
  <c r="Q4" i="36"/>
  <c r="Q3" i="36"/>
  <c r="R3" i="36"/>
  <c r="P2" i="36"/>
  <c r="T2" i="36"/>
  <c r="AL8" i="36"/>
  <c r="BH5" i="36"/>
  <c r="L86" i="39"/>
  <c r="B84" i="39"/>
  <c r="O82" i="39"/>
  <c r="B82" i="39"/>
  <c r="L68" i="40" l="1"/>
  <c r="B15" i="41"/>
  <c r="I18" i="66"/>
  <c r="I30" i="66" s="1"/>
  <c r="H30" i="66"/>
  <c r="AB2" i="36"/>
  <c r="F121" i="40"/>
  <c r="AZ3" i="36"/>
  <c r="BH3" i="36"/>
  <c r="BH4" i="36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tc={DB5A8E93-33ED-C042-B183-0C2C4D940F19}</author>
    <author>tc={2E0DB3E0-D2B1-A248-A167-74D3D86A69A2}</author>
    <author>tc={3E2FABC6-5229-9F46-8604-41A2EDB9263E}</author>
    <author>tc={8D9E8BF0-9664-B343-9C5B-0AD1528B561A}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D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E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G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J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K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L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M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N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O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P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Q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R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T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V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W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X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Y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Z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T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T120" authorId="12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20" authorId="13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0" authorId="14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0" authorId="15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V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P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P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P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T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Z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Y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Z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<sst xmlns="http://schemas.openxmlformats.org/spreadsheetml/2006/main" count="1952" uniqueCount="744">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</sst>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1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  <xf numFmtId="3" fontId="4" fillId="0" borderId="5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  <c:pt idx="10">
                  <c:v>1493.6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  <c:pt idx="10">
                  <c:v>945494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61584.5</c:v>
                </c:pt>
                <c:pt idx="3">
                  <c:v>64879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60898</c:v>
                </c:pt>
                <c:pt idx="3">
                  <c:v>72672.600000000006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81832.350000000006</c:v>
                </c:pt>
                <c:pt idx="3">
                  <c:v>95840.950000000012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63851.1</c:v>
                </c:pt>
                <c:pt idx="3">
                  <c:v>78116.100000000006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51652.299999999996</c:v>
                </c:pt>
                <c:pt idx="3">
                  <c:v>81080.899999999994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62198.8</c:v>
                </c:pt>
                <c:pt idx="3">
                  <c:v>82035.099999999991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68877.3</c:v>
                </c:pt>
                <c:pt idx="3">
                  <c:v>79614.7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54675.199999999997</c:v>
                </c:pt>
                <c:pt idx="3">
                  <c:v>74568.599999999991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57105.4</c:v>
                </c:pt>
                <c:pt idx="3">
                  <c:v>85301.800000000017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52848.600000000006</c:v>
                </c:pt>
                <c:pt idx="3">
                  <c:v>76413.400000000009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46277.9</c:v>
                </c:pt>
                <c:pt idx="3">
                  <c:v>73661.899999999994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58071.199999999997</c:v>
                </c:pt>
                <c:pt idx="3">
                  <c:v>68850.399999999994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63739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71197.5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95299.35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91.6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76415.600000000006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79550.2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27.2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80093.099999999991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78479.199999999997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73507.799999999988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320.7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83949.200000000012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75206.600000000006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73151.199999999997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68048.2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33.700000000000003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0.25171664598092791</c:v>
                </c:pt>
                <c:pt idx="1">
                  <c:v>0.4176724460221764</c:v>
                </c:pt>
                <c:pt idx="2">
                  <c:v>9.2254119827582554E-2</c:v>
                </c:pt>
                <c:pt idx="3">
                  <c:v>0.13441550776415701</c:v>
                </c:pt>
                <c:pt idx="4">
                  <c:v>7.0510346641365129E-2</c:v>
                </c:pt>
                <c:pt idx="5">
                  <c:v>3.3430933763790881E-2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12331</c:v>
                </c:pt>
                <c:pt idx="1">
                  <c:v>13196</c:v>
                </c:pt>
                <c:pt idx="2">
                  <c:v>11978</c:v>
                </c:pt>
                <c:pt idx="3">
                  <c:v>11422</c:v>
                </c:pt>
                <c:pt idx="4">
                  <c:v>12557</c:v>
                </c:pt>
                <c:pt idx="5">
                  <c:v>11838</c:v>
                </c:pt>
                <c:pt idx="6">
                  <c:v>14191</c:v>
                </c:pt>
                <c:pt idx="7">
                  <c:v>12749</c:v>
                </c:pt>
                <c:pt idx="8">
                  <c:v>12531</c:v>
                </c:pt>
                <c:pt idx="9">
                  <c:v>13034</c:v>
                </c:pt>
                <c:pt idx="10">
                  <c:v>12407</c:v>
                </c:pt>
                <c:pt idx="11">
                  <c:v>14252</c:v>
                </c:pt>
                <c:pt idx="12">
                  <c:v>15030</c:v>
                </c:pt>
                <c:pt idx="13">
                  <c:v>12985</c:v>
                </c:pt>
                <c:pt idx="14">
                  <c:v>13164</c:v>
                </c:pt>
                <c:pt idx="15">
                  <c:v>13435</c:v>
                </c:pt>
                <c:pt idx="16">
                  <c:v>13422</c:v>
                </c:pt>
                <c:pt idx="17">
                  <c:v>9823</c:v>
                </c:pt>
                <c:pt idx="18">
                  <c:v>9495</c:v>
                </c:pt>
                <c:pt idx="19">
                  <c:v>9308</c:v>
                </c:pt>
                <c:pt idx="20">
                  <c:v>10020</c:v>
                </c:pt>
                <c:pt idx="21">
                  <c:v>10130</c:v>
                </c:pt>
                <c:pt idx="22">
                  <c:v>10024</c:v>
                </c:pt>
                <c:pt idx="23">
                  <c:v>11052</c:v>
                </c:pt>
                <c:pt idx="24">
                  <c:v>12231</c:v>
                </c:pt>
                <c:pt idx="25">
                  <c:v>11893</c:v>
                </c:pt>
                <c:pt idx="26">
                  <c:v>11445</c:v>
                </c:pt>
                <c:pt idx="27">
                  <c:v>11105</c:v>
                </c:pt>
                <c:pt idx="28">
                  <c:v>9350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69057.948999999993</c:v>
                </c:pt>
                <c:pt idx="1">
                  <c:v>74682.319999999992</c:v>
                </c:pt>
                <c:pt idx="2">
                  <c:v>75092.364000000001</c:v>
                </c:pt>
                <c:pt idx="3">
                  <c:v>62971.978000000003</c:v>
                </c:pt>
                <c:pt idx="4">
                  <c:v>80676.23</c:v>
                </c:pt>
                <c:pt idx="5">
                  <c:v>55565.461000000003</c:v>
                </c:pt>
                <c:pt idx="6">
                  <c:v>76888.663</c:v>
                </c:pt>
                <c:pt idx="7">
                  <c:v>83742.706000000006</c:v>
                </c:pt>
                <c:pt idx="8">
                  <c:v>76461.664999999994</c:v>
                </c:pt>
                <c:pt idx="9">
                  <c:v>77281.968000000008</c:v>
                </c:pt>
                <c:pt idx="10">
                  <c:v>83859.218000000008</c:v>
                </c:pt>
                <c:pt idx="11">
                  <c:v>90350.093000000008</c:v>
                </c:pt>
                <c:pt idx="12">
                  <c:v>80373.05</c:v>
                </c:pt>
                <c:pt idx="13">
                  <c:v>95334.35</c:v>
                </c:pt>
                <c:pt idx="14">
                  <c:v>92044.383999999991</c:v>
                </c:pt>
                <c:pt idx="15">
                  <c:v>92562.237000000008</c:v>
                </c:pt>
                <c:pt idx="16">
                  <c:v>89140.65</c:v>
                </c:pt>
                <c:pt idx="17">
                  <c:v>53031.481</c:v>
                </c:pt>
                <c:pt idx="18">
                  <c:v>63623.15</c:v>
                </c:pt>
                <c:pt idx="19">
                  <c:v>67926.381000000008</c:v>
                </c:pt>
                <c:pt idx="20">
                  <c:v>79137.350000000006</c:v>
                </c:pt>
                <c:pt idx="21">
                  <c:v>76702.8</c:v>
                </c:pt>
                <c:pt idx="22">
                  <c:v>69475.95</c:v>
                </c:pt>
                <c:pt idx="23">
                  <c:v>81234.25</c:v>
                </c:pt>
                <c:pt idx="24">
                  <c:v>88390.85</c:v>
                </c:pt>
                <c:pt idx="25">
                  <c:v>91572.55</c:v>
                </c:pt>
                <c:pt idx="26">
                  <c:v>93234.5</c:v>
                </c:pt>
                <c:pt idx="27">
                  <c:v>95239</c:v>
                </c:pt>
                <c:pt idx="28">
                  <c:v>88728</c:v>
                </c:pt>
                <c:pt idx="29">
                  <c:v>68279.399999999994</c:v>
                </c:pt>
                <c:pt idx="30">
                  <c:v>83136.3</c:v>
                </c:pt>
                <c:pt idx="31">
                  <c:v>78858.75</c:v>
                </c:pt>
                <c:pt idx="32">
                  <c:v>83077.899999999994</c:v>
                </c:pt>
                <c:pt idx="33">
                  <c:v>85000.05</c:v>
                </c:pt>
                <c:pt idx="34">
                  <c:v>63739</c:v>
                </c:pt>
                <c:pt idx="35">
                  <c:v>71197.5</c:v>
                </c:pt>
                <c:pt idx="36">
                  <c:v>95299.35</c:v>
                </c:pt>
                <c:pt idx="37">
                  <c:v>76415.600000000006</c:v>
                </c:pt>
                <c:pt idx="38">
                  <c:v>79550.2</c:v>
                </c:pt>
                <c:pt idx="39">
                  <c:v>80093.099999999991</c:v>
                </c:pt>
                <c:pt idx="40">
                  <c:v>78479.199999999997</c:v>
                </c:pt>
                <c:pt idx="41">
                  <c:v>73507.799999999988</c:v>
                </c:pt>
                <c:pt idx="42">
                  <c:v>83949.200000000012</c:v>
                </c:pt>
                <c:pt idx="43">
                  <c:v>75206.600000000006</c:v>
                </c:pt>
                <c:pt idx="44">
                  <c:v>73151.199999999997</c:v>
                </c:pt>
                <c:pt idx="45">
                  <c:v>68048.2</c:v>
                </c:pt>
                <c:pt idx="46">
                  <c:v>73773</c:v>
                </c:pt>
                <c:pt idx="47">
                  <c:v>82941.7</c:v>
                </c:pt>
                <c:pt idx="48">
                  <c:v>84378.3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83.199000000000012</c:v>
                </c:pt>
                <c:pt idx="1">
                  <c:v>57.620000000000005</c:v>
                </c:pt>
                <c:pt idx="2">
                  <c:v>84.213999999999999</c:v>
                </c:pt>
                <c:pt idx="3">
                  <c:v>67.927999999999997</c:v>
                </c:pt>
                <c:pt idx="4">
                  <c:v>79.680000000000007</c:v>
                </c:pt>
                <c:pt idx="5">
                  <c:v>3.911</c:v>
                </c:pt>
                <c:pt idx="6">
                  <c:v>78.063000000000002</c:v>
                </c:pt>
                <c:pt idx="7">
                  <c:v>120.956</c:v>
                </c:pt>
                <c:pt idx="8">
                  <c:v>129.36500000000001</c:v>
                </c:pt>
                <c:pt idx="9">
                  <c:v>84.268000000000001</c:v>
                </c:pt>
                <c:pt idx="10">
                  <c:v>104.36799999999999</c:v>
                </c:pt>
                <c:pt idx="11">
                  <c:v>122.14300000000001</c:v>
                </c:pt>
                <c:pt idx="12">
                  <c:v>67</c:v>
                </c:pt>
                <c:pt idx="13">
                  <c:v>0</c:v>
                </c:pt>
                <c:pt idx="14">
                  <c:v>173.63400000000001</c:v>
                </c:pt>
                <c:pt idx="15">
                  <c:v>80.787000000000006</c:v>
                </c:pt>
                <c:pt idx="16">
                  <c:v>0</c:v>
                </c:pt>
                <c:pt idx="17">
                  <c:v>126.331</c:v>
                </c:pt>
                <c:pt idx="18">
                  <c:v>0</c:v>
                </c:pt>
                <c:pt idx="19">
                  <c:v>72.981000000000009</c:v>
                </c:pt>
                <c:pt idx="20">
                  <c:v>0</c:v>
                </c:pt>
                <c:pt idx="21">
                  <c:v>102</c:v>
                </c:pt>
                <c:pt idx="22">
                  <c:v>435</c:v>
                </c:pt>
                <c:pt idx="23">
                  <c:v>165</c:v>
                </c:pt>
                <c:pt idx="24">
                  <c:v>61.6</c:v>
                </c:pt>
                <c:pt idx="25">
                  <c:v>67</c:v>
                </c:pt>
                <c:pt idx="26">
                  <c:v>110.5</c:v>
                </c:pt>
                <c:pt idx="27">
                  <c:v>118</c:v>
                </c:pt>
                <c:pt idx="28">
                  <c:v>9.5</c:v>
                </c:pt>
                <c:pt idx="29">
                  <c:v>109.4</c:v>
                </c:pt>
                <c:pt idx="30">
                  <c:v>128.5</c:v>
                </c:pt>
                <c:pt idx="31">
                  <c:v>54.5</c:v>
                </c:pt>
                <c:pt idx="32">
                  <c:v>105</c:v>
                </c:pt>
                <c:pt idx="33">
                  <c:v>65</c:v>
                </c:pt>
                <c:pt idx="34">
                  <c:v>0</c:v>
                </c:pt>
                <c:pt idx="35">
                  <c:v>21.1</c:v>
                </c:pt>
                <c:pt idx="36">
                  <c:v>91.6</c:v>
                </c:pt>
                <c:pt idx="37">
                  <c:v>77</c:v>
                </c:pt>
                <c:pt idx="38">
                  <c:v>27.2</c:v>
                </c:pt>
                <c:pt idx="39">
                  <c:v>0</c:v>
                </c:pt>
                <c:pt idx="40">
                  <c:v>505</c:v>
                </c:pt>
                <c:pt idx="41">
                  <c:v>320.7</c:v>
                </c:pt>
                <c:pt idx="42">
                  <c:v>32.6</c:v>
                </c:pt>
                <c:pt idx="43">
                  <c:v>272.8</c:v>
                </c:pt>
                <c:pt idx="44">
                  <c:v>150.69999999999999</c:v>
                </c:pt>
                <c:pt idx="45">
                  <c:v>33.700000000000003</c:v>
                </c:pt>
                <c:pt idx="46">
                  <c:v>11.7</c:v>
                </c:pt>
                <c:pt idx="47">
                  <c:v>126.2</c:v>
                </c:pt>
                <c:pt idx="48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L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L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M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N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O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T1" dT="2025-02-26T02:20:25.99" personId="{3755386D-89B5-DA48-87BF-491797B92A51}" id="{E7C81AB6-8B8F-D349-A1B3-97ABC48480B0}">
    <text xml:space="preserve">From Nixon
</text>
  </threadedComment>
  <threadedComment ref="T111" dT="2024-01-11T07:54:34.05" personId="{E5A5185B-5DC6-A34D-B229-89FBC887B204}" id="{A8B5FC4D-47AD-6744-8B0F-68CCC59E403C}">
    <text>Not available</text>
  </threadedComment>
  <threadedComment ref="T113" dT="2024-01-11T07:54:39.30" personId="{E5A5185B-5DC6-A34D-B229-89FBC887B204}" id="{EA27A9C4-1CFF-DF49-A330-EF756325CEFC}">
    <text>Not available</text>
  </threadedComment>
  <threadedComment ref="T115" dT="2024-01-11T07:54:45.35" personId="{E5A5185B-5DC6-A34D-B229-89FBC887B204}" id="{58851594-216E-0C4F-A4CE-6A75F27A6A44}">
    <text>Not available</text>
  </threadedComment>
  <threadedComment ref="V116" dT="2024-01-03T04:48:36.47" personId="{5E674B0A-7174-F64A-87F6-0DEAF666D9C4}" id="{E676DAE1-8B92-E444-8E49-F7FDE71E4963}">
    <text>Data updated to match actual receipts</text>
  </threadedComment>
  <threadedComment ref="V118" dT="2024-01-03T04:48:41.80" personId="{5E674B0A-7174-F64A-87F6-0DEAF666D9C4}" id="{02BC4A65-D9B0-8E4D-8375-AC4400CA076A}">
    <text>Data updated to match actual receipts</text>
  </threadedComment>
  <threadedComment ref="V119" dT="2024-01-03T04:48:48.65" personId="{5E674B0A-7174-F64A-87F6-0DEAF666D9C4}" id="{E940BA26-BD25-084A-B075-57C671CF7D3A}">
    <text>Data updated to match actual receipts</text>
  </threadedComment>
  <threadedComment ref="T120" dT="2024-01-11T07:54:49.99" personId="{E5A5185B-5DC6-A34D-B229-89FBC887B204}" id="{DB5A8E93-33ED-C042-B183-0C2C4D940F19}">
    <text>Not available</text>
  </threadedComment>
  <threadedComment ref="V120" dT="2024-01-03T04:48:54.32" personId="{5E674B0A-7174-F64A-87F6-0DEAF666D9C4}" id="{2E0DB3E0-D2B1-A248-A167-74D3D86A69A2}">
    <text>Data updated to match actual receipts</text>
  </threadedComment>
  <threadedComment ref="Y120" dT="2023-11-14T06:22:40.76" personId="{E84AD44B-5929-324A-9497-3536122BE7BB}" id="{3E2FABC6-5229-9F46-8604-41A2EDB9263E}">
    <text>Previously 800</text>
  </threadedComment>
  <threadedComment ref="Z120" dT="2023-11-14T06:22:27.07" personId="{E84AD44B-5929-324A-9497-3536122BE7BB}" id="{8D9E8BF0-9664-B343-9C5B-0AD1528B561A}">
    <text>Previously 400</text>
  </threadedComment>
  <threadedComment ref="V121" dT="2024-01-03T04:48:59.89" personId="{5E674B0A-7174-F64A-87F6-0DEAF666D9C4}" id="{98346250-71E5-A448-905D-FE9C4C37F75E}">
    <text>Data updated to match actual receipts</text>
  </threadedComment>
  <threadedComment ref="Y121" dT="2023-11-14T06:22:54.37" personId="{E84AD44B-5929-324A-9497-3536122BE7BB}" id="{7C331265-08D7-D447-9567-02408AB2E96B}">
    <text>previously 800</text>
  </threadedComment>
  <threadedComment ref="Z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P126" dT="2024-01-03T04:23:56.38" personId="{5E674B0A-7174-F64A-87F6-0DEAF666D9C4}" id="{6D1BAD2F-3A84-534E-AE6B-B019717CADF4}">
    <text>Includes additional printer monitor collection by Huaden</text>
  </threadedComment>
  <threadedComment ref="P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P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P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P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P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P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P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P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P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P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P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P136" dT="2024-10-23T01:09:32.87" personId="{3755386D-89B5-DA48-87BF-491797B92A51}" id="{13E10DB9-4D1C-C847-B1D8-04C5625F951A}">
    <text>Alba added</text>
  </threadedComment>
  <threadedComment ref="T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C3" sqref="C3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707</v>
      </c>
      <c r="E4" s="168" t="s">
        <v>707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708</v>
      </c>
    </row>
    <row r="8" spans="1:5" x14ac:dyDescent="0.2">
      <c r="A8" s="168" t="s">
        <v>7</v>
      </c>
      <c r="C8" s="168" t="s">
        <v>19</v>
      </c>
      <c r="E8" s="168" t="s">
        <v>709</v>
      </c>
    </row>
    <row r="9" spans="1:5" x14ac:dyDescent="0.2">
      <c r="A9" s="168"/>
      <c r="C9" s="168" t="s">
        <v>713</v>
      </c>
      <c r="E9" s="168" t="s">
        <v>710</v>
      </c>
    </row>
    <row r="10" spans="1:5" x14ac:dyDescent="0.2">
      <c r="A10" s="13" t="s">
        <v>25</v>
      </c>
      <c r="C10" s="168" t="s">
        <v>715</v>
      </c>
      <c r="E10" s="168" t="s">
        <v>13</v>
      </c>
    </row>
    <row r="11" spans="1:5" x14ac:dyDescent="0.2">
      <c r="A11" s="168" t="s">
        <v>7</v>
      </c>
      <c r="C11" s="168" t="s">
        <v>717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714</v>
      </c>
      <c r="E14" s="168" t="s">
        <v>21</v>
      </c>
    </row>
    <row r="15" spans="1:5" x14ac:dyDescent="0.2">
      <c r="A15" s="168" t="s">
        <v>24</v>
      </c>
      <c r="E15" s="168" t="s">
        <v>716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718</v>
      </c>
    </row>
    <row r="18" spans="1:5" x14ac:dyDescent="0.2">
      <c r="A18" s="13" t="s">
        <v>27</v>
      </c>
    </row>
    <row r="19" spans="1:5" x14ac:dyDescent="0.2">
      <c r="A19" s="168" t="s">
        <v>712</v>
      </c>
    </row>
    <row r="20" spans="1:5" x14ac:dyDescent="0.2">
      <c r="A20" s="168" t="s">
        <v>711</v>
      </c>
    </row>
    <row r="22" spans="1:5" x14ac:dyDescent="0.2">
      <c r="A22" s="553" t="s">
        <v>706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0"/>
      <c r="AQ12" s="205"/>
    </row>
    <row r="13" spans="1:46" x14ac:dyDescent="0.2">
      <c r="A13" s="133" t="s">
        <v>111</v>
      </c>
      <c r="B13" s="585">
        <f>'Yearly Fuel'!K17</f>
        <v>0</v>
      </c>
      <c r="C13" s="593">
        <f>'Yearly Towngas (TGU)'!I17</f>
        <v>4206293.6698368005</v>
      </c>
      <c r="D13" s="362">
        <f>'Yearly Electricity Reformatted'!Q14</f>
        <v>65366173</v>
      </c>
      <c r="E13" s="585">
        <f>SUM(B13:D13)</f>
        <v>69572466.669836804</v>
      </c>
      <c r="F13" s="585" t="e">
        <f>E13/'Yearly GHG (mCO2)'!G17</f>
        <v>#DIV/0!</v>
      </c>
      <c r="G13" s="585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29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I50" sqref="I50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4" t="s">
        <v>77</v>
      </c>
      <c r="B1" s="587" t="s">
        <v>78</v>
      </c>
      <c r="C1" s="587" t="s">
        <v>79</v>
      </c>
      <c r="D1" s="587" t="s">
        <v>80</v>
      </c>
      <c r="E1" s="587" t="s">
        <v>81</v>
      </c>
      <c r="F1" s="587" t="s">
        <v>82</v>
      </c>
      <c r="G1" s="587" t="s">
        <v>83</v>
      </c>
    </row>
    <row r="2" spans="1:7" x14ac:dyDescent="0.2">
      <c r="A2" s="595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5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5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5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5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5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5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5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5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5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6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6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6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6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6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6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6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6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6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6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6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6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597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597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597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597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597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597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597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597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597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597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597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597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598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598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598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598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598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598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598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598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598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598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598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598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6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6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6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6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6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6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6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6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599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599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599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599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0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1">
        <f t="shared" si="1"/>
        <v>2669752</v>
      </c>
    </row>
    <row r="61" spans="1:9" x14ac:dyDescent="0.2">
      <c r="A61" s="600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1">
        <f t="shared" si="1"/>
        <v>2696025</v>
      </c>
    </row>
    <row r="62" spans="1:9" x14ac:dyDescent="0.2">
      <c r="A62" s="600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1">
        <f t="shared" si="1"/>
        <v>2690637</v>
      </c>
    </row>
    <row r="63" spans="1:9" x14ac:dyDescent="0.2">
      <c r="A63" s="600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1">
        <f t="shared" si="1"/>
        <v>2719163</v>
      </c>
    </row>
    <row r="64" spans="1:9" x14ac:dyDescent="0.2">
      <c r="A64" s="600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1">
        <f t="shared" si="1"/>
        <v>2714781</v>
      </c>
    </row>
    <row r="65" spans="1:7" x14ac:dyDescent="0.2">
      <c r="A65" s="600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1">
        <f>SUM(F65:F76)</f>
        <v>2493435</v>
      </c>
    </row>
    <row r="66" spans="1:7" x14ac:dyDescent="0.2">
      <c r="A66" s="602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1">
        <f t="shared" ref="G66:G73" si="2">SUM(F66:F77)</f>
        <v>2256509</v>
      </c>
    </row>
    <row r="67" spans="1:7" x14ac:dyDescent="0.2">
      <c r="A67" s="602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1">
        <f t="shared" si="2"/>
        <v>2000111</v>
      </c>
    </row>
    <row r="68" spans="1:7" x14ac:dyDescent="0.2">
      <c r="A68" s="602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1">
        <f t="shared" si="2"/>
        <v>1787375</v>
      </c>
    </row>
    <row r="69" spans="1:7" x14ac:dyDescent="0.2">
      <c r="A69" s="602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1">
        <f t="shared" si="2"/>
        <v>1492744</v>
      </c>
    </row>
    <row r="70" spans="1:7" x14ac:dyDescent="0.2">
      <c r="A70" s="602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1">
        <f t="shared" si="2"/>
        <v>1258606</v>
      </c>
    </row>
    <row r="71" spans="1:7" x14ac:dyDescent="0.2">
      <c r="A71" s="602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1">
        <f t="shared" si="2"/>
        <v>1057231</v>
      </c>
    </row>
    <row r="72" spans="1:7" x14ac:dyDescent="0.2">
      <c r="A72" s="603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1">
        <f t="shared" si="2"/>
        <v>872303</v>
      </c>
    </row>
    <row r="73" spans="1:7" x14ac:dyDescent="0.2">
      <c r="A73" s="603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1">
        <f t="shared" si="2"/>
        <v>644061</v>
      </c>
    </row>
    <row r="74" spans="1:7" x14ac:dyDescent="0.2">
      <c r="A74" s="603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1">
        <f>SUM(F74:F85)</f>
        <v>461891</v>
      </c>
    </row>
    <row r="75" spans="1:7" x14ac:dyDescent="0.2">
      <c r="A75" s="603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1">
        <f>SUM(F75:F86)</f>
        <v>228497</v>
      </c>
    </row>
    <row r="76" spans="1:7" x14ac:dyDescent="0.2">
      <c r="A76" s="603">
        <v>46143</v>
      </c>
    </row>
    <row r="77" spans="1:7" x14ac:dyDescent="0.2">
      <c r="A77" s="603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6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4" t="s">
        <v>28</v>
      </c>
      <c r="B1" s="605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07" t="s">
        <v>85</v>
      </c>
    </row>
    <row r="2" spans="1:9" ht="15" x14ac:dyDescent="0.2">
      <c r="A2" s="606" t="s">
        <v>61</v>
      </c>
      <c r="F2" s="310">
        <v>0</v>
      </c>
      <c r="G2" s="310"/>
    </row>
    <row r="3" spans="1:9" ht="15" x14ac:dyDescent="0.2">
      <c r="A3" s="606" t="s">
        <v>63</v>
      </c>
      <c r="F3" s="310">
        <v>0</v>
      </c>
      <c r="G3" s="310"/>
    </row>
    <row r="4" spans="1:9" ht="15" x14ac:dyDescent="0.2">
      <c r="A4" s="606" t="s">
        <v>64</v>
      </c>
      <c r="F4" s="310">
        <v>0</v>
      </c>
      <c r="G4" s="310"/>
    </row>
    <row r="5" spans="1:9" ht="15" x14ac:dyDescent="0.2">
      <c r="A5" s="606" t="s">
        <v>65</v>
      </c>
      <c r="F5" s="310">
        <v>0</v>
      </c>
    </row>
    <row r="6" spans="1:9" ht="15" x14ac:dyDescent="0.2">
      <c r="A6" s="606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6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6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6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6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6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6" t="s">
        <v>111</v>
      </c>
      <c r="B12" s="608">
        <f>SUM('Monthly Renewable'!B66:B77)</f>
        <v>2058995</v>
      </c>
      <c r="C12" s="608">
        <f>SUM('Monthly Renewable'!C66:C77)</f>
        <v>67909</v>
      </c>
      <c r="D12" s="608">
        <f>SUM('Monthly Renewable'!D66:D77)</f>
        <v>118759</v>
      </c>
      <c r="E12" s="608">
        <f>SUM('Monthly Renewable'!E66:E77)</f>
        <v>10846</v>
      </c>
      <c r="F12" s="608">
        <f>SUM('Monthly Renewable'!F66:F77)</f>
        <v>2256509</v>
      </c>
      <c r="G12" s="609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R7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93</v>
      </c>
      <c r="D1" s="170" t="s">
        <v>94</v>
      </c>
      <c r="E1" s="170" t="s">
        <v>6</v>
      </c>
      <c r="F1" s="170" t="s">
        <v>95</v>
      </c>
      <c r="G1" s="170" t="s">
        <v>96</v>
      </c>
      <c r="H1" s="170" t="s">
        <v>97</v>
      </c>
      <c r="I1" s="170" t="s">
        <v>41</v>
      </c>
      <c r="J1" s="172" t="s">
        <v>98</v>
      </c>
      <c r="K1" s="172" t="s">
        <v>99</v>
      </c>
      <c r="L1" s="172" t="s">
        <v>45</v>
      </c>
      <c r="M1" s="172" t="s">
        <v>89</v>
      </c>
      <c r="N1" s="172" t="s">
        <v>42</v>
      </c>
      <c r="O1" s="174" t="s">
        <v>100</v>
      </c>
      <c r="P1" s="174" t="s">
        <v>101</v>
      </c>
      <c r="Q1" s="174" t="s">
        <v>102</v>
      </c>
      <c r="R1" s="566" t="s">
        <v>742</v>
      </c>
      <c r="S1" s="567" t="s">
        <v>722</v>
      </c>
      <c r="T1" s="170" t="s">
        <v>103</v>
      </c>
      <c r="U1" s="175" t="s">
        <v>104</v>
      </c>
      <c r="V1" s="175" t="s">
        <v>105</v>
      </c>
      <c r="W1" s="175" t="s">
        <v>106</v>
      </c>
      <c r="X1" s="175" t="s">
        <v>107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8"/>
      <c r="AD1" s="569" t="s">
        <v>108</v>
      </c>
      <c r="AE1" s="570" t="s">
        <v>723</v>
      </c>
      <c r="AF1" s="570" t="s">
        <v>724</v>
      </c>
      <c r="AG1" s="571" t="s">
        <v>725</v>
      </c>
      <c r="AH1" s="571" t="s">
        <v>726</v>
      </c>
      <c r="AI1" s="572" t="s">
        <v>727</v>
      </c>
      <c r="AJ1" s="572" t="s">
        <v>728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3"/>
      <c r="AD2" s="574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/>
      <c r="AN2" s="56"/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5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/>
      <c r="AN3" s="56"/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5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/>
      <c r="AN4" s="56"/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5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/>
      <c r="AN5" s="56"/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5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/>
      <c r="AN6" s="56"/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5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/>
      <c r="AN7" s="56"/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5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/>
      <c r="AN8" s="56"/>
      <c r="AO8" s="622"/>
      <c r="AP8" s="622"/>
      <c r="AQ8" s="622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5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/>
      <c r="AN9" s="56"/>
      <c r="AO9" s="622"/>
      <c r="AP9" s="622"/>
      <c r="AQ9" s="622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5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/>
      <c r="AN10" s="56"/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5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/>
      <c r="AN11" s="56"/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5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/>
      <c r="AN12" s="56"/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5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/>
      <c r="AN13" s="56"/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5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/>
      <c r="AN14" s="56"/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5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/>
      <c r="AN15" s="56"/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5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/>
      <c r="AN16" s="56"/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5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/>
      <c r="AN17" s="56"/>
    </row>
    <row r="18" spans="1:40" x14ac:dyDescent="0.2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5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/>
      <c r="AN18" s="56"/>
    </row>
    <row r="19" spans="1:40" x14ac:dyDescent="0.2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5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66"/>
      <c r="AK19" s="56"/>
      <c r="AL19" s="56"/>
      <c r="AM19" s="56"/>
      <c r="AN19" s="56"/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5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/>
      <c r="AL20" s="56"/>
      <c r="AM20" s="56"/>
      <c r="AN20" s="56"/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5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/>
      <c r="AL21" s="56"/>
      <c r="AM21" s="56"/>
      <c r="AN21" s="56"/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5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/>
      <c r="AL22" s="56"/>
      <c r="AM22" s="56"/>
      <c r="AN22" s="56"/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5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/>
      <c r="AL23" s="56"/>
      <c r="AM23" s="56"/>
      <c r="AN23" s="56"/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5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/>
      <c r="AL24" s="56"/>
      <c r="AM24" s="56"/>
      <c r="AN24" s="56"/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5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/>
      <c r="AL25" s="56"/>
      <c r="AM25" s="56"/>
      <c r="AN25" s="56"/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5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/>
      <c r="AL26" s="56"/>
      <c r="AM26" s="56"/>
      <c r="AN26" s="56"/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5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/>
      <c r="AL27" s="56"/>
      <c r="AM27" s="56"/>
      <c r="AN27" s="56"/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5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/>
      <c r="AL28" s="56"/>
      <c r="AM28" s="56"/>
      <c r="AN28" s="56"/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5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/>
      <c r="AL29" s="56"/>
      <c r="AM29" s="56"/>
      <c r="AN29" s="56"/>
    </row>
    <row r="30" spans="1:40" x14ac:dyDescent="0.2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5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/>
      <c r="AL30" s="56"/>
      <c r="AM30" s="56"/>
      <c r="AN30" s="56"/>
    </row>
    <row r="31" spans="1:40" x14ac:dyDescent="0.2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5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0"/>
      <c r="AK31" s="56"/>
      <c r="AL31" s="56"/>
      <c r="AM31" s="56"/>
      <c r="AN31" s="56"/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5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/>
      <c r="AL32" s="56"/>
      <c r="AM32" s="56"/>
      <c r="AN32" s="56"/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5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/>
      <c r="AL33" s="56"/>
      <c r="AM33" s="56"/>
      <c r="AN33" s="56"/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5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/>
      <c r="AL34" s="56"/>
      <c r="AM34" s="56"/>
      <c r="AN34" s="56"/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5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/>
      <c r="AL35" s="56"/>
      <c r="AM35" s="56"/>
      <c r="AN35" s="56"/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5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/>
      <c r="AL36" s="56"/>
      <c r="AM36" s="56"/>
      <c r="AN36" s="56"/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5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/>
      <c r="AL37" s="56"/>
      <c r="AM37" s="56"/>
      <c r="AN37" s="56"/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5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/>
      <c r="AL38" s="56"/>
      <c r="AM38" s="56"/>
      <c r="AN38" s="56"/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5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/>
      <c r="AL39" s="56"/>
      <c r="AM39" s="56"/>
      <c r="AN39" s="56"/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5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/>
      <c r="AL40" s="56"/>
      <c r="AM40" s="56"/>
      <c r="AN40" s="56"/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5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/>
      <c r="AL41" s="56"/>
      <c r="AM41" s="56"/>
      <c r="AN41" s="56"/>
    </row>
    <row r="42" spans="1:40" x14ac:dyDescent="0.2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5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/>
      <c r="AL42" s="56"/>
      <c r="AM42" s="56"/>
      <c r="AN42" s="56"/>
    </row>
    <row r="43" spans="1:40" x14ac:dyDescent="0.2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5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76"/>
      <c r="AK43" s="56"/>
      <c r="AL43" s="56"/>
      <c r="AM43" s="56"/>
      <c r="AN43" s="56"/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5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/>
      <c r="AL44" s="56"/>
      <c r="AM44" s="56"/>
      <c r="AN44" s="56"/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5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/>
      <c r="AL45" s="56"/>
      <c r="AM45" s="56"/>
      <c r="AN45" s="56"/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5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/>
      <c r="AL46" s="56"/>
      <c r="AM46" s="56"/>
      <c r="AN46" s="56"/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5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/>
      <c r="AL47" s="56"/>
      <c r="AM47" s="56"/>
      <c r="AN47" s="56"/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5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/>
      <c r="AL48" s="56"/>
      <c r="AM48" s="56"/>
      <c r="AN48" s="56"/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5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/>
      <c r="AL49" s="56"/>
      <c r="AM49" s="56"/>
      <c r="AN49" s="56"/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5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/>
      <c r="AL50" s="56"/>
      <c r="AM50" s="56"/>
      <c r="AN50" s="56"/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5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/>
      <c r="AL51" s="56"/>
      <c r="AM51" s="56"/>
      <c r="AN51" s="56"/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5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/>
      <c r="AL52" s="56"/>
      <c r="AM52" s="56"/>
      <c r="AN52" s="56"/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5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/>
      <c r="AL53" s="56"/>
      <c r="AM53" s="56"/>
      <c r="AN53" s="56"/>
    </row>
    <row r="54" spans="1:40" x14ac:dyDescent="0.2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5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/>
      <c r="AL54" s="56"/>
      <c r="AM54" s="56"/>
      <c r="AN54" s="56"/>
    </row>
    <row r="55" spans="1:40" x14ac:dyDescent="0.2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5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1"/>
      <c r="AK55" s="56"/>
      <c r="AL55" s="56"/>
      <c r="AM55" s="56"/>
      <c r="AN55" s="56"/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5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/>
      <c r="AL56" s="56"/>
      <c r="AM56" s="56"/>
      <c r="AN56" s="56"/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5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/>
      <c r="AL57" s="56"/>
      <c r="AM57" s="56"/>
      <c r="AN57" s="56"/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5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/>
      <c r="AL58" s="56"/>
      <c r="AM58" s="56"/>
      <c r="AN58" s="56"/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6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/>
      <c r="AL59" s="56"/>
      <c r="AM59" s="56"/>
      <c r="AN59" s="56"/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5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/>
      <c r="AL60" s="56"/>
      <c r="AM60" s="56"/>
      <c r="AN60" s="56"/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5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/>
      <c r="AL61" s="56"/>
      <c r="AM61" s="56"/>
      <c r="AN61" s="56"/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5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/>
      <c r="AL62" s="56"/>
      <c r="AM62" s="56"/>
      <c r="AN62" s="56"/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5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/>
      <c r="AL63" s="56"/>
      <c r="AM63" s="56"/>
      <c r="AN63" s="56"/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5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/>
      <c r="AL64" s="56"/>
      <c r="AM64" s="56"/>
      <c r="AN64" s="56"/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5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/>
      <c r="AL65" s="56"/>
      <c r="AM65" s="56"/>
      <c r="AN65" s="56"/>
    </row>
    <row r="66" spans="1:40" x14ac:dyDescent="0.2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5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/>
      <c r="AL66" s="56"/>
      <c r="AM66" s="56"/>
      <c r="AN66" s="56"/>
    </row>
    <row r="67" spans="1:40" x14ac:dyDescent="0.2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5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0"/>
      <c r="AK67" s="56"/>
      <c r="AL67" s="56"/>
      <c r="AM67" s="56"/>
      <c r="AN67" s="56"/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5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/>
      <c r="AL68" s="56"/>
      <c r="AM68" s="56"/>
      <c r="AN68" s="56"/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5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/>
      <c r="AL69" s="56"/>
      <c r="AM69" s="56"/>
      <c r="AN69" s="56"/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5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/>
      <c r="AL70" s="56"/>
      <c r="AM70" s="56"/>
      <c r="AN70" s="56"/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6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/>
      <c r="AL71" s="56"/>
      <c r="AM71" s="56"/>
      <c r="AN71" s="56"/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6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/>
      <c r="AL72" s="56"/>
      <c r="AM72" s="56"/>
      <c r="AN72" s="56"/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6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/>
      <c r="AL73" s="56"/>
      <c r="AM73" s="56"/>
      <c r="AN73" s="56"/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6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/>
      <c r="AL74" s="56"/>
      <c r="AM74" s="56"/>
      <c r="AN74" s="56"/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6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/>
      <c r="AL75" s="56"/>
      <c r="AM75" s="56"/>
      <c r="AN75" s="56"/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6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/>
      <c r="AL76" s="56"/>
      <c r="AM76" s="56"/>
      <c r="AN76" s="56"/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6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/>
      <c r="AL77" s="56"/>
      <c r="AM77" s="56"/>
      <c r="AN77" s="56"/>
    </row>
    <row r="78" spans="1:40" x14ac:dyDescent="0.2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6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/>
      <c r="AL78" s="56"/>
      <c r="AM78" s="56"/>
      <c r="AN78" s="56"/>
    </row>
    <row r="79" spans="1:40" x14ac:dyDescent="0.2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6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66"/>
      <c r="AK79" s="56"/>
      <c r="AL79" s="56"/>
      <c r="AM79" s="56"/>
      <c r="AN79" s="56"/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6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/>
      <c r="AL80" s="56"/>
      <c r="AM80" s="56"/>
      <c r="AN80" s="56"/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6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/>
      <c r="AL81" s="56"/>
      <c r="AM81" s="56"/>
      <c r="AN81" s="56"/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6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/>
      <c r="AL82" s="56"/>
      <c r="AM82" s="56"/>
      <c r="AN82" s="56"/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6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/>
      <c r="AL83" s="56"/>
      <c r="AM83" s="56"/>
      <c r="AN83" s="56"/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6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/>
      <c r="AL84" s="56"/>
      <c r="AM84" s="56"/>
      <c r="AN84" s="56"/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6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/>
      <c r="AL85" s="56"/>
      <c r="AM85" s="56"/>
      <c r="AN85" s="56"/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6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/>
      <c r="AL86" s="56"/>
      <c r="AM86" s="56"/>
      <c r="AN86" s="56"/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6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/>
      <c r="AL87" s="56"/>
      <c r="AM87" s="56"/>
      <c r="AN87" s="56"/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6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/>
      <c r="AL88" s="56"/>
      <c r="AM88" s="56"/>
      <c r="AN88" s="56"/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6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/>
      <c r="AL89" s="56"/>
      <c r="AM89" s="56"/>
      <c r="AN89" s="56"/>
    </row>
    <row r="90" spans="1:40" x14ac:dyDescent="0.2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6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/>
      <c r="AL90" s="56"/>
      <c r="AM90" s="56"/>
      <c r="AN90" s="56"/>
    </row>
    <row r="91" spans="1:40" x14ac:dyDescent="0.2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6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1"/>
      <c r="AK91" s="56"/>
      <c r="AL91" s="56"/>
      <c r="AM91" s="56"/>
      <c r="AN91" s="56"/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6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/>
      <c r="AL92" s="56"/>
      <c r="AM92" s="56"/>
      <c r="AN92" s="56"/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6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/>
      <c r="AL93" s="56"/>
      <c r="AM93" s="56"/>
      <c r="AN93" s="56"/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6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/>
      <c r="AL94" s="56"/>
      <c r="AM94" s="56"/>
      <c r="AN94" s="56"/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6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/>
      <c r="AL95" s="56"/>
      <c r="AM95" s="56"/>
      <c r="AN95" s="56"/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6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/>
      <c r="AL96" s="56"/>
      <c r="AM96" s="56"/>
      <c r="AN96" s="56"/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6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/>
      <c r="AL97" s="56"/>
      <c r="AM97" s="56"/>
      <c r="AN97" s="56"/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6"/>
      <c r="AD98" s="577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/>
      <c r="AL98" s="56"/>
      <c r="AM98" s="56"/>
      <c r="AN98" s="56"/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6"/>
      <c r="AD99" s="577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/>
      <c r="AL99" s="56"/>
      <c r="AM99" s="56"/>
      <c r="AN99" s="56"/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6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/>
      <c r="AL100" s="56"/>
      <c r="AM100" s="56"/>
      <c r="AN100" s="56"/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6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/>
      <c r="AL101" s="56"/>
      <c r="AM101" s="56"/>
      <c r="AN101" s="56"/>
    </row>
    <row r="102" spans="1:40" x14ac:dyDescent="0.2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6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/>
      <c r="AL102" s="56"/>
      <c r="AM102" s="56"/>
      <c r="AN102" s="56"/>
    </row>
    <row r="103" spans="1:40" x14ac:dyDescent="0.2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6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76"/>
      <c r="AK103" s="56"/>
      <c r="AL103" s="56"/>
      <c r="AM103" s="56"/>
      <c r="AN103" s="56"/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6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/>
      <c r="AL104" s="56"/>
      <c r="AM104" s="56"/>
      <c r="AN104" s="56"/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6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/>
      <c r="AL105" s="56"/>
      <c r="AM105" s="56"/>
      <c r="AN105" s="56"/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6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/>
      <c r="AL106" s="56"/>
      <c r="AM106" s="56"/>
      <c r="AN106" s="56"/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6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/>
      <c r="AL107" s="56"/>
      <c r="AM107" s="56"/>
      <c r="AN107" s="56"/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6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/>
      <c r="AL108" s="56"/>
      <c r="AM108" s="56"/>
      <c r="AN108" s="56"/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6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/>
      <c r="AL109" s="56"/>
      <c r="AM109" s="56"/>
      <c r="AN109" s="56"/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6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/>
      <c r="AL110" s="56"/>
      <c r="AM110" s="56"/>
      <c r="AN110" s="56"/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6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/>
      <c r="AL111" s="56"/>
      <c r="AM111" s="56"/>
      <c r="AN111" s="56"/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6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/>
      <c r="AL112" s="56"/>
      <c r="AM112" s="56"/>
      <c r="AN112" s="56"/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6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/>
      <c r="AL113" s="56"/>
      <c r="AM113" s="56"/>
      <c r="AN113" s="56"/>
    </row>
    <row r="114" spans="1:40" x14ac:dyDescent="0.2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6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/>
      <c r="AL114" s="56"/>
      <c r="AM114" s="56"/>
      <c r="AN114" s="56"/>
    </row>
    <row r="115" spans="1:40" x14ac:dyDescent="0.2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6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6"/>
      <c r="AK115" s="56"/>
      <c r="AL115" s="56"/>
      <c r="AM115" s="56"/>
      <c r="AN115" s="56"/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6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/>
      <c r="AL116" s="56"/>
      <c r="AM116" s="56"/>
      <c r="AN116" s="56"/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6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/>
      <c r="AL117" s="56"/>
      <c r="AM117" s="56"/>
      <c r="AN117" s="56"/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6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/>
      <c r="AL118" s="56"/>
      <c r="AM118" s="56"/>
      <c r="AN118" s="56"/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6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/>
      <c r="AL119" s="56"/>
      <c r="AM119" s="56"/>
      <c r="AN119" s="56"/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6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/>
      <c r="AL120" s="56"/>
      <c r="AM120" s="56"/>
      <c r="AN120" s="56"/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6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/>
      <c r="AL121" s="56"/>
      <c r="AM121" s="56"/>
      <c r="AN121" s="56"/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6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/>
      <c r="AL122" s="56"/>
      <c r="AM122" s="56"/>
      <c r="AN122" s="56"/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78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/>
      <c r="AL123" s="56"/>
      <c r="AM123" s="56"/>
      <c r="AN123" s="56"/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78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/>
      <c r="AL124" s="56"/>
      <c r="AM124" s="56"/>
      <c r="AN124" s="56"/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78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/>
      <c r="AL125" s="56"/>
      <c r="AM125" s="56"/>
      <c r="AN125" s="56"/>
    </row>
    <row r="126" spans="1:40" x14ac:dyDescent="0.2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78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/>
      <c r="AL126" s="56"/>
      <c r="AM126" s="56"/>
      <c r="AN126" s="56"/>
    </row>
    <row r="127" spans="1:40" x14ac:dyDescent="0.2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78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2">
        <v>318</v>
      </c>
      <c r="AK127" s="56"/>
      <c r="AL127" s="56"/>
      <c r="AM127" s="56"/>
      <c r="AN127" s="56"/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79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/>
      <c r="AL128" s="56"/>
      <c r="AM128" s="56"/>
      <c r="AN128" s="56"/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79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/>
      <c r="AL129" s="56"/>
      <c r="AM129" s="56"/>
      <c r="AN129" s="56"/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79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/>
      <c r="AL130" s="56"/>
      <c r="AM130" s="56"/>
      <c r="AN130" s="56"/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79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/>
      <c r="AL131" s="56"/>
      <c r="AM131" s="56"/>
      <c r="AN131" s="56"/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79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/>
      <c r="AL132" s="56"/>
      <c r="AM132" s="56"/>
      <c r="AN132" s="56"/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79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/>
      <c r="AL133" s="56"/>
      <c r="AM133" s="56"/>
      <c r="AN133" s="56"/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79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/>
      <c r="AM134" s="56"/>
      <c r="AN134" s="56"/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79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/>
      <c r="AM135" s="56"/>
      <c r="AN135" s="56"/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79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94">
        <v>23174</v>
      </c>
      <c r="AK136" s="621"/>
      <c r="AM136" s="56"/>
      <c r="AN136" s="56"/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79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94">
        <v>28426</v>
      </c>
      <c r="AK137" s="621"/>
      <c r="AM137" s="56"/>
      <c r="AN137" s="56"/>
    </row>
    <row r="138" spans="1:44" x14ac:dyDescent="0.2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79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94">
        <v>5518</v>
      </c>
      <c r="AK138" s="621"/>
      <c r="AM138" s="56"/>
      <c r="AN138" s="56"/>
    </row>
    <row r="139" spans="1:44" x14ac:dyDescent="0.2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79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621"/>
      <c r="AL139" s="56"/>
      <c r="AM139" s="56"/>
      <c r="AN139" s="56"/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79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94">
        <v>29691</v>
      </c>
      <c r="AK140" s="621"/>
      <c r="AM140" s="56"/>
      <c r="AN140" s="56"/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79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94">
        <v>31194</v>
      </c>
      <c r="AK141" s="621"/>
      <c r="AM141" s="56"/>
      <c r="AN141" s="56"/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79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94">
        <v>15592</v>
      </c>
      <c r="AK142" s="621"/>
      <c r="AM142" s="56"/>
      <c r="AN142" s="56"/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79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94">
        <v>24292</v>
      </c>
      <c r="AK143" s="621"/>
      <c r="AM143" s="56"/>
      <c r="AN143" s="56"/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79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94">
        <v>47210</v>
      </c>
      <c r="AK144" s="621"/>
      <c r="AM144" s="56"/>
      <c r="AN144" s="56"/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79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94">
        <v>27110</v>
      </c>
      <c r="AK145" s="621"/>
      <c r="AM145" s="56"/>
      <c r="AN145" s="56"/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79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8">
        <v>51800</v>
      </c>
      <c r="AK146" s="621"/>
      <c r="AM146" s="56"/>
      <c r="AN146" s="56"/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79"/>
      <c r="AD147" s="296"/>
      <c r="AE147" s="296"/>
      <c r="AF147" s="296"/>
      <c r="AG147" s="296"/>
      <c r="AH147" s="296"/>
      <c r="AI147" s="296"/>
      <c r="AJ147" s="298"/>
      <c r="AK147" s="621"/>
      <c r="AM147" s="56"/>
      <c r="AN147" s="56"/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79"/>
      <c r="AD148" s="296"/>
      <c r="AE148" s="296"/>
      <c r="AF148" s="296"/>
      <c r="AG148" s="296"/>
      <c r="AH148" s="296"/>
      <c r="AI148" s="296"/>
      <c r="AJ148" s="298"/>
      <c r="AK148" s="621"/>
      <c r="AM148" s="56"/>
      <c r="AN148" s="56"/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79"/>
      <c r="AD149" s="296"/>
      <c r="AE149" s="296"/>
      <c r="AF149" s="296"/>
      <c r="AG149" s="296"/>
      <c r="AH149" s="296"/>
      <c r="AI149" s="296"/>
      <c r="AJ149" s="298"/>
      <c r="AK149" s="621"/>
      <c r="AM149" s="56"/>
      <c r="AN149" s="56"/>
    </row>
    <row r="150" spans="1:40" x14ac:dyDescent="0.2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79"/>
      <c r="AD150" s="296"/>
      <c r="AE150" s="296"/>
      <c r="AF150" s="296"/>
      <c r="AG150" s="296"/>
      <c r="AH150" s="296"/>
      <c r="AI150" s="296"/>
      <c r="AJ150" s="298"/>
      <c r="AK150" s="621"/>
      <c r="AM150" s="56"/>
      <c r="AN150" s="56"/>
    </row>
    <row r="151" spans="1:40" x14ac:dyDescent="0.2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79"/>
      <c r="AD151" s="296"/>
      <c r="AE151" s="296"/>
      <c r="AF151" s="296"/>
      <c r="AG151" s="296"/>
      <c r="AH151" s="296"/>
      <c r="AI151" s="296"/>
      <c r="AJ151" s="296"/>
      <c r="AK151" s="621"/>
      <c r="AL151" s="56"/>
      <c r="AM151" s="56"/>
      <c r="AN151" s="56"/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0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0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1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2"/>
      <c r="AD159" s="581"/>
      <c r="AE159" s="581"/>
      <c r="AF159" s="581"/>
      <c r="AG159" s="581"/>
      <c r="AH159" s="581"/>
      <c r="AI159" s="581"/>
      <c r="AJ159" s="581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0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2"/>
      <c r="AD161" s="581"/>
      <c r="AE161" s="581"/>
      <c r="AF161" s="581"/>
      <c r="AG161" s="581"/>
      <c r="AH161" s="581"/>
      <c r="AI161" s="581"/>
      <c r="AJ161" s="581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topLeftCell="A127" workbookViewId="0">
      <selection activeCell="B148" sqref="B148"/>
    </sheetView>
  </sheetViews>
  <sheetFormatPr baseColWidth="10" defaultRowHeight="16" x14ac:dyDescent="0.2"/>
  <cols>
    <col min="1" max="1" width="10.1640625" style="55" bestFit="1" customWidth="1"/>
  </cols>
  <sheetData>
    <row r="1" spans="1:5" ht="103" thickBot="1" x14ac:dyDescent="0.25">
      <c r="A1" s="251" t="s">
        <v>77</v>
      </c>
      <c r="B1" s="121" t="s">
        <v>729</v>
      </c>
      <c r="C1" s="121" t="s">
        <v>109</v>
      </c>
      <c r="D1" s="121" t="s">
        <v>730</v>
      </c>
      <c r="E1" s="121" t="s">
        <v>731</v>
      </c>
    </row>
    <row r="2" spans="1:5" x14ac:dyDescent="0.2">
      <c r="A2" s="254">
        <v>41640</v>
      </c>
      <c r="B2" s="617"/>
      <c r="C2" s="618"/>
      <c r="D2" s="617">
        <v>5938547</v>
      </c>
      <c r="E2" s="617">
        <v>5938547</v>
      </c>
    </row>
    <row r="3" spans="1:5" x14ac:dyDescent="0.2">
      <c r="A3" s="254">
        <v>41671</v>
      </c>
      <c r="B3" s="617"/>
      <c r="C3" s="618"/>
      <c r="D3" s="617">
        <v>5888877</v>
      </c>
      <c r="E3" s="617">
        <v>5888877</v>
      </c>
    </row>
    <row r="4" spans="1:5" x14ac:dyDescent="0.2">
      <c r="A4" s="254">
        <v>41699</v>
      </c>
      <c r="B4" s="617"/>
      <c r="C4" s="618"/>
      <c r="D4" s="617">
        <v>6018786</v>
      </c>
      <c r="E4" s="617">
        <v>6018786</v>
      </c>
    </row>
    <row r="5" spans="1:5" x14ac:dyDescent="0.2">
      <c r="A5" s="254">
        <v>41730</v>
      </c>
      <c r="B5" s="617"/>
      <c r="C5" s="618"/>
      <c r="D5" s="617">
        <v>7488350</v>
      </c>
      <c r="E5" s="617">
        <v>7488350</v>
      </c>
    </row>
    <row r="6" spans="1:5" x14ac:dyDescent="0.2">
      <c r="A6" s="254">
        <v>41760</v>
      </c>
      <c r="B6" s="617"/>
      <c r="C6" s="618"/>
      <c r="D6" s="617">
        <v>7986119</v>
      </c>
      <c r="E6" s="617">
        <v>7986119</v>
      </c>
    </row>
    <row r="7" spans="1:5" x14ac:dyDescent="0.2">
      <c r="A7" s="254">
        <v>41791</v>
      </c>
      <c r="B7" s="617"/>
      <c r="C7" s="618"/>
      <c r="D7" s="617">
        <v>8876152</v>
      </c>
      <c r="E7" s="617">
        <v>8876152</v>
      </c>
    </row>
    <row r="8" spans="1:5" x14ac:dyDescent="0.2">
      <c r="A8" s="254">
        <v>41821</v>
      </c>
      <c r="B8" s="617"/>
      <c r="C8" s="618"/>
      <c r="D8" s="617">
        <v>9340526</v>
      </c>
      <c r="E8" s="617">
        <v>9340526</v>
      </c>
    </row>
    <row r="9" spans="1:5" x14ac:dyDescent="0.2">
      <c r="A9" s="262">
        <v>41852</v>
      </c>
      <c r="B9" s="617"/>
      <c r="C9" s="618"/>
      <c r="D9" s="617">
        <v>8583907</v>
      </c>
      <c r="E9" s="617">
        <v>8583907</v>
      </c>
    </row>
    <row r="10" spans="1:5" x14ac:dyDescent="0.2">
      <c r="A10" s="262">
        <v>41883</v>
      </c>
      <c r="B10" s="617"/>
      <c r="C10" s="618"/>
      <c r="D10" s="617">
        <v>10023872</v>
      </c>
      <c r="E10" s="617">
        <v>10023872</v>
      </c>
    </row>
    <row r="11" spans="1:5" x14ac:dyDescent="0.2">
      <c r="A11" s="262">
        <v>41913</v>
      </c>
      <c r="B11" s="617"/>
      <c r="C11" s="618"/>
      <c r="D11" s="617">
        <v>8035429</v>
      </c>
      <c r="E11" s="617">
        <v>8035429</v>
      </c>
    </row>
    <row r="12" spans="1:5" x14ac:dyDescent="0.2">
      <c r="A12" s="262">
        <v>41944</v>
      </c>
      <c r="B12" s="617"/>
      <c r="C12" s="618"/>
      <c r="D12" s="617">
        <v>6858052</v>
      </c>
      <c r="E12" s="617">
        <v>6858052</v>
      </c>
    </row>
    <row r="13" spans="1:5" x14ac:dyDescent="0.2">
      <c r="A13" s="262">
        <v>41974</v>
      </c>
      <c r="B13" s="617"/>
      <c r="C13" s="618"/>
      <c r="D13" s="617">
        <v>6405579</v>
      </c>
      <c r="E13" s="617">
        <v>6405579</v>
      </c>
    </row>
    <row r="14" spans="1:5" x14ac:dyDescent="0.2">
      <c r="A14" s="264">
        <v>42005</v>
      </c>
      <c r="B14" s="617"/>
      <c r="C14" s="618"/>
      <c r="D14" s="617">
        <v>6037637</v>
      </c>
      <c r="E14" s="617">
        <v>6037637</v>
      </c>
    </row>
    <row r="15" spans="1:5" x14ac:dyDescent="0.2">
      <c r="A15" s="264">
        <v>42036</v>
      </c>
      <c r="B15" s="617"/>
      <c r="C15" s="618"/>
      <c r="D15" s="617">
        <v>5695515</v>
      </c>
      <c r="E15" s="617">
        <v>5695515</v>
      </c>
    </row>
    <row r="16" spans="1:5" x14ac:dyDescent="0.2">
      <c r="A16" s="264">
        <v>42064</v>
      </c>
      <c r="B16" s="617"/>
      <c r="C16" s="618"/>
      <c r="D16" s="617">
        <v>6808373</v>
      </c>
      <c r="E16" s="617">
        <v>6808373</v>
      </c>
    </row>
    <row r="17" spans="1:5" x14ac:dyDescent="0.2">
      <c r="A17" s="264">
        <v>42095</v>
      </c>
      <c r="B17" s="617"/>
      <c r="C17" s="618"/>
      <c r="D17" s="617">
        <v>7375395</v>
      </c>
      <c r="E17" s="617">
        <v>7375395</v>
      </c>
    </row>
    <row r="18" spans="1:5" ht="17" thickBot="1" x14ac:dyDescent="0.25">
      <c r="A18" s="264">
        <v>42125</v>
      </c>
      <c r="B18" s="617"/>
      <c r="C18" s="618"/>
      <c r="D18" s="617">
        <v>8190535</v>
      </c>
      <c r="E18" s="617">
        <v>8190535</v>
      </c>
    </row>
    <row r="19" spans="1:5" ht="17" thickBot="1" x14ac:dyDescent="0.25">
      <c r="A19" s="264">
        <v>42156</v>
      </c>
      <c r="B19" s="619">
        <v>93067207</v>
      </c>
      <c r="C19" s="620">
        <v>93067207</v>
      </c>
      <c r="D19" s="617">
        <v>9712387</v>
      </c>
      <c r="E19" s="617">
        <v>9712387</v>
      </c>
    </row>
    <row r="20" spans="1:5" x14ac:dyDescent="0.2">
      <c r="A20" s="264">
        <v>42186</v>
      </c>
      <c r="B20" s="617">
        <v>92560708</v>
      </c>
      <c r="C20" s="617"/>
      <c r="D20" s="617">
        <v>8834027</v>
      </c>
      <c r="E20" s="617">
        <v>8834027</v>
      </c>
    </row>
    <row r="21" spans="1:5" x14ac:dyDescent="0.2">
      <c r="A21" s="264">
        <v>42217</v>
      </c>
      <c r="B21" s="617">
        <v>92658683</v>
      </c>
      <c r="C21" s="617"/>
      <c r="D21" s="617">
        <v>8681882</v>
      </c>
      <c r="E21" s="617">
        <v>8681882</v>
      </c>
    </row>
    <row r="22" spans="1:5" x14ac:dyDescent="0.2">
      <c r="A22" s="264">
        <v>42248</v>
      </c>
      <c r="B22" s="617">
        <v>92589207</v>
      </c>
      <c r="C22" s="617"/>
      <c r="D22" s="617">
        <v>9954396</v>
      </c>
      <c r="E22" s="617">
        <v>9954396</v>
      </c>
    </row>
    <row r="23" spans="1:5" x14ac:dyDescent="0.2">
      <c r="A23" s="264">
        <v>42278</v>
      </c>
      <c r="B23" s="617">
        <v>92906500</v>
      </c>
      <c r="C23" s="617"/>
      <c r="D23" s="617">
        <v>8352722</v>
      </c>
      <c r="E23" s="617">
        <v>8352722</v>
      </c>
    </row>
    <row r="24" spans="1:5" x14ac:dyDescent="0.2">
      <c r="A24" s="264">
        <v>42309</v>
      </c>
      <c r="B24" s="617">
        <v>94099443</v>
      </c>
      <c r="C24" s="617"/>
      <c r="D24" s="617">
        <v>8050995</v>
      </c>
      <c r="E24" s="617">
        <v>8050995</v>
      </c>
    </row>
    <row r="25" spans="1:5" x14ac:dyDescent="0.2">
      <c r="A25" s="264">
        <v>42339</v>
      </c>
      <c r="B25" s="617">
        <v>94187317</v>
      </c>
      <c r="C25" s="617"/>
      <c r="D25" s="617">
        <v>6493453</v>
      </c>
      <c r="E25" s="617">
        <v>6493453</v>
      </c>
    </row>
    <row r="26" spans="1:5" x14ac:dyDescent="0.2">
      <c r="A26" s="269">
        <v>42370</v>
      </c>
      <c r="B26" s="617">
        <v>94394903</v>
      </c>
      <c r="C26" s="617"/>
      <c r="D26" s="617">
        <v>6245223</v>
      </c>
      <c r="E26" s="617">
        <v>6245223</v>
      </c>
    </row>
    <row r="27" spans="1:5" x14ac:dyDescent="0.2">
      <c r="A27" s="269">
        <v>42401</v>
      </c>
      <c r="B27" s="617">
        <v>95166272</v>
      </c>
      <c r="C27" s="617"/>
      <c r="D27" s="617">
        <v>6466884</v>
      </c>
      <c r="E27" s="617">
        <v>6466884</v>
      </c>
    </row>
    <row r="28" spans="1:5" x14ac:dyDescent="0.2">
      <c r="A28" s="269">
        <v>42430</v>
      </c>
      <c r="B28" s="617">
        <v>94971369</v>
      </c>
      <c r="C28" s="617"/>
      <c r="D28" s="617">
        <v>6613470</v>
      </c>
      <c r="E28" s="617">
        <v>6613470</v>
      </c>
    </row>
    <row r="29" spans="1:5" x14ac:dyDescent="0.2">
      <c r="A29" s="269">
        <v>42461</v>
      </c>
      <c r="B29" s="617">
        <v>95180695</v>
      </c>
      <c r="C29" s="617"/>
      <c r="D29" s="617">
        <v>7584721</v>
      </c>
      <c r="E29" s="617">
        <v>7584721</v>
      </c>
    </row>
    <row r="30" spans="1:5" ht="17" thickBot="1" x14ac:dyDescent="0.25">
      <c r="A30" s="269">
        <v>42491</v>
      </c>
      <c r="B30" s="617">
        <v>95720512</v>
      </c>
      <c r="C30" s="617"/>
      <c r="D30" s="617">
        <v>8730352</v>
      </c>
      <c r="E30" s="617">
        <v>8730352</v>
      </c>
    </row>
    <row r="31" spans="1:5" ht="17" thickBot="1" x14ac:dyDescent="0.25">
      <c r="A31" s="269">
        <v>42522</v>
      </c>
      <c r="B31" s="619">
        <v>95800070</v>
      </c>
      <c r="C31" s="620">
        <v>95800070</v>
      </c>
      <c r="D31" s="617">
        <v>9791945</v>
      </c>
      <c r="E31" s="617">
        <v>9791945</v>
      </c>
    </row>
    <row r="32" spans="1:5" x14ac:dyDescent="0.2">
      <c r="A32" s="269">
        <v>42552</v>
      </c>
      <c r="B32" s="617">
        <v>96134757</v>
      </c>
      <c r="C32" s="617"/>
      <c r="D32" s="617">
        <v>9168714</v>
      </c>
      <c r="E32" s="617">
        <v>9168714</v>
      </c>
    </row>
    <row r="33" spans="1:5" x14ac:dyDescent="0.2">
      <c r="A33" s="269">
        <v>42583</v>
      </c>
      <c r="B33" s="617">
        <v>96947485</v>
      </c>
      <c r="C33" s="617"/>
      <c r="D33" s="617">
        <v>9494610</v>
      </c>
      <c r="E33" s="617">
        <v>9494610</v>
      </c>
    </row>
    <row r="34" spans="1:5" x14ac:dyDescent="0.2">
      <c r="A34" s="269">
        <v>42614</v>
      </c>
      <c r="B34" s="617">
        <v>96474873</v>
      </c>
      <c r="C34" s="617"/>
      <c r="D34" s="617">
        <v>9481784</v>
      </c>
      <c r="E34" s="617">
        <v>9481784</v>
      </c>
    </row>
    <row r="35" spans="1:5" x14ac:dyDescent="0.2">
      <c r="A35" s="269">
        <v>42644</v>
      </c>
      <c r="B35" s="617">
        <v>96161212</v>
      </c>
      <c r="C35" s="617"/>
      <c r="D35" s="617">
        <v>8039061</v>
      </c>
      <c r="E35" s="617">
        <v>8039061</v>
      </c>
    </row>
    <row r="36" spans="1:5" x14ac:dyDescent="0.2">
      <c r="A36" s="269">
        <v>42675</v>
      </c>
      <c r="B36" s="617">
        <v>96368281</v>
      </c>
      <c r="C36" s="617"/>
      <c r="D36" s="617">
        <v>8258064</v>
      </c>
      <c r="E36" s="617">
        <v>8258064</v>
      </c>
    </row>
    <row r="37" spans="1:5" x14ac:dyDescent="0.2">
      <c r="A37" s="269">
        <v>42705</v>
      </c>
      <c r="B37" s="617">
        <v>96342853</v>
      </c>
      <c r="C37" s="617"/>
      <c r="D37" s="617">
        <v>6468025</v>
      </c>
      <c r="E37" s="617">
        <v>6468025</v>
      </c>
    </row>
    <row r="38" spans="1:5" x14ac:dyDescent="0.2">
      <c r="A38" s="274">
        <v>42736</v>
      </c>
      <c r="B38" s="617">
        <v>95623203</v>
      </c>
      <c r="C38" s="617"/>
      <c r="D38" s="617">
        <v>5525573</v>
      </c>
      <c r="E38" s="617">
        <v>5525573</v>
      </c>
    </row>
    <row r="39" spans="1:5" x14ac:dyDescent="0.2">
      <c r="A39" s="274">
        <v>42767</v>
      </c>
      <c r="B39" s="617">
        <v>95982844</v>
      </c>
      <c r="C39" s="617"/>
      <c r="D39" s="617">
        <v>6826525</v>
      </c>
      <c r="E39" s="617">
        <v>6826525</v>
      </c>
    </row>
    <row r="40" spans="1:5" x14ac:dyDescent="0.2">
      <c r="A40" s="274">
        <v>42795</v>
      </c>
      <c r="B40" s="617">
        <v>96253205</v>
      </c>
      <c r="C40" s="617"/>
      <c r="D40" s="617">
        <v>6883831</v>
      </c>
      <c r="E40" s="617">
        <v>6883831</v>
      </c>
    </row>
    <row r="41" spans="1:5" x14ac:dyDescent="0.2">
      <c r="A41" s="274">
        <v>42826</v>
      </c>
      <c r="B41" s="617">
        <v>95356819</v>
      </c>
      <c r="C41" s="617"/>
      <c r="D41" s="617">
        <v>6688335</v>
      </c>
      <c r="E41" s="617">
        <v>6688335</v>
      </c>
    </row>
    <row r="42" spans="1:5" ht="17" thickBot="1" x14ac:dyDescent="0.25">
      <c r="A42" s="274">
        <v>42856</v>
      </c>
      <c r="B42" s="617">
        <v>94764032</v>
      </c>
      <c r="C42" s="617"/>
      <c r="D42" s="617">
        <v>8137565</v>
      </c>
      <c r="E42" s="617">
        <v>8137565</v>
      </c>
    </row>
    <row r="43" spans="1:5" ht="17" thickBot="1" x14ac:dyDescent="0.25">
      <c r="A43" s="274">
        <v>42887</v>
      </c>
      <c r="B43" s="619">
        <v>94486358</v>
      </c>
      <c r="C43" s="620">
        <v>94486358</v>
      </c>
      <c r="D43" s="617">
        <v>9514271</v>
      </c>
      <c r="E43" s="617">
        <v>9514271</v>
      </c>
    </row>
    <row r="44" spans="1:5" x14ac:dyDescent="0.2">
      <c r="A44" s="274">
        <v>42917</v>
      </c>
      <c r="B44" s="617">
        <v>93560730</v>
      </c>
      <c r="C44" s="617"/>
      <c r="D44" s="617">
        <v>8243086</v>
      </c>
      <c r="E44" s="617">
        <v>8243086</v>
      </c>
    </row>
    <row r="45" spans="1:5" x14ac:dyDescent="0.2">
      <c r="A45" s="274">
        <v>42948</v>
      </c>
      <c r="B45" s="617">
        <v>93908381</v>
      </c>
      <c r="C45" s="617"/>
      <c r="D45" s="617">
        <v>9842261</v>
      </c>
      <c r="E45" s="617">
        <v>9842261</v>
      </c>
    </row>
    <row r="46" spans="1:5" x14ac:dyDescent="0.2">
      <c r="A46" s="274">
        <v>42979</v>
      </c>
      <c r="B46" s="617">
        <v>93939573</v>
      </c>
      <c r="C46" s="617"/>
      <c r="D46" s="617">
        <v>9512976</v>
      </c>
      <c r="E46" s="617">
        <v>9512976</v>
      </c>
    </row>
    <row r="47" spans="1:5" x14ac:dyDescent="0.2">
      <c r="A47" s="274">
        <v>43009</v>
      </c>
      <c r="B47" s="617">
        <v>94414956</v>
      </c>
      <c r="C47" s="617"/>
      <c r="D47" s="617">
        <v>8514444</v>
      </c>
      <c r="E47" s="617">
        <v>8514444</v>
      </c>
    </row>
    <row r="48" spans="1:5" x14ac:dyDescent="0.2">
      <c r="A48" s="274">
        <v>43040</v>
      </c>
      <c r="B48" s="617">
        <v>93418878</v>
      </c>
      <c r="C48" s="617"/>
      <c r="D48" s="617">
        <v>7261986</v>
      </c>
      <c r="E48" s="617">
        <v>7261986</v>
      </c>
    </row>
    <row r="49" spans="1:5" x14ac:dyDescent="0.2">
      <c r="A49" s="274">
        <v>43070</v>
      </c>
      <c r="B49" s="617">
        <v>92921703</v>
      </c>
      <c r="C49" s="617"/>
      <c r="D49" s="617">
        <v>5970850</v>
      </c>
      <c r="E49" s="617">
        <v>5970850</v>
      </c>
    </row>
    <row r="50" spans="1:5" x14ac:dyDescent="0.2">
      <c r="A50" s="280">
        <v>43101</v>
      </c>
      <c r="B50" s="617">
        <v>93736605</v>
      </c>
      <c r="C50" s="617"/>
      <c r="D50" s="617">
        <v>6340475</v>
      </c>
      <c r="E50" s="617">
        <v>6340475</v>
      </c>
    </row>
    <row r="51" spans="1:5" x14ac:dyDescent="0.2">
      <c r="A51" s="280">
        <v>43132</v>
      </c>
      <c r="B51" s="617">
        <v>92920952</v>
      </c>
      <c r="C51" s="617"/>
      <c r="D51" s="617">
        <v>6010872</v>
      </c>
      <c r="E51" s="617">
        <v>6094434</v>
      </c>
    </row>
    <row r="52" spans="1:5" x14ac:dyDescent="0.2">
      <c r="A52" s="280">
        <v>43160</v>
      </c>
      <c r="B52" s="617">
        <v>92503642</v>
      </c>
      <c r="C52" s="617"/>
      <c r="D52" s="617">
        <v>6466521</v>
      </c>
      <c r="E52" s="617">
        <v>6536866</v>
      </c>
    </row>
    <row r="53" spans="1:5" x14ac:dyDescent="0.2">
      <c r="A53" s="280">
        <v>43191</v>
      </c>
      <c r="B53" s="617">
        <v>93292059</v>
      </c>
      <c r="C53" s="617"/>
      <c r="D53" s="617">
        <v>7476752</v>
      </c>
      <c r="E53" s="617">
        <v>7557236</v>
      </c>
    </row>
    <row r="54" spans="1:5" ht="17" thickBot="1" x14ac:dyDescent="0.25">
      <c r="A54" s="280">
        <v>43221</v>
      </c>
      <c r="B54" s="617">
        <v>94135291</v>
      </c>
      <c r="C54" s="617"/>
      <c r="D54" s="617">
        <v>8980797</v>
      </c>
      <c r="E54" s="617">
        <v>9097158</v>
      </c>
    </row>
    <row r="55" spans="1:5" ht="17" thickBot="1" x14ac:dyDescent="0.25">
      <c r="A55" s="280">
        <v>43252</v>
      </c>
      <c r="B55" s="619">
        <v>92966450</v>
      </c>
      <c r="C55" s="620">
        <v>93414359</v>
      </c>
      <c r="D55" s="617">
        <v>8345430</v>
      </c>
      <c r="E55" s="617">
        <v>8442587</v>
      </c>
    </row>
    <row r="56" spans="1:5" x14ac:dyDescent="0.2">
      <c r="A56" s="280">
        <v>43282</v>
      </c>
      <c r="B56" s="617">
        <v>93887240</v>
      </c>
      <c r="C56" s="617"/>
      <c r="D56" s="617">
        <v>9163876</v>
      </c>
      <c r="E56" s="617">
        <v>9234454</v>
      </c>
    </row>
    <row r="57" spans="1:5" x14ac:dyDescent="0.2">
      <c r="A57" s="280">
        <v>43313</v>
      </c>
      <c r="B57" s="617">
        <v>93309781</v>
      </c>
      <c r="C57" s="617"/>
      <c r="D57" s="617">
        <v>9264802</v>
      </c>
      <c r="E57" s="617">
        <v>9350143</v>
      </c>
    </row>
    <row r="58" spans="1:5" x14ac:dyDescent="0.2">
      <c r="A58" s="280">
        <v>43344</v>
      </c>
      <c r="B58" s="617">
        <v>92346280</v>
      </c>
      <c r="C58" s="617"/>
      <c r="D58" s="617">
        <v>8549475</v>
      </c>
      <c r="E58" s="617">
        <v>8646720</v>
      </c>
    </row>
    <row r="59" spans="1:5" x14ac:dyDescent="0.2">
      <c r="A59" s="285">
        <v>43374</v>
      </c>
      <c r="B59" s="617">
        <v>91966795</v>
      </c>
      <c r="C59" s="617"/>
      <c r="D59" s="617">
        <v>8134959</v>
      </c>
      <c r="E59" s="617">
        <v>8247422</v>
      </c>
    </row>
    <row r="60" spans="1:5" x14ac:dyDescent="0.2">
      <c r="A60" s="280">
        <v>43405</v>
      </c>
      <c r="B60" s="617">
        <v>92006183</v>
      </c>
      <c r="C60" s="617"/>
      <c r="D60" s="617">
        <v>7301374</v>
      </c>
      <c r="E60" s="617">
        <v>7380273</v>
      </c>
    </row>
    <row r="61" spans="1:5" x14ac:dyDescent="0.2">
      <c r="A61" s="280">
        <v>43435</v>
      </c>
      <c r="B61" s="617">
        <v>91781095</v>
      </c>
      <c r="C61" s="617"/>
      <c r="D61" s="617">
        <v>5745762</v>
      </c>
      <c r="E61" s="617">
        <v>5816533</v>
      </c>
    </row>
    <row r="62" spans="1:5" x14ac:dyDescent="0.2">
      <c r="A62" s="269">
        <v>43466</v>
      </c>
      <c r="B62" s="617">
        <v>91689287</v>
      </c>
      <c r="C62" s="617"/>
      <c r="D62" s="617">
        <v>6248667</v>
      </c>
      <c r="E62" s="617">
        <v>6300067</v>
      </c>
    </row>
    <row r="63" spans="1:5" x14ac:dyDescent="0.2">
      <c r="A63" s="269">
        <v>43497</v>
      </c>
      <c r="B63" s="617">
        <v>91511184</v>
      </c>
      <c r="C63" s="617"/>
      <c r="D63" s="617">
        <v>5832769</v>
      </c>
      <c r="E63" s="617">
        <v>5901172</v>
      </c>
    </row>
    <row r="64" spans="1:5" x14ac:dyDescent="0.2">
      <c r="A64" s="269">
        <v>43525</v>
      </c>
      <c r="B64" s="617">
        <v>91375813</v>
      </c>
      <c r="C64" s="617"/>
      <c r="D64" s="617">
        <v>6331150</v>
      </c>
      <c r="E64" s="617">
        <v>6401669</v>
      </c>
    </row>
    <row r="65" spans="1:5" x14ac:dyDescent="0.2">
      <c r="A65" s="269">
        <v>43556</v>
      </c>
      <c r="B65" s="617">
        <v>91623394</v>
      </c>
      <c r="C65" s="617"/>
      <c r="D65" s="617">
        <v>7724333</v>
      </c>
      <c r="E65" s="617">
        <v>7815708</v>
      </c>
    </row>
    <row r="66" spans="1:5" ht="17" thickBot="1" x14ac:dyDescent="0.25">
      <c r="A66" s="269">
        <v>43586</v>
      </c>
      <c r="B66" s="617">
        <v>90483094</v>
      </c>
      <c r="C66" s="617"/>
      <c r="D66" s="617">
        <v>7840497</v>
      </c>
      <c r="E66" s="617">
        <v>7943460</v>
      </c>
    </row>
    <row r="67" spans="1:5" ht="17" thickBot="1" x14ac:dyDescent="0.25">
      <c r="A67" s="269">
        <v>43617</v>
      </c>
      <c r="B67" s="619">
        <v>90186094</v>
      </c>
      <c r="C67" s="620">
        <v>91176940</v>
      </c>
      <c r="D67" s="617">
        <v>8048430</v>
      </c>
      <c r="E67" s="617">
        <v>8139319</v>
      </c>
    </row>
    <row r="68" spans="1:5" x14ac:dyDescent="0.2">
      <c r="A68" s="269">
        <v>43647</v>
      </c>
      <c r="B68" s="617">
        <v>90323695</v>
      </c>
      <c r="C68" s="617"/>
      <c r="D68" s="617">
        <v>9301477</v>
      </c>
      <c r="E68" s="617">
        <v>9376472</v>
      </c>
    </row>
    <row r="69" spans="1:5" x14ac:dyDescent="0.2">
      <c r="A69" s="269">
        <v>43678</v>
      </c>
      <c r="B69" s="617">
        <v>90175858</v>
      </c>
      <c r="C69" s="617"/>
      <c r="D69" s="617">
        <v>9116965</v>
      </c>
      <c r="E69" s="617">
        <v>9184618</v>
      </c>
    </row>
    <row r="70" spans="1:5" x14ac:dyDescent="0.2">
      <c r="A70" s="269">
        <v>43709</v>
      </c>
      <c r="B70" s="617">
        <v>91088438</v>
      </c>
      <c r="C70" s="617"/>
      <c r="D70" s="617">
        <v>9462055</v>
      </c>
      <c r="E70" s="617">
        <v>9577222</v>
      </c>
    </row>
    <row r="71" spans="1:5" x14ac:dyDescent="0.2">
      <c r="A71" s="269">
        <v>43739</v>
      </c>
      <c r="B71" s="617">
        <v>91275557</v>
      </c>
      <c r="C71" s="617"/>
      <c r="D71" s="617">
        <v>8322078</v>
      </c>
      <c r="E71" s="617">
        <v>8466782</v>
      </c>
    </row>
    <row r="72" spans="1:5" x14ac:dyDescent="0.2">
      <c r="A72" s="269">
        <v>43770</v>
      </c>
      <c r="B72" s="617">
        <v>90389256</v>
      </c>
      <c r="C72" s="617"/>
      <c r="D72" s="617">
        <v>6415073</v>
      </c>
      <c r="E72" s="617">
        <v>6497604</v>
      </c>
    </row>
    <row r="73" spans="1:5" x14ac:dyDescent="0.2">
      <c r="A73" s="269">
        <v>43800</v>
      </c>
      <c r="B73" s="617">
        <v>90542578</v>
      </c>
      <c r="C73" s="617"/>
      <c r="D73" s="617">
        <v>5899084</v>
      </c>
      <c r="E73" s="617">
        <v>5947205</v>
      </c>
    </row>
    <row r="74" spans="1:5" x14ac:dyDescent="0.2">
      <c r="A74" s="264">
        <v>43831</v>
      </c>
      <c r="B74" s="617">
        <v>90062702</v>
      </c>
      <c r="C74" s="617"/>
      <c r="D74" s="617">
        <v>5768791</v>
      </c>
      <c r="E74" s="617">
        <v>5805396</v>
      </c>
    </row>
    <row r="75" spans="1:5" x14ac:dyDescent="0.2">
      <c r="A75" s="264">
        <v>43862</v>
      </c>
      <c r="B75" s="617">
        <v>89253740</v>
      </c>
      <c r="C75" s="617"/>
      <c r="D75" s="617">
        <v>5023807</v>
      </c>
      <c r="E75" s="617">
        <v>5066724</v>
      </c>
    </row>
    <row r="76" spans="1:5" x14ac:dyDescent="0.2">
      <c r="A76" s="264">
        <v>43891</v>
      </c>
      <c r="B76" s="617">
        <v>88747332</v>
      </c>
      <c r="C76" s="617"/>
      <c r="D76" s="617">
        <v>5824742</v>
      </c>
      <c r="E76" s="617">
        <v>5861350</v>
      </c>
    </row>
    <row r="77" spans="1:5" x14ac:dyDescent="0.2">
      <c r="A77" s="264">
        <v>43922</v>
      </c>
      <c r="B77" s="617">
        <v>86704720</v>
      </c>
      <c r="C77" s="617"/>
      <c r="D77" s="617">
        <v>5681721</v>
      </c>
      <c r="E77" s="617">
        <v>5719590</v>
      </c>
    </row>
    <row r="78" spans="1:5" ht="17" thickBot="1" x14ac:dyDescent="0.25">
      <c r="A78" s="264">
        <v>43952</v>
      </c>
      <c r="B78" s="617">
        <v>86447454</v>
      </c>
      <c r="C78" s="617"/>
      <c r="D78" s="617">
        <v>7583231</v>
      </c>
      <c r="E78" s="617">
        <v>7775261</v>
      </c>
    </row>
    <row r="79" spans="1:5" ht="17" thickBot="1" x14ac:dyDescent="0.25">
      <c r="A79" s="264">
        <v>43983</v>
      </c>
      <c r="B79" s="619">
        <v>87353244</v>
      </c>
      <c r="C79" s="620">
        <v>88300941</v>
      </c>
      <c r="D79" s="617">
        <v>8954220</v>
      </c>
      <c r="E79" s="617">
        <v>9022717</v>
      </c>
    </row>
    <row r="80" spans="1:5" x14ac:dyDescent="0.2">
      <c r="A80" s="264">
        <v>44013</v>
      </c>
      <c r="B80" s="617">
        <v>86884899</v>
      </c>
      <c r="C80" s="617"/>
      <c r="D80" s="617">
        <v>8833132</v>
      </c>
      <c r="E80" s="617">
        <v>8895208</v>
      </c>
    </row>
    <row r="81" spans="1:5" x14ac:dyDescent="0.2">
      <c r="A81" s="264">
        <v>44044</v>
      </c>
      <c r="B81" s="617">
        <v>85699386</v>
      </c>
      <c r="C81" s="617"/>
      <c r="D81" s="617">
        <v>7931452</v>
      </c>
      <c r="E81" s="617">
        <v>8002091</v>
      </c>
    </row>
    <row r="82" spans="1:5" x14ac:dyDescent="0.2">
      <c r="A82" s="264">
        <v>44075</v>
      </c>
      <c r="B82" s="617">
        <v>85710579</v>
      </c>
      <c r="C82" s="617"/>
      <c r="D82" s="617">
        <v>9473248</v>
      </c>
      <c r="E82" s="617">
        <v>9701459</v>
      </c>
    </row>
    <row r="83" spans="1:5" x14ac:dyDescent="0.2">
      <c r="A83" s="264">
        <v>44105</v>
      </c>
      <c r="B83" s="617">
        <v>84624859</v>
      </c>
      <c r="C83" s="617"/>
      <c r="D83" s="617">
        <v>7236358</v>
      </c>
      <c r="E83" s="617">
        <v>7326898</v>
      </c>
    </row>
    <row r="84" spans="1:5" x14ac:dyDescent="0.2">
      <c r="A84" s="264">
        <v>44136</v>
      </c>
      <c r="B84" s="617">
        <v>84979994</v>
      </c>
      <c r="C84" s="617"/>
      <c r="D84" s="617">
        <v>6770208</v>
      </c>
      <c r="E84" s="617">
        <v>6838931</v>
      </c>
    </row>
    <row r="85" spans="1:5" x14ac:dyDescent="0.2">
      <c r="A85" s="264">
        <v>44166</v>
      </c>
      <c r="B85" s="617">
        <v>84854430</v>
      </c>
      <c r="C85" s="617"/>
      <c r="D85" s="617">
        <v>5773520</v>
      </c>
      <c r="E85" s="617">
        <v>5832897</v>
      </c>
    </row>
    <row r="86" spans="1:5" x14ac:dyDescent="0.2">
      <c r="A86" s="290">
        <v>44197</v>
      </c>
      <c r="B86" s="617">
        <v>84786987</v>
      </c>
      <c r="C86" s="617"/>
      <c r="D86" s="617">
        <v>5701348</v>
      </c>
      <c r="E86" s="617">
        <v>5763870</v>
      </c>
    </row>
    <row r="87" spans="1:5" x14ac:dyDescent="0.2">
      <c r="A87" s="290">
        <v>44228</v>
      </c>
      <c r="B87" s="617">
        <v>85189795</v>
      </c>
      <c r="C87" s="617"/>
      <c r="D87" s="617">
        <v>5426615</v>
      </c>
      <c r="E87" s="617">
        <v>5489137</v>
      </c>
    </row>
    <row r="88" spans="1:5" x14ac:dyDescent="0.2">
      <c r="A88" s="290">
        <v>44256</v>
      </c>
      <c r="B88" s="617">
        <v>86161740</v>
      </c>
      <c r="C88" s="617"/>
      <c r="D88" s="617">
        <v>6796687</v>
      </c>
      <c r="E88" s="617">
        <v>6856115</v>
      </c>
    </row>
    <row r="89" spans="1:5" x14ac:dyDescent="0.2">
      <c r="A89" s="290">
        <v>44287</v>
      </c>
      <c r="B89" s="617">
        <v>87567752</v>
      </c>
      <c r="C89" s="617"/>
      <c r="D89" s="617">
        <v>7087733</v>
      </c>
      <c r="E89" s="617">
        <v>7171769</v>
      </c>
    </row>
    <row r="90" spans="1:5" ht="17" thickBot="1" x14ac:dyDescent="0.25">
      <c r="A90" s="290">
        <v>44317</v>
      </c>
      <c r="B90" s="617">
        <v>88775236</v>
      </c>
      <c r="C90" s="617"/>
      <c r="D90" s="617">
        <v>8790715</v>
      </c>
      <c r="E90" s="617">
        <v>8899597</v>
      </c>
    </row>
    <row r="91" spans="1:5" ht="17" thickBot="1" x14ac:dyDescent="0.25">
      <c r="A91" s="290">
        <v>44348</v>
      </c>
      <c r="B91" s="619">
        <v>88318175</v>
      </c>
      <c r="C91" s="620">
        <v>89389542</v>
      </c>
      <c r="D91" s="617">
        <v>8497159</v>
      </c>
      <c r="E91" s="617">
        <v>8611570</v>
      </c>
    </row>
    <row r="92" spans="1:5" x14ac:dyDescent="0.2">
      <c r="A92" s="290">
        <v>44378</v>
      </c>
      <c r="B92" s="617">
        <v>88449963</v>
      </c>
      <c r="C92" s="617"/>
      <c r="D92" s="617">
        <v>8964920</v>
      </c>
      <c r="E92" s="617">
        <v>9046370</v>
      </c>
    </row>
    <row r="93" spans="1:5" x14ac:dyDescent="0.2">
      <c r="A93" s="290">
        <v>44409</v>
      </c>
      <c r="B93" s="617">
        <v>89334599</v>
      </c>
      <c r="C93" s="617"/>
      <c r="D93" s="617">
        <v>8816088</v>
      </c>
      <c r="E93" s="617">
        <v>8900268</v>
      </c>
    </row>
    <row r="94" spans="1:5" x14ac:dyDescent="0.2">
      <c r="A94" s="290">
        <v>44440</v>
      </c>
      <c r="B94" s="617">
        <v>89608532</v>
      </c>
      <c r="C94" s="617"/>
      <c r="D94" s="617">
        <v>9747181</v>
      </c>
      <c r="E94" s="617">
        <v>9857216</v>
      </c>
    </row>
    <row r="95" spans="1:5" x14ac:dyDescent="0.2">
      <c r="A95" s="290">
        <v>44470</v>
      </c>
      <c r="B95" s="617">
        <v>90225077</v>
      </c>
      <c r="C95" s="617"/>
      <c r="D95" s="617">
        <v>7852903</v>
      </c>
      <c r="E95" s="617">
        <v>7995520</v>
      </c>
    </row>
    <row r="96" spans="1:5" x14ac:dyDescent="0.2">
      <c r="A96" s="290">
        <v>44501</v>
      </c>
      <c r="B96" s="617">
        <v>90922176</v>
      </c>
      <c r="C96" s="617"/>
      <c r="D96" s="617">
        <v>7467307</v>
      </c>
      <c r="E96" s="617">
        <v>7550339</v>
      </c>
    </row>
    <row r="97" spans="1:5" x14ac:dyDescent="0.2">
      <c r="A97" s="290">
        <v>44531</v>
      </c>
      <c r="B97" s="617">
        <v>91369619</v>
      </c>
      <c r="C97" s="617"/>
      <c r="D97" s="617">
        <v>6220963</v>
      </c>
      <c r="E97" s="617">
        <v>6298389</v>
      </c>
    </row>
    <row r="98" spans="1:5" x14ac:dyDescent="0.2">
      <c r="A98" s="274">
        <v>44562</v>
      </c>
      <c r="B98" s="617">
        <v>91387901</v>
      </c>
      <c r="C98" s="617"/>
      <c r="D98" s="617">
        <v>5719630</v>
      </c>
      <c r="E98" s="617">
        <v>5719630</v>
      </c>
    </row>
    <row r="99" spans="1:5" x14ac:dyDescent="0.2">
      <c r="A99" s="274">
        <v>44593</v>
      </c>
      <c r="B99" s="617">
        <v>91934658</v>
      </c>
      <c r="C99" s="617"/>
      <c r="D99" s="617">
        <v>5973372</v>
      </c>
      <c r="E99" s="617">
        <v>5973372</v>
      </c>
    </row>
    <row r="100" spans="1:5" x14ac:dyDescent="0.2">
      <c r="A100" s="274">
        <v>44621</v>
      </c>
      <c r="B100" s="617">
        <v>91174346</v>
      </c>
      <c r="C100" s="617"/>
      <c r="D100" s="617">
        <v>6036375</v>
      </c>
      <c r="E100" s="617">
        <v>6099883</v>
      </c>
    </row>
    <row r="101" spans="1:5" x14ac:dyDescent="0.2">
      <c r="A101" s="274">
        <v>44652</v>
      </c>
      <c r="B101" s="617">
        <v>90701082</v>
      </c>
      <c r="C101" s="617"/>
      <c r="D101" s="617">
        <v>6614469</v>
      </c>
      <c r="E101" s="617">
        <v>6675559</v>
      </c>
    </row>
    <row r="102" spans="1:5" ht="17" thickBot="1" x14ac:dyDescent="0.25">
      <c r="A102" s="274">
        <v>44682</v>
      </c>
      <c r="B102" s="617">
        <v>89446511</v>
      </c>
      <c r="C102" s="617"/>
      <c r="D102" s="617">
        <v>7536144</v>
      </c>
      <c r="E102" s="617">
        <v>7599643</v>
      </c>
    </row>
    <row r="103" spans="1:5" ht="17" thickBot="1" x14ac:dyDescent="0.25">
      <c r="A103" s="274">
        <v>44713</v>
      </c>
      <c r="B103" s="619">
        <v>89692408</v>
      </c>
      <c r="C103" s="620">
        <v>90520156</v>
      </c>
      <c r="D103" s="617">
        <v>8743056</v>
      </c>
      <c r="E103" s="617">
        <v>8803967</v>
      </c>
    </row>
    <row r="104" spans="1:5" x14ac:dyDescent="0.2">
      <c r="A104" s="274">
        <v>44743</v>
      </c>
      <c r="B104" s="617">
        <v>89386136</v>
      </c>
      <c r="C104" s="617"/>
      <c r="D104" s="617">
        <v>8658648</v>
      </c>
      <c r="E104" s="617">
        <v>8723593</v>
      </c>
    </row>
    <row r="105" spans="1:5" x14ac:dyDescent="0.2">
      <c r="A105" s="274">
        <v>44774</v>
      </c>
      <c r="B105" s="617">
        <v>90058326</v>
      </c>
      <c r="C105" s="617"/>
      <c r="D105" s="617">
        <v>9488278</v>
      </c>
      <c r="E105" s="617">
        <v>9568251</v>
      </c>
    </row>
    <row r="106" spans="1:5" x14ac:dyDescent="0.2">
      <c r="A106" s="274">
        <v>44805</v>
      </c>
      <c r="B106" s="617">
        <v>89931525</v>
      </c>
      <c r="C106" s="617"/>
      <c r="D106" s="617">
        <v>9620380</v>
      </c>
      <c r="E106" s="617">
        <v>9749217</v>
      </c>
    </row>
    <row r="107" spans="1:5" x14ac:dyDescent="0.2">
      <c r="A107" s="274">
        <v>44835</v>
      </c>
      <c r="B107" s="617">
        <v>89686998</v>
      </c>
      <c r="C107" s="617"/>
      <c r="D107" s="617">
        <v>7608376</v>
      </c>
      <c r="E107" s="617">
        <v>7743645</v>
      </c>
    </row>
    <row r="108" spans="1:5" x14ac:dyDescent="0.2">
      <c r="A108" s="274">
        <v>44866</v>
      </c>
      <c r="B108" s="617">
        <v>90490096</v>
      </c>
      <c r="C108" s="617"/>
      <c r="D108" s="617">
        <v>8270405</v>
      </c>
      <c r="E108" s="617">
        <v>8369357</v>
      </c>
    </row>
    <row r="109" spans="1:5" x14ac:dyDescent="0.2">
      <c r="A109" s="274">
        <v>44896</v>
      </c>
      <c r="B109" s="617">
        <v>90554772</v>
      </c>
      <c r="C109" s="617"/>
      <c r="D109" s="617">
        <v>6285639</v>
      </c>
      <c r="E109" s="617">
        <v>6364744</v>
      </c>
    </row>
    <row r="110" spans="1:5" x14ac:dyDescent="0.2">
      <c r="A110" s="295">
        <v>44927</v>
      </c>
      <c r="B110" s="617">
        <v>90952030</v>
      </c>
      <c r="C110" s="617"/>
      <c r="D110" s="617">
        <v>6116888</v>
      </c>
      <c r="E110" s="617">
        <v>6159370</v>
      </c>
    </row>
    <row r="111" spans="1:5" x14ac:dyDescent="0.2">
      <c r="A111" s="295">
        <v>44958</v>
      </c>
      <c r="B111" s="617">
        <v>91245100</v>
      </c>
      <c r="C111" s="617"/>
      <c r="D111" s="617">
        <v>6266441</v>
      </c>
      <c r="E111" s="617">
        <v>6332448</v>
      </c>
    </row>
    <row r="112" spans="1:5" x14ac:dyDescent="0.2">
      <c r="A112" s="295">
        <v>44986</v>
      </c>
      <c r="B112" s="617">
        <v>92037317</v>
      </c>
      <c r="C112" s="617"/>
      <c r="D112" s="617">
        <v>6828592</v>
      </c>
      <c r="E112" s="617">
        <v>6893818</v>
      </c>
    </row>
    <row r="113" spans="1:5" x14ac:dyDescent="0.2">
      <c r="A113" s="295">
        <v>45017</v>
      </c>
      <c r="B113" s="617">
        <v>92421203</v>
      </c>
      <c r="C113" s="617"/>
      <c r="D113" s="617">
        <v>6998355</v>
      </c>
      <c r="E113" s="617">
        <v>7097344</v>
      </c>
    </row>
    <row r="114" spans="1:5" ht="17" thickBot="1" x14ac:dyDescent="0.25">
      <c r="A114" s="295">
        <v>45047</v>
      </c>
      <c r="B114" s="617">
        <v>93510500</v>
      </c>
      <c r="C114" s="617"/>
      <c r="D114" s="617">
        <v>8625441</v>
      </c>
      <c r="E114" s="617">
        <v>8726206</v>
      </c>
    </row>
    <row r="115" spans="1:5" ht="17" thickBot="1" x14ac:dyDescent="0.25">
      <c r="A115" s="295">
        <v>45078</v>
      </c>
      <c r="B115" s="619">
        <v>93932338</v>
      </c>
      <c r="C115" s="620">
        <v>95015051</v>
      </c>
      <c r="D115" s="617">
        <v>9164894</v>
      </c>
      <c r="E115" s="617">
        <v>9287057</v>
      </c>
    </row>
    <row r="116" spans="1:5" x14ac:dyDescent="0.2">
      <c r="A116" s="295">
        <v>45108</v>
      </c>
      <c r="B116" s="617">
        <v>93669668</v>
      </c>
      <c r="C116" s="617"/>
      <c r="D116" s="617">
        <v>8395978</v>
      </c>
      <c r="E116" s="617">
        <v>8497423</v>
      </c>
    </row>
    <row r="117" spans="1:5" x14ac:dyDescent="0.2">
      <c r="A117" s="295">
        <v>45139</v>
      </c>
      <c r="B117" s="617">
        <v>94202442</v>
      </c>
      <c r="C117" s="617"/>
      <c r="D117" s="617">
        <v>10021052</v>
      </c>
      <c r="E117" s="617">
        <v>10153170</v>
      </c>
    </row>
    <row r="118" spans="1:5" x14ac:dyDescent="0.2">
      <c r="A118" s="295">
        <v>45170</v>
      </c>
      <c r="B118" s="617">
        <v>93817045</v>
      </c>
      <c r="C118" s="617"/>
      <c r="D118" s="617">
        <v>9234983</v>
      </c>
      <c r="E118" s="617">
        <v>9358033</v>
      </c>
    </row>
    <row r="119" spans="1:5" x14ac:dyDescent="0.2">
      <c r="A119" s="295">
        <v>45200</v>
      </c>
      <c r="B119" s="617">
        <v>95115663</v>
      </c>
      <c r="C119" s="617"/>
      <c r="D119" s="617">
        <v>8906994</v>
      </c>
      <c r="E119" s="617">
        <v>9036463</v>
      </c>
    </row>
    <row r="120" spans="1:5" x14ac:dyDescent="0.2">
      <c r="A120" s="295">
        <v>45231</v>
      </c>
      <c r="B120" s="617">
        <v>94437900</v>
      </c>
      <c r="C120" s="617"/>
      <c r="D120" s="617">
        <v>7592642</v>
      </c>
      <c r="E120" s="617">
        <v>7674122</v>
      </c>
    </row>
    <row r="121" spans="1:5" x14ac:dyDescent="0.2">
      <c r="A121" s="295">
        <v>45261</v>
      </c>
      <c r="B121" s="617">
        <v>94622317</v>
      </c>
      <c r="C121" s="617"/>
      <c r="D121" s="617">
        <v>6470056</v>
      </c>
      <c r="E121" s="617">
        <v>6531777</v>
      </c>
    </row>
    <row r="122" spans="1:5" x14ac:dyDescent="0.2">
      <c r="A122" s="280">
        <v>45292</v>
      </c>
      <c r="B122" s="617">
        <v>95197696</v>
      </c>
      <c r="C122" s="617"/>
      <c r="D122" s="617">
        <v>6692267</v>
      </c>
      <c r="E122" s="617">
        <v>6733975</v>
      </c>
    </row>
    <row r="123" spans="1:5" x14ac:dyDescent="0.2">
      <c r="A123" s="280">
        <v>45323</v>
      </c>
      <c r="B123" s="617">
        <v>95585834</v>
      </c>
      <c r="C123" s="617"/>
      <c r="D123" s="617">
        <v>6654580</v>
      </c>
      <c r="E123" s="617">
        <v>6712666</v>
      </c>
    </row>
    <row r="124" spans="1:5" x14ac:dyDescent="0.2">
      <c r="A124" s="280">
        <v>45352</v>
      </c>
      <c r="B124" s="617">
        <v>95368572</v>
      </c>
      <c r="C124" s="617"/>
      <c r="D124" s="617">
        <v>6611330</v>
      </c>
      <c r="E124" s="617">
        <v>6679128</v>
      </c>
    </row>
    <row r="125" spans="1:5" x14ac:dyDescent="0.2">
      <c r="A125" s="280">
        <v>45383</v>
      </c>
      <c r="B125" s="617">
        <v>97412202</v>
      </c>
      <c r="C125" s="617"/>
      <c r="D125" s="617">
        <v>9041986</v>
      </c>
      <c r="E125" s="617">
        <v>9136727</v>
      </c>
    </row>
    <row r="126" spans="1:5" ht="17" thickBot="1" x14ac:dyDescent="0.25">
      <c r="A126" s="280">
        <v>45413</v>
      </c>
      <c r="B126" s="617">
        <v>97207952</v>
      </c>
      <c r="C126" s="617"/>
      <c r="D126" s="617">
        <v>8421191</v>
      </c>
      <c r="E126" s="617">
        <v>8529013</v>
      </c>
    </row>
    <row r="127" spans="1:5" ht="17" thickBot="1" x14ac:dyDescent="0.25">
      <c r="A127" s="280">
        <v>45444</v>
      </c>
      <c r="B127" s="619">
        <v>96709341</v>
      </c>
      <c r="C127" s="620">
        <v>97804523</v>
      </c>
      <c r="D127" s="617">
        <v>8666283</v>
      </c>
      <c r="E127" s="617">
        <v>8762027</v>
      </c>
    </row>
    <row r="128" spans="1:5" x14ac:dyDescent="0.2">
      <c r="A128" s="280">
        <v>45474</v>
      </c>
      <c r="B128" s="617">
        <v>98664166</v>
      </c>
      <c r="C128" s="617"/>
      <c r="D128" s="617">
        <v>10350803</v>
      </c>
      <c r="E128" s="617">
        <v>10457403</v>
      </c>
    </row>
    <row r="129" spans="1:5" x14ac:dyDescent="0.2">
      <c r="A129" s="280">
        <v>45505</v>
      </c>
      <c r="B129" s="617">
        <v>98443491</v>
      </c>
      <c r="C129" s="617"/>
      <c r="D129" s="617">
        <v>9800377</v>
      </c>
      <c r="E129" s="617">
        <v>9884683</v>
      </c>
    </row>
    <row r="130" spans="1:5" x14ac:dyDescent="0.2">
      <c r="A130" s="280">
        <v>45536</v>
      </c>
      <c r="B130" s="617">
        <v>99413865</v>
      </c>
      <c r="C130" s="617"/>
      <c r="D130" s="617">
        <v>10205357</v>
      </c>
      <c r="E130" s="617">
        <v>10323266</v>
      </c>
    </row>
    <row r="131" spans="1:5" x14ac:dyDescent="0.2">
      <c r="A131" s="280">
        <v>45566</v>
      </c>
      <c r="B131" s="617">
        <v>99357598</v>
      </c>
      <c r="C131" s="617"/>
      <c r="D131" s="617">
        <v>8850727</v>
      </c>
      <c r="E131" s="617">
        <v>8981053</v>
      </c>
    </row>
    <row r="132" spans="1:5" x14ac:dyDescent="0.2">
      <c r="A132" s="280">
        <v>45597</v>
      </c>
      <c r="B132" s="617">
        <v>100029481</v>
      </c>
      <c r="C132" s="617"/>
      <c r="D132" s="617">
        <v>8264525</v>
      </c>
      <c r="E132" s="617">
        <v>8356413</v>
      </c>
    </row>
    <row r="133" spans="1:5" x14ac:dyDescent="0.2">
      <c r="A133" s="280">
        <v>45627</v>
      </c>
      <c r="B133" s="617">
        <v>100802371</v>
      </c>
      <c r="C133" s="617"/>
      <c r="D133" s="617">
        <v>7242946</v>
      </c>
      <c r="E133" s="617">
        <v>7304413</v>
      </c>
    </row>
    <row r="134" spans="1:5" x14ac:dyDescent="0.2">
      <c r="A134" s="274">
        <v>45658</v>
      </c>
      <c r="B134" s="617">
        <v>100581586</v>
      </c>
      <c r="C134" s="618"/>
      <c r="D134" s="617">
        <v>6471482</v>
      </c>
      <c r="E134" s="617">
        <v>6512462</v>
      </c>
    </row>
    <row r="135" spans="1:5" x14ac:dyDescent="0.2">
      <c r="A135" s="274">
        <v>45689</v>
      </c>
      <c r="B135" s="617">
        <v>101060258</v>
      </c>
      <c r="C135" s="618"/>
      <c r="D135" s="617">
        <v>7133253</v>
      </c>
      <c r="E135" s="617">
        <v>7190677</v>
      </c>
    </row>
    <row r="136" spans="1:5" x14ac:dyDescent="0.2">
      <c r="A136" s="274">
        <v>45717</v>
      </c>
      <c r="B136" s="617">
        <v>101471382</v>
      </c>
      <c r="C136" s="618"/>
      <c r="D136" s="617">
        <v>7022454</v>
      </c>
      <c r="E136" s="617">
        <v>7088093</v>
      </c>
    </row>
    <row r="137" spans="1:5" x14ac:dyDescent="0.2">
      <c r="A137" s="274">
        <v>45748</v>
      </c>
      <c r="B137" s="617">
        <v>101180417</v>
      </c>
      <c r="C137" s="618"/>
      <c r="D137" s="617">
        <v>8751020</v>
      </c>
      <c r="E137" s="617">
        <v>8826930</v>
      </c>
    </row>
    <row r="138" spans="1:5" ht="17" thickBot="1" x14ac:dyDescent="0.25">
      <c r="A138" s="274">
        <v>45778</v>
      </c>
      <c r="B138" s="617">
        <v>102046244</v>
      </c>
      <c r="C138" s="618"/>
      <c r="D138" s="617">
        <v>9287018</v>
      </c>
      <c r="E138" s="617">
        <v>9394077</v>
      </c>
    </row>
    <row r="139" spans="1:5" ht="17" thickBot="1" x14ac:dyDescent="0.25">
      <c r="A139" s="274">
        <v>45809</v>
      </c>
      <c r="B139" s="619">
        <v>103383996</v>
      </c>
      <c r="C139" s="620">
        <v>104419599</v>
      </c>
      <c r="D139" s="617">
        <v>10004035</v>
      </c>
      <c r="E139" s="617">
        <v>10100130</v>
      </c>
    </row>
    <row r="140" spans="1:5" x14ac:dyDescent="0.2">
      <c r="A140" s="274">
        <v>45839</v>
      </c>
      <c r="B140" s="617">
        <v>103225651</v>
      </c>
      <c r="C140" s="618"/>
      <c r="D140" s="617">
        <v>10192458</v>
      </c>
      <c r="E140" s="617">
        <v>10302796</v>
      </c>
    </row>
    <row r="141" spans="1:5" x14ac:dyDescent="0.2">
      <c r="A141" s="274">
        <v>45870</v>
      </c>
      <c r="B141" s="617">
        <v>103479701</v>
      </c>
      <c r="C141" s="618"/>
      <c r="D141" s="617">
        <v>10054427</v>
      </c>
      <c r="E141" s="617">
        <v>10146317</v>
      </c>
    </row>
    <row r="142" spans="1:5" x14ac:dyDescent="0.2">
      <c r="A142" s="274">
        <v>45901</v>
      </c>
      <c r="B142" s="617">
        <v>104605753</v>
      </c>
      <c r="C142" s="618"/>
      <c r="D142" s="617">
        <v>11331409</v>
      </c>
      <c r="E142" s="617">
        <v>11472673</v>
      </c>
    </row>
    <row r="143" spans="1:5" x14ac:dyDescent="0.2">
      <c r="A143" s="274">
        <v>45931</v>
      </c>
      <c r="B143" s="617">
        <v>105551131</v>
      </c>
      <c r="C143" s="618"/>
      <c r="D143" s="617">
        <v>9796105</v>
      </c>
      <c r="E143" s="617">
        <v>9935103</v>
      </c>
    </row>
    <row r="144" spans="1:5" x14ac:dyDescent="0.2">
      <c r="A144" s="274">
        <v>45962</v>
      </c>
      <c r="B144" s="617">
        <v>105265370</v>
      </c>
      <c r="C144" s="618"/>
      <c r="D144" s="617">
        <v>7978764</v>
      </c>
      <c r="E144" s="617">
        <v>8056244</v>
      </c>
    </row>
    <row r="145" spans="1:5" x14ac:dyDescent="0.2">
      <c r="A145" s="274">
        <v>45992</v>
      </c>
      <c r="B145" s="617">
        <v>106068432</v>
      </c>
      <c r="C145" s="618"/>
      <c r="D145" s="617">
        <v>8046008</v>
      </c>
      <c r="E145" s="617">
        <v>8107069</v>
      </c>
    </row>
    <row r="146" spans="1:5" x14ac:dyDescent="0.2">
      <c r="A146" s="295">
        <v>46023</v>
      </c>
      <c r="B146" s="617">
        <v>106905493</v>
      </c>
      <c r="C146" s="618"/>
      <c r="D146" s="617">
        <v>7308543</v>
      </c>
      <c r="E146" s="617">
        <v>7345971</v>
      </c>
    </row>
    <row r="147" spans="1:5" x14ac:dyDescent="0.2">
      <c r="A147" s="295">
        <v>46054</v>
      </c>
      <c r="B147" s="617">
        <v>99772241</v>
      </c>
      <c r="C147" s="618"/>
      <c r="D147" s="617">
        <v>0</v>
      </c>
      <c r="E147" s="617">
        <v>0</v>
      </c>
    </row>
    <row r="148" spans="1:5" x14ac:dyDescent="0.2">
      <c r="A148" s="295">
        <v>46082</v>
      </c>
      <c r="B148" s="617">
        <v>92749787</v>
      </c>
      <c r="C148" s="618"/>
      <c r="D148" s="617">
        <v>0</v>
      </c>
      <c r="E148" s="617">
        <v>0</v>
      </c>
    </row>
    <row r="149" spans="1:5" x14ac:dyDescent="0.2">
      <c r="A149" s="295">
        <v>46113</v>
      </c>
      <c r="B149" s="617">
        <v>83998767</v>
      </c>
      <c r="C149" s="618"/>
      <c r="D149" s="617">
        <v>0</v>
      </c>
      <c r="E149" s="617">
        <v>0</v>
      </c>
    </row>
    <row r="150" spans="1:5" ht="17" thickBot="1" x14ac:dyDescent="0.25">
      <c r="A150" s="295">
        <v>46143</v>
      </c>
      <c r="B150" s="617">
        <v>74711749</v>
      </c>
      <c r="C150" s="618"/>
      <c r="D150" s="617">
        <v>0</v>
      </c>
      <c r="E150" s="617">
        <v>0</v>
      </c>
    </row>
    <row r="151" spans="1:5" ht="17" thickBot="1" x14ac:dyDescent="0.25">
      <c r="A151" s="295">
        <v>46174</v>
      </c>
      <c r="B151" s="619">
        <v>64707714</v>
      </c>
      <c r="C151" s="620">
        <v>65366173</v>
      </c>
      <c r="D151" s="617">
        <v>0</v>
      </c>
      <c r="E151" s="6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4" sqref="N4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532" t="s">
        <v>46</v>
      </c>
      <c r="M1" s="65" t="s">
        <v>47</v>
      </c>
      <c r="N1" s="65" t="s">
        <v>24</v>
      </c>
      <c r="O1" s="65" t="s">
        <v>91</v>
      </c>
      <c r="P1" s="532" t="s">
        <v>114</v>
      </c>
      <c r="Q1" s="532" t="s">
        <v>115</v>
      </c>
      <c r="R1" s="65" t="s">
        <v>116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4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5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5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5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5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5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5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5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5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5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5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5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5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6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6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6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6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6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6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6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6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6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6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6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6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7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8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8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8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8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8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8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8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8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8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8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8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49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0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0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0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0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0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1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1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1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1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1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1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2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2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2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2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2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2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2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2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2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734</v>
      </c>
      <c r="C1" s="52" t="s">
        <v>87</v>
      </c>
      <c r="D1" s="169" t="s">
        <v>93</v>
      </c>
      <c r="E1" s="170" t="s">
        <v>94</v>
      </c>
      <c r="F1" s="170" t="s">
        <v>6</v>
      </c>
      <c r="G1" s="170" t="s">
        <v>95</v>
      </c>
      <c r="H1" s="170" t="s">
        <v>96</v>
      </c>
      <c r="I1" s="170" t="s">
        <v>97</v>
      </c>
      <c r="J1" s="171" t="s">
        <v>41</v>
      </c>
      <c r="K1" s="172" t="s">
        <v>98</v>
      </c>
      <c r="L1" s="172" t="s">
        <v>99</v>
      </c>
      <c r="M1" s="172" t="s">
        <v>45</v>
      </c>
      <c r="N1" s="172" t="s">
        <v>89</v>
      </c>
      <c r="O1" s="173" t="s">
        <v>42</v>
      </c>
      <c r="P1" s="174" t="s">
        <v>100</v>
      </c>
      <c r="Q1" s="174" t="s">
        <v>101</v>
      </c>
      <c r="R1" s="174" t="s">
        <v>102</v>
      </c>
      <c r="S1" s="566" t="s">
        <v>721</v>
      </c>
      <c r="T1" s="567" t="s">
        <v>722</v>
      </c>
      <c r="U1" s="583" t="s">
        <v>110</v>
      </c>
      <c r="V1" s="175" t="s">
        <v>104</v>
      </c>
      <c r="W1" s="175" t="s">
        <v>105</v>
      </c>
      <c r="X1" s="175" t="s">
        <v>106</v>
      </c>
      <c r="Y1" s="175" t="s">
        <v>47</v>
      </c>
      <c r="Z1" s="176" t="s">
        <v>90</v>
      </c>
      <c r="AA1" s="584" t="s">
        <v>91</v>
      </c>
      <c r="AB1" s="176" t="s">
        <v>24</v>
      </c>
      <c r="AC1" s="253" t="s">
        <v>92</v>
      </c>
      <c r="AD1" s="568"/>
      <c r="AE1" s="569" t="s">
        <v>108</v>
      </c>
      <c r="AF1" s="570" t="s">
        <v>723</v>
      </c>
      <c r="AG1" s="570" t="s">
        <v>724</v>
      </c>
      <c r="AH1" s="571" t="s">
        <v>725</v>
      </c>
      <c r="AI1" s="571" t="s">
        <v>726</v>
      </c>
      <c r="AJ1" s="572" t="s">
        <v>727</v>
      </c>
      <c r="AK1" s="572" t="s">
        <v>728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111</v>
      </c>
      <c r="B13" s="586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117</v>
      </c>
      <c r="Q1" s="65" t="s">
        <v>115</v>
      </c>
      <c r="R1" s="65" t="s">
        <v>116</v>
      </c>
    </row>
    <row r="2" spans="1:18" ht="17" x14ac:dyDescent="0.2">
      <c r="A2" s="363" t="s">
        <v>118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4" t="s">
        <v>111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4" t="s">
        <v>119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120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112</v>
      </c>
      <c r="C1" s="518" t="s">
        <v>112</v>
      </c>
      <c r="D1" s="12"/>
      <c r="E1" s="65" t="s">
        <v>41</v>
      </c>
      <c r="F1" s="518" t="s">
        <v>41</v>
      </c>
      <c r="G1" s="12"/>
      <c r="H1" s="65" t="s">
        <v>42</v>
      </c>
      <c r="I1" s="518" t="s">
        <v>42</v>
      </c>
      <c r="J1" s="12"/>
      <c r="K1" s="65" t="s">
        <v>40</v>
      </c>
      <c r="L1" s="518" t="s">
        <v>40</v>
      </c>
      <c r="M1" s="12"/>
      <c r="N1" s="65" t="s">
        <v>43</v>
      </c>
      <c r="O1" s="518" t="s">
        <v>43</v>
      </c>
      <c r="P1" s="12"/>
      <c r="Q1" s="65" t="s">
        <v>44</v>
      </c>
      <c r="R1" s="518" t="s">
        <v>44</v>
      </c>
      <c r="S1" s="12"/>
      <c r="T1" s="65" t="s">
        <v>113</v>
      </c>
      <c r="U1" s="518" t="s">
        <v>113</v>
      </c>
      <c r="V1" s="519"/>
      <c r="W1" s="65" t="s">
        <v>45</v>
      </c>
      <c r="X1" s="518" t="s">
        <v>45</v>
      </c>
      <c r="Y1" s="12"/>
      <c r="Z1" s="65" t="s">
        <v>46</v>
      </c>
      <c r="AA1" s="65" t="s">
        <v>47</v>
      </c>
      <c r="AB1" s="518" t="s">
        <v>47</v>
      </c>
      <c r="AC1" s="12"/>
      <c r="AD1" s="65" t="s">
        <v>114</v>
      </c>
      <c r="AE1" s="518" t="s">
        <v>114</v>
      </c>
      <c r="AF1" s="12"/>
      <c r="AG1" s="65" t="s">
        <v>115</v>
      </c>
      <c r="AH1" s="65" t="s">
        <v>116</v>
      </c>
      <c r="AI1" s="518" t="s">
        <v>116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7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7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7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7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7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7" t="str">
        <f>IF(Q2=R2,"/")</f>
        <v>/</v>
      </c>
      <c r="T2" s="56"/>
      <c r="U2" s="56"/>
      <c r="V2" s="517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7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7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7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7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7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7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7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7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7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7" t="str">
        <f t="shared" ref="S3:S64" si="7">IF(Q3=R3,"/")</f>
        <v>/</v>
      </c>
      <c r="T3" s="56"/>
      <c r="U3" s="56"/>
      <c r="V3" s="517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7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7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7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7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7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7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7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7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7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7" t="str">
        <f t="shared" si="7"/>
        <v>/</v>
      </c>
      <c r="T4" s="56"/>
      <c r="U4" s="56"/>
      <c r="V4" s="517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7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7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7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7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7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7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7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7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7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7" t="str">
        <f t="shared" si="7"/>
        <v>/</v>
      </c>
      <c r="T5" s="56"/>
      <c r="U5" s="56"/>
      <c r="V5" s="517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7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7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7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7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7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7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7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7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7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7" t="str">
        <f t="shared" si="7"/>
        <v>/</v>
      </c>
      <c r="T6" s="56"/>
      <c r="U6" s="56"/>
      <c r="V6" s="517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7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7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7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7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7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7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7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7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7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7" t="str">
        <f t="shared" si="7"/>
        <v>/</v>
      </c>
      <c r="T7" s="313"/>
      <c r="U7" s="313"/>
      <c r="V7" s="517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7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7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7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7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7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7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7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7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7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7" t="str">
        <f t="shared" si="7"/>
        <v>/</v>
      </c>
      <c r="T8" s="56"/>
      <c r="U8" s="56"/>
      <c r="V8" s="517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7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7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7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7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7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7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7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7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7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7" t="str">
        <f t="shared" si="7"/>
        <v>/</v>
      </c>
      <c r="T9" s="56"/>
      <c r="U9" s="56"/>
      <c r="V9" s="517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7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7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7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7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7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7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7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7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7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7" t="str">
        <f t="shared" si="7"/>
        <v>/</v>
      </c>
      <c r="T10" s="56"/>
      <c r="U10" s="56"/>
      <c r="V10" s="517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7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7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7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7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7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7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7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7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7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7" t="str">
        <f t="shared" si="7"/>
        <v>/</v>
      </c>
      <c r="T11" s="56"/>
      <c r="U11" s="56"/>
      <c r="V11" s="517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7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7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7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7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7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7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7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7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7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7" t="str">
        <f t="shared" si="7"/>
        <v>/</v>
      </c>
      <c r="T12" s="56"/>
      <c r="U12" s="56"/>
      <c r="V12" s="517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7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7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7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7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7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7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7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7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7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7" t="str">
        <f t="shared" si="7"/>
        <v>/</v>
      </c>
      <c r="T13" s="56"/>
      <c r="U13" s="56"/>
      <c r="V13" s="517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7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7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7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7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7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7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7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7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7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7" t="str">
        <f t="shared" si="7"/>
        <v>/</v>
      </c>
      <c r="T14" s="56"/>
      <c r="U14" s="56"/>
      <c r="V14" s="517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7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7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7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7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7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7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7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7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7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7" t="str">
        <f t="shared" si="7"/>
        <v>/</v>
      </c>
      <c r="T15" s="56"/>
      <c r="U15" s="56"/>
      <c r="V15" s="517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7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7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7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7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7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7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7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7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7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7" t="str">
        <f t="shared" si="7"/>
        <v>/</v>
      </c>
      <c r="T16" s="56"/>
      <c r="U16" s="56"/>
      <c r="V16" s="517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7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7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7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7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7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7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7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7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7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7" t="str">
        <f t="shared" si="7"/>
        <v>/</v>
      </c>
      <c r="T17" s="56"/>
      <c r="U17" s="56"/>
      <c r="V17" s="517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7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7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7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7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7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7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7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7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7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7" t="str">
        <f t="shared" si="7"/>
        <v>/</v>
      </c>
      <c r="T18" s="56"/>
      <c r="U18" s="56"/>
      <c r="V18" s="517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7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7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7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7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7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7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7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7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7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7" t="str">
        <f t="shared" si="7"/>
        <v>/</v>
      </c>
      <c r="T19" s="313"/>
      <c r="U19" s="313"/>
      <c r="V19" s="517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7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7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7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7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7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7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7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7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7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7" t="str">
        <f t="shared" si="7"/>
        <v>/</v>
      </c>
      <c r="T20" s="56"/>
      <c r="U20" s="56"/>
      <c r="V20" s="517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7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7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7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7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7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7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7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7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7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7" t="str">
        <f t="shared" si="7"/>
        <v>/</v>
      </c>
      <c r="T21" s="56"/>
      <c r="U21" s="56"/>
      <c r="V21" s="517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7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7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7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7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7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7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7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7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7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7" t="str">
        <f t="shared" si="7"/>
        <v>/</v>
      </c>
      <c r="T22" s="56"/>
      <c r="U22" s="56"/>
      <c r="V22" s="517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7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7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7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7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7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7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7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7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7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7" t="str">
        <f t="shared" si="7"/>
        <v>/</v>
      </c>
      <c r="T23" s="56"/>
      <c r="U23" s="56"/>
      <c r="V23" s="517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7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7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7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7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7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7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7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7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7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7" t="str">
        <f t="shared" si="7"/>
        <v>/</v>
      </c>
      <c r="T24" s="56"/>
      <c r="U24" s="56"/>
      <c r="V24" s="517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7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7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7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7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7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7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7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7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7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7" t="str">
        <f t="shared" si="7"/>
        <v>/</v>
      </c>
      <c r="T25" s="56"/>
      <c r="U25" s="56"/>
      <c r="V25" s="517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7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7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7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7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7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7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7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7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7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7" t="str">
        <f t="shared" si="7"/>
        <v>/</v>
      </c>
      <c r="T26" s="56"/>
      <c r="U26" s="56"/>
      <c r="V26" s="517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7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7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7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7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7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7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7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7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7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7" t="str">
        <f t="shared" si="7"/>
        <v>/</v>
      </c>
      <c r="T27" s="56"/>
      <c r="U27" s="56"/>
      <c r="V27" s="517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7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7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7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7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7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7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7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7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7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7" t="str">
        <f t="shared" si="7"/>
        <v>/</v>
      </c>
      <c r="T28" s="56"/>
      <c r="U28" s="56"/>
      <c r="V28" s="517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7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7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7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7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7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7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7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7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7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7" t="str">
        <f t="shared" si="7"/>
        <v>/</v>
      </c>
      <c r="T29" s="56"/>
      <c r="U29" s="56"/>
      <c r="V29" s="517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7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7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7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7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7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7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7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7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7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7" t="str">
        <f t="shared" si="7"/>
        <v>/</v>
      </c>
      <c r="T30" s="56"/>
      <c r="U30" s="56"/>
      <c r="V30" s="517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7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7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7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7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7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7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7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7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7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7" t="str">
        <f t="shared" si="7"/>
        <v>/</v>
      </c>
      <c r="T31" s="313"/>
      <c r="U31" s="313"/>
      <c r="V31" s="517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7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7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7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7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7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7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7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7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7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7" t="str">
        <f t="shared" si="7"/>
        <v>/</v>
      </c>
      <c r="T32" s="56"/>
      <c r="U32" s="56"/>
      <c r="V32" s="517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7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7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7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7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7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7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7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7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7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7" t="str">
        <f t="shared" si="7"/>
        <v>/</v>
      </c>
      <c r="T33" s="56"/>
      <c r="U33" s="56"/>
      <c r="V33" s="517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7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7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7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7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7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7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7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7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7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7" t="str">
        <f t="shared" si="7"/>
        <v>/</v>
      </c>
      <c r="T34" s="56"/>
      <c r="U34" s="56"/>
      <c r="V34" s="517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7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7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7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7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7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7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7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7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7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7" t="str">
        <f t="shared" si="7"/>
        <v>/</v>
      </c>
      <c r="T35" s="56"/>
      <c r="U35" s="56"/>
      <c r="V35" s="517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7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7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7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7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7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7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7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7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7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7" t="str">
        <f t="shared" si="7"/>
        <v>/</v>
      </c>
      <c r="T36" s="56"/>
      <c r="U36" s="56"/>
      <c r="V36" s="517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7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7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7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7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7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7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7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7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7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7" t="str">
        <f t="shared" si="7"/>
        <v>/</v>
      </c>
      <c r="T37" s="56"/>
      <c r="U37" s="56"/>
      <c r="V37" s="517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7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7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7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7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7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7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7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7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7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7" t="str">
        <f t="shared" si="7"/>
        <v>/</v>
      </c>
      <c r="T38" s="56"/>
      <c r="U38" s="56"/>
      <c r="V38" s="517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7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7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7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7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7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7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7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7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7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7" t="str">
        <f t="shared" si="7"/>
        <v>/</v>
      </c>
      <c r="T39" s="56"/>
      <c r="U39" s="56"/>
      <c r="V39" s="517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7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7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7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7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7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7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7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7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7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7" t="str">
        <f t="shared" si="7"/>
        <v>/</v>
      </c>
      <c r="T40" s="56"/>
      <c r="U40" s="56"/>
      <c r="V40" s="517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7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7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7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7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7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7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7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7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7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7" t="str">
        <f t="shared" si="7"/>
        <v>/</v>
      </c>
      <c r="T41" s="56"/>
      <c r="U41" s="56"/>
      <c r="V41" s="517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7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7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7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7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7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7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7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7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7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7" t="str">
        <f t="shared" si="7"/>
        <v>/</v>
      </c>
      <c r="T42" s="56"/>
      <c r="U42" s="56"/>
      <c r="V42" s="517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7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7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7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7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7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7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7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7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7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7" t="str">
        <f t="shared" si="7"/>
        <v>/</v>
      </c>
      <c r="T43" s="313"/>
      <c r="U43" s="313"/>
      <c r="V43" s="517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7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7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7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7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7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7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7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7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7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7" t="str">
        <f t="shared" si="7"/>
        <v>/</v>
      </c>
      <c r="T44" s="56"/>
      <c r="U44" s="56"/>
      <c r="V44" s="517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7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7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7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7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7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7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7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7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7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7" t="str">
        <f t="shared" si="7"/>
        <v>/</v>
      </c>
      <c r="T45" s="56"/>
      <c r="U45" s="56"/>
      <c r="V45" s="517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7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7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7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7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7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7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7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7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7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7" t="str">
        <f t="shared" si="7"/>
        <v>/</v>
      </c>
      <c r="T46" s="56"/>
      <c r="U46" s="56"/>
      <c r="V46" s="517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7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7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7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7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7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7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7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7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7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7" t="str">
        <f t="shared" si="7"/>
        <v>/</v>
      </c>
      <c r="T47" s="56"/>
      <c r="U47" s="56"/>
      <c r="V47" s="517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7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7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7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7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7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7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7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7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7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7" t="str">
        <f t="shared" si="7"/>
        <v>/</v>
      </c>
      <c r="T48" s="56"/>
      <c r="U48" s="56"/>
      <c r="V48" s="517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7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7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7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7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7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7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7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7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7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7" t="str">
        <f t="shared" si="7"/>
        <v>/</v>
      </c>
      <c r="T49" s="56"/>
      <c r="U49" s="56"/>
      <c r="V49" s="517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7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7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7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7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7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7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7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7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7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7" t="str">
        <f t="shared" si="7"/>
        <v>/</v>
      </c>
      <c r="T50" s="56"/>
      <c r="U50" s="56"/>
      <c r="V50" s="517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7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7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7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7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7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7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7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7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7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7" t="str">
        <f t="shared" si="7"/>
        <v>/</v>
      </c>
      <c r="T51" s="56"/>
      <c r="U51" s="56"/>
      <c r="V51" s="517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7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7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7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7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7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7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7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7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7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7" t="str">
        <f t="shared" si="7"/>
        <v>/</v>
      </c>
      <c r="T52" s="56"/>
      <c r="U52" s="56"/>
      <c r="V52" s="517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7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7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7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7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7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7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7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7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7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7" t="str">
        <f t="shared" si="7"/>
        <v>/</v>
      </c>
      <c r="T53" s="56"/>
      <c r="U53" s="56"/>
      <c r="V53" s="517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7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7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7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7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7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7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7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7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7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7" t="str">
        <f t="shared" si="7"/>
        <v>/</v>
      </c>
      <c r="T54" s="56"/>
      <c r="U54" s="56"/>
      <c r="V54" s="517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7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7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7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7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7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7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7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7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7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7" t="str">
        <f t="shared" si="7"/>
        <v>/</v>
      </c>
      <c r="T55" s="313"/>
      <c r="U55" s="313"/>
      <c r="V55" s="517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7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7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7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7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7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7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7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7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7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7" t="str">
        <f t="shared" si="7"/>
        <v>/</v>
      </c>
      <c r="T56" s="56"/>
      <c r="U56" s="56"/>
      <c r="V56" s="517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7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7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7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7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7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7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7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7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7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7" t="str">
        <f t="shared" si="7"/>
        <v>/</v>
      </c>
      <c r="T57" s="56"/>
      <c r="U57" s="56"/>
      <c r="V57" s="517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7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7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7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7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7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7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7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7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7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7" t="str">
        <f t="shared" si="7"/>
        <v>/</v>
      </c>
      <c r="T58" s="56"/>
      <c r="U58" s="56"/>
      <c r="V58" s="517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7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7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7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7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7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7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7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7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7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7" t="str">
        <f t="shared" si="7"/>
        <v>/</v>
      </c>
      <c r="T59" s="56"/>
      <c r="U59" s="56"/>
      <c r="V59" s="517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7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7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7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7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7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7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7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7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7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7" t="str">
        <f t="shared" si="7"/>
        <v>/</v>
      </c>
      <c r="T60" s="56"/>
      <c r="U60" s="56"/>
      <c r="V60" s="517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7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7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7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7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7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7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7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7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7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7" t="str">
        <f t="shared" si="7"/>
        <v>/</v>
      </c>
      <c r="T61" s="56"/>
      <c r="U61" s="56"/>
      <c r="V61" s="517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7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7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7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7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7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7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7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7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7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7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7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7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7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7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7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7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7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7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7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7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7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7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7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7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7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7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7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7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7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7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7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7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7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7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7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7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7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121</v>
      </c>
      <c r="C1" s="96" t="s">
        <v>122</v>
      </c>
      <c r="D1" s="96" t="s">
        <v>47</v>
      </c>
      <c r="E1" s="96" t="s">
        <v>123</v>
      </c>
      <c r="F1" s="96" t="s">
        <v>124</v>
      </c>
      <c r="G1" s="96" t="s">
        <v>125</v>
      </c>
      <c r="H1" s="97" t="s">
        <v>126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127</v>
      </c>
      <c r="C1" s="88" t="s">
        <v>128</v>
      </c>
      <c r="D1" s="88" t="s">
        <v>47</v>
      </c>
      <c r="E1" s="88" t="s">
        <v>129</v>
      </c>
      <c r="F1" s="89" t="s">
        <v>130</v>
      </c>
      <c r="G1" s="89" t="s">
        <v>124</v>
      </c>
      <c r="H1" s="89" t="s">
        <v>125</v>
      </c>
      <c r="I1" s="89" t="s">
        <v>131</v>
      </c>
      <c r="J1" s="88" t="s">
        <v>132</v>
      </c>
    </row>
    <row r="2" spans="1:10" x14ac:dyDescent="0.2">
      <c r="A2" s="86" t="s">
        <v>133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134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135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118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111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1">
        <f>SUM(B17:F17)</f>
        <v>315472</v>
      </c>
      <c r="H17" s="591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2" t="s">
        <v>137</v>
      </c>
    </row>
    <row r="23" spans="1:9" x14ac:dyDescent="0.2">
      <c r="G23" s="8" t="s">
        <v>136</v>
      </c>
    </row>
    <row r="25" spans="1:9" x14ac:dyDescent="0.2">
      <c r="B25" s="78" t="s">
        <v>138</v>
      </c>
      <c r="G25" s="53">
        <f>2.8317/100</f>
        <v>2.8317000000000002E-2</v>
      </c>
    </row>
    <row r="26" spans="1:9" x14ac:dyDescent="0.2">
      <c r="B26" s="592" t="s">
        <v>139</v>
      </c>
    </row>
    <row r="27" spans="1:9" x14ac:dyDescent="0.2">
      <c r="B27" s="78"/>
    </row>
    <row r="28" spans="1:9" x14ac:dyDescent="0.2">
      <c r="B28" s="85" t="s">
        <v>140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141</v>
      </c>
      <c r="C1" s="89" t="s">
        <v>142</v>
      </c>
      <c r="D1" s="89" t="s">
        <v>143</v>
      </c>
      <c r="E1" s="89" t="s">
        <v>739</v>
      </c>
      <c r="F1" s="89" t="s">
        <v>738</v>
      </c>
      <c r="G1" s="89" t="s">
        <v>144</v>
      </c>
      <c r="H1" s="89" t="s">
        <v>737</v>
      </c>
      <c r="I1" s="89" t="s">
        <v>145</v>
      </c>
      <c r="J1" s="89" t="s">
        <v>146</v>
      </c>
      <c r="K1" s="89" t="s">
        <v>147</v>
      </c>
    </row>
    <row r="2" spans="1:11" x14ac:dyDescent="0.15">
      <c r="A2" s="86" t="s">
        <v>133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134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135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118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111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7" t="s">
        <v>741</v>
      </c>
      <c r="C1" s="638"/>
      <c r="D1" s="638"/>
      <c r="E1" s="638"/>
      <c r="F1" s="438"/>
      <c r="G1" s="637" t="s">
        <v>149</v>
      </c>
      <c r="H1" s="638"/>
      <c r="I1" s="638"/>
      <c r="J1" s="638"/>
      <c r="K1" s="638"/>
      <c r="L1" s="638"/>
      <c r="M1" s="638"/>
      <c r="N1" s="638"/>
      <c r="O1" s="638"/>
      <c r="P1" s="638"/>
      <c r="Q1" s="638"/>
      <c r="R1" s="638"/>
      <c r="S1" s="639"/>
      <c r="T1" s="640" t="s">
        <v>150</v>
      </c>
      <c r="U1" s="641"/>
      <c r="V1" s="641"/>
      <c r="W1" s="641"/>
      <c r="X1" s="641"/>
      <c r="Y1" s="641"/>
      <c r="Z1" s="641"/>
      <c r="AA1" s="642"/>
      <c r="AB1" s="439"/>
      <c r="AC1" s="410" t="s">
        <v>151</v>
      </c>
    </row>
    <row r="2" spans="1:29" ht="15" customHeight="1" x14ac:dyDescent="0.15">
      <c r="A2" s="623"/>
      <c r="B2" s="625" t="s">
        <v>740</v>
      </c>
      <c r="C2" s="626"/>
      <c r="D2" s="625" t="s">
        <v>152</v>
      </c>
      <c r="E2" s="626"/>
      <c r="F2" s="629" t="s">
        <v>148</v>
      </c>
      <c r="G2" s="631" t="s">
        <v>153</v>
      </c>
      <c r="H2" s="632"/>
      <c r="I2" s="625" t="s">
        <v>154</v>
      </c>
      <c r="J2" s="626"/>
      <c r="K2" s="631" t="s">
        <v>155</v>
      </c>
      <c r="L2" s="632"/>
      <c r="M2" s="625" t="s">
        <v>156</v>
      </c>
      <c r="N2" s="626"/>
      <c r="O2" s="631" t="s">
        <v>157</v>
      </c>
      <c r="P2" s="632"/>
      <c r="Q2" s="631" t="s">
        <v>158</v>
      </c>
      <c r="R2" s="632"/>
      <c r="S2" s="629" t="s">
        <v>149</v>
      </c>
      <c r="T2" s="625" t="s">
        <v>159</v>
      </c>
      <c r="U2" s="626"/>
      <c r="V2" s="631" t="s">
        <v>160</v>
      </c>
      <c r="W2" s="632"/>
      <c r="X2" s="631" t="s">
        <v>161</v>
      </c>
      <c r="Y2" s="632"/>
      <c r="Z2" s="631" t="s">
        <v>162</v>
      </c>
      <c r="AA2" s="632"/>
      <c r="AB2" s="629" t="s">
        <v>150</v>
      </c>
      <c r="AC2" s="635"/>
    </row>
    <row r="3" spans="1:29" ht="74" customHeight="1" x14ac:dyDescent="0.15">
      <c r="A3" s="624"/>
      <c r="B3" s="627"/>
      <c r="C3" s="628"/>
      <c r="D3" s="627"/>
      <c r="E3" s="628"/>
      <c r="F3" s="630"/>
      <c r="G3" s="633"/>
      <c r="H3" s="634"/>
      <c r="I3" s="627"/>
      <c r="J3" s="628"/>
      <c r="K3" s="633"/>
      <c r="L3" s="634"/>
      <c r="M3" s="627"/>
      <c r="N3" s="628"/>
      <c r="O3" s="633"/>
      <c r="P3" s="634"/>
      <c r="Q3" s="633"/>
      <c r="R3" s="634"/>
      <c r="S3" s="630"/>
      <c r="T3" s="627"/>
      <c r="U3" s="628"/>
      <c r="V3" s="633"/>
      <c r="W3" s="634"/>
      <c r="X3" s="633"/>
      <c r="Y3" s="634"/>
      <c r="Z3" s="633"/>
      <c r="AA3" s="634"/>
      <c r="AB3" s="630"/>
      <c r="AC3" s="636"/>
    </row>
    <row r="4" spans="1:29" ht="40" x14ac:dyDescent="0.15">
      <c r="A4" s="624"/>
      <c r="B4" s="413" t="s">
        <v>163</v>
      </c>
      <c r="C4" s="413" t="s">
        <v>164</v>
      </c>
      <c r="D4" s="413" t="s">
        <v>165</v>
      </c>
      <c r="E4" s="413" t="s">
        <v>164</v>
      </c>
      <c r="F4" s="414"/>
      <c r="G4" s="413" t="s">
        <v>163</v>
      </c>
      <c r="H4" s="413" t="s">
        <v>164</v>
      </c>
      <c r="I4" s="413" t="s">
        <v>163</v>
      </c>
      <c r="J4" s="413" t="s">
        <v>164</v>
      </c>
      <c r="K4" s="413" t="s">
        <v>163</v>
      </c>
      <c r="L4" s="413" t="s">
        <v>164</v>
      </c>
      <c r="M4" s="413" t="s">
        <v>163</v>
      </c>
      <c r="N4" s="413" t="s">
        <v>164</v>
      </c>
      <c r="O4" s="413" t="s">
        <v>163</v>
      </c>
      <c r="P4" s="413" t="s">
        <v>164</v>
      </c>
      <c r="Q4" s="413" t="s">
        <v>163</v>
      </c>
      <c r="R4" s="413" t="s">
        <v>164</v>
      </c>
      <c r="S4" s="414"/>
      <c r="T4" s="413" t="s">
        <v>166</v>
      </c>
      <c r="U4" s="413" t="s">
        <v>164</v>
      </c>
      <c r="V4" s="413" t="s">
        <v>166</v>
      </c>
      <c r="W4" s="413" t="s">
        <v>164</v>
      </c>
      <c r="X4" s="413" t="s">
        <v>166</v>
      </c>
      <c r="Y4" s="413" t="s">
        <v>164</v>
      </c>
      <c r="Z4" s="413" t="s">
        <v>167</v>
      </c>
      <c r="AA4" s="413" t="s">
        <v>168</v>
      </c>
      <c r="AB4" s="413"/>
      <c r="AC4" s="411" t="s">
        <v>164</v>
      </c>
    </row>
    <row r="5" spans="1:29" ht="19" x14ac:dyDescent="0.2">
      <c r="A5" s="440" t="s">
        <v>169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170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171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1">
        <f>C7/AC7</f>
        <v>5.4389515174587261E-3</v>
      </c>
      <c r="E9" s="521">
        <f>E7/AC7</f>
        <v>0.88341313637632723</v>
      </c>
    </row>
    <row r="10" spans="1:29" x14ac:dyDescent="0.15">
      <c r="S10" s="521">
        <f>S7/AC7</f>
        <v>4.6235567905889466E-2</v>
      </c>
      <c r="AB10" s="521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  <mergeCell ref="A2:A4"/>
    <mergeCell ref="B2:C3"/>
    <mergeCell ref="D2:E3"/>
    <mergeCell ref="F2:F3"/>
    <mergeCell ref="G2:H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5" t="s">
        <v>172</v>
      </c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6"/>
      <c r="O1" s="643" t="s">
        <v>173</v>
      </c>
      <c r="P1" s="644"/>
      <c r="Q1" s="443" t="s">
        <v>174</v>
      </c>
    </row>
    <row r="2" spans="1:17" ht="69" thickBot="1" x14ac:dyDescent="0.25">
      <c r="A2" s="525"/>
      <c r="B2" s="526" t="s">
        <v>175</v>
      </c>
      <c r="C2" s="527" t="s">
        <v>176</v>
      </c>
      <c r="D2" s="527" t="s">
        <v>177</v>
      </c>
      <c r="E2" s="527" t="s">
        <v>178</v>
      </c>
      <c r="F2" s="527" t="s">
        <v>179</v>
      </c>
      <c r="G2" s="527" t="s">
        <v>180</v>
      </c>
      <c r="H2" s="527" t="s">
        <v>181</v>
      </c>
      <c r="I2" s="527" t="s">
        <v>182</v>
      </c>
      <c r="J2" s="527" t="s">
        <v>183</v>
      </c>
      <c r="K2" s="527" t="s">
        <v>184</v>
      </c>
      <c r="L2" s="527" t="s">
        <v>185</v>
      </c>
      <c r="M2" s="528" t="s">
        <v>186</v>
      </c>
      <c r="N2" s="434" t="s">
        <v>164</v>
      </c>
      <c r="O2" s="444" t="s">
        <v>187</v>
      </c>
      <c r="P2" s="435" t="s">
        <v>164</v>
      </c>
      <c r="Q2" s="448" t="s">
        <v>164</v>
      </c>
    </row>
    <row r="3" spans="1:17" ht="18" thickBot="1" x14ac:dyDescent="0.25">
      <c r="A3" s="448" t="s">
        <v>169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170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171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3">
        <f>N5/Q5</f>
        <v>0.99424327985028993</v>
      </c>
      <c r="P8" s="522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49" t="s">
        <v>188</v>
      </c>
      <c r="C1" s="650"/>
      <c r="D1" s="650"/>
      <c r="E1" s="650"/>
      <c r="F1" s="650" t="s">
        <v>189</v>
      </c>
      <c r="G1" s="650"/>
      <c r="H1" s="651"/>
      <c r="I1" s="239" t="s">
        <v>190</v>
      </c>
    </row>
    <row r="2" spans="1:9" x14ac:dyDescent="0.2">
      <c r="A2" s="652"/>
      <c r="B2" s="654" t="s">
        <v>191</v>
      </c>
      <c r="C2" s="655"/>
      <c r="D2" s="658" t="s">
        <v>192</v>
      </c>
      <c r="E2" s="660" t="s">
        <v>188</v>
      </c>
      <c r="F2" s="654" t="s">
        <v>193</v>
      </c>
      <c r="G2" s="662" t="s">
        <v>194</v>
      </c>
      <c r="H2" s="664" t="s">
        <v>189</v>
      </c>
      <c r="I2" s="647"/>
    </row>
    <row r="3" spans="1:9" ht="17" thickBot="1" x14ac:dyDescent="0.25">
      <c r="A3" s="653"/>
      <c r="B3" s="656"/>
      <c r="C3" s="657"/>
      <c r="D3" s="659"/>
      <c r="E3" s="661"/>
      <c r="F3" s="656"/>
      <c r="G3" s="663"/>
      <c r="H3" s="665"/>
      <c r="I3" s="648"/>
    </row>
    <row r="4" spans="1:9" ht="35" thickBot="1" x14ac:dyDescent="0.25">
      <c r="A4" s="653"/>
      <c r="B4" s="458" t="s">
        <v>195</v>
      </c>
      <c r="C4" s="459" t="s">
        <v>164</v>
      </c>
      <c r="D4" s="460" t="s">
        <v>164</v>
      </c>
      <c r="E4" s="461"/>
      <c r="F4" s="462" t="s">
        <v>196</v>
      </c>
      <c r="G4" s="463" t="s">
        <v>196</v>
      </c>
      <c r="H4" s="464" t="s">
        <v>164</v>
      </c>
      <c r="I4" s="448" t="s">
        <v>164</v>
      </c>
    </row>
    <row r="5" spans="1:9" hidden="1" x14ac:dyDescent="0.2">
      <c r="A5" s="468" t="s">
        <v>197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198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199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200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201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202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203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204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205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206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207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208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169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197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(KG)'!D122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198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(KG)'!D123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199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(KG)'!D124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200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(KG)'!D125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201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(KG)'!D126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202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(KG)'!D127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203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(KG)'!D128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204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(KG)'!D129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205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(KG)'!D130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206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(KG)'!D131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207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(KG)'!D132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208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(KG)'!D133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170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197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(KG)'!D134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198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(KG)'!D135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199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(KG)'!D136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200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(KG)'!D137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201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(KG)'!D138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202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(KG)'!D139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203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(KG)'!D140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204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(KG)'!D141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205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(KG)'!D142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206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(KG)'!D143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207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(KG)'!D144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208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(KG)'!D145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171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209</v>
      </c>
      <c r="C1" s="65" t="s">
        <v>210</v>
      </c>
      <c r="D1" s="65" t="s">
        <v>211</v>
      </c>
      <c r="E1" s="65" t="s">
        <v>50</v>
      </c>
      <c r="F1" s="65" t="s">
        <v>212</v>
      </c>
      <c r="G1" s="65" t="s">
        <v>213</v>
      </c>
      <c r="H1" s="65" t="s">
        <v>214</v>
      </c>
      <c r="I1" s="65" t="s">
        <v>215</v>
      </c>
      <c r="J1" s="65" t="s">
        <v>216</v>
      </c>
    </row>
    <row r="2" spans="1:12" x14ac:dyDescent="0.2">
      <c r="A2" s="98" t="s">
        <v>133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134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135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217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111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0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218</v>
      </c>
    </row>
    <row r="4" spans="1:16" x14ac:dyDescent="0.2">
      <c r="A4" s="106" t="s">
        <v>219</v>
      </c>
    </row>
    <row r="5" spans="1:16" x14ac:dyDescent="0.2">
      <c r="B5" s="666" t="s">
        <v>220</v>
      </c>
      <c r="C5" s="666"/>
      <c r="D5" s="668" t="s">
        <v>221</v>
      </c>
      <c r="E5" s="669"/>
      <c r="F5" s="669"/>
      <c r="G5" s="670"/>
      <c r="H5" s="666" t="s">
        <v>222</v>
      </c>
      <c r="I5" s="666"/>
      <c r="J5" s="666"/>
      <c r="K5" s="666"/>
      <c r="L5" s="666" t="s">
        <v>223</v>
      </c>
      <c r="M5" s="666"/>
    </row>
    <row r="6" spans="1:16" x14ac:dyDescent="0.2">
      <c r="B6" s="666"/>
      <c r="C6" s="666"/>
      <c r="D6" s="666" t="s">
        <v>221</v>
      </c>
      <c r="E6" s="666"/>
      <c r="F6" s="666" t="s">
        <v>224</v>
      </c>
      <c r="G6" s="666"/>
      <c r="H6" s="107"/>
      <c r="I6" s="107" t="s">
        <v>222</v>
      </c>
      <c r="J6" s="666" t="s">
        <v>225</v>
      </c>
      <c r="K6" s="666"/>
      <c r="L6" s="666"/>
      <c r="M6" s="666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6" t="s">
        <v>220</v>
      </c>
      <c r="C13" s="666"/>
      <c r="D13" s="668" t="s">
        <v>221</v>
      </c>
      <c r="E13" s="669"/>
      <c r="F13" s="669"/>
      <c r="G13" s="670"/>
      <c r="H13" s="666" t="s">
        <v>222</v>
      </c>
      <c r="I13" s="666"/>
      <c r="J13" s="666"/>
      <c r="K13" s="666"/>
      <c r="L13" s="666" t="s">
        <v>223</v>
      </c>
      <c r="M13" s="666"/>
    </row>
    <row r="14" spans="1:16" x14ac:dyDescent="0.2">
      <c r="B14" s="666"/>
      <c r="C14" s="666"/>
      <c r="D14" s="666" t="s">
        <v>221</v>
      </c>
      <c r="E14" s="666"/>
      <c r="F14" s="666" t="s">
        <v>224</v>
      </c>
      <c r="G14" s="666"/>
      <c r="H14" s="107"/>
      <c r="I14" s="107" t="s">
        <v>222</v>
      </c>
      <c r="J14" s="666" t="s">
        <v>225</v>
      </c>
      <c r="K14" s="666"/>
      <c r="L14" s="666"/>
      <c r="M14" s="666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6" t="s">
        <v>220</v>
      </c>
      <c r="C19" s="666"/>
      <c r="D19" s="668" t="s">
        <v>221</v>
      </c>
      <c r="E19" s="669"/>
      <c r="F19" s="669"/>
      <c r="G19" s="670"/>
      <c r="H19" s="666" t="s">
        <v>222</v>
      </c>
      <c r="I19" s="666"/>
      <c r="J19" s="666"/>
      <c r="K19" s="666"/>
      <c r="L19" s="666" t="s">
        <v>223</v>
      </c>
      <c r="M19" s="666"/>
    </row>
    <row r="20" spans="1:16" x14ac:dyDescent="0.2">
      <c r="B20" s="666"/>
      <c r="C20" s="666"/>
      <c r="D20" s="666" t="s">
        <v>221</v>
      </c>
      <c r="E20" s="666"/>
      <c r="F20" s="666" t="s">
        <v>224</v>
      </c>
      <c r="G20" s="666"/>
      <c r="H20" s="107"/>
      <c r="I20" s="107" t="s">
        <v>222</v>
      </c>
      <c r="J20" s="666" t="s">
        <v>225</v>
      </c>
      <c r="K20" s="666"/>
      <c r="L20" s="666"/>
      <c r="M20" s="666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6" t="s">
        <v>220</v>
      </c>
      <c r="C25" s="666"/>
      <c r="D25" s="668" t="s">
        <v>221</v>
      </c>
      <c r="E25" s="669"/>
      <c r="F25" s="669"/>
      <c r="G25" s="670"/>
      <c r="H25" s="666" t="s">
        <v>222</v>
      </c>
      <c r="I25" s="666"/>
      <c r="J25" s="666"/>
      <c r="K25" s="666"/>
      <c r="L25" s="666" t="s">
        <v>223</v>
      </c>
      <c r="M25" s="666"/>
    </row>
    <row r="26" spans="1:16" x14ac:dyDescent="0.2">
      <c r="B26" s="666"/>
      <c r="C26" s="666"/>
      <c r="D26" s="666" t="s">
        <v>221</v>
      </c>
      <c r="E26" s="666"/>
      <c r="F26" s="666" t="s">
        <v>224</v>
      </c>
      <c r="G26" s="666"/>
      <c r="H26" s="107"/>
      <c r="I26" s="107" t="s">
        <v>222</v>
      </c>
      <c r="J26" s="666" t="s">
        <v>225</v>
      </c>
      <c r="K26" s="666"/>
      <c r="L26" s="666"/>
      <c r="M26" s="666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3" x14ac:dyDescent="0.2">
      <c r="A33" s="8" t="s">
        <v>246</v>
      </c>
      <c r="B33" s="8">
        <v>1725</v>
      </c>
    </row>
    <row r="34" spans="1:23" x14ac:dyDescent="0.2">
      <c r="A34" s="8" t="s">
        <v>247</v>
      </c>
      <c r="B34" s="8">
        <v>1526</v>
      </c>
      <c r="D34" s="8" t="s">
        <v>248</v>
      </c>
    </row>
    <row r="35" spans="1:23" x14ac:dyDescent="0.2">
      <c r="A35" s="8" t="s">
        <v>249</v>
      </c>
      <c r="B35" s="8">
        <v>22800</v>
      </c>
      <c r="D35" s="8" t="s">
        <v>250</v>
      </c>
    </row>
    <row r="36" spans="1:23" x14ac:dyDescent="0.2">
      <c r="R36" s="554"/>
      <c r="S36" s="554"/>
      <c r="T36" s="554"/>
    </row>
    <row r="37" spans="1:23" x14ac:dyDescent="0.2">
      <c r="A37" s="106" t="s">
        <v>251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6" t="s">
        <v>223</v>
      </c>
      <c r="C38" s="666"/>
      <c r="D38" s="6" t="s">
        <v>252</v>
      </c>
      <c r="F38" s="471" t="s">
        <v>223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253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254</v>
      </c>
    </row>
    <row r="40" spans="1:23" x14ac:dyDescent="0.2">
      <c r="A40" s="6" t="s">
        <v>231</v>
      </c>
      <c r="B40" s="108">
        <v>0.54800000000000004</v>
      </c>
      <c r="C40" s="6" t="s">
        <v>255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256</v>
      </c>
      <c r="W40" s="8" t="s">
        <v>257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258</v>
      </c>
    </row>
    <row r="44" spans="1:23" x14ac:dyDescent="0.2">
      <c r="B44" s="667" t="s">
        <v>223</v>
      </c>
      <c r="C44" s="667"/>
      <c r="D44" s="111" t="s">
        <v>252</v>
      </c>
      <c r="F44" s="474" t="s">
        <v>223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259</v>
      </c>
      <c r="B45" s="108">
        <v>0.25600000000000001</v>
      </c>
      <c r="C45" s="6" t="s">
        <v>260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261</v>
      </c>
    </row>
    <row r="46" spans="1:23" x14ac:dyDescent="0.2">
      <c r="A46" s="6" t="s">
        <v>262</v>
      </c>
      <c r="B46" s="114">
        <v>0.22</v>
      </c>
      <c r="C46" s="6" t="s">
        <v>260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263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B5:C6"/>
    <mergeCell ref="D5:G5"/>
    <mergeCell ref="H5:K5"/>
    <mergeCell ref="L5:M6"/>
    <mergeCell ref="D6:E6"/>
    <mergeCell ref="F6:G6"/>
    <mergeCell ref="J6:K6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44:C44"/>
    <mergeCell ref="B25:C26"/>
    <mergeCell ref="D25:G25"/>
    <mergeCell ref="H25:K25"/>
    <mergeCell ref="B19:C20"/>
    <mergeCell ref="D19:G19"/>
    <mergeCell ref="H19:K19"/>
    <mergeCell ref="L25:M26"/>
    <mergeCell ref="D26:E26"/>
    <mergeCell ref="F26:G26"/>
    <mergeCell ref="J26:K26"/>
    <mergeCell ref="B38:C38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1" t="s">
        <v>268</v>
      </c>
      <c r="D1" s="671"/>
      <c r="E1" s="671"/>
      <c r="F1" s="671"/>
      <c r="G1" s="671"/>
      <c r="H1" s="671"/>
      <c r="I1" s="671"/>
      <c r="J1" s="671"/>
      <c r="K1" s="671"/>
      <c r="L1" s="671"/>
      <c r="M1" s="671"/>
    </row>
    <row r="2" spans="1:16" s="53" customFormat="1" x14ac:dyDescent="0.2">
      <c r="A2" s="53" t="s">
        <v>218</v>
      </c>
      <c r="C2" s="671"/>
      <c r="D2" s="671"/>
      <c r="E2" s="671"/>
      <c r="F2" s="671"/>
      <c r="G2" s="671"/>
      <c r="H2" s="671"/>
      <c r="I2" s="671"/>
      <c r="J2" s="671"/>
      <c r="K2" s="671"/>
      <c r="L2" s="671"/>
      <c r="M2" s="671"/>
    </row>
    <row r="3" spans="1:16" x14ac:dyDescent="0.2">
      <c r="C3" s="671"/>
      <c r="D3" s="671"/>
      <c r="E3" s="671"/>
      <c r="F3" s="671"/>
      <c r="G3" s="671"/>
      <c r="H3" s="671"/>
      <c r="I3" s="671"/>
      <c r="J3" s="671"/>
      <c r="K3" s="671"/>
      <c r="L3" s="671"/>
      <c r="M3" s="671"/>
    </row>
    <row r="4" spans="1:16" x14ac:dyDescent="0.2">
      <c r="A4" s="106" t="s">
        <v>219</v>
      </c>
    </row>
    <row r="5" spans="1:16" x14ac:dyDescent="0.2">
      <c r="B5" s="666" t="s">
        <v>220</v>
      </c>
      <c r="C5" s="666"/>
      <c r="D5" s="668" t="s">
        <v>221</v>
      </c>
      <c r="E5" s="669"/>
      <c r="F5" s="669"/>
      <c r="G5" s="670"/>
      <c r="H5" s="666" t="s">
        <v>222</v>
      </c>
      <c r="I5" s="666"/>
      <c r="J5" s="666"/>
      <c r="K5" s="666"/>
      <c r="L5" s="666" t="s">
        <v>223</v>
      </c>
      <c r="M5" s="666"/>
    </row>
    <row r="6" spans="1:16" x14ac:dyDescent="0.2">
      <c r="B6" s="666"/>
      <c r="C6" s="666"/>
      <c r="D6" s="666" t="s">
        <v>221</v>
      </c>
      <c r="E6" s="666"/>
      <c r="F6" s="666" t="s">
        <v>224</v>
      </c>
      <c r="G6" s="666"/>
      <c r="H6" s="107"/>
      <c r="I6" s="107" t="s">
        <v>222</v>
      </c>
      <c r="J6" s="666" t="s">
        <v>225</v>
      </c>
      <c r="K6" s="666"/>
      <c r="L6" s="666"/>
      <c r="M6" s="666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6" t="s">
        <v>220</v>
      </c>
      <c r="C13" s="666"/>
      <c r="D13" s="668" t="s">
        <v>221</v>
      </c>
      <c r="E13" s="669"/>
      <c r="F13" s="669"/>
      <c r="G13" s="670"/>
      <c r="H13" s="666" t="s">
        <v>222</v>
      </c>
      <c r="I13" s="666"/>
      <c r="J13" s="666"/>
      <c r="K13" s="666"/>
      <c r="L13" s="666" t="s">
        <v>223</v>
      </c>
      <c r="M13" s="666"/>
    </row>
    <row r="14" spans="1:16" x14ac:dyDescent="0.2">
      <c r="B14" s="666"/>
      <c r="C14" s="666"/>
      <c r="D14" s="666" t="s">
        <v>221</v>
      </c>
      <c r="E14" s="666"/>
      <c r="F14" s="666" t="s">
        <v>224</v>
      </c>
      <c r="G14" s="666"/>
      <c r="H14" s="107"/>
      <c r="I14" s="107" t="s">
        <v>222</v>
      </c>
      <c r="J14" s="666" t="s">
        <v>225</v>
      </c>
      <c r="K14" s="666"/>
      <c r="L14" s="666"/>
      <c r="M14" s="666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6" t="s">
        <v>220</v>
      </c>
      <c r="C19" s="666"/>
      <c r="D19" s="668" t="s">
        <v>221</v>
      </c>
      <c r="E19" s="669"/>
      <c r="F19" s="669"/>
      <c r="G19" s="670"/>
      <c r="H19" s="666" t="s">
        <v>222</v>
      </c>
      <c r="I19" s="666"/>
      <c r="J19" s="666"/>
      <c r="K19" s="666"/>
      <c r="L19" s="666" t="s">
        <v>223</v>
      </c>
      <c r="M19" s="666"/>
    </row>
    <row r="20" spans="1:16" x14ac:dyDescent="0.2">
      <c r="B20" s="666"/>
      <c r="C20" s="666"/>
      <c r="D20" s="666" t="s">
        <v>221</v>
      </c>
      <c r="E20" s="666"/>
      <c r="F20" s="666" t="s">
        <v>224</v>
      </c>
      <c r="G20" s="666"/>
      <c r="H20" s="107"/>
      <c r="I20" s="107" t="s">
        <v>222</v>
      </c>
      <c r="J20" s="666" t="s">
        <v>225</v>
      </c>
      <c r="K20" s="666"/>
      <c r="L20" s="666"/>
      <c r="M20" s="666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6" t="s">
        <v>220</v>
      </c>
      <c r="C25" s="666"/>
      <c r="D25" s="668" t="s">
        <v>221</v>
      </c>
      <c r="E25" s="669"/>
      <c r="F25" s="669"/>
      <c r="G25" s="670"/>
      <c r="H25" s="666" t="s">
        <v>222</v>
      </c>
      <c r="I25" s="666"/>
      <c r="J25" s="666"/>
      <c r="K25" s="666"/>
      <c r="L25" s="666" t="s">
        <v>223</v>
      </c>
      <c r="M25" s="666"/>
    </row>
    <row r="26" spans="1:16" x14ac:dyDescent="0.2">
      <c r="B26" s="666"/>
      <c r="C26" s="666"/>
      <c r="D26" s="666" t="s">
        <v>221</v>
      </c>
      <c r="E26" s="666"/>
      <c r="F26" s="666" t="s">
        <v>224</v>
      </c>
      <c r="G26" s="666"/>
      <c r="H26" s="107"/>
      <c r="I26" s="107" t="s">
        <v>222</v>
      </c>
      <c r="J26" s="666" t="s">
        <v>225</v>
      </c>
      <c r="K26" s="666"/>
      <c r="L26" s="666"/>
      <c r="M26" s="666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1" x14ac:dyDescent="0.2">
      <c r="A33" s="8" t="s">
        <v>246</v>
      </c>
      <c r="B33" s="8">
        <v>1725</v>
      </c>
    </row>
    <row r="34" spans="1:21" x14ac:dyDescent="0.2">
      <c r="A34" s="8" t="s">
        <v>247</v>
      </c>
      <c r="B34" s="8">
        <v>1526</v>
      </c>
      <c r="D34" s="8" t="s">
        <v>248</v>
      </c>
    </row>
    <row r="35" spans="1:21" x14ac:dyDescent="0.2">
      <c r="A35" s="8" t="s">
        <v>249</v>
      </c>
      <c r="B35" s="8">
        <v>22800</v>
      </c>
      <c r="D35" s="8" t="s">
        <v>250</v>
      </c>
    </row>
    <row r="37" spans="1:21" x14ac:dyDescent="0.2">
      <c r="A37" s="106" t="s">
        <v>251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6" t="s">
        <v>223</v>
      </c>
      <c r="C38" s="666"/>
      <c r="D38" s="6" t="s">
        <v>252</v>
      </c>
      <c r="F38" s="6" t="s">
        <v>223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253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254</v>
      </c>
      <c r="U39" s="8">
        <f>B39</f>
        <v>0.39</v>
      </c>
    </row>
    <row r="40" spans="1:21" x14ac:dyDescent="0.2">
      <c r="A40" s="6" t="s">
        <v>231</v>
      </c>
      <c r="B40" s="108">
        <v>0.57599999999999996</v>
      </c>
      <c r="C40" s="6" t="s">
        <v>255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256</v>
      </c>
      <c r="T40" s="8" t="s">
        <v>257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258</v>
      </c>
    </row>
    <row r="44" spans="1:21" x14ac:dyDescent="0.2">
      <c r="B44" s="667" t="s">
        <v>223</v>
      </c>
      <c r="C44" s="667"/>
      <c r="D44" s="111" t="s">
        <v>252</v>
      </c>
      <c r="F44" s="112" t="s">
        <v>223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269</v>
      </c>
      <c r="B45" s="108">
        <v>0.42799999999999999</v>
      </c>
      <c r="C45" s="6" t="s">
        <v>260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261</v>
      </c>
    </row>
    <row r="46" spans="1:21" x14ac:dyDescent="0.2">
      <c r="A46" s="6" t="s">
        <v>270</v>
      </c>
      <c r="B46" s="114">
        <v>0.21</v>
      </c>
      <c r="C46" s="6" t="s">
        <v>260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263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C1:M3"/>
    <mergeCell ref="B5:C6"/>
    <mergeCell ref="D5:G5"/>
    <mergeCell ref="H5:K5"/>
    <mergeCell ref="L5:M6"/>
    <mergeCell ref="D6:E6"/>
    <mergeCell ref="F6:G6"/>
    <mergeCell ref="J6:K6"/>
    <mergeCell ref="B13:C14"/>
    <mergeCell ref="D13:G13"/>
    <mergeCell ref="H13:K13"/>
    <mergeCell ref="L13:M14"/>
    <mergeCell ref="D14:E14"/>
    <mergeCell ref="F14:G14"/>
    <mergeCell ref="J14:K14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38:C38"/>
    <mergeCell ref="B44:C44"/>
    <mergeCell ref="B25:C26"/>
    <mergeCell ref="D25:G25"/>
    <mergeCell ref="H25:K25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2" t="s">
        <v>271</v>
      </c>
      <c r="B1" s="672"/>
      <c r="C1" s="672"/>
      <c r="D1" s="672"/>
      <c r="E1" s="672"/>
      <c r="F1" s="672"/>
      <c r="G1" s="672"/>
      <c r="H1" s="672"/>
      <c r="I1" s="672"/>
    </row>
    <row r="2" spans="1:15" s="91" customFormat="1" ht="51" x14ac:dyDescent="0.2">
      <c r="A2" s="65" t="s">
        <v>272</v>
      </c>
      <c r="B2" s="65" t="s">
        <v>127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274</v>
      </c>
      <c r="H2" s="65" t="s">
        <v>275</v>
      </c>
      <c r="I2" s="65" t="s">
        <v>128</v>
      </c>
      <c r="J2" s="12" t="s">
        <v>276</v>
      </c>
      <c r="K2" s="12" t="s">
        <v>277</v>
      </c>
      <c r="L2" s="91" t="s">
        <v>278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3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5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279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3" t="s">
        <v>280</v>
      </c>
      <c r="B1" s="672"/>
      <c r="C1" s="672"/>
      <c r="D1" s="672"/>
      <c r="E1" s="672"/>
      <c r="F1" s="672"/>
      <c r="G1" s="672"/>
      <c r="H1" s="672"/>
      <c r="I1" s="672"/>
    </row>
    <row r="2" spans="1:10" s="55" customFormat="1" ht="51" x14ac:dyDescent="0.2">
      <c r="A2" s="65" t="s">
        <v>272</v>
      </c>
      <c r="B2" s="65" t="s">
        <v>281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275</v>
      </c>
      <c r="H2" s="65" t="s">
        <v>128</v>
      </c>
      <c r="I2" s="65" t="s">
        <v>282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272</v>
      </c>
      <c r="B30" s="65" t="s">
        <v>281</v>
      </c>
      <c r="C30" s="65" t="s">
        <v>40</v>
      </c>
      <c r="D30" s="65" t="s">
        <v>273</v>
      </c>
      <c r="E30" s="65" t="s">
        <v>45</v>
      </c>
      <c r="F30" s="65" t="s">
        <v>47</v>
      </c>
      <c r="G30" s="65" t="s">
        <v>275</v>
      </c>
      <c r="H30" s="65" t="s">
        <v>128</v>
      </c>
      <c r="I30" s="65" t="s">
        <v>282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baseColWidth="10" defaultColWidth="10.6640625" defaultRowHeight="16" x14ac:dyDescent="0.2"/>
  <cols>
    <col min="1" max="1" width="13.33203125" style="590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87" t="s">
        <v>272</v>
      </c>
      <c r="B1" s="65" t="s">
        <v>281</v>
      </c>
      <c r="C1" s="65" t="s">
        <v>40</v>
      </c>
      <c r="D1" s="65" t="s">
        <v>283</v>
      </c>
      <c r="E1" s="65" t="s">
        <v>45</v>
      </c>
      <c r="F1" s="65" t="s">
        <v>47</v>
      </c>
      <c r="G1" s="65" t="s">
        <v>275</v>
      </c>
      <c r="H1" s="65" t="s">
        <v>284</v>
      </c>
      <c r="I1" s="65" t="s">
        <v>285</v>
      </c>
      <c r="J1" s="65" t="s">
        <v>736</v>
      </c>
      <c r="K1" s="55" t="s">
        <v>287</v>
      </c>
    </row>
    <row r="2" spans="1:11" x14ac:dyDescent="0.2">
      <c r="A2" s="588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88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88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89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89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89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89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89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89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89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89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89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89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89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89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89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89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89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89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89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89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89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89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89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89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89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89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89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89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89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89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89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89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89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89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89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89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89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89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89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89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89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89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89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89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89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89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89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89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89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89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89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89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89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89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89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89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89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89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89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89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89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89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89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89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89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89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89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89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89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89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89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281</v>
      </c>
      <c r="Q73" s="65" t="s">
        <v>40</v>
      </c>
      <c r="R73" s="65" t="s">
        <v>273</v>
      </c>
      <c r="S73" s="65" t="s">
        <v>45</v>
      </c>
      <c r="T73" s="65" t="s">
        <v>47</v>
      </c>
      <c r="U73" s="65" t="s">
        <v>275</v>
      </c>
      <c r="V73" s="65" t="s">
        <v>288</v>
      </c>
      <c r="W73" s="65" t="s">
        <v>286</v>
      </c>
    </row>
    <row r="74" spans="1:23" ht="17" x14ac:dyDescent="0.2">
      <c r="A74" s="589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289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89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290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89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89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89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89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89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89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89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89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89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89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89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89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89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272</v>
      </c>
      <c r="B1" s="65" t="s">
        <v>127</v>
      </c>
      <c r="C1" s="65" t="s">
        <v>40</v>
      </c>
      <c r="D1" s="65" t="s">
        <v>273</v>
      </c>
      <c r="E1" s="65" t="s">
        <v>45</v>
      </c>
      <c r="F1" s="65" t="s">
        <v>47</v>
      </c>
      <c r="G1" s="65" t="s">
        <v>274</v>
      </c>
      <c r="H1" s="65" t="s">
        <v>275</v>
      </c>
      <c r="I1" s="65" t="s">
        <v>128</v>
      </c>
      <c r="J1" s="65" t="s">
        <v>282</v>
      </c>
    </row>
    <row r="2" spans="1:11" x14ac:dyDescent="0.2">
      <c r="A2" s="87" t="s">
        <v>118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427</v>
      </c>
    </row>
    <row r="2" spans="1:26" ht="17" x14ac:dyDescent="0.2">
      <c r="A2" s="18" t="s">
        <v>428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429</v>
      </c>
      <c r="B3" s="12" t="s">
        <v>430</v>
      </c>
      <c r="C3" s="12" t="s">
        <v>431</v>
      </c>
      <c r="D3" s="12" t="s">
        <v>432</v>
      </c>
      <c r="E3" s="12" t="s">
        <v>433</v>
      </c>
      <c r="F3" s="12" t="s">
        <v>434</v>
      </c>
      <c r="G3" s="12" t="s">
        <v>435</v>
      </c>
      <c r="H3" s="12" t="s">
        <v>436</v>
      </c>
      <c r="I3" s="12" t="s">
        <v>437</v>
      </c>
      <c r="J3" s="12" t="s">
        <v>438</v>
      </c>
      <c r="K3" s="12" t="s">
        <v>439</v>
      </c>
      <c r="L3" s="12" t="s">
        <v>440</v>
      </c>
      <c r="M3" s="12" t="s">
        <v>441</v>
      </c>
      <c r="N3" s="12" t="s">
        <v>442</v>
      </c>
      <c r="O3" s="12" t="s">
        <v>443</v>
      </c>
      <c r="P3" s="12" t="s">
        <v>444</v>
      </c>
      <c r="Q3" s="12" t="s">
        <v>445</v>
      </c>
      <c r="R3" s="12" t="s">
        <v>446</v>
      </c>
      <c r="S3" s="12" t="s">
        <v>447</v>
      </c>
      <c r="T3" s="12" t="s">
        <v>448</v>
      </c>
      <c r="U3" s="12" t="s">
        <v>449</v>
      </c>
      <c r="V3" s="12" t="s">
        <v>450</v>
      </c>
      <c r="W3" s="12" t="s">
        <v>451</v>
      </c>
      <c r="X3" s="12" t="s">
        <v>452</v>
      </c>
      <c r="Y3" s="12" t="s">
        <v>453</v>
      </c>
    </row>
    <row r="4" spans="1:26" s="18" customFormat="1" ht="34" x14ac:dyDescent="0.2">
      <c r="A4" s="18" t="s">
        <v>454</v>
      </c>
      <c r="B4" s="674" t="s">
        <v>455</v>
      </c>
      <c r="C4" s="674"/>
      <c r="D4" s="674" t="s">
        <v>456</v>
      </c>
      <c r="E4" s="674"/>
      <c r="F4" s="674" t="s">
        <v>457</v>
      </c>
      <c r="G4" s="674"/>
      <c r="H4" s="674" t="s">
        <v>458</v>
      </c>
      <c r="I4" s="674"/>
      <c r="J4" s="674" t="s">
        <v>459</v>
      </c>
      <c r="K4" s="674"/>
      <c r="L4" s="674" t="s">
        <v>460</v>
      </c>
      <c r="M4" s="674"/>
      <c r="N4" s="674" t="s">
        <v>461</v>
      </c>
      <c r="O4" s="674"/>
      <c r="P4" s="674" t="s">
        <v>462</v>
      </c>
      <c r="Q4" s="674"/>
      <c r="R4" s="674" t="s">
        <v>463</v>
      </c>
      <c r="S4" s="674"/>
      <c r="T4" s="674" t="s">
        <v>464</v>
      </c>
      <c r="U4" s="674"/>
      <c r="V4" s="674"/>
      <c r="W4" s="674" t="s">
        <v>465</v>
      </c>
      <c r="X4" s="674"/>
      <c r="Y4" s="12" t="s">
        <v>453</v>
      </c>
      <c r="Z4" s="18" t="s">
        <v>466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467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468</v>
      </c>
      <c r="B18" s="675">
        <f>SUM(B5:C16)</f>
        <v>0</v>
      </c>
      <c r="C18" s="675"/>
      <c r="D18" s="675">
        <f>SUM(D5:E16)</f>
        <v>0</v>
      </c>
      <c r="E18" s="675"/>
      <c r="F18" s="675">
        <f>SUM(F5:G16)</f>
        <v>0</v>
      </c>
      <c r="G18" s="675"/>
      <c r="H18" s="675">
        <f>SUM(H5:I16)</f>
        <v>0</v>
      </c>
      <c r="I18" s="675"/>
      <c r="J18" s="675">
        <f>SUM(J5:K16)</f>
        <v>0</v>
      </c>
      <c r="K18" s="675"/>
      <c r="L18" s="675">
        <f>SUM(L5:M16)</f>
        <v>0</v>
      </c>
      <c r="M18" s="675"/>
      <c r="N18" s="675">
        <f>SUM(N5:O16)</f>
        <v>0</v>
      </c>
      <c r="O18" s="675"/>
      <c r="P18" s="675">
        <f>SUM(P5:Q16)</f>
        <v>0</v>
      </c>
      <c r="Q18" s="675"/>
      <c r="R18" s="675">
        <f>SUM(R5:S16)</f>
        <v>0</v>
      </c>
      <c r="S18" s="675"/>
      <c r="T18" s="675">
        <f>SUM(T5:V16)</f>
        <v>0</v>
      </c>
      <c r="U18" s="675"/>
      <c r="V18" s="675"/>
      <c r="W18" s="675">
        <f>SUM(W5:X16)</f>
        <v>0</v>
      </c>
      <c r="X18" s="675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469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169</v>
      </c>
    </row>
    <row r="24" spans="1:26" ht="17" x14ac:dyDescent="0.2">
      <c r="A24" s="18" t="s">
        <v>428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429</v>
      </c>
      <c r="B25" s="12" t="s">
        <v>430</v>
      </c>
      <c r="C25" s="12" t="s">
        <v>431</v>
      </c>
      <c r="D25" s="12" t="s">
        <v>432</v>
      </c>
      <c r="E25" s="12" t="s">
        <v>433</v>
      </c>
      <c r="F25" s="12" t="s">
        <v>434</v>
      </c>
      <c r="G25" s="12" t="s">
        <v>435</v>
      </c>
      <c r="H25" s="12" t="s">
        <v>436</v>
      </c>
      <c r="I25" s="12" t="s">
        <v>437</v>
      </c>
      <c r="J25" s="12" t="s">
        <v>438</v>
      </c>
      <c r="K25" s="12" t="s">
        <v>439</v>
      </c>
      <c r="L25" s="12" t="s">
        <v>440</v>
      </c>
      <c r="M25" s="12" t="s">
        <v>441</v>
      </c>
      <c r="N25" s="12" t="s">
        <v>442</v>
      </c>
      <c r="O25" s="12" t="s">
        <v>443</v>
      </c>
      <c r="P25" s="12" t="s">
        <v>444</v>
      </c>
      <c r="Q25" s="12" t="s">
        <v>445</v>
      </c>
      <c r="R25" s="12" t="s">
        <v>446</v>
      </c>
      <c r="S25" s="12" t="s">
        <v>447</v>
      </c>
      <c r="T25" s="12" t="s">
        <v>448</v>
      </c>
      <c r="U25" s="12" t="s">
        <v>449</v>
      </c>
      <c r="V25" s="12" t="s">
        <v>450</v>
      </c>
      <c r="W25" s="12" t="s">
        <v>451</v>
      </c>
      <c r="X25" s="12" t="s">
        <v>452</v>
      </c>
      <c r="Y25" s="12" t="s">
        <v>453</v>
      </c>
      <c r="Z25" s="18"/>
    </row>
    <row r="26" spans="1:26" ht="34.25" customHeight="1" x14ac:dyDescent="0.2">
      <c r="A26" s="18" t="s">
        <v>454</v>
      </c>
      <c r="B26" s="674" t="s">
        <v>455</v>
      </c>
      <c r="C26" s="674"/>
      <c r="D26" s="674" t="s">
        <v>456</v>
      </c>
      <c r="E26" s="674"/>
      <c r="F26" s="674" t="s">
        <v>457</v>
      </c>
      <c r="G26" s="674"/>
      <c r="H26" s="674" t="s">
        <v>458</v>
      </c>
      <c r="I26" s="674"/>
      <c r="J26" s="674" t="s">
        <v>459</v>
      </c>
      <c r="K26" s="674"/>
      <c r="L26" s="674" t="s">
        <v>460</v>
      </c>
      <c r="M26" s="674"/>
      <c r="N26" s="674" t="s">
        <v>461</v>
      </c>
      <c r="O26" s="674"/>
      <c r="P26" s="674" t="s">
        <v>462</v>
      </c>
      <c r="Q26" s="674"/>
      <c r="R26" s="674" t="s">
        <v>463</v>
      </c>
      <c r="S26" s="674"/>
      <c r="T26" s="674" t="s">
        <v>464</v>
      </c>
      <c r="U26" s="674"/>
      <c r="V26" s="674"/>
      <c r="W26" s="674" t="s">
        <v>465</v>
      </c>
      <c r="X26" s="674"/>
      <c r="Y26" s="12" t="s">
        <v>453</v>
      </c>
      <c r="Z26" s="18" t="s">
        <v>466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467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468</v>
      </c>
      <c r="B40" s="675">
        <f>SUM(B27:C38)</f>
        <v>134136</v>
      </c>
      <c r="C40" s="675"/>
      <c r="D40" s="675">
        <f>SUM(D27:E38)</f>
        <v>67344</v>
      </c>
      <c r="E40" s="675"/>
      <c r="F40" s="675">
        <f>SUM(F27:G38)</f>
        <v>29074</v>
      </c>
      <c r="G40" s="675"/>
      <c r="H40" s="675">
        <f>SUM(H27:I38)</f>
        <v>13430</v>
      </c>
      <c r="I40" s="675"/>
      <c r="J40" s="675">
        <f>SUM(J27:K38)</f>
        <v>6901</v>
      </c>
      <c r="K40" s="675"/>
      <c r="L40" s="675">
        <f>SUM(L27:M38)</f>
        <v>6462</v>
      </c>
      <c r="M40" s="675"/>
      <c r="N40" s="675">
        <f>SUM(N27:O38)</f>
        <v>28834</v>
      </c>
      <c r="O40" s="675"/>
      <c r="P40" s="675">
        <f>SUM(P27:Q38)</f>
        <v>0</v>
      </c>
      <c r="Q40" s="675"/>
      <c r="R40" s="675">
        <f>SUM(R27:S38)</f>
        <v>0</v>
      </c>
      <c r="S40" s="675"/>
      <c r="T40" s="675">
        <f>SUM(T27:V38)</f>
        <v>6624</v>
      </c>
      <c r="U40" s="675"/>
      <c r="V40" s="675"/>
      <c r="W40" s="675">
        <f>SUM(W27:X38)</f>
        <v>7407</v>
      </c>
      <c r="X40" s="675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469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170</v>
      </c>
    </row>
    <row r="46" spans="1:26" ht="17" x14ac:dyDescent="0.2">
      <c r="A46" s="18" t="s">
        <v>428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429</v>
      </c>
      <c r="B47" s="12" t="s">
        <v>430</v>
      </c>
      <c r="C47" s="12" t="s">
        <v>431</v>
      </c>
      <c r="D47" s="12" t="s">
        <v>432</v>
      </c>
      <c r="E47" s="12" t="s">
        <v>433</v>
      </c>
      <c r="F47" s="12" t="s">
        <v>434</v>
      </c>
      <c r="G47" s="12" t="s">
        <v>435</v>
      </c>
      <c r="H47" s="12" t="s">
        <v>436</v>
      </c>
      <c r="I47" s="12" t="s">
        <v>437</v>
      </c>
      <c r="J47" s="12" t="s">
        <v>438</v>
      </c>
      <c r="K47" s="12" t="s">
        <v>439</v>
      </c>
      <c r="L47" s="12" t="s">
        <v>440</v>
      </c>
      <c r="M47" s="12" t="s">
        <v>441</v>
      </c>
      <c r="N47" s="12" t="s">
        <v>442</v>
      </c>
      <c r="O47" s="12" t="s">
        <v>443</v>
      </c>
      <c r="P47" s="12" t="s">
        <v>444</v>
      </c>
      <c r="Q47" s="12" t="s">
        <v>445</v>
      </c>
      <c r="R47" s="12" t="s">
        <v>446</v>
      </c>
      <c r="S47" s="12" t="s">
        <v>447</v>
      </c>
      <c r="T47" s="12" t="s">
        <v>448</v>
      </c>
      <c r="U47" s="12" t="s">
        <v>449</v>
      </c>
      <c r="V47" s="12" t="s">
        <v>450</v>
      </c>
      <c r="W47" s="12" t="s">
        <v>451</v>
      </c>
      <c r="X47" s="12" t="s">
        <v>452</v>
      </c>
      <c r="Y47" s="12" t="s">
        <v>470</v>
      </c>
      <c r="Z47" s="18"/>
    </row>
    <row r="48" spans="1:26" ht="34" x14ac:dyDescent="0.2">
      <c r="A48" s="18" t="s">
        <v>454</v>
      </c>
      <c r="B48" s="674" t="s">
        <v>455</v>
      </c>
      <c r="C48" s="674"/>
      <c r="D48" s="674" t="s">
        <v>456</v>
      </c>
      <c r="E48" s="674"/>
      <c r="F48" s="674" t="s">
        <v>457</v>
      </c>
      <c r="G48" s="674"/>
      <c r="H48" s="674" t="s">
        <v>458</v>
      </c>
      <c r="I48" s="674"/>
      <c r="J48" s="674" t="s">
        <v>459</v>
      </c>
      <c r="K48" s="674"/>
      <c r="L48" s="674" t="s">
        <v>460</v>
      </c>
      <c r="M48" s="674"/>
      <c r="N48" s="674" t="s">
        <v>461</v>
      </c>
      <c r="O48" s="674"/>
      <c r="P48" s="674" t="s">
        <v>462</v>
      </c>
      <c r="Q48" s="674"/>
      <c r="R48" s="674" t="s">
        <v>463</v>
      </c>
      <c r="S48" s="674"/>
      <c r="T48" s="674" t="s">
        <v>464</v>
      </c>
      <c r="U48" s="674"/>
      <c r="V48" s="674"/>
      <c r="W48" s="674" t="s">
        <v>465</v>
      </c>
      <c r="X48" s="674"/>
      <c r="Y48" s="12" t="s">
        <v>470</v>
      </c>
      <c r="Z48" s="18" t="s">
        <v>466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467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468</v>
      </c>
      <c r="B62" s="675">
        <f>SUM(B49:C60)</f>
        <v>271080</v>
      </c>
      <c r="C62" s="675"/>
      <c r="D62" s="675">
        <f>SUM(D49:E60)</f>
        <v>135594</v>
      </c>
      <c r="E62" s="675"/>
      <c r="F62" s="675">
        <f>SUM(F55:G60)</f>
        <v>34429</v>
      </c>
      <c r="G62" s="675"/>
      <c r="H62" s="675">
        <f>SUM(H55:I60)</f>
        <v>13819</v>
      </c>
      <c r="I62" s="675"/>
      <c r="J62" s="675">
        <f>SUM(J55:K60)</f>
        <v>9801</v>
      </c>
      <c r="K62" s="675"/>
      <c r="L62" s="675">
        <f>SUM(L55:M60)</f>
        <v>5508</v>
      </c>
      <c r="M62" s="675"/>
      <c r="N62" s="675">
        <f>SUM(N55:O60)</f>
        <v>14298</v>
      </c>
      <c r="O62" s="675"/>
      <c r="P62" s="675">
        <f>SUM(P55:Q60)</f>
        <v>0</v>
      </c>
      <c r="Q62" s="675"/>
      <c r="R62" s="675">
        <f>SUM(R55:S60)</f>
        <v>0</v>
      </c>
      <c r="S62" s="675"/>
      <c r="T62" s="675">
        <f>SUM(T55:V60)</f>
        <v>6156</v>
      </c>
      <c r="U62" s="675"/>
      <c r="V62" s="675"/>
      <c r="W62" s="675">
        <f>SUM(W55:X60)</f>
        <v>5958</v>
      </c>
      <c r="X62" s="675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469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471</v>
      </c>
    </row>
    <row r="67" spans="1:26" ht="17" x14ac:dyDescent="0.2">
      <c r="A67" s="181" t="s">
        <v>171</v>
      </c>
    </row>
    <row r="68" spans="1:26" ht="17" x14ac:dyDescent="0.2">
      <c r="A68" s="18" t="s">
        <v>428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429</v>
      </c>
      <c r="B69" s="12" t="s">
        <v>430</v>
      </c>
      <c r="C69" s="12" t="s">
        <v>431</v>
      </c>
      <c r="D69" s="12" t="s">
        <v>432</v>
      </c>
      <c r="E69" s="12" t="s">
        <v>433</v>
      </c>
      <c r="F69" s="12" t="s">
        <v>434</v>
      </c>
      <c r="G69" s="12" t="s">
        <v>435</v>
      </c>
      <c r="H69" s="12" t="s">
        <v>436</v>
      </c>
      <c r="I69" s="12" t="s">
        <v>437</v>
      </c>
      <c r="J69" s="12" t="s">
        <v>438</v>
      </c>
      <c r="K69" s="12" t="s">
        <v>439</v>
      </c>
      <c r="L69" s="12" t="s">
        <v>440</v>
      </c>
      <c r="M69" s="12" t="s">
        <v>441</v>
      </c>
      <c r="N69" s="12" t="s">
        <v>442</v>
      </c>
      <c r="O69" s="12" t="s">
        <v>443</v>
      </c>
      <c r="P69" s="12" t="s">
        <v>444</v>
      </c>
      <c r="Q69" s="12" t="s">
        <v>445</v>
      </c>
      <c r="R69" s="12" t="s">
        <v>446</v>
      </c>
      <c r="S69" s="12" t="s">
        <v>447</v>
      </c>
      <c r="T69" s="12" t="s">
        <v>448</v>
      </c>
      <c r="U69" s="12" t="s">
        <v>449</v>
      </c>
      <c r="V69" s="12" t="s">
        <v>450</v>
      </c>
      <c r="W69" s="12" t="s">
        <v>451</v>
      </c>
      <c r="X69" s="12" t="s">
        <v>452</v>
      </c>
      <c r="Y69" s="12" t="s">
        <v>470</v>
      </c>
      <c r="Z69" s="18"/>
    </row>
    <row r="70" spans="1:26" ht="34" x14ac:dyDescent="0.2">
      <c r="A70" s="18" t="s">
        <v>454</v>
      </c>
      <c r="B70" s="674" t="s">
        <v>455</v>
      </c>
      <c r="C70" s="674"/>
      <c r="D70" s="674" t="s">
        <v>456</v>
      </c>
      <c r="E70" s="674"/>
      <c r="F70" s="674" t="s">
        <v>457</v>
      </c>
      <c r="G70" s="674"/>
      <c r="H70" s="674" t="s">
        <v>458</v>
      </c>
      <c r="I70" s="674"/>
      <c r="J70" s="674" t="s">
        <v>459</v>
      </c>
      <c r="K70" s="674"/>
      <c r="L70" s="674" t="s">
        <v>460</v>
      </c>
      <c r="M70" s="674"/>
      <c r="N70" s="674" t="s">
        <v>461</v>
      </c>
      <c r="O70" s="674"/>
      <c r="P70" s="674" t="s">
        <v>462</v>
      </c>
      <c r="Q70" s="674"/>
      <c r="R70" s="674" t="s">
        <v>463</v>
      </c>
      <c r="S70" s="674"/>
      <c r="T70" s="674" t="s">
        <v>464</v>
      </c>
      <c r="U70" s="674"/>
      <c r="V70" s="674"/>
      <c r="W70" s="674" t="s">
        <v>465</v>
      </c>
      <c r="X70" s="674"/>
      <c r="Y70" s="12" t="s">
        <v>470</v>
      </c>
      <c r="Z70" s="18" t="s">
        <v>466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467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468</v>
      </c>
      <c r="B84" s="675">
        <f>SUM(B71:C82)</f>
        <v>211760</v>
      </c>
      <c r="C84" s="675"/>
      <c r="D84" s="675">
        <f>SUM(D71:E82)</f>
        <v>133195</v>
      </c>
      <c r="E84" s="675"/>
      <c r="F84" s="675">
        <f>SUM(F77:G82)</f>
        <v>5486</v>
      </c>
      <c r="G84" s="675"/>
      <c r="H84" s="675">
        <f>SUM(H77:I82)</f>
        <v>2132</v>
      </c>
      <c r="I84" s="675"/>
      <c r="J84" s="675">
        <f>SUM(J77:K82)</f>
        <v>9898</v>
      </c>
      <c r="K84" s="675"/>
      <c r="L84" s="675">
        <f>SUM(L77:M82)</f>
        <v>270</v>
      </c>
      <c r="M84" s="675"/>
      <c r="N84" s="675">
        <f>SUM(N77:O82)</f>
        <v>2074</v>
      </c>
      <c r="O84" s="675"/>
      <c r="P84" s="675">
        <f>SUM(P77:Q82)</f>
        <v>0</v>
      </c>
      <c r="Q84" s="675"/>
      <c r="R84" s="675">
        <f>SUM(R77:S82)</f>
        <v>0</v>
      </c>
      <c r="S84" s="675"/>
      <c r="T84" s="675">
        <f>SUM(T77:V82)</f>
        <v>1980</v>
      </c>
      <c r="U84" s="675"/>
      <c r="V84" s="675"/>
      <c r="W84" s="675">
        <f>SUM(W77:X82)</f>
        <v>1071</v>
      </c>
      <c r="X84" s="675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469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735</v>
      </c>
    </row>
    <row r="90" spans="1:26" ht="17" x14ac:dyDescent="0.2">
      <c r="A90" s="18" t="s">
        <v>428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429</v>
      </c>
      <c r="B91" s="12" t="s">
        <v>430</v>
      </c>
      <c r="C91" s="12" t="s">
        <v>431</v>
      </c>
      <c r="D91" s="12" t="s">
        <v>432</v>
      </c>
      <c r="E91" s="12" t="s">
        <v>433</v>
      </c>
      <c r="F91" s="12" t="s">
        <v>434</v>
      </c>
      <c r="G91" s="12" t="s">
        <v>435</v>
      </c>
      <c r="H91" s="12" t="s">
        <v>436</v>
      </c>
      <c r="I91" s="12" t="s">
        <v>437</v>
      </c>
      <c r="J91" s="12" t="s">
        <v>438</v>
      </c>
      <c r="K91" s="12" t="s">
        <v>439</v>
      </c>
      <c r="L91" s="12" t="s">
        <v>440</v>
      </c>
      <c r="M91" s="12" t="s">
        <v>441</v>
      </c>
      <c r="N91" s="12" t="s">
        <v>442</v>
      </c>
      <c r="O91" s="12" t="s">
        <v>443</v>
      </c>
      <c r="P91" s="12" t="s">
        <v>444</v>
      </c>
      <c r="Q91" s="12" t="s">
        <v>445</v>
      </c>
      <c r="R91" s="12" t="s">
        <v>446</v>
      </c>
      <c r="S91" s="12" t="s">
        <v>447</v>
      </c>
      <c r="T91" s="12" t="s">
        <v>448</v>
      </c>
      <c r="U91" s="12" t="s">
        <v>449</v>
      </c>
      <c r="V91" s="12" t="s">
        <v>450</v>
      </c>
      <c r="W91" s="12" t="s">
        <v>451</v>
      </c>
      <c r="X91" s="12" t="s">
        <v>452</v>
      </c>
      <c r="Y91" s="12" t="s">
        <v>470</v>
      </c>
      <c r="Z91" s="18"/>
    </row>
    <row r="92" spans="1:26" ht="34" x14ac:dyDescent="0.2">
      <c r="A92" s="18" t="s">
        <v>454</v>
      </c>
      <c r="B92" s="674" t="s">
        <v>455</v>
      </c>
      <c r="C92" s="674"/>
      <c r="D92" s="674" t="s">
        <v>456</v>
      </c>
      <c r="E92" s="674"/>
      <c r="F92" s="674" t="s">
        <v>457</v>
      </c>
      <c r="G92" s="674"/>
      <c r="H92" s="674" t="s">
        <v>458</v>
      </c>
      <c r="I92" s="674"/>
      <c r="J92" s="674" t="s">
        <v>459</v>
      </c>
      <c r="K92" s="674"/>
      <c r="L92" s="674" t="s">
        <v>460</v>
      </c>
      <c r="M92" s="674"/>
      <c r="N92" s="674" t="s">
        <v>461</v>
      </c>
      <c r="O92" s="674"/>
      <c r="P92" s="674" t="s">
        <v>462</v>
      </c>
      <c r="Q92" s="674"/>
      <c r="R92" s="674" t="s">
        <v>463</v>
      </c>
      <c r="S92" s="674"/>
      <c r="T92" s="674" t="s">
        <v>464</v>
      </c>
      <c r="U92" s="674"/>
      <c r="V92" s="674"/>
      <c r="W92" s="674" t="s">
        <v>465</v>
      </c>
      <c r="X92" s="674"/>
      <c r="Y92" s="12" t="s">
        <v>470</v>
      </c>
      <c r="Z92" s="18" t="s">
        <v>466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467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468</v>
      </c>
      <c r="B106" s="675">
        <f>SUM(B93:C104)</f>
        <v>173003</v>
      </c>
      <c r="C106" s="675"/>
      <c r="D106" s="675">
        <f>SUM(D93:E104)</f>
        <v>75345</v>
      </c>
      <c r="E106" s="675"/>
      <c r="F106" s="675">
        <f>SUM(F99:G104)</f>
        <v>5486</v>
      </c>
      <c r="G106" s="675"/>
      <c r="H106" s="675">
        <f>SUM(H99:I104)</f>
        <v>2132</v>
      </c>
      <c r="I106" s="675"/>
      <c r="J106" s="675">
        <f>SUM(J99:K104)</f>
        <v>9898</v>
      </c>
      <c r="K106" s="675"/>
      <c r="L106" s="675">
        <f>SUM(L99:M104)</f>
        <v>270</v>
      </c>
      <c r="M106" s="675"/>
      <c r="N106" s="675">
        <f>SUM(N99:O104)</f>
        <v>2074</v>
      </c>
      <c r="O106" s="675"/>
      <c r="P106" s="675">
        <f>SUM(P99:Q104)</f>
        <v>0</v>
      </c>
      <c r="Q106" s="675"/>
      <c r="R106" s="675">
        <f>SUM(R99:S104)</f>
        <v>0</v>
      </c>
      <c r="S106" s="675"/>
      <c r="T106" s="675">
        <f>SUM(T99:V104)</f>
        <v>1980</v>
      </c>
      <c r="U106" s="675"/>
      <c r="V106" s="675"/>
      <c r="W106" s="675">
        <f>SUM(W99:X104)</f>
        <v>1071</v>
      </c>
      <c r="X106" s="675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469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272</v>
      </c>
      <c r="B1" s="104" t="s">
        <v>472</v>
      </c>
      <c r="C1" s="104" t="s">
        <v>473</v>
      </c>
      <c r="D1" s="104" t="s">
        <v>474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111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291</v>
      </c>
      <c r="B1" s="91" t="s">
        <v>292</v>
      </c>
      <c r="C1" s="91" t="s">
        <v>293</v>
      </c>
      <c r="D1" s="91" t="s">
        <v>294</v>
      </c>
      <c r="E1" s="91" t="s">
        <v>295</v>
      </c>
      <c r="F1" s="235" t="s">
        <v>296</v>
      </c>
      <c r="G1" s="91" t="s">
        <v>297</v>
      </c>
      <c r="H1" s="91" t="s">
        <v>298</v>
      </c>
      <c r="I1" s="91" t="s">
        <v>299</v>
      </c>
      <c r="J1" s="91" t="s">
        <v>300</v>
      </c>
      <c r="K1" s="91" t="s">
        <v>301</v>
      </c>
      <c r="L1" s="91" t="s">
        <v>302</v>
      </c>
      <c r="M1" s="91" t="s">
        <v>303</v>
      </c>
      <c r="N1" s="91" t="s">
        <v>304</v>
      </c>
      <c r="O1" s="91" t="s">
        <v>305</v>
      </c>
      <c r="P1" s="91" t="s">
        <v>306</v>
      </c>
      <c r="Q1" s="91" t="s">
        <v>307</v>
      </c>
      <c r="R1" s="91" t="s">
        <v>308</v>
      </c>
      <c r="S1" s="91" t="s">
        <v>309</v>
      </c>
      <c r="T1" s="91" t="s">
        <v>310</v>
      </c>
      <c r="U1" s="91" t="s">
        <v>311</v>
      </c>
      <c r="V1" s="91" t="s">
        <v>312</v>
      </c>
      <c r="W1" s="91" t="s">
        <v>313</v>
      </c>
      <c r="X1" s="91" t="s">
        <v>314</v>
      </c>
      <c r="Y1" s="91" t="s">
        <v>315</v>
      </c>
      <c r="Z1" s="91" t="s">
        <v>316</v>
      </c>
      <c r="AA1" s="235" t="s">
        <v>317</v>
      </c>
      <c r="AB1" s="236" t="s">
        <v>318</v>
      </c>
      <c r="AC1" s="91" t="s">
        <v>319</v>
      </c>
      <c r="AD1" s="91" t="s">
        <v>320</v>
      </c>
      <c r="AE1" s="91" t="s">
        <v>321</v>
      </c>
      <c r="AF1" s="91" t="s">
        <v>322</v>
      </c>
      <c r="AG1" s="91" t="s">
        <v>323</v>
      </c>
      <c r="AH1" s="91" t="s">
        <v>324</v>
      </c>
      <c r="AI1" s="91" t="s">
        <v>325</v>
      </c>
      <c r="AJ1" s="91" t="s">
        <v>326</v>
      </c>
      <c r="AK1" s="91" t="s">
        <v>327</v>
      </c>
      <c r="AL1" s="91" t="s">
        <v>328</v>
      </c>
      <c r="AM1" s="91" t="s">
        <v>329</v>
      </c>
      <c r="AN1" s="91" t="s">
        <v>330</v>
      </c>
      <c r="AO1" s="91" t="s">
        <v>331</v>
      </c>
      <c r="AP1" s="91" t="s">
        <v>332</v>
      </c>
      <c r="AQ1" s="91" t="s">
        <v>333</v>
      </c>
      <c r="AR1" s="91" t="s">
        <v>334</v>
      </c>
      <c r="AS1" s="91" t="s">
        <v>335</v>
      </c>
      <c r="AT1" s="226" t="s">
        <v>336</v>
      </c>
      <c r="AU1" s="91" t="s">
        <v>337</v>
      </c>
      <c r="AV1" s="91" t="s">
        <v>338</v>
      </c>
      <c r="AW1" s="226" t="s">
        <v>339</v>
      </c>
      <c r="AX1" s="91" t="s">
        <v>340</v>
      </c>
      <c r="AY1" s="91" t="s">
        <v>341</v>
      </c>
      <c r="AZ1" s="91" t="s">
        <v>342</v>
      </c>
      <c r="BA1" s="91" t="s">
        <v>343</v>
      </c>
      <c r="BB1" s="91" t="s">
        <v>344</v>
      </c>
      <c r="BC1" s="91" t="s">
        <v>345</v>
      </c>
      <c r="BD1" s="91" t="s">
        <v>346</v>
      </c>
      <c r="BE1" s="91" t="s">
        <v>347</v>
      </c>
      <c r="BF1" s="91" t="s">
        <v>348</v>
      </c>
      <c r="BG1" s="91" t="s">
        <v>349</v>
      </c>
      <c r="BH1" s="91" t="s">
        <v>350</v>
      </c>
      <c r="BI1" s="91" t="s">
        <v>351</v>
      </c>
      <c r="BJ1" s="91" t="s">
        <v>352</v>
      </c>
      <c r="BK1" s="91" t="s">
        <v>353</v>
      </c>
      <c r="BL1" s="91" t="s">
        <v>354</v>
      </c>
      <c r="BM1" s="91" t="s">
        <v>355</v>
      </c>
      <c r="BN1" s="91" t="s">
        <v>356</v>
      </c>
      <c r="BO1" s="91" t="s">
        <v>357</v>
      </c>
      <c r="BP1" s="91" t="s">
        <v>358</v>
      </c>
      <c r="BQ1" s="91" t="s">
        <v>359</v>
      </c>
      <c r="BR1" s="91" t="s">
        <v>360</v>
      </c>
      <c r="BS1" s="91" t="s">
        <v>361</v>
      </c>
      <c r="BT1" s="91" t="s">
        <v>362</v>
      </c>
      <c r="BU1" s="91" t="s">
        <v>363</v>
      </c>
      <c r="BV1" s="91" t="s">
        <v>364</v>
      </c>
      <c r="BW1" s="91" t="s">
        <v>365</v>
      </c>
      <c r="BX1" s="91" t="s">
        <v>366</v>
      </c>
      <c r="BY1" s="91" t="s">
        <v>367</v>
      </c>
      <c r="BZ1" s="91" t="s">
        <v>368</v>
      </c>
      <c r="CA1" s="91" t="s">
        <v>369</v>
      </c>
      <c r="CB1" s="91" t="s">
        <v>370</v>
      </c>
      <c r="CC1" s="91" t="s">
        <v>371</v>
      </c>
      <c r="CD1" s="91" t="s">
        <v>372</v>
      </c>
      <c r="CE1" s="91" t="s">
        <v>373</v>
      </c>
      <c r="CF1" s="91" t="s">
        <v>374</v>
      </c>
      <c r="CG1" s="91" t="s">
        <v>375</v>
      </c>
      <c r="CH1" s="91" t="s">
        <v>376</v>
      </c>
      <c r="CI1" s="91" t="s">
        <v>377</v>
      </c>
      <c r="CJ1" s="91" t="s">
        <v>378</v>
      </c>
      <c r="CK1" s="91" t="s">
        <v>379</v>
      </c>
      <c r="CL1" s="91" t="s">
        <v>380</v>
      </c>
      <c r="CM1" s="91" t="s">
        <v>381</v>
      </c>
      <c r="CN1" s="91" t="s">
        <v>382</v>
      </c>
      <c r="CO1" s="91" t="s">
        <v>383</v>
      </c>
      <c r="CP1" s="91" t="s">
        <v>384</v>
      </c>
      <c r="CQ1" s="91" t="s">
        <v>385</v>
      </c>
      <c r="CR1" s="91" t="s">
        <v>386</v>
      </c>
      <c r="CS1" s="91" t="s">
        <v>387</v>
      </c>
      <c r="CT1" s="91" t="s">
        <v>388</v>
      </c>
      <c r="CU1" s="91" t="s">
        <v>389</v>
      </c>
      <c r="CV1" s="91" t="s">
        <v>390</v>
      </c>
      <c r="CW1" s="91" t="s">
        <v>391</v>
      </c>
      <c r="CX1" s="91" t="s">
        <v>392</v>
      </c>
      <c r="CY1" s="91" t="s">
        <v>393</v>
      </c>
      <c r="CZ1" s="91" t="s">
        <v>394</v>
      </c>
      <c r="DA1" s="91" t="s">
        <v>395</v>
      </c>
      <c r="DB1" s="91" t="s">
        <v>396</v>
      </c>
      <c r="DC1" s="91" t="s">
        <v>397</v>
      </c>
      <c r="DD1" s="91" t="s">
        <v>398</v>
      </c>
      <c r="DE1" s="91" t="s">
        <v>399</v>
      </c>
      <c r="DF1" s="91" t="s">
        <v>400</v>
      </c>
      <c r="DG1" s="91" t="s">
        <v>401</v>
      </c>
      <c r="DH1" s="91" t="s">
        <v>402</v>
      </c>
      <c r="DI1" s="91" t="s">
        <v>403</v>
      </c>
      <c r="DJ1" s="230" t="s">
        <v>404</v>
      </c>
      <c r="DK1" s="230" t="s">
        <v>405</v>
      </c>
      <c r="DL1" s="230" t="s">
        <v>406</v>
      </c>
      <c r="DM1" s="230" t="s">
        <v>407</v>
      </c>
      <c r="DN1" s="230" t="s">
        <v>408</v>
      </c>
      <c r="DO1" s="230" t="s">
        <v>409</v>
      </c>
      <c r="DP1" s="230" t="s">
        <v>410</v>
      </c>
      <c r="DQ1" s="91"/>
      <c r="DR1" s="91"/>
      <c r="DS1" s="91"/>
    </row>
    <row r="2" spans="1:123" s="55" customFormat="1" ht="34" x14ac:dyDescent="0.2">
      <c r="A2" s="65" t="s">
        <v>411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412</v>
      </c>
      <c r="AH2" s="54" t="s">
        <v>413</v>
      </c>
      <c r="AI2" s="54">
        <v>105</v>
      </c>
      <c r="AJ2" s="54" t="s">
        <v>414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415</v>
      </c>
      <c r="AR2" s="54">
        <v>114</v>
      </c>
      <c r="AS2" s="54">
        <v>115</v>
      </c>
      <c r="AT2" s="225">
        <v>116</v>
      </c>
      <c r="AU2" s="54" t="s">
        <v>416</v>
      </c>
      <c r="AV2" s="54" t="s">
        <v>417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418</v>
      </c>
      <c r="BB2" s="54" t="s">
        <v>419</v>
      </c>
      <c r="BC2" s="54" t="s">
        <v>420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workbookViewId="0"/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421</v>
      </c>
      <c r="C1" s="221" t="s">
        <v>273</v>
      </c>
      <c r="D1" s="221" t="s">
        <v>6</v>
      </c>
      <c r="E1" s="221" t="s">
        <v>422</v>
      </c>
      <c r="F1" s="221" t="s">
        <v>14</v>
      </c>
      <c r="G1" s="221" t="s">
        <v>22</v>
      </c>
      <c r="H1" s="221" t="s">
        <v>423</v>
      </c>
      <c r="I1" s="221" t="s">
        <v>424</v>
      </c>
      <c r="J1" s="221" t="s">
        <v>18</v>
      </c>
      <c r="K1" s="221" t="s">
        <v>425</v>
      </c>
      <c r="L1" s="221" t="s">
        <v>12</v>
      </c>
      <c r="M1" s="221" t="s">
        <v>426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475</v>
      </c>
      <c r="C1" s="116" t="s">
        <v>476</v>
      </c>
      <c r="D1" s="116" t="s">
        <v>477</v>
      </c>
      <c r="E1" s="116" t="s">
        <v>478</v>
      </c>
      <c r="F1" s="116" t="s">
        <v>26</v>
      </c>
      <c r="G1" s="116" t="s">
        <v>479</v>
      </c>
      <c r="H1" s="116" t="s">
        <v>480</v>
      </c>
      <c r="I1" s="116" t="s">
        <v>481</v>
      </c>
      <c r="J1" s="116" t="s">
        <v>482</v>
      </c>
      <c r="K1" s="116" t="s">
        <v>27</v>
      </c>
      <c r="L1" s="355" t="s">
        <v>483</v>
      </c>
      <c r="M1" s="533" t="s">
        <v>484</v>
      </c>
      <c r="N1" s="116" t="s">
        <v>485</v>
      </c>
      <c r="O1" s="116" t="s">
        <v>486</v>
      </c>
      <c r="P1" s="533" t="s">
        <v>487</v>
      </c>
      <c r="Q1" s="116" t="s">
        <v>488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4">
        <f>'Yearly Recycling'!L6</f>
        <v>3322000</v>
      </c>
      <c r="M2" s="535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5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4">
        <f>'Yearly Recycling'!L7</f>
        <v>3187000</v>
      </c>
      <c r="M3" s="535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5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4">
        <f>'Yearly Recycling'!L8</f>
        <v>2961000</v>
      </c>
      <c r="M4" s="535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5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4">
        <f>'Yearly Recycling'!L9</f>
        <v>2902000</v>
      </c>
      <c r="M5" s="535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5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4">
        <f>'Yearly Recycling'!L10</f>
        <v>2323000</v>
      </c>
      <c r="M6" s="535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5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4">
        <f>'Yearly Recycling'!L11</f>
        <v>1790000</v>
      </c>
      <c r="M7" s="535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5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4">
        <f>'Yearly Recycling'!L12</f>
        <v>1440000</v>
      </c>
      <c r="M8" s="535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5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4">
        <f>'Yearly Recycling'!L13</f>
        <v>1575000</v>
      </c>
      <c r="M9" s="535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5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1006227.5000000002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1429</v>
      </c>
      <c r="L10" s="534">
        <f>'Yearly Recycling'!L14</f>
        <v>1828310</v>
      </c>
      <c r="M10" s="535">
        <f t="shared" si="0"/>
        <v>2157569.6</v>
      </c>
      <c r="N10" s="14">
        <f>'Yearly GHG (mCO2)'!G14</f>
        <v>21497</v>
      </c>
      <c r="O10" s="14">
        <f t="shared" si="1"/>
        <v>100.36607898776573</v>
      </c>
      <c r="P10" s="535">
        <f t="shared" si="2"/>
        <v>85.049541796529752</v>
      </c>
      <c r="Q10" s="153">
        <f t="shared" si="3"/>
        <v>0.54130325461913098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918636.94999999984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1532.3999999999999</v>
      </c>
      <c r="L11" s="534">
        <f>'Yearly Recycling'!L15</f>
        <v>1752328.5999999999</v>
      </c>
      <c r="M11" s="535">
        <f t="shared" si="0"/>
        <v>1998030.7499999998</v>
      </c>
      <c r="N11" s="14">
        <f>'Yearly GHG (mCO2)'!G15</f>
        <v>22169</v>
      </c>
      <c r="O11" s="14">
        <f t="shared" si="1"/>
        <v>90.127238486174377</v>
      </c>
      <c r="P11" s="535">
        <f t="shared" si="2"/>
        <v>79.044097613785013</v>
      </c>
      <c r="Q11" s="153">
        <f t="shared" si="3"/>
        <v>0.53275714765839699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945494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1493.6</v>
      </c>
      <c r="L12" s="534">
        <f>'Yearly Recycling'!L16</f>
        <v>1793997.6</v>
      </c>
      <c r="M12" s="536">
        <f t="shared" si="0"/>
        <v>2061658.8000000003</v>
      </c>
      <c r="N12" s="14">
        <f>4593+19284</f>
        <v>23877</v>
      </c>
      <c r="O12" s="14">
        <f t="shared" ref="O12" si="4">M12/N12</f>
        <v>86.34496796079911</v>
      </c>
      <c r="P12" s="535">
        <f t="shared" ref="P12:P13" si="5">L12/N12</f>
        <v>75.134966704359854</v>
      </c>
      <c r="Q12" s="153">
        <f t="shared" si="3"/>
        <v>0.53471019876148718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111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936385.8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1649.2</v>
      </c>
      <c r="L13" s="534">
        <f>'Yearly Recycling'!L17</f>
        <v>1763306.2000000002</v>
      </c>
      <c r="M13" s="535">
        <f t="shared" ref="M13" si="6">SUM(B13:K13)</f>
        <v>2044528.7</v>
      </c>
      <c r="N13" s="14">
        <f>'Yearly GHG (mCO2)'!G17</f>
        <v>0</v>
      </c>
      <c r="O13" s="14" t="e">
        <f t="shared" si="1"/>
        <v>#DIV/0!</v>
      </c>
      <c r="P13" s="535" t="e">
        <f t="shared" si="5"/>
        <v>#DIV/0!</v>
      </c>
      <c r="Q13" s="153">
        <f t="shared" ref="Q13" si="7">M13/(L13+M13)</f>
        <v>0.53692682421708982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0.2437507603100959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489</v>
      </c>
      <c r="C1" s="89" t="s">
        <v>490</v>
      </c>
      <c r="D1" s="89" t="s">
        <v>82</v>
      </c>
      <c r="E1" s="89" t="s">
        <v>83</v>
      </c>
      <c r="F1" s="89" t="s">
        <v>491</v>
      </c>
      <c r="G1" s="141"/>
      <c r="H1" s="141"/>
      <c r="J1" s="141"/>
      <c r="K1" s="141"/>
      <c r="L1" s="141"/>
      <c r="M1" s="143"/>
      <c r="N1" s="89" t="s">
        <v>28</v>
      </c>
      <c r="O1" s="89" t="s">
        <v>489</v>
      </c>
      <c r="P1" s="89" t="s">
        <v>492</v>
      </c>
      <c r="Q1" s="89" t="s">
        <v>493</v>
      </c>
      <c r="R1" s="89" t="s">
        <v>494</v>
      </c>
      <c r="S1" s="89" t="s">
        <v>26</v>
      </c>
      <c r="T1" s="65" t="s">
        <v>495</v>
      </c>
      <c r="V1" s="89" t="s">
        <v>28</v>
      </c>
      <c r="W1" s="89" t="s">
        <v>489</v>
      </c>
      <c r="X1" s="89" t="s">
        <v>492</v>
      </c>
      <c r="Y1" s="89" t="s">
        <v>493</v>
      </c>
      <c r="Z1" s="89" t="s">
        <v>494</v>
      </c>
      <c r="AA1" s="89" t="s">
        <v>26</v>
      </c>
      <c r="AB1" s="65" t="s">
        <v>495</v>
      </c>
      <c r="AC1" s="141"/>
      <c r="AD1" s="141" t="s">
        <v>489</v>
      </c>
      <c r="AE1" s="141" t="s">
        <v>496</v>
      </c>
      <c r="AF1" s="143"/>
      <c r="AG1" s="65" t="s">
        <v>28</v>
      </c>
      <c r="AH1" s="65" t="s">
        <v>475</v>
      </c>
      <c r="AI1" s="65" t="s">
        <v>476</v>
      </c>
      <c r="AJ1" s="65" t="s">
        <v>497</v>
      </c>
      <c r="AK1" s="65" t="s">
        <v>478</v>
      </c>
      <c r="AL1" s="65" t="s">
        <v>26</v>
      </c>
      <c r="AM1" s="65" t="s">
        <v>479</v>
      </c>
      <c r="AN1" s="65" t="s">
        <v>480</v>
      </c>
      <c r="AO1" s="65" t="s">
        <v>481</v>
      </c>
      <c r="AP1" s="65" t="s">
        <v>498</v>
      </c>
      <c r="AQ1" s="66" t="s">
        <v>499</v>
      </c>
      <c r="AS1" s="65" t="s">
        <v>28</v>
      </c>
      <c r="AT1" s="65" t="s">
        <v>480</v>
      </c>
      <c r="AU1" s="65" t="s">
        <v>481</v>
      </c>
      <c r="AV1" s="65" t="s">
        <v>500</v>
      </c>
      <c r="AW1" s="65" t="s">
        <v>475</v>
      </c>
      <c r="AX1" s="192"/>
      <c r="AY1" s="193" t="s">
        <v>28</v>
      </c>
      <c r="AZ1" s="194" t="s">
        <v>501</v>
      </c>
      <c r="BA1" s="194" t="s">
        <v>502</v>
      </c>
      <c r="BB1" s="194" t="s">
        <v>503</v>
      </c>
      <c r="BC1" s="194" t="s">
        <v>504</v>
      </c>
      <c r="BD1" s="194" t="s">
        <v>505</v>
      </c>
      <c r="BE1" s="194" t="s">
        <v>273</v>
      </c>
      <c r="BF1" s="194" t="s">
        <v>506</v>
      </c>
      <c r="BG1" s="194" t="s">
        <v>45</v>
      </c>
      <c r="BH1" s="194" t="s">
        <v>507</v>
      </c>
      <c r="BI1" s="195"/>
      <c r="BP1" s="192"/>
      <c r="BQ1" s="198" t="s">
        <v>508</v>
      </c>
      <c r="BR1" s="196" t="s">
        <v>475</v>
      </c>
      <c r="BS1" s="196" t="s">
        <v>476</v>
      </c>
      <c r="BT1" s="196" t="s">
        <v>497</v>
      </c>
      <c r="BU1" s="196" t="s">
        <v>478</v>
      </c>
      <c r="BV1" s="196" t="s">
        <v>26</v>
      </c>
      <c r="BW1" s="196" t="s">
        <v>479</v>
      </c>
      <c r="BX1" s="196" t="s">
        <v>480</v>
      </c>
      <c r="BY1" s="196" t="s">
        <v>481</v>
      </c>
      <c r="BZ1" s="196" t="s">
        <v>498</v>
      </c>
      <c r="CA1" s="197" t="s">
        <v>499</v>
      </c>
      <c r="CB1" s="196" t="s">
        <v>82</v>
      </c>
      <c r="CD1" s="198" t="s">
        <v>509</v>
      </c>
      <c r="CE1" s="196" t="s">
        <v>475</v>
      </c>
      <c r="CF1" s="196" t="s">
        <v>476</v>
      </c>
      <c r="CG1" s="196" t="s">
        <v>497</v>
      </c>
      <c r="CH1" s="196" t="s">
        <v>478</v>
      </c>
      <c r="CI1" s="196" t="s">
        <v>26</v>
      </c>
      <c r="CJ1" s="196" t="s">
        <v>479</v>
      </c>
      <c r="CK1" s="196" t="s">
        <v>480</v>
      </c>
      <c r="CL1" s="196" t="s">
        <v>481</v>
      </c>
      <c r="CM1" s="196" t="s">
        <v>498</v>
      </c>
      <c r="CN1" s="197" t="s">
        <v>499</v>
      </c>
      <c r="CO1" s="196" t="s">
        <v>82</v>
      </c>
      <c r="CP1" s="192"/>
      <c r="CQ1" s="198" t="s">
        <v>508</v>
      </c>
      <c r="CR1" s="206" t="s">
        <v>501</v>
      </c>
      <c r="CS1" s="206" t="s">
        <v>502</v>
      </c>
      <c r="CT1" s="206" t="s">
        <v>503</v>
      </c>
      <c r="CU1" s="206" t="s">
        <v>504</v>
      </c>
      <c r="CV1" s="206" t="s">
        <v>505</v>
      </c>
      <c r="CW1" s="206" t="s">
        <v>273</v>
      </c>
      <c r="CX1" s="206" t="s">
        <v>506</v>
      </c>
      <c r="CY1" s="206" t="s">
        <v>45</v>
      </c>
      <c r="CZ1" s="206" t="s">
        <v>507</v>
      </c>
      <c r="DA1" s="206" t="s">
        <v>474</v>
      </c>
      <c r="DC1" s="198" t="s">
        <v>509</v>
      </c>
      <c r="DD1" s="206" t="s">
        <v>501</v>
      </c>
      <c r="DE1" s="206" t="s">
        <v>502</v>
      </c>
      <c r="DF1" s="206" t="s">
        <v>503</v>
      </c>
      <c r="DG1" s="206" t="s">
        <v>504</v>
      </c>
      <c r="DH1" s="206" t="s">
        <v>505</v>
      </c>
      <c r="DI1" s="206" t="s">
        <v>273</v>
      </c>
      <c r="DJ1" s="206" t="s">
        <v>506</v>
      </c>
      <c r="DK1" s="206" t="s">
        <v>45</v>
      </c>
      <c r="DL1" s="206" t="s">
        <v>507</v>
      </c>
      <c r="DM1" s="206" t="s">
        <v>474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(KG)'!D122,'Raw Data (KG)'!G122,'Raw Data (KG)'!V122,'Raw Data (KG)'!H122,'Raw Data (KG)'!K122,'Raw Data (KG)'!L122)</f>
        <v>10929.5</v>
      </c>
      <c r="Q2" s="184">
        <f>SUM('Raw Data (KG)'!E122:F122,'Raw Data (KG)'!J122:Z122,'Raw Data (KG)'!Q122)</f>
        <v>61584.5</v>
      </c>
      <c r="R2" s="184">
        <f>SUM('Raw Data (KG)'!I122:X122,'Raw Data (KG)'!J122,'Raw Data (KG)'!P122,'Raw Data (KG)'!T122)</f>
        <v>64879</v>
      </c>
      <c r="S2" s="184">
        <f>'Raw Food Data (KG)'!Q83</f>
        <v>23296.5</v>
      </c>
      <c r="T2" s="185">
        <f>SUM('Raw Data (KG)'!R122:S122)</f>
        <v>21670</v>
      </c>
      <c r="V2" s="123" t="s">
        <v>510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382017.05</v>
      </c>
      <c r="Z2" s="124">
        <f t="shared" si="0"/>
        <v>474624.65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0.41085869726123597</v>
      </c>
      <c r="AE2" s="186">
        <f>SUM(X2:AB2)/SUM(W2:AB2)</f>
        <v>0.58914130273876419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63739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0</v>
      </c>
      <c r="AS2" s="191" t="s">
        <v>510</v>
      </c>
      <c r="AT2" s="139">
        <f>SUM(AN2:AN7)/SUM(AH2:AQ7)</f>
        <v>0.11583276138596606</v>
      </c>
      <c r="AU2" s="139">
        <f>SUM(AO2:AO7)/SUM(AH2:AQ7)</f>
        <v>8.90511290520552E-2</v>
      </c>
      <c r="AV2" s="139">
        <f>SUM(AL2:AL7)/SUM(AH2:AQ7)</f>
        <v>0.1883329465381052</v>
      </c>
      <c r="AW2" s="139">
        <f>SUM(AH2:AH7)/SUM(AH2:AQ7)</f>
        <v>6.9997155805883782E-2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511</v>
      </c>
      <c r="BR2" s="9">
        <f>SUM('Monthly Recycling'!B110:B115)</f>
        <v>67750</v>
      </c>
      <c r="BS2" s="9">
        <f>SUM('Monthly Recycling'!C110:C115)</f>
        <v>5839</v>
      </c>
      <c r="BT2" s="9">
        <f>SUM('Monthly Recycling'!D110:D115)</f>
        <v>519147.10000000003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957.1</v>
      </c>
      <c r="CB2" s="9">
        <f>SUM(BR2:CA2)</f>
        <v>1109637.2000000002</v>
      </c>
      <c r="CD2" s="8" t="s">
        <v>512</v>
      </c>
      <c r="CE2" s="9">
        <f>SUM('Monthly Recycling'!B102:B115)</f>
        <v>156547</v>
      </c>
      <c r="CF2" s="9">
        <f>SUM('Monthly Recycling'!C102:C115)</f>
        <v>10915</v>
      </c>
      <c r="CG2" s="9">
        <f>SUM('Monthly Recycling'!D102:D115)</f>
        <v>1133315.5330000001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1512.8329999999999</v>
      </c>
      <c r="CO2" s="9">
        <f>SUM(CE2:CN2)</f>
        <v>2426024.966</v>
      </c>
      <c r="CQ2" s="8" t="s">
        <v>511</v>
      </c>
      <c r="DC2" s="8" t="s">
        <v>512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(KG)'!D123,'Raw Data (KG)'!G123,'Raw Data (KG)'!V123,'Raw Data (KG)'!H123,'Raw Data (KG)'!K123,'Raw Data (KG)'!L123)</f>
        <v>11012.9</v>
      </c>
      <c r="Q3" s="184">
        <f>SUM('Raw Data (KG)'!E123:F123,'Raw Data (KG)'!J123:Z123,'Raw Data (KG)'!Q123)</f>
        <v>60898</v>
      </c>
      <c r="R3" s="184">
        <f>SUM('Raw Data (KG)'!I123:X123,'Raw Data (KG)'!J123,'Raw Data (KG)'!P123,'Raw Data (KG)'!T123)</f>
        <v>72672.600000000006</v>
      </c>
      <c r="S3" s="184">
        <f>'Raw Food Data (KG)'!Q84</f>
        <v>28190.499999999996</v>
      </c>
      <c r="T3" s="185">
        <f>SUM('Raw Data (KG)'!R123:S123)</f>
        <v>27270</v>
      </c>
      <c r="V3" s="137" t="s">
        <v>513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337855.60000000003</v>
      </c>
      <c r="Z3" s="125">
        <f t="shared" si="2"/>
        <v>458410.80000000005</v>
      </c>
      <c r="AA3" s="125">
        <f t="shared" si="2"/>
        <v>219107.59999999998</v>
      </c>
      <c r="AB3" s="125">
        <f t="shared" si="2"/>
        <v>133135</v>
      </c>
      <c r="AD3" s="186">
        <f>W3/SUM(W3:AB3)</f>
        <v>0.40758719217964717</v>
      </c>
      <c r="AE3" s="186">
        <f>SUM(X3:AB3)/SUM(W3:AB3)</f>
        <v>0.59241280782035277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71197.5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21.1</v>
      </c>
      <c r="AS3" s="191" t="s">
        <v>513</v>
      </c>
      <c r="AT3" s="139">
        <f>SUM(AN8:AN13)/SUM(AH8:AQ13)</f>
        <v>6.0762097171957102E-2</v>
      </c>
      <c r="AU3" s="139">
        <f>SUM(AO8:AO13)/SUM(AH8:AQ13)</f>
        <v>9.4189099708175864E-2</v>
      </c>
      <c r="AV3" s="139">
        <f>SUM(AL8:AL13)/SUM(AH8:AQ13)</f>
        <v>0.22190911379805495</v>
      </c>
      <c r="AW3" s="139">
        <f>SUM(AH8:AH13)/SUM(AH8:AQ13)</f>
        <v>7.8930465555451371E-2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514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466294.75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216.89999999999998</v>
      </c>
      <c r="CB3" s="9">
        <f>SUM(BR3:CA3)</f>
        <v>1010655.35</v>
      </c>
      <c r="CD3" s="8" t="s">
        <v>515</v>
      </c>
      <c r="CE3" s="9">
        <f>SUM('Monthly Recycling'!B114:B127)</f>
        <v>156016</v>
      </c>
      <c r="CF3" s="9">
        <f>SUM('Monthly Recycling'!C114:C127)</f>
        <v>11902</v>
      </c>
      <c r="CG3" s="9">
        <f>SUM('Monthly Recycling'!D114:D127)</f>
        <v>1141848.6500000001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917.30000000000007</v>
      </c>
      <c r="CO3" s="9">
        <f>SUM(CE3:CN3)</f>
        <v>2455365.75</v>
      </c>
      <c r="CQ3" s="8" t="s">
        <v>514</v>
      </c>
      <c r="DC3" s="8" t="s">
        <v>515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(KG)'!D124,'Raw Data (KG)'!G124,'Raw Data (KG)'!V124,'Raw Data (KG)'!H124,'Raw Data (KG)'!K124,'Raw Data (KG)'!L124)</f>
        <v>11439.75</v>
      </c>
      <c r="Q4" s="184">
        <f>SUM('Raw Data (KG)'!E124:F124,'Raw Data (KG)'!J124:Z124,'Raw Data (KG)'!Q124)</f>
        <v>81832.350000000006</v>
      </c>
      <c r="R4" s="184">
        <f>SUM('Raw Data (KG)'!I124:X124,'Raw Data (KG)'!J124,'Raw Data (KG)'!P124,'Raw Data (KG)'!T124)</f>
        <v>95840.950000000012</v>
      </c>
      <c r="S4" s="184">
        <f>'Raw Food Data (KG)'!Q85</f>
        <v>30387</v>
      </c>
      <c r="T4" s="185">
        <f>SUM('Raw Data (KG)'!R124:S124)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95299.35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91.6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516</v>
      </c>
      <c r="BR4" s="139">
        <f t="shared" ref="BR4:CB4" si="3">BR3/BR2-1</f>
        <v>4.4177121771217687E-2</v>
      </c>
      <c r="BS4" s="139">
        <f t="shared" si="3"/>
        <v>-0.24387737626305872</v>
      </c>
      <c r="BT4" s="139">
        <f t="shared" si="3"/>
        <v>-0.10180611622409141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-0.7733779124438408</v>
      </c>
      <c r="CB4" s="199">
        <f t="shared" si="3"/>
        <v>-8.9201993228057108E-2</v>
      </c>
      <c r="CD4" s="8" t="s">
        <v>516</v>
      </c>
      <c r="CE4" s="139">
        <f t="shared" ref="CE4:CO4" si="4">CE3/CE2-1</f>
        <v>-3.3919525765424563E-3</v>
      </c>
      <c r="CF4" s="139">
        <f t="shared" si="4"/>
        <v>9.0426019239578492E-2</v>
      </c>
      <c r="CG4" s="139">
        <f t="shared" si="4"/>
        <v>7.5293391394821718E-3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-0.39365415746483579</v>
      </c>
      <c r="CO4" s="199">
        <f t="shared" si="4"/>
        <v>1.2094180567472357E-2</v>
      </c>
      <c r="CQ4" s="8" t="s">
        <v>516</v>
      </c>
      <c r="DC4" s="8" t="s">
        <v>516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(KG)'!D125,'Raw Data (KG)'!G125,'Raw Data (KG)'!V125,'Raw Data (KG)'!H125,'Raw Data (KG)'!K125,'Raw Data (KG)'!L125)</f>
        <v>11646.6</v>
      </c>
      <c r="Q5" s="184">
        <f>SUM('Raw Data (KG)'!E125:F125,'Raw Data (KG)'!J125:Z125,'Raw Data (KG)'!Q125)</f>
        <v>63851.1</v>
      </c>
      <c r="R5" s="184">
        <f>SUM('Raw Data (KG)'!I125:X125,'Raw Data (KG)'!J125,'Raw Data (KG)'!P125,'Raw Data (KG)'!T125)</f>
        <v>78116.100000000006</v>
      </c>
      <c r="S5" s="184">
        <f>'Raw Food Data (KG)'!Q86</f>
        <v>30156.499999999996</v>
      </c>
      <c r="T5" s="185">
        <f>SUM('Raw Data (KG)'!R125:S125)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76415.600000000006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77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(KG)'!D126,'Raw Data (KG)'!G126,'Raw Data (KG)'!V126,'Raw Data (KG)'!H126,'Raw Data (KG)'!K126,'Raw Data (KG)'!L126)</f>
        <v>13879.6</v>
      </c>
      <c r="Q6" s="184">
        <f>SUM('Raw Data (KG)'!E126:F126,'Raw Data (KG)'!J126:Z126,'Raw Data (KG)'!Q126)</f>
        <v>51652.299999999996</v>
      </c>
      <c r="R6" s="184">
        <f>SUM('Raw Data (KG)'!I126:X126,'Raw Data (KG)'!J126,'Raw Data (KG)'!P126,'Raw Data (KG)'!T126)</f>
        <v>81080.899999999994</v>
      </c>
      <c r="S6" s="184">
        <f>'Raw Food Data (KG)'!Q87</f>
        <v>42615.9</v>
      </c>
      <c r="T6" s="185">
        <f>SUM('Raw Data (KG)'!R126:S126)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79550.2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27.2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517</v>
      </c>
      <c r="BR6" s="9">
        <f>SUM('Monthly Recycling'!B116:B121)</f>
        <v>62723</v>
      </c>
      <c r="BS6" s="9">
        <f>SUM('Monthly Recycling'!C116:C121)</f>
        <v>5118</v>
      </c>
      <c r="BT6" s="9">
        <f>SUM('Monthly Recycling'!D116:D121)</f>
        <v>487080.39999999997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471.9</v>
      </c>
      <c r="CB6" s="9">
        <f>SUM(BR6:CA6)</f>
        <v>1043468.3999999999</v>
      </c>
      <c r="CD6" s="8" t="s">
        <v>518</v>
      </c>
      <c r="CE6" s="9">
        <f>SUM('Monthly Recycling'!B108:B121)</f>
        <v>150623</v>
      </c>
      <c r="CF6" s="9">
        <f>SUM('Monthly Recycling'!C108:C121)</f>
        <v>11577</v>
      </c>
      <c r="CG6" s="9">
        <f>SUM('Monthly Recycling'!D108:D121)</f>
        <v>1162067.6500000001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1531</v>
      </c>
      <c r="CO6" s="9">
        <f>SUM(CE6:CN6)</f>
        <v>2484656.75</v>
      </c>
      <c r="CQ6" s="8" t="s">
        <v>517</v>
      </c>
      <c r="DC6" s="8" t="s">
        <v>518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(KG)'!D127,'Raw Data (KG)'!G127,'Raw Data (KG)'!V127,'Raw Data (KG)'!H127,'Raw Data (KG)'!K127,'Raw Data (KG)'!L127)</f>
        <v>13838.8</v>
      </c>
      <c r="Q7" s="184">
        <f>SUM('Raw Data (KG)'!E127:F127,'Raw Data (KG)'!J127:Z127,'Raw Data (KG)'!Q127)</f>
        <v>62198.8</v>
      </c>
      <c r="R7" s="184">
        <f>SUM('Raw Data (KG)'!I127:X127,'Raw Data (KG)'!J127,'Raw Data (KG)'!P127,'Raw Data (KG)'!T127)</f>
        <v>82035.099999999991</v>
      </c>
      <c r="S7" s="184">
        <f>'Raw Food Data (KG)'!Q88</f>
        <v>35693.299999999996</v>
      </c>
      <c r="T7" s="185">
        <f>SUM('Raw Data (KG)'!R127:S127)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80093.099999999991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519</v>
      </c>
      <c r="CD7" s="8" t="s">
        <v>520</v>
      </c>
      <c r="CQ7" s="8" t="s">
        <v>519</v>
      </c>
      <c r="DC7" s="8" t="s">
        <v>520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(KG)'!D128,'Raw Data (KG)'!G128,'Raw Data (KG)'!V128,'Raw Data (KG)'!H128,'Raw Data (KG)'!K128,'Raw Data (KG)'!L128)</f>
        <v>13922.8</v>
      </c>
      <c r="Q8" s="184">
        <f>SUM('Raw Data (KG)'!E128:F128,'Raw Data (KG)'!J128:Z128,'Raw Data (KG)'!Q128)</f>
        <v>68877.3</v>
      </c>
      <c r="R8" s="184">
        <f>SUM('Raw Data (KG)'!I128:X128,'Raw Data (KG)'!J128,'Raw Data (KG)'!P128,'Raw Data (KG)'!T128)</f>
        <v>79614.7</v>
      </c>
      <c r="S8" s="184">
        <f>'Raw Food Data (KG)'!Q89</f>
        <v>29377.9</v>
      </c>
      <c r="T8" s="185">
        <f>SUM('Raw Data (KG)'!R128:S128)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78479.199999999997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505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516</v>
      </c>
      <c r="CD8" s="8" t="s">
        <v>516</v>
      </c>
      <c r="CQ8" s="8" t="s">
        <v>516</v>
      </c>
      <c r="DC8" s="8" t="s">
        <v>516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(KG)'!D129,'Raw Data (KG)'!G129,'Raw Data (KG)'!V129,'Raw Data (KG)'!H129,'Raw Data (KG)'!K129,'Raw Data (KG)'!L129)</f>
        <v>13075.4</v>
      </c>
      <c r="Q9" s="184">
        <f>SUM('Raw Data (KG)'!E129:F129,'Raw Data (KG)'!J129:Z129,'Raw Data (KG)'!Q129)</f>
        <v>54675.199999999997</v>
      </c>
      <c r="R9" s="184">
        <f>SUM('Raw Data (KG)'!I129:X129,'Raw Data (KG)'!J129,'Raw Data (KG)'!P129,'Raw Data (KG)'!T129)</f>
        <v>74568.599999999991</v>
      </c>
      <c r="S9" s="184">
        <f>'Raw Food Data (KG)'!Q90</f>
        <v>35652.6</v>
      </c>
      <c r="T9" s="185">
        <f>SUM('Raw Data (KG)'!R129:S129)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73507.799999999988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320.7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(KG)'!D130,'Raw Data (KG)'!G130,'Raw Data (KG)'!V130,'Raw Data (KG)'!H130,'Raw Data (KG)'!K129,'Raw Data (KG)'!L130)</f>
        <v>13876.8</v>
      </c>
      <c r="Q10" s="184">
        <f>SUM('Raw Data (KG)'!E130:F130,'Raw Data (KG)'!J130:Z130,'Raw Data (KG)'!Q130)</f>
        <v>57105.4</v>
      </c>
      <c r="R10" s="184">
        <f>SUM('Raw Data (KG)'!I130:X130,'Raw Data (KG)'!J129,'Raw Data (KG)'!P130,'Raw Data (KG)'!T130)</f>
        <v>85301.800000000017</v>
      </c>
      <c r="S10" s="184">
        <f>'Raw Food Data (KG)'!Q91</f>
        <v>43510.8</v>
      </c>
      <c r="T10" s="185">
        <f>SUM('Raw Data (KG)'!R130:S130)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83949.200000000012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32.6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514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(KG)'!D131,'Raw Data (KG)'!G131,'Raw Data (KG)'!V131,'Raw Data (KG)'!H131,'Raw Data (KG)'!K131,'Raw Data (KG)'!L131)</f>
        <v>13058.8</v>
      </c>
      <c r="Q11" s="184">
        <f>SUM('Raw Data (KG)'!E131:F131,'Raw Data (KG)'!J131:Z131,'Raw Data (KG)'!Q131)</f>
        <v>52848.600000000006</v>
      </c>
      <c r="R11" s="184">
        <f>SUM('Raw Data (KG)'!I131:X131,'Raw Data (KG)'!J131,'Raw Data (KG)'!P131,'Raw Data (KG)'!T131)</f>
        <v>76413.400000000009</v>
      </c>
      <c r="S11" s="184">
        <f>'Raw Food Data (KG)'!Q92</f>
        <v>39601</v>
      </c>
      <c r="T11" s="185">
        <f>SUM('Raw Data (KG)'!R131:S131)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75206.600000000006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521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(KG)'!D132,'Raw Data (KG)'!G132,'Raw Data (KG)'!V132,'Raw Data (KG)'!H132,'Raw Data (KG)'!K132,'Raw Data (KG)'!L132)</f>
        <v>13974.2</v>
      </c>
      <c r="Q12" s="184">
        <f>SUM('Raw Data (KG)'!E132:F132,'Raw Data (KG)'!J132:Z132,'Raw Data (KG)'!Q132)</f>
        <v>46277.9</v>
      </c>
      <c r="R12" s="184">
        <f>SUM('Raw Data (KG)'!I132:X132,'Raw Data (KG)'!J132,'Raw Data (KG)'!P132,'Raw Data (KG)'!T132)</f>
        <v>73661.899999999994</v>
      </c>
      <c r="S12" s="184">
        <f>'Raw Food Data (KG)'!Q93</f>
        <v>40905.300000000003</v>
      </c>
      <c r="T12" s="185">
        <f>SUM('Raw Data (KG)'!R132:S132)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73151.199999999997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150.69999999999999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516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(KG)'!D133,'Raw Data (KG)'!G133,'Raw Data (KG)'!V133,'Raw Data (KG)'!H133,'Raw Data (KG)'!K133,'Raw Data (KG)'!L133)</f>
        <v>13225</v>
      </c>
      <c r="Q13" s="184">
        <f>SUM('Raw Data (KG)'!E133:F133,'Raw Data (KG)'!J133:Z133,'Raw Data (KG)'!Q133)</f>
        <v>58071.199999999997</v>
      </c>
      <c r="R13" s="184">
        <f>SUM('Raw Data (KG)'!I133:X133,'Raw Data (KG)'!J133,'Raw Data (KG)'!P133,'Raw Data (KG)'!T133)</f>
        <v>68850.399999999994</v>
      </c>
      <c r="S13" s="184">
        <f>'Raw Food Data (KG)'!Q94</f>
        <v>30060</v>
      </c>
      <c r="T13" s="185">
        <f>SUM('Raw Data (KG)'!R133:S133)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68048.2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33.700000000000003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(KG)'!D134,'Raw Data (KG)'!G134,'Raw Data (KG)'!V134,'Raw Data (KG)'!H134,'Raw Data (KG)'!K134,'Raw Data (KG)'!L134)</f>
        <v>12835</v>
      </c>
      <c r="Q14" s="184">
        <f>SUM('Raw Data (KG)'!E134:F134,'Raw Data (KG)'!J134:Z134,'Raw Data (KG)'!Q134)</f>
        <v>60311.199999999997</v>
      </c>
      <c r="R14" s="184">
        <f>SUM('Raw Data (KG)'!I134:X134,'Raw Data (KG)'!J134,'Raw Data (KG)'!P134,'Raw Data (KG)'!T134)</f>
        <v>75797.2</v>
      </c>
      <c r="S14" s="184">
        <f>'Raw Food Data (KG)'!Q95</f>
        <v>34108.800000000003</v>
      </c>
      <c r="T14" s="185">
        <f>SUM('Raw Data (KG)'!R134:S134)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(KG)'!D135,'Raw Data (KG)'!G135,'Raw Data (KG)'!V135,'Raw Data (KG)'!H135,'Raw Data (KG)'!K135,'Raw Data (KG)'!L135)</f>
        <v>14072</v>
      </c>
      <c r="Q15" s="184">
        <f>SUM('Raw Data (KG)'!E135:F135,'Raw Data (KG)'!J135:Z135,'Raw Data (KG)'!Q135)</f>
        <v>69196.2</v>
      </c>
      <c r="R15" s="184">
        <f>SUM('Raw Data (KG)'!I135:X135,'Raw Data (KG)'!J135,'Raw Data (KG)'!P135,'Raw Data (KG)'!T135)</f>
        <v>83816.899999999994</v>
      </c>
      <c r="S15" s="184">
        <f>'Raw Food Data (KG)'!Q96</f>
        <v>36595.5</v>
      </c>
      <c r="T15" s="185">
        <f>SUM('Raw Data (KG)'!R135:S135)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(KG)'!D136,'Raw Data (KG)'!G136,'Raw Data (KG)'!V136,'Raw Data (KG)'!H136,'Raw Data (KG)'!K136,'Raw Data (KG)'!L136)</f>
        <v>13840</v>
      </c>
      <c r="Q16" s="184">
        <f>SUM('Raw Data (KG)'!E136:F136,'Raw Data (KG)'!J136:Z136,'Raw Data (KG)'!Q136)</f>
        <v>51697.599999999999</v>
      </c>
      <c r="R16" s="184">
        <f>SUM('Raw Data (KG)'!I136:X136,'Raw Data (KG)'!J136,'Raw Data (KG)'!P136,'Raw Data (KG)'!T136)</f>
        <v>86602.900000000009</v>
      </c>
      <c r="S16" s="184">
        <f>'Raw Food Data (KG)'!Q97</f>
        <v>46111.7</v>
      </c>
      <c r="T16" s="185">
        <f>SUM('Raw Data (KG)'!R136:S136)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AV232"/>
  <sheetViews>
    <sheetView zoomScale="92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122" sqref="Q122"/>
    </sheetView>
  </sheetViews>
  <sheetFormatPr baseColWidth="10" defaultColWidth="10.6640625" defaultRowHeight="16" x14ac:dyDescent="0.2"/>
  <cols>
    <col min="1" max="1" width="11.1640625" style="61" bestFit="1" customWidth="1"/>
    <col min="2" max="3" width="15.6640625" style="354" customWidth="1"/>
    <col min="4" max="4" width="20.6640625" style="354" customWidth="1"/>
    <col min="5" max="7" width="15.6640625" style="354" customWidth="1"/>
    <col min="8" max="8" width="13.1640625" style="354" hidden="1" customWidth="1"/>
    <col min="9" max="9" width="15.6640625" style="354" customWidth="1"/>
    <col min="10" max="10" width="14.33203125" style="354" customWidth="1"/>
    <col min="11" max="11" width="13.1640625" style="354" customWidth="1"/>
    <col min="12" max="12" width="15.6640625" style="354" hidden="1" customWidth="1"/>
    <col min="13" max="15" width="18.33203125" style="354" hidden="1" customWidth="1"/>
    <col min="16" max="17" width="15.6640625" style="354" customWidth="1"/>
    <col min="18" max="18" width="12.33203125" style="354" bestFit="1" customWidth="1"/>
    <col min="19" max="19" width="13" style="354" customWidth="1"/>
    <col min="20" max="20" width="13.33203125" style="354" customWidth="1"/>
    <col min="21" max="24" width="15.6640625" style="354" customWidth="1"/>
    <col min="25" max="25" width="13.6640625" style="354" bestFit="1" customWidth="1"/>
    <col min="26" max="26" width="15.5" style="354" customWidth="1"/>
    <col min="27" max="27" width="10.6640625" style="404"/>
    <col min="28" max="28" width="12.6640625" style="404" bestFit="1" customWidth="1"/>
    <col min="29" max="29" width="14.33203125" style="354" bestFit="1" customWidth="1"/>
    <col min="30" max="30" width="13.6640625" style="354" bestFit="1" customWidth="1"/>
    <col min="31" max="31" width="16.5" style="354" customWidth="1"/>
    <col min="32" max="32" width="13.6640625" style="8" bestFit="1" customWidth="1"/>
    <col min="33" max="35" width="14.6640625" style="8" bestFit="1" customWidth="1"/>
    <col min="36" max="37" width="16.1640625" style="8" bestFit="1" customWidth="1"/>
    <col min="38" max="38" width="14" style="8" bestFit="1" customWidth="1"/>
    <col min="39" max="16384" width="10.6640625" style="8"/>
  </cols>
  <sheetData>
    <row r="1" spans="1:34" s="54" customFormat="1" ht="68" x14ac:dyDescent="0.2">
      <c r="A1" s="58" t="s">
        <v>77</v>
      </c>
      <c r="B1" s="374" t="s">
        <v>522</v>
      </c>
      <c r="C1" s="374" t="s">
        <v>490</v>
      </c>
      <c r="D1" s="374" t="s">
        <v>524</v>
      </c>
      <c r="E1" s="374" t="s">
        <v>525</v>
      </c>
      <c r="F1" s="374" t="s">
        <v>526</v>
      </c>
      <c r="G1" s="374" t="s">
        <v>527</v>
      </c>
      <c r="H1" s="375" t="s">
        <v>529</v>
      </c>
      <c r="I1" s="374" t="s">
        <v>538</v>
      </c>
      <c r="J1" s="375" t="s">
        <v>531</v>
      </c>
      <c r="K1" s="375" t="s">
        <v>532</v>
      </c>
      <c r="L1" s="375" t="s">
        <v>533</v>
      </c>
      <c r="M1" s="376" t="s">
        <v>534</v>
      </c>
      <c r="N1" s="376" t="s">
        <v>535</v>
      </c>
      <c r="O1" s="376" t="s">
        <v>536</v>
      </c>
      <c r="P1" s="374" t="s">
        <v>498</v>
      </c>
      <c r="Q1" s="374" t="s">
        <v>537</v>
      </c>
      <c r="R1" s="374" t="s">
        <v>539</v>
      </c>
      <c r="S1" s="374" t="s">
        <v>540</v>
      </c>
      <c r="T1" s="374" t="s">
        <v>541</v>
      </c>
      <c r="U1" s="374" t="s">
        <v>523</v>
      </c>
      <c r="V1" s="374" t="s">
        <v>528</v>
      </c>
      <c r="W1" s="374" t="s">
        <v>478</v>
      </c>
      <c r="X1" s="374" t="s">
        <v>530</v>
      </c>
      <c r="Y1" s="375" t="s">
        <v>719</v>
      </c>
      <c r="Z1" s="65" t="s">
        <v>720</v>
      </c>
      <c r="AA1" s="377"/>
      <c r="AB1" s="377"/>
      <c r="AC1" s="377"/>
      <c r="AD1" s="373"/>
      <c r="AE1" s="373"/>
    </row>
    <row r="2" spans="1:34" x14ac:dyDescent="0.2">
      <c r="A2" s="10">
        <v>41456</v>
      </c>
      <c r="B2" s="378">
        <v>282100</v>
      </c>
      <c r="C2" s="378"/>
      <c r="D2" s="378">
        <f>5120</f>
        <v>5120</v>
      </c>
      <c r="E2" s="378">
        <v>108</v>
      </c>
      <c r="F2" s="378"/>
      <c r="G2" s="378">
        <v>240</v>
      </c>
      <c r="H2" s="380">
        <v>3.25</v>
      </c>
      <c r="I2" s="382"/>
      <c r="J2" s="381" t="s">
        <v>549</v>
      </c>
      <c r="K2" s="381">
        <f>0.67*172</f>
        <v>115.24000000000001</v>
      </c>
      <c r="L2" s="380">
        <v>0</v>
      </c>
      <c r="M2" s="381"/>
      <c r="N2" s="381"/>
      <c r="O2" s="381"/>
      <c r="P2" s="378"/>
      <c r="Q2" s="378"/>
      <c r="R2" s="378"/>
      <c r="S2" s="378"/>
      <c r="T2" s="383"/>
      <c r="U2" s="379">
        <v>2000</v>
      </c>
      <c r="V2" s="378"/>
      <c r="W2" s="378"/>
      <c r="X2" s="378"/>
      <c r="Y2" s="380">
        <v>217</v>
      </c>
      <c r="Z2" s="380">
        <v>23</v>
      </c>
    </row>
    <row r="3" spans="1:34" x14ac:dyDescent="0.2">
      <c r="A3" s="11">
        <v>41487</v>
      </c>
      <c r="B3" s="384">
        <v>282100</v>
      </c>
      <c r="C3" s="384"/>
      <c r="D3" s="384">
        <f>4100</f>
        <v>4100</v>
      </c>
      <c r="E3" s="384">
        <v>300</v>
      </c>
      <c r="F3" s="384"/>
      <c r="G3" s="384">
        <v>250</v>
      </c>
      <c r="H3" s="380">
        <v>1.1599999999999999</v>
      </c>
      <c r="I3" s="382"/>
      <c r="J3" s="381" t="s">
        <v>549</v>
      </c>
      <c r="K3" s="381">
        <f>0.67*177</f>
        <v>118.59</v>
      </c>
      <c r="L3" s="380">
        <v>0</v>
      </c>
      <c r="M3" s="381"/>
      <c r="N3" s="381"/>
      <c r="O3" s="381"/>
      <c r="P3" s="384"/>
      <c r="Q3" s="384"/>
      <c r="R3" s="384"/>
      <c r="S3" s="384"/>
      <c r="T3" s="386"/>
      <c r="U3" s="385">
        <v>2000</v>
      </c>
      <c r="V3" s="384"/>
      <c r="W3" s="384"/>
      <c r="X3" s="384"/>
      <c r="Y3" s="380">
        <v>203</v>
      </c>
      <c r="Z3" s="380">
        <v>22</v>
      </c>
    </row>
    <row r="4" spans="1:34" x14ac:dyDescent="0.2">
      <c r="A4" s="11">
        <v>41518</v>
      </c>
      <c r="B4" s="384">
        <v>273000.00000000006</v>
      </c>
      <c r="C4" s="384"/>
      <c r="D4" s="384">
        <f>4900</f>
        <v>4900</v>
      </c>
      <c r="E4" s="384">
        <v>320</v>
      </c>
      <c r="F4" s="384"/>
      <c r="G4" s="384">
        <v>310</v>
      </c>
      <c r="H4" s="380">
        <v>0.69599999999999995</v>
      </c>
      <c r="I4" s="382"/>
      <c r="J4" s="381" t="s">
        <v>549</v>
      </c>
      <c r="K4" s="381">
        <f>0.67*134</f>
        <v>89.78</v>
      </c>
      <c r="L4" s="380">
        <v>58</v>
      </c>
      <c r="M4" s="381"/>
      <c r="N4" s="381"/>
      <c r="O4" s="381"/>
      <c r="P4" s="384"/>
      <c r="Q4" s="384"/>
      <c r="R4" s="384"/>
      <c r="S4" s="384"/>
      <c r="T4" s="386"/>
      <c r="U4" s="385">
        <v>2000</v>
      </c>
      <c r="V4" s="384"/>
      <c r="W4" s="384"/>
      <c r="X4" s="384"/>
      <c r="Y4" s="380">
        <v>223</v>
      </c>
      <c r="Z4" s="380">
        <v>24</v>
      </c>
      <c r="AF4" s="139"/>
    </row>
    <row r="5" spans="1:34" x14ac:dyDescent="0.2">
      <c r="A5" s="11">
        <v>41548</v>
      </c>
      <c r="B5" s="384">
        <v>282100</v>
      </c>
      <c r="C5" s="384"/>
      <c r="D5" s="384">
        <f>4700</f>
        <v>4700</v>
      </c>
      <c r="E5" s="384">
        <v>150</v>
      </c>
      <c r="F5" s="384"/>
      <c r="G5" s="384">
        <v>440</v>
      </c>
      <c r="H5" s="380">
        <v>0.155</v>
      </c>
      <c r="I5" s="382"/>
      <c r="J5" s="381" t="s">
        <v>549</v>
      </c>
      <c r="K5" s="381">
        <f>0.67*221</f>
        <v>148.07000000000002</v>
      </c>
      <c r="L5" s="380">
        <v>0</v>
      </c>
      <c r="M5" s="381"/>
      <c r="N5" s="381"/>
      <c r="O5" s="381"/>
      <c r="P5" s="384"/>
      <c r="Q5" s="384"/>
      <c r="R5" s="384"/>
      <c r="S5" s="384"/>
      <c r="T5" s="386"/>
      <c r="U5" s="385">
        <v>2000</v>
      </c>
      <c r="V5" s="384"/>
      <c r="W5" s="384"/>
      <c r="X5" s="384"/>
      <c r="Y5" s="380">
        <v>400</v>
      </c>
      <c r="Z5" s="380">
        <v>200</v>
      </c>
      <c r="AF5" s="139"/>
      <c r="AG5" s="139"/>
      <c r="AH5" s="139"/>
    </row>
    <row r="6" spans="1:34" x14ac:dyDescent="0.2">
      <c r="A6" s="11">
        <v>41579</v>
      </c>
      <c r="B6" s="384">
        <v>273000.00000000006</v>
      </c>
      <c r="C6" s="384"/>
      <c r="D6" s="384">
        <f>4450</f>
        <v>4450</v>
      </c>
      <c r="E6" s="384">
        <v>11</v>
      </c>
      <c r="F6" s="384"/>
      <c r="G6" s="384">
        <v>570</v>
      </c>
      <c r="H6" s="380">
        <v>2.4129999999999998</v>
      </c>
      <c r="I6" s="382"/>
      <c r="J6" s="381" t="s">
        <v>549</v>
      </c>
      <c r="K6" s="381">
        <f>0.67*142</f>
        <v>95.14</v>
      </c>
      <c r="L6" s="380">
        <v>8</v>
      </c>
      <c r="M6" s="381"/>
      <c r="N6" s="381"/>
      <c r="O6" s="381"/>
      <c r="P6" s="384"/>
      <c r="Q6" s="384"/>
      <c r="R6" s="384"/>
      <c r="S6" s="384"/>
      <c r="T6" s="386"/>
      <c r="U6" s="385">
        <v>2000</v>
      </c>
      <c r="V6" s="384"/>
      <c r="W6" s="384"/>
      <c r="X6" s="384"/>
      <c r="Y6" s="380">
        <v>800</v>
      </c>
      <c r="Z6" s="380">
        <v>400</v>
      </c>
      <c r="AF6" s="139"/>
      <c r="AG6" s="139"/>
      <c r="AH6" s="139"/>
    </row>
    <row r="7" spans="1:34" x14ac:dyDescent="0.2">
      <c r="A7" s="11">
        <v>41609</v>
      </c>
      <c r="B7" s="384">
        <v>282100</v>
      </c>
      <c r="C7" s="384"/>
      <c r="D7" s="384">
        <f>4150</f>
        <v>4150</v>
      </c>
      <c r="E7" s="384">
        <v>90</v>
      </c>
      <c r="F7" s="384"/>
      <c r="G7" s="384">
        <v>600</v>
      </c>
      <c r="H7" s="380">
        <v>1.748</v>
      </c>
      <c r="I7" s="382"/>
      <c r="J7" s="381">
        <f>0.05*68</f>
        <v>3.4000000000000004</v>
      </c>
      <c r="K7" s="381">
        <f>0.67*112</f>
        <v>75.040000000000006</v>
      </c>
      <c r="L7" s="380">
        <v>46</v>
      </c>
      <c r="M7" s="381"/>
      <c r="N7" s="381"/>
      <c r="O7" s="381"/>
      <c r="P7" s="384"/>
      <c r="Q7" s="384"/>
      <c r="R7" s="384"/>
      <c r="S7" s="384"/>
      <c r="T7" s="386"/>
      <c r="U7" s="385">
        <v>2000</v>
      </c>
      <c r="V7" s="384"/>
      <c r="W7" s="384"/>
      <c r="X7" s="384"/>
      <c r="Y7" s="380">
        <v>600</v>
      </c>
      <c r="Z7" s="380">
        <v>400</v>
      </c>
      <c r="AF7" s="139"/>
      <c r="AG7" s="139"/>
      <c r="AH7" s="139"/>
    </row>
    <row r="8" spans="1:34" x14ac:dyDescent="0.2">
      <c r="A8" s="11">
        <v>41640</v>
      </c>
      <c r="B8" s="384">
        <v>282100</v>
      </c>
      <c r="C8" s="384"/>
      <c r="D8" s="384">
        <f>4360</f>
        <v>4360</v>
      </c>
      <c r="E8" s="384">
        <v>70</v>
      </c>
      <c r="F8" s="384"/>
      <c r="G8" s="384">
        <v>520</v>
      </c>
      <c r="H8" s="380">
        <v>1.7789999999999999</v>
      </c>
      <c r="I8" s="382"/>
      <c r="J8" s="381" t="s">
        <v>549</v>
      </c>
      <c r="K8" s="381">
        <f>0.67*95</f>
        <v>63.650000000000006</v>
      </c>
      <c r="L8" s="380">
        <v>0</v>
      </c>
      <c r="M8" s="381"/>
      <c r="N8" s="381"/>
      <c r="O8" s="381"/>
      <c r="P8" s="384"/>
      <c r="Q8" s="384"/>
      <c r="R8" s="384"/>
      <c r="S8" s="384"/>
      <c r="T8" s="386"/>
      <c r="U8" s="385">
        <v>2000</v>
      </c>
      <c r="V8" s="384"/>
      <c r="W8" s="384"/>
      <c r="X8" s="384"/>
      <c r="Y8" s="380">
        <v>600</v>
      </c>
      <c r="Z8" s="380">
        <v>200</v>
      </c>
      <c r="AB8" s="541"/>
      <c r="AC8" s="540"/>
      <c r="AF8" s="139"/>
      <c r="AG8" s="139"/>
      <c r="AH8" s="139"/>
    </row>
    <row r="9" spans="1:34" x14ac:dyDescent="0.2">
      <c r="A9" s="11">
        <v>41671</v>
      </c>
      <c r="B9" s="384">
        <v>254800.00000000003</v>
      </c>
      <c r="C9" s="384"/>
      <c r="D9" s="384">
        <f>4400</f>
        <v>4400</v>
      </c>
      <c r="E9" s="384">
        <v>200</v>
      </c>
      <c r="F9" s="384"/>
      <c r="G9" s="384">
        <v>410</v>
      </c>
      <c r="H9" s="380">
        <v>3.6040000000000001</v>
      </c>
      <c r="I9" s="382"/>
      <c r="J9" s="381" t="s">
        <v>549</v>
      </c>
      <c r="K9" s="381">
        <f>0.67*154</f>
        <v>103.18</v>
      </c>
      <c r="L9" s="380">
        <v>0</v>
      </c>
      <c r="M9" s="381"/>
      <c r="N9" s="381"/>
      <c r="O9" s="381"/>
      <c r="P9" s="384"/>
      <c r="Q9" s="384"/>
      <c r="R9" s="384"/>
      <c r="S9" s="384"/>
      <c r="T9" s="386"/>
      <c r="U9" s="385">
        <v>2000</v>
      </c>
      <c r="V9" s="384"/>
      <c r="W9" s="384"/>
      <c r="X9" s="384"/>
      <c r="Y9" s="380">
        <v>800</v>
      </c>
      <c r="Z9" s="380">
        <v>200</v>
      </c>
      <c r="AB9" s="541"/>
      <c r="AC9" s="540"/>
      <c r="AF9" s="139"/>
      <c r="AG9" s="139"/>
      <c r="AH9" s="139"/>
    </row>
    <row r="10" spans="1:34" x14ac:dyDescent="0.2">
      <c r="A10" s="11">
        <v>41699</v>
      </c>
      <c r="B10" s="384">
        <v>282100</v>
      </c>
      <c r="C10" s="384"/>
      <c r="D10" s="384">
        <f>4800</f>
        <v>4800</v>
      </c>
      <c r="E10" s="384">
        <v>150</v>
      </c>
      <c r="F10" s="384"/>
      <c r="G10" s="384">
        <v>390</v>
      </c>
      <c r="H10" s="380">
        <v>0.26300000000000001</v>
      </c>
      <c r="I10" s="382"/>
      <c r="J10" s="381" t="s">
        <v>549</v>
      </c>
      <c r="K10" s="381">
        <f>0.67*170</f>
        <v>113.9</v>
      </c>
      <c r="L10" s="380">
        <v>0</v>
      </c>
      <c r="M10" s="381"/>
      <c r="N10" s="381"/>
      <c r="O10" s="381"/>
      <c r="P10" s="384"/>
      <c r="Q10" s="384"/>
      <c r="R10" s="384"/>
      <c r="S10" s="384"/>
      <c r="T10" s="386"/>
      <c r="U10" s="385">
        <v>2000</v>
      </c>
      <c r="V10" s="384"/>
      <c r="W10" s="384"/>
      <c r="X10" s="384"/>
      <c r="Y10" s="380">
        <v>800</v>
      </c>
      <c r="Z10" s="380">
        <v>400</v>
      </c>
      <c r="AB10" s="541"/>
      <c r="AC10" s="540"/>
      <c r="AF10" s="139"/>
      <c r="AG10" s="139"/>
      <c r="AH10" s="139"/>
    </row>
    <row r="11" spans="1:34" x14ac:dyDescent="0.2">
      <c r="A11" s="11">
        <v>41730</v>
      </c>
      <c r="B11" s="384">
        <v>273000.00000000006</v>
      </c>
      <c r="C11" s="384"/>
      <c r="D11" s="384">
        <f>4620</f>
        <v>4620</v>
      </c>
      <c r="E11" s="384">
        <v>110</v>
      </c>
      <c r="F11" s="384"/>
      <c r="G11" s="384">
        <v>510</v>
      </c>
      <c r="H11" s="380">
        <v>8.3989999999999991</v>
      </c>
      <c r="I11" s="382"/>
      <c r="J11" s="381" t="s">
        <v>549</v>
      </c>
      <c r="K11" s="381">
        <f>0.67*174</f>
        <v>116.58000000000001</v>
      </c>
      <c r="L11" s="380">
        <v>0</v>
      </c>
      <c r="M11" s="381"/>
      <c r="N11" s="381"/>
      <c r="O11" s="381"/>
      <c r="P11" s="384"/>
      <c r="Q11" s="384"/>
      <c r="R11" s="384"/>
      <c r="S11" s="384"/>
      <c r="T11" s="386"/>
      <c r="U11" s="385">
        <v>2000</v>
      </c>
      <c r="V11" s="384"/>
      <c r="W11" s="384"/>
      <c r="X11" s="384"/>
      <c r="Y11" s="380">
        <v>800</v>
      </c>
      <c r="Z11" s="380">
        <v>400</v>
      </c>
      <c r="AB11" s="541"/>
      <c r="AC11" s="540"/>
      <c r="AF11" s="139"/>
      <c r="AG11" s="139"/>
      <c r="AH11" s="139"/>
    </row>
    <row r="12" spans="1:34" x14ac:dyDescent="0.2">
      <c r="A12" s="11">
        <v>41760</v>
      </c>
      <c r="B12" s="384">
        <v>282100</v>
      </c>
      <c r="C12" s="384"/>
      <c r="D12" s="384">
        <f>4900</f>
        <v>4900</v>
      </c>
      <c r="E12" s="384">
        <v>350</v>
      </c>
      <c r="F12" s="384"/>
      <c r="G12" s="384">
        <v>470</v>
      </c>
      <c r="H12" s="380">
        <v>22.335000000000001</v>
      </c>
      <c r="I12" s="382"/>
      <c r="J12" s="381" t="s">
        <v>549</v>
      </c>
      <c r="K12" s="381">
        <f>0.67*120</f>
        <v>80.400000000000006</v>
      </c>
      <c r="L12" s="380">
        <v>30</v>
      </c>
      <c r="M12" s="381"/>
      <c r="N12" s="381"/>
      <c r="O12" s="381"/>
      <c r="P12" s="384"/>
      <c r="Q12" s="384"/>
      <c r="R12" s="384"/>
      <c r="S12" s="384"/>
      <c r="T12" s="386"/>
      <c r="U12" s="385">
        <v>2000</v>
      </c>
      <c r="V12" s="384"/>
      <c r="W12" s="384"/>
      <c r="X12" s="384"/>
      <c r="Y12" s="380">
        <v>800</v>
      </c>
      <c r="Z12" s="380">
        <v>400</v>
      </c>
      <c r="AB12" s="541"/>
      <c r="AC12" s="540"/>
      <c r="AF12" s="139"/>
      <c r="AG12" s="139"/>
      <c r="AH12" s="139"/>
    </row>
    <row r="13" spans="1:34" x14ac:dyDescent="0.2">
      <c r="A13" s="11">
        <v>41791</v>
      </c>
      <c r="B13" s="384">
        <v>273000.00000000006</v>
      </c>
      <c r="C13" s="384"/>
      <c r="D13" s="384">
        <f>4700</f>
        <v>4700</v>
      </c>
      <c r="E13" s="384">
        <v>450</v>
      </c>
      <c r="F13" s="384"/>
      <c r="G13" s="384">
        <v>400</v>
      </c>
      <c r="H13" s="380">
        <v>14.836</v>
      </c>
      <c r="I13" s="382"/>
      <c r="J13" s="381" t="s">
        <v>549</v>
      </c>
      <c r="K13" s="381">
        <f>0.67*112</f>
        <v>75.040000000000006</v>
      </c>
      <c r="L13" s="380">
        <v>0</v>
      </c>
      <c r="M13" s="381"/>
      <c r="N13" s="381"/>
      <c r="O13" s="381"/>
      <c r="P13" s="384"/>
      <c r="Q13" s="384"/>
      <c r="R13" s="384"/>
      <c r="S13" s="384"/>
      <c r="T13" s="386"/>
      <c r="U13" s="385">
        <v>2000</v>
      </c>
      <c r="V13" s="384"/>
      <c r="W13" s="384"/>
      <c r="X13" s="384"/>
      <c r="Y13" s="380">
        <v>800</v>
      </c>
      <c r="Z13" s="380">
        <v>400</v>
      </c>
      <c r="AB13" s="614"/>
      <c r="AC13" s="540"/>
      <c r="AF13" s="139"/>
      <c r="AG13" s="139"/>
      <c r="AH13" s="139"/>
    </row>
    <row r="14" spans="1:34" x14ac:dyDescent="0.2">
      <c r="A14" s="11">
        <v>41821</v>
      </c>
      <c r="B14" s="382">
        <v>282100</v>
      </c>
      <c r="C14" s="382"/>
      <c r="D14" s="382">
        <f>4520</f>
        <v>4520</v>
      </c>
      <c r="E14" s="382">
        <v>150</v>
      </c>
      <c r="F14" s="382"/>
      <c r="G14" s="382">
        <v>370</v>
      </c>
      <c r="H14" s="388">
        <v>27.087</v>
      </c>
      <c r="I14" s="382"/>
      <c r="J14" s="389" t="s">
        <v>549</v>
      </c>
      <c r="K14" s="389">
        <f>0.67*114</f>
        <v>76.38000000000001</v>
      </c>
      <c r="L14" s="388">
        <v>0</v>
      </c>
      <c r="M14" s="389"/>
      <c r="N14" s="389"/>
      <c r="O14" s="389"/>
      <c r="P14" s="382"/>
      <c r="Q14" s="382"/>
      <c r="R14" s="382"/>
      <c r="S14" s="382"/>
      <c r="T14" s="390"/>
      <c r="U14" s="387">
        <v>2000</v>
      </c>
      <c r="V14" s="382"/>
      <c r="W14" s="382"/>
      <c r="X14" s="382"/>
      <c r="Y14" s="388">
        <v>1000</v>
      </c>
      <c r="Z14" s="388">
        <v>600</v>
      </c>
      <c r="AB14" s="541"/>
      <c r="AC14" s="540"/>
      <c r="AF14" s="139"/>
      <c r="AG14" s="139"/>
      <c r="AH14" s="139"/>
    </row>
    <row r="15" spans="1:34" x14ac:dyDescent="0.2">
      <c r="A15" s="11">
        <v>41852</v>
      </c>
      <c r="B15" s="382">
        <v>282100</v>
      </c>
      <c r="C15" s="382"/>
      <c r="D15" s="382">
        <f>4610</f>
        <v>4610</v>
      </c>
      <c r="E15" s="382">
        <v>140</v>
      </c>
      <c r="F15" s="382"/>
      <c r="G15" s="382">
        <v>400</v>
      </c>
      <c r="H15" s="388">
        <v>16.097000000000001</v>
      </c>
      <c r="I15" s="382"/>
      <c r="J15" s="389" t="s">
        <v>549</v>
      </c>
      <c r="K15" s="389">
        <f>0.67*86</f>
        <v>57.620000000000005</v>
      </c>
      <c r="L15" s="388">
        <v>0</v>
      </c>
      <c r="M15" s="389"/>
      <c r="N15" s="389"/>
      <c r="O15" s="389"/>
      <c r="P15" s="382"/>
      <c r="Q15" s="382"/>
      <c r="R15" s="382"/>
      <c r="S15" s="382"/>
      <c r="T15" s="390"/>
      <c r="U15" s="387">
        <v>2000</v>
      </c>
      <c r="V15" s="382"/>
      <c r="W15" s="382">
        <v>626</v>
      </c>
      <c r="X15" s="382"/>
      <c r="Y15" s="388">
        <v>800</v>
      </c>
      <c r="Z15" s="388">
        <v>400</v>
      </c>
      <c r="AB15" s="541"/>
      <c r="AC15" s="540"/>
    </row>
    <row r="16" spans="1:34" x14ac:dyDescent="0.2">
      <c r="A16" s="11">
        <v>41883</v>
      </c>
      <c r="B16" s="382">
        <v>273000.00000000006</v>
      </c>
      <c r="C16" s="382"/>
      <c r="D16" s="382">
        <f>4500</f>
        <v>4500</v>
      </c>
      <c r="E16" s="382">
        <v>350</v>
      </c>
      <c r="F16" s="382"/>
      <c r="G16" s="382">
        <v>390</v>
      </c>
      <c r="H16" s="388">
        <v>4.0220000000000002</v>
      </c>
      <c r="I16" s="382"/>
      <c r="J16" s="389" t="s">
        <v>549</v>
      </c>
      <c r="K16" s="389">
        <f>0.67*139</f>
        <v>93.13000000000001</v>
      </c>
      <c r="L16" s="388">
        <v>0</v>
      </c>
      <c r="M16" s="389"/>
      <c r="N16" s="389"/>
      <c r="O16" s="389"/>
      <c r="P16" s="382"/>
      <c r="Q16" s="382"/>
      <c r="R16" s="382"/>
      <c r="S16" s="382"/>
      <c r="T16" s="390"/>
      <c r="U16" s="387">
        <v>2000</v>
      </c>
      <c r="V16" s="382"/>
      <c r="W16" s="382">
        <v>827</v>
      </c>
      <c r="X16" s="382"/>
      <c r="Y16" s="388">
        <v>800</v>
      </c>
      <c r="Z16" s="388">
        <v>400</v>
      </c>
      <c r="AB16" s="541"/>
      <c r="AC16" s="540"/>
    </row>
    <row r="17" spans="1:29" x14ac:dyDescent="0.2">
      <c r="A17" s="11">
        <v>41913</v>
      </c>
      <c r="B17" s="382">
        <v>282100</v>
      </c>
      <c r="C17" s="382"/>
      <c r="D17" s="382">
        <f>4100</f>
        <v>4100</v>
      </c>
      <c r="E17" s="382">
        <v>90</v>
      </c>
      <c r="F17" s="382"/>
      <c r="G17" s="382">
        <v>420</v>
      </c>
      <c r="H17" s="388">
        <v>0.52600000000000002</v>
      </c>
      <c r="I17" s="382"/>
      <c r="J17" s="389" t="s">
        <v>549</v>
      </c>
      <c r="K17" s="389">
        <f>0.67*100</f>
        <v>67</v>
      </c>
      <c r="L17" s="388">
        <v>25</v>
      </c>
      <c r="M17" s="389"/>
      <c r="N17" s="389"/>
      <c r="O17" s="389"/>
      <c r="P17" s="382"/>
      <c r="Q17" s="382"/>
      <c r="R17" s="382"/>
      <c r="S17" s="382"/>
      <c r="T17" s="390"/>
      <c r="U17" s="387">
        <v>2000</v>
      </c>
      <c r="V17" s="382"/>
      <c r="W17" s="382">
        <v>728</v>
      </c>
      <c r="X17" s="382">
        <v>0</v>
      </c>
      <c r="Y17" s="388">
        <v>800</v>
      </c>
      <c r="Z17" s="388">
        <v>400</v>
      </c>
      <c r="AB17" s="541"/>
      <c r="AC17" s="540"/>
    </row>
    <row r="18" spans="1:29" x14ac:dyDescent="0.2">
      <c r="A18" s="11">
        <v>41944</v>
      </c>
      <c r="B18" s="382">
        <v>273000.00000000006</v>
      </c>
      <c r="C18" s="391"/>
      <c r="D18" s="391">
        <f>4900</f>
        <v>4900</v>
      </c>
      <c r="E18" s="391">
        <v>110</v>
      </c>
      <c r="F18" s="391"/>
      <c r="G18" s="391">
        <v>390</v>
      </c>
      <c r="H18" s="392">
        <v>2.4750000000000001</v>
      </c>
      <c r="I18" s="382"/>
      <c r="J18" s="389" t="s">
        <v>549</v>
      </c>
      <c r="K18" s="393">
        <f>0.67*100</f>
        <v>67</v>
      </c>
      <c r="L18" s="392">
        <v>0</v>
      </c>
      <c r="M18" s="389"/>
      <c r="N18" s="389"/>
      <c r="O18" s="389"/>
      <c r="P18" s="382"/>
      <c r="Q18" s="382"/>
      <c r="R18" s="382"/>
      <c r="S18" s="382"/>
      <c r="T18" s="390"/>
      <c r="U18" s="387">
        <v>2000</v>
      </c>
      <c r="V18" s="391"/>
      <c r="W18" s="391">
        <v>1653</v>
      </c>
      <c r="X18" s="391">
        <v>0</v>
      </c>
      <c r="Y18" s="392">
        <v>800</v>
      </c>
      <c r="Z18" s="392">
        <v>400</v>
      </c>
      <c r="AB18" s="541"/>
      <c r="AC18" s="540"/>
    </row>
    <row r="19" spans="1:29" x14ac:dyDescent="0.2">
      <c r="A19" s="11">
        <v>41974</v>
      </c>
      <c r="B19" s="382">
        <v>282100</v>
      </c>
      <c r="C19" s="391"/>
      <c r="D19" s="391">
        <f>4750</f>
        <v>4750</v>
      </c>
      <c r="E19" s="391">
        <v>100</v>
      </c>
      <c r="F19" s="391"/>
      <c r="G19" s="391">
        <v>420</v>
      </c>
      <c r="H19" s="392">
        <v>2.5209999999999999</v>
      </c>
      <c r="I19" s="382"/>
      <c r="J19" s="393">
        <f>0.05*117</f>
        <v>5.8500000000000005</v>
      </c>
      <c r="K19" s="393">
        <f>0.67*93</f>
        <v>62.31</v>
      </c>
      <c r="L19" s="392">
        <v>0</v>
      </c>
      <c r="M19" s="389"/>
      <c r="N19" s="389"/>
      <c r="O19" s="389"/>
      <c r="P19" s="382"/>
      <c r="Q19" s="382"/>
      <c r="R19" s="382"/>
      <c r="S19" s="382"/>
      <c r="T19" s="390"/>
      <c r="U19" s="387">
        <v>2000</v>
      </c>
      <c r="V19" s="391"/>
      <c r="W19" s="391">
        <v>875</v>
      </c>
      <c r="X19" s="391">
        <v>160</v>
      </c>
      <c r="Y19" s="392">
        <v>1000</v>
      </c>
      <c r="Z19" s="392">
        <v>400</v>
      </c>
      <c r="AB19" s="541"/>
      <c r="AC19" s="540"/>
    </row>
    <row r="20" spans="1:29" x14ac:dyDescent="0.2">
      <c r="A20" s="11">
        <v>42005</v>
      </c>
      <c r="B20" s="382">
        <v>282100</v>
      </c>
      <c r="C20" s="391"/>
      <c r="D20" s="391">
        <f>4640</f>
        <v>4640</v>
      </c>
      <c r="E20" s="391">
        <v>370</v>
      </c>
      <c r="F20" s="391"/>
      <c r="G20" s="391">
        <v>390</v>
      </c>
      <c r="H20" s="392">
        <v>4.6870000000000003</v>
      </c>
      <c r="I20" s="382"/>
      <c r="J20" s="393" t="s">
        <v>549</v>
      </c>
      <c r="K20" s="393">
        <f>0.67*146</f>
        <v>97.820000000000007</v>
      </c>
      <c r="L20" s="392">
        <v>0</v>
      </c>
      <c r="M20" s="389"/>
      <c r="N20" s="389"/>
      <c r="O20" s="389"/>
      <c r="P20" s="382"/>
      <c r="Q20" s="382"/>
      <c r="R20" s="382"/>
      <c r="S20" s="382"/>
      <c r="T20" s="390"/>
      <c r="U20" s="387">
        <v>2000</v>
      </c>
      <c r="V20" s="391"/>
      <c r="W20" s="391">
        <v>870</v>
      </c>
      <c r="X20" s="391">
        <v>70</v>
      </c>
      <c r="Y20" s="392">
        <v>800</v>
      </c>
      <c r="Z20" s="392">
        <v>400</v>
      </c>
      <c r="AB20" s="541"/>
      <c r="AC20" s="540"/>
    </row>
    <row r="21" spans="1:29" x14ac:dyDescent="0.2">
      <c r="A21" s="11">
        <v>42036</v>
      </c>
      <c r="B21" s="382">
        <v>254800.00000000003</v>
      </c>
      <c r="C21" s="391"/>
      <c r="D21" s="391">
        <f>4540</f>
        <v>4540</v>
      </c>
      <c r="E21" s="391">
        <v>110</v>
      </c>
      <c r="F21" s="391"/>
      <c r="G21" s="391">
        <v>380</v>
      </c>
      <c r="H21" s="392">
        <v>14.617000000000001</v>
      </c>
      <c r="I21" s="382"/>
      <c r="J21" s="393" t="s">
        <v>549</v>
      </c>
      <c r="K21" s="393">
        <f>0.67*97</f>
        <v>64.990000000000009</v>
      </c>
      <c r="L21" s="388">
        <v>21</v>
      </c>
      <c r="M21" s="389"/>
      <c r="N21" s="389"/>
      <c r="O21" s="389"/>
      <c r="P21" s="382"/>
      <c r="Q21" s="382"/>
      <c r="R21" s="382"/>
      <c r="S21" s="382"/>
      <c r="T21" s="390"/>
      <c r="U21" s="387">
        <v>2000</v>
      </c>
      <c r="V21" s="391"/>
      <c r="W21" s="391">
        <v>856</v>
      </c>
      <c r="X21" s="391">
        <v>0</v>
      </c>
      <c r="Y21" s="392">
        <v>800</v>
      </c>
      <c r="Z21" s="392">
        <v>400</v>
      </c>
      <c r="AB21" s="541"/>
      <c r="AC21" s="540"/>
    </row>
    <row r="22" spans="1:29" x14ac:dyDescent="0.2">
      <c r="A22" s="11">
        <v>42064</v>
      </c>
      <c r="B22" s="382">
        <v>282100</v>
      </c>
      <c r="C22" s="391"/>
      <c r="D22" s="391">
        <f>4140</f>
        <v>4140</v>
      </c>
      <c r="E22" s="391">
        <v>140</v>
      </c>
      <c r="F22" s="391"/>
      <c r="G22" s="391">
        <v>410</v>
      </c>
      <c r="H22" s="392">
        <v>4.3780000000000001</v>
      </c>
      <c r="I22" s="382"/>
      <c r="J22" s="393" t="s">
        <v>549</v>
      </c>
      <c r="K22" s="393">
        <f>0.67*127</f>
        <v>85.09</v>
      </c>
      <c r="L22" s="392">
        <v>0</v>
      </c>
      <c r="M22" s="389"/>
      <c r="N22" s="389"/>
      <c r="O22" s="389"/>
      <c r="P22" s="382"/>
      <c r="Q22" s="382"/>
      <c r="R22" s="382"/>
      <c r="S22" s="382"/>
      <c r="T22" s="390"/>
      <c r="U22" s="387">
        <v>2000</v>
      </c>
      <c r="V22" s="391"/>
      <c r="W22" s="391">
        <v>1953</v>
      </c>
      <c r="X22" s="391">
        <v>0</v>
      </c>
      <c r="Y22" s="392">
        <v>800</v>
      </c>
      <c r="Z22" s="392">
        <v>400</v>
      </c>
      <c r="AB22" s="541"/>
      <c r="AC22" s="540"/>
    </row>
    <row r="23" spans="1:29" x14ac:dyDescent="0.2">
      <c r="A23" s="11">
        <v>42095</v>
      </c>
      <c r="B23" s="382">
        <v>273000.00000000006</v>
      </c>
      <c r="C23" s="391"/>
      <c r="D23" s="391">
        <f>4040</f>
        <v>4040</v>
      </c>
      <c r="E23" s="391">
        <v>110</v>
      </c>
      <c r="F23" s="391"/>
      <c r="G23" s="391">
        <v>500</v>
      </c>
      <c r="H23" s="392">
        <v>0.65</v>
      </c>
      <c r="I23" s="382"/>
      <c r="J23" s="393" t="s">
        <v>549</v>
      </c>
      <c r="K23" s="393">
        <f>0.67*88</f>
        <v>58.96</v>
      </c>
      <c r="L23" s="392">
        <v>0</v>
      </c>
      <c r="M23" s="389"/>
      <c r="N23" s="389"/>
      <c r="O23" s="389"/>
      <c r="P23" s="382"/>
      <c r="Q23" s="382"/>
      <c r="R23" s="382"/>
      <c r="S23" s="382"/>
      <c r="T23" s="390"/>
      <c r="U23" s="387">
        <v>2000</v>
      </c>
      <c r="V23" s="391"/>
      <c r="W23" s="391">
        <v>1067</v>
      </c>
      <c r="X23" s="391">
        <v>240</v>
      </c>
      <c r="Y23" s="392">
        <v>1000</v>
      </c>
      <c r="Z23" s="392">
        <v>400</v>
      </c>
      <c r="AB23" s="541"/>
      <c r="AC23" s="540"/>
    </row>
    <row r="24" spans="1:29" x14ac:dyDescent="0.2">
      <c r="A24" s="11">
        <v>42125</v>
      </c>
      <c r="B24" s="382">
        <v>282100</v>
      </c>
      <c r="C24" s="391"/>
      <c r="D24" s="391">
        <f>4090</f>
        <v>4090</v>
      </c>
      <c r="E24" s="391">
        <v>550</v>
      </c>
      <c r="F24" s="391"/>
      <c r="G24" s="391">
        <v>460</v>
      </c>
      <c r="H24" s="392">
        <v>3.3570000000000002</v>
      </c>
      <c r="I24" s="382"/>
      <c r="J24" s="393" t="s">
        <v>549</v>
      </c>
      <c r="K24" s="393">
        <f>0.67*115</f>
        <v>77.050000000000011</v>
      </c>
      <c r="L24" s="392">
        <v>0</v>
      </c>
      <c r="M24" s="389"/>
      <c r="N24" s="389"/>
      <c r="O24" s="389"/>
      <c r="P24" s="382"/>
      <c r="Q24" s="382"/>
      <c r="R24" s="382"/>
      <c r="S24" s="382"/>
      <c r="T24" s="390"/>
      <c r="U24" s="387">
        <v>2000</v>
      </c>
      <c r="V24" s="391"/>
      <c r="W24" s="391">
        <v>1074</v>
      </c>
      <c r="X24" s="391">
        <v>400</v>
      </c>
      <c r="Y24" s="392">
        <v>800</v>
      </c>
      <c r="Z24" s="392">
        <v>400</v>
      </c>
      <c r="AB24" s="541"/>
      <c r="AC24" s="540"/>
    </row>
    <row r="25" spans="1:29" x14ac:dyDescent="0.2">
      <c r="A25" s="11">
        <v>42156</v>
      </c>
      <c r="B25" s="382">
        <v>273000.00000000006</v>
      </c>
      <c r="C25" s="391"/>
      <c r="D25" s="391">
        <f>4000</f>
        <v>4000</v>
      </c>
      <c r="E25" s="391">
        <v>150</v>
      </c>
      <c r="F25" s="391"/>
      <c r="G25" s="391">
        <v>410</v>
      </c>
      <c r="H25" s="392">
        <v>1.764</v>
      </c>
      <c r="I25" s="382"/>
      <c r="J25" s="393" t="s">
        <v>549</v>
      </c>
      <c r="K25" s="393">
        <f>0.67*138</f>
        <v>92.460000000000008</v>
      </c>
      <c r="L25" s="392">
        <v>0</v>
      </c>
      <c r="M25" s="389"/>
      <c r="N25" s="389"/>
      <c r="O25" s="389"/>
      <c r="P25" s="382"/>
      <c r="Q25" s="382"/>
      <c r="R25" s="382"/>
      <c r="S25" s="382"/>
      <c r="T25" s="390"/>
      <c r="U25" s="387">
        <v>2000</v>
      </c>
      <c r="V25" s="391"/>
      <c r="W25" s="391">
        <v>1038</v>
      </c>
      <c r="X25" s="391">
        <v>270</v>
      </c>
      <c r="Y25" s="392">
        <v>800</v>
      </c>
      <c r="Z25" s="392">
        <v>400</v>
      </c>
      <c r="AB25" s="614"/>
      <c r="AC25" s="540"/>
    </row>
    <row r="26" spans="1:29" x14ac:dyDescent="0.2">
      <c r="A26" s="11">
        <v>42186</v>
      </c>
      <c r="B26" s="384">
        <v>231390</v>
      </c>
      <c r="C26" s="384"/>
      <c r="D26" s="384">
        <f>4150</f>
        <v>4150</v>
      </c>
      <c r="E26" s="384">
        <v>110</v>
      </c>
      <c r="F26" s="384"/>
      <c r="G26" s="384">
        <v>510</v>
      </c>
      <c r="H26" s="380">
        <v>6.2E-2</v>
      </c>
      <c r="I26" s="382"/>
      <c r="J26" s="381" t="s">
        <v>549</v>
      </c>
      <c r="K26" s="381">
        <f>0.67*155</f>
        <v>103.85000000000001</v>
      </c>
      <c r="L26" s="380">
        <v>0</v>
      </c>
      <c r="M26" s="381"/>
      <c r="N26" s="381"/>
      <c r="O26" s="381"/>
      <c r="P26" s="384"/>
      <c r="Q26" s="384"/>
      <c r="R26" s="384"/>
      <c r="S26" s="384"/>
      <c r="T26" s="386"/>
      <c r="U26" s="385">
        <v>2000</v>
      </c>
      <c r="V26" s="384"/>
      <c r="W26" s="384">
        <v>957</v>
      </c>
      <c r="X26" s="384">
        <v>0</v>
      </c>
      <c r="Y26" s="380">
        <v>1000</v>
      </c>
      <c r="Z26" s="380">
        <v>600</v>
      </c>
      <c r="AB26" s="541"/>
      <c r="AC26" s="540"/>
    </row>
    <row r="27" spans="1:29" x14ac:dyDescent="0.2">
      <c r="A27" s="11">
        <v>42217</v>
      </c>
      <c r="B27" s="384">
        <v>281540</v>
      </c>
      <c r="C27" s="384"/>
      <c r="D27" s="384">
        <f>4020</f>
        <v>4020</v>
      </c>
      <c r="E27" s="384">
        <v>130</v>
      </c>
      <c r="F27" s="384"/>
      <c r="G27" s="384">
        <v>480</v>
      </c>
      <c r="H27" s="380">
        <v>5.0060000000000002</v>
      </c>
      <c r="I27" s="382"/>
      <c r="J27" s="381" t="s">
        <v>549</v>
      </c>
      <c r="K27" s="381">
        <f>0.67*105</f>
        <v>70.350000000000009</v>
      </c>
      <c r="L27" s="380">
        <v>0</v>
      </c>
      <c r="M27" s="381"/>
      <c r="N27" s="381"/>
      <c r="O27" s="381"/>
      <c r="P27" s="384"/>
      <c r="Q27" s="384"/>
      <c r="R27" s="384"/>
      <c r="S27" s="384"/>
      <c r="T27" s="386"/>
      <c r="U27" s="385">
        <v>2000</v>
      </c>
      <c r="V27" s="384"/>
      <c r="W27" s="384">
        <v>827</v>
      </c>
      <c r="X27" s="384">
        <v>270</v>
      </c>
      <c r="Y27" s="380">
        <v>800</v>
      </c>
      <c r="Z27" s="380">
        <v>400</v>
      </c>
      <c r="AB27" s="541"/>
      <c r="AC27" s="540"/>
    </row>
    <row r="28" spans="1:29" x14ac:dyDescent="0.2">
      <c r="A28" s="11">
        <v>42248</v>
      </c>
      <c r="B28" s="384">
        <v>272880</v>
      </c>
      <c r="C28" s="384"/>
      <c r="D28" s="384">
        <f>3810</f>
        <v>3810</v>
      </c>
      <c r="E28" s="384">
        <v>100</v>
      </c>
      <c r="F28" s="384"/>
      <c r="G28" s="384">
        <v>390</v>
      </c>
      <c r="H28" s="380">
        <v>1.5780000000000001</v>
      </c>
      <c r="I28" s="382"/>
      <c r="J28" s="381" t="s">
        <v>549</v>
      </c>
      <c r="K28" s="381">
        <f>0.67*128</f>
        <v>85.76</v>
      </c>
      <c r="L28" s="380">
        <v>0</v>
      </c>
      <c r="M28" s="381"/>
      <c r="N28" s="381"/>
      <c r="O28" s="381"/>
      <c r="P28" s="384"/>
      <c r="Q28" s="384"/>
      <c r="R28" s="384"/>
      <c r="S28" s="384"/>
      <c r="T28" s="386"/>
      <c r="U28" s="385">
        <v>2000</v>
      </c>
      <c r="V28" s="384"/>
      <c r="W28" s="384">
        <v>1956</v>
      </c>
      <c r="X28" s="384">
        <v>120</v>
      </c>
      <c r="Y28" s="380">
        <v>1000</v>
      </c>
      <c r="Z28" s="380">
        <v>400</v>
      </c>
      <c r="AB28" s="541"/>
      <c r="AC28" s="540"/>
    </row>
    <row r="29" spans="1:29" x14ac:dyDescent="0.2">
      <c r="A29" s="11">
        <v>42278</v>
      </c>
      <c r="B29" s="384">
        <v>281000</v>
      </c>
      <c r="C29" s="384"/>
      <c r="D29" s="384">
        <f>3970</f>
        <v>3970</v>
      </c>
      <c r="E29" s="384">
        <v>90</v>
      </c>
      <c r="F29" s="384"/>
      <c r="G29" s="384">
        <v>480</v>
      </c>
      <c r="H29" s="380">
        <v>2.0419999999999998</v>
      </c>
      <c r="I29" s="382"/>
      <c r="J29" s="381" t="s">
        <v>549</v>
      </c>
      <c r="K29" s="381">
        <f>0.67*103</f>
        <v>69.010000000000005</v>
      </c>
      <c r="L29" s="380">
        <v>0</v>
      </c>
      <c r="M29" s="381"/>
      <c r="N29" s="381"/>
      <c r="O29" s="381"/>
      <c r="P29" s="384"/>
      <c r="Q29" s="384"/>
      <c r="R29" s="384"/>
      <c r="S29" s="384"/>
      <c r="T29" s="386"/>
      <c r="U29" s="385">
        <v>2000</v>
      </c>
      <c r="V29" s="384"/>
      <c r="W29" s="384">
        <v>3297</v>
      </c>
      <c r="X29" s="384">
        <v>160</v>
      </c>
      <c r="Y29" s="380">
        <v>800</v>
      </c>
      <c r="Z29" s="380">
        <v>200</v>
      </c>
      <c r="AB29" s="541"/>
      <c r="AC29" s="540"/>
    </row>
    <row r="30" spans="1:29" x14ac:dyDescent="0.2">
      <c r="A30" s="11">
        <v>42309</v>
      </c>
      <c r="B30" s="384">
        <v>274289.99999999994</v>
      </c>
      <c r="C30" s="384"/>
      <c r="D30" s="384">
        <f>3890</f>
        <v>3890</v>
      </c>
      <c r="E30" s="384">
        <v>100</v>
      </c>
      <c r="F30" s="384"/>
      <c r="G30" s="384">
        <v>450</v>
      </c>
      <c r="H30" s="380">
        <v>6.2E-2</v>
      </c>
      <c r="I30" s="382"/>
      <c r="J30" s="381" t="s">
        <v>549</v>
      </c>
      <c r="K30" s="381">
        <f>0.67*143</f>
        <v>95.81</v>
      </c>
      <c r="L30" s="380">
        <v>0</v>
      </c>
      <c r="M30" s="381"/>
      <c r="N30" s="381"/>
      <c r="O30" s="381"/>
      <c r="P30" s="384"/>
      <c r="Q30" s="384"/>
      <c r="R30" s="384"/>
      <c r="S30" s="384"/>
      <c r="T30" s="386"/>
      <c r="U30" s="385">
        <v>2000</v>
      </c>
      <c r="V30" s="384"/>
      <c r="W30" s="384">
        <v>1785</v>
      </c>
      <c r="X30" s="384">
        <v>50</v>
      </c>
      <c r="Y30" s="380">
        <v>800</v>
      </c>
      <c r="Z30" s="380">
        <v>600</v>
      </c>
      <c r="AB30" s="541"/>
      <c r="AC30" s="540"/>
    </row>
    <row r="31" spans="1:29" x14ac:dyDescent="0.2">
      <c r="A31" s="11">
        <v>42339</v>
      </c>
      <c r="B31" s="384">
        <v>267880</v>
      </c>
      <c r="C31" s="384"/>
      <c r="D31" s="384">
        <f>3810</f>
        <v>3810</v>
      </c>
      <c r="E31" s="384">
        <v>250</v>
      </c>
      <c r="F31" s="384"/>
      <c r="G31" s="384">
        <v>370</v>
      </c>
      <c r="H31" s="380">
        <v>3.2240000000000002</v>
      </c>
      <c r="I31" s="382"/>
      <c r="J31" s="381">
        <f>0.05*97</f>
        <v>4.8500000000000005</v>
      </c>
      <c r="K31" s="381">
        <f>0.67*130</f>
        <v>87.100000000000009</v>
      </c>
      <c r="L31" s="380">
        <v>0</v>
      </c>
      <c r="M31" s="381"/>
      <c r="N31" s="381"/>
      <c r="O31" s="381"/>
      <c r="P31" s="384"/>
      <c r="Q31" s="384"/>
      <c r="R31" s="384"/>
      <c r="S31" s="384"/>
      <c r="T31" s="386"/>
      <c r="U31" s="385">
        <v>2000</v>
      </c>
      <c r="V31" s="384"/>
      <c r="W31" s="384">
        <v>1400</v>
      </c>
      <c r="X31" s="384">
        <v>250</v>
      </c>
      <c r="Y31" s="380">
        <v>1200</v>
      </c>
      <c r="Z31" s="380">
        <v>1200</v>
      </c>
      <c r="AB31" s="541"/>
      <c r="AC31" s="540"/>
    </row>
    <row r="32" spans="1:29" x14ac:dyDescent="0.2">
      <c r="A32" s="11">
        <v>42370</v>
      </c>
      <c r="B32" s="384">
        <v>269800</v>
      </c>
      <c r="C32" s="384"/>
      <c r="D32" s="384">
        <f>4230</f>
        <v>4230</v>
      </c>
      <c r="E32" s="384">
        <v>300</v>
      </c>
      <c r="F32" s="384"/>
      <c r="G32" s="384">
        <v>460</v>
      </c>
      <c r="H32" s="380">
        <v>0.17</v>
      </c>
      <c r="I32" s="382"/>
      <c r="J32" s="381" t="s">
        <v>549</v>
      </c>
      <c r="K32" s="381">
        <f>0.67*77</f>
        <v>51.59</v>
      </c>
      <c r="L32" s="380">
        <v>20</v>
      </c>
      <c r="M32" s="381"/>
      <c r="N32" s="381"/>
      <c r="O32" s="381"/>
      <c r="P32" s="384"/>
      <c r="Q32" s="384"/>
      <c r="R32" s="384"/>
      <c r="S32" s="384"/>
      <c r="T32" s="386"/>
      <c r="U32" s="385">
        <f t="shared" ref="U32:U37" si="0">2000+177.808333</f>
        <v>2177.8083329999999</v>
      </c>
      <c r="V32" s="384"/>
      <c r="W32" s="384">
        <v>1647</v>
      </c>
      <c r="X32" s="384">
        <v>100</v>
      </c>
      <c r="Y32" s="555">
        <v>1200</v>
      </c>
      <c r="Z32" s="555">
        <v>400</v>
      </c>
      <c r="AB32" s="541"/>
      <c r="AC32" s="540"/>
    </row>
    <row r="33" spans="1:29" x14ac:dyDescent="0.2">
      <c r="A33" s="11">
        <v>42401</v>
      </c>
      <c r="B33" s="384">
        <v>240500</v>
      </c>
      <c r="C33" s="384"/>
      <c r="D33" s="384">
        <f>4070</f>
        <v>4070</v>
      </c>
      <c r="E33" s="384">
        <v>250</v>
      </c>
      <c r="F33" s="384"/>
      <c r="G33" s="384">
        <v>490</v>
      </c>
      <c r="H33" s="380">
        <v>0.108</v>
      </c>
      <c r="I33" s="382"/>
      <c r="J33" s="381" t="s">
        <v>549</v>
      </c>
      <c r="K33" s="381">
        <f>0.67*57</f>
        <v>38.190000000000005</v>
      </c>
      <c r="L33" s="380">
        <v>0</v>
      </c>
      <c r="M33" s="381"/>
      <c r="N33" s="381"/>
      <c r="O33" s="381"/>
      <c r="P33" s="384"/>
      <c r="Q33" s="384"/>
      <c r="R33" s="384"/>
      <c r="S33" s="384"/>
      <c r="T33" s="386"/>
      <c r="U33" s="385">
        <f t="shared" si="0"/>
        <v>2177.8083329999999</v>
      </c>
      <c r="V33" s="384"/>
      <c r="W33" s="384">
        <v>3015</v>
      </c>
      <c r="X33" s="384">
        <v>160</v>
      </c>
      <c r="Y33" s="555">
        <v>600</v>
      </c>
      <c r="Z33" s="555">
        <v>200</v>
      </c>
      <c r="AB33" s="541"/>
      <c r="AC33" s="540"/>
    </row>
    <row r="34" spans="1:29" x14ac:dyDescent="0.2">
      <c r="A34" s="11">
        <v>42430</v>
      </c>
      <c r="B34" s="384">
        <v>263290</v>
      </c>
      <c r="C34" s="384"/>
      <c r="D34" s="384">
        <f>4120</f>
        <v>4120</v>
      </c>
      <c r="E34" s="384">
        <v>170</v>
      </c>
      <c r="F34" s="384"/>
      <c r="G34" s="384">
        <v>500</v>
      </c>
      <c r="H34" s="380">
        <v>1.4359999999999999</v>
      </c>
      <c r="I34" s="382"/>
      <c r="J34" s="381" t="s">
        <v>549</v>
      </c>
      <c r="K34" s="381">
        <f>0.67*130</f>
        <v>87.100000000000009</v>
      </c>
      <c r="L34" s="380">
        <v>0</v>
      </c>
      <c r="M34" s="381"/>
      <c r="N34" s="381"/>
      <c r="O34" s="381"/>
      <c r="P34" s="384"/>
      <c r="Q34" s="384"/>
      <c r="R34" s="384"/>
      <c r="S34" s="384"/>
      <c r="T34" s="386"/>
      <c r="U34" s="385">
        <f t="shared" si="0"/>
        <v>2177.8083329999999</v>
      </c>
      <c r="V34" s="384"/>
      <c r="W34" s="384">
        <v>1168</v>
      </c>
      <c r="X34" s="384">
        <v>30</v>
      </c>
      <c r="Y34" s="555">
        <v>1200</v>
      </c>
      <c r="Z34" s="555">
        <v>400</v>
      </c>
      <c r="AB34" s="541"/>
      <c r="AC34" s="540"/>
    </row>
    <row r="35" spans="1:29" x14ac:dyDescent="0.2">
      <c r="A35" s="11">
        <v>42461</v>
      </c>
      <c r="B35" s="384">
        <v>260100.00000000003</v>
      </c>
      <c r="C35" s="384"/>
      <c r="D35" s="384">
        <f>4050</f>
        <v>4050</v>
      </c>
      <c r="E35" s="384">
        <v>140</v>
      </c>
      <c r="F35" s="384"/>
      <c r="G35" s="384">
        <v>410</v>
      </c>
      <c r="H35" s="380">
        <v>1.764</v>
      </c>
      <c r="I35" s="382"/>
      <c r="J35" s="381" t="s">
        <v>549</v>
      </c>
      <c r="K35" s="381">
        <f>0.67*81</f>
        <v>54.27</v>
      </c>
      <c r="L35" s="380">
        <v>0</v>
      </c>
      <c r="M35" s="381"/>
      <c r="N35" s="381"/>
      <c r="O35" s="381"/>
      <c r="P35" s="384"/>
      <c r="Q35" s="384"/>
      <c r="R35" s="384"/>
      <c r="S35" s="384"/>
      <c r="T35" s="386"/>
      <c r="U35" s="385">
        <f t="shared" si="0"/>
        <v>2177.8083329999999</v>
      </c>
      <c r="V35" s="384"/>
      <c r="W35" s="384">
        <v>1397</v>
      </c>
      <c r="X35" s="384">
        <v>100</v>
      </c>
      <c r="Y35" s="555">
        <v>600</v>
      </c>
      <c r="Z35" s="555">
        <v>400</v>
      </c>
      <c r="AB35" s="541"/>
      <c r="AC35" s="540"/>
    </row>
    <row r="36" spans="1:29" x14ac:dyDescent="0.2">
      <c r="A36" s="11">
        <v>42491</v>
      </c>
      <c r="B36" s="384">
        <v>279280.00000000006</v>
      </c>
      <c r="C36" s="384"/>
      <c r="D36" s="384">
        <f>4080</f>
        <v>4080</v>
      </c>
      <c r="E36" s="384">
        <v>110</v>
      </c>
      <c r="F36" s="384"/>
      <c r="G36" s="384">
        <v>500</v>
      </c>
      <c r="H36" s="380">
        <v>0</v>
      </c>
      <c r="I36" s="382"/>
      <c r="J36" s="381" t="s">
        <v>549</v>
      </c>
      <c r="K36" s="381">
        <f>0.67*52</f>
        <v>34.840000000000003</v>
      </c>
      <c r="L36" s="380">
        <v>9</v>
      </c>
      <c r="M36" s="381"/>
      <c r="N36" s="381"/>
      <c r="O36" s="381"/>
      <c r="P36" s="384"/>
      <c r="Q36" s="384"/>
      <c r="R36" s="384"/>
      <c r="S36" s="384"/>
      <c r="T36" s="386"/>
      <c r="U36" s="385">
        <f t="shared" si="0"/>
        <v>2177.8083329999999</v>
      </c>
      <c r="V36" s="384"/>
      <c r="W36" s="384">
        <v>1824</v>
      </c>
      <c r="X36" s="384">
        <v>150</v>
      </c>
      <c r="Y36" s="555">
        <v>1000</v>
      </c>
      <c r="Z36" s="555">
        <v>400</v>
      </c>
      <c r="AB36" s="541"/>
      <c r="AC36" s="540"/>
    </row>
    <row r="37" spans="1:29" x14ac:dyDescent="0.2">
      <c r="A37" s="11">
        <v>42522</v>
      </c>
      <c r="B37" s="384">
        <v>265300</v>
      </c>
      <c r="C37" s="384"/>
      <c r="D37" s="384">
        <f>4120</f>
        <v>4120</v>
      </c>
      <c r="E37" s="384">
        <v>270</v>
      </c>
      <c r="F37" s="384"/>
      <c r="G37" s="384">
        <v>490</v>
      </c>
      <c r="H37" s="380">
        <v>0</v>
      </c>
      <c r="I37" s="382"/>
      <c r="J37" s="381" t="s">
        <v>549</v>
      </c>
      <c r="K37" s="381">
        <v>0</v>
      </c>
      <c r="L37" s="380">
        <v>0</v>
      </c>
      <c r="M37" s="381"/>
      <c r="N37" s="381"/>
      <c r="O37" s="381"/>
      <c r="P37" s="384"/>
      <c r="Q37" s="384"/>
      <c r="R37" s="384">
        <v>0</v>
      </c>
      <c r="S37" s="384"/>
      <c r="T37" s="386"/>
      <c r="U37" s="385">
        <f t="shared" si="0"/>
        <v>2177.8083329999999</v>
      </c>
      <c r="V37" s="384"/>
      <c r="W37" s="384">
        <v>1672</v>
      </c>
      <c r="X37" s="384">
        <v>340</v>
      </c>
      <c r="Y37" s="555">
        <v>800</v>
      </c>
      <c r="Z37" s="555">
        <v>400</v>
      </c>
      <c r="AB37" s="614"/>
      <c r="AC37" s="540"/>
    </row>
    <row r="38" spans="1:29" x14ac:dyDescent="0.2">
      <c r="A38" s="11">
        <v>42552</v>
      </c>
      <c r="B38" s="382">
        <v>230700</v>
      </c>
      <c r="C38" s="391"/>
      <c r="D38" s="382">
        <v>2980</v>
      </c>
      <c r="E38" s="382">
        <v>260</v>
      </c>
      <c r="F38" s="382"/>
      <c r="G38" s="382">
        <v>510</v>
      </c>
      <c r="H38" s="388">
        <v>0</v>
      </c>
      <c r="I38" s="382"/>
      <c r="J38" s="393" t="s">
        <v>549</v>
      </c>
      <c r="K38" s="389">
        <v>0</v>
      </c>
      <c r="L38" s="388">
        <v>0</v>
      </c>
      <c r="M38" s="389"/>
      <c r="N38" s="389"/>
      <c r="O38" s="389"/>
      <c r="P38" s="382"/>
      <c r="Q38" s="382"/>
      <c r="R38" s="382"/>
      <c r="S38" s="382"/>
      <c r="T38" s="390"/>
      <c r="U38" s="391">
        <f>2480+177.808333</f>
        <v>2657.8083329999999</v>
      </c>
      <c r="V38" s="382"/>
      <c r="W38" s="382">
        <v>2495</v>
      </c>
      <c r="X38" s="382">
        <v>0</v>
      </c>
      <c r="Y38" s="556">
        <v>1000</v>
      </c>
      <c r="Z38" s="556">
        <v>600</v>
      </c>
      <c r="AB38" s="541"/>
      <c r="AC38" s="540"/>
    </row>
    <row r="39" spans="1:29" x14ac:dyDescent="0.2">
      <c r="A39" s="11">
        <v>42583</v>
      </c>
      <c r="B39" s="382">
        <v>249380</v>
      </c>
      <c r="C39" s="391"/>
      <c r="D39" s="382">
        <f>7160</f>
        <v>7160</v>
      </c>
      <c r="E39" s="382">
        <v>400</v>
      </c>
      <c r="F39" s="382"/>
      <c r="G39" s="382">
        <v>577.5</v>
      </c>
      <c r="H39" s="388">
        <v>0</v>
      </c>
      <c r="I39" s="382"/>
      <c r="J39" s="393" t="s">
        <v>549</v>
      </c>
      <c r="K39" s="389">
        <v>0</v>
      </c>
      <c r="L39" s="388">
        <v>0</v>
      </c>
      <c r="M39" s="389"/>
      <c r="N39" s="389"/>
      <c r="O39" s="389"/>
      <c r="P39" s="382"/>
      <c r="Q39" s="382"/>
      <c r="R39" s="382"/>
      <c r="S39" s="382"/>
      <c r="T39" s="390"/>
      <c r="U39" s="391">
        <f>2580+177.808333</f>
        <v>2757.8083329999999</v>
      </c>
      <c r="V39" s="382"/>
      <c r="W39" s="382">
        <v>1142</v>
      </c>
      <c r="X39" s="382">
        <v>200</v>
      </c>
      <c r="Y39" s="556">
        <v>2400</v>
      </c>
      <c r="Z39" s="556">
        <v>200</v>
      </c>
      <c r="AB39" s="541"/>
      <c r="AC39" s="540"/>
    </row>
    <row r="40" spans="1:29" x14ac:dyDescent="0.2">
      <c r="A40" s="11">
        <v>42614</v>
      </c>
      <c r="B40" s="382">
        <v>261649.99999999997</v>
      </c>
      <c r="C40" s="391"/>
      <c r="D40" s="382">
        <v>7820</v>
      </c>
      <c r="E40" s="382">
        <v>250</v>
      </c>
      <c r="F40" s="382"/>
      <c r="G40" s="382">
        <v>1119.8</v>
      </c>
      <c r="H40" s="388">
        <v>0</v>
      </c>
      <c r="I40" s="382"/>
      <c r="J40" s="393" t="s">
        <v>549</v>
      </c>
      <c r="K40" s="389">
        <f>0.67*253</f>
        <v>169.51000000000002</v>
      </c>
      <c r="L40" s="388">
        <v>0</v>
      </c>
      <c r="M40" s="389"/>
      <c r="N40" s="389"/>
      <c r="O40" s="389"/>
      <c r="P40" s="382"/>
      <c r="Q40" s="382"/>
      <c r="R40" s="382">
        <v>0</v>
      </c>
      <c r="S40" s="382"/>
      <c r="T40" s="390"/>
      <c r="U40" s="391">
        <f>2830+177.808333</f>
        <v>3007.8083329999999</v>
      </c>
      <c r="V40" s="382"/>
      <c r="W40" s="382">
        <v>2204</v>
      </c>
      <c r="X40" s="382">
        <v>220</v>
      </c>
      <c r="Y40" s="556">
        <v>1800</v>
      </c>
      <c r="Z40" s="556">
        <v>400</v>
      </c>
      <c r="AB40" s="541"/>
      <c r="AC40" s="540"/>
    </row>
    <row r="41" spans="1:29" x14ac:dyDescent="0.2">
      <c r="A41" s="11">
        <v>42644</v>
      </c>
      <c r="B41" s="382">
        <v>258899.99999999997</v>
      </c>
      <c r="C41" s="391"/>
      <c r="D41" s="382">
        <v>9300</v>
      </c>
      <c r="E41" s="382">
        <v>150</v>
      </c>
      <c r="F41" s="382"/>
      <c r="G41" s="382">
        <v>2310</v>
      </c>
      <c r="H41" s="388">
        <v>13.462</v>
      </c>
      <c r="I41" s="382">
        <v>21800</v>
      </c>
      <c r="J41" s="393" t="s">
        <v>549</v>
      </c>
      <c r="K41" s="389">
        <v>0</v>
      </c>
      <c r="L41" s="388">
        <v>0</v>
      </c>
      <c r="M41" s="389"/>
      <c r="N41" s="389"/>
      <c r="O41" s="389"/>
      <c r="P41" s="382"/>
      <c r="Q41" s="382"/>
      <c r="R41" s="382">
        <v>0</v>
      </c>
      <c r="S41" s="382"/>
      <c r="T41" s="390"/>
      <c r="U41" s="391">
        <v>177.80833333333331</v>
      </c>
      <c r="V41" s="382"/>
      <c r="W41" s="382">
        <v>1653</v>
      </c>
      <c r="X41" s="382">
        <v>0</v>
      </c>
      <c r="Y41" s="556">
        <v>2000</v>
      </c>
      <c r="Z41" s="556">
        <v>200</v>
      </c>
      <c r="AB41" s="541"/>
      <c r="AC41" s="540"/>
    </row>
    <row r="42" spans="1:29" x14ac:dyDescent="0.2">
      <c r="A42" s="11">
        <v>42675</v>
      </c>
      <c r="B42" s="382">
        <v>262650</v>
      </c>
      <c r="C42" s="391"/>
      <c r="D42" s="391">
        <v>9900</v>
      </c>
      <c r="E42" s="391">
        <v>110</v>
      </c>
      <c r="F42" s="391"/>
      <c r="G42" s="391">
        <v>2627.5</v>
      </c>
      <c r="H42" s="392">
        <v>0</v>
      </c>
      <c r="I42" s="382">
        <v>19250</v>
      </c>
      <c r="J42" s="393" t="s">
        <v>549</v>
      </c>
      <c r="K42" s="393">
        <f>0.67*221</f>
        <v>148.07000000000002</v>
      </c>
      <c r="L42" s="392">
        <v>0</v>
      </c>
      <c r="M42" s="389"/>
      <c r="N42" s="389"/>
      <c r="O42" s="389"/>
      <c r="P42" s="382"/>
      <c r="Q42" s="382"/>
      <c r="R42" s="382">
        <v>66</v>
      </c>
      <c r="S42" s="382"/>
      <c r="T42" s="390"/>
      <c r="U42" s="391">
        <v>177.80833333333331</v>
      </c>
      <c r="V42" s="391"/>
      <c r="W42" s="391">
        <v>3458</v>
      </c>
      <c r="X42" s="391">
        <v>0</v>
      </c>
      <c r="Y42" s="557">
        <v>1600</v>
      </c>
      <c r="Z42" s="557">
        <v>400</v>
      </c>
      <c r="AB42" s="541"/>
      <c r="AC42" s="540"/>
    </row>
    <row r="43" spans="1:29" x14ac:dyDescent="0.2">
      <c r="A43" s="11">
        <v>42705</v>
      </c>
      <c r="B43" s="382">
        <v>247410.00000000003</v>
      </c>
      <c r="C43" s="391"/>
      <c r="D43" s="391">
        <v>9450</v>
      </c>
      <c r="E43" s="391">
        <v>270</v>
      </c>
      <c r="F43" s="391"/>
      <c r="G43" s="391">
        <v>1472.5</v>
      </c>
      <c r="H43" s="392">
        <v>0</v>
      </c>
      <c r="I43" s="382">
        <v>16900</v>
      </c>
      <c r="J43" s="393">
        <f>0.05*113</f>
        <v>5.65</v>
      </c>
      <c r="K43" s="393">
        <v>0</v>
      </c>
      <c r="L43" s="392">
        <v>0</v>
      </c>
      <c r="M43" s="389"/>
      <c r="N43" s="389"/>
      <c r="O43" s="389"/>
      <c r="P43" s="382"/>
      <c r="Q43" s="382"/>
      <c r="R43" s="382">
        <v>62.5</v>
      </c>
      <c r="S43" s="382"/>
      <c r="T43" s="390"/>
      <c r="U43" s="391">
        <v>177.80833333333331</v>
      </c>
      <c r="V43" s="391"/>
      <c r="W43" s="391">
        <v>1465</v>
      </c>
      <c r="X43" s="391">
        <v>50</v>
      </c>
      <c r="Y43" s="557">
        <v>1400</v>
      </c>
      <c r="Z43" s="557">
        <v>200</v>
      </c>
      <c r="AB43" s="541"/>
      <c r="AC43" s="540"/>
    </row>
    <row r="44" spans="1:29" x14ac:dyDescent="0.2">
      <c r="A44" s="11">
        <v>42736</v>
      </c>
      <c r="B44" s="382">
        <v>186070.00000000003</v>
      </c>
      <c r="C44" s="391">
        <v>41470</v>
      </c>
      <c r="D44" s="391">
        <v>10200</v>
      </c>
      <c r="E44" s="391">
        <v>180</v>
      </c>
      <c r="F44" s="391"/>
      <c r="G44" s="391">
        <v>1682</v>
      </c>
      <c r="H44" s="392">
        <f>8231/1000</f>
        <v>8.2309999999999999</v>
      </c>
      <c r="I44" s="382">
        <v>13750</v>
      </c>
      <c r="J44" s="393" t="s">
        <v>549</v>
      </c>
      <c r="K44" s="393">
        <f>0.67*206</f>
        <v>138.02000000000001</v>
      </c>
      <c r="L44" s="392">
        <v>0</v>
      </c>
      <c r="M44" s="389"/>
      <c r="N44" s="389"/>
      <c r="O44" s="389"/>
      <c r="P44" s="382"/>
      <c r="Q44" s="382"/>
      <c r="R44" s="382">
        <v>0</v>
      </c>
      <c r="S44" s="382"/>
      <c r="T44" s="390"/>
      <c r="U44" s="391">
        <v>2093.875</v>
      </c>
      <c r="V44" s="391"/>
      <c r="W44" s="391">
        <v>1726</v>
      </c>
      <c r="X44" s="391">
        <v>0</v>
      </c>
      <c r="Y44" s="557">
        <v>1400</v>
      </c>
      <c r="Z44" s="557">
        <v>0</v>
      </c>
      <c r="AB44" s="541"/>
      <c r="AC44" s="540"/>
    </row>
    <row r="45" spans="1:29" x14ac:dyDescent="0.2">
      <c r="A45" s="11">
        <v>42767</v>
      </c>
      <c r="B45" s="382">
        <v>189900</v>
      </c>
      <c r="C45" s="391">
        <v>54160</v>
      </c>
      <c r="D45" s="391">
        <v>9070</v>
      </c>
      <c r="E45" s="391">
        <v>210</v>
      </c>
      <c r="F45" s="391"/>
      <c r="G45" s="391">
        <v>1845.5</v>
      </c>
      <c r="H45" s="392">
        <v>0</v>
      </c>
      <c r="I45" s="382">
        <v>18825</v>
      </c>
      <c r="J45" s="393" t="s">
        <v>549</v>
      </c>
      <c r="K45" s="393">
        <v>0</v>
      </c>
      <c r="L45" s="388">
        <v>0</v>
      </c>
      <c r="M45" s="389"/>
      <c r="N45" s="389"/>
      <c r="O45" s="389"/>
      <c r="P45" s="382"/>
      <c r="Q45" s="382"/>
      <c r="R45" s="382">
        <v>0</v>
      </c>
      <c r="S45" s="382"/>
      <c r="T45" s="390"/>
      <c r="U45" s="391">
        <v>2093.875</v>
      </c>
      <c r="V45" s="391"/>
      <c r="W45" s="391">
        <v>1475</v>
      </c>
      <c r="X45" s="391">
        <v>120</v>
      </c>
      <c r="Y45" s="557">
        <v>2800</v>
      </c>
      <c r="Z45" s="557">
        <v>400</v>
      </c>
      <c r="AB45" s="541"/>
      <c r="AC45" s="540"/>
    </row>
    <row r="46" spans="1:29" x14ac:dyDescent="0.2">
      <c r="A46" s="11">
        <v>42795</v>
      </c>
      <c r="B46" s="382">
        <v>218930</v>
      </c>
      <c r="C46" s="391">
        <v>32240.000000000004</v>
      </c>
      <c r="D46" s="391">
        <v>9840</v>
      </c>
      <c r="E46" s="391">
        <v>210</v>
      </c>
      <c r="F46" s="391"/>
      <c r="G46" s="391">
        <v>1991</v>
      </c>
      <c r="H46" s="392">
        <v>0</v>
      </c>
      <c r="I46" s="382">
        <v>21975</v>
      </c>
      <c r="J46" s="393" t="s">
        <v>549</v>
      </c>
      <c r="K46" s="393">
        <f>0.67*121</f>
        <v>81.070000000000007</v>
      </c>
      <c r="L46" s="392">
        <v>0</v>
      </c>
      <c r="M46" s="389"/>
      <c r="N46" s="389"/>
      <c r="O46" s="389"/>
      <c r="P46" s="382"/>
      <c r="Q46" s="382"/>
      <c r="R46" s="382">
        <v>0</v>
      </c>
      <c r="S46" s="382"/>
      <c r="T46" s="390"/>
      <c r="U46" s="391">
        <v>2093.875</v>
      </c>
      <c r="V46" s="391"/>
      <c r="W46" s="391">
        <v>1816</v>
      </c>
      <c r="X46" s="391">
        <v>0</v>
      </c>
      <c r="Y46" s="557">
        <v>3000</v>
      </c>
      <c r="Z46" s="557">
        <v>0</v>
      </c>
      <c r="AB46" s="541"/>
      <c r="AC46" s="540"/>
    </row>
    <row r="47" spans="1:29" x14ac:dyDescent="0.2">
      <c r="A47" s="11">
        <v>42826</v>
      </c>
      <c r="B47" s="382">
        <v>200140</v>
      </c>
      <c r="C47" s="391">
        <v>35860</v>
      </c>
      <c r="D47" s="391">
        <v>10420</v>
      </c>
      <c r="E47" s="391">
        <v>290</v>
      </c>
      <c r="F47" s="391"/>
      <c r="G47" s="391">
        <v>2070.1999999999998</v>
      </c>
      <c r="H47" s="392">
        <v>0</v>
      </c>
      <c r="I47" s="382">
        <v>18850</v>
      </c>
      <c r="J47" s="393" t="s">
        <v>549</v>
      </c>
      <c r="K47" s="393">
        <v>0</v>
      </c>
      <c r="L47" s="392">
        <v>0</v>
      </c>
      <c r="M47" s="389">
        <f>0.34*1900</f>
        <v>646</v>
      </c>
      <c r="N47" s="389">
        <f>0.13*40</f>
        <v>5.2</v>
      </c>
      <c r="O47" s="389">
        <f>0.15*60</f>
        <v>9</v>
      </c>
      <c r="P47" s="382"/>
      <c r="Q47" s="382"/>
      <c r="R47" s="382">
        <v>0</v>
      </c>
      <c r="S47" s="382"/>
      <c r="T47" s="390"/>
      <c r="U47" s="391">
        <v>2093.875</v>
      </c>
      <c r="V47" s="391"/>
      <c r="W47" s="391">
        <v>1894</v>
      </c>
      <c r="X47" s="391">
        <v>150</v>
      </c>
      <c r="Y47" s="557">
        <v>1400</v>
      </c>
      <c r="Z47" s="557">
        <v>400</v>
      </c>
      <c r="AB47" s="541"/>
      <c r="AC47" s="540"/>
    </row>
    <row r="48" spans="1:29" x14ac:dyDescent="0.2">
      <c r="A48" s="11">
        <v>42856</v>
      </c>
      <c r="B48" s="382">
        <v>194190</v>
      </c>
      <c r="C48" s="391">
        <v>41550</v>
      </c>
      <c r="D48" s="391">
        <v>11250</v>
      </c>
      <c r="E48" s="391">
        <v>260</v>
      </c>
      <c r="F48" s="391"/>
      <c r="G48" s="391">
        <v>1900</v>
      </c>
      <c r="H48" s="392">
        <f>29-8-13</f>
        <v>8</v>
      </c>
      <c r="I48" s="382">
        <v>20275</v>
      </c>
      <c r="J48" s="393" t="s">
        <v>549</v>
      </c>
      <c r="K48" s="393">
        <f>0.67*129</f>
        <v>86.43</v>
      </c>
      <c r="L48" s="392">
        <v>0</v>
      </c>
      <c r="M48" s="389"/>
      <c r="N48" s="389"/>
      <c r="O48" s="389"/>
      <c r="P48" s="382"/>
      <c r="Q48" s="382"/>
      <c r="R48" s="382">
        <v>0</v>
      </c>
      <c r="S48" s="382"/>
      <c r="T48" s="390"/>
      <c r="U48" s="391">
        <v>2093.875</v>
      </c>
      <c r="V48" s="391"/>
      <c r="W48" s="391">
        <v>1563</v>
      </c>
      <c r="X48" s="391">
        <v>250</v>
      </c>
      <c r="Y48" s="557">
        <v>3400</v>
      </c>
      <c r="Z48" s="557">
        <v>400</v>
      </c>
      <c r="AB48" s="541"/>
      <c r="AC48" s="540"/>
    </row>
    <row r="49" spans="1:29" x14ac:dyDescent="0.2">
      <c r="A49" s="11">
        <v>42887</v>
      </c>
      <c r="B49" s="382">
        <v>204680</v>
      </c>
      <c r="C49" s="391">
        <v>51440</v>
      </c>
      <c r="D49" s="391">
        <v>7160</v>
      </c>
      <c r="E49" s="391">
        <v>400</v>
      </c>
      <c r="F49" s="391"/>
      <c r="G49" s="391">
        <f>1991+1020</f>
        <v>3011</v>
      </c>
      <c r="H49" s="392">
        <v>0</v>
      </c>
      <c r="I49" s="382">
        <v>21025</v>
      </c>
      <c r="J49" s="393" t="s">
        <v>549</v>
      </c>
      <c r="K49" s="393">
        <v>0</v>
      </c>
      <c r="L49" s="392">
        <v>0</v>
      </c>
      <c r="M49" s="389">
        <f>0.34*1000</f>
        <v>340</v>
      </c>
      <c r="N49" s="389"/>
      <c r="O49" s="389"/>
      <c r="P49" s="382"/>
      <c r="Q49" s="382"/>
      <c r="R49" s="382">
        <v>0</v>
      </c>
      <c r="S49" s="382"/>
      <c r="T49" s="390"/>
      <c r="U49" s="391">
        <v>2093.875</v>
      </c>
      <c r="V49" s="391"/>
      <c r="W49" s="391">
        <v>1981</v>
      </c>
      <c r="X49" s="391">
        <v>250</v>
      </c>
      <c r="Y49" s="557">
        <v>800</v>
      </c>
      <c r="Z49" s="557">
        <v>400</v>
      </c>
      <c r="AB49" s="614"/>
      <c r="AC49" s="540"/>
    </row>
    <row r="50" spans="1:29" x14ac:dyDescent="0.2">
      <c r="A50" s="11">
        <v>42917</v>
      </c>
      <c r="B50" s="384">
        <v>180020</v>
      </c>
      <c r="C50" s="384">
        <v>45550</v>
      </c>
      <c r="D50" s="384">
        <v>10930</v>
      </c>
      <c r="E50" s="384">
        <v>270</v>
      </c>
      <c r="F50" s="384"/>
      <c r="G50" s="384">
        <v>1863.5</v>
      </c>
      <c r="H50" s="380">
        <v>2.5680000000000001</v>
      </c>
      <c r="I50" s="382">
        <v>13275</v>
      </c>
      <c r="J50" s="381" t="s">
        <v>549</v>
      </c>
      <c r="K50" s="381">
        <f>0.67*148</f>
        <v>99.160000000000011</v>
      </c>
      <c r="L50" s="380">
        <v>3</v>
      </c>
      <c r="M50" s="381"/>
      <c r="N50" s="381"/>
      <c r="O50" s="381"/>
      <c r="P50" s="384"/>
      <c r="Q50" s="384"/>
      <c r="R50" s="384">
        <v>0</v>
      </c>
      <c r="S50" s="384"/>
      <c r="T50" s="386"/>
      <c r="U50" s="384">
        <v>2093.875</v>
      </c>
      <c r="V50" s="384"/>
      <c r="W50" s="384">
        <v>1948</v>
      </c>
      <c r="X50" s="384">
        <v>100</v>
      </c>
      <c r="Y50" s="555">
        <v>3200</v>
      </c>
      <c r="Z50" s="555">
        <v>400</v>
      </c>
      <c r="AB50" s="541"/>
      <c r="AC50" s="540"/>
    </row>
    <row r="51" spans="1:29" x14ac:dyDescent="0.2">
      <c r="A51" s="11">
        <v>42948</v>
      </c>
      <c r="B51" s="384">
        <v>205980.00000000003</v>
      </c>
      <c r="C51" s="384">
        <v>48250</v>
      </c>
      <c r="D51" s="384">
        <v>10700</v>
      </c>
      <c r="E51" s="384">
        <v>210</v>
      </c>
      <c r="F51" s="384"/>
      <c r="G51" s="384">
        <v>975</v>
      </c>
      <c r="H51" s="380">
        <v>0</v>
      </c>
      <c r="I51" s="382">
        <v>15525</v>
      </c>
      <c r="J51" s="381" t="s">
        <v>549</v>
      </c>
      <c r="K51" s="381">
        <v>0</v>
      </c>
      <c r="L51" s="380">
        <v>0</v>
      </c>
      <c r="M51" s="381">
        <f>0.34*700</f>
        <v>238.00000000000003</v>
      </c>
      <c r="N51" s="381">
        <f>0.13*300</f>
        <v>39</v>
      </c>
      <c r="O51" s="381"/>
      <c r="P51" s="384"/>
      <c r="Q51" s="384"/>
      <c r="R51" s="384">
        <v>0</v>
      </c>
      <c r="S51" s="384"/>
      <c r="T51" s="386"/>
      <c r="U51" s="384">
        <v>2093.875</v>
      </c>
      <c r="V51" s="384"/>
      <c r="W51" s="384">
        <v>1726</v>
      </c>
      <c r="X51" s="384">
        <v>0</v>
      </c>
      <c r="Y51" s="555">
        <v>800</v>
      </c>
      <c r="Z51" s="555">
        <v>400</v>
      </c>
      <c r="AB51" s="541"/>
      <c r="AC51" s="540"/>
    </row>
    <row r="52" spans="1:29" x14ac:dyDescent="0.2">
      <c r="A52" s="11">
        <v>42979</v>
      </c>
      <c r="B52" s="384">
        <v>204680</v>
      </c>
      <c r="C52" s="384">
        <v>55310</v>
      </c>
      <c r="D52" s="384">
        <v>7160</v>
      </c>
      <c r="E52" s="384">
        <v>400</v>
      </c>
      <c r="F52" s="384"/>
      <c r="G52" s="384">
        <v>975</v>
      </c>
      <c r="H52" s="380">
        <v>3.4340000000000002</v>
      </c>
      <c r="I52" s="382">
        <v>25050</v>
      </c>
      <c r="J52" s="381" t="s">
        <v>549</v>
      </c>
      <c r="K52" s="381">
        <v>0</v>
      </c>
      <c r="L52" s="380">
        <v>0</v>
      </c>
      <c r="M52" s="381"/>
      <c r="N52" s="381"/>
      <c r="O52" s="381"/>
      <c r="P52" s="384"/>
      <c r="Q52" s="384"/>
      <c r="R52" s="384">
        <v>0</v>
      </c>
      <c r="S52" s="384"/>
      <c r="T52" s="386"/>
      <c r="U52" s="384">
        <v>721</v>
      </c>
      <c r="V52" s="384"/>
      <c r="W52" s="384">
        <v>3290</v>
      </c>
      <c r="X52" s="384">
        <v>200</v>
      </c>
      <c r="Y52" s="555">
        <v>800</v>
      </c>
      <c r="Z52" s="555">
        <v>400</v>
      </c>
      <c r="AB52" s="541"/>
      <c r="AC52" s="540"/>
    </row>
    <row r="53" spans="1:29" x14ac:dyDescent="0.2">
      <c r="A53" s="11">
        <v>43009</v>
      </c>
      <c r="B53" s="384">
        <v>205980.00000000003</v>
      </c>
      <c r="C53" s="384">
        <v>65260.000000000007</v>
      </c>
      <c r="D53" s="384">
        <v>9910</v>
      </c>
      <c r="E53" s="384">
        <v>200</v>
      </c>
      <c r="F53" s="384"/>
      <c r="G53" s="384">
        <v>1691</v>
      </c>
      <c r="H53" s="380">
        <v>0</v>
      </c>
      <c r="I53" s="382">
        <v>25175</v>
      </c>
      <c r="J53" s="381" t="s">
        <v>549</v>
      </c>
      <c r="K53" s="381">
        <f>0.67*193</f>
        <v>129.31</v>
      </c>
      <c r="L53" s="380">
        <v>7</v>
      </c>
      <c r="M53" s="381"/>
      <c r="N53" s="381"/>
      <c r="O53" s="381"/>
      <c r="P53" s="384"/>
      <c r="Q53" s="384"/>
      <c r="R53" s="384">
        <v>0</v>
      </c>
      <c r="S53" s="384"/>
      <c r="T53" s="386"/>
      <c r="U53" s="384">
        <v>423</v>
      </c>
      <c r="V53" s="384"/>
      <c r="W53" s="384">
        <v>0</v>
      </c>
      <c r="X53" s="384">
        <v>70</v>
      </c>
      <c r="Y53" s="555">
        <v>800</v>
      </c>
      <c r="Z53" s="555">
        <v>400</v>
      </c>
      <c r="AB53" s="541"/>
      <c r="AC53" s="540"/>
    </row>
    <row r="54" spans="1:29" x14ac:dyDescent="0.2">
      <c r="A54" s="11">
        <v>43040</v>
      </c>
      <c r="B54" s="384">
        <v>227040</v>
      </c>
      <c r="C54" s="384">
        <v>65069.999999999993</v>
      </c>
      <c r="D54" s="384">
        <v>9740</v>
      </c>
      <c r="E54" s="384">
        <v>210</v>
      </c>
      <c r="F54" s="384"/>
      <c r="G54" s="384">
        <v>975</v>
      </c>
      <c r="H54" s="380">
        <v>2.0110000000000001</v>
      </c>
      <c r="I54" s="382">
        <v>30100</v>
      </c>
      <c r="J54" s="381" t="s">
        <v>549</v>
      </c>
      <c r="K54" s="381">
        <v>0</v>
      </c>
      <c r="L54" s="380">
        <v>0</v>
      </c>
      <c r="M54" s="381">
        <f>0.34*700</f>
        <v>238.00000000000003</v>
      </c>
      <c r="N54" s="381">
        <f>0.13*300</f>
        <v>39</v>
      </c>
      <c r="O54" s="381"/>
      <c r="P54" s="384"/>
      <c r="Q54" s="384"/>
      <c r="R54" s="384">
        <v>0</v>
      </c>
      <c r="S54" s="384"/>
      <c r="T54" s="386"/>
      <c r="U54" s="384">
        <v>828</v>
      </c>
      <c r="V54" s="384"/>
      <c r="W54" s="384">
        <v>3956</v>
      </c>
      <c r="X54" s="384">
        <v>100</v>
      </c>
      <c r="Y54" s="555">
        <v>1200</v>
      </c>
      <c r="Z54" s="555">
        <v>600</v>
      </c>
      <c r="AB54" s="541"/>
      <c r="AC54" s="540"/>
    </row>
    <row r="55" spans="1:29" x14ac:dyDescent="0.2">
      <c r="A55" s="11">
        <v>43070</v>
      </c>
      <c r="B55" s="384">
        <v>212210</v>
      </c>
      <c r="C55" s="384">
        <v>24760</v>
      </c>
      <c r="D55" s="384">
        <v>8410</v>
      </c>
      <c r="E55" s="384">
        <v>150</v>
      </c>
      <c r="F55" s="384"/>
      <c r="G55" s="384">
        <v>1882</v>
      </c>
      <c r="H55" s="380">
        <v>0</v>
      </c>
      <c r="I55" s="382">
        <v>30200</v>
      </c>
      <c r="J55" s="381">
        <f>0.05*92</f>
        <v>4.6000000000000005</v>
      </c>
      <c r="K55" s="381">
        <f>0.67*193</f>
        <v>129.31</v>
      </c>
      <c r="L55" s="380">
        <v>0</v>
      </c>
      <c r="M55" s="381">
        <f>0.34*500</f>
        <v>170</v>
      </c>
      <c r="N55" s="381"/>
      <c r="O55" s="381">
        <f>0.15*500</f>
        <v>75</v>
      </c>
      <c r="P55" s="384"/>
      <c r="Q55" s="384"/>
      <c r="R55" s="384">
        <v>0</v>
      </c>
      <c r="S55" s="384"/>
      <c r="T55" s="386"/>
      <c r="U55" s="384">
        <v>1935</v>
      </c>
      <c r="V55" s="384">
        <v>110.05</v>
      </c>
      <c r="W55" s="384">
        <v>4858</v>
      </c>
      <c r="X55" s="384">
        <v>100</v>
      </c>
      <c r="Y55" s="555">
        <v>1800</v>
      </c>
      <c r="Z55" s="555">
        <v>400</v>
      </c>
      <c r="AB55" s="541"/>
      <c r="AC55" s="540"/>
    </row>
    <row r="56" spans="1:29" x14ac:dyDescent="0.2">
      <c r="A56" s="11">
        <v>43101</v>
      </c>
      <c r="B56" s="384">
        <v>214260.00000000003</v>
      </c>
      <c r="C56" s="384">
        <v>65069.999999999993</v>
      </c>
      <c r="D56" s="384">
        <v>9740</v>
      </c>
      <c r="E56" s="384">
        <v>210</v>
      </c>
      <c r="F56" s="384"/>
      <c r="G56" s="384">
        <v>975</v>
      </c>
      <c r="H56" s="380">
        <v>0</v>
      </c>
      <c r="I56" s="382">
        <v>27975</v>
      </c>
      <c r="J56" s="381" t="s">
        <v>549</v>
      </c>
      <c r="K56" s="381">
        <v>0</v>
      </c>
      <c r="L56" s="380">
        <v>0</v>
      </c>
      <c r="M56" s="381"/>
      <c r="N56" s="381"/>
      <c r="O56" s="381"/>
      <c r="P56" s="384"/>
      <c r="Q56" s="384"/>
      <c r="R56" s="384">
        <v>0</v>
      </c>
      <c r="S56" s="384"/>
      <c r="T56" s="386"/>
      <c r="U56" s="384">
        <v>196</v>
      </c>
      <c r="V56" s="384">
        <v>58.3</v>
      </c>
      <c r="W56" s="384">
        <v>0</v>
      </c>
      <c r="X56" s="384">
        <v>150</v>
      </c>
      <c r="Y56" s="555">
        <v>1600</v>
      </c>
      <c r="Z56" s="555">
        <v>400</v>
      </c>
      <c r="AB56" s="541"/>
      <c r="AC56" s="540"/>
    </row>
    <row r="57" spans="1:29" x14ac:dyDescent="0.2">
      <c r="A57" s="11">
        <v>43132</v>
      </c>
      <c r="B57" s="384">
        <v>202080</v>
      </c>
      <c r="C57" s="384">
        <v>18960</v>
      </c>
      <c r="D57" s="384">
        <v>7530</v>
      </c>
      <c r="E57" s="384">
        <v>150</v>
      </c>
      <c r="F57" s="384"/>
      <c r="G57" s="384">
        <v>140</v>
      </c>
      <c r="H57" s="380">
        <v>0</v>
      </c>
      <c r="I57" s="382">
        <v>21825</v>
      </c>
      <c r="J57" s="381" t="s">
        <v>549</v>
      </c>
      <c r="K57" s="381">
        <v>0</v>
      </c>
      <c r="L57" s="380">
        <v>0</v>
      </c>
      <c r="M57" s="381"/>
      <c r="N57" s="381"/>
      <c r="O57" s="381"/>
      <c r="P57" s="384"/>
      <c r="Q57" s="384">
        <v>1300</v>
      </c>
      <c r="R57" s="384">
        <v>0</v>
      </c>
      <c r="S57" s="384"/>
      <c r="T57" s="386"/>
      <c r="U57" s="384">
        <v>313</v>
      </c>
      <c r="V57" s="384">
        <v>60.3</v>
      </c>
      <c r="W57" s="384">
        <v>2040</v>
      </c>
      <c r="X57" s="384">
        <v>0</v>
      </c>
      <c r="Y57" s="555">
        <v>1200</v>
      </c>
      <c r="Z57" s="555">
        <v>200</v>
      </c>
      <c r="AB57" s="541"/>
      <c r="AC57" s="540"/>
    </row>
    <row r="58" spans="1:29" x14ac:dyDescent="0.2">
      <c r="A58" s="11">
        <v>43160</v>
      </c>
      <c r="B58" s="384">
        <v>195120</v>
      </c>
      <c r="C58" s="384">
        <v>41590</v>
      </c>
      <c r="D58" s="384">
        <v>9500</v>
      </c>
      <c r="E58" s="384">
        <v>170</v>
      </c>
      <c r="F58" s="384">
        <v>330</v>
      </c>
      <c r="G58" s="384">
        <v>450</v>
      </c>
      <c r="H58" s="380">
        <v>0</v>
      </c>
      <c r="I58" s="382">
        <v>25300</v>
      </c>
      <c r="J58" s="381" t="s">
        <v>549</v>
      </c>
      <c r="K58" s="381">
        <f>0.67*260</f>
        <v>174.20000000000002</v>
      </c>
      <c r="L58" s="380">
        <v>7</v>
      </c>
      <c r="M58" s="381"/>
      <c r="N58" s="381"/>
      <c r="O58" s="381"/>
      <c r="P58" s="384"/>
      <c r="Q58" s="384">
        <v>1500</v>
      </c>
      <c r="R58" s="384">
        <v>0</v>
      </c>
      <c r="S58" s="384"/>
      <c r="T58" s="386"/>
      <c r="U58" s="384">
        <v>181</v>
      </c>
      <c r="V58" s="384">
        <v>68.5</v>
      </c>
      <c r="W58" s="384">
        <v>1740</v>
      </c>
      <c r="X58" s="384">
        <v>80</v>
      </c>
      <c r="Y58" s="555">
        <v>1600</v>
      </c>
      <c r="Z58" s="555">
        <v>400</v>
      </c>
      <c r="AB58" s="541"/>
      <c r="AC58" s="540"/>
    </row>
    <row r="59" spans="1:29" x14ac:dyDescent="0.2">
      <c r="A59" s="11">
        <v>43191</v>
      </c>
      <c r="B59" s="384">
        <v>177650</v>
      </c>
      <c r="C59" s="384">
        <v>25270</v>
      </c>
      <c r="D59" s="384">
        <v>9790</v>
      </c>
      <c r="E59" s="384">
        <v>170</v>
      </c>
      <c r="F59" s="384"/>
      <c r="G59" s="384">
        <v>460</v>
      </c>
      <c r="H59" s="380">
        <v>11.510999999999999</v>
      </c>
      <c r="I59" s="382">
        <v>25225</v>
      </c>
      <c r="J59" s="381" t="s">
        <v>549</v>
      </c>
      <c r="K59" s="381">
        <v>0</v>
      </c>
      <c r="L59" s="380">
        <v>0</v>
      </c>
      <c r="M59" s="381"/>
      <c r="N59" s="381">
        <f>0.13*(1000+1600)</f>
        <v>338</v>
      </c>
      <c r="O59" s="381">
        <f>0.15*(1000+400)</f>
        <v>210</v>
      </c>
      <c r="P59" s="384"/>
      <c r="Q59" s="384">
        <v>1300</v>
      </c>
      <c r="R59" s="384">
        <v>0</v>
      </c>
      <c r="S59" s="384">
        <v>3000</v>
      </c>
      <c r="T59" s="386"/>
      <c r="U59" s="384">
        <v>0</v>
      </c>
      <c r="V59" s="384">
        <v>56.4</v>
      </c>
      <c r="W59" s="384">
        <v>1490</v>
      </c>
      <c r="X59" s="384">
        <v>180</v>
      </c>
      <c r="Y59" s="555">
        <v>4600</v>
      </c>
      <c r="Z59" s="555">
        <v>400</v>
      </c>
      <c r="AB59" s="541"/>
      <c r="AC59" s="540"/>
    </row>
    <row r="60" spans="1:29" x14ac:dyDescent="0.2">
      <c r="A60" s="11">
        <v>43221</v>
      </c>
      <c r="B60" s="384">
        <v>172500</v>
      </c>
      <c r="C60" s="384">
        <v>37170</v>
      </c>
      <c r="D60" s="384">
        <v>11580</v>
      </c>
      <c r="E60" s="384">
        <v>170</v>
      </c>
      <c r="F60" s="384"/>
      <c r="G60" s="384">
        <v>670</v>
      </c>
      <c r="H60" s="380">
        <v>0</v>
      </c>
      <c r="I60" s="382">
        <v>37200</v>
      </c>
      <c r="J60" s="381" t="s">
        <v>549</v>
      </c>
      <c r="K60" s="381">
        <v>0</v>
      </c>
      <c r="L60" s="380">
        <v>0</v>
      </c>
      <c r="M60" s="381"/>
      <c r="N60" s="381"/>
      <c r="O60" s="381"/>
      <c r="P60" s="384"/>
      <c r="Q60" s="384">
        <v>3400.0000000000005</v>
      </c>
      <c r="R60" s="384">
        <v>0</v>
      </c>
      <c r="S60" s="384">
        <v>12000</v>
      </c>
      <c r="T60" s="386"/>
      <c r="U60" s="384">
        <v>130</v>
      </c>
      <c r="V60" s="384">
        <v>0</v>
      </c>
      <c r="W60" s="384">
        <v>0</v>
      </c>
      <c r="X60" s="384">
        <v>170</v>
      </c>
      <c r="Y60" s="555">
        <v>2400</v>
      </c>
      <c r="Z60" s="555">
        <v>200</v>
      </c>
      <c r="AB60" s="541"/>
      <c r="AC60" s="540"/>
    </row>
    <row r="61" spans="1:29" x14ac:dyDescent="0.2">
      <c r="A61" s="11">
        <v>43252</v>
      </c>
      <c r="B61" s="384">
        <v>172790</v>
      </c>
      <c r="C61" s="384">
        <v>40100</v>
      </c>
      <c r="D61" s="384">
        <v>10110</v>
      </c>
      <c r="E61" s="384">
        <v>210</v>
      </c>
      <c r="F61" s="384"/>
      <c r="G61" s="384">
        <v>340</v>
      </c>
      <c r="H61" s="380">
        <v>0</v>
      </c>
      <c r="I61" s="382">
        <v>27900</v>
      </c>
      <c r="J61" s="381" t="s">
        <v>549</v>
      </c>
      <c r="K61" s="381">
        <v>0</v>
      </c>
      <c r="L61" s="380">
        <v>0</v>
      </c>
      <c r="M61" s="381"/>
      <c r="N61" s="381"/>
      <c r="O61" s="381"/>
      <c r="P61" s="384"/>
      <c r="Q61" s="384">
        <v>40370</v>
      </c>
      <c r="R61" s="384">
        <v>0</v>
      </c>
      <c r="S61" s="384">
        <v>6000</v>
      </c>
      <c r="T61" s="386"/>
      <c r="U61" s="384">
        <v>4124</v>
      </c>
      <c r="V61" s="384">
        <v>119.65</v>
      </c>
      <c r="W61" s="384">
        <v>3470</v>
      </c>
      <c r="X61" s="384">
        <v>280</v>
      </c>
      <c r="Y61" s="555">
        <v>800</v>
      </c>
      <c r="Z61" s="555">
        <v>400</v>
      </c>
      <c r="AB61" s="614"/>
      <c r="AC61" s="540"/>
    </row>
    <row r="62" spans="1:29" x14ac:dyDescent="0.2">
      <c r="A62" s="11">
        <v>43282</v>
      </c>
      <c r="B62" s="382">
        <v>181220</v>
      </c>
      <c r="C62" s="391">
        <v>34440</v>
      </c>
      <c r="D62" s="382">
        <v>11130</v>
      </c>
      <c r="E62" s="382">
        <v>260</v>
      </c>
      <c r="F62" s="382"/>
      <c r="G62" s="382">
        <v>560</v>
      </c>
      <c r="H62" s="388">
        <v>0</v>
      </c>
      <c r="I62" s="382">
        <v>25675</v>
      </c>
      <c r="J62" s="393" t="s">
        <v>549</v>
      </c>
      <c r="K62" s="389">
        <v>0</v>
      </c>
      <c r="L62" s="388">
        <v>0</v>
      </c>
      <c r="M62" s="389">
        <v>0</v>
      </c>
      <c r="N62" s="389">
        <f>0.13*800</f>
        <v>104</v>
      </c>
      <c r="O62" s="389">
        <f>0.15*200</f>
        <v>30</v>
      </c>
      <c r="P62" s="382"/>
      <c r="Q62" s="382">
        <v>0</v>
      </c>
      <c r="R62" s="382">
        <v>0</v>
      </c>
      <c r="S62" s="382">
        <v>5000</v>
      </c>
      <c r="T62" s="390"/>
      <c r="U62" s="391">
        <v>144</v>
      </c>
      <c r="V62" s="382">
        <v>57.8</v>
      </c>
      <c r="W62" s="382">
        <v>0</v>
      </c>
      <c r="X62" s="382">
        <v>130</v>
      </c>
      <c r="Y62" s="556">
        <v>800</v>
      </c>
      <c r="Z62" s="556">
        <v>400</v>
      </c>
      <c r="AB62" s="541"/>
      <c r="AC62" s="540"/>
    </row>
    <row r="63" spans="1:29" x14ac:dyDescent="0.2">
      <c r="A63" s="11">
        <v>43313</v>
      </c>
      <c r="B63" s="382">
        <v>176530</v>
      </c>
      <c r="C63" s="391">
        <v>29500</v>
      </c>
      <c r="D63" s="382">
        <v>10170</v>
      </c>
      <c r="E63" s="382">
        <v>310</v>
      </c>
      <c r="F63" s="382"/>
      <c r="G63" s="382">
        <v>540</v>
      </c>
      <c r="H63" s="388">
        <v>0</v>
      </c>
      <c r="I63" s="382">
        <v>16633.900000000001</v>
      </c>
      <c r="J63" s="393" t="s">
        <v>549</v>
      </c>
      <c r="K63" s="389">
        <v>0</v>
      </c>
      <c r="L63" s="388">
        <v>0</v>
      </c>
      <c r="M63" s="389">
        <v>0</v>
      </c>
      <c r="N63" s="389">
        <v>0</v>
      </c>
      <c r="O63" s="389">
        <v>0</v>
      </c>
      <c r="P63" s="382">
        <f>17*27+3*35+4*4.5</f>
        <v>582</v>
      </c>
      <c r="Q63" s="382">
        <v>7200</v>
      </c>
      <c r="R63" s="382">
        <v>0</v>
      </c>
      <c r="S63" s="382">
        <v>3500</v>
      </c>
      <c r="T63" s="390"/>
      <c r="U63" s="391">
        <v>66</v>
      </c>
      <c r="V63" s="382">
        <v>29.5</v>
      </c>
      <c r="W63" s="382">
        <v>2620</v>
      </c>
      <c r="X63" s="382">
        <v>0</v>
      </c>
      <c r="Y63" s="556">
        <v>800</v>
      </c>
      <c r="Z63" s="556">
        <v>400</v>
      </c>
      <c r="AB63" s="541"/>
      <c r="AC63" s="540"/>
    </row>
    <row r="64" spans="1:29" x14ac:dyDescent="0.2">
      <c r="A64" s="11">
        <v>43344</v>
      </c>
      <c r="B64" s="382">
        <v>173070</v>
      </c>
      <c r="C64" s="391">
        <v>23680</v>
      </c>
      <c r="D64" s="382">
        <v>9110</v>
      </c>
      <c r="E64" s="382">
        <v>270</v>
      </c>
      <c r="F64" s="382"/>
      <c r="G64" s="382">
        <v>660</v>
      </c>
      <c r="H64" s="388">
        <v>0.186</v>
      </c>
      <c r="I64" s="382">
        <v>18194.05</v>
      </c>
      <c r="J64" s="393" t="s">
        <v>549</v>
      </c>
      <c r="K64" s="389">
        <f>0.67*238</f>
        <v>159.46</v>
      </c>
      <c r="L64" s="388">
        <v>14</v>
      </c>
      <c r="M64" s="389">
        <v>0</v>
      </c>
      <c r="N64" s="389">
        <v>0</v>
      </c>
      <c r="O64" s="389">
        <v>0</v>
      </c>
      <c r="P64" s="382"/>
      <c r="Q64" s="382">
        <v>3800</v>
      </c>
      <c r="R64" s="382">
        <v>7680</v>
      </c>
      <c r="S64" s="382">
        <v>45500</v>
      </c>
      <c r="T64" s="390"/>
      <c r="U64" s="391">
        <v>589</v>
      </c>
      <c r="V64" s="382">
        <v>0</v>
      </c>
      <c r="W64" s="382">
        <v>845</v>
      </c>
      <c r="X64" s="382">
        <v>260</v>
      </c>
      <c r="Y64" s="556">
        <v>800</v>
      </c>
      <c r="Z64" s="556">
        <v>400</v>
      </c>
      <c r="AB64" s="541"/>
      <c r="AC64" s="540"/>
    </row>
    <row r="65" spans="1:31" x14ac:dyDescent="0.2">
      <c r="A65" s="11">
        <v>43374</v>
      </c>
      <c r="B65" s="382">
        <v>177500</v>
      </c>
      <c r="C65" s="391">
        <v>28200</v>
      </c>
      <c r="D65" s="382">
        <v>7540</v>
      </c>
      <c r="E65" s="382">
        <v>190</v>
      </c>
      <c r="F65" s="382"/>
      <c r="G65" s="382">
        <v>1170</v>
      </c>
      <c r="H65" s="388">
        <v>0</v>
      </c>
      <c r="I65" s="382">
        <v>26058</v>
      </c>
      <c r="J65" s="393" t="s">
        <v>549</v>
      </c>
      <c r="K65" s="389">
        <v>0</v>
      </c>
      <c r="L65" s="388">
        <v>0</v>
      </c>
      <c r="M65" s="389"/>
      <c r="N65" s="389"/>
      <c r="O65" s="389"/>
      <c r="P65" s="382">
        <f>12*27+1*7.5+2*4.5</f>
        <v>340.5</v>
      </c>
      <c r="Q65" s="382">
        <v>2700</v>
      </c>
      <c r="R65" s="382">
        <v>7680</v>
      </c>
      <c r="S65" s="382">
        <v>0</v>
      </c>
      <c r="T65" s="390"/>
      <c r="U65" s="391">
        <v>225</v>
      </c>
      <c r="V65" s="382">
        <v>223.45</v>
      </c>
      <c r="W65" s="382">
        <v>1663</v>
      </c>
      <c r="X65" s="382">
        <v>30</v>
      </c>
      <c r="Y65" s="556">
        <v>2400</v>
      </c>
      <c r="Z65" s="556">
        <v>600</v>
      </c>
      <c r="AB65" s="541"/>
      <c r="AC65" s="540"/>
    </row>
    <row r="66" spans="1:31" x14ac:dyDescent="0.2">
      <c r="A66" s="11">
        <v>43405</v>
      </c>
      <c r="B66" s="382">
        <v>208090</v>
      </c>
      <c r="C66" s="391">
        <v>25670</v>
      </c>
      <c r="D66" s="391">
        <v>7720</v>
      </c>
      <c r="E66" s="391">
        <v>170</v>
      </c>
      <c r="F66" s="391"/>
      <c r="G66" s="391">
        <v>820</v>
      </c>
      <c r="H66" s="392">
        <v>0.44900000000000001</v>
      </c>
      <c r="I66" s="382">
        <v>28892.5</v>
      </c>
      <c r="J66" s="393" t="s">
        <v>549</v>
      </c>
      <c r="K66" s="393">
        <v>0</v>
      </c>
      <c r="L66" s="392">
        <v>0</v>
      </c>
      <c r="M66" s="389"/>
      <c r="N66" s="389">
        <f>0.13*2000</f>
        <v>260</v>
      </c>
      <c r="O66" s="389"/>
      <c r="P66" s="382">
        <f>32*27+9*35</f>
        <v>1179</v>
      </c>
      <c r="Q66" s="382">
        <v>3700</v>
      </c>
      <c r="R66" s="382">
        <v>7680</v>
      </c>
      <c r="S66" s="382">
        <v>21000</v>
      </c>
      <c r="T66" s="390"/>
      <c r="U66" s="391">
        <v>366</v>
      </c>
      <c r="V66" s="391">
        <v>159.65</v>
      </c>
      <c r="W66" s="391">
        <v>812</v>
      </c>
      <c r="X66" s="391">
        <v>0</v>
      </c>
      <c r="Y66" s="557">
        <v>1800</v>
      </c>
      <c r="Z66" s="557">
        <v>200</v>
      </c>
      <c r="AB66" s="541"/>
      <c r="AC66" s="540"/>
    </row>
    <row r="67" spans="1:31" x14ac:dyDescent="0.2">
      <c r="A67" s="11">
        <v>43435</v>
      </c>
      <c r="B67" s="382">
        <v>202560</v>
      </c>
      <c r="C67" s="391">
        <v>31590</v>
      </c>
      <c r="D67" s="391">
        <v>7080</v>
      </c>
      <c r="E67" s="391">
        <v>120</v>
      </c>
      <c r="F67" s="391"/>
      <c r="G67" s="391">
        <v>830</v>
      </c>
      <c r="H67" s="392">
        <v>0.186</v>
      </c>
      <c r="I67" s="382">
        <v>24534.5</v>
      </c>
      <c r="J67" s="393" t="s">
        <v>549</v>
      </c>
      <c r="K67" s="393">
        <f>0.67*370</f>
        <v>247.9</v>
      </c>
      <c r="L67" s="392">
        <v>20</v>
      </c>
      <c r="M67" s="389"/>
      <c r="N67" s="389"/>
      <c r="O67" s="389"/>
      <c r="P67" s="382"/>
      <c r="Q67" s="382">
        <v>32700.000000000004</v>
      </c>
      <c r="R67" s="382">
        <v>7680</v>
      </c>
      <c r="S67" s="382">
        <v>28000</v>
      </c>
      <c r="T67" s="390"/>
      <c r="U67" s="391">
        <v>739</v>
      </c>
      <c r="V67" s="391">
        <v>78</v>
      </c>
      <c r="W67" s="391">
        <v>2191</v>
      </c>
      <c r="X67" s="391">
        <v>100</v>
      </c>
      <c r="Y67" s="557">
        <v>1800</v>
      </c>
      <c r="Z67" s="557">
        <v>400</v>
      </c>
      <c r="AB67" s="541"/>
      <c r="AC67" s="540"/>
    </row>
    <row r="68" spans="1:31" x14ac:dyDescent="0.2">
      <c r="A68" s="11">
        <v>43466</v>
      </c>
      <c r="B68" s="382">
        <v>145940.2628</v>
      </c>
      <c r="C68" s="391">
        <v>23670</v>
      </c>
      <c r="D68" s="391">
        <v>9880</v>
      </c>
      <c r="E68" s="391">
        <v>170</v>
      </c>
      <c r="F68" s="391"/>
      <c r="G68" s="391">
        <v>610</v>
      </c>
      <c r="H68" s="392">
        <v>0</v>
      </c>
      <c r="I68" s="382">
        <v>21757.5</v>
      </c>
      <c r="J68" s="393" t="s">
        <v>549</v>
      </c>
      <c r="K68" s="393">
        <v>0</v>
      </c>
      <c r="L68" s="392">
        <v>0</v>
      </c>
      <c r="M68" s="389"/>
      <c r="N68" s="389"/>
      <c r="O68" s="389"/>
      <c r="P68" s="382">
        <f>17*27+6*7.5+19*4.5+7*35+2*4.5+1*6.5</f>
        <v>850</v>
      </c>
      <c r="Q68" s="382">
        <v>7800</v>
      </c>
      <c r="R68" s="382">
        <f>160*48</f>
        <v>7680</v>
      </c>
      <c r="S68" s="382">
        <v>38500</v>
      </c>
      <c r="T68" s="390"/>
      <c r="U68" s="391">
        <v>0</v>
      </c>
      <c r="V68" s="391">
        <v>79.5</v>
      </c>
      <c r="W68" s="391">
        <v>1388</v>
      </c>
      <c r="X68" s="391">
        <v>180</v>
      </c>
      <c r="Y68" s="557">
        <v>2800</v>
      </c>
      <c r="Z68" s="557">
        <v>400</v>
      </c>
      <c r="AB68" s="541"/>
      <c r="AC68" s="540"/>
    </row>
    <row r="69" spans="1:31" x14ac:dyDescent="0.2">
      <c r="A69" s="11">
        <v>43497</v>
      </c>
      <c r="B69" s="382">
        <v>138993.92240000001</v>
      </c>
      <c r="C69" s="391">
        <v>20250</v>
      </c>
      <c r="D69" s="391">
        <v>7000</v>
      </c>
      <c r="E69" s="391">
        <v>160</v>
      </c>
      <c r="F69" s="391"/>
      <c r="G69" s="391">
        <v>390</v>
      </c>
      <c r="H69" s="392">
        <v>3.9449999999999998</v>
      </c>
      <c r="I69" s="382">
        <v>24584.5</v>
      </c>
      <c r="J69" s="393" t="s">
        <v>549</v>
      </c>
      <c r="K69" s="393">
        <f>0.67*125</f>
        <v>83.75</v>
      </c>
      <c r="L69" s="388">
        <v>3</v>
      </c>
      <c r="M69" s="389"/>
      <c r="N69" s="389"/>
      <c r="O69" s="389"/>
      <c r="P69" s="382"/>
      <c r="Q69" s="382">
        <v>1900</v>
      </c>
      <c r="R69" s="382">
        <f>160*48</f>
        <v>7680</v>
      </c>
      <c r="S69" s="382">
        <v>0</v>
      </c>
      <c r="T69" s="390"/>
      <c r="U69" s="391">
        <v>233</v>
      </c>
      <c r="V69" s="391">
        <v>61.5</v>
      </c>
      <c r="W69" s="391">
        <v>1172</v>
      </c>
      <c r="X69" s="391">
        <v>0</v>
      </c>
      <c r="Y69" s="557">
        <v>1400</v>
      </c>
      <c r="Z69" s="557">
        <v>400</v>
      </c>
      <c r="AB69" s="541"/>
      <c r="AC69" s="540"/>
    </row>
    <row r="70" spans="1:31" x14ac:dyDescent="0.2">
      <c r="A70" s="11">
        <v>43525</v>
      </c>
      <c r="B70" s="382">
        <v>162063.14259999999</v>
      </c>
      <c r="C70" s="391">
        <v>14620</v>
      </c>
      <c r="D70" s="391">
        <v>9520</v>
      </c>
      <c r="E70" s="391">
        <v>180</v>
      </c>
      <c r="F70" s="391"/>
      <c r="G70" s="391">
        <v>950</v>
      </c>
      <c r="H70" s="392">
        <v>0</v>
      </c>
      <c r="I70" s="382">
        <v>30930.5</v>
      </c>
      <c r="J70" s="393" t="s">
        <v>549</v>
      </c>
      <c r="K70" s="393">
        <f>0.67*90</f>
        <v>60.300000000000004</v>
      </c>
      <c r="L70" s="392">
        <v>0</v>
      </c>
      <c r="M70" s="389"/>
      <c r="N70" s="389"/>
      <c r="O70" s="389"/>
      <c r="P70" s="382"/>
      <c r="Q70" s="382">
        <v>2500</v>
      </c>
      <c r="R70" s="382"/>
      <c r="S70" s="382">
        <v>3500</v>
      </c>
      <c r="T70" s="390"/>
      <c r="U70" s="391">
        <v>224</v>
      </c>
      <c r="V70" s="391">
        <v>70.2</v>
      </c>
      <c r="W70" s="391">
        <v>1793</v>
      </c>
      <c r="X70" s="391">
        <v>120</v>
      </c>
      <c r="Y70" s="557">
        <v>800</v>
      </c>
      <c r="Z70" s="557">
        <v>200</v>
      </c>
      <c r="AA70" s="541"/>
      <c r="AB70" s="541"/>
      <c r="AC70" s="540"/>
      <c r="AD70" s="540"/>
      <c r="AE70" s="540"/>
    </row>
    <row r="71" spans="1:31" x14ac:dyDescent="0.2">
      <c r="A71" s="11">
        <v>43556</v>
      </c>
      <c r="B71" s="382">
        <v>134497.64449999999</v>
      </c>
      <c r="C71" s="391">
        <v>13820</v>
      </c>
      <c r="D71" s="391">
        <v>8220</v>
      </c>
      <c r="E71" s="391">
        <v>160</v>
      </c>
      <c r="F71" s="391"/>
      <c r="G71" s="391">
        <v>920</v>
      </c>
      <c r="H71" s="392">
        <v>1.47</v>
      </c>
      <c r="I71" s="382">
        <v>32534.5</v>
      </c>
      <c r="J71" s="393" t="s">
        <v>549</v>
      </c>
      <c r="K71" s="393">
        <f>0.67*137</f>
        <v>91.79</v>
      </c>
      <c r="L71" s="392">
        <v>18</v>
      </c>
      <c r="M71" s="389"/>
      <c r="N71" s="389"/>
      <c r="O71" s="389"/>
      <c r="P71" s="382"/>
      <c r="Q71" s="382">
        <v>7800</v>
      </c>
      <c r="R71" s="382"/>
      <c r="S71" s="382">
        <v>0</v>
      </c>
      <c r="T71" s="390"/>
      <c r="U71" s="391">
        <v>485</v>
      </c>
      <c r="V71" s="391">
        <v>0</v>
      </c>
      <c r="W71" s="391">
        <v>1845</v>
      </c>
      <c r="X71" s="391">
        <v>100</v>
      </c>
      <c r="Y71" s="557">
        <v>2200</v>
      </c>
      <c r="Z71" s="557">
        <v>400</v>
      </c>
      <c r="AA71" s="541"/>
      <c r="AB71" s="541"/>
      <c r="AC71" s="540"/>
      <c r="AD71" s="540"/>
      <c r="AE71" s="540"/>
    </row>
    <row r="72" spans="1:31" x14ac:dyDescent="0.2">
      <c r="A72" s="11">
        <v>43586</v>
      </c>
      <c r="B72" s="382">
        <v>155093.37599999999</v>
      </c>
      <c r="C72" s="391">
        <v>28910</v>
      </c>
      <c r="D72" s="391">
        <v>6735</v>
      </c>
      <c r="E72" s="391">
        <v>140</v>
      </c>
      <c r="F72" s="391"/>
      <c r="G72" s="391">
        <v>1080</v>
      </c>
      <c r="H72" s="392">
        <v>1.841</v>
      </c>
      <c r="I72" s="382">
        <v>31664</v>
      </c>
      <c r="J72" s="393" t="s">
        <v>549</v>
      </c>
      <c r="K72" s="393">
        <v>0</v>
      </c>
      <c r="L72" s="392">
        <v>0</v>
      </c>
      <c r="M72" s="389"/>
      <c r="N72" s="389"/>
      <c r="O72" s="389"/>
      <c r="P72" s="382">
        <f>27*27+9*4.5+21*35</f>
        <v>1504.5</v>
      </c>
      <c r="Q72" s="382">
        <v>10400</v>
      </c>
      <c r="R72" s="382"/>
      <c r="S72" s="382">
        <v>0</v>
      </c>
      <c r="T72" s="390"/>
      <c r="U72" s="391">
        <v>11581</v>
      </c>
      <c r="V72" s="391">
        <v>62.35</v>
      </c>
      <c r="W72" s="391">
        <v>1356</v>
      </c>
      <c r="X72" s="391">
        <v>130</v>
      </c>
      <c r="Y72" s="557">
        <v>800</v>
      </c>
      <c r="Z72" s="557">
        <v>200</v>
      </c>
      <c r="AA72" s="541"/>
      <c r="AB72" s="541"/>
      <c r="AC72" s="540"/>
      <c r="AD72" s="540"/>
      <c r="AE72" s="540"/>
    </row>
    <row r="73" spans="1:31" x14ac:dyDescent="0.2">
      <c r="A73" s="11">
        <v>43617</v>
      </c>
      <c r="B73" s="382">
        <v>155588.34469999999</v>
      </c>
      <c r="C73" s="391">
        <v>37750</v>
      </c>
      <c r="D73" s="391">
        <v>7100</v>
      </c>
      <c r="E73" s="391">
        <v>170</v>
      </c>
      <c r="F73" s="391"/>
      <c r="G73" s="391">
        <v>870</v>
      </c>
      <c r="H73" s="392">
        <v>0</v>
      </c>
      <c r="I73" s="382">
        <v>23162.5</v>
      </c>
      <c r="J73" s="393" t="s">
        <v>549</v>
      </c>
      <c r="K73" s="393">
        <v>0</v>
      </c>
      <c r="L73" s="392">
        <v>0</v>
      </c>
      <c r="M73" s="389"/>
      <c r="N73" s="389"/>
      <c r="O73" s="389"/>
      <c r="P73" s="382"/>
      <c r="Q73" s="382">
        <v>11000</v>
      </c>
      <c r="R73" s="382"/>
      <c r="S73" s="382">
        <v>0</v>
      </c>
      <c r="T73" s="390"/>
      <c r="U73" s="391">
        <v>575</v>
      </c>
      <c r="V73" s="391">
        <v>63.8</v>
      </c>
      <c r="W73" s="391">
        <v>2613</v>
      </c>
      <c r="X73" s="391">
        <v>150</v>
      </c>
      <c r="Y73" s="557">
        <v>800</v>
      </c>
      <c r="Z73" s="557">
        <v>200</v>
      </c>
      <c r="AA73" s="541"/>
      <c r="AB73" s="614"/>
      <c r="AC73" s="540"/>
      <c r="AD73" s="540"/>
      <c r="AE73" s="540"/>
    </row>
    <row r="74" spans="1:31" x14ac:dyDescent="0.2">
      <c r="A74" s="11">
        <v>43647</v>
      </c>
      <c r="B74" s="384">
        <v>141019.99999999997</v>
      </c>
      <c r="C74" s="384">
        <v>39000</v>
      </c>
      <c r="D74" s="384">
        <f>5696+6456</f>
        <v>12152</v>
      </c>
      <c r="E74" s="384">
        <v>100</v>
      </c>
      <c r="F74" s="384">
        <v>423</v>
      </c>
      <c r="G74" s="384">
        <v>390</v>
      </c>
      <c r="H74" s="380">
        <v>20.067</v>
      </c>
      <c r="I74" s="382">
        <v>19566</v>
      </c>
      <c r="J74" s="381" t="s">
        <v>549</v>
      </c>
      <c r="K74" s="381">
        <f>0.67*112</f>
        <v>75.040000000000006</v>
      </c>
      <c r="L74" s="380">
        <v>0</v>
      </c>
      <c r="M74" s="381"/>
      <c r="N74" s="381"/>
      <c r="O74" s="381"/>
      <c r="P74" s="384"/>
      <c r="Q74" s="384">
        <v>19200</v>
      </c>
      <c r="R74" s="384"/>
      <c r="S74" s="384">
        <v>0</v>
      </c>
      <c r="T74" s="386"/>
      <c r="U74" s="384">
        <v>3106</v>
      </c>
      <c r="V74" s="384"/>
      <c r="W74" s="384">
        <v>1388</v>
      </c>
      <c r="X74" s="384">
        <v>110</v>
      </c>
      <c r="Y74" s="555">
        <v>800</v>
      </c>
      <c r="Z74" s="555">
        <v>400</v>
      </c>
      <c r="AA74" s="541"/>
      <c r="AB74" s="541"/>
      <c r="AC74" s="540"/>
      <c r="AD74" s="540"/>
      <c r="AE74" s="540"/>
    </row>
    <row r="75" spans="1:31" x14ac:dyDescent="0.2">
      <c r="A75" s="11">
        <v>43678</v>
      </c>
      <c r="B75" s="384">
        <v>150570</v>
      </c>
      <c r="C75" s="384">
        <v>51750</v>
      </c>
      <c r="D75" s="384">
        <v>5646</v>
      </c>
      <c r="E75" s="384">
        <v>51</v>
      </c>
      <c r="F75" s="384">
        <v>267</v>
      </c>
      <c r="G75" s="384">
        <v>302</v>
      </c>
      <c r="H75" s="380">
        <v>0</v>
      </c>
      <c r="I75" s="382">
        <v>24598</v>
      </c>
      <c r="J75" s="381" t="s">
        <v>549</v>
      </c>
      <c r="K75" s="381">
        <v>0</v>
      </c>
      <c r="L75" s="380">
        <v>0</v>
      </c>
      <c r="M75" s="381"/>
      <c r="N75" s="381"/>
      <c r="O75" s="381"/>
      <c r="P75" s="384"/>
      <c r="Q75" s="384">
        <v>25600</v>
      </c>
      <c r="R75" s="384"/>
      <c r="S75" s="384">
        <v>0</v>
      </c>
      <c r="T75" s="386"/>
      <c r="U75" s="384">
        <v>4099.2000000000007</v>
      </c>
      <c r="V75" s="384">
        <v>67.099999999999994</v>
      </c>
      <c r="W75" s="384">
        <v>2411</v>
      </c>
      <c r="X75" s="384">
        <v>70</v>
      </c>
      <c r="Y75" s="555">
        <v>600</v>
      </c>
      <c r="Z75" s="555">
        <v>400</v>
      </c>
      <c r="AA75" s="541"/>
      <c r="AB75" s="541"/>
      <c r="AC75" s="540"/>
      <c r="AD75" s="540"/>
      <c r="AE75" s="540"/>
    </row>
    <row r="76" spans="1:31" x14ac:dyDescent="0.2">
      <c r="A76" s="11">
        <v>43709</v>
      </c>
      <c r="B76" s="384">
        <v>138430</v>
      </c>
      <c r="C76" s="384">
        <v>62990</v>
      </c>
      <c r="D76" s="384">
        <f>6755+4050</f>
        <v>10805</v>
      </c>
      <c r="E76" s="384">
        <v>83</v>
      </c>
      <c r="F76" s="384">
        <v>169</v>
      </c>
      <c r="G76" s="384">
        <v>380</v>
      </c>
      <c r="H76" s="380">
        <v>0.78900000000000003</v>
      </c>
      <c r="I76" s="382">
        <v>34879.5</v>
      </c>
      <c r="J76" s="381" t="s">
        <v>549</v>
      </c>
      <c r="K76" s="381">
        <f>0.67*105</f>
        <v>70.350000000000009</v>
      </c>
      <c r="L76" s="380">
        <v>20</v>
      </c>
      <c r="M76" s="381"/>
      <c r="N76" s="381"/>
      <c r="O76" s="381"/>
      <c r="P76" s="384">
        <f>31*27+2*7.5</f>
        <v>852</v>
      </c>
      <c r="Q76" s="384">
        <v>24100</v>
      </c>
      <c r="R76" s="384">
        <f>10560</f>
        <v>10560</v>
      </c>
      <c r="S76" s="384">
        <v>17500</v>
      </c>
      <c r="T76" s="386"/>
      <c r="U76" s="384">
        <v>7886.3999999999987</v>
      </c>
      <c r="V76" s="384">
        <v>157.25</v>
      </c>
      <c r="W76" s="384">
        <v>2352</v>
      </c>
      <c r="X76" s="384">
        <v>40</v>
      </c>
      <c r="Y76" s="555">
        <v>800</v>
      </c>
      <c r="Z76" s="555">
        <v>600</v>
      </c>
      <c r="AA76" s="541"/>
      <c r="AB76" s="541"/>
      <c r="AC76" s="540"/>
      <c r="AD76" s="540"/>
      <c r="AE76" s="540"/>
    </row>
    <row r="77" spans="1:31" x14ac:dyDescent="0.2">
      <c r="A77" s="11">
        <v>43739</v>
      </c>
      <c r="B77" s="384">
        <v>133570</v>
      </c>
      <c r="C77" s="384">
        <v>59480</v>
      </c>
      <c r="D77" s="384">
        <v>14330</v>
      </c>
      <c r="E77" s="384">
        <v>107</v>
      </c>
      <c r="F77" s="384">
        <v>179</v>
      </c>
      <c r="G77" s="384">
        <v>462</v>
      </c>
      <c r="H77" s="380">
        <v>15.38</v>
      </c>
      <c r="I77" s="382">
        <v>37724</v>
      </c>
      <c r="J77" s="381" t="s">
        <v>549</v>
      </c>
      <c r="K77" s="381">
        <f>0.67*120</f>
        <v>80.400000000000006</v>
      </c>
      <c r="L77" s="380">
        <v>9</v>
      </c>
      <c r="M77" s="381">
        <v>0</v>
      </c>
      <c r="N77" s="381">
        <v>0</v>
      </c>
      <c r="O77" s="381">
        <v>0</v>
      </c>
      <c r="P77" s="384">
        <v>0</v>
      </c>
      <c r="Q77" s="384">
        <v>14400</v>
      </c>
      <c r="R77" s="384">
        <v>10560</v>
      </c>
      <c r="S77" s="384">
        <v>10500</v>
      </c>
      <c r="T77" s="386"/>
      <c r="U77" s="384">
        <v>622</v>
      </c>
      <c r="V77" s="384">
        <v>81</v>
      </c>
      <c r="W77" s="384">
        <v>2259</v>
      </c>
      <c r="X77" s="384">
        <v>40</v>
      </c>
      <c r="Y77" s="555">
        <v>400</v>
      </c>
      <c r="Z77" s="555">
        <v>400</v>
      </c>
      <c r="AA77" s="541"/>
      <c r="AB77" s="541"/>
      <c r="AC77" s="540"/>
      <c r="AD77" s="540"/>
      <c r="AE77" s="540"/>
    </row>
    <row r="78" spans="1:31" x14ac:dyDescent="0.2">
      <c r="A78" s="11">
        <v>43770</v>
      </c>
      <c r="B78" s="384">
        <v>106670</v>
      </c>
      <c r="C78" s="384">
        <v>49040</v>
      </c>
      <c r="D78" s="384">
        <v>12030</v>
      </c>
      <c r="E78" s="384">
        <v>107</v>
      </c>
      <c r="F78" s="384">
        <v>220</v>
      </c>
      <c r="G78" s="384">
        <v>401</v>
      </c>
      <c r="H78" s="380">
        <v>3.4</v>
      </c>
      <c r="I78" s="382">
        <v>27265.5</v>
      </c>
      <c r="J78" s="381" t="s">
        <v>549</v>
      </c>
      <c r="K78" s="381">
        <f>0.67*95</f>
        <v>63.650000000000006</v>
      </c>
      <c r="L78" s="380">
        <v>6</v>
      </c>
      <c r="M78" s="381"/>
      <c r="N78" s="381"/>
      <c r="O78" s="381"/>
      <c r="P78" s="384"/>
      <c r="Q78" s="384">
        <v>10500</v>
      </c>
      <c r="R78" s="384">
        <v>10240</v>
      </c>
      <c r="S78" s="384">
        <v>14000</v>
      </c>
      <c r="T78" s="386"/>
      <c r="U78" s="384">
        <v>2214</v>
      </c>
      <c r="V78" s="384">
        <v>391.95</v>
      </c>
      <c r="W78" s="384">
        <v>542</v>
      </c>
      <c r="X78" s="384">
        <v>30</v>
      </c>
      <c r="Y78" s="555">
        <v>800</v>
      </c>
      <c r="Z78" s="555">
        <v>400</v>
      </c>
      <c r="AA78" s="541"/>
      <c r="AB78" s="541"/>
      <c r="AC78" s="540"/>
      <c r="AD78" s="540"/>
      <c r="AE78" s="540"/>
    </row>
    <row r="79" spans="1:31" x14ac:dyDescent="0.2">
      <c r="A79" s="11">
        <v>43800</v>
      </c>
      <c r="B79" s="384">
        <v>114530</v>
      </c>
      <c r="C79" s="384">
        <v>56380</v>
      </c>
      <c r="D79" s="384">
        <v>13715</v>
      </c>
      <c r="E79" s="384">
        <v>94</v>
      </c>
      <c r="F79" s="384">
        <v>197</v>
      </c>
      <c r="G79" s="384">
        <v>340</v>
      </c>
      <c r="H79" s="380">
        <v>5.57</v>
      </c>
      <c r="I79" s="382">
        <v>28071.5</v>
      </c>
      <c r="J79" s="381" t="s">
        <v>549</v>
      </c>
      <c r="K79" s="381">
        <f>0.67*74</f>
        <v>49.580000000000005</v>
      </c>
      <c r="L79" s="380">
        <v>11</v>
      </c>
      <c r="M79" s="381"/>
      <c r="N79" s="381"/>
      <c r="O79" s="381"/>
      <c r="P79" s="384">
        <f>36*27+1*4.5+22*35</f>
        <v>1746.5</v>
      </c>
      <c r="Q79" s="384">
        <v>10100</v>
      </c>
      <c r="R79" s="384">
        <v>10240</v>
      </c>
      <c r="S79" s="384">
        <v>24500</v>
      </c>
      <c r="T79" s="386"/>
      <c r="U79" s="384">
        <v>909</v>
      </c>
      <c r="V79" s="384">
        <v>72.349999999999994</v>
      </c>
      <c r="W79" s="384">
        <v>874</v>
      </c>
      <c r="X79" s="384">
        <v>50</v>
      </c>
      <c r="Y79" s="555">
        <v>800</v>
      </c>
      <c r="Z79" s="555">
        <v>400</v>
      </c>
      <c r="AA79" s="541"/>
      <c r="AB79" s="541"/>
      <c r="AC79" s="540"/>
      <c r="AD79" s="540"/>
      <c r="AE79" s="540"/>
    </row>
    <row r="80" spans="1:31" x14ac:dyDescent="0.2">
      <c r="A80" s="11">
        <v>43831</v>
      </c>
      <c r="B80" s="384">
        <v>86780</v>
      </c>
      <c r="C80" s="384">
        <v>27790</v>
      </c>
      <c r="D80" s="384">
        <v>12753</v>
      </c>
      <c r="E80" s="384">
        <v>80</v>
      </c>
      <c r="F80" s="384">
        <v>214</v>
      </c>
      <c r="G80" s="384">
        <v>280</v>
      </c>
      <c r="H80" s="380">
        <v>0</v>
      </c>
      <c r="I80" s="382">
        <v>23781.5</v>
      </c>
      <c r="J80" s="381" t="s">
        <v>549</v>
      </c>
      <c r="K80" s="381">
        <v>0</v>
      </c>
      <c r="L80" s="380">
        <v>0</v>
      </c>
      <c r="M80" s="381"/>
      <c r="N80" s="381"/>
      <c r="O80" s="381"/>
      <c r="P80" s="384">
        <v>0</v>
      </c>
      <c r="Q80" s="384">
        <v>11200</v>
      </c>
      <c r="R80" s="384">
        <v>5120</v>
      </c>
      <c r="S80" s="384">
        <v>21000</v>
      </c>
      <c r="T80" s="386"/>
      <c r="U80" s="384">
        <v>1011</v>
      </c>
      <c r="V80" s="384">
        <v>76.849999999999994</v>
      </c>
      <c r="W80" s="384">
        <v>0</v>
      </c>
      <c r="X80" s="384">
        <v>80</v>
      </c>
      <c r="Y80" s="555">
        <v>800</v>
      </c>
      <c r="Z80" s="555">
        <v>400</v>
      </c>
      <c r="AA80" s="541"/>
      <c r="AB80" s="541"/>
      <c r="AC80" s="540"/>
      <c r="AD80" s="540"/>
      <c r="AE80" s="540"/>
    </row>
    <row r="81" spans="1:31" x14ac:dyDescent="0.2">
      <c r="A81" s="11">
        <v>43862</v>
      </c>
      <c r="B81" s="384">
        <v>68320</v>
      </c>
      <c r="C81" s="384">
        <v>16600</v>
      </c>
      <c r="D81" s="384">
        <v>7410</v>
      </c>
      <c r="E81" s="384">
        <v>56</v>
      </c>
      <c r="F81" s="384">
        <v>164</v>
      </c>
      <c r="G81" s="384">
        <v>250</v>
      </c>
      <c r="H81" s="380">
        <v>0</v>
      </c>
      <c r="I81" s="382">
        <v>11633.5</v>
      </c>
      <c r="J81" s="381" t="s">
        <v>549</v>
      </c>
      <c r="K81" s="381">
        <v>0</v>
      </c>
      <c r="L81" s="380">
        <v>0</v>
      </c>
      <c r="M81" s="381"/>
      <c r="N81" s="381"/>
      <c r="O81" s="381"/>
      <c r="P81" s="384">
        <v>0</v>
      </c>
      <c r="Q81" s="384">
        <v>7900</v>
      </c>
      <c r="R81" s="384">
        <v>6400</v>
      </c>
      <c r="S81" s="384">
        <v>21000</v>
      </c>
      <c r="T81" s="386"/>
      <c r="U81" s="384">
        <v>0</v>
      </c>
      <c r="V81" s="384">
        <v>71.900000000000006</v>
      </c>
      <c r="W81" s="384">
        <v>0</v>
      </c>
      <c r="X81" s="384">
        <v>0</v>
      </c>
      <c r="Y81" s="555">
        <v>400</v>
      </c>
      <c r="Z81" s="555">
        <v>200</v>
      </c>
      <c r="AA81" s="541"/>
      <c r="AB81" s="541"/>
      <c r="AC81" s="540"/>
      <c r="AD81" s="540"/>
      <c r="AE81" s="540"/>
    </row>
    <row r="82" spans="1:31" x14ac:dyDescent="0.2">
      <c r="A82" s="11">
        <v>43891</v>
      </c>
      <c r="B82" s="384">
        <v>74000</v>
      </c>
      <c r="C82" s="384">
        <v>24090</v>
      </c>
      <c r="D82" s="384">
        <v>10071</v>
      </c>
      <c r="E82" s="384">
        <v>77</v>
      </c>
      <c r="F82" s="384">
        <v>211</v>
      </c>
      <c r="G82" s="384">
        <v>356</v>
      </c>
      <c r="H82" s="380">
        <v>0</v>
      </c>
      <c r="I82" s="382">
        <v>13782.5</v>
      </c>
      <c r="J82" s="381" t="s">
        <v>549</v>
      </c>
      <c r="K82" s="381">
        <v>0</v>
      </c>
      <c r="L82" s="380">
        <v>0</v>
      </c>
      <c r="M82" s="381"/>
      <c r="N82" s="381"/>
      <c r="O82" s="381"/>
      <c r="P82" s="384">
        <v>0</v>
      </c>
      <c r="Q82" s="384">
        <v>10000</v>
      </c>
      <c r="R82" s="384">
        <v>4800</v>
      </c>
      <c r="S82" s="384">
        <v>21000</v>
      </c>
      <c r="T82" s="386"/>
      <c r="U82" s="384">
        <v>190</v>
      </c>
      <c r="V82" s="384">
        <v>82.1</v>
      </c>
      <c r="W82" s="384">
        <v>1020</v>
      </c>
      <c r="X82" s="384">
        <v>0</v>
      </c>
      <c r="Y82" s="555">
        <v>400</v>
      </c>
      <c r="Z82" s="555">
        <v>200</v>
      </c>
      <c r="AA82" s="541"/>
      <c r="AB82" s="541"/>
      <c r="AC82" s="540"/>
      <c r="AD82" s="540"/>
      <c r="AE82" s="540"/>
    </row>
    <row r="83" spans="1:31" x14ac:dyDescent="0.2">
      <c r="A83" s="11">
        <v>43922</v>
      </c>
      <c r="B83" s="384">
        <v>77800</v>
      </c>
      <c r="C83" s="384">
        <v>24780</v>
      </c>
      <c r="D83" s="384">
        <v>8981</v>
      </c>
      <c r="E83" s="384">
        <v>67</v>
      </c>
      <c r="F83" s="384">
        <v>214</v>
      </c>
      <c r="G83" s="384">
        <v>284</v>
      </c>
      <c r="H83" s="380">
        <v>0</v>
      </c>
      <c r="I83" s="382">
        <v>11779</v>
      </c>
      <c r="J83" s="381" t="s">
        <v>549</v>
      </c>
      <c r="K83" s="381">
        <v>0</v>
      </c>
      <c r="L83" s="380">
        <v>0</v>
      </c>
      <c r="M83" s="381"/>
      <c r="N83" s="381"/>
      <c r="O83" s="381"/>
      <c r="P83" s="384"/>
      <c r="Q83" s="384">
        <v>5200</v>
      </c>
      <c r="R83" s="384">
        <v>4800</v>
      </c>
      <c r="S83" s="384">
        <v>24500</v>
      </c>
      <c r="T83" s="386"/>
      <c r="U83" s="384">
        <v>174</v>
      </c>
      <c r="V83" s="384">
        <v>136</v>
      </c>
      <c r="W83" s="384">
        <v>0</v>
      </c>
      <c r="X83" s="384">
        <v>0</v>
      </c>
      <c r="Y83" s="555">
        <v>400</v>
      </c>
      <c r="Z83" s="555">
        <v>200</v>
      </c>
      <c r="AA83" s="541"/>
      <c r="AB83" s="541"/>
      <c r="AC83" s="540"/>
      <c r="AD83" s="540"/>
      <c r="AE83" s="540"/>
    </row>
    <row r="84" spans="1:31" x14ac:dyDescent="0.2">
      <c r="A84" s="11">
        <v>43952</v>
      </c>
      <c r="B84" s="384">
        <v>95690</v>
      </c>
      <c r="C84" s="384">
        <v>46630</v>
      </c>
      <c r="D84" s="384">
        <v>9906</v>
      </c>
      <c r="E84" s="384">
        <v>76</v>
      </c>
      <c r="F84" s="384">
        <v>1743</v>
      </c>
      <c r="G84" s="384">
        <v>291</v>
      </c>
      <c r="H84" s="380">
        <v>10.829000000000001</v>
      </c>
      <c r="I84" s="382">
        <v>15765</v>
      </c>
      <c r="J84" s="381" t="s">
        <v>549</v>
      </c>
      <c r="K84" s="381">
        <f>0.67*163</f>
        <v>109.21000000000001</v>
      </c>
      <c r="L84" s="380">
        <v>2</v>
      </c>
      <c r="M84" s="381"/>
      <c r="N84" s="381"/>
      <c r="O84" s="381"/>
      <c r="P84" s="384">
        <f>27*27</f>
        <v>729</v>
      </c>
      <c r="Q84" s="384">
        <v>11500</v>
      </c>
      <c r="R84" s="384">
        <v>6400</v>
      </c>
      <c r="S84" s="384">
        <v>28000</v>
      </c>
      <c r="T84" s="386"/>
      <c r="U84" s="384">
        <v>862</v>
      </c>
      <c r="V84" s="384">
        <v>223.15</v>
      </c>
      <c r="W84" s="384">
        <v>863</v>
      </c>
      <c r="X84" s="384">
        <v>0</v>
      </c>
      <c r="Y84" s="555">
        <v>800</v>
      </c>
      <c r="Z84" s="555">
        <v>400</v>
      </c>
      <c r="AA84" s="541"/>
      <c r="AB84" s="541"/>
      <c r="AC84" s="540"/>
      <c r="AD84" s="540"/>
      <c r="AE84" s="540"/>
    </row>
    <row r="85" spans="1:31" x14ac:dyDescent="0.2">
      <c r="A85" s="11">
        <v>43983</v>
      </c>
      <c r="B85" s="384">
        <v>100890</v>
      </c>
      <c r="C85" s="384">
        <v>43240</v>
      </c>
      <c r="D85" s="384">
        <v>12620</v>
      </c>
      <c r="E85" s="384">
        <v>88</v>
      </c>
      <c r="F85" s="384">
        <v>2264</v>
      </c>
      <c r="G85" s="384">
        <v>322</v>
      </c>
      <c r="H85" s="380">
        <v>10.52</v>
      </c>
      <c r="I85" s="382">
        <v>20002.000000000004</v>
      </c>
      <c r="J85" s="381" t="s">
        <v>549</v>
      </c>
      <c r="K85" s="381">
        <f>0.67*250</f>
        <v>167.5</v>
      </c>
      <c r="L85" s="380">
        <v>0</v>
      </c>
      <c r="M85" s="381"/>
      <c r="N85" s="381"/>
      <c r="O85" s="381"/>
      <c r="P85" s="384">
        <f>23*27+1*4.5+12*35</f>
        <v>1045.5</v>
      </c>
      <c r="Q85" s="384">
        <v>7200</v>
      </c>
      <c r="R85" s="384">
        <v>6400</v>
      </c>
      <c r="S85" s="384">
        <v>28000</v>
      </c>
      <c r="T85" s="386"/>
      <c r="U85" s="384">
        <v>657</v>
      </c>
      <c r="V85" s="384">
        <v>145.1</v>
      </c>
      <c r="W85" s="384">
        <v>982</v>
      </c>
      <c r="X85" s="384">
        <v>180</v>
      </c>
      <c r="Y85" s="555">
        <v>1600</v>
      </c>
      <c r="Z85" s="555">
        <v>400</v>
      </c>
      <c r="AA85" s="541"/>
      <c r="AB85" s="541"/>
      <c r="AC85" s="540"/>
      <c r="AD85" s="540"/>
      <c r="AE85" s="540"/>
    </row>
    <row r="86" spans="1:31" x14ac:dyDescent="0.2">
      <c r="A86" s="11">
        <v>44013</v>
      </c>
      <c r="B86" s="382">
        <v>99540</v>
      </c>
      <c r="C86" s="391">
        <v>25450</v>
      </c>
      <c r="D86" s="391">
        <v>12224</v>
      </c>
      <c r="E86" s="391">
        <v>107</v>
      </c>
      <c r="F86" s="391">
        <v>1459</v>
      </c>
      <c r="G86" s="391">
        <v>340</v>
      </c>
      <c r="H86" s="392">
        <v>0.85099999999999998</v>
      </c>
      <c r="I86" s="382">
        <v>24809</v>
      </c>
      <c r="J86" s="393" t="s">
        <v>549</v>
      </c>
      <c r="K86" s="393">
        <f>0.67*220</f>
        <v>147.4</v>
      </c>
      <c r="L86" s="392">
        <v>6</v>
      </c>
      <c r="M86" s="393"/>
      <c r="N86" s="393"/>
      <c r="O86" s="393"/>
      <c r="P86" s="391">
        <v>0</v>
      </c>
      <c r="Q86" s="382">
        <v>12300</v>
      </c>
      <c r="R86" s="391">
        <v>4800</v>
      </c>
      <c r="S86" s="382">
        <v>17500</v>
      </c>
      <c r="T86" s="390"/>
      <c r="U86" s="391">
        <v>481</v>
      </c>
      <c r="V86" s="391">
        <v>233.8</v>
      </c>
      <c r="W86" s="391">
        <v>0</v>
      </c>
      <c r="X86" s="391">
        <v>70</v>
      </c>
      <c r="Y86" s="557">
        <v>400</v>
      </c>
      <c r="Z86" s="557">
        <v>200</v>
      </c>
      <c r="AA86" s="541"/>
      <c r="AB86" s="541"/>
      <c r="AC86" s="540"/>
      <c r="AD86" s="540"/>
      <c r="AE86" s="540"/>
    </row>
    <row r="87" spans="1:31" x14ac:dyDescent="0.2">
      <c r="A87" s="11">
        <v>44044</v>
      </c>
      <c r="B87" s="382">
        <v>98190</v>
      </c>
      <c r="C87" s="391">
        <v>25100</v>
      </c>
      <c r="D87" s="391">
        <v>11764</v>
      </c>
      <c r="E87" s="391">
        <v>107</v>
      </c>
      <c r="F87" s="391">
        <v>1874</v>
      </c>
      <c r="G87" s="391">
        <v>343</v>
      </c>
      <c r="H87" s="392">
        <v>0</v>
      </c>
      <c r="I87" s="382">
        <v>23143</v>
      </c>
      <c r="J87" s="393" t="s">
        <v>549</v>
      </c>
      <c r="K87" s="393">
        <v>0</v>
      </c>
      <c r="L87" s="392">
        <v>0</v>
      </c>
      <c r="M87" s="393"/>
      <c r="N87" s="393"/>
      <c r="O87" s="393"/>
      <c r="P87" s="391">
        <f>5*27+27*35</f>
        <v>1080</v>
      </c>
      <c r="Q87" s="382">
        <v>12400</v>
      </c>
      <c r="R87" s="391">
        <v>4800</v>
      </c>
      <c r="S87" s="382">
        <v>24000</v>
      </c>
      <c r="T87" s="390"/>
      <c r="U87" s="391">
        <v>735</v>
      </c>
      <c r="V87" s="391">
        <v>137.15</v>
      </c>
      <c r="W87" s="391">
        <v>734</v>
      </c>
      <c r="X87" s="391">
        <v>100</v>
      </c>
      <c r="Y87" s="557">
        <v>1200</v>
      </c>
      <c r="Z87" s="557">
        <v>600</v>
      </c>
      <c r="AA87" s="541"/>
      <c r="AB87" s="541"/>
      <c r="AC87" s="540"/>
      <c r="AD87" s="540"/>
      <c r="AE87" s="540"/>
    </row>
    <row r="88" spans="1:31" x14ac:dyDescent="0.2">
      <c r="A88" s="11">
        <v>44075</v>
      </c>
      <c r="B88" s="382">
        <v>103480</v>
      </c>
      <c r="C88" s="391">
        <v>26450</v>
      </c>
      <c r="D88" s="391">
        <v>12331</v>
      </c>
      <c r="E88" s="391">
        <v>105</v>
      </c>
      <c r="F88" s="391">
        <v>266</v>
      </c>
      <c r="G88" s="391">
        <v>344</v>
      </c>
      <c r="H88" s="392">
        <v>0.78900000000000003</v>
      </c>
      <c r="I88" s="382">
        <v>28611</v>
      </c>
      <c r="J88" s="393" t="s">
        <v>549</v>
      </c>
      <c r="K88" s="393">
        <f>0.67*123</f>
        <v>82.410000000000011</v>
      </c>
      <c r="L88" s="392">
        <v>0</v>
      </c>
      <c r="M88" s="393"/>
      <c r="N88" s="393"/>
      <c r="O88" s="393"/>
      <c r="P88" s="391">
        <v>0</v>
      </c>
      <c r="Q88" s="382">
        <v>10400</v>
      </c>
      <c r="R88" s="391">
        <v>6400</v>
      </c>
      <c r="S88" s="382">
        <v>21000</v>
      </c>
      <c r="T88" s="390"/>
      <c r="U88" s="391">
        <v>2051</v>
      </c>
      <c r="V88" s="391">
        <v>168.75</v>
      </c>
      <c r="W88" s="391">
        <v>643</v>
      </c>
      <c r="X88" s="391">
        <v>0</v>
      </c>
      <c r="Y88" s="557">
        <v>800</v>
      </c>
      <c r="Z88" s="557">
        <v>400</v>
      </c>
      <c r="AA88" s="541"/>
      <c r="AB88" s="541"/>
      <c r="AC88" s="540"/>
      <c r="AD88" s="540"/>
      <c r="AE88" s="540"/>
    </row>
    <row r="89" spans="1:31" x14ac:dyDescent="0.2">
      <c r="A89" s="11">
        <v>44105</v>
      </c>
      <c r="B89" s="382">
        <v>99600</v>
      </c>
      <c r="C89" s="391">
        <v>18840</v>
      </c>
      <c r="D89" s="391">
        <v>13196</v>
      </c>
      <c r="E89" s="391">
        <v>96</v>
      </c>
      <c r="F89" s="391">
        <v>249</v>
      </c>
      <c r="G89" s="391">
        <v>348</v>
      </c>
      <c r="H89" s="392">
        <v>0</v>
      </c>
      <c r="I89" s="382">
        <v>31009</v>
      </c>
      <c r="J89" s="393" t="s">
        <v>549</v>
      </c>
      <c r="K89" s="393">
        <f>0.67*86</f>
        <v>57.620000000000005</v>
      </c>
      <c r="L89" s="392">
        <v>6</v>
      </c>
      <c r="M89" s="393"/>
      <c r="N89" s="393"/>
      <c r="O89" s="393"/>
      <c r="P89" s="391">
        <f>29*27+2*4.5</f>
        <v>792</v>
      </c>
      <c r="Q89" s="382">
        <v>12200</v>
      </c>
      <c r="R89" s="391">
        <v>4800</v>
      </c>
      <c r="S89" s="382">
        <v>24500</v>
      </c>
      <c r="T89" s="390"/>
      <c r="U89" s="391">
        <v>807</v>
      </c>
      <c r="V89" s="391">
        <v>162.69999999999999</v>
      </c>
      <c r="W89" s="391">
        <v>971</v>
      </c>
      <c r="X89" s="391">
        <v>0</v>
      </c>
      <c r="Y89" s="557">
        <v>400</v>
      </c>
      <c r="Z89" s="557">
        <v>400</v>
      </c>
      <c r="AA89" s="541"/>
      <c r="AB89" s="541"/>
      <c r="AC89" s="540"/>
      <c r="AD89" s="540"/>
      <c r="AE89" s="540"/>
    </row>
    <row r="90" spans="1:31" x14ac:dyDescent="0.2">
      <c r="A90" s="11">
        <v>44136</v>
      </c>
      <c r="B90" s="382">
        <v>100780</v>
      </c>
      <c r="C90" s="391">
        <v>20400</v>
      </c>
      <c r="D90" s="391">
        <v>11978</v>
      </c>
      <c r="E90" s="391">
        <v>100</v>
      </c>
      <c r="F90" s="391">
        <v>321</v>
      </c>
      <c r="G90" s="391">
        <v>477</v>
      </c>
      <c r="H90" s="392">
        <v>0.46400000000000002</v>
      </c>
      <c r="I90" s="382">
        <v>34289</v>
      </c>
      <c r="J90" s="393" t="s">
        <v>549</v>
      </c>
      <c r="K90" s="393">
        <f>0.67*125</f>
        <v>83.75</v>
      </c>
      <c r="L90" s="392">
        <v>7</v>
      </c>
      <c r="M90" s="393"/>
      <c r="N90" s="393"/>
      <c r="O90" s="393"/>
      <c r="P90" s="391">
        <f>(18+29)*27+7.5*2+(22+2)*4.5+1*35</f>
        <v>1427</v>
      </c>
      <c r="Q90" s="382">
        <v>13500</v>
      </c>
      <c r="R90" s="391">
        <v>3200</v>
      </c>
      <c r="S90" s="382">
        <v>21000</v>
      </c>
      <c r="T90" s="390"/>
      <c r="U90" s="391">
        <v>866</v>
      </c>
      <c r="V90" s="391">
        <v>242.15</v>
      </c>
      <c r="W90" s="391">
        <v>781</v>
      </c>
      <c r="X90" s="391">
        <v>0</v>
      </c>
      <c r="Y90" s="557">
        <v>800</v>
      </c>
      <c r="Z90" s="557">
        <v>400</v>
      </c>
      <c r="AA90" s="541"/>
      <c r="AB90" s="541"/>
      <c r="AC90" s="540"/>
      <c r="AD90" s="540"/>
      <c r="AE90" s="540"/>
    </row>
    <row r="91" spans="1:31" x14ac:dyDescent="0.2">
      <c r="A91" s="11">
        <v>44166</v>
      </c>
      <c r="B91" s="382">
        <v>92840</v>
      </c>
      <c r="C91" s="391">
        <v>19120</v>
      </c>
      <c r="D91" s="391">
        <v>11422</v>
      </c>
      <c r="E91" s="391">
        <v>86</v>
      </c>
      <c r="F91" s="391">
        <v>321</v>
      </c>
      <c r="G91" s="391">
        <v>352</v>
      </c>
      <c r="H91" s="392">
        <v>0.92800000000000005</v>
      </c>
      <c r="I91" s="382">
        <v>33360</v>
      </c>
      <c r="J91" s="393" t="s">
        <v>549</v>
      </c>
      <c r="K91" s="393">
        <f>0.67*100</f>
        <v>67</v>
      </c>
      <c r="L91" s="392">
        <v>0</v>
      </c>
      <c r="M91" s="393"/>
      <c r="N91" s="393"/>
      <c r="O91" s="393"/>
      <c r="P91" s="391">
        <v>0</v>
      </c>
      <c r="Q91" s="382">
        <v>14600</v>
      </c>
      <c r="R91" s="391">
        <v>3200</v>
      </c>
      <c r="S91" s="382">
        <v>10500</v>
      </c>
      <c r="T91" s="390"/>
      <c r="U91" s="391">
        <v>731</v>
      </c>
      <c r="V91" s="391">
        <v>161.05000000000001</v>
      </c>
      <c r="W91" s="391">
        <v>971</v>
      </c>
      <c r="X91" s="391">
        <v>0</v>
      </c>
      <c r="Y91" s="557">
        <v>600</v>
      </c>
      <c r="Z91" s="557">
        <v>200</v>
      </c>
      <c r="AA91" s="541"/>
      <c r="AB91" s="541"/>
      <c r="AC91" s="540"/>
      <c r="AD91" s="540"/>
      <c r="AE91" s="540"/>
    </row>
    <row r="92" spans="1:31" x14ac:dyDescent="0.2">
      <c r="A92" s="11">
        <v>44197</v>
      </c>
      <c r="B92" s="382">
        <v>82270</v>
      </c>
      <c r="C92" s="391">
        <v>19600</v>
      </c>
      <c r="D92" s="391">
        <v>12557</v>
      </c>
      <c r="E92" s="391">
        <v>82</v>
      </c>
      <c r="F92" s="391">
        <v>262</v>
      </c>
      <c r="G92" s="391">
        <v>305</v>
      </c>
      <c r="H92" s="392">
        <v>4.6399999999999997</v>
      </c>
      <c r="I92" s="382">
        <v>33517</v>
      </c>
      <c r="J92" s="393" t="s">
        <v>549</v>
      </c>
      <c r="K92" s="393">
        <f>0.67*112</f>
        <v>75.040000000000006</v>
      </c>
      <c r="L92" s="392">
        <v>0</v>
      </c>
      <c r="M92" s="393"/>
      <c r="N92" s="393"/>
      <c r="O92" s="393"/>
      <c r="P92" s="391">
        <v>0</v>
      </c>
      <c r="Q92" s="382">
        <v>18700</v>
      </c>
      <c r="R92" s="391">
        <v>3200</v>
      </c>
      <c r="S92" s="382">
        <v>24500</v>
      </c>
      <c r="T92" s="390"/>
      <c r="U92" s="391">
        <v>291</v>
      </c>
      <c r="V92" s="391">
        <v>83.55</v>
      </c>
      <c r="W92" s="391">
        <v>1544</v>
      </c>
      <c r="X92" s="391">
        <v>0</v>
      </c>
      <c r="Y92" s="557">
        <v>600</v>
      </c>
      <c r="Z92" s="557">
        <v>400</v>
      </c>
      <c r="AA92" s="541"/>
      <c r="AB92" s="541"/>
      <c r="AC92" s="540"/>
      <c r="AD92" s="540"/>
      <c r="AE92" s="540"/>
    </row>
    <row r="93" spans="1:31" x14ac:dyDescent="0.2">
      <c r="A93" s="11">
        <v>44228</v>
      </c>
      <c r="B93" s="382">
        <v>91040</v>
      </c>
      <c r="C93" s="391">
        <v>16990</v>
      </c>
      <c r="D93" s="391">
        <v>11838</v>
      </c>
      <c r="E93" s="391">
        <v>89</v>
      </c>
      <c r="F93" s="391">
        <v>1701</v>
      </c>
      <c r="G93" s="391">
        <v>366</v>
      </c>
      <c r="H93" s="392">
        <v>3.911</v>
      </c>
      <c r="I93" s="382">
        <v>29468</v>
      </c>
      <c r="J93" s="393" t="s">
        <v>549</v>
      </c>
      <c r="K93" s="393">
        <v>0</v>
      </c>
      <c r="L93" s="392">
        <v>0</v>
      </c>
      <c r="M93" s="393"/>
      <c r="N93" s="393"/>
      <c r="O93" s="393"/>
      <c r="P93" s="391">
        <f>24*27+4.5*1</f>
        <v>652.5</v>
      </c>
      <c r="Q93" s="382">
        <v>6000</v>
      </c>
      <c r="R93" s="391">
        <v>4800</v>
      </c>
      <c r="S93" s="382">
        <v>14000</v>
      </c>
      <c r="T93" s="390"/>
      <c r="U93" s="391">
        <v>90</v>
      </c>
      <c r="V93" s="391">
        <v>185.05</v>
      </c>
      <c r="W93" s="391">
        <v>0</v>
      </c>
      <c r="X93" s="391">
        <v>0</v>
      </c>
      <c r="Y93" s="557">
        <v>600</v>
      </c>
      <c r="Z93" s="557">
        <v>400</v>
      </c>
      <c r="AA93" s="541"/>
      <c r="AB93" s="541"/>
      <c r="AC93" s="540"/>
      <c r="AD93" s="540"/>
      <c r="AE93" s="540"/>
    </row>
    <row r="94" spans="1:31" x14ac:dyDescent="0.2">
      <c r="A94" s="11">
        <v>44256</v>
      </c>
      <c r="B94" s="382">
        <v>108160</v>
      </c>
      <c r="C94" s="391">
        <v>20300</v>
      </c>
      <c r="D94" s="391">
        <v>14191</v>
      </c>
      <c r="E94" s="391">
        <v>90</v>
      </c>
      <c r="F94" s="391">
        <v>251</v>
      </c>
      <c r="G94" s="391">
        <v>433</v>
      </c>
      <c r="H94" s="392">
        <v>4.3630000000000004</v>
      </c>
      <c r="I94" s="382">
        <v>35447</v>
      </c>
      <c r="J94" s="393" t="s">
        <v>549</v>
      </c>
      <c r="K94" s="393">
        <f>0.67*110</f>
        <v>73.7</v>
      </c>
      <c r="L94" s="392">
        <v>0</v>
      </c>
      <c r="M94" s="393"/>
      <c r="N94" s="393"/>
      <c r="O94" s="393"/>
      <c r="P94" s="391">
        <v>0</v>
      </c>
      <c r="Q94" s="382">
        <v>14700</v>
      </c>
      <c r="R94" s="391">
        <v>8000</v>
      </c>
      <c r="S94" s="382">
        <v>17500</v>
      </c>
      <c r="T94" s="390"/>
      <c r="U94" s="391">
        <v>588</v>
      </c>
      <c r="V94" s="391">
        <v>142.6</v>
      </c>
      <c r="W94" s="391">
        <v>758</v>
      </c>
      <c r="X94" s="391">
        <v>30</v>
      </c>
      <c r="Y94" s="557">
        <v>400</v>
      </c>
      <c r="Z94" s="557">
        <v>200</v>
      </c>
      <c r="AA94" s="541"/>
      <c r="AB94" s="541"/>
      <c r="AC94" s="540"/>
      <c r="AD94" s="540"/>
      <c r="AE94" s="540"/>
    </row>
    <row r="95" spans="1:31" x14ac:dyDescent="0.2">
      <c r="A95" s="11">
        <v>44287</v>
      </c>
      <c r="B95" s="382">
        <v>97900</v>
      </c>
      <c r="C95" s="391">
        <v>25520</v>
      </c>
      <c r="D95" s="391">
        <v>12749</v>
      </c>
      <c r="E95" s="391">
        <v>77</v>
      </c>
      <c r="F95" s="391">
        <v>1274</v>
      </c>
      <c r="G95" s="391">
        <v>383</v>
      </c>
      <c r="H95" s="392">
        <v>0.35599999999999998</v>
      </c>
      <c r="I95" s="382">
        <v>43497</v>
      </c>
      <c r="J95" s="393" t="s">
        <v>549</v>
      </c>
      <c r="K95" s="393">
        <f>0.67*180</f>
        <v>120.60000000000001</v>
      </c>
      <c r="L95" s="392">
        <v>0</v>
      </c>
      <c r="M95" s="393"/>
      <c r="N95" s="393"/>
      <c r="O95" s="393"/>
      <c r="P95" s="391">
        <v>0</v>
      </c>
      <c r="Q95" s="382">
        <v>20500</v>
      </c>
      <c r="R95" s="391">
        <v>4800</v>
      </c>
      <c r="S95" s="382">
        <v>14000</v>
      </c>
      <c r="T95" s="390"/>
      <c r="U95" s="391">
        <v>317</v>
      </c>
      <c r="V95" s="391">
        <v>124.75</v>
      </c>
      <c r="W95" s="391">
        <v>0</v>
      </c>
      <c r="X95" s="391">
        <v>130</v>
      </c>
      <c r="Y95" s="557">
        <v>800</v>
      </c>
      <c r="Z95" s="557">
        <v>400</v>
      </c>
      <c r="AA95" s="541"/>
      <c r="AB95" s="541"/>
      <c r="AC95" s="540"/>
      <c r="AD95" s="540"/>
      <c r="AE95" s="540"/>
    </row>
    <row r="96" spans="1:31" x14ac:dyDescent="0.2">
      <c r="A96" s="11">
        <v>44317</v>
      </c>
      <c r="B96" s="382">
        <v>114090</v>
      </c>
      <c r="C96" s="391">
        <v>22770</v>
      </c>
      <c r="D96" s="391">
        <v>12531</v>
      </c>
      <c r="E96" s="391">
        <v>77</v>
      </c>
      <c r="F96" s="391">
        <v>802</v>
      </c>
      <c r="G96" s="391">
        <v>563</v>
      </c>
      <c r="H96" s="392">
        <v>5.415</v>
      </c>
      <c r="I96" s="382">
        <v>40188</v>
      </c>
      <c r="J96" s="393" t="s">
        <v>549</v>
      </c>
      <c r="K96" s="393">
        <f>0.67*185</f>
        <v>123.95</v>
      </c>
      <c r="L96" s="392">
        <v>0</v>
      </c>
      <c r="M96" s="393"/>
      <c r="N96" s="393"/>
      <c r="O96" s="393"/>
      <c r="P96" s="391">
        <f>25*27</f>
        <v>675</v>
      </c>
      <c r="Q96" s="382">
        <v>10400</v>
      </c>
      <c r="R96" s="391">
        <v>6400</v>
      </c>
      <c r="S96" s="382">
        <v>17500</v>
      </c>
      <c r="T96" s="390"/>
      <c r="U96" s="391">
        <v>476</v>
      </c>
      <c r="V96" s="391">
        <v>130.30000000000001</v>
      </c>
      <c r="W96" s="391">
        <v>1085</v>
      </c>
      <c r="X96" s="391">
        <v>50</v>
      </c>
      <c r="Y96" s="557">
        <v>800</v>
      </c>
      <c r="Z96" s="557">
        <v>400</v>
      </c>
      <c r="AA96" s="541"/>
      <c r="AB96" s="541"/>
      <c r="AC96" s="540"/>
      <c r="AD96" s="540"/>
      <c r="AE96" s="540"/>
    </row>
    <row r="97" spans="1:31" x14ac:dyDescent="0.2">
      <c r="A97" s="11">
        <v>44348</v>
      </c>
      <c r="B97" s="382">
        <v>91870</v>
      </c>
      <c r="C97" s="391">
        <v>19320</v>
      </c>
      <c r="D97" s="391">
        <v>13034</v>
      </c>
      <c r="E97" s="391">
        <v>73</v>
      </c>
      <c r="F97" s="391">
        <v>259</v>
      </c>
      <c r="G97" s="391">
        <v>350</v>
      </c>
      <c r="H97" s="392">
        <v>3.8679999999999999</v>
      </c>
      <c r="I97" s="382">
        <v>35583</v>
      </c>
      <c r="J97" s="393" t="s">
        <v>549</v>
      </c>
      <c r="K97" s="393">
        <f>0.67*120</f>
        <v>80.400000000000006</v>
      </c>
      <c r="L97" s="392">
        <v>0</v>
      </c>
      <c r="M97" s="393"/>
      <c r="N97" s="393"/>
      <c r="O97" s="393"/>
      <c r="P97" s="391">
        <v>0</v>
      </c>
      <c r="Q97" s="382">
        <v>10400</v>
      </c>
      <c r="R97" s="391">
        <v>4800</v>
      </c>
      <c r="S97" s="382">
        <v>24500</v>
      </c>
      <c r="T97" s="390"/>
      <c r="U97" s="391">
        <v>1449</v>
      </c>
      <c r="V97" s="391">
        <v>115.7</v>
      </c>
      <c r="W97" s="391">
        <v>908</v>
      </c>
      <c r="X97" s="391">
        <v>130</v>
      </c>
      <c r="Y97" s="557">
        <v>800</v>
      </c>
      <c r="Z97" s="557">
        <v>400</v>
      </c>
      <c r="AA97" s="541"/>
      <c r="AB97" s="614"/>
      <c r="AC97" s="540"/>
      <c r="AD97" s="540"/>
      <c r="AE97" s="540"/>
    </row>
    <row r="98" spans="1:31" x14ac:dyDescent="0.2">
      <c r="A98" s="11">
        <v>44378</v>
      </c>
      <c r="B98" s="384">
        <v>94540</v>
      </c>
      <c r="C98" s="384">
        <v>23190</v>
      </c>
      <c r="D98" s="384">
        <v>12407</v>
      </c>
      <c r="E98" s="384">
        <v>79</v>
      </c>
      <c r="F98" s="384">
        <v>1049</v>
      </c>
      <c r="G98" s="384">
        <v>535</v>
      </c>
      <c r="H98" s="380">
        <v>3.8679999999999999</v>
      </c>
      <c r="I98" s="382">
        <v>36437</v>
      </c>
      <c r="J98" s="381" t="s">
        <v>549</v>
      </c>
      <c r="K98" s="381">
        <f>0.67*150</f>
        <v>100.5</v>
      </c>
      <c r="L98" s="380">
        <v>0</v>
      </c>
      <c r="M98" s="381"/>
      <c r="N98" s="381"/>
      <c r="O98" s="381"/>
      <c r="P98" s="384">
        <v>0</v>
      </c>
      <c r="Q98" s="384">
        <v>16700</v>
      </c>
      <c r="R98" s="384">
        <v>8000</v>
      </c>
      <c r="S98" s="384">
        <v>21000</v>
      </c>
      <c r="T98" s="386"/>
      <c r="U98" s="384">
        <v>1001</v>
      </c>
      <c r="V98" s="384">
        <v>81.849999999999994</v>
      </c>
      <c r="W98" s="384">
        <v>1043</v>
      </c>
      <c r="X98" s="384">
        <v>150</v>
      </c>
      <c r="Y98" s="555">
        <v>800</v>
      </c>
      <c r="Z98" s="555">
        <v>400</v>
      </c>
      <c r="AA98" s="541"/>
      <c r="AB98" s="541"/>
      <c r="AC98" s="540"/>
      <c r="AD98" s="540"/>
      <c r="AE98" s="540"/>
    </row>
    <row r="99" spans="1:31" x14ac:dyDescent="0.2">
      <c r="A99" s="11">
        <v>44409</v>
      </c>
      <c r="B99" s="384">
        <v>104460</v>
      </c>
      <c r="C99" s="384">
        <v>27760</v>
      </c>
      <c r="D99" s="384">
        <v>14252</v>
      </c>
      <c r="E99" s="384">
        <v>82</v>
      </c>
      <c r="F99" s="384">
        <v>294</v>
      </c>
      <c r="G99" s="384">
        <v>356</v>
      </c>
      <c r="H99" s="380">
        <v>0.20300000000000001</v>
      </c>
      <c r="I99" s="382">
        <v>33584</v>
      </c>
      <c r="J99" s="381" t="s">
        <v>549</v>
      </c>
      <c r="K99" s="381">
        <f>0.67*182</f>
        <v>121.94000000000001</v>
      </c>
      <c r="L99" s="380">
        <v>0</v>
      </c>
      <c r="M99" s="381"/>
      <c r="N99" s="381"/>
      <c r="O99" s="381"/>
      <c r="P99" s="384">
        <v>0</v>
      </c>
      <c r="Q99" s="384">
        <v>13700</v>
      </c>
      <c r="R99" s="384">
        <v>6400</v>
      </c>
      <c r="S99" s="384">
        <v>35000</v>
      </c>
      <c r="T99" s="386"/>
      <c r="U99" s="384">
        <v>1112</v>
      </c>
      <c r="V99" s="384">
        <v>75.95</v>
      </c>
      <c r="W99" s="384">
        <v>0</v>
      </c>
      <c r="X99" s="384">
        <v>130</v>
      </c>
      <c r="Y99" s="555">
        <v>800</v>
      </c>
      <c r="Z99" s="555">
        <v>400</v>
      </c>
      <c r="AA99" s="541"/>
      <c r="AB99" s="541"/>
      <c r="AC99" s="540"/>
      <c r="AD99" s="540"/>
      <c r="AE99" s="540"/>
    </row>
    <row r="100" spans="1:31" x14ac:dyDescent="0.2">
      <c r="A100" s="11">
        <v>44440</v>
      </c>
      <c r="B100" s="384">
        <v>125580</v>
      </c>
      <c r="C100" s="384">
        <v>28910</v>
      </c>
      <c r="D100" s="384">
        <v>15030</v>
      </c>
      <c r="E100" s="384">
        <v>92</v>
      </c>
      <c r="F100" s="384">
        <v>810</v>
      </c>
      <c r="G100" s="384">
        <v>336</v>
      </c>
      <c r="H100" s="380">
        <v>0</v>
      </c>
      <c r="I100" s="382">
        <v>35376</v>
      </c>
      <c r="J100" s="381" t="s">
        <v>549</v>
      </c>
      <c r="K100" s="381">
        <f>0.67*100</f>
        <v>67</v>
      </c>
      <c r="L100" s="380">
        <v>0</v>
      </c>
      <c r="M100" s="381"/>
      <c r="N100" s="381"/>
      <c r="O100" s="381"/>
      <c r="P100" s="384">
        <v>0</v>
      </c>
      <c r="Q100" s="384">
        <v>9500</v>
      </c>
      <c r="R100" s="384">
        <v>6400</v>
      </c>
      <c r="S100" s="384">
        <v>28000</v>
      </c>
      <c r="T100" s="386"/>
      <c r="U100" s="384">
        <v>624</v>
      </c>
      <c r="V100" s="384">
        <v>70.05</v>
      </c>
      <c r="W100" s="384">
        <v>1006</v>
      </c>
      <c r="X100" s="384">
        <v>80</v>
      </c>
      <c r="Y100" s="555">
        <v>800</v>
      </c>
      <c r="Z100" s="555">
        <v>400</v>
      </c>
      <c r="AA100" s="541"/>
      <c r="AB100" s="541"/>
      <c r="AC100" s="540"/>
      <c r="AD100" s="540"/>
      <c r="AE100" s="540"/>
    </row>
    <row r="101" spans="1:31" x14ac:dyDescent="0.2">
      <c r="A101" s="11">
        <v>44470</v>
      </c>
      <c r="B101" s="384">
        <v>120930</v>
      </c>
      <c r="C101" s="384">
        <v>22640</v>
      </c>
      <c r="D101" s="384">
        <v>12985</v>
      </c>
      <c r="E101" s="384">
        <v>81</v>
      </c>
      <c r="F101" s="384">
        <v>911</v>
      </c>
      <c r="G101" s="384">
        <v>304</v>
      </c>
      <c r="H101" s="380">
        <v>0</v>
      </c>
      <c r="I101" s="382">
        <v>45400</v>
      </c>
      <c r="J101" s="381" t="s">
        <v>549</v>
      </c>
      <c r="K101" s="381">
        <v>0</v>
      </c>
      <c r="L101" s="380">
        <v>0</v>
      </c>
      <c r="M101" s="381"/>
      <c r="N101" s="381"/>
      <c r="O101" s="381"/>
      <c r="P101" s="384">
        <v>0</v>
      </c>
      <c r="Q101" s="384">
        <v>7830</v>
      </c>
      <c r="R101" s="384">
        <v>6400</v>
      </c>
      <c r="S101" s="384">
        <v>35000</v>
      </c>
      <c r="T101" s="386"/>
      <c r="U101" s="384">
        <v>243</v>
      </c>
      <c r="V101" s="384">
        <v>157.35</v>
      </c>
      <c r="W101" s="384">
        <v>891</v>
      </c>
      <c r="X101" s="384">
        <v>150</v>
      </c>
      <c r="Y101" s="555">
        <v>800</v>
      </c>
      <c r="Z101" s="555">
        <v>400</v>
      </c>
      <c r="AA101" s="541"/>
      <c r="AB101" s="541"/>
      <c r="AC101" s="540"/>
      <c r="AD101" s="540"/>
      <c r="AE101" s="540"/>
    </row>
    <row r="102" spans="1:31" x14ac:dyDescent="0.2">
      <c r="A102" s="11">
        <v>44501</v>
      </c>
      <c r="B102" s="384">
        <v>122690</v>
      </c>
      <c r="C102" s="384">
        <v>22120</v>
      </c>
      <c r="D102" s="384">
        <v>13164</v>
      </c>
      <c r="E102" s="384">
        <v>88</v>
      </c>
      <c r="F102" s="384">
        <v>282</v>
      </c>
      <c r="G102" s="384">
        <v>285</v>
      </c>
      <c r="H102" s="380">
        <v>0.77400000000000002</v>
      </c>
      <c r="I102" s="382">
        <v>42665</v>
      </c>
      <c r="J102" s="381" t="s">
        <v>549</v>
      </c>
      <c r="K102" s="381">
        <f>0.67*258</f>
        <v>172.86</v>
      </c>
      <c r="L102" s="380">
        <v>0</v>
      </c>
      <c r="M102" s="381"/>
      <c r="N102" s="381"/>
      <c r="O102" s="381"/>
      <c r="P102" s="384">
        <f>72*27+6*4.5</f>
        <v>1971</v>
      </c>
      <c r="Q102" s="384">
        <v>5800</v>
      </c>
      <c r="R102" s="384">
        <v>4800</v>
      </c>
      <c r="S102" s="384">
        <v>35000</v>
      </c>
      <c r="T102" s="386"/>
      <c r="U102" s="384">
        <v>1282</v>
      </c>
      <c r="V102" s="384">
        <v>67.75</v>
      </c>
      <c r="W102" s="384">
        <v>625</v>
      </c>
      <c r="X102" s="384">
        <v>30</v>
      </c>
      <c r="Y102" s="555">
        <v>800</v>
      </c>
      <c r="Z102" s="555">
        <v>400</v>
      </c>
      <c r="AA102" s="541"/>
      <c r="AB102" s="541"/>
      <c r="AC102" s="540"/>
      <c r="AD102" s="540"/>
      <c r="AE102" s="540"/>
    </row>
    <row r="103" spans="1:31" x14ac:dyDescent="0.2">
      <c r="A103" s="11">
        <v>44531</v>
      </c>
      <c r="B103" s="384">
        <v>119627</v>
      </c>
      <c r="C103" s="384">
        <v>24060</v>
      </c>
      <c r="D103" s="384">
        <v>13435</v>
      </c>
      <c r="E103" s="384">
        <v>87</v>
      </c>
      <c r="F103" s="384">
        <v>984</v>
      </c>
      <c r="G103" s="384">
        <v>361</v>
      </c>
      <c r="H103" s="380">
        <v>0.38700000000000001</v>
      </c>
      <c r="I103" s="382">
        <v>41338</v>
      </c>
      <c r="J103" s="381" t="s">
        <v>549</v>
      </c>
      <c r="K103" s="381">
        <f>0.67*120</f>
        <v>80.400000000000006</v>
      </c>
      <c r="L103" s="380">
        <v>0</v>
      </c>
      <c r="M103" s="381"/>
      <c r="N103" s="381"/>
      <c r="O103" s="381"/>
      <c r="P103" s="384">
        <f>13*27+1*4.5</f>
        <v>355.5</v>
      </c>
      <c r="Q103" s="384">
        <v>10180</v>
      </c>
      <c r="R103" s="384">
        <v>8000</v>
      </c>
      <c r="S103" s="384">
        <v>31500</v>
      </c>
      <c r="T103" s="386"/>
      <c r="U103" s="384">
        <v>683</v>
      </c>
      <c r="V103" s="384">
        <v>63.95</v>
      </c>
      <c r="W103" s="384">
        <v>0</v>
      </c>
      <c r="X103" s="384">
        <v>70</v>
      </c>
      <c r="Y103" s="555">
        <v>600</v>
      </c>
      <c r="Z103" s="555">
        <v>400</v>
      </c>
      <c r="AA103" s="541"/>
      <c r="AB103" s="541"/>
      <c r="AC103" s="540"/>
      <c r="AD103" s="540"/>
      <c r="AE103" s="540"/>
    </row>
    <row r="104" spans="1:31" x14ac:dyDescent="0.2">
      <c r="A104" s="11">
        <v>44562</v>
      </c>
      <c r="B104" s="384">
        <v>113840</v>
      </c>
      <c r="C104" s="384">
        <v>30180</v>
      </c>
      <c r="D104" s="384">
        <v>13422</v>
      </c>
      <c r="E104" s="384">
        <v>82</v>
      </c>
      <c r="F104" s="384">
        <v>1130</v>
      </c>
      <c r="G104" s="384">
        <v>288</v>
      </c>
      <c r="H104" s="380">
        <v>0</v>
      </c>
      <c r="I104" s="382">
        <v>33071</v>
      </c>
      <c r="J104" s="381" t="s">
        <v>549</v>
      </c>
      <c r="K104" s="381">
        <v>0</v>
      </c>
      <c r="L104" s="380">
        <v>0</v>
      </c>
      <c r="M104" s="381"/>
      <c r="N104" s="381"/>
      <c r="O104" s="381"/>
      <c r="P104" s="384">
        <v>0</v>
      </c>
      <c r="Q104" s="384">
        <v>19838</v>
      </c>
      <c r="R104" s="384">
        <v>6400</v>
      </c>
      <c r="S104" s="384">
        <v>28000</v>
      </c>
      <c r="T104" s="386"/>
      <c r="U104" s="384">
        <v>1410</v>
      </c>
      <c r="V104" s="384">
        <v>133.65</v>
      </c>
      <c r="W104" s="384">
        <v>0</v>
      </c>
      <c r="X104" s="384">
        <v>200</v>
      </c>
      <c r="Y104" s="555">
        <v>1200</v>
      </c>
      <c r="Z104" s="555">
        <v>600</v>
      </c>
      <c r="AA104" s="541"/>
      <c r="AB104" s="541"/>
      <c r="AC104" s="540"/>
      <c r="AD104" s="540"/>
      <c r="AE104" s="540"/>
    </row>
    <row r="105" spans="1:31" x14ac:dyDescent="0.2">
      <c r="A105" s="11">
        <v>44593</v>
      </c>
      <c r="B105" s="384">
        <v>94360</v>
      </c>
      <c r="C105" s="384">
        <v>16000</v>
      </c>
      <c r="D105" s="384">
        <v>9823</v>
      </c>
      <c r="E105" s="384">
        <v>59</v>
      </c>
      <c r="F105" s="384">
        <v>254</v>
      </c>
      <c r="G105" s="384">
        <v>191</v>
      </c>
      <c r="H105" s="380">
        <v>0.371</v>
      </c>
      <c r="I105" s="382">
        <v>24947</v>
      </c>
      <c r="J105" s="381" t="s">
        <v>549</v>
      </c>
      <c r="K105" s="381">
        <f>0.67*188</f>
        <v>125.96000000000001</v>
      </c>
      <c r="L105" s="380">
        <v>0</v>
      </c>
      <c r="M105" s="381"/>
      <c r="N105" s="381"/>
      <c r="O105" s="381"/>
      <c r="P105" s="384">
        <f>6*27+1*4.5+1*35+1*55</f>
        <v>256.5</v>
      </c>
      <c r="Q105" s="384">
        <v>7420</v>
      </c>
      <c r="R105" s="384">
        <v>4800</v>
      </c>
      <c r="S105" s="384">
        <v>14000</v>
      </c>
      <c r="T105" s="386"/>
      <c r="U105" s="384">
        <v>1223</v>
      </c>
      <c r="V105" s="384">
        <v>67.650000000000006</v>
      </c>
      <c r="W105" s="384">
        <v>869</v>
      </c>
      <c r="X105" s="384">
        <v>0</v>
      </c>
      <c r="Y105" s="555">
        <v>400</v>
      </c>
      <c r="Z105" s="555">
        <v>400</v>
      </c>
      <c r="AA105" s="541"/>
      <c r="AB105" s="541"/>
      <c r="AC105" s="540"/>
      <c r="AD105" s="540"/>
      <c r="AE105" s="540"/>
    </row>
    <row r="106" spans="1:31" x14ac:dyDescent="0.2">
      <c r="A106" s="11">
        <v>44621</v>
      </c>
      <c r="B106" s="384">
        <v>94960</v>
      </c>
      <c r="C106" s="384">
        <v>17320</v>
      </c>
      <c r="D106" s="384">
        <v>9495</v>
      </c>
      <c r="E106" s="384">
        <v>65</v>
      </c>
      <c r="F106" s="384">
        <v>324</v>
      </c>
      <c r="G106" s="384">
        <v>185.4</v>
      </c>
      <c r="H106" s="380">
        <v>0</v>
      </c>
      <c r="I106" s="382">
        <v>22091</v>
      </c>
      <c r="J106" s="381" t="s">
        <v>549</v>
      </c>
      <c r="K106" s="381">
        <v>0</v>
      </c>
      <c r="L106" s="380">
        <v>0</v>
      </c>
      <c r="M106" s="381"/>
      <c r="N106" s="381"/>
      <c r="O106" s="381"/>
      <c r="P106" s="384">
        <v>0</v>
      </c>
      <c r="Q106" s="384">
        <v>9700</v>
      </c>
      <c r="R106" s="384">
        <v>6400</v>
      </c>
      <c r="S106" s="384">
        <v>24500</v>
      </c>
      <c r="T106" s="386"/>
      <c r="U106" s="384">
        <v>540</v>
      </c>
      <c r="V106" s="384">
        <v>206.75</v>
      </c>
      <c r="W106" s="384">
        <v>0</v>
      </c>
      <c r="X106" s="384">
        <v>0</v>
      </c>
      <c r="Y106" s="555">
        <v>400</v>
      </c>
      <c r="Z106" s="555">
        <v>400</v>
      </c>
      <c r="AA106" s="541"/>
      <c r="AB106" s="541"/>
      <c r="AC106" s="540"/>
      <c r="AD106" s="540"/>
      <c r="AE106" s="540"/>
    </row>
    <row r="107" spans="1:31" x14ac:dyDescent="0.2">
      <c r="A107" s="11">
        <v>44652</v>
      </c>
      <c r="B107" s="384">
        <v>91850</v>
      </c>
      <c r="C107" s="384">
        <v>17830</v>
      </c>
      <c r="D107" s="384">
        <v>9308</v>
      </c>
      <c r="E107" s="384">
        <v>61</v>
      </c>
      <c r="F107" s="384">
        <v>1040</v>
      </c>
      <c r="G107" s="384">
        <v>137</v>
      </c>
      <c r="H107" s="380">
        <v>4.641</v>
      </c>
      <c r="I107" s="382">
        <v>24586.6</v>
      </c>
      <c r="J107" s="381" t="s">
        <v>549</v>
      </c>
      <c r="K107" s="381">
        <f>0.67*102</f>
        <v>68.34</v>
      </c>
      <c r="L107" s="380">
        <v>0</v>
      </c>
      <c r="M107" s="381"/>
      <c r="N107" s="381"/>
      <c r="O107" s="381"/>
      <c r="P107" s="384">
        <f>36*27+2*7.5+9*55</f>
        <v>1482</v>
      </c>
      <c r="Q107" s="384">
        <v>10420</v>
      </c>
      <c r="R107" s="384">
        <v>6400</v>
      </c>
      <c r="S107" s="384">
        <v>24500</v>
      </c>
      <c r="T107" s="386"/>
      <c r="U107" s="384">
        <v>174</v>
      </c>
      <c r="V107" s="384">
        <v>153.80000000000001</v>
      </c>
      <c r="W107" s="384">
        <v>1036</v>
      </c>
      <c r="X107" s="384">
        <v>160</v>
      </c>
      <c r="Y107" s="555">
        <v>800</v>
      </c>
      <c r="Z107" s="555">
        <v>200</v>
      </c>
      <c r="AA107" s="541"/>
      <c r="AB107" s="541"/>
      <c r="AC107" s="540"/>
      <c r="AD107" s="540"/>
      <c r="AE107" s="540"/>
    </row>
    <row r="108" spans="1:31" x14ac:dyDescent="0.2">
      <c r="A108" s="11">
        <v>44682</v>
      </c>
      <c r="B108" s="384">
        <v>105840</v>
      </c>
      <c r="C108" s="384">
        <v>22940</v>
      </c>
      <c r="D108" s="384">
        <v>10020</v>
      </c>
      <c r="E108" s="384">
        <v>65</v>
      </c>
      <c r="F108" s="384">
        <v>251</v>
      </c>
      <c r="G108" s="384">
        <v>113</v>
      </c>
      <c r="H108" s="380">
        <v>0</v>
      </c>
      <c r="I108" s="382">
        <v>27462</v>
      </c>
      <c r="J108" s="381" t="s">
        <v>549</v>
      </c>
      <c r="K108" s="381">
        <v>0</v>
      </c>
      <c r="L108" s="380">
        <v>0</v>
      </c>
      <c r="M108" s="381"/>
      <c r="N108" s="381"/>
      <c r="O108" s="381"/>
      <c r="P108" s="384">
        <f>13*27+7*55</f>
        <v>736</v>
      </c>
      <c r="Q108" s="384">
        <v>12000</v>
      </c>
      <c r="R108" s="384">
        <v>6400</v>
      </c>
      <c r="S108" s="384">
        <v>31500</v>
      </c>
      <c r="T108" s="386"/>
      <c r="U108" s="384">
        <v>869</v>
      </c>
      <c r="V108" s="384">
        <v>57.35</v>
      </c>
      <c r="W108" s="384">
        <v>0</v>
      </c>
      <c r="X108" s="384">
        <v>80</v>
      </c>
      <c r="Y108" s="555">
        <v>400</v>
      </c>
      <c r="Z108" s="555">
        <v>200</v>
      </c>
      <c r="AA108" s="541"/>
      <c r="AB108" s="541"/>
      <c r="AC108" s="540"/>
      <c r="AD108" s="540"/>
      <c r="AE108" s="540"/>
    </row>
    <row r="109" spans="1:31" x14ac:dyDescent="0.2">
      <c r="A109" s="11">
        <v>44713</v>
      </c>
      <c r="B109" s="384">
        <v>111880</v>
      </c>
      <c r="C109" s="384">
        <v>21280</v>
      </c>
      <c r="D109" s="384">
        <v>10130</v>
      </c>
      <c r="E109" s="384">
        <v>59</v>
      </c>
      <c r="F109" s="384">
        <v>245</v>
      </c>
      <c r="G109" s="384">
        <v>148</v>
      </c>
      <c r="H109" s="380">
        <v>0</v>
      </c>
      <c r="I109" s="382">
        <v>22866</v>
      </c>
      <c r="J109" s="381">
        <v>45</v>
      </c>
      <c r="K109" s="381">
        <v>57</v>
      </c>
      <c r="L109" s="380">
        <v>0</v>
      </c>
      <c r="M109" s="381"/>
      <c r="N109" s="381"/>
      <c r="O109" s="381"/>
      <c r="P109" s="384">
        <f>22*27+3*55+1*60</f>
        <v>819</v>
      </c>
      <c r="Q109" s="384">
        <v>9000</v>
      </c>
      <c r="R109" s="384">
        <v>8000</v>
      </c>
      <c r="S109" s="384">
        <v>35000</v>
      </c>
      <c r="T109" s="386"/>
      <c r="U109" s="384">
        <v>640</v>
      </c>
      <c r="V109" s="384">
        <v>127.8</v>
      </c>
      <c r="W109" s="384">
        <v>1056</v>
      </c>
      <c r="X109" s="384">
        <v>150</v>
      </c>
      <c r="Y109" s="555">
        <v>800</v>
      </c>
      <c r="Z109" s="555">
        <v>400</v>
      </c>
      <c r="AA109" s="541"/>
      <c r="AB109" s="614"/>
      <c r="AC109" s="540"/>
      <c r="AD109" s="540"/>
      <c r="AE109" s="540"/>
    </row>
    <row r="110" spans="1:31" x14ac:dyDescent="0.2">
      <c r="A110" s="11">
        <v>44743</v>
      </c>
      <c r="B110" s="382">
        <v>106480</v>
      </c>
      <c r="C110" s="391">
        <v>27350</v>
      </c>
      <c r="D110" s="391">
        <v>10024</v>
      </c>
      <c r="E110" s="391">
        <v>62</v>
      </c>
      <c r="F110" s="391">
        <v>748</v>
      </c>
      <c r="G110" s="391">
        <v>232</v>
      </c>
      <c r="H110" s="392">
        <v>0</v>
      </c>
      <c r="I110" s="382">
        <v>25176</v>
      </c>
      <c r="J110" s="393">
        <v>324</v>
      </c>
      <c r="K110" s="393">
        <v>44</v>
      </c>
      <c r="L110" s="392">
        <v>0</v>
      </c>
      <c r="M110" s="393"/>
      <c r="N110" s="393"/>
      <c r="O110" s="393"/>
      <c r="P110" s="391">
        <v>0</v>
      </c>
      <c r="Q110" s="382">
        <v>12000</v>
      </c>
      <c r="R110" s="391">
        <v>6400</v>
      </c>
      <c r="S110" s="382">
        <v>24500</v>
      </c>
      <c r="T110" s="390">
        <v>67</v>
      </c>
      <c r="U110" s="391">
        <v>631</v>
      </c>
      <c r="V110" s="391">
        <v>101.95</v>
      </c>
      <c r="W110" s="391">
        <v>0</v>
      </c>
      <c r="X110" s="391">
        <v>150</v>
      </c>
      <c r="Y110" s="557">
        <v>600</v>
      </c>
      <c r="Z110" s="557">
        <v>400</v>
      </c>
      <c r="AA110" s="541"/>
      <c r="AB110" s="541"/>
      <c r="AC110" s="540"/>
      <c r="AD110" s="540"/>
      <c r="AE110" s="540"/>
    </row>
    <row r="111" spans="1:31" x14ac:dyDescent="0.2">
      <c r="A111" s="11">
        <v>44774</v>
      </c>
      <c r="B111" s="382">
        <v>119990</v>
      </c>
      <c r="C111" s="391">
        <v>22610</v>
      </c>
      <c r="D111" s="391">
        <v>11052</v>
      </c>
      <c r="E111" s="391">
        <v>71</v>
      </c>
      <c r="F111" s="391">
        <v>1232</v>
      </c>
      <c r="G111" s="391">
        <v>248</v>
      </c>
      <c r="H111" s="392">
        <v>0</v>
      </c>
      <c r="I111" s="382">
        <v>26660</v>
      </c>
      <c r="J111" s="393">
        <v>89</v>
      </c>
      <c r="K111" s="393">
        <v>76</v>
      </c>
      <c r="L111" s="392">
        <v>0</v>
      </c>
      <c r="M111" s="393"/>
      <c r="N111" s="393"/>
      <c r="O111" s="393"/>
      <c r="P111" s="391">
        <f>17*27+2*55+1*35</f>
        <v>604</v>
      </c>
      <c r="Q111" s="382">
        <v>15000</v>
      </c>
      <c r="R111" s="391">
        <v>6400</v>
      </c>
      <c r="S111" s="382">
        <v>31500</v>
      </c>
      <c r="T111" s="390">
        <v>0</v>
      </c>
      <c r="U111" s="391">
        <v>567</v>
      </c>
      <c r="V111" s="391">
        <v>90.25</v>
      </c>
      <c r="W111" s="391">
        <v>1973</v>
      </c>
      <c r="X111" s="391">
        <v>150</v>
      </c>
      <c r="Y111" s="557">
        <v>1200</v>
      </c>
      <c r="Z111" s="557">
        <v>400</v>
      </c>
      <c r="AA111" s="541"/>
      <c r="AB111" s="541"/>
      <c r="AC111" s="540"/>
      <c r="AD111" s="540"/>
      <c r="AE111" s="540"/>
    </row>
    <row r="112" spans="1:31" x14ac:dyDescent="0.2">
      <c r="A112" s="11">
        <v>44805</v>
      </c>
      <c r="B112" s="382">
        <v>145680</v>
      </c>
      <c r="C112" s="391">
        <v>27480</v>
      </c>
      <c r="D112" s="391">
        <v>12231</v>
      </c>
      <c r="E112" s="391">
        <v>76</v>
      </c>
      <c r="F112" s="391">
        <v>555</v>
      </c>
      <c r="G112" s="391">
        <v>266</v>
      </c>
      <c r="H112" s="392">
        <v>0</v>
      </c>
      <c r="I112" s="382">
        <v>35619</v>
      </c>
      <c r="J112" s="393">
        <v>0</v>
      </c>
      <c r="K112" s="393">
        <v>49</v>
      </c>
      <c r="L112" s="392">
        <v>0</v>
      </c>
      <c r="M112" s="393"/>
      <c r="N112" s="393"/>
      <c r="O112" s="393"/>
      <c r="P112" s="391">
        <v>0</v>
      </c>
      <c r="Q112" s="382">
        <v>12000</v>
      </c>
      <c r="R112" s="391">
        <v>8000</v>
      </c>
      <c r="S112" s="382">
        <v>31500</v>
      </c>
      <c r="T112" s="390">
        <v>12.6</v>
      </c>
      <c r="U112" s="391">
        <v>889</v>
      </c>
      <c r="V112" s="391">
        <v>55.25</v>
      </c>
      <c r="W112" s="391">
        <v>0</v>
      </c>
      <c r="X112" s="391">
        <v>110</v>
      </c>
      <c r="Y112" s="557">
        <v>400</v>
      </c>
      <c r="Z112" s="557">
        <v>400</v>
      </c>
      <c r="AA112" s="541"/>
      <c r="AB112" s="541"/>
      <c r="AC112" s="540"/>
      <c r="AD112" s="540"/>
      <c r="AE112" s="540"/>
    </row>
    <row r="113" spans="1:37" x14ac:dyDescent="0.2">
      <c r="A113" s="11">
        <v>44835</v>
      </c>
      <c r="B113" s="382">
        <v>146210</v>
      </c>
      <c r="C113" s="391">
        <v>21850</v>
      </c>
      <c r="D113" s="391">
        <v>11893</v>
      </c>
      <c r="E113" s="391">
        <v>79</v>
      </c>
      <c r="F113" s="391">
        <v>647</v>
      </c>
      <c r="G113" s="391">
        <v>266</v>
      </c>
      <c r="H113" s="392">
        <v>0</v>
      </c>
      <c r="I113" s="382">
        <v>39851</v>
      </c>
      <c r="J113" s="393">
        <v>18</v>
      </c>
      <c r="K113" s="393">
        <v>49</v>
      </c>
      <c r="L113" s="392">
        <v>0</v>
      </c>
      <c r="M113" s="393"/>
      <c r="N113" s="393"/>
      <c r="O113" s="393"/>
      <c r="P113" s="391">
        <f>23*27+2*55</f>
        <v>731</v>
      </c>
      <c r="Q113" s="382">
        <v>15000</v>
      </c>
      <c r="R113" s="391">
        <v>6400</v>
      </c>
      <c r="S113" s="382">
        <v>28000</v>
      </c>
      <c r="T113" s="390">
        <v>0</v>
      </c>
      <c r="U113" s="391">
        <v>1137</v>
      </c>
      <c r="V113" s="391">
        <v>120.55</v>
      </c>
      <c r="W113" s="391">
        <v>1009</v>
      </c>
      <c r="X113" s="391">
        <v>60</v>
      </c>
      <c r="Y113" s="557">
        <v>800</v>
      </c>
      <c r="Z113" s="557">
        <v>400</v>
      </c>
      <c r="AA113" s="541"/>
      <c r="AB113" s="541"/>
      <c r="AC113" s="540"/>
      <c r="AD113" s="540"/>
      <c r="AE113" s="540"/>
    </row>
    <row r="114" spans="1:37" x14ac:dyDescent="0.2">
      <c r="A114" s="11">
        <v>44866</v>
      </c>
      <c r="B114" s="382">
        <v>147280</v>
      </c>
      <c r="C114" s="391">
        <v>19570</v>
      </c>
      <c r="D114" s="391">
        <v>11445</v>
      </c>
      <c r="E114" s="391">
        <v>77</v>
      </c>
      <c r="F114" s="391">
        <v>659</v>
      </c>
      <c r="G114" s="391">
        <v>273</v>
      </c>
      <c r="H114" s="392">
        <v>0</v>
      </c>
      <c r="I114" s="382">
        <v>42228</v>
      </c>
      <c r="J114" s="393">
        <v>47</v>
      </c>
      <c r="K114" s="393">
        <v>57</v>
      </c>
      <c r="L114" s="392">
        <v>0</v>
      </c>
      <c r="M114" s="393"/>
      <c r="N114" s="393"/>
      <c r="O114" s="393"/>
      <c r="P114" s="391">
        <v>0</v>
      </c>
      <c r="Q114" s="382">
        <v>12000</v>
      </c>
      <c r="R114" s="391">
        <v>6400</v>
      </c>
      <c r="S114" s="382">
        <v>31500</v>
      </c>
      <c r="T114" s="390">
        <v>6.5</v>
      </c>
      <c r="U114" s="391">
        <v>723</v>
      </c>
      <c r="V114" s="391">
        <v>0</v>
      </c>
      <c r="W114" s="391">
        <v>993</v>
      </c>
      <c r="X114" s="391">
        <v>180</v>
      </c>
      <c r="Y114" s="557">
        <v>800</v>
      </c>
      <c r="Z114" s="557">
        <v>400</v>
      </c>
      <c r="AA114" s="541"/>
      <c r="AB114" s="541"/>
      <c r="AC114" s="540"/>
      <c r="AD114" s="540"/>
      <c r="AE114" s="540"/>
    </row>
    <row r="115" spans="1:37" x14ac:dyDescent="0.2">
      <c r="A115" s="11">
        <v>44896</v>
      </c>
      <c r="B115" s="382">
        <v>132640</v>
      </c>
      <c r="C115" s="391">
        <v>21400</v>
      </c>
      <c r="D115" s="391">
        <v>11105</v>
      </c>
      <c r="E115" s="391">
        <v>65</v>
      </c>
      <c r="F115" s="391">
        <v>1568</v>
      </c>
      <c r="G115" s="391">
        <v>279</v>
      </c>
      <c r="H115" s="392">
        <v>0</v>
      </c>
      <c r="I115" s="382">
        <v>44338</v>
      </c>
      <c r="J115" s="393">
        <v>101</v>
      </c>
      <c r="K115" s="393">
        <v>17</v>
      </c>
      <c r="L115" s="392">
        <v>0</v>
      </c>
      <c r="M115" s="393"/>
      <c r="N115" s="393"/>
      <c r="O115" s="393"/>
      <c r="P115" s="391">
        <v>0</v>
      </c>
      <c r="Q115" s="382">
        <v>15000</v>
      </c>
      <c r="R115" s="391">
        <v>6400</v>
      </c>
      <c r="S115" s="382">
        <v>28000</v>
      </c>
      <c r="T115" s="390">
        <v>0</v>
      </c>
      <c r="U115" s="391">
        <v>1104</v>
      </c>
      <c r="V115" s="391">
        <v>0</v>
      </c>
      <c r="W115" s="391">
        <v>762</v>
      </c>
      <c r="X115" s="391">
        <v>230</v>
      </c>
      <c r="Y115" s="557">
        <v>800</v>
      </c>
      <c r="Z115" s="557">
        <v>400</v>
      </c>
    </row>
    <row r="116" spans="1:37" x14ac:dyDescent="0.2">
      <c r="A116" s="11">
        <v>44927</v>
      </c>
      <c r="B116" s="382">
        <v>106940</v>
      </c>
      <c r="C116" s="391">
        <v>17220</v>
      </c>
      <c r="D116" s="391">
        <v>9350</v>
      </c>
      <c r="E116" s="391">
        <v>58</v>
      </c>
      <c r="F116" s="391">
        <v>714</v>
      </c>
      <c r="G116" s="391">
        <v>198</v>
      </c>
      <c r="H116" s="392">
        <v>0</v>
      </c>
      <c r="I116" s="382">
        <v>34407</v>
      </c>
      <c r="J116" s="393">
        <v>0</v>
      </c>
      <c r="K116" s="393">
        <v>0</v>
      </c>
      <c r="L116" s="392">
        <v>0</v>
      </c>
      <c r="M116" s="393"/>
      <c r="N116" s="393"/>
      <c r="O116" s="393"/>
      <c r="P116" s="391">
        <f>37*27+2*55</f>
        <v>1109</v>
      </c>
      <c r="Q116" s="382">
        <v>15000</v>
      </c>
      <c r="R116" s="391">
        <v>6400</v>
      </c>
      <c r="S116" s="382">
        <v>31500</v>
      </c>
      <c r="T116" s="390">
        <v>9.5</v>
      </c>
      <c r="U116" s="391">
        <v>68</v>
      </c>
      <c r="V116" s="391">
        <v>36.5</v>
      </c>
      <c r="W116" s="391">
        <v>757</v>
      </c>
      <c r="X116" s="391">
        <v>90</v>
      </c>
      <c r="Y116" s="557">
        <v>400</v>
      </c>
      <c r="Z116" s="557">
        <v>200</v>
      </c>
    </row>
    <row r="117" spans="1:37" ht="17" x14ac:dyDescent="0.2">
      <c r="A117" s="11">
        <v>44958</v>
      </c>
      <c r="B117" s="382">
        <v>127480</v>
      </c>
      <c r="C117" s="391">
        <v>24570</v>
      </c>
      <c r="D117" s="391">
        <v>10379</v>
      </c>
      <c r="E117" s="391">
        <v>60</v>
      </c>
      <c r="F117" s="390">
        <v>1050</v>
      </c>
      <c r="G117" s="391">
        <v>217</v>
      </c>
      <c r="H117" s="392">
        <v>0</v>
      </c>
      <c r="I117" s="382">
        <v>28553</v>
      </c>
      <c r="J117" s="393">
        <v>24</v>
      </c>
      <c r="K117" s="393">
        <v>72</v>
      </c>
      <c r="L117" s="392">
        <v>0</v>
      </c>
      <c r="M117" s="393"/>
      <c r="N117" s="393"/>
      <c r="O117" s="393"/>
      <c r="P117" s="391">
        <v>0</v>
      </c>
      <c r="Q117" s="382">
        <v>12000</v>
      </c>
      <c r="R117" s="391">
        <v>6400</v>
      </c>
      <c r="S117" s="382">
        <v>21000</v>
      </c>
      <c r="T117" s="390">
        <v>13.4</v>
      </c>
      <c r="U117" s="391" t="s">
        <v>549</v>
      </c>
      <c r="V117" s="391">
        <v>0</v>
      </c>
      <c r="W117" s="391">
        <v>670</v>
      </c>
      <c r="X117" s="391">
        <v>140</v>
      </c>
      <c r="Y117" s="557">
        <v>600</v>
      </c>
      <c r="Z117" s="557">
        <v>400</v>
      </c>
      <c r="AA117" s="408"/>
      <c r="AB117" s="408"/>
      <c r="AF117" s="92"/>
      <c r="AG117" s="92"/>
      <c r="AH117" s="92"/>
      <c r="AI117" s="92"/>
      <c r="AJ117" s="92"/>
      <c r="AK117" s="92"/>
    </row>
    <row r="118" spans="1:37" ht="17" x14ac:dyDescent="0.2">
      <c r="A118" s="11">
        <v>44986</v>
      </c>
      <c r="B118" s="382">
        <v>146920</v>
      </c>
      <c r="C118" s="391">
        <v>22970</v>
      </c>
      <c r="D118" s="391">
        <v>11198</v>
      </c>
      <c r="E118" s="391">
        <v>71</v>
      </c>
      <c r="F118" s="390">
        <v>903</v>
      </c>
      <c r="G118" s="391">
        <v>285</v>
      </c>
      <c r="H118" s="392">
        <v>0</v>
      </c>
      <c r="I118" s="382">
        <v>35187</v>
      </c>
      <c r="J118" s="393">
        <f>0.05*580</f>
        <v>29</v>
      </c>
      <c r="K118" s="393">
        <v>73</v>
      </c>
      <c r="L118" s="392">
        <v>0</v>
      </c>
      <c r="M118" s="393"/>
      <c r="N118" s="393"/>
      <c r="O118" s="393"/>
      <c r="P118" s="391">
        <v>0</v>
      </c>
      <c r="Q118" s="382">
        <v>15000</v>
      </c>
      <c r="R118" s="391">
        <v>8000</v>
      </c>
      <c r="S118" s="382">
        <v>24500</v>
      </c>
      <c r="T118" s="390">
        <v>26.5</v>
      </c>
      <c r="U118" s="391" t="s">
        <v>549</v>
      </c>
      <c r="V118" s="391">
        <v>35.799999999999997</v>
      </c>
      <c r="W118" s="391">
        <v>603</v>
      </c>
      <c r="X118" s="391">
        <v>200</v>
      </c>
      <c r="Y118" s="557">
        <v>800</v>
      </c>
      <c r="Z118" s="557">
        <v>200</v>
      </c>
      <c r="AA118" s="408"/>
      <c r="AB118" s="408"/>
      <c r="AF118" s="92"/>
      <c r="AG118" s="92"/>
      <c r="AH118" s="92"/>
      <c r="AI118" s="92"/>
      <c r="AJ118" s="92"/>
      <c r="AK118" s="92"/>
    </row>
    <row r="119" spans="1:37" ht="17" x14ac:dyDescent="0.2">
      <c r="A119" s="11">
        <v>45017</v>
      </c>
      <c r="B119" s="382">
        <v>129810</v>
      </c>
      <c r="C119" s="391">
        <v>19680</v>
      </c>
      <c r="D119" s="391">
        <v>10871</v>
      </c>
      <c r="E119" s="391">
        <v>61</v>
      </c>
      <c r="F119" s="390">
        <v>666</v>
      </c>
      <c r="G119" s="391">
        <v>220</v>
      </c>
      <c r="H119" s="392">
        <v>0</v>
      </c>
      <c r="I119" s="382">
        <v>39810.5</v>
      </c>
      <c r="J119" s="393">
        <v>0</v>
      </c>
      <c r="K119" s="393">
        <v>48</v>
      </c>
      <c r="L119" s="392">
        <v>0</v>
      </c>
      <c r="M119" s="393"/>
      <c r="N119" s="393"/>
      <c r="O119" s="393"/>
      <c r="P119" s="391">
        <f>39*27+7*55</f>
        <v>1438</v>
      </c>
      <c r="Q119" s="382">
        <v>15000</v>
      </c>
      <c r="R119" s="391">
        <v>4800</v>
      </c>
      <c r="S119" s="382">
        <v>17500</v>
      </c>
      <c r="T119" s="390">
        <v>6.5</v>
      </c>
      <c r="U119" s="391" t="s">
        <v>549</v>
      </c>
      <c r="V119" s="391">
        <v>35.75</v>
      </c>
      <c r="W119" s="391">
        <v>499</v>
      </c>
      <c r="X119" s="391">
        <v>250</v>
      </c>
      <c r="Y119" s="558">
        <v>200</v>
      </c>
      <c r="Z119" s="558">
        <v>200</v>
      </c>
      <c r="AA119" s="408"/>
      <c r="AB119" s="408"/>
      <c r="AF119" s="92"/>
      <c r="AG119" s="92"/>
      <c r="AH119" s="92"/>
      <c r="AI119" s="92"/>
      <c r="AJ119" s="92"/>
      <c r="AK119" s="92"/>
    </row>
    <row r="120" spans="1:37" ht="17" x14ac:dyDescent="0.2">
      <c r="A120" s="11">
        <v>45047</v>
      </c>
      <c r="B120" s="382">
        <v>131750</v>
      </c>
      <c r="C120" s="391">
        <v>20220</v>
      </c>
      <c r="D120" s="391">
        <v>10533</v>
      </c>
      <c r="E120" s="391">
        <v>69</v>
      </c>
      <c r="F120" s="390">
        <v>569</v>
      </c>
      <c r="G120" s="391">
        <v>260</v>
      </c>
      <c r="H120" s="392">
        <v>0</v>
      </c>
      <c r="I120" s="382">
        <v>39784</v>
      </c>
      <c r="J120" s="393">
        <v>0</v>
      </c>
      <c r="K120" s="393">
        <v>105</v>
      </c>
      <c r="L120" s="392">
        <v>0</v>
      </c>
      <c r="M120" s="393"/>
      <c r="N120" s="393"/>
      <c r="O120" s="393"/>
      <c r="P120" s="391">
        <v>0</v>
      </c>
      <c r="Q120" s="382">
        <v>12000</v>
      </c>
      <c r="R120" s="391">
        <v>6400</v>
      </c>
      <c r="S120" s="382">
        <v>24500</v>
      </c>
      <c r="T120" s="390">
        <v>0</v>
      </c>
      <c r="U120" s="391" t="s">
        <v>549</v>
      </c>
      <c r="V120" s="391">
        <v>28.9</v>
      </c>
      <c r="W120" s="391">
        <v>0</v>
      </c>
      <c r="X120" s="391">
        <v>120</v>
      </c>
      <c r="Y120" s="558">
        <v>400</v>
      </c>
      <c r="Z120" s="558">
        <v>200</v>
      </c>
      <c r="AA120" s="613"/>
      <c r="AB120" s="613"/>
      <c r="AC120" s="540"/>
      <c r="AF120" s="92"/>
      <c r="AG120" s="92"/>
      <c r="AH120" s="92"/>
      <c r="AI120" s="92"/>
      <c r="AJ120" s="92"/>
      <c r="AK120" s="92"/>
    </row>
    <row r="121" spans="1:37" ht="17" x14ac:dyDescent="0.2">
      <c r="A121" s="11">
        <v>45078</v>
      </c>
      <c r="B121" s="382">
        <v>117380</v>
      </c>
      <c r="C121" s="391">
        <v>24830</v>
      </c>
      <c r="D121" s="391">
        <v>10392</v>
      </c>
      <c r="E121" s="391">
        <v>63</v>
      </c>
      <c r="F121" s="390">
        <v>834</v>
      </c>
      <c r="G121" s="391">
        <v>244</v>
      </c>
      <c r="H121" s="394">
        <v>0</v>
      </c>
      <c r="I121" s="382">
        <v>40149.599999999999</v>
      </c>
      <c r="J121" s="393">
        <v>0</v>
      </c>
      <c r="K121" s="393">
        <v>22</v>
      </c>
      <c r="L121" s="394">
        <v>0</v>
      </c>
      <c r="M121" s="393"/>
      <c r="N121" s="393"/>
      <c r="O121" s="393"/>
      <c r="P121" s="391">
        <v>0</v>
      </c>
      <c r="Q121" s="382">
        <v>12000</v>
      </c>
      <c r="R121" s="391">
        <v>8000</v>
      </c>
      <c r="S121" s="382">
        <v>24500</v>
      </c>
      <c r="T121" s="390">
        <v>43</v>
      </c>
      <c r="U121" s="391" t="s">
        <v>549</v>
      </c>
      <c r="V121" s="391">
        <v>41.45</v>
      </c>
      <c r="W121" s="391">
        <v>608</v>
      </c>
      <c r="X121" s="391">
        <v>180</v>
      </c>
      <c r="Y121" s="558">
        <v>1200</v>
      </c>
      <c r="Z121" s="558">
        <v>200</v>
      </c>
      <c r="AA121" s="613"/>
      <c r="AB121" s="614"/>
      <c r="AC121" s="540"/>
      <c r="AF121" s="92"/>
      <c r="AG121" s="92"/>
      <c r="AH121" s="92"/>
      <c r="AI121" s="92"/>
      <c r="AJ121" s="92"/>
      <c r="AK121" s="92"/>
    </row>
    <row r="122" spans="1:37" ht="17" x14ac:dyDescent="0.2">
      <c r="A122" s="11">
        <v>45108</v>
      </c>
      <c r="B122" s="384">
        <v>112750</v>
      </c>
      <c r="C122" s="384">
        <v>23930</v>
      </c>
      <c r="D122" s="384">
        <f>6996+3674</f>
        <v>10670</v>
      </c>
      <c r="E122" s="384">
        <v>69</v>
      </c>
      <c r="F122" s="386">
        <v>846</v>
      </c>
      <c r="G122" s="384">
        <v>216</v>
      </c>
      <c r="H122" s="394">
        <v>0</v>
      </c>
      <c r="I122" s="382">
        <v>23296.5</v>
      </c>
      <c r="J122" s="381">
        <v>0</v>
      </c>
      <c r="K122" s="381">
        <v>0</v>
      </c>
      <c r="L122" s="394">
        <v>0</v>
      </c>
      <c r="M122" s="381"/>
      <c r="N122" s="381"/>
      <c r="O122" s="381"/>
      <c r="P122" s="384">
        <v>513</v>
      </c>
      <c r="Q122" s="384">
        <v>18000</v>
      </c>
      <c r="R122" s="384">
        <f>7.185*1000</f>
        <v>7185</v>
      </c>
      <c r="S122" s="384">
        <v>14485</v>
      </c>
      <c r="T122" s="386">
        <v>0</v>
      </c>
      <c r="U122" s="384" t="s">
        <v>550</v>
      </c>
      <c r="V122" s="384">
        <v>43.5</v>
      </c>
      <c r="W122" s="384">
        <v>673</v>
      </c>
      <c r="X122" s="384">
        <v>170</v>
      </c>
      <c r="Y122" s="559">
        <v>1200</v>
      </c>
      <c r="Z122" s="559">
        <v>400</v>
      </c>
      <c r="AA122" s="613"/>
      <c r="AB122" s="613"/>
      <c r="AC122" s="540"/>
      <c r="AF122" s="92"/>
      <c r="AG122" s="92"/>
      <c r="AH122" s="92"/>
      <c r="AI122" s="92"/>
      <c r="AJ122" s="92"/>
      <c r="AK122" s="92"/>
    </row>
    <row r="123" spans="1:37" ht="17" x14ac:dyDescent="0.2">
      <c r="A123" s="11">
        <v>45139</v>
      </c>
      <c r="B123" s="384">
        <v>124050</v>
      </c>
      <c r="C123" s="384">
        <v>29050</v>
      </c>
      <c r="D123" s="384">
        <f>7291+3441</f>
        <v>10732</v>
      </c>
      <c r="E123" s="384">
        <f>72</f>
        <v>72</v>
      </c>
      <c r="F123" s="386">
        <f>800</f>
        <v>800</v>
      </c>
      <c r="G123" s="384">
        <f>227</f>
        <v>227</v>
      </c>
      <c r="H123" s="394">
        <v>0</v>
      </c>
      <c r="I123" s="382">
        <v>28190.499999999996</v>
      </c>
      <c r="J123" s="381">
        <v>0</v>
      </c>
      <c r="K123" s="381">
        <v>0</v>
      </c>
      <c r="L123" s="394">
        <v>0</v>
      </c>
      <c r="M123" s="381"/>
      <c r="N123" s="381"/>
      <c r="O123" s="381"/>
      <c r="P123" s="384">
        <f>(8*27)+(2*4.5)+(6*35)</f>
        <v>435</v>
      </c>
      <c r="Q123" s="384">
        <v>15000</v>
      </c>
      <c r="R123" s="384">
        <f>7.2*1000</f>
        <v>7200</v>
      </c>
      <c r="S123" s="384">
        <v>20070</v>
      </c>
      <c r="T123" s="386">
        <v>21.1</v>
      </c>
      <c r="U123" s="384" t="s">
        <v>550</v>
      </c>
      <c r="V123" s="384">
        <v>53.9</v>
      </c>
      <c r="W123" s="384">
        <v>996</v>
      </c>
      <c r="X123" s="384">
        <v>250</v>
      </c>
      <c r="Y123" s="560">
        <v>600</v>
      </c>
      <c r="Z123" s="560">
        <v>400</v>
      </c>
      <c r="AA123" s="613"/>
      <c r="AB123" s="613"/>
      <c r="AC123" s="540"/>
      <c r="AF123" s="92"/>
      <c r="AG123" s="92"/>
      <c r="AH123" s="92"/>
      <c r="AI123" s="92"/>
      <c r="AJ123" s="92"/>
      <c r="AK123" s="92"/>
    </row>
    <row r="124" spans="1:37" ht="17" customHeight="1" x14ac:dyDescent="0.2">
      <c r="A124" s="11">
        <v>45170</v>
      </c>
      <c r="B124" s="384">
        <v>139580</v>
      </c>
      <c r="C124" s="384">
        <v>18300</v>
      </c>
      <c r="D124" s="384">
        <f>7713+3422</f>
        <v>11135</v>
      </c>
      <c r="E124" s="384">
        <f>70</f>
        <v>70</v>
      </c>
      <c r="F124" s="386">
        <f>731</f>
        <v>731</v>
      </c>
      <c r="G124" s="384">
        <f>261</f>
        <v>261</v>
      </c>
      <c r="H124" s="394">
        <v>0</v>
      </c>
      <c r="I124" s="382">
        <v>30387</v>
      </c>
      <c r="J124" s="381">
        <v>74</v>
      </c>
      <c r="K124" s="381">
        <v>0</v>
      </c>
      <c r="L124" s="394">
        <v>0</v>
      </c>
      <c r="M124" s="381"/>
      <c r="N124" s="381"/>
      <c r="O124" s="381"/>
      <c r="P124" s="384">
        <f>(19*27)+(4*4.5)</f>
        <v>531</v>
      </c>
      <c r="Q124" s="384">
        <v>15000</v>
      </c>
      <c r="R124" s="384">
        <f>11.215*1000</f>
        <v>11215</v>
      </c>
      <c r="S124" s="384">
        <v>37770</v>
      </c>
      <c r="T124" s="386">
        <v>17.600000000000001</v>
      </c>
      <c r="U124" s="384" t="s">
        <v>550</v>
      </c>
      <c r="V124" s="384">
        <f>43.75</f>
        <v>43.75</v>
      </c>
      <c r="W124" s="384">
        <v>0</v>
      </c>
      <c r="X124" s="384">
        <v>180</v>
      </c>
      <c r="Y124" s="560">
        <v>800</v>
      </c>
      <c r="Z124" s="560">
        <v>400</v>
      </c>
      <c r="AA124" s="542"/>
      <c r="AB124" s="542"/>
      <c r="AC124" s="540"/>
      <c r="AF124" s="92"/>
      <c r="AG124" s="92"/>
      <c r="AH124" s="92"/>
      <c r="AI124" s="92"/>
      <c r="AJ124" s="92"/>
      <c r="AK124" s="92"/>
    </row>
    <row r="125" spans="1:37" ht="17" x14ac:dyDescent="0.2">
      <c r="A125" s="11">
        <v>45200</v>
      </c>
      <c r="B125" s="384">
        <v>133760</v>
      </c>
      <c r="C125" s="384">
        <v>17930</v>
      </c>
      <c r="D125" s="384">
        <f>8080+3224</f>
        <v>11304</v>
      </c>
      <c r="E125" s="384">
        <v>72</v>
      </c>
      <c r="F125" s="386">
        <v>661</v>
      </c>
      <c r="G125" s="384">
        <v>323</v>
      </c>
      <c r="H125" s="394">
        <v>0</v>
      </c>
      <c r="I125" s="382">
        <v>30156.499999999996</v>
      </c>
      <c r="J125" s="381">
        <v>77</v>
      </c>
      <c r="K125" s="381">
        <v>0</v>
      </c>
      <c r="L125" s="394">
        <v>0</v>
      </c>
      <c r="M125" s="381"/>
      <c r="N125" s="381"/>
      <c r="O125" s="381"/>
      <c r="P125" s="384">
        <f>(13*27)+(3*4.5)</f>
        <v>364.5</v>
      </c>
      <c r="Q125" s="384">
        <v>15000</v>
      </c>
      <c r="R125" s="384">
        <f>1000*9.565</f>
        <v>9565</v>
      </c>
      <c r="S125" s="384">
        <v>20910</v>
      </c>
      <c r="T125" s="386">
        <v>0</v>
      </c>
      <c r="U125" s="384" t="s">
        <v>550</v>
      </c>
      <c r="V125" s="384">
        <v>19.600000000000001</v>
      </c>
      <c r="W125" s="384">
        <v>1412</v>
      </c>
      <c r="X125" s="384">
        <v>170</v>
      </c>
      <c r="Y125" s="560">
        <v>400</v>
      </c>
      <c r="Z125" s="560">
        <v>200</v>
      </c>
      <c r="AA125" s="542"/>
      <c r="AB125" s="542"/>
      <c r="AC125" s="540"/>
      <c r="AF125" s="92"/>
      <c r="AG125" s="92"/>
      <c r="AH125" s="92"/>
      <c r="AI125" s="92"/>
      <c r="AJ125" s="92"/>
      <c r="AK125" s="92"/>
    </row>
    <row r="126" spans="1:37" ht="17" x14ac:dyDescent="0.2">
      <c r="A126" s="11">
        <v>45253</v>
      </c>
      <c r="B126" s="384">
        <v>138502</v>
      </c>
      <c r="C126" s="384">
        <v>19760</v>
      </c>
      <c r="D126" s="384">
        <f>9388+4072</f>
        <v>13460</v>
      </c>
      <c r="E126" s="384">
        <v>86</v>
      </c>
      <c r="F126" s="386">
        <v>666</v>
      </c>
      <c r="G126" s="384">
        <v>399</v>
      </c>
      <c r="H126" s="394">
        <v>0</v>
      </c>
      <c r="I126" s="382">
        <v>42615.9</v>
      </c>
      <c r="J126" s="381">
        <v>0</v>
      </c>
      <c r="K126" s="381">
        <v>0</v>
      </c>
      <c r="L126" s="394">
        <v>0</v>
      </c>
      <c r="M126" s="381"/>
      <c r="N126" s="381"/>
      <c r="O126" s="381"/>
      <c r="P126" s="384">
        <f>(12*27)+(5*4.5)+391</f>
        <v>737.5</v>
      </c>
      <c r="Q126" s="384">
        <v>12000</v>
      </c>
      <c r="R126" s="384">
        <f>1000*7.803</f>
        <v>7803</v>
      </c>
      <c r="S126" s="384">
        <v>15947</v>
      </c>
      <c r="T126" s="386">
        <v>27.2</v>
      </c>
      <c r="U126" s="384" t="s">
        <v>549</v>
      </c>
      <c r="V126" s="384">
        <v>20.6</v>
      </c>
      <c r="W126" s="384">
        <v>975</v>
      </c>
      <c r="X126" s="384">
        <v>190</v>
      </c>
      <c r="Y126" s="560">
        <v>800</v>
      </c>
      <c r="Z126" s="565">
        <v>400</v>
      </c>
      <c r="AA126" s="542"/>
      <c r="AB126" s="542"/>
      <c r="AC126" s="540"/>
      <c r="AF126" s="92"/>
      <c r="AG126" s="92"/>
      <c r="AH126" s="92"/>
      <c r="AI126" s="92"/>
      <c r="AJ126" s="92"/>
      <c r="AK126" s="92"/>
    </row>
    <row r="127" spans="1:37" ht="17" x14ac:dyDescent="0.2">
      <c r="A127" s="11">
        <v>45261</v>
      </c>
      <c r="B127" s="384">
        <v>128817.99999999999</v>
      </c>
      <c r="C127" s="384">
        <v>19890</v>
      </c>
      <c r="D127" s="384">
        <f>9155+4287</f>
        <v>13442</v>
      </c>
      <c r="E127" s="384">
        <v>83</v>
      </c>
      <c r="F127" s="386">
        <v>259</v>
      </c>
      <c r="G127" s="384">
        <v>379</v>
      </c>
      <c r="H127" s="394">
        <v>0</v>
      </c>
      <c r="I127" s="382">
        <v>35693.299999999996</v>
      </c>
      <c r="J127" s="381">
        <v>0</v>
      </c>
      <c r="K127" s="381">
        <v>0</v>
      </c>
      <c r="L127" s="394">
        <v>0</v>
      </c>
      <c r="M127" s="381"/>
      <c r="N127" s="381"/>
      <c r="O127" s="381"/>
      <c r="P127" s="384">
        <f>838+447</f>
        <v>1285</v>
      </c>
      <c r="Q127" s="384">
        <v>15000</v>
      </c>
      <c r="R127" s="384">
        <f>19.833*1000</f>
        <v>19833</v>
      </c>
      <c r="S127" s="384">
        <f>7885</f>
        <v>7885</v>
      </c>
      <c r="T127" s="386">
        <v>0</v>
      </c>
      <c r="U127" s="384" t="s">
        <v>549</v>
      </c>
      <c r="V127" s="384">
        <v>17.8</v>
      </c>
      <c r="W127" s="384">
        <v>856</v>
      </c>
      <c r="X127" s="384">
        <v>180</v>
      </c>
      <c r="Y127" s="560">
        <v>1200</v>
      </c>
      <c r="Z127" s="565">
        <v>600</v>
      </c>
      <c r="AA127" s="542"/>
      <c r="AB127" s="542"/>
      <c r="AC127" s="540"/>
      <c r="AF127" s="92"/>
      <c r="AG127" s="92"/>
      <c r="AH127" s="92"/>
      <c r="AI127" s="92"/>
      <c r="AJ127" s="92"/>
      <c r="AK127" s="92"/>
    </row>
    <row r="128" spans="1:37" ht="17" x14ac:dyDescent="0.2">
      <c r="A128" s="11">
        <v>45292</v>
      </c>
      <c r="B128" s="384">
        <f>109960+48</f>
        <v>110008</v>
      </c>
      <c r="C128" s="384">
        <v>20330</v>
      </c>
      <c r="D128" s="384">
        <v>13416</v>
      </c>
      <c r="E128" s="384">
        <v>75</v>
      </c>
      <c r="F128" s="386">
        <v>660</v>
      </c>
      <c r="G128" s="384">
        <v>359</v>
      </c>
      <c r="H128" s="394">
        <v>0</v>
      </c>
      <c r="I128" s="382">
        <v>29377.9</v>
      </c>
      <c r="J128" s="395">
        <v>371</v>
      </c>
      <c r="K128" s="395">
        <v>128</v>
      </c>
      <c r="L128" s="394">
        <v>0</v>
      </c>
      <c r="M128" s="384"/>
      <c r="N128" s="384"/>
      <c r="O128" s="384"/>
      <c r="P128" s="384">
        <f>435+482.5</f>
        <v>917.5</v>
      </c>
      <c r="Q128" s="384">
        <v>18000</v>
      </c>
      <c r="R128" s="384">
        <v>21650</v>
      </c>
      <c r="S128" s="384">
        <v>7650</v>
      </c>
      <c r="T128" s="386">
        <v>6</v>
      </c>
      <c r="U128" s="384" t="s">
        <v>549</v>
      </c>
      <c r="V128" s="384">
        <v>19.8</v>
      </c>
      <c r="W128" s="384">
        <v>0</v>
      </c>
      <c r="X128" s="384">
        <v>200</v>
      </c>
      <c r="Y128" s="560">
        <v>800</v>
      </c>
      <c r="Z128" s="560">
        <v>400</v>
      </c>
      <c r="AA128" s="542"/>
      <c r="AB128" s="542"/>
      <c r="AC128" s="540"/>
      <c r="AF128" s="92"/>
      <c r="AG128" s="92"/>
      <c r="AH128" s="92"/>
      <c r="AI128" s="92"/>
      <c r="AJ128" s="92"/>
      <c r="AK128" s="92"/>
    </row>
    <row r="129" spans="1:33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>
        <f>8541+4048</f>
        <v>12589</v>
      </c>
      <c r="E129" s="384">
        <v>75</v>
      </c>
      <c r="F129" s="386">
        <v>243</v>
      </c>
      <c r="G129" s="384">
        <v>356</v>
      </c>
      <c r="H129" s="394">
        <v>0</v>
      </c>
      <c r="I129" s="382">
        <v>35652.6</v>
      </c>
      <c r="J129" s="395">
        <v>201</v>
      </c>
      <c r="K129" s="395">
        <v>115</v>
      </c>
      <c r="L129" s="394">
        <v>0</v>
      </c>
      <c r="M129" s="384"/>
      <c r="N129" s="384"/>
      <c r="O129" s="384"/>
      <c r="P129" s="384">
        <f>218.1+135</f>
        <v>353.1</v>
      </c>
      <c r="Q129" s="384">
        <v>15000</v>
      </c>
      <c r="R129" s="395">
        <v>15470</v>
      </c>
      <c r="S129" s="395">
        <v>6340</v>
      </c>
      <c r="T129" s="395">
        <v>4.7</v>
      </c>
      <c r="U129" s="384" t="s">
        <v>549</v>
      </c>
      <c r="V129" s="384">
        <v>15.4</v>
      </c>
      <c r="W129" s="384">
        <v>698</v>
      </c>
      <c r="X129" s="397">
        <v>160</v>
      </c>
      <c r="Y129" s="561">
        <v>800</v>
      </c>
      <c r="Z129" s="561">
        <v>200</v>
      </c>
      <c r="AA129" s="542"/>
      <c r="AB129" s="542"/>
      <c r="AC129" s="540"/>
    </row>
    <row r="130" spans="1:33" ht="17" x14ac:dyDescent="0.2">
      <c r="A130" s="11">
        <v>45352</v>
      </c>
      <c r="B130" s="384">
        <f>124360+49.7</f>
        <v>124409.7</v>
      </c>
      <c r="C130" s="384">
        <v>17340</v>
      </c>
      <c r="D130" s="384">
        <v>13346</v>
      </c>
      <c r="E130" s="384">
        <v>78</v>
      </c>
      <c r="F130" s="386">
        <v>455</v>
      </c>
      <c r="G130" s="384">
        <v>393</v>
      </c>
      <c r="H130" s="394">
        <v>0</v>
      </c>
      <c r="I130" s="382">
        <v>43510.8</v>
      </c>
      <c r="J130" s="397">
        <v>0</v>
      </c>
      <c r="K130" s="395">
        <v>0</v>
      </c>
      <c r="L130" s="394">
        <v>0</v>
      </c>
      <c r="M130" s="384"/>
      <c r="N130" s="384"/>
      <c r="O130" s="384"/>
      <c r="P130" s="384">
        <f>425+360</f>
        <v>785</v>
      </c>
      <c r="Q130" s="384">
        <v>15000</v>
      </c>
      <c r="R130" s="395">
        <v>17465</v>
      </c>
      <c r="S130" s="395">
        <v>6740</v>
      </c>
      <c r="T130" s="395">
        <v>32.6</v>
      </c>
      <c r="U130" s="384" t="s">
        <v>549</v>
      </c>
      <c r="V130" s="384">
        <v>22.8</v>
      </c>
      <c r="W130" s="384">
        <v>597</v>
      </c>
      <c r="X130" s="384">
        <v>130</v>
      </c>
      <c r="Y130" s="559">
        <v>400</v>
      </c>
      <c r="Z130" s="559">
        <v>400</v>
      </c>
      <c r="AA130" s="542"/>
      <c r="AB130" s="542"/>
      <c r="AC130" s="540"/>
    </row>
    <row r="131" spans="1:33" ht="17" x14ac:dyDescent="0.2">
      <c r="A131" s="11">
        <v>45383</v>
      </c>
      <c r="B131" s="384">
        <v>118019</v>
      </c>
      <c r="C131" s="384">
        <v>18260</v>
      </c>
      <c r="D131" s="384">
        <v>12371</v>
      </c>
      <c r="E131" s="384">
        <v>79</v>
      </c>
      <c r="F131" s="386">
        <v>660</v>
      </c>
      <c r="G131" s="384">
        <v>413</v>
      </c>
      <c r="H131" s="395">
        <v>0</v>
      </c>
      <c r="I131" s="382">
        <v>39601</v>
      </c>
      <c r="J131" s="395">
        <v>40</v>
      </c>
      <c r="K131" s="395">
        <v>210</v>
      </c>
      <c r="L131" s="395">
        <v>0</v>
      </c>
      <c r="M131" s="384"/>
      <c r="N131" s="384"/>
      <c r="O131" s="384"/>
      <c r="P131" s="384">
        <f>242+198</f>
        <v>440</v>
      </c>
      <c r="Q131" s="384">
        <v>15000</v>
      </c>
      <c r="R131" s="395">
        <v>6415</v>
      </c>
      <c r="S131" s="395">
        <v>13000</v>
      </c>
      <c r="T131" s="395">
        <v>22.8</v>
      </c>
      <c r="U131" s="384" t="s">
        <v>549</v>
      </c>
      <c r="V131" s="384">
        <v>64.8</v>
      </c>
      <c r="W131" s="384">
        <v>917</v>
      </c>
      <c r="X131" s="384">
        <v>200</v>
      </c>
      <c r="Y131" s="559">
        <v>600</v>
      </c>
      <c r="Z131" s="559">
        <v>200</v>
      </c>
      <c r="AA131" s="542"/>
      <c r="AB131" s="542"/>
      <c r="AC131" s="615"/>
      <c r="AF131" s="354"/>
    </row>
    <row r="132" spans="1:33" ht="17" x14ac:dyDescent="0.2">
      <c r="A132" s="11">
        <v>45413</v>
      </c>
      <c r="B132" s="384">
        <v>146460</v>
      </c>
      <c r="C132" s="384">
        <v>21780</v>
      </c>
      <c r="D132" s="384">
        <v>13434</v>
      </c>
      <c r="E132" s="384">
        <v>83</v>
      </c>
      <c r="F132" s="386">
        <v>674</v>
      </c>
      <c r="G132" s="384">
        <v>396</v>
      </c>
      <c r="H132" s="398">
        <v>0</v>
      </c>
      <c r="I132" s="382">
        <v>40905.300000000003</v>
      </c>
      <c r="J132" s="395">
        <v>41</v>
      </c>
      <c r="K132" s="395">
        <v>74</v>
      </c>
      <c r="L132" s="395">
        <v>0</v>
      </c>
      <c r="M132" s="384"/>
      <c r="N132" s="384"/>
      <c r="O132" s="384"/>
      <c r="P132" s="384">
        <v>359</v>
      </c>
      <c r="Q132" s="384">
        <v>12000</v>
      </c>
      <c r="R132" s="399">
        <v>7575</v>
      </c>
      <c r="S132" s="399">
        <v>11695</v>
      </c>
      <c r="T132" s="395">
        <v>35.700000000000003</v>
      </c>
      <c r="U132" s="384" t="s">
        <v>549</v>
      </c>
      <c r="V132" s="381">
        <v>70.2</v>
      </c>
      <c r="W132" s="384">
        <v>321</v>
      </c>
      <c r="X132" s="384">
        <v>150</v>
      </c>
      <c r="Y132" s="559">
        <v>800</v>
      </c>
      <c r="Z132" s="559">
        <v>400</v>
      </c>
      <c r="AA132" s="542"/>
      <c r="AB132" s="542"/>
      <c r="AC132" s="615"/>
      <c r="AF132" s="354"/>
    </row>
    <row r="133" spans="1:33" ht="17" x14ac:dyDescent="0.2">
      <c r="A133" s="11">
        <v>45444</v>
      </c>
      <c r="B133" s="384">
        <v>126612</v>
      </c>
      <c r="C133" s="384">
        <v>19770</v>
      </c>
      <c r="D133" s="384">
        <v>12778</v>
      </c>
      <c r="E133" s="384">
        <v>84</v>
      </c>
      <c r="F133" s="386">
        <v>1003</v>
      </c>
      <c r="G133" s="384">
        <v>366</v>
      </c>
      <c r="H133" s="395">
        <v>0</v>
      </c>
      <c r="I133" s="382">
        <v>30060</v>
      </c>
      <c r="J133" s="395">
        <v>0</v>
      </c>
      <c r="K133" s="395">
        <v>0</v>
      </c>
      <c r="L133" s="395">
        <v>0</v>
      </c>
      <c r="M133" s="395"/>
      <c r="N133" s="395"/>
      <c r="O133" s="395"/>
      <c r="P133" s="384">
        <v>372.5</v>
      </c>
      <c r="Q133" s="384">
        <v>18000</v>
      </c>
      <c r="R133" s="395">
        <v>4565</v>
      </c>
      <c r="S133" s="395">
        <v>14570</v>
      </c>
      <c r="T133" s="395">
        <v>33.700000000000003</v>
      </c>
      <c r="U133" s="384" t="s">
        <v>549</v>
      </c>
      <c r="V133" s="381">
        <v>81</v>
      </c>
      <c r="W133" s="384">
        <v>612</v>
      </c>
      <c r="X133" s="384">
        <v>150</v>
      </c>
      <c r="Y133" s="559">
        <v>400</v>
      </c>
      <c r="Z133" s="559">
        <v>200</v>
      </c>
      <c r="AA133" s="542"/>
      <c r="AB133" s="614"/>
      <c r="AC133" s="540"/>
      <c r="AF133" s="354"/>
    </row>
    <row r="134" spans="1:33" ht="17" x14ac:dyDescent="0.2">
      <c r="A134" s="11">
        <v>45474</v>
      </c>
      <c r="B134" s="382">
        <f>137128.6+202</f>
        <v>137330.6</v>
      </c>
      <c r="C134" s="382">
        <v>23390</v>
      </c>
      <c r="D134" s="382">
        <f>8765+3647</f>
        <v>12412</v>
      </c>
      <c r="E134" s="382">
        <v>86</v>
      </c>
      <c r="F134" s="382">
        <v>808</v>
      </c>
      <c r="G134" s="382">
        <v>361</v>
      </c>
      <c r="H134" s="382">
        <v>0</v>
      </c>
      <c r="I134" s="382">
        <v>34108.800000000003</v>
      </c>
      <c r="J134" s="382">
        <v>0</v>
      </c>
      <c r="K134" s="382">
        <v>0</v>
      </c>
      <c r="L134" s="382">
        <v>0</v>
      </c>
      <c r="M134" s="382"/>
      <c r="N134" s="382"/>
      <c r="O134" s="382"/>
      <c r="P134" s="382">
        <f>1318+141.5</f>
        <v>1459.5</v>
      </c>
      <c r="Q134" s="400">
        <v>18000</v>
      </c>
      <c r="R134" s="382">
        <v>6540</v>
      </c>
      <c r="S134" s="382">
        <v>13230</v>
      </c>
      <c r="T134" s="382">
        <v>11.7</v>
      </c>
      <c r="U134" s="382" t="s">
        <v>549</v>
      </c>
      <c r="V134" s="382">
        <v>62</v>
      </c>
      <c r="W134" s="382">
        <v>704</v>
      </c>
      <c r="X134" s="382">
        <v>210</v>
      </c>
      <c r="Y134" s="562">
        <v>800</v>
      </c>
      <c r="Z134" s="562">
        <v>400</v>
      </c>
      <c r="AA134" s="542"/>
      <c r="AB134" s="540"/>
      <c r="AC134" s="540"/>
      <c r="AF134" s="354"/>
      <c r="AG134" s="407"/>
    </row>
    <row r="135" spans="1:33" ht="17" x14ac:dyDescent="0.2">
      <c r="A135" s="11">
        <v>45505</v>
      </c>
      <c r="B135" s="382">
        <f>120300+37</f>
        <v>120337</v>
      </c>
      <c r="C135" s="382">
        <v>19700</v>
      </c>
      <c r="D135" s="382">
        <v>13553</v>
      </c>
      <c r="E135" s="382">
        <v>87</v>
      </c>
      <c r="F135" s="382">
        <v>300</v>
      </c>
      <c r="G135" s="382">
        <v>366</v>
      </c>
      <c r="H135" s="382">
        <v>0</v>
      </c>
      <c r="I135" s="382">
        <v>36595.5</v>
      </c>
      <c r="J135" s="382">
        <v>26</v>
      </c>
      <c r="K135" s="382">
        <v>88</v>
      </c>
      <c r="L135" s="382">
        <v>0</v>
      </c>
      <c r="M135" s="382"/>
      <c r="N135" s="382"/>
      <c r="O135" s="382"/>
      <c r="P135" s="382">
        <f>237+(27*4+35*5+4.5*6+27)</f>
        <v>574</v>
      </c>
      <c r="Q135" s="400">
        <v>21000</v>
      </c>
      <c r="R135" s="382">
        <v>7880</v>
      </c>
      <c r="S135" s="382">
        <v>16335</v>
      </c>
      <c r="T135" s="382">
        <v>12.2</v>
      </c>
      <c r="U135" s="382" t="s">
        <v>549</v>
      </c>
      <c r="V135" s="382">
        <v>65</v>
      </c>
      <c r="W135" s="401">
        <v>479</v>
      </c>
      <c r="X135" s="401">
        <v>150</v>
      </c>
      <c r="Y135" s="562">
        <v>800</v>
      </c>
      <c r="Z135" s="562">
        <v>400</v>
      </c>
      <c r="AA135" s="542"/>
      <c r="AB135" s="540"/>
      <c r="AC135" s="540"/>
      <c r="AF135" s="354"/>
      <c r="AG135" s="407"/>
    </row>
    <row r="136" spans="1:33" ht="17" x14ac:dyDescent="0.2">
      <c r="A136" s="11">
        <v>45536</v>
      </c>
      <c r="B136" s="382">
        <f>134870+40</f>
        <v>134910</v>
      </c>
      <c r="C136" s="382">
        <v>19020</v>
      </c>
      <c r="D136" s="382">
        <v>13355</v>
      </c>
      <c r="E136" s="382">
        <v>88</v>
      </c>
      <c r="F136" s="382">
        <v>520</v>
      </c>
      <c r="G136" s="382">
        <v>349</v>
      </c>
      <c r="H136" s="382">
        <v>0</v>
      </c>
      <c r="I136" s="382">
        <v>46111.7</v>
      </c>
      <c r="J136" s="382">
        <v>27</v>
      </c>
      <c r="K136" s="382">
        <v>57</v>
      </c>
      <c r="L136" s="382">
        <v>0</v>
      </c>
      <c r="M136" s="382"/>
      <c r="N136" s="382"/>
      <c r="O136" s="382"/>
      <c r="P136" s="382">
        <f>229+7+(27*3+35*6+35*7+27*44)</f>
        <v>1960</v>
      </c>
      <c r="Q136" s="391">
        <v>12000</v>
      </c>
      <c r="R136" s="382">
        <v>6620</v>
      </c>
      <c r="S136" s="382">
        <v>17160</v>
      </c>
      <c r="T136" s="391">
        <v>14.6</v>
      </c>
      <c r="U136" s="382" t="s">
        <v>549</v>
      </c>
      <c r="V136" s="382">
        <v>79</v>
      </c>
      <c r="W136" s="382">
        <v>432</v>
      </c>
      <c r="X136" s="382">
        <v>140</v>
      </c>
      <c r="Y136" s="562">
        <v>400</v>
      </c>
      <c r="Z136" s="562">
        <v>200</v>
      </c>
      <c r="AA136" s="542"/>
      <c r="AB136" s="540"/>
      <c r="AC136" s="540"/>
      <c r="AF136" s="354"/>
      <c r="AG136" s="407"/>
    </row>
    <row r="137" spans="1:33" ht="17" x14ac:dyDescent="0.2">
      <c r="A137" s="11">
        <v>45566</v>
      </c>
      <c r="B137" s="382">
        <v>139170</v>
      </c>
      <c r="C137" s="382">
        <v>17510</v>
      </c>
      <c r="D137" s="382">
        <f>10104+4291</f>
        <v>14395</v>
      </c>
      <c r="E137" s="382">
        <v>110</v>
      </c>
      <c r="F137" s="382">
        <v>621</v>
      </c>
      <c r="G137" s="382">
        <v>394</v>
      </c>
      <c r="H137" s="382">
        <v>0</v>
      </c>
      <c r="I137" s="382">
        <v>50542.2</v>
      </c>
      <c r="J137" s="382">
        <v>99</v>
      </c>
      <c r="K137" s="382">
        <v>40</v>
      </c>
      <c r="L137" s="382">
        <v>0</v>
      </c>
      <c r="M137" s="382"/>
      <c r="N137" s="382"/>
      <c r="O137" s="382"/>
      <c r="P137" s="354">
        <f>34*27+5*4.5+4.5</f>
        <v>945</v>
      </c>
      <c r="Q137" s="400">
        <v>12000</v>
      </c>
      <c r="R137" s="382">
        <v>6395</v>
      </c>
      <c r="S137" s="382">
        <v>16830</v>
      </c>
      <c r="T137" s="391">
        <v>10.6</v>
      </c>
      <c r="U137" s="382" t="s">
        <v>549</v>
      </c>
      <c r="V137" s="382">
        <v>85</v>
      </c>
      <c r="W137" s="382">
        <v>483.3</v>
      </c>
      <c r="X137" s="382">
        <v>140</v>
      </c>
      <c r="Y137" s="562">
        <v>800</v>
      </c>
      <c r="Z137" s="562">
        <v>400</v>
      </c>
      <c r="AA137" s="542"/>
      <c r="AB137" s="540"/>
      <c r="AC137" s="540"/>
      <c r="AF137" s="354"/>
      <c r="AG137" s="407"/>
    </row>
    <row r="138" spans="1:33" ht="17" x14ac:dyDescent="0.2">
      <c r="A138" s="11">
        <v>45597</v>
      </c>
      <c r="B138" s="382">
        <v>140950</v>
      </c>
      <c r="C138" s="382">
        <v>16470</v>
      </c>
      <c r="D138" s="382">
        <f>9802+4178</f>
        <v>13980</v>
      </c>
      <c r="E138" s="382">
        <v>101</v>
      </c>
      <c r="F138" s="382">
        <v>979</v>
      </c>
      <c r="G138" s="382">
        <v>374</v>
      </c>
      <c r="H138" s="382">
        <v>0</v>
      </c>
      <c r="I138" s="382">
        <v>50742.400000000009</v>
      </c>
      <c r="J138" s="382">
        <v>11</v>
      </c>
      <c r="K138" s="354">
        <v>30</v>
      </c>
      <c r="L138" s="382">
        <v>0</v>
      </c>
      <c r="M138" s="382"/>
      <c r="N138" s="382"/>
      <c r="O138" s="382"/>
      <c r="P138" s="382">
        <v>252</v>
      </c>
      <c r="Q138" s="400">
        <v>18000</v>
      </c>
      <c r="R138" s="382">
        <v>6575</v>
      </c>
      <c r="S138" s="382">
        <v>12345</v>
      </c>
      <c r="T138" s="391">
        <v>6.7</v>
      </c>
      <c r="U138" s="382" t="s">
        <v>549</v>
      </c>
      <c r="V138" s="382">
        <v>77</v>
      </c>
      <c r="W138" s="382">
        <v>597</v>
      </c>
      <c r="X138" s="382" t="s">
        <v>549</v>
      </c>
      <c r="Y138" s="562">
        <v>800</v>
      </c>
      <c r="Z138" s="562">
        <v>200</v>
      </c>
      <c r="AA138" s="542"/>
      <c r="AB138" s="540"/>
      <c r="AC138" s="540"/>
      <c r="AF138" s="354"/>
      <c r="AG138" s="407"/>
    </row>
    <row r="139" spans="1:33" ht="17" x14ac:dyDescent="0.2">
      <c r="A139" s="11">
        <v>45627</v>
      </c>
      <c r="B139" s="382">
        <v>125300</v>
      </c>
      <c r="C139" s="382">
        <v>18200</v>
      </c>
      <c r="D139" s="382">
        <f>9342+3734</f>
        <v>13076</v>
      </c>
      <c r="E139" s="382">
        <v>89</v>
      </c>
      <c r="F139" s="382">
        <v>786</v>
      </c>
      <c r="G139" s="382">
        <v>327</v>
      </c>
      <c r="H139" s="382">
        <v>0</v>
      </c>
      <c r="I139" s="382">
        <v>42777</v>
      </c>
      <c r="J139" s="382">
        <v>15</v>
      </c>
      <c r="K139" s="382">
        <v>76</v>
      </c>
      <c r="L139" s="382">
        <v>0</v>
      </c>
      <c r="M139" s="382"/>
      <c r="N139" s="382"/>
      <c r="O139" s="382"/>
      <c r="P139" s="382">
        <v>324</v>
      </c>
      <c r="Q139" s="400">
        <v>12000</v>
      </c>
      <c r="R139" s="382">
        <v>4805</v>
      </c>
      <c r="S139" s="382">
        <v>10635</v>
      </c>
      <c r="T139" s="391">
        <v>13.4</v>
      </c>
      <c r="U139" s="382" t="s">
        <v>549</v>
      </c>
      <c r="V139" s="382">
        <v>69</v>
      </c>
      <c r="W139" s="382">
        <v>500.3</v>
      </c>
      <c r="X139" s="382">
        <v>130</v>
      </c>
      <c r="Y139" s="562">
        <v>800</v>
      </c>
      <c r="Z139" s="562">
        <v>400</v>
      </c>
      <c r="AA139" s="542"/>
      <c r="AB139" s="540"/>
      <c r="AC139" s="540"/>
      <c r="AF139" s="354"/>
      <c r="AG139" s="407"/>
    </row>
    <row r="140" spans="1:33" ht="17" x14ac:dyDescent="0.2">
      <c r="A140" s="11">
        <v>45658</v>
      </c>
      <c r="B140" s="382">
        <v>110380</v>
      </c>
      <c r="C140" s="382">
        <v>13520</v>
      </c>
      <c r="D140" s="382">
        <f>8584+3596</f>
        <v>12180</v>
      </c>
      <c r="E140" s="382">
        <v>85</v>
      </c>
      <c r="F140" s="382">
        <v>252</v>
      </c>
      <c r="G140" s="382">
        <v>306</v>
      </c>
      <c r="H140" s="382">
        <v>0</v>
      </c>
      <c r="I140" s="382">
        <v>32055</v>
      </c>
      <c r="J140" s="382">
        <v>0</v>
      </c>
      <c r="K140" s="382">
        <v>0</v>
      </c>
      <c r="L140" s="382">
        <v>0</v>
      </c>
      <c r="M140" s="382"/>
      <c r="N140" s="382"/>
      <c r="O140" s="382"/>
      <c r="P140" s="382">
        <f>432+270</f>
        <v>702</v>
      </c>
      <c r="Q140" s="400">
        <v>15000</v>
      </c>
      <c r="R140" s="382">
        <v>6125</v>
      </c>
      <c r="S140" s="382">
        <v>14663</v>
      </c>
      <c r="T140" s="391">
        <v>8.5</v>
      </c>
      <c r="U140" s="382" t="s">
        <v>549</v>
      </c>
      <c r="V140" s="382">
        <v>82</v>
      </c>
      <c r="W140" s="382">
        <v>535.70000000000005</v>
      </c>
      <c r="X140" s="382">
        <v>140</v>
      </c>
      <c r="Y140" s="563">
        <v>400</v>
      </c>
      <c r="Z140" s="563">
        <v>200</v>
      </c>
      <c r="AA140" s="542"/>
      <c r="AB140" s="540"/>
      <c r="AC140" s="540"/>
      <c r="AF140" s="354"/>
      <c r="AG140" s="407"/>
    </row>
    <row r="141" spans="1:33" ht="17" x14ac:dyDescent="0.2">
      <c r="A141" s="11">
        <v>45689</v>
      </c>
      <c r="B141" s="382">
        <v>125120</v>
      </c>
      <c r="C141" s="382">
        <v>14790</v>
      </c>
      <c r="D141" s="382">
        <f>9026+3793</f>
        <v>12819</v>
      </c>
      <c r="E141" s="382">
        <v>99</v>
      </c>
      <c r="F141" s="382">
        <v>755</v>
      </c>
      <c r="G141" s="382">
        <v>340</v>
      </c>
      <c r="H141" s="382">
        <v>0</v>
      </c>
      <c r="I141" s="382">
        <v>41573.300000000003</v>
      </c>
      <c r="J141" s="382">
        <v>70</v>
      </c>
      <c r="K141" s="382">
        <v>53</v>
      </c>
      <c r="L141" s="382">
        <v>0</v>
      </c>
      <c r="M141" s="382"/>
      <c r="N141" s="382"/>
      <c r="O141" s="382"/>
      <c r="P141" s="382">
        <v>403</v>
      </c>
      <c r="Q141" s="400">
        <v>12000</v>
      </c>
      <c r="R141" s="382">
        <v>6455</v>
      </c>
      <c r="S141" s="382">
        <v>10741</v>
      </c>
      <c r="T141" s="391">
        <v>21</v>
      </c>
      <c r="U141" s="382" t="s">
        <v>549</v>
      </c>
      <c r="V141" s="382">
        <v>98</v>
      </c>
      <c r="W141" s="382">
        <v>307.5</v>
      </c>
      <c r="X141" s="382">
        <v>150</v>
      </c>
      <c r="Y141" s="562">
        <v>200</v>
      </c>
      <c r="Z141" s="562">
        <v>200</v>
      </c>
      <c r="AA141" s="542"/>
      <c r="AB141" s="540"/>
      <c r="AC141" s="540"/>
      <c r="AF141" s="354"/>
      <c r="AG141" s="407"/>
    </row>
    <row r="142" spans="1:33" ht="17" x14ac:dyDescent="0.2">
      <c r="A142" s="11">
        <v>45717</v>
      </c>
      <c r="B142" s="391">
        <v>139600</v>
      </c>
      <c r="C142" s="391">
        <v>19610</v>
      </c>
      <c r="D142" s="391">
        <f>9687+4115</f>
        <v>13802</v>
      </c>
      <c r="E142" s="391">
        <v>111</v>
      </c>
      <c r="F142" s="391">
        <v>922</v>
      </c>
      <c r="G142" s="391">
        <f>385+149</f>
        <v>534</v>
      </c>
      <c r="H142" s="391">
        <v>0</v>
      </c>
      <c r="I142" s="391">
        <v>49419.1</v>
      </c>
      <c r="J142" s="391">
        <v>140</v>
      </c>
      <c r="K142" s="391">
        <v>27</v>
      </c>
      <c r="L142" s="391">
        <v>0</v>
      </c>
      <c r="M142" s="391"/>
      <c r="N142" s="391"/>
      <c r="O142" s="391"/>
      <c r="P142" s="391">
        <v>779.5</v>
      </c>
      <c r="Q142" s="391">
        <v>18000</v>
      </c>
      <c r="R142" s="391">
        <v>5720</v>
      </c>
      <c r="S142" s="391">
        <v>10890</v>
      </c>
      <c r="T142" s="391">
        <v>25</v>
      </c>
      <c r="U142" s="391" t="s">
        <v>549</v>
      </c>
      <c r="V142" s="391">
        <v>92</v>
      </c>
      <c r="W142" s="391">
        <v>913</v>
      </c>
      <c r="X142" s="391">
        <v>110</v>
      </c>
      <c r="Y142" s="564">
        <v>800</v>
      </c>
      <c r="Z142" s="564">
        <v>400</v>
      </c>
      <c r="AA142" s="542"/>
      <c r="AB142" s="540"/>
      <c r="AC142" s="540"/>
      <c r="AD142" s="540"/>
      <c r="AE142" s="540"/>
      <c r="AF142" s="540"/>
      <c r="AG142" s="110"/>
    </row>
    <row r="143" spans="1:33" ht="17" x14ac:dyDescent="0.2">
      <c r="A143" s="11">
        <v>45748</v>
      </c>
      <c r="B143" s="382">
        <v>125070</v>
      </c>
      <c r="C143" s="382">
        <v>21290</v>
      </c>
      <c r="D143" s="382">
        <f>9913+3880</f>
        <v>13793</v>
      </c>
      <c r="E143" s="382">
        <v>102</v>
      </c>
      <c r="F143" s="382">
        <v>1256</v>
      </c>
      <c r="G143" s="382">
        <v>393</v>
      </c>
      <c r="H143" s="382">
        <v>0</v>
      </c>
      <c r="I143" s="382">
        <v>42293.100000000006</v>
      </c>
      <c r="J143" s="382">
        <v>153</v>
      </c>
      <c r="K143" s="382">
        <v>51</v>
      </c>
      <c r="L143" s="382">
        <v>0</v>
      </c>
      <c r="M143" s="382"/>
      <c r="N143" s="382"/>
      <c r="O143" s="382"/>
      <c r="P143" s="382">
        <v>108.5</v>
      </c>
      <c r="Q143" s="400">
        <v>15000</v>
      </c>
      <c r="R143" s="382">
        <v>5518</v>
      </c>
      <c r="S143" s="382">
        <v>13267</v>
      </c>
      <c r="T143" s="391">
        <v>7</v>
      </c>
      <c r="U143" s="382" t="s">
        <v>549</v>
      </c>
      <c r="V143" s="382">
        <v>79</v>
      </c>
      <c r="W143" s="382">
        <v>0</v>
      </c>
      <c r="X143" s="391">
        <v>130</v>
      </c>
      <c r="Y143" s="562">
        <v>800</v>
      </c>
      <c r="Z143" s="562">
        <v>400</v>
      </c>
      <c r="AA143" s="542"/>
      <c r="AB143" s="540"/>
      <c r="AC143" s="540"/>
      <c r="AF143" s="354"/>
      <c r="AG143" s="407"/>
    </row>
    <row r="144" spans="1:33" ht="17" x14ac:dyDescent="0.2">
      <c r="A144" s="11">
        <v>45778</v>
      </c>
      <c r="B144" s="382">
        <v>140130</v>
      </c>
      <c r="C144" s="382">
        <v>19990</v>
      </c>
      <c r="D144" s="382">
        <f>9879+3720</f>
        <v>13599</v>
      </c>
      <c r="E144" s="382">
        <v>111</v>
      </c>
      <c r="F144" s="382">
        <v>1084</v>
      </c>
      <c r="G144" s="382">
        <f>418+30</f>
        <v>448</v>
      </c>
      <c r="H144" s="382">
        <v>0</v>
      </c>
      <c r="I144" s="382">
        <v>44778.400000000009</v>
      </c>
      <c r="J144" s="382">
        <v>128</v>
      </c>
      <c r="K144" s="382">
        <v>58</v>
      </c>
      <c r="L144" s="382">
        <v>0</v>
      </c>
      <c r="M144" s="382"/>
      <c r="N144" s="382"/>
      <c r="O144" s="382"/>
      <c r="P144" s="382">
        <v>475.5</v>
      </c>
      <c r="Q144" s="400">
        <v>18000</v>
      </c>
      <c r="R144" s="384">
        <v>5925</v>
      </c>
      <c r="S144" s="384">
        <v>9595</v>
      </c>
      <c r="T144" s="391">
        <v>10.1</v>
      </c>
      <c r="U144" s="382" t="s">
        <v>549</v>
      </c>
      <c r="V144" s="382">
        <v>95</v>
      </c>
      <c r="W144" s="382">
        <v>774.4</v>
      </c>
      <c r="X144" s="391">
        <v>150</v>
      </c>
      <c r="Y144" s="562">
        <v>800</v>
      </c>
      <c r="Z144" s="562">
        <v>400</v>
      </c>
      <c r="AA144" s="542"/>
      <c r="AB144" s="540"/>
      <c r="AC144" s="540"/>
      <c r="AF144" s="354"/>
    </row>
    <row r="145" spans="1:32" ht="17" x14ac:dyDescent="0.2">
      <c r="A145" s="11">
        <v>45809</v>
      </c>
      <c r="B145" s="382">
        <v>128640</v>
      </c>
      <c r="C145" s="382">
        <v>23570</v>
      </c>
      <c r="D145" s="382">
        <f>8950+3936</f>
        <v>12886</v>
      </c>
      <c r="E145" s="382">
        <v>115</v>
      </c>
      <c r="F145" s="382">
        <v>864</v>
      </c>
      <c r="G145" s="382">
        <v>393</v>
      </c>
      <c r="H145" s="382">
        <v>0</v>
      </c>
      <c r="I145" s="382">
        <v>31534.400000000001</v>
      </c>
      <c r="J145" s="382">
        <v>163</v>
      </c>
      <c r="K145" s="382">
        <v>28</v>
      </c>
      <c r="L145" s="382">
        <v>0</v>
      </c>
      <c r="M145" s="382"/>
      <c r="N145" s="382"/>
      <c r="O145" s="382"/>
      <c r="P145" s="382">
        <v>671.5</v>
      </c>
      <c r="Q145" s="400">
        <v>18000</v>
      </c>
      <c r="R145" s="384">
        <v>5780</v>
      </c>
      <c r="S145" s="384">
        <v>18235</v>
      </c>
      <c r="T145" s="391">
        <f>AVERAGE(T134:T144)</f>
        <v>12.799999999999999</v>
      </c>
      <c r="U145" s="382" t="s">
        <v>549</v>
      </c>
      <c r="V145" s="382">
        <v>83</v>
      </c>
      <c r="W145" s="382">
        <v>314.60000000000002</v>
      </c>
      <c r="X145" s="391">
        <v>100</v>
      </c>
      <c r="Y145" s="562">
        <v>800</v>
      </c>
      <c r="Z145" s="562">
        <v>400</v>
      </c>
      <c r="AA145" s="542"/>
      <c r="AB145" s="614"/>
      <c r="AC145" s="540"/>
      <c r="AD145" s="407"/>
      <c r="AF145" s="354"/>
    </row>
    <row r="146" spans="1:32" x14ac:dyDescent="0.2">
      <c r="A146" s="11">
        <v>45839</v>
      </c>
      <c r="B146" s="384">
        <v>121260</v>
      </c>
      <c r="C146" s="384">
        <v>22800</v>
      </c>
      <c r="D146" s="384">
        <f>9078+4024+657+385</f>
        <v>14144</v>
      </c>
      <c r="E146" s="384">
        <f>92+17</f>
        <v>109</v>
      </c>
      <c r="F146" s="384">
        <v>953</v>
      </c>
      <c r="G146" s="384">
        <f>326+66+41</f>
        <v>433</v>
      </c>
      <c r="H146" s="384"/>
      <c r="I146" s="384">
        <v>30759.799999999996</v>
      </c>
      <c r="J146" s="384">
        <v>135</v>
      </c>
      <c r="K146" s="384">
        <v>43</v>
      </c>
      <c r="L146" s="384"/>
      <c r="M146" s="384"/>
      <c r="N146" s="384"/>
      <c r="O146" s="384"/>
      <c r="P146" s="384"/>
      <c r="Q146" s="384">
        <v>13120</v>
      </c>
      <c r="R146" s="384">
        <v>6740</v>
      </c>
      <c r="S146" s="384">
        <v>13345</v>
      </c>
      <c r="T146" s="384">
        <v>6</v>
      </c>
      <c r="U146" s="384"/>
      <c r="V146" s="384">
        <v>83</v>
      </c>
      <c r="W146" s="384">
        <v>0</v>
      </c>
      <c r="X146" s="384"/>
      <c r="Y146" s="561">
        <v>800</v>
      </c>
      <c r="Z146" s="561">
        <v>400</v>
      </c>
      <c r="AA146" s="8"/>
      <c r="AB146" s="8"/>
      <c r="AC146" s="8"/>
      <c r="AD146" s="8"/>
      <c r="AE146" s="8"/>
    </row>
    <row r="147" spans="1:32" x14ac:dyDescent="0.2">
      <c r="A147" s="11">
        <v>45870</v>
      </c>
      <c r="B147" s="384">
        <v>130380</v>
      </c>
      <c r="C147" s="384">
        <v>25120</v>
      </c>
      <c r="D147" s="384">
        <f>9424+3980+714+395</f>
        <v>14513</v>
      </c>
      <c r="E147" s="384">
        <f>93+17</f>
        <v>110</v>
      </c>
      <c r="F147" s="384">
        <v>780</v>
      </c>
      <c r="G147" s="384">
        <f>341+65+48</f>
        <v>454</v>
      </c>
      <c r="H147" s="384"/>
      <c r="I147" s="384">
        <v>31994.2</v>
      </c>
      <c r="J147" s="384">
        <v>125</v>
      </c>
      <c r="K147" s="384">
        <v>46</v>
      </c>
      <c r="L147" s="384"/>
      <c r="M147" s="384"/>
      <c r="N147" s="384"/>
      <c r="O147" s="384"/>
      <c r="P147" s="384"/>
      <c r="Q147" s="384">
        <v>15150</v>
      </c>
      <c r="R147" s="384">
        <v>8680</v>
      </c>
      <c r="S147" s="384">
        <v>20840</v>
      </c>
      <c r="T147" s="384">
        <v>0</v>
      </c>
      <c r="U147" s="384"/>
      <c r="V147" s="384">
        <v>91</v>
      </c>
      <c r="W147" s="384">
        <v>893</v>
      </c>
      <c r="X147" s="384"/>
      <c r="Y147" s="561">
        <v>800</v>
      </c>
      <c r="Z147" s="561">
        <v>400</v>
      </c>
      <c r="AA147" s="540"/>
      <c r="AB147" s="540"/>
      <c r="AC147" s="8"/>
      <c r="AD147" s="8"/>
      <c r="AE147" s="8"/>
    </row>
    <row r="148" spans="1:32" ht="17" x14ac:dyDescent="0.2">
      <c r="A148" s="11">
        <v>45901</v>
      </c>
      <c r="B148" s="384">
        <v>141660</v>
      </c>
      <c r="C148" s="384">
        <v>24780</v>
      </c>
      <c r="D148" s="384">
        <f>9017+3930+760+409</f>
        <v>14116</v>
      </c>
      <c r="E148" s="384">
        <f>94+15</f>
        <v>109</v>
      </c>
      <c r="F148" s="384">
        <v>1806</v>
      </c>
      <c r="G148" s="384">
        <f>327+74</f>
        <v>401</v>
      </c>
      <c r="H148" s="384"/>
      <c r="I148" s="384">
        <v>42403.399999999994</v>
      </c>
      <c r="J148" s="384">
        <v>0</v>
      </c>
      <c r="K148" s="384">
        <v>0</v>
      </c>
      <c r="L148" s="384"/>
      <c r="M148" s="384"/>
      <c r="N148" s="384"/>
      <c r="O148" s="384"/>
      <c r="P148" s="384"/>
      <c r="Q148" s="384">
        <v>14305</v>
      </c>
      <c r="R148" s="384">
        <v>11010</v>
      </c>
      <c r="S148" s="384">
        <v>13360</v>
      </c>
      <c r="T148" s="384">
        <v>5</v>
      </c>
      <c r="U148" s="384"/>
      <c r="V148" s="384">
        <v>117</v>
      </c>
      <c r="W148" s="384" t="s">
        <v>549</v>
      </c>
      <c r="X148" s="384"/>
      <c r="Y148" s="561">
        <v>800</v>
      </c>
      <c r="Z148" s="561">
        <v>400</v>
      </c>
      <c r="AA148" s="354"/>
      <c r="AB148" s="354"/>
      <c r="AC148" s="8"/>
      <c r="AD148" s="8"/>
      <c r="AE148" s="8"/>
    </row>
    <row r="149" spans="1:32" x14ac:dyDescent="0.2">
      <c r="A149" s="11">
        <v>45931</v>
      </c>
      <c r="B149" s="384">
        <v>145450</v>
      </c>
      <c r="C149" s="384">
        <v>23010</v>
      </c>
      <c r="D149" s="384">
        <f>8982+3900+681+389</f>
        <v>13952</v>
      </c>
      <c r="E149" s="384">
        <f>14+90</f>
        <v>104</v>
      </c>
      <c r="F149" s="384">
        <v>1060</v>
      </c>
      <c r="G149" s="384">
        <f>310+69+13</f>
        <v>392</v>
      </c>
      <c r="H149" s="384"/>
      <c r="I149" s="384">
        <v>47055.799999999996</v>
      </c>
      <c r="J149" s="384">
        <v>0</v>
      </c>
      <c r="K149" s="384">
        <v>42</v>
      </c>
      <c r="L149" s="384"/>
      <c r="M149" s="384"/>
      <c r="N149" s="384"/>
      <c r="O149" s="384"/>
      <c r="P149" s="384"/>
      <c r="Q149" s="384">
        <v>9655</v>
      </c>
      <c r="R149" s="384">
        <v>10020</v>
      </c>
      <c r="S149" s="384">
        <v>19145</v>
      </c>
      <c r="T149" s="384">
        <v>11.5</v>
      </c>
      <c r="U149" s="543"/>
      <c r="V149" s="384">
        <v>108</v>
      </c>
      <c r="W149" s="384">
        <v>191.2</v>
      </c>
      <c r="X149" s="384"/>
      <c r="Y149" s="561">
        <v>400</v>
      </c>
      <c r="Z149" s="561">
        <v>200</v>
      </c>
      <c r="AA149" s="354"/>
      <c r="AB149" s="354"/>
      <c r="AC149" s="8"/>
      <c r="AD149" s="8"/>
      <c r="AE149" s="8"/>
    </row>
    <row r="150" spans="1:32" x14ac:dyDescent="0.2">
      <c r="A150" s="11">
        <v>45962</v>
      </c>
      <c r="B150" s="384">
        <v>150840</v>
      </c>
      <c r="C150" s="384">
        <v>23410</v>
      </c>
      <c r="D150" s="384">
        <v>14700</v>
      </c>
      <c r="E150" s="384">
        <v>120</v>
      </c>
      <c r="F150" s="384">
        <v>1382</v>
      </c>
      <c r="G150" s="384">
        <v>469</v>
      </c>
      <c r="H150" s="384"/>
      <c r="I150" s="384">
        <v>51520.399999999994</v>
      </c>
      <c r="J150" s="384">
        <v>24</v>
      </c>
      <c r="K150" s="384">
        <v>26</v>
      </c>
      <c r="L150" s="384"/>
      <c r="M150" s="384"/>
      <c r="N150" s="384"/>
      <c r="O150" s="384"/>
      <c r="P150" s="384"/>
      <c r="Q150" s="384">
        <v>9530</v>
      </c>
      <c r="R150" s="384">
        <v>8905</v>
      </c>
      <c r="S150" s="384">
        <v>15420</v>
      </c>
      <c r="T150" s="384">
        <v>7</v>
      </c>
      <c r="U150" s="384"/>
      <c r="V150" s="384">
        <v>135</v>
      </c>
      <c r="W150" s="384">
        <v>946</v>
      </c>
      <c r="X150" s="384"/>
      <c r="Y150" s="561">
        <v>800</v>
      </c>
      <c r="Z150" s="561">
        <v>400</v>
      </c>
      <c r="AA150" s="354"/>
      <c r="AB150" s="354"/>
      <c r="AC150" s="8"/>
      <c r="AD150" s="8"/>
      <c r="AE150" s="8"/>
    </row>
    <row r="151" spans="1:32" x14ac:dyDescent="0.2">
      <c r="A151" s="11">
        <v>45992</v>
      </c>
      <c r="B151" s="384">
        <v>133710</v>
      </c>
      <c r="C151" s="384">
        <v>25150</v>
      </c>
      <c r="D151" s="384">
        <v>12838</v>
      </c>
      <c r="E151" s="384">
        <v>117</v>
      </c>
      <c r="F151" s="384">
        <v>280</v>
      </c>
      <c r="G151" s="384">
        <v>431</v>
      </c>
      <c r="H151" s="384"/>
      <c r="I151" s="384">
        <v>40105.1</v>
      </c>
      <c r="J151" s="384">
        <v>0</v>
      </c>
      <c r="K151" s="384">
        <v>68</v>
      </c>
      <c r="L151" s="384"/>
      <c r="M151" s="384"/>
      <c r="N151" s="384"/>
      <c r="O151" s="384"/>
      <c r="P151" s="384"/>
      <c r="Q151" s="384">
        <v>11380</v>
      </c>
      <c r="R151" s="384">
        <v>10775</v>
      </c>
      <c r="S151" s="384">
        <v>11475</v>
      </c>
      <c r="T151" s="384">
        <v>5</v>
      </c>
      <c r="U151" s="384"/>
      <c r="V151" s="384">
        <v>96</v>
      </c>
      <c r="W151" s="384">
        <v>0</v>
      </c>
      <c r="X151" s="384"/>
      <c r="Y151" s="561">
        <v>800</v>
      </c>
      <c r="Z151" s="561">
        <v>400</v>
      </c>
      <c r="AA151" s="354"/>
      <c r="AB151" s="354"/>
      <c r="AC151" s="8"/>
      <c r="AD151" s="8"/>
      <c r="AE151" s="8"/>
    </row>
    <row r="152" spans="1:32" x14ac:dyDescent="0.2">
      <c r="A152" s="11">
        <v>46023</v>
      </c>
      <c r="B152" s="384">
        <v>114050</v>
      </c>
      <c r="C152" s="384">
        <v>23100</v>
      </c>
      <c r="D152" s="384">
        <v>13661</v>
      </c>
      <c r="E152" s="384">
        <v>115</v>
      </c>
      <c r="F152" s="384">
        <v>882</v>
      </c>
      <c r="G152" s="384">
        <v>390</v>
      </c>
      <c r="H152" s="384"/>
      <c r="I152" s="384">
        <v>30488.999999999996</v>
      </c>
      <c r="J152" s="384">
        <v>26</v>
      </c>
      <c r="K152" s="384">
        <v>23</v>
      </c>
      <c r="L152" s="384"/>
      <c r="M152" s="384"/>
      <c r="N152" s="384"/>
      <c r="O152" s="384"/>
      <c r="P152" s="384"/>
      <c r="Q152" s="384">
        <v>10865</v>
      </c>
      <c r="R152" s="384">
        <v>11975</v>
      </c>
      <c r="S152" s="384">
        <v>8510</v>
      </c>
      <c r="T152" s="384">
        <v>12</v>
      </c>
      <c r="U152" s="384"/>
      <c r="V152" s="384"/>
      <c r="W152" s="384">
        <v>1116</v>
      </c>
      <c r="X152" s="384"/>
      <c r="Y152" s="561">
        <v>800</v>
      </c>
      <c r="Z152" s="561">
        <v>400</v>
      </c>
      <c r="AA152" s="354"/>
      <c r="AB152" s="354"/>
      <c r="AC152" s="8"/>
      <c r="AD152" s="8"/>
      <c r="AE152" s="8"/>
    </row>
    <row r="153" spans="1:32" x14ac:dyDescent="0.2">
      <c r="A153" s="11">
        <v>46054</v>
      </c>
      <c r="B153" s="384">
        <v>123400</v>
      </c>
      <c r="C153" s="384">
        <v>16820</v>
      </c>
      <c r="D153" s="384">
        <v>11648</v>
      </c>
      <c r="E153" s="384">
        <v>102</v>
      </c>
      <c r="F153" s="384">
        <v>507</v>
      </c>
      <c r="G153" s="384">
        <v>302</v>
      </c>
      <c r="H153" s="384"/>
      <c r="I153" s="384"/>
      <c r="J153" s="384">
        <v>0</v>
      </c>
      <c r="K153" s="384">
        <v>0</v>
      </c>
      <c r="L153" s="384"/>
      <c r="M153" s="384"/>
      <c r="N153" s="384"/>
      <c r="O153" s="384"/>
      <c r="P153" s="384"/>
      <c r="Q153" s="384">
        <v>20659</v>
      </c>
      <c r="R153" s="384">
        <v>12319</v>
      </c>
      <c r="S153" s="384">
        <v>8672</v>
      </c>
      <c r="T153" s="384">
        <v>0</v>
      </c>
      <c r="U153" s="384"/>
      <c r="V153" s="384"/>
      <c r="W153" s="384">
        <v>0</v>
      </c>
      <c r="X153" s="384"/>
      <c r="Y153" s="561">
        <v>800</v>
      </c>
      <c r="Z153" s="561">
        <v>400</v>
      </c>
      <c r="AA153" s="354"/>
      <c r="AB153" s="354"/>
      <c r="AC153" s="8"/>
      <c r="AD153" s="8"/>
      <c r="AE153" s="8"/>
    </row>
    <row r="154" spans="1:32" x14ac:dyDescent="0.2">
      <c r="A154" s="11">
        <v>46082</v>
      </c>
      <c r="B154" s="384">
        <v>164450</v>
      </c>
      <c r="C154" s="384">
        <v>22110</v>
      </c>
      <c r="D154" s="384">
        <v>13565</v>
      </c>
      <c r="E154" s="384">
        <v>116</v>
      </c>
      <c r="F154" s="384">
        <v>1571</v>
      </c>
      <c r="G154" s="384">
        <v>432</v>
      </c>
      <c r="H154" s="384"/>
      <c r="I154" s="384">
        <v>0</v>
      </c>
      <c r="J154" s="384">
        <v>18</v>
      </c>
      <c r="K154" s="384">
        <v>32</v>
      </c>
      <c r="L154" s="384"/>
      <c r="M154" s="384"/>
      <c r="N154" s="384"/>
      <c r="O154" s="384"/>
      <c r="P154" s="384"/>
      <c r="Q154" s="384">
        <v>10009</v>
      </c>
      <c r="R154" s="384">
        <v>12478</v>
      </c>
      <c r="S154" s="384">
        <v>12330</v>
      </c>
      <c r="T154" s="384">
        <v>9.5</v>
      </c>
      <c r="U154" s="384"/>
      <c r="V154" s="384"/>
      <c r="W154" s="384">
        <v>672.9</v>
      </c>
      <c r="X154" s="384"/>
      <c r="Y154" s="561">
        <v>800</v>
      </c>
      <c r="Z154" s="561">
        <v>400</v>
      </c>
      <c r="AA154" s="354"/>
      <c r="AB154" s="354"/>
      <c r="AC154" s="8"/>
      <c r="AD154" s="8"/>
      <c r="AE154" s="8"/>
    </row>
    <row r="155" spans="1:32" x14ac:dyDescent="0.2">
      <c r="A155" s="11">
        <v>46113</v>
      </c>
      <c r="B155" s="384">
        <v>146340</v>
      </c>
      <c r="C155" s="384">
        <v>15730</v>
      </c>
      <c r="D155" s="384">
        <v>12906</v>
      </c>
      <c r="E155" s="384">
        <v>103</v>
      </c>
      <c r="F155" s="384">
        <v>237</v>
      </c>
      <c r="G155" s="384">
        <v>377</v>
      </c>
      <c r="H155" s="384"/>
      <c r="I155" s="384">
        <v>0</v>
      </c>
      <c r="J155" s="384">
        <v>20</v>
      </c>
      <c r="K155" s="384">
        <v>0</v>
      </c>
      <c r="L155" s="384"/>
      <c r="M155" s="384"/>
      <c r="N155" s="384"/>
      <c r="O155" s="384"/>
      <c r="P155" s="384"/>
      <c r="Q155" s="384">
        <v>6591</v>
      </c>
      <c r="R155" s="384">
        <v>11114</v>
      </c>
      <c r="S155" s="384">
        <v>9640</v>
      </c>
      <c r="T155" s="384">
        <v>6</v>
      </c>
      <c r="U155" s="384"/>
      <c r="V155" s="384"/>
      <c r="W155" s="384">
        <v>0</v>
      </c>
      <c r="X155" s="384"/>
      <c r="Y155" s="561">
        <v>600</v>
      </c>
      <c r="Z155" s="384">
        <v>0</v>
      </c>
      <c r="AA155" s="354"/>
      <c r="AB155" s="354"/>
      <c r="AC155" s="8"/>
      <c r="AD155" s="8"/>
      <c r="AE155" s="8"/>
    </row>
    <row r="156" spans="1:32" x14ac:dyDescent="0.2">
      <c r="A156" s="11">
        <v>46143</v>
      </c>
      <c r="B156" s="384"/>
      <c r="C156" s="384"/>
      <c r="D156" s="384">
        <v>13759</v>
      </c>
      <c r="E156" s="384"/>
      <c r="F156" s="384"/>
      <c r="G156" s="384"/>
      <c r="H156" s="384"/>
      <c r="I156" s="384">
        <v>0</v>
      </c>
      <c r="J156" s="384">
        <v>0</v>
      </c>
      <c r="K156" s="384">
        <v>0</v>
      </c>
      <c r="L156" s="384"/>
      <c r="M156" s="384"/>
      <c r="N156" s="384"/>
      <c r="O156" s="384"/>
      <c r="P156" s="384"/>
      <c r="Q156" s="384">
        <v>12012</v>
      </c>
      <c r="R156" s="384">
        <v>10244</v>
      </c>
      <c r="S156" s="384">
        <v>11378</v>
      </c>
      <c r="T156" s="384">
        <v>0</v>
      </c>
      <c r="U156" s="384"/>
      <c r="V156" s="384"/>
      <c r="W156" s="384">
        <v>1073.5</v>
      </c>
      <c r="X156" s="384"/>
      <c r="Y156" s="384">
        <v>400</v>
      </c>
      <c r="Z156" s="384">
        <v>200</v>
      </c>
      <c r="AA156" s="354"/>
      <c r="AB156" s="354"/>
      <c r="AC156" s="8"/>
      <c r="AD156" s="8"/>
      <c r="AE156" s="8"/>
    </row>
    <row r="157" spans="1:32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>
        <v>0</v>
      </c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/>
      <c r="X157" s="384"/>
      <c r="Y157" s="384"/>
      <c r="Z157" s="384"/>
      <c r="AA157" s="8"/>
      <c r="AB157" s="8"/>
      <c r="AC157" s="8"/>
      <c r="AD157" s="8"/>
      <c r="AE157" s="8"/>
    </row>
    <row r="158" spans="1:32" x14ac:dyDescent="0.2">
      <c r="A158" s="59"/>
      <c r="B158" s="404"/>
      <c r="F158" s="404"/>
      <c r="G158" s="404"/>
      <c r="I158" s="8"/>
      <c r="J158" s="8"/>
      <c r="K158" s="8"/>
      <c r="L158" s="8"/>
      <c r="M158" s="8"/>
      <c r="N158" s="8"/>
      <c r="O158" s="8"/>
      <c r="P158" s="8"/>
      <c r="Q158" s="8"/>
      <c r="R158" s="8"/>
      <c r="T158" s="404"/>
      <c r="U158" s="540"/>
      <c r="X158" s="8"/>
      <c r="Y158" s="8"/>
      <c r="Z158" s="8"/>
      <c r="AA158" s="8"/>
      <c r="AB158" s="8"/>
      <c r="AC158" s="8"/>
      <c r="AD158" s="8"/>
      <c r="AE158" s="8"/>
    </row>
    <row r="159" spans="1:32" x14ac:dyDescent="0.2">
      <c r="A159" s="59"/>
      <c r="B159" s="404"/>
      <c r="F159" s="404"/>
      <c r="G159" s="404"/>
      <c r="I159" s="8"/>
      <c r="J159" s="8"/>
      <c r="K159" s="8"/>
      <c r="L159" s="8"/>
      <c r="M159" s="8"/>
      <c r="N159" s="8"/>
      <c r="O159" s="8"/>
      <c r="P159" s="8"/>
      <c r="Q159" s="8"/>
      <c r="R159" s="8"/>
      <c r="T159" s="404"/>
      <c r="U159" s="540"/>
      <c r="X159" s="8"/>
      <c r="Y159" s="8"/>
      <c r="Z159" s="8"/>
      <c r="AA159" s="8"/>
      <c r="AB159" s="8"/>
      <c r="AC159" s="8"/>
      <c r="AD159" s="8"/>
      <c r="AE159" s="8"/>
    </row>
    <row r="160" spans="1:32" x14ac:dyDescent="0.2">
      <c r="A160" s="59"/>
      <c r="B160" s="404"/>
      <c r="F160" s="404"/>
      <c r="G160" s="404"/>
      <c r="I160" s="8"/>
      <c r="J160" s="8"/>
      <c r="K160" s="8"/>
      <c r="L160" s="8"/>
      <c r="M160" s="8"/>
      <c r="N160" s="8"/>
      <c r="O160" s="8"/>
      <c r="P160" s="8"/>
      <c r="Q160" s="8"/>
      <c r="R160" s="8"/>
      <c r="T160" s="404"/>
      <c r="U160" s="540"/>
      <c r="X160" s="8"/>
      <c r="Y160" s="8"/>
      <c r="Z160" s="8"/>
      <c r="AA160" s="8"/>
      <c r="AB160" s="8"/>
      <c r="AC160" s="8"/>
      <c r="AD160" s="8"/>
      <c r="AE160" s="8"/>
    </row>
    <row r="161" spans="1:31" x14ac:dyDescent="0.2">
      <c r="A161" s="59"/>
      <c r="B161" s="404"/>
      <c r="F161" s="404"/>
      <c r="G161" s="404"/>
      <c r="I161" s="8"/>
      <c r="J161" s="8"/>
      <c r="K161" s="8"/>
      <c r="L161" s="8"/>
      <c r="M161" s="8"/>
      <c r="N161" s="8"/>
      <c r="O161" s="8"/>
      <c r="P161" s="8"/>
      <c r="Q161" s="8"/>
      <c r="R161" s="8"/>
      <c r="T161" s="404"/>
      <c r="U161" s="540"/>
      <c r="X161" s="8"/>
      <c r="Y161" s="8"/>
      <c r="Z161" s="8"/>
      <c r="AA161" s="8"/>
      <c r="AB161" s="8"/>
      <c r="AC161" s="8"/>
      <c r="AD161" s="8"/>
      <c r="AE161" s="8"/>
    </row>
    <row r="162" spans="1:31" x14ac:dyDescent="0.2">
      <c r="A162" s="59"/>
      <c r="B162" s="404"/>
      <c r="F162" s="404"/>
      <c r="G162" s="404"/>
      <c r="I162" s="8"/>
      <c r="J162" s="8"/>
      <c r="K162" s="8"/>
      <c r="L162" s="8"/>
      <c r="M162" s="8"/>
      <c r="N162" s="8"/>
      <c r="O162" s="8"/>
      <c r="P162" s="8"/>
      <c r="Q162" s="8"/>
      <c r="R162" s="8"/>
      <c r="T162" s="404"/>
      <c r="U162" s="540"/>
      <c r="X162" s="8"/>
      <c r="Y162" s="8"/>
      <c r="Z162" s="8"/>
      <c r="AA162" s="8"/>
      <c r="AB162" s="8"/>
      <c r="AC162" s="8"/>
      <c r="AD162" s="8"/>
      <c r="AE162" s="8"/>
    </row>
    <row r="163" spans="1:31" x14ac:dyDescent="0.2">
      <c r="B163" s="404"/>
      <c r="F163" s="404"/>
      <c r="G163" s="404"/>
      <c r="I163" s="8"/>
      <c r="J163" s="8"/>
      <c r="K163" s="8"/>
      <c r="L163" s="8"/>
      <c r="M163" s="8"/>
      <c r="N163" s="8"/>
      <c r="O163" s="8"/>
      <c r="P163" s="8"/>
      <c r="Q163" s="8"/>
      <c r="R163" s="8"/>
      <c r="T163" s="404"/>
      <c r="U163" s="540"/>
      <c r="X163" s="8"/>
      <c r="Y163" s="8"/>
      <c r="Z163" s="8"/>
      <c r="AA163" s="8"/>
      <c r="AB163" s="8"/>
      <c r="AC163" s="8"/>
      <c r="AD163" s="8"/>
      <c r="AE163" s="8"/>
    </row>
    <row r="164" spans="1:31" x14ac:dyDescent="0.2">
      <c r="B164" s="404"/>
      <c r="F164" s="404"/>
      <c r="G164" s="404"/>
      <c r="I164" s="8"/>
      <c r="J164" s="8"/>
      <c r="K164" s="8"/>
      <c r="L164" s="8"/>
      <c r="M164" s="8"/>
      <c r="N164" s="8"/>
      <c r="O164" s="8"/>
      <c r="P164" s="8"/>
      <c r="Q164" s="8"/>
      <c r="R164" s="8"/>
      <c r="T164" s="404"/>
      <c r="U164" s="540"/>
      <c r="X164" s="8"/>
      <c r="Y164" s="8"/>
      <c r="Z164" s="8"/>
      <c r="AA164" s="8"/>
      <c r="AB164" s="8"/>
      <c r="AC164" s="8"/>
      <c r="AD164" s="8"/>
      <c r="AE164" s="8"/>
    </row>
    <row r="165" spans="1:31" x14ac:dyDescent="0.2">
      <c r="B165" s="404"/>
      <c r="F165" s="404"/>
      <c r="G165" s="404"/>
      <c r="I165" s="8"/>
      <c r="J165" s="8"/>
      <c r="K165" s="8"/>
      <c r="L165" s="8"/>
      <c r="M165" s="8"/>
      <c r="N165" s="8"/>
      <c r="O165" s="8"/>
      <c r="P165" s="8"/>
      <c r="Q165" s="8"/>
      <c r="R165" s="8"/>
      <c r="T165" s="404"/>
      <c r="U165" s="540"/>
      <c r="X165" s="8"/>
      <c r="Y165" s="8"/>
      <c r="Z165" s="8"/>
      <c r="AA165" s="8"/>
      <c r="AB165" s="8"/>
      <c r="AC165" s="8"/>
      <c r="AD165" s="8"/>
      <c r="AE165" s="8"/>
    </row>
    <row r="166" spans="1:31" x14ac:dyDescent="0.2">
      <c r="B166" s="404"/>
      <c r="F166" s="404"/>
      <c r="G166" s="404"/>
      <c r="I166" s="8"/>
      <c r="J166" s="8"/>
      <c r="K166" s="8"/>
      <c r="L166" s="8"/>
      <c r="M166" s="8"/>
      <c r="N166" s="8"/>
      <c r="O166" s="8"/>
      <c r="P166" s="8"/>
      <c r="Q166" s="8"/>
      <c r="R166" s="8"/>
      <c r="T166" s="404"/>
      <c r="U166" s="540"/>
      <c r="X166" s="8"/>
      <c r="Y166" s="8"/>
      <c r="Z166" s="8"/>
      <c r="AA166" s="8"/>
      <c r="AB166" s="8"/>
      <c r="AC166" s="8"/>
      <c r="AD166" s="8"/>
      <c r="AE166" s="8"/>
    </row>
    <row r="167" spans="1:31" x14ac:dyDescent="0.2">
      <c r="B167" s="404"/>
      <c r="F167" s="404"/>
      <c r="G167" s="404"/>
      <c r="I167" s="8"/>
      <c r="J167" s="8"/>
      <c r="K167" s="8"/>
      <c r="L167" s="8"/>
      <c r="M167" s="8"/>
      <c r="N167" s="8"/>
      <c r="O167" s="8"/>
      <c r="P167" s="8"/>
      <c r="Q167" s="8"/>
      <c r="R167" s="8"/>
      <c r="T167" s="404"/>
      <c r="U167" s="540"/>
      <c r="X167" s="8"/>
      <c r="Y167" s="8"/>
      <c r="Z167" s="8"/>
      <c r="AA167" s="8"/>
      <c r="AB167" s="8"/>
      <c r="AC167" s="8"/>
      <c r="AD167" s="8"/>
      <c r="AE167" s="8"/>
    </row>
    <row r="168" spans="1:31" x14ac:dyDescent="0.2">
      <c r="B168" s="404"/>
      <c r="F168" s="404"/>
      <c r="G168" s="404"/>
      <c r="I168" s="8"/>
      <c r="J168" s="8"/>
      <c r="K168" s="8"/>
      <c r="L168" s="8"/>
      <c r="M168" s="8"/>
      <c r="N168" s="8"/>
      <c r="O168" s="8"/>
      <c r="P168" s="8"/>
      <c r="Q168" s="8"/>
      <c r="R168" s="8"/>
      <c r="T168" s="404"/>
      <c r="U168" s="540"/>
      <c r="X168" s="8"/>
      <c r="Y168" s="8"/>
      <c r="Z168" s="8"/>
      <c r="AA168" s="8"/>
      <c r="AB168" s="8"/>
      <c r="AC168" s="8"/>
      <c r="AD168" s="8"/>
      <c r="AE168" s="8"/>
    </row>
    <row r="169" spans="1:31" x14ac:dyDescent="0.2">
      <c r="B169" s="404"/>
      <c r="F169" s="404"/>
      <c r="G169" s="40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540"/>
      <c r="X169" s="8"/>
      <c r="Y169" s="8"/>
      <c r="Z169" s="8"/>
      <c r="AA169" s="8"/>
      <c r="AB169" s="8"/>
      <c r="AC169" s="8"/>
      <c r="AD169" s="8"/>
      <c r="AE169" s="8"/>
    </row>
    <row r="170" spans="1:31" x14ac:dyDescent="0.2">
      <c r="B170" s="404"/>
      <c r="F170" s="404"/>
      <c r="G170" s="40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540"/>
      <c r="X170" s="8"/>
      <c r="Y170" s="8"/>
      <c r="Z170" s="8"/>
      <c r="AA170" s="8"/>
      <c r="AB170" s="8"/>
      <c r="AC170" s="8"/>
      <c r="AD170" s="8"/>
      <c r="AE170" s="8"/>
    </row>
    <row r="171" spans="1:31" x14ac:dyDescent="0.2">
      <c r="B171" s="404"/>
      <c r="F171" s="404"/>
      <c r="G171" s="40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540"/>
      <c r="X171" s="8"/>
      <c r="Y171" s="8"/>
      <c r="Z171" s="8"/>
      <c r="AA171" s="8"/>
      <c r="AB171" s="8"/>
      <c r="AC171" s="8"/>
      <c r="AD171" s="8"/>
      <c r="AE171" s="8"/>
    </row>
    <row r="172" spans="1:31" x14ac:dyDescent="0.2">
      <c r="B172" s="404"/>
      <c r="F172" s="404"/>
      <c r="G172" s="40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540"/>
      <c r="X172" s="8"/>
      <c r="Y172" s="8"/>
      <c r="Z172" s="8"/>
      <c r="AA172" s="8"/>
      <c r="AB172" s="8"/>
      <c r="AC172" s="8"/>
      <c r="AD172" s="8"/>
      <c r="AE172" s="8"/>
    </row>
    <row r="173" spans="1:31" x14ac:dyDescent="0.2">
      <c r="B173" s="404"/>
      <c r="F173" s="404"/>
      <c r="G173" s="40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540"/>
      <c r="X173" s="8"/>
      <c r="Y173" s="8"/>
      <c r="Z173" s="8"/>
      <c r="AA173" s="8"/>
      <c r="AB173" s="8"/>
      <c r="AC173" s="8"/>
      <c r="AD173" s="8"/>
      <c r="AE173" s="8"/>
    </row>
    <row r="174" spans="1:31" x14ac:dyDescent="0.2">
      <c r="B174" s="404"/>
      <c r="F174" s="404"/>
      <c r="G174" s="40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540"/>
      <c r="X174" s="8"/>
      <c r="Y174" s="8"/>
      <c r="Z174" s="8"/>
      <c r="AA174" s="8"/>
      <c r="AB174" s="8"/>
      <c r="AC174" s="8"/>
      <c r="AD174" s="8"/>
      <c r="AE174" s="8"/>
    </row>
    <row r="175" spans="1:31" x14ac:dyDescent="0.2">
      <c r="B175" s="404"/>
      <c r="F175" s="404"/>
      <c r="G175" s="40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540"/>
      <c r="X175" s="8"/>
      <c r="Y175" s="8"/>
      <c r="Z175" s="8"/>
      <c r="AA175" s="8"/>
      <c r="AB175" s="8"/>
      <c r="AC175" s="8"/>
      <c r="AD175" s="8"/>
      <c r="AE175" s="8"/>
    </row>
    <row r="176" spans="1:31" x14ac:dyDescent="0.2">
      <c r="B176" s="404"/>
      <c r="F176" s="404"/>
      <c r="G176" s="40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540"/>
      <c r="X176" s="8"/>
      <c r="Y176" s="8"/>
      <c r="Z176" s="8"/>
      <c r="AA176" s="8"/>
      <c r="AB176" s="8"/>
      <c r="AC176" s="8"/>
      <c r="AD176" s="8"/>
      <c r="AE176" s="8"/>
    </row>
    <row r="177" spans="2:41" x14ac:dyDescent="0.2">
      <c r="B177" s="404"/>
      <c r="F177" s="404"/>
      <c r="G177" s="40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540"/>
      <c r="X177" s="8"/>
      <c r="Y177" s="8"/>
      <c r="Z177" s="8"/>
      <c r="AA177" s="8"/>
      <c r="AB177" s="8"/>
      <c r="AC177" s="8"/>
      <c r="AD177" s="8"/>
      <c r="AE177" s="8"/>
    </row>
    <row r="178" spans="2:41" x14ac:dyDescent="0.2">
      <c r="B178" s="404"/>
      <c r="F178" s="404"/>
      <c r="G178" s="40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540"/>
      <c r="X178" s="8"/>
      <c r="Y178" s="8"/>
      <c r="Z178" s="8"/>
      <c r="AA178" s="8"/>
      <c r="AB178" s="8"/>
      <c r="AC178" s="8"/>
      <c r="AD178" s="8"/>
      <c r="AE178" s="8"/>
    </row>
    <row r="179" spans="2:41" x14ac:dyDescent="0.2">
      <c r="B179" s="404"/>
      <c r="F179" s="404"/>
      <c r="G179" s="40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540"/>
      <c r="X179" s="8"/>
      <c r="Y179" s="8"/>
      <c r="Z179" s="8"/>
      <c r="AA179" s="8"/>
      <c r="AB179" s="8"/>
      <c r="AC179" s="8"/>
      <c r="AD179" s="8"/>
      <c r="AE179" s="8"/>
    </row>
    <row r="180" spans="2:41" x14ac:dyDescent="0.2">
      <c r="B180" s="404"/>
      <c r="F180" s="404"/>
      <c r="G180" s="40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540"/>
      <c r="X180" s="8"/>
      <c r="Y180" s="8"/>
      <c r="Z180" s="8"/>
      <c r="AA180" s="8"/>
      <c r="AB180" s="8"/>
      <c r="AC180" s="8"/>
      <c r="AD180" s="8"/>
      <c r="AE180" s="8"/>
    </row>
    <row r="181" spans="2:41" x14ac:dyDescent="0.2">
      <c r="B181" s="404"/>
      <c r="F181" s="404"/>
      <c r="G181" s="40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540"/>
      <c r="X181" s="8"/>
      <c r="Y181" s="8"/>
      <c r="Z181" s="8"/>
      <c r="AA181" s="8"/>
      <c r="AB181" s="8"/>
      <c r="AC181" s="8"/>
      <c r="AD181" s="8"/>
      <c r="AE181" s="8"/>
    </row>
    <row r="182" spans="2:41" x14ac:dyDescent="0.2">
      <c r="B182" s="404"/>
      <c r="F182" s="404"/>
      <c r="G182" s="40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540"/>
      <c r="X182" s="8"/>
      <c r="Y182" s="8"/>
      <c r="Z182" s="8"/>
      <c r="AA182" s="8"/>
      <c r="AB182" s="8"/>
      <c r="AC182" s="8"/>
      <c r="AD182" s="8"/>
      <c r="AE182" s="8"/>
    </row>
    <row r="183" spans="2:41" x14ac:dyDescent="0.2">
      <c r="B183" s="404"/>
      <c r="F183" s="404"/>
      <c r="G183" s="40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540"/>
      <c r="X183" s="8"/>
      <c r="Y183" s="8"/>
      <c r="Z183" s="8"/>
      <c r="AA183" s="8"/>
      <c r="AB183" s="8"/>
      <c r="AC183" s="8"/>
      <c r="AD183" s="8"/>
      <c r="AE183" s="8"/>
    </row>
    <row r="184" spans="2:41" x14ac:dyDescent="0.2">
      <c r="B184" s="404"/>
      <c r="F184" s="404"/>
      <c r="G184" s="40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540"/>
      <c r="X184" s="8"/>
      <c r="Y184" s="8"/>
      <c r="Z184" s="8"/>
      <c r="AA184" s="8"/>
      <c r="AB184" s="8"/>
      <c r="AC184" s="8"/>
      <c r="AD184" s="8"/>
      <c r="AE184" s="8"/>
    </row>
    <row r="185" spans="2:41" x14ac:dyDescent="0.2">
      <c r="B185" s="404"/>
      <c r="F185" s="404"/>
      <c r="G185" s="40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540"/>
      <c r="X185" s="8"/>
      <c r="Y185" s="8"/>
      <c r="Z185" s="8"/>
      <c r="AA185" s="8"/>
      <c r="AB185" s="8"/>
      <c r="AC185" s="8"/>
      <c r="AD185" s="8"/>
      <c r="AE185" s="8"/>
    </row>
    <row r="186" spans="2:41" x14ac:dyDescent="0.2">
      <c r="B186" s="404"/>
      <c r="F186" s="404"/>
      <c r="G186" s="40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540"/>
      <c r="X186" s="8"/>
      <c r="Y186" s="8"/>
      <c r="Z186" s="8"/>
      <c r="AA186" s="8"/>
      <c r="AB186" s="8"/>
      <c r="AC186" s="8"/>
      <c r="AD186" s="8"/>
      <c r="AE186" s="8"/>
    </row>
    <row r="187" spans="2:41" x14ac:dyDescent="0.2">
      <c r="B187" s="404"/>
      <c r="F187" s="404"/>
      <c r="G187" s="40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540"/>
      <c r="X187" s="8"/>
      <c r="Y187" s="8"/>
      <c r="Z187" s="8"/>
      <c r="AA187" s="8"/>
      <c r="AB187" s="8"/>
      <c r="AC187" s="8"/>
      <c r="AD187" s="8"/>
      <c r="AE187" s="8"/>
    </row>
    <row r="188" spans="2:41" x14ac:dyDescent="0.2">
      <c r="B188" s="404"/>
      <c r="F188" s="404"/>
      <c r="G188" s="40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540"/>
      <c r="X188" s="8"/>
      <c r="Y188" s="8"/>
      <c r="Z188" s="8"/>
      <c r="AA188" s="8"/>
      <c r="AB188" s="8"/>
      <c r="AC188" s="8"/>
      <c r="AD188" s="8"/>
      <c r="AE188" s="8"/>
    </row>
    <row r="189" spans="2:41" x14ac:dyDescent="0.2">
      <c r="B189" s="404"/>
      <c r="F189" s="404"/>
      <c r="G189" s="40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540"/>
      <c r="X189" s="8"/>
      <c r="Y189" s="8"/>
      <c r="Z189" s="8"/>
      <c r="AA189" s="8"/>
      <c r="AB189" s="8"/>
      <c r="AC189" s="8"/>
      <c r="AD189" s="611"/>
      <c r="AE189" s="402"/>
      <c r="AF189" s="402"/>
      <c r="AG189" s="402"/>
      <c r="AH189" s="402"/>
      <c r="AI189" s="402"/>
      <c r="AJ189" s="402"/>
      <c r="AK189" s="402"/>
      <c r="AL189" s="402"/>
      <c r="AM189" s="354"/>
      <c r="AN189" s="402"/>
      <c r="AO189" s="403"/>
    </row>
    <row r="190" spans="2:41" x14ac:dyDescent="0.2">
      <c r="B190" s="404"/>
      <c r="F190" s="404"/>
      <c r="G190" s="40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540"/>
      <c r="X190" s="8"/>
      <c r="Y190" s="8"/>
      <c r="Z190" s="8"/>
      <c r="AA190" s="8"/>
      <c r="AB190" s="8"/>
      <c r="AC190" s="8"/>
      <c r="AD190" s="55"/>
      <c r="AE190" s="676"/>
      <c r="AF190" s="676"/>
      <c r="AG190" s="676"/>
      <c r="AH190" s="676"/>
      <c r="AI190" s="612"/>
      <c r="AJ190" s="612"/>
      <c r="AK190" s="612"/>
      <c r="AL190" s="405"/>
      <c r="AM190" s="354"/>
      <c r="AN190" s="405"/>
      <c r="AO190" s="405"/>
    </row>
    <row r="191" spans="2:41" x14ac:dyDescent="0.2">
      <c r="B191" s="404"/>
      <c r="F191" s="404"/>
      <c r="G191" s="40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540"/>
      <c r="X191" s="8"/>
      <c r="Y191" s="8"/>
      <c r="Z191" s="8"/>
      <c r="AA191" s="8"/>
      <c r="AB191" s="8"/>
      <c r="AC191" s="8"/>
      <c r="AD191" s="55"/>
      <c r="AE191" s="676"/>
      <c r="AF191" s="676"/>
      <c r="AG191" s="676"/>
      <c r="AH191" s="676"/>
      <c r="AI191" s="612"/>
      <c r="AJ191" s="612"/>
      <c r="AK191" s="612"/>
      <c r="AL191" s="405"/>
      <c r="AM191" s="354"/>
      <c r="AN191" s="405"/>
      <c r="AO191" s="405"/>
    </row>
    <row r="192" spans="2:41" x14ac:dyDescent="0.2">
      <c r="B192" s="404"/>
      <c r="F192" s="404"/>
      <c r="G192" s="40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540"/>
      <c r="X192" s="8"/>
      <c r="Y192" s="8"/>
      <c r="Z192" s="8"/>
      <c r="AA192" s="8"/>
      <c r="AB192" s="8"/>
      <c r="AC192" s="8"/>
      <c r="AD192" s="55"/>
      <c r="AE192" s="676"/>
      <c r="AF192" s="676"/>
      <c r="AG192" s="676"/>
      <c r="AH192" s="676"/>
      <c r="AI192" s="612"/>
      <c r="AJ192" s="612"/>
      <c r="AK192" s="612"/>
      <c r="AL192" s="405"/>
      <c r="AM192" s="354"/>
      <c r="AN192" s="405"/>
      <c r="AO192" s="405"/>
    </row>
    <row r="193" spans="2:48" x14ac:dyDescent="0.2">
      <c r="B193" s="404"/>
      <c r="F193" s="404"/>
      <c r="G193" s="40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540"/>
      <c r="X193" s="8"/>
      <c r="Y193" s="8"/>
      <c r="Z193" s="8"/>
      <c r="AA193" s="8"/>
      <c r="AB193" s="8"/>
      <c r="AC193" s="8"/>
      <c r="AD193" s="55"/>
      <c r="AE193" s="676"/>
      <c r="AF193" s="676"/>
      <c r="AG193" s="676"/>
      <c r="AH193" s="612"/>
      <c r="AI193" s="612"/>
      <c r="AJ193" s="612"/>
      <c r="AK193" s="612"/>
      <c r="AL193" s="405"/>
      <c r="AM193" s="354"/>
      <c r="AN193" s="405"/>
      <c r="AO193" s="405"/>
    </row>
    <row r="194" spans="2:48" x14ac:dyDescent="0.2">
      <c r="B194" s="404"/>
      <c r="F194" s="404"/>
      <c r="G194" s="40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540"/>
      <c r="X194" s="8"/>
      <c r="Y194" s="8"/>
      <c r="Z194" s="8"/>
      <c r="AA194" s="8"/>
      <c r="AB194" s="8"/>
      <c r="AC194" s="8"/>
      <c r="AD194" s="55"/>
      <c r="AE194" s="676"/>
      <c r="AF194" s="676"/>
      <c r="AG194" s="676"/>
      <c r="AH194" s="676"/>
      <c r="AI194" s="676"/>
      <c r="AJ194" s="612"/>
      <c r="AK194" s="612"/>
      <c r="AL194" s="405"/>
      <c r="AM194" s="354"/>
      <c r="AN194" s="405"/>
      <c r="AO194" s="405"/>
    </row>
    <row r="195" spans="2:48" x14ac:dyDescent="0.2">
      <c r="B195" s="404"/>
      <c r="F195" s="404"/>
      <c r="G195" s="40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540"/>
      <c r="X195" s="8"/>
      <c r="Y195" s="8"/>
      <c r="Z195" s="8"/>
      <c r="AA195" s="8"/>
      <c r="AB195" s="8"/>
      <c r="AC195" s="8"/>
      <c r="AD195" s="55"/>
      <c r="AE195" s="676"/>
      <c r="AF195" s="676"/>
      <c r="AG195" s="676"/>
      <c r="AH195" s="676"/>
      <c r="AI195" s="676"/>
      <c r="AJ195" s="676"/>
      <c r="AK195" s="676"/>
      <c r="AL195" s="405"/>
      <c r="AM195" s="354"/>
      <c r="AN195" s="405"/>
      <c r="AO195" s="405"/>
    </row>
    <row r="196" spans="2:48" x14ac:dyDescent="0.2">
      <c r="B196" s="404"/>
      <c r="F196" s="404"/>
      <c r="G196" s="40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540"/>
      <c r="X196" s="8"/>
      <c r="Y196" s="8"/>
      <c r="Z196" s="8"/>
      <c r="AA196" s="8"/>
      <c r="AB196" s="8"/>
      <c r="AC196" s="8"/>
      <c r="AD196" s="55"/>
      <c r="AE196" s="676"/>
      <c r="AF196" s="676"/>
      <c r="AG196" s="676"/>
      <c r="AH196" s="676"/>
      <c r="AI196" s="612"/>
      <c r="AJ196" s="612"/>
      <c r="AK196" s="612"/>
      <c r="AL196" s="405"/>
      <c r="AM196" s="354"/>
      <c r="AN196" s="405"/>
      <c r="AO196" s="405"/>
    </row>
    <row r="197" spans="2:48" x14ac:dyDescent="0.2">
      <c r="B197" s="404"/>
      <c r="F197" s="404"/>
      <c r="G197" s="40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540"/>
      <c r="X197" s="8"/>
      <c r="Y197" s="8"/>
      <c r="Z197" s="8"/>
      <c r="AA197" s="8"/>
      <c r="AB197" s="8"/>
      <c r="AC197" s="8"/>
      <c r="AD197" s="55"/>
      <c r="AE197" s="676"/>
      <c r="AF197" s="676"/>
      <c r="AG197" s="676"/>
      <c r="AH197" s="676"/>
      <c r="AI197" s="676"/>
      <c r="AJ197" s="612"/>
      <c r="AK197" s="612"/>
      <c r="AL197" s="405"/>
      <c r="AM197" s="354"/>
      <c r="AN197" s="405"/>
      <c r="AO197" s="405"/>
    </row>
    <row r="198" spans="2:48" x14ac:dyDescent="0.2">
      <c r="B198" s="404"/>
      <c r="F198" s="404"/>
      <c r="G198" s="40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540"/>
      <c r="X198" s="8"/>
      <c r="Y198" s="8"/>
      <c r="Z198" s="8"/>
      <c r="AA198" s="8"/>
      <c r="AB198" s="8"/>
      <c r="AC198" s="8"/>
      <c r="AD198" s="8"/>
      <c r="AE198" s="8"/>
      <c r="AP198" s="354"/>
      <c r="AQ198" s="354"/>
      <c r="AR198" s="354"/>
      <c r="AS198" s="354"/>
      <c r="AT198" s="354"/>
      <c r="AU198" s="404"/>
      <c r="AV198" s="402"/>
    </row>
    <row r="199" spans="2:48" x14ac:dyDescent="0.2">
      <c r="B199" s="404"/>
      <c r="F199" s="404"/>
      <c r="G199" s="40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540"/>
      <c r="X199" s="8"/>
      <c r="Y199" s="8"/>
      <c r="Z199" s="8"/>
      <c r="AA199" s="8"/>
      <c r="AB199" s="8"/>
      <c r="AC199" s="8"/>
      <c r="AD199" s="8"/>
      <c r="AE199" s="8"/>
      <c r="AP199" s="354"/>
      <c r="AQ199" s="354"/>
      <c r="AR199" s="354"/>
      <c r="AS199" s="354"/>
      <c r="AT199" s="354"/>
      <c r="AU199" s="405"/>
      <c r="AV199" s="405"/>
    </row>
    <row r="200" spans="2:48" x14ac:dyDescent="0.2">
      <c r="B200" s="404"/>
      <c r="F200" s="404"/>
      <c r="G200" s="40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540"/>
      <c r="X200" s="8"/>
      <c r="Y200" s="8"/>
      <c r="Z200" s="8"/>
      <c r="AA200" s="8"/>
      <c r="AB200" s="8"/>
      <c r="AC200" s="8"/>
      <c r="AD200" s="8"/>
      <c r="AE200" s="8"/>
      <c r="AP200" s="354"/>
      <c r="AQ200" s="354"/>
      <c r="AR200" s="354"/>
      <c r="AS200" s="354"/>
      <c r="AT200" s="354"/>
      <c r="AU200" s="405"/>
      <c r="AV200" s="405"/>
    </row>
    <row r="201" spans="2:48" x14ac:dyDescent="0.2">
      <c r="B201" s="404"/>
      <c r="F201" s="404"/>
      <c r="G201" s="40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540"/>
      <c r="X201" s="8"/>
      <c r="Y201" s="8"/>
      <c r="Z201" s="8"/>
      <c r="AA201" s="8"/>
      <c r="AB201" s="8"/>
      <c r="AC201" s="8"/>
      <c r="AD201" s="8"/>
      <c r="AE201" s="8"/>
      <c r="AP201" s="354"/>
      <c r="AQ201" s="354"/>
      <c r="AR201" s="354"/>
      <c r="AS201" s="354"/>
      <c r="AT201" s="354"/>
      <c r="AU201" s="405"/>
      <c r="AV201" s="405"/>
    </row>
    <row r="202" spans="2:48" x14ac:dyDescent="0.2">
      <c r="B202" s="404"/>
      <c r="F202" s="404"/>
      <c r="G202" s="40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540"/>
      <c r="X202" s="8"/>
      <c r="Y202" s="8"/>
      <c r="Z202" s="8"/>
      <c r="AA202" s="8"/>
      <c r="AB202" s="8"/>
      <c r="AC202" s="8"/>
      <c r="AD202" s="8"/>
      <c r="AE202" s="8"/>
      <c r="AP202" s="354"/>
      <c r="AQ202" s="354"/>
      <c r="AR202" s="354"/>
      <c r="AS202" s="354"/>
      <c r="AT202" s="354"/>
      <c r="AU202" s="405"/>
      <c r="AV202" s="405"/>
    </row>
    <row r="203" spans="2:48" x14ac:dyDescent="0.2">
      <c r="B203" s="404"/>
      <c r="F203" s="404"/>
      <c r="G203" s="40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540"/>
      <c r="X203" s="8"/>
      <c r="Y203" s="8"/>
      <c r="Z203" s="8"/>
      <c r="AA203" s="8"/>
      <c r="AB203" s="8"/>
      <c r="AC203" s="8"/>
      <c r="AD203" s="8"/>
      <c r="AE203" s="8"/>
      <c r="AP203" s="354"/>
      <c r="AQ203" s="354"/>
      <c r="AR203" s="354"/>
      <c r="AS203" s="354"/>
      <c r="AT203" s="354"/>
      <c r="AU203" s="405"/>
      <c r="AV203" s="405"/>
    </row>
    <row r="204" spans="2:48" x14ac:dyDescent="0.2">
      <c r="B204" s="404"/>
      <c r="F204" s="404"/>
      <c r="G204" s="40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540"/>
      <c r="X204" s="8"/>
      <c r="Y204" s="8"/>
      <c r="Z204" s="8"/>
      <c r="AA204" s="8"/>
      <c r="AB204" s="8"/>
      <c r="AC204" s="8"/>
      <c r="AD204" s="8"/>
      <c r="AE204" s="8"/>
      <c r="AP204" s="354"/>
      <c r="AQ204" s="354"/>
      <c r="AR204" s="354"/>
      <c r="AS204" s="354"/>
      <c r="AT204" s="354"/>
      <c r="AU204" s="405"/>
      <c r="AV204" s="405"/>
    </row>
    <row r="205" spans="2:48" x14ac:dyDescent="0.2">
      <c r="B205" s="404"/>
      <c r="F205" s="404"/>
      <c r="G205" s="40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540"/>
      <c r="X205" s="8"/>
      <c r="Y205" s="8"/>
      <c r="Z205" s="8"/>
      <c r="AA205" s="8"/>
      <c r="AB205" s="8"/>
      <c r="AC205" s="8"/>
      <c r="AD205" s="8"/>
      <c r="AE205" s="8"/>
      <c r="AP205" s="354"/>
      <c r="AQ205" s="354"/>
      <c r="AR205" s="354"/>
      <c r="AS205" s="354"/>
      <c r="AT205" s="354"/>
      <c r="AU205" s="405"/>
      <c r="AV205" s="405"/>
    </row>
    <row r="206" spans="2:48" x14ac:dyDescent="0.2">
      <c r="B206" s="404"/>
      <c r="F206" s="404"/>
      <c r="G206" s="40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540"/>
      <c r="X206" s="8"/>
      <c r="Y206" s="8"/>
      <c r="Z206" s="8"/>
      <c r="AA206" s="8"/>
      <c r="AB206" s="8"/>
      <c r="AC206" s="8"/>
      <c r="AD206" s="8"/>
      <c r="AE206" s="8"/>
      <c r="AP206" s="354"/>
      <c r="AQ206" s="354"/>
      <c r="AR206" s="354"/>
      <c r="AS206" s="354"/>
      <c r="AT206" s="354"/>
      <c r="AU206" s="405"/>
      <c r="AV206" s="405"/>
    </row>
    <row r="207" spans="2:48" ht="16.25" customHeight="1" x14ac:dyDescent="0.2">
      <c r="B207" s="404"/>
      <c r="F207" s="404"/>
      <c r="G207" s="404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540"/>
      <c r="X207" s="8"/>
      <c r="Y207" s="8"/>
      <c r="Z207" s="8"/>
      <c r="AA207" s="8"/>
      <c r="AB207" s="8"/>
      <c r="AC207" s="8"/>
      <c r="AD207" s="8"/>
      <c r="AE207" s="8"/>
      <c r="AP207" s="405"/>
      <c r="AQ207" s="405"/>
      <c r="AR207" s="405"/>
      <c r="AS207" s="405"/>
      <c r="AT207" s="405"/>
      <c r="AU207" s="405"/>
      <c r="AV207" s="405"/>
    </row>
    <row r="208" spans="2:48" x14ac:dyDescent="0.2">
      <c r="B208" s="404"/>
      <c r="F208" s="404"/>
      <c r="G208" s="404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540"/>
      <c r="X208" s="8"/>
      <c r="Y208" s="8"/>
      <c r="Z208" s="8"/>
      <c r="AA208" s="8"/>
      <c r="AB208" s="8"/>
      <c r="AC208" s="8"/>
      <c r="AD208" s="8"/>
      <c r="AE208" s="8"/>
    </row>
    <row r="209" spans="2:31" x14ac:dyDescent="0.2">
      <c r="B209" s="404"/>
      <c r="F209" s="404"/>
      <c r="G209" s="404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540"/>
      <c r="X209" s="8"/>
      <c r="Y209" s="8"/>
      <c r="Z209" s="8"/>
      <c r="AA209" s="8"/>
      <c r="AB209" s="8"/>
      <c r="AC209" s="8"/>
      <c r="AD209" s="8"/>
      <c r="AE209" s="8"/>
    </row>
    <row r="210" spans="2:31" x14ac:dyDescent="0.2">
      <c r="B210" s="404"/>
      <c r="F210" s="404"/>
      <c r="G210" s="404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540"/>
      <c r="X210" s="8"/>
      <c r="Y210" s="8"/>
      <c r="Z210" s="8"/>
      <c r="AA210" s="8"/>
      <c r="AB210" s="8"/>
      <c r="AC210" s="8"/>
      <c r="AD210" s="8"/>
      <c r="AE210" s="8"/>
    </row>
    <row r="211" spans="2:31" x14ac:dyDescent="0.2">
      <c r="B211" s="404"/>
      <c r="F211" s="404"/>
      <c r="G211" s="404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540"/>
      <c r="X211" s="8"/>
      <c r="Y211" s="8"/>
      <c r="Z211" s="8"/>
      <c r="AA211" s="8"/>
      <c r="AB211" s="8"/>
      <c r="AC211" s="8"/>
      <c r="AD211" s="8"/>
      <c r="AE211" s="8"/>
    </row>
    <row r="212" spans="2:31" x14ac:dyDescent="0.2">
      <c r="T212" s="8"/>
      <c r="U212" s="540"/>
      <c r="AA212" s="8"/>
      <c r="AB212" s="8"/>
      <c r="AC212" s="8"/>
      <c r="AD212" s="8"/>
      <c r="AE212" s="8"/>
    </row>
    <row r="213" spans="2:31" x14ac:dyDescent="0.2">
      <c r="T213" s="8"/>
      <c r="AA213" s="8"/>
      <c r="AB213" s="8"/>
      <c r="AC213" s="8"/>
      <c r="AD213" s="8"/>
      <c r="AE213" s="8"/>
    </row>
    <row r="214" spans="2:31" x14ac:dyDescent="0.2">
      <c r="T214" s="8"/>
      <c r="AA214" s="8"/>
      <c r="AB214" s="8"/>
      <c r="AC214" s="8"/>
      <c r="AD214" s="8"/>
      <c r="AE214" s="8"/>
    </row>
    <row r="215" spans="2:31" x14ac:dyDescent="0.2">
      <c r="T215" s="8"/>
      <c r="AA215" s="8"/>
      <c r="AB215" s="8"/>
      <c r="AC215" s="8"/>
      <c r="AD215" s="8"/>
      <c r="AE215" s="8"/>
    </row>
    <row r="216" spans="2:31" x14ac:dyDescent="0.2">
      <c r="T216" s="8"/>
      <c r="AA216" s="8"/>
      <c r="AB216" s="8"/>
      <c r="AC216" s="8"/>
      <c r="AD216" s="8"/>
      <c r="AE216" s="8"/>
    </row>
    <row r="217" spans="2:31" x14ac:dyDescent="0.2">
      <c r="T217" s="8"/>
      <c r="AA217" s="8"/>
      <c r="AB217" s="8"/>
      <c r="AC217" s="8"/>
      <c r="AD217" s="8"/>
      <c r="AE217" s="8"/>
    </row>
    <row r="218" spans="2:31" x14ac:dyDescent="0.2">
      <c r="T218" s="8"/>
      <c r="AA218" s="8"/>
      <c r="AB218" s="8"/>
      <c r="AC218" s="8"/>
      <c r="AD218" s="8"/>
      <c r="AE218" s="8"/>
    </row>
    <row r="219" spans="2:31" x14ac:dyDescent="0.2">
      <c r="T219" s="8"/>
      <c r="AA219" s="8"/>
      <c r="AB219" s="8"/>
      <c r="AC219" s="8"/>
      <c r="AD219" s="8"/>
      <c r="AE219" s="8"/>
    </row>
    <row r="220" spans="2:31" x14ac:dyDescent="0.2">
      <c r="T220" s="8"/>
      <c r="AA220" s="8"/>
      <c r="AB220" s="8"/>
      <c r="AC220" s="8"/>
      <c r="AD220" s="8"/>
      <c r="AE220" s="8"/>
    </row>
    <row r="221" spans="2:31" x14ac:dyDescent="0.2">
      <c r="T221" s="8"/>
      <c r="AA221" s="8"/>
      <c r="AB221" s="8"/>
      <c r="AC221" s="8"/>
      <c r="AD221" s="8"/>
      <c r="AE221" s="8"/>
    </row>
    <row r="222" spans="2:31" x14ac:dyDescent="0.2">
      <c r="T222" s="8"/>
      <c r="AA222" s="8"/>
      <c r="AB222" s="8"/>
      <c r="AC222" s="8"/>
      <c r="AD222" s="8"/>
      <c r="AE222" s="8"/>
    </row>
    <row r="223" spans="2:31" x14ac:dyDescent="0.2">
      <c r="T223" s="8"/>
    </row>
    <row r="224" spans="2:31" x14ac:dyDescent="0.2">
      <c r="T224" s="8"/>
    </row>
    <row r="225" spans="20:20" x14ac:dyDescent="0.2">
      <c r="T225" s="8"/>
    </row>
    <row r="226" spans="20:20" x14ac:dyDescent="0.2">
      <c r="T226" s="8"/>
    </row>
    <row r="227" spans="20:20" x14ac:dyDescent="0.2">
      <c r="T227" s="8"/>
    </row>
    <row r="228" spans="20:20" x14ac:dyDescent="0.2">
      <c r="T228" s="8"/>
    </row>
    <row r="229" spans="20:20" x14ac:dyDescent="0.2">
      <c r="T229" s="8"/>
    </row>
    <row r="230" spans="20:20" x14ac:dyDescent="0.2">
      <c r="T230" s="8"/>
    </row>
    <row r="231" spans="20:20" x14ac:dyDescent="0.2">
      <c r="T231" s="8"/>
    </row>
    <row r="232" spans="20:20" x14ac:dyDescent="0.2">
      <c r="T232" s="8"/>
    </row>
  </sheetData>
  <mergeCells count="8">
    <mergeCell ref="AE190:AH190"/>
    <mergeCell ref="AE196:AH196"/>
    <mergeCell ref="AE197:AI197"/>
    <mergeCell ref="AE191:AH191"/>
    <mergeCell ref="AE192:AH192"/>
    <mergeCell ref="AE193:AG193"/>
    <mergeCell ref="AE194:AI194"/>
    <mergeCell ref="AE195:AK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29" activePane="bottomRight" state="frozen"/>
      <selection pane="topRight" activeCell="B1" sqref="B1"/>
      <selection pane="bottomLeft" activeCell="A2" sqref="A2"/>
      <selection pane="bottomRight" activeCell="I137" sqref="I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0" bestFit="1" customWidth="1"/>
    <col min="10" max="11" width="15.1640625" style="354" bestFit="1" customWidth="1"/>
    <col min="12" max="12" width="15" style="540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529</v>
      </c>
      <c r="C1" s="375" t="s">
        <v>533</v>
      </c>
      <c r="D1" s="376" t="s">
        <v>534</v>
      </c>
      <c r="E1" s="376" t="s">
        <v>535</v>
      </c>
      <c r="F1" s="376" t="s">
        <v>536</v>
      </c>
      <c r="G1" s="377" t="s">
        <v>542</v>
      </c>
      <c r="H1" s="377" t="s">
        <v>543</v>
      </c>
      <c r="I1" s="610" t="s">
        <v>544</v>
      </c>
      <c r="J1" s="377" t="s">
        <v>545</v>
      </c>
      <c r="K1" s="377" t="s">
        <v>546</v>
      </c>
      <c r="L1" s="610" t="s">
        <v>547</v>
      </c>
      <c r="M1" s="377"/>
      <c r="N1" s="377" t="s">
        <v>743</v>
      </c>
      <c r="O1" s="377" t="s">
        <v>548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1">
        <v>282100</v>
      </c>
      <c r="H2" s="540">
        <v>3321500</v>
      </c>
      <c r="I2" s="540">
        <v>276791.66666666669</v>
      </c>
      <c r="J2" s="540">
        <v>7826.49</v>
      </c>
      <c r="K2" s="540">
        <v>118387518.75446363</v>
      </c>
      <c r="L2" s="540">
        <v>9865626.5628719684</v>
      </c>
      <c r="M2" s="541"/>
      <c r="N2" s="541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1">
        <v>282100</v>
      </c>
      <c r="H3" s="540">
        <v>3321500</v>
      </c>
      <c r="I3" s="540">
        <v>276791.66666666669</v>
      </c>
      <c r="J3" s="540">
        <v>6994.75</v>
      </c>
      <c r="K3" s="540">
        <v>118379692.26446362</v>
      </c>
      <c r="L3" s="540">
        <v>9864974.3553719688</v>
      </c>
      <c r="M3" s="541"/>
      <c r="N3" s="541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1">
        <v>273000.00000000006</v>
      </c>
      <c r="H4" s="540">
        <v>3321500</v>
      </c>
      <c r="I4" s="540">
        <v>276791.66666666669</v>
      </c>
      <c r="J4" s="540">
        <v>7925.4759999999997</v>
      </c>
      <c r="K4" s="540">
        <v>118372697.51446362</v>
      </c>
      <c r="L4" s="540">
        <v>9864391.4595386349</v>
      </c>
      <c r="M4" s="541"/>
      <c r="N4" s="541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1">
        <v>282100</v>
      </c>
      <c r="H5" s="540">
        <v>3321500</v>
      </c>
      <c r="I5" s="540">
        <v>276791.66666666669</v>
      </c>
      <c r="J5" s="540">
        <v>8038.2249999999995</v>
      </c>
      <c r="K5" s="540">
        <v>118364772.03846362</v>
      </c>
      <c r="L5" s="540">
        <v>9863731.0032053012</v>
      </c>
      <c r="M5" s="541"/>
      <c r="N5" s="541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1">
        <v>273000.00000000006</v>
      </c>
      <c r="H6" s="540">
        <v>3321500</v>
      </c>
      <c r="I6" s="540">
        <v>276791.66666666669</v>
      </c>
      <c r="J6" s="540">
        <v>8336.5529999999999</v>
      </c>
      <c r="K6" s="540">
        <v>118356733.81346361</v>
      </c>
      <c r="L6" s="540">
        <v>9863061.1511219684</v>
      </c>
      <c r="M6" s="541"/>
      <c r="N6" s="541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1">
        <v>282100</v>
      </c>
      <c r="H7" s="540">
        <v>3321500</v>
      </c>
      <c r="I7" s="540">
        <v>276791.66666666669</v>
      </c>
      <c r="J7" s="540">
        <v>7966.1879999999992</v>
      </c>
      <c r="K7" s="540">
        <v>118348397.26046361</v>
      </c>
      <c r="L7" s="540">
        <v>9862366.4383719675</v>
      </c>
      <c r="M7" s="541"/>
      <c r="N7" s="541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1">
        <v>282100</v>
      </c>
      <c r="H8" s="540">
        <v>3321500</v>
      </c>
      <c r="I8" s="540">
        <v>276791.66666666669</v>
      </c>
      <c r="J8" s="540">
        <v>7815.4290000000001</v>
      </c>
      <c r="K8" s="540">
        <v>118340431.07246362</v>
      </c>
      <c r="L8" s="540">
        <v>9861702.5893719681</v>
      </c>
      <c r="M8" s="541"/>
      <c r="N8" s="541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1">
        <v>254800.00000000003</v>
      </c>
      <c r="H9" s="540">
        <v>3313800</v>
      </c>
      <c r="I9" s="540">
        <v>276150</v>
      </c>
      <c r="J9" s="540">
        <v>8116.7840000000006</v>
      </c>
      <c r="K9" s="540">
        <v>118332615.64346363</v>
      </c>
      <c r="L9" s="540">
        <v>9861051.3036219683</v>
      </c>
      <c r="M9" s="541"/>
      <c r="N9" s="541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1">
        <v>282100</v>
      </c>
      <c r="H10" s="540">
        <v>3313800</v>
      </c>
      <c r="I10" s="540">
        <v>276150</v>
      </c>
      <c r="J10" s="540">
        <v>8654.1629999999986</v>
      </c>
      <c r="K10" s="540">
        <v>118324498.85946362</v>
      </c>
      <c r="L10" s="540">
        <v>9860374.9049553014</v>
      </c>
      <c r="M10" s="541"/>
      <c r="N10" s="541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1">
        <v>273000.00000000006</v>
      </c>
      <c r="H11" s="540">
        <v>3313800</v>
      </c>
      <c r="I11" s="540">
        <v>276150</v>
      </c>
      <c r="J11" s="540">
        <v>9162.2239999999983</v>
      </c>
      <c r="K11" s="540">
        <v>118315844.69646363</v>
      </c>
      <c r="L11" s="540">
        <v>9859653.7247053031</v>
      </c>
      <c r="M11" s="541"/>
      <c r="N11" s="614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1">
        <v>282100</v>
      </c>
      <c r="H12" s="540">
        <v>3263090</v>
      </c>
      <c r="I12" s="540">
        <v>271924.16666666669</v>
      </c>
      <c r="J12" s="540">
        <v>9052.7349999999988</v>
      </c>
      <c r="K12" s="540">
        <v>89889.017000000007</v>
      </c>
      <c r="L12" s="540">
        <v>7490.751416666667</v>
      </c>
      <c r="M12" s="541"/>
      <c r="N12" s="541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1">
        <v>273000.00000000006</v>
      </c>
      <c r="H13" s="540">
        <v>3262530</v>
      </c>
      <c r="I13" s="540">
        <v>271877.5</v>
      </c>
      <c r="J13" s="540">
        <v>8839.8760000000002</v>
      </c>
      <c r="K13" s="540">
        <v>98728.893000000011</v>
      </c>
      <c r="L13" s="540">
        <v>8227.4077500000003</v>
      </c>
      <c r="M13" s="541"/>
      <c r="N13" s="541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1">
        <v>282100</v>
      </c>
      <c r="H14" s="540">
        <v>3262410</v>
      </c>
      <c r="I14" s="540">
        <v>271867.5</v>
      </c>
      <c r="J14" s="540">
        <v>8743.4669999999987</v>
      </c>
      <c r="K14" s="540">
        <v>99645.87000000001</v>
      </c>
      <c r="L14" s="540">
        <v>8303.8225000000002</v>
      </c>
      <c r="M14" s="541"/>
      <c r="N14" s="541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1">
        <v>282100</v>
      </c>
      <c r="H15" s="540">
        <v>3261310</v>
      </c>
      <c r="I15" s="540">
        <v>271775.83333333331</v>
      </c>
      <c r="J15" s="540">
        <v>9049.7170000000006</v>
      </c>
      <c r="K15" s="540">
        <v>101700.83700000001</v>
      </c>
      <c r="L15" s="540">
        <v>8475.0697500000006</v>
      </c>
      <c r="M15" s="541"/>
      <c r="N15" s="541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1">
        <v>273000.00000000006</v>
      </c>
      <c r="H16" s="540">
        <v>3262600</v>
      </c>
      <c r="I16" s="540">
        <v>271883.33333333331</v>
      </c>
      <c r="J16" s="540">
        <v>9364.152</v>
      </c>
      <c r="K16" s="540">
        <v>103139.51300000001</v>
      </c>
      <c r="L16" s="540">
        <v>8594.9594166666666</v>
      </c>
      <c r="M16" s="541"/>
      <c r="N16" s="541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1">
        <v>282100</v>
      </c>
      <c r="H17" s="540">
        <v>3248380</v>
      </c>
      <c r="I17" s="540">
        <v>270698.33333333331</v>
      </c>
      <c r="J17" s="540">
        <v>8630.5259999999998</v>
      </c>
      <c r="K17" s="540">
        <v>103731.81400000001</v>
      </c>
      <c r="L17" s="540">
        <v>8644.3178333333344</v>
      </c>
      <c r="M17" s="541"/>
      <c r="N17" s="541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1">
        <v>273000.00000000006</v>
      </c>
      <c r="H18" s="540">
        <v>3236080</v>
      </c>
      <c r="I18" s="540">
        <v>269673.33333333331</v>
      </c>
      <c r="J18" s="540">
        <v>10322.475</v>
      </c>
      <c r="K18" s="540">
        <v>105717.73600000002</v>
      </c>
      <c r="L18" s="540">
        <v>8809.8113333333349</v>
      </c>
      <c r="M18" s="541"/>
      <c r="N18" s="541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1">
        <v>282100</v>
      </c>
      <c r="H19" s="540">
        <v>3221780</v>
      </c>
      <c r="I19" s="540">
        <v>268481.66666666669</v>
      </c>
      <c r="J19" s="540">
        <v>9775.6810000000005</v>
      </c>
      <c r="K19" s="540">
        <v>107527.22899999999</v>
      </c>
      <c r="L19" s="540">
        <v>8960.6024166666666</v>
      </c>
      <c r="M19" s="541"/>
      <c r="N19" s="541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1">
        <v>282100</v>
      </c>
      <c r="H20" s="540">
        <v>3202970</v>
      </c>
      <c r="I20" s="540">
        <v>266914.16666666669</v>
      </c>
      <c r="J20" s="540">
        <v>9642.5069999999996</v>
      </c>
      <c r="K20" s="540">
        <v>109354.30699999999</v>
      </c>
      <c r="L20" s="540">
        <v>9112.8589166666661</v>
      </c>
      <c r="M20" s="541"/>
      <c r="N20" s="541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1">
        <v>254800.00000000003</v>
      </c>
      <c r="H21" s="540">
        <v>3197770</v>
      </c>
      <c r="I21" s="540">
        <v>266480.83333333331</v>
      </c>
      <c r="J21" s="540">
        <v>9186.607</v>
      </c>
      <c r="K21" s="540">
        <v>110424.12999999999</v>
      </c>
      <c r="L21" s="540">
        <v>9202.0108333333319</v>
      </c>
      <c r="M21" s="541"/>
      <c r="N21" s="541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1">
        <v>282100</v>
      </c>
      <c r="H22" s="540">
        <v>3194950</v>
      </c>
      <c r="I22" s="540">
        <v>266245.83333333331</v>
      </c>
      <c r="J22" s="540">
        <v>9932.4680000000008</v>
      </c>
      <c r="K22" s="540">
        <v>111702.435</v>
      </c>
      <c r="L22" s="540">
        <v>9308.5362499999992</v>
      </c>
      <c r="M22" s="541"/>
      <c r="N22" s="541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1">
        <v>265300</v>
      </c>
      <c r="H23" s="540">
        <v>3187250</v>
      </c>
      <c r="I23" s="540">
        <v>265604.16666666669</v>
      </c>
      <c r="J23" s="540">
        <v>9416.6099999999988</v>
      </c>
      <c r="K23" s="540">
        <v>111956.82100000001</v>
      </c>
      <c r="L23" s="540">
        <v>9329.7350833333348</v>
      </c>
      <c r="M23" s="541"/>
      <c r="N23" s="614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1">
        <v>282100</v>
      </c>
      <c r="H24" s="540">
        <v>3186560</v>
      </c>
      <c r="I24" s="540">
        <v>265546.66666666669</v>
      </c>
      <c r="J24" s="540">
        <v>9854.4069999999992</v>
      </c>
      <c r="K24" s="540">
        <v>112758.49299999999</v>
      </c>
      <c r="L24" s="540">
        <v>9396.5410833333317</v>
      </c>
      <c r="M24" s="541"/>
      <c r="N24" s="541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1">
        <v>273000.00000000006</v>
      </c>
      <c r="H25" s="540">
        <v>3154400</v>
      </c>
      <c r="I25" s="540">
        <v>262866.66666666669</v>
      </c>
      <c r="J25" s="540">
        <v>9162.2239999999983</v>
      </c>
      <c r="K25" s="540">
        <v>113080.841</v>
      </c>
      <c r="L25" s="540">
        <v>9423.4034166666661</v>
      </c>
      <c r="M25" s="541"/>
      <c r="N25" s="541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1">
        <v>231390</v>
      </c>
      <c r="H26" s="540">
        <v>3143170</v>
      </c>
      <c r="I26" s="540">
        <v>261930.83333333334</v>
      </c>
      <c r="J26" s="540">
        <v>9430.9120000000003</v>
      </c>
      <c r="K26" s="540">
        <v>113768.28599999999</v>
      </c>
      <c r="L26" s="540">
        <v>9480.6904999999988</v>
      </c>
      <c r="M26" s="541"/>
      <c r="N26" s="541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1">
        <v>281540</v>
      </c>
      <c r="H27" s="540">
        <v>3121070</v>
      </c>
      <c r="I27" s="540">
        <v>260089.16666666666</v>
      </c>
      <c r="J27" s="540">
        <v>9002.3560000000016</v>
      </c>
      <c r="K27" s="540">
        <v>113720.92499999999</v>
      </c>
      <c r="L27" s="540">
        <v>9476.7437499999996</v>
      </c>
      <c r="M27" s="541"/>
      <c r="N27" s="541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1">
        <v>272880</v>
      </c>
      <c r="H28" s="540">
        <v>3109430</v>
      </c>
      <c r="I28" s="540">
        <v>259119.16666666666</v>
      </c>
      <c r="J28" s="540">
        <v>9863.3380000000016</v>
      </c>
      <c r="K28" s="540">
        <v>114220.11099999999</v>
      </c>
      <c r="L28" s="540">
        <v>9518.3425833333331</v>
      </c>
      <c r="M28" s="541"/>
      <c r="N28" s="541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1">
        <v>281000</v>
      </c>
      <c r="H29" s="540">
        <v>3088960</v>
      </c>
      <c r="I29" s="540">
        <v>257413.33333333334</v>
      </c>
      <c r="J29" s="540">
        <v>11068.052000000001</v>
      </c>
      <c r="K29" s="540">
        <v>116657.637</v>
      </c>
      <c r="L29" s="540">
        <v>9721.4697500000002</v>
      </c>
      <c r="M29" s="541"/>
      <c r="N29" s="541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1">
        <v>274289.99999999994</v>
      </c>
      <c r="H30" s="540">
        <v>3046700</v>
      </c>
      <c r="I30" s="540">
        <v>253891.66666666666</v>
      </c>
      <c r="J30" s="540">
        <v>9770.8719999999994</v>
      </c>
      <c r="K30" s="540">
        <v>116106.034</v>
      </c>
      <c r="L30" s="540">
        <v>9675.5028333333339</v>
      </c>
      <c r="M30" s="541"/>
      <c r="N30" s="541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1">
        <v>267880</v>
      </c>
      <c r="H31" s="540">
        <v>3050260</v>
      </c>
      <c r="I31" s="540">
        <v>254188.33333333334</v>
      </c>
      <c r="J31" s="540">
        <v>10575.174000000001</v>
      </c>
      <c r="K31" s="540">
        <v>116905.527</v>
      </c>
      <c r="L31" s="540">
        <v>9742.1272499999995</v>
      </c>
      <c r="M31" s="541"/>
      <c r="N31" s="541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1">
        <v>269800</v>
      </c>
      <c r="H32" s="540">
        <v>3038140</v>
      </c>
      <c r="I32" s="540">
        <v>253178.33333333334</v>
      </c>
      <c r="J32" s="540">
        <v>10586.568332999999</v>
      </c>
      <c r="K32" s="540">
        <v>117849.58833299999</v>
      </c>
      <c r="L32" s="540">
        <v>9820.7990277499994</v>
      </c>
      <c r="M32" s="541"/>
      <c r="N32" s="541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1">
        <v>240500</v>
      </c>
      <c r="H33" s="540">
        <v>3014040</v>
      </c>
      <c r="I33" s="540">
        <v>251170</v>
      </c>
      <c r="J33" s="540">
        <v>11001.106333000002</v>
      </c>
      <c r="K33" s="540">
        <v>119664.08766600001</v>
      </c>
      <c r="L33" s="540">
        <v>9972.0073055000012</v>
      </c>
      <c r="M33" s="541"/>
      <c r="N33" s="541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1">
        <v>263290</v>
      </c>
      <c r="H34" s="540">
        <v>2970500</v>
      </c>
      <c r="I34" s="540">
        <v>247541.66666666666</v>
      </c>
      <c r="J34" s="540">
        <v>9854.3443329999991</v>
      </c>
      <c r="K34" s="540">
        <v>119585.96399900001</v>
      </c>
      <c r="L34" s="540">
        <v>9965.4969999166678</v>
      </c>
      <c r="M34" s="541"/>
      <c r="N34" s="541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1">
        <v>260100.00000000003</v>
      </c>
      <c r="H35" s="540">
        <v>2961320</v>
      </c>
      <c r="I35" s="540">
        <v>246776.66666666666</v>
      </c>
      <c r="J35" s="540">
        <v>9330.8423330000005</v>
      </c>
      <c r="K35" s="540">
        <v>119500.19633200002</v>
      </c>
      <c r="L35" s="540">
        <v>9958.3496943333357</v>
      </c>
      <c r="M35" s="541"/>
      <c r="N35" s="614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1">
        <v>279280.00000000006</v>
      </c>
      <c r="H36" s="540">
        <v>2956190</v>
      </c>
      <c r="I36" s="540">
        <v>246349.16666666666</v>
      </c>
      <c r="J36" s="540">
        <v>10285.648333000001</v>
      </c>
      <c r="K36" s="540">
        <v>119931.43766500002</v>
      </c>
      <c r="L36" s="540">
        <v>9994.286472083335</v>
      </c>
      <c r="M36" s="541"/>
      <c r="N36" s="541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1">
        <v>265300</v>
      </c>
      <c r="H37" s="540">
        <v>2961040</v>
      </c>
      <c r="I37" s="540">
        <v>246753.33333333334</v>
      </c>
      <c r="J37" s="540">
        <v>10269.808333000001</v>
      </c>
      <c r="K37" s="540">
        <v>121039.02199800004</v>
      </c>
      <c r="L37" s="540">
        <v>10086.585166500003</v>
      </c>
      <c r="M37" s="541"/>
      <c r="N37" s="541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1">
        <v>230700</v>
      </c>
      <c r="H38" s="540">
        <v>2959380</v>
      </c>
      <c r="I38" s="540">
        <v>246615</v>
      </c>
      <c r="J38" s="540">
        <v>10502.808333000001</v>
      </c>
      <c r="K38" s="540">
        <v>122110.91833100002</v>
      </c>
      <c r="L38" s="540">
        <v>10175.909860916669</v>
      </c>
      <c r="M38" s="541"/>
      <c r="N38" s="541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1">
        <v>249380</v>
      </c>
      <c r="H39" s="540">
        <v>2971720</v>
      </c>
      <c r="I39" s="540">
        <v>247643.33333333334</v>
      </c>
      <c r="J39" s="540">
        <v>14837.308333000001</v>
      </c>
      <c r="K39" s="540">
        <v>127945.87066400002</v>
      </c>
      <c r="L39" s="540">
        <v>10662.155888666668</v>
      </c>
      <c r="M39" s="541"/>
      <c r="N39" s="541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1">
        <v>261649.99999999997</v>
      </c>
      <c r="H40" s="540">
        <v>3001180</v>
      </c>
      <c r="I40" s="540">
        <v>250098.33333333334</v>
      </c>
      <c r="J40" s="540">
        <v>16991.118332999999</v>
      </c>
      <c r="K40" s="540">
        <v>135073.65099699999</v>
      </c>
      <c r="L40" s="540">
        <v>11256.137583083333</v>
      </c>
      <c r="M40" s="541"/>
      <c r="N40" s="541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1">
        <v>258899.99999999997</v>
      </c>
      <c r="H41" s="540">
        <v>2990740</v>
      </c>
      <c r="I41" s="540">
        <v>249228.33333333334</v>
      </c>
      <c r="J41" s="540">
        <v>37604.270333333334</v>
      </c>
      <c r="K41" s="540">
        <v>161609.86933033331</v>
      </c>
      <c r="L41" s="540">
        <v>13467.48911086111</v>
      </c>
      <c r="M41" s="541"/>
      <c r="N41" s="541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1">
        <v>262650</v>
      </c>
      <c r="H42" s="540">
        <v>3042530</v>
      </c>
      <c r="I42" s="540">
        <v>253544.16666666666</v>
      </c>
      <c r="J42" s="540">
        <v>37737.378333333334</v>
      </c>
      <c r="K42" s="540">
        <v>189576.37566366667</v>
      </c>
      <c r="L42" s="540">
        <v>15798.031305305556</v>
      </c>
      <c r="M42" s="541"/>
      <c r="N42" s="541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1">
        <v>247410.00000000003</v>
      </c>
      <c r="H43" s="540">
        <v>3019510</v>
      </c>
      <c r="I43" s="540">
        <v>251625.83333333334</v>
      </c>
      <c r="J43" s="540">
        <v>31453.458333333332</v>
      </c>
      <c r="K43" s="540">
        <v>210454.65999700001</v>
      </c>
      <c r="L43" s="540">
        <v>17537.888333083334</v>
      </c>
      <c r="M43" s="541"/>
      <c r="N43" s="541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1">
        <v>227540.00000000003</v>
      </c>
      <c r="H44" s="540">
        <v>3005050</v>
      </c>
      <c r="I44" s="540">
        <v>250420.83333333334</v>
      </c>
      <c r="J44" s="540">
        <v>31178.126</v>
      </c>
      <c r="K44" s="540">
        <v>231046.217664</v>
      </c>
      <c r="L44" s="540">
        <v>19253.851471999998</v>
      </c>
      <c r="M44" s="541"/>
      <c r="N44" s="541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1">
        <v>244060</v>
      </c>
      <c r="H45" s="540">
        <v>2971970</v>
      </c>
      <c r="I45" s="540">
        <v>247664.16666666666</v>
      </c>
      <c r="J45" s="540">
        <v>36839.375</v>
      </c>
      <c r="K45" s="540">
        <v>256884.48633100002</v>
      </c>
      <c r="L45" s="540">
        <v>21407.040527583336</v>
      </c>
      <c r="M45" s="541"/>
      <c r="N45" s="541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1">
        <v>251170</v>
      </c>
      <c r="H46" s="540">
        <v>2945900</v>
      </c>
      <c r="I46" s="540">
        <v>245491.66666666666</v>
      </c>
      <c r="J46" s="540">
        <v>41006.945</v>
      </c>
      <c r="K46" s="540">
        <v>288037.08699799998</v>
      </c>
      <c r="L46" s="540">
        <v>24003.090583166664</v>
      </c>
      <c r="M46" s="541"/>
      <c r="N46" s="541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1">
        <v>236000</v>
      </c>
      <c r="H47" s="540">
        <v>2902670</v>
      </c>
      <c r="I47" s="540">
        <v>241889.16666666666</v>
      </c>
      <c r="J47" s="540">
        <v>38228.275000000001</v>
      </c>
      <c r="K47" s="540">
        <v>316934.51966500003</v>
      </c>
      <c r="L47" s="540">
        <v>26411.209972083336</v>
      </c>
      <c r="M47" s="541"/>
      <c r="N47" s="614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1">
        <v>235740</v>
      </c>
      <c r="H48" s="540">
        <v>2892760</v>
      </c>
      <c r="I48" s="540">
        <v>241063.33333333334</v>
      </c>
      <c r="J48" s="540">
        <v>41486.305</v>
      </c>
      <c r="K48" s="540">
        <v>348135.176332</v>
      </c>
      <c r="L48" s="540">
        <v>29011.264694333335</v>
      </c>
      <c r="M48" s="541"/>
      <c r="N48" s="541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1">
        <v>256120</v>
      </c>
      <c r="H49" s="540">
        <v>2844560</v>
      </c>
      <c r="I49" s="540">
        <v>237046.66666666666</v>
      </c>
      <c r="J49" s="540">
        <v>37460.875</v>
      </c>
      <c r="K49" s="540">
        <v>375326.24299900001</v>
      </c>
      <c r="L49" s="540">
        <v>31277.186916583334</v>
      </c>
      <c r="M49" s="541"/>
      <c r="N49" s="541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1">
        <v>225570</v>
      </c>
      <c r="H50" s="540">
        <v>2781320</v>
      </c>
      <c r="I50" s="540">
        <v>231776.66666666666</v>
      </c>
      <c r="J50" s="540">
        <v>34185.103000000003</v>
      </c>
      <c r="K50" s="540">
        <v>399008.53766600002</v>
      </c>
      <c r="L50" s="540">
        <v>33250.711472166666</v>
      </c>
      <c r="M50" s="541"/>
      <c r="N50" s="541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1">
        <v>254230.00000000003</v>
      </c>
      <c r="H51" s="540">
        <v>2715780</v>
      </c>
      <c r="I51" s="540">
        <v>226315</v>
      </c>
      <c r="J51" s="540">
        <v>32706.875</v>
      </c>
      <c r="K51" s="540">
        <v>416878.10433300002</v>
      </c>
      <c r="L51" s="540">
        <v>34739.842027750004</v>
      </c>
      <c r="M51" s="541"/>
      <c r="N51" s="541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1">
        <v>259990</v>
      </c>
      <c r="H52" s="540">
        <v>2657430</v>
      </c>
      <c r="I52" s="540">
        <v>221452.5</v>
      </c>
      <c r="J52" s="540">
        <v>38999.434000000001</v>
      </c>
      <c r="K52" s="540">
        <v>438886.42000000004</v>
      </c>
      <c r="L52" s="540">
        <v>36573.868333333339</v>
      </c>
      <c r="M52" s="541"/>
      <c r="N52" s="541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1">
        <v>271240.00000000006</v>
      </c>
      <c r="H53" s="540">
        <v>2654610</v>
      </c>
      <c r="I53" s="540">
        <v>221217.5</v>
      </c>
      <c r="J53" s="540">
        <v>38805.31</v>
      </c>
      <c r="K53" s="540">
        <v>440087.45966666663</v>
      </c>
      <c r="L53" s="540">
        <v>36673.954972222222</v>
      </c>
      <c r="M53" s="541"/>
      <c r="N53" s="541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1">
        <v>292110</v>
      </c>
      <c r="H54" s="540">
        <v>2375280</v>
      </c>
      <c r="I54" s="540">
        <v>197940</v>
      </c>
      <c r="J54" s="540">
        <v>47988.010999999999</v>
      </c>
      <c r="K54" s="540">
        <v>450338.09233333333</v>
      </c>
      <c r="L54" s="540">
        <v>37528.174361111109</v>
      </c>
      <c r="M54" s="541"/>
      <c r="N54" s="541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1">
        <v>236970</v>
      </c>
      <c r="H55" s="540">
        <v>2154240</v>
      </c>
      <c r="I55" s="540">
        <v>179520</v>
      </c>
      <c r="J55" s="540">
        <v>50223.96</v>
      </c>
      <c r="K55" s="540">
        <v>469108.59399999998</v>
      </c>
      <c r="L55" s="540">
        <v>39092.382833333329</v>
      </c>
      <c r="M55" s="541"/>
      <c r="N55" s="541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1">
        <v>279330</v>
      </c>
      <c r="H56" s="540">
        <v>2185086.1425999999</v>
      </c>
      <c r="I56" s="540">
        <v>182090.51188333333</v>
      </c>
      <c r="J56" s="540">
        <v>41304.300000000003</v>
      </c>
      <c r="K56" s="540">
        <v>479234.76799999998</v>
      </c>
      <c r="L56" s="540">
        <v>39936.230666666663</v>
      </c>
      <c r="M56" s="541"/>
      <c r="N56" s="541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1">
        <v>221040</v>
      </c>
      <c r="H57" s="540">
        <v>1982166.1425999999</v>
      </c>
      <c r="I57" s="540">
        <v>165180.51188333333</v>
      </c>
      <c r="J57" s="540">
        <v>34758.300000000003</v>
      </c>
      <c r="K57" s="540">
        <v>477153.69299999997</v>
      </c>
      <c r="L57" s="540">
        <v>39762.80775</v>
      </c>
      <c r="M57" s="541"/>
      <c r="N57" s="541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1">
        <v>236710</v>
      </c>
      <c r="H58" s="540">
        <v>1772496.1425999999</v>
      </c>
      <c r="I58" s="540">
        <v>147708.01188333333</v>
      </c>
      <c r="J58" s="540">
        <v>41500.699999999997</v>
      </c>
      <c r="K58" s="540">
        <v>477647.44800000003</v>
      </c>
      <c r="L58" s="540">
        <v>39803.954000000005</v>
      </c>
      <c r="M58" s="541"/>
      <c r="N58" s="541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1">
        <v>202920</v>
      </c>
      <c r="H59" s="540">
        <v>1559606.1425999999</v>
      </c>
      <c r="I59" s="540">
        <v>129967.17855</v>
      </c>
      <c r="J59" s="540">
        <v>47230.911</v>
      </c>
      <c r="K59" s="540">
        <v>486650.08400000003</v>
      </c>
      <c r="L59" s="540">
        <v>40554.173666666669</v>
      </c>
      <c r="M59" s="541"/>
      <c r="N59" s="614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1">
        <v>209670</v>
      </c>
      <c r="H60" s="540">
        <v>1523966.1425999999</v>
      </c>
      <c r="I60" s="540">
        <v>126997.17855</v>
      </c>
      <c r="J60" s="540">
        <v>67920</v>
      </c>
      <c r="K60" s="540">
        <v>513083.77900000004</v>
      </c>
      <c r="L60" s="540">
        <v>42756.981583333334</v>
      </c>
      <c r="M60" s="541"/>
      <c r="N60" s="541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1">
        <v>212890</v>
      </c>
      <c r="H61" s="540">
        <v>1317936.1425999999</v>
      </c>
      <c r="I61" s="540">
        <v>109828.01188333333</v>
      </c>
      <c r="J61" s="540">
        <v>94123.65</v>
      </c>
      <c r="K61" s="540">
        <v>569746.554</v>
      </c>
      <c r="L61" s="540">
        <v>47478.879500000003</v>
      </c>
      <c r="M61" s="541"/>
      <c r="N61" s="541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1">
        <v>215660</v>
      </c>
      <c r="H62" s="540">
        <v>1121186.1425999999</v>
      </c>
      <c r="I62" s="540">
        <v>93432.178549999997</v>
      </c>
      <c r="J62" s="540">
        <v>44290.8</v>
      </c>
      <c r="K62" s="540">
        <v>579852.25100000005</v>
      </c>
      <c r="L62" s="540">
        <v>48321.020916666668</v>
      </c>
      <c r="M62" s="541"/>
      <c r="N62" s="541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1">
        <v>206030</v>
      </c>
      <c r="H63" s="540">
        <v>1223383.9226000002</v>
      </c>
      <c r="I63" s="540">
        <v>101948.66021666669</v>
      </c>
      <c r="J63" s="540">
        <v>42851.4</v>
      </c>
      <c r="K63" s="540">
        <v>589996.77600000007</v>
      </c>
      <c r="L63" s="540">
        <v>49166.398000000008</v>
      </c>
      <c r="M63" s="541"/>
      <c r="N63" s="541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1">
        <v>196750</v>
      </c>
      <c r="H64" s="540">
        <v>2781320</v>
      </c>
      <c r="I64" s="540">
        <v>231776.66666666666</v>
      </c>
      <c r="J64" s="540">
        <v>88281.695999999996</v>
      </c>
      <c r="K64" s="540">
        <v>639279.03799999994</v>
      </c>
      <c r="L64" s="540">
        <v>53273.253166666662</v>
      </c>
      <c r="M64" s="541"/>
      <c r="N64" s="541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1">
        <v>205700</v>
      </c>
      <c r="H65" s="540">
        <v>2715780</v>
      </c>
      <c r="I65" s="540">
        <v>226315</v>
      </c>
      <c r="J65" s="540">
        <v>50819.95</v>
      </c>
      <c r="K65" s="540">
        <v>651293.67800000007</v>
      </c>
      <c r="L65" s="540">
        <v>54274.47316666667</v>
      </c>
      <c r="M65" s="541"/>
      <c r="N65" s="541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1">
        <v>233760</v>
      </c>
      <c r="H66" s="540">
        <v>2657430</v>
      </c>
      <c r="I66" s="540">
        <v>221452.5</v>
      </c>
      <c r="J66" s="540">
        <v>74759.599000000002</v>
      </c>
      <c r="K66" s="540">
        <v>678065.26599999995</v>
      </c>
      <c r="L66" s="540">
        <v>56505.438833333326</v>
      </c>
      <c r="M66" s="541"/>
      <c r="N66" s="541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1">
        <v>234150</v>
      </c>
      <c r="H67" s="540">
        <v>2654610</v>
      </c>
      <c r="I67" s="540">
        <v>221217.5</v>
      </c>
      <c r="J67" s="540">
        <v>106520.58600000001</v>
      </c>
      <c r="K67" s="540">
        <v>734361.89200000011</v>
      </c>
      <c r="L67" s="540">
        <v>61196.824333333345</v>
      </c>
      <c r="M67" s="541"/>
      <c r="N67" s="541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0">
        <v>0</v>
      </c>
      <c r="H68" s="540">
        <v>0</v>
      </c>
      <c r="I68" s="540">
        <v>115765</v>
      </c>
      <c r="J68" s="540">
        <v>1891588.3981833332</v>
      </c>
      <c r="K68" s="540">
        <v>157632.36651527777</v>
      </c>
      <c r="L68" s="541"/>
      <c r="M68" s="541">
        <v>689.5</v>
      </c>
      <c r="N68" s="540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0">
        <v>0</v>
      </c>
      <c r="H69" s="540">
        <v>204315.61740000002</v>
      </c>
      <c r="I69" s="540">
        <v>19532030.253000002</v>
      </c>
      <c r="J69" s="540">
        <v>1627669.1877500003</v>
      </c>
      <c r="K69" s="541"/>
      <c r="L69" s="541">
        <v>390</v>
      </c>
      <c r="M69" s="540">
        <v>493721.39716666669</v>
      </c>
      <c r="N69" s="540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0">
        <v>267556.14260000002</v>
      </c>
      <c r="H70" s="540">
        <v>2185086.1425999999</v>
      </c>
      <c r="I70" s="540">
        <v>182090.51188333333</v>
      </c>
      <c r="J70" s="541"/>
      <c r="K70" s="541">
        <v>180</v>
      </c>
      <c r="L70" s="540">
        <v>5600141.6845152779</v>
      </c>
      <c r="M70" s="540">
        <v>466678.47370960651</v>
      </c>
      <c r="N70" s="540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0">
        <v>0</v>
      </c>
      <c r="H71" s="540">
        <v>0</v>
      </c>
      <c r="I71" s="541">
        <v>-1</v>
      </c>
      <c r="J71" s="541">
        <v>8380</v>
      </c>
      <c r="K71" s="540">
        <v>4097205.2669333331</v>
      </c>
      <c r="L71" s="540">
        <v>341433.77224444441</v>
      </c>
      <c r="M71" s="540">
        <v>45909.760000000002</v>
      </c>
      <c r="N71" s="540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0">
        <v>0</v>
      </c>
      <c r="H72" s="541"/>
      <c r="I72" s="541">
        <v>18316</v>
      </c>
      <c r="J72" s="540">
        <v>21054171.282200001</v>
      </c>
      <c r="K72" s="540">
        <v>1754514.2735166668</v>
      </c>
      <c r="L72" s="540">
        <v>47338.690999999999</v>
      </c>
      <c r="M72" s="540">
        <v>6359520.4356763884</v>
      </c>
      <c r="N72" s="540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1"/>
      <c r="H73" s="541">
        <v>38325</v>
      </c>
      <c r="I73" s="540">
        <v>15581436.825200001</v>
      </c>
      <c r="J73" s="540">
        <v>1298453.0687666668</v>
      </c>
      <c r="K73" s="540">
        <v>46129.3</v>
      </c>
      <c r="L73" s="540">
        <v>9928510.1079652775</v>
      </c>
      <c r="M73" s="540">
        <v>827375.84233043983</v>
      </c>
      <c r="N73" s="541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1">
        <v>180019.99999999997</v>
      </c>
      <c r="H74" s="540">
        <v>1523966.1425999999</v>
      </c>
      <c r="I74" s="540">
        <v>126997.17855</v>
      </c>
      <c r="J74" s="540">
        <v>57730.107000000004</v>
      </c>
      <c r="K74" s="540">
        <v>26301225.274900004</v>
      </c>
      <c r="L74" s="540">
        <v>2191768.7729083337</v>
      </c>
      <c r="M74" s="541"/>
      <c r="N74" s="541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0">
        <v>0</v>
      </c>
      <c r="H75" s="540">
        <v>0</v>
      </c>
      <c r="I75" s="540">
        <v>115861.29999999999</v>
      </c>
      <c r="J75" s="540">
        <v>36573257.735299997</v>
      </c>
      <c r="K75" s="540">
        <v>3047771.4779416663</v>
      </c>
      <c r="L75" s="541"/>
      <c r="M75" s="541">
        <v>369.1</v>
      </c>
      <c r="N75" s="540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0">
        <v>0</v>
      </c>
      <c r="H76" s="540">
        <v>295175.28899999999</v>
      </c>
      <c r="I76" s="540">
        <v>12274688.1916</v>
      </c>
      <c r="J76" s="540">
        <v>1022890.6826333334</v>
      </c>
      <c r="K76" s="541"/>
      <c r="L76" s="541">
        <v>549</v>
      </c>
      <c r="M76" s="540">
        <v>18282108.764966667</v>
      </c>
      <c r="N76" s="540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0">
        <v>307897.78000000003</v>
      </c>
      <c r="H77" s="540">
        <v>1223383.9226000002</v>
      </c>
      <c r="I77" s="540">
        <v>101948.66021666669</v>
      </c>
      <c r="J77" s="541"/>
      <c r="K77" s="541">
        <v>286</v>
      </c>
      <c r="L77" s="540">
        <v>36817371.117806949</v>
      </c>
      <c r="M77" s="540">
        <v>3068114.2598172459</v>
      </c>
      <c r="N77" s="540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0">
        <v>0</v>
      </c>
      <c r="H78" s="540">
        <v>0</v>
      </c>
      <c r="I78" s="541"/>
      <c r="J78" s="541">
        <v>12137</v>
      </c>
      <c r="K78" s="540">
        <v>63652798.047833331</v>
      </c>
      <c r="L78" s="540">
        <v>5304399.8373194439</v>
      </c>
      <c r="M78" s="540">
        <v>64863.5</v>
      </c>
      <c r="N78" s="540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0">
        <v>0</v>
      </c>
      <c r="H79" s="541"/>
      <c r="I79" s="541">
        <v>14624</v>
      </c>
      <c r="J79" s="540">
        <v>48063756.920450002</v>
      </c>
      <c r="K79" s="540">
        <v>4005313.0767041668</v>
      </c>
      <c r="L79" s="540">
        <v>77551.5</v>
      </c>
      <c r="M79" s="540">
        <v>60309454.483759724</v>
      </c>
      <c r="N79" s="540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1"/>
      <c r="H80" s="541">
        <v>28801</v>
      </c>
      <c r="I80" s="540">
        <v>5499053.1141999997</v>
      </c>
      <c r="J80" s="540">
        <v>458254.42618333333</v>
      </c>
      <c r="K80" s="540">
        <v>75785.350000000006</v>
      </c>
      <c r="L80" s="540">
        <v>102981208.06782916</v>
      </c>
      <c r="M80" s="540">
        <v>8581767.3389857635</v>
      </c>
      <c r="N80" s="541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1"/>
      <c r="H81" s="540"/>
      <c r="J81" s="540"/>
      <c r="K81" s="540"/>
      <c r="M81" s="541"/>
      <c r="N81" s="541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1"/>
      <c r="H82" s="540"/>
      <c r="J82" s="540"/>
      <c r="K82" s="540"/>
      <c r="M82" s="541"/>
      <c r="N82" s="541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1"/>
      <c r="H83" s="540"/>
      <c r="J83" s="540"/>
      <c r="K83" s="540"/>
      <c r="M83" s="541"/>
      <c r="N83" s="541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1"/>
      <c r="H84" s="540"/>
      <c r="J84" s="540"/>
      <c r="K84" s="540"/>
      <c r="M84" s="541"/>
      <c r="N84" s="541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1"/>
      <c r="H85" s="540"/>
      <c r="J85" s="540"/>
      <c r="K85" s="540"/>
      <c r="M85" s="541"/>
      <c r="N85" s="541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1"/>
      <c r="H86" s="540"/>
      <c r="J86" s="540"/>
      <c r="K86" s="540"/>
      <c r="M86" s="541"/>
      <c r="N86" s="541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1"/>
      <c r="H87" s="540"/>
      <c r="J87" s="540"/>
      <c r="K87" s="540"/>
      <c r="M87" s="541"/>
      <c r="N87" s="541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1"/>
      <c r="H88" s="540"/>
      <c r="J88" s="540"/>
      <c r="K88" s="540"/>
      <c r="M88" s="541"/>
      <c r="N88" s="541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1"/>
      <c r="H89" s="540"/>
      <c r="J89" s="540"/>
      <c r="K89" s="540"/>
      <c r="M89" s="541"/>
      <c r="N89" s="541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1"/>
      <c r="H90" s="540"/>
      <c r="J90" s="540"/>
      <c r="K90" s="540"/>
      <c r="M90" s="541"/>
      <c r="N90" s="541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1"/>
      <c r="H91" s="540"/>
      <c r="J91" s="540"/>
      <c r="K91" s="540"/>
      <c r="M91" s="541"/>
      <c r="N91" s="541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1"/>
      <c r="H92" s="540"/>
      <c r="J92" s="540"/>
      <c r="K92" s="540"/>
      <c r="M92" s="541"/>
      <c r="N92" s="541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1"/>
      <c r="H93" s="540"/>
      <c r="J93" s="540"/>
      <c r="K93" s="540"/>
      <c r="M93" s="541"/>
      <c r="N93" s="541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1"/>
      <c r="H94" s="540"/>
      <c r="J94" s="540"/>
      <c r="K94" s="540"/>
      <c r="M94" s="541"/>
      <c r="N94" s="541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1"/>
      <c r="H95" s="540"/>
      <c r="J95" s="540"/>
      <c r="K95" s="540"/>
      <c r="M95" s="541"/>
      <c r="N95" s="541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1"/>
      <c r="H96" s="540"/>
      <c r="J96" s="540"/>
      <c r="K96" s="540"/>
      <c r="M96" s="541"/>
      <c r="N96" s="541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1">
        <v>111190</v>
      </c>
      <c r="H97" s="540">
        <v>111190</v>
      </c>
      <c r="I97" s="540">
        <v>9265.8333333333339</v>
      </c>
      <c r="J97" s="540">
        <v>92885.967999999993</v>
      </c>
      <c r="K97" s="540">
        <v>92885.967999999993</v>
      </c>
      <c r="L97" s="540">
        <v>7740.4973333333328</v>
      </c>
      <c r="M97" s="541"/>
      <c r="N97" s="614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1">
        <v>117730</v>
      </c>
      <c r="H98" s="540">
        <v>228920</v>
      </c>
      <c r="I98" s="540">
        <v>19076.666666666668</v>
      </c>
      <c r="J98" s="540">
        <v>99787.217999999993</v>
      </c>
      <c r="K98" s="540">
        <v>192673.18599999999</v>
      </c>
      <c r="L98" s="540">
        <v>16056.098833333332</v>
      </c>
      <c r="M98" s="541"/>
      <c r="N98" s="541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1">
        <v>132220</v>
      </c>
      <c r="H99" s="540">
        <v>361140</v>
      </c>
      <c r="I99" s="540">
        <v>30095</v>
      </c>
      <c r="J99" s="540">
        <v>106308.09299999999</v>
      </c>
      <c r="K99" s="540">
        <v>298981.27899999998</v>
      </c>
      <c r="L99" s="540">
        <v>24915.10658333333</v>
      </c>
      <c r="M99" s="541"/>
      <c r="N99" s="541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1">
        <v>154490</v>
      </c>
      <c r="H100" s="540">
        <v>515630</v>
      </c>
      <c r="I100" s="540">
        <v>42969.166666666664</v>
      </c>
      <c r="J100" s="540">
        <v>98591.05</v>
      </c>
      <c r="K100" s="540">
        <v>397572.32899999997</v>
      </c>
      <c r="L100" s="540">
        <v>33131.027416666664</v>
      </c>
      <c r="M100" s="541"/>
      <c r="N100" s="541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1">
        <v>143570</v>
      </c>
      <c r="H101" s="540">
        <v>659200</v>
      </c>
      <c r="I101" s="540">
        <v>54933.333333333336</v>
      </c>
      <c r="J101" s="540">
        <v>111552.35</v>
      </c>
      <c r="K101" s="540">
        <v>509124.679</v>
      </c>
      <c r="L101" s="540">
        <v>42427.056583333331</v>
      </c>
      <c r="M101" s="541"/>
      <c r="N101" s="541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1">
        <v>144810</v>
      </c>
      <c r="H102" s="540">
        <v>804010</v>
      </c>
      <c r="I102" s="540">
        <v>67000.833333333328</v>
      </c>
      <c r="J102" s="540">
        <v>107433.38399999999</v>
      </c>
      <c r="K102" s="540">
        <v>616558.06299999997</v>
      </c>
      <c r="L102" s="540">
        <v>51379.83858333333</v>
      </c>
      <c r="M102" s="541"/>
      <c r="N102" s="541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1">
        <v>143687</v>
      </c>
      <c r="H103" s="540">
        <v>947697</v>
      </c>
      <c r="I103" s="540">
        <v>78974.75</v>
      </c>
      <c r="J103" s="540">
        <v>108138.23699999999</v>
      </c>
      <c r="K103" s="540">
        <v>724696.29999999993</v>
      </c>
      <c r="L103" s="540">
        <v>60391.35833333333</v>
      </c>
      <c r="M103" s="541"/>
      <c r="N103" s="541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1">
        <v>144020</v>
      </c>
      <c r="H104" s="540">
        <v>1091717</v>
      </c>
      <c r="I104" s="540">
        <v>90976.416666666672</v>
      </c>
      <c r="J104" s="540">
        <v>105774.65</v>
      </c>
      <c r="K104" s="540">
        <v>830470.95</v>
      </c>
      <c r="L104" s="540">
        <v>69205.912499999991</v>
      </c>
      <c r="M104" s="541"/>
      <c r="N104" s="541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1">
        <v>110360</v>
      </c>
      <c r="H105" s="540">
        <v>1202077</v>
      </c>
      <c r="I105" s="540">
        <v>100173.08333333333</v>
      </c>
      <c r="J105" s="540">
        <v>64836.481</v>
      </c>
      <c r="K105" s="540">
        <v>895307.43099999998</v>
      </c>
      <c r="L105" s="540">
        <v>74608.952583333332</v>
      </c>
      <c r="M105" s="541"/>
      <c r="N105" s="541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1">
        <v>112280</v>
      </c>
      <c r="H106" s="540">
        <v>1314357</v>
      </c>
      <c r="I106" s="540">
        <v>109529.75</v>
      </c>
      <c r="J106" s="540">
        <v>74307.149999999994</v>
      </c>
      <c r="K106" s="540">
        <v>969614.58100000001</v>
      </c>
      <c r="L106" s="540">
        <v>80801.215083333329</v>
      </c>
      <c r="M106" s="541"/>
      <c r="N106" s="541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1">
        <v>109680</v>
      </c>
      <c r="H107" s="540">
        <v>1424037</v>
      </c>
      <c r="I107" s="540">
        <v>118669.75</v>
      </c>
      <c r="J107" s="540">
        <v>80531.380999999994</v>
      </c>
      <c r="K107" s="540">
        <v>1050145.9620000001</v>
      </c>
      <c r="L107" s="540">
        <v>87512.16350000001</v>
      </c>
      <c r="M107" s="541"/>
      <c r="N107" s="541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1">
        <v>128780</v>
      </c>
      <c r="H108" s="540">
        <v>1552817</v>
      </c>
      <c r="I108" s="540">
        <v>129401.41666666667</v>
      </c>
      <c r="J108" s="540">
        <v>90153.35</v>
      </c>
      <c r="K108" s="540">
        <v>1140299.3120000002</v>
      </c>
      <c r="L108" s="540">
        <v>95024.942666666684</v>
      </c>
      <c r="M108" s="541"/>
      <c r="N108" s="541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1">
        <v>133160</v>
      </c>
      <c r="H109" s="540">
        <v>1574787</v>
      </c>
      <c r="I109" s="540">
        <v>131232.25</v>
      </c>
      <c r="J109" s="540">
        <v>89542.8</v>
      </c>
      <c r="K109" s="540">
        <v>1136956.1439999999</v>
      </c>
      <c r="L109" s="540">
        <v>94746.345333333316</v>
      </c>
      <c r="M109" s="541"/>
      <c r="N109" s="614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1">
        <v>133830</v>
      </c>
      <c r="H110" s="540">
        <v>1590887</v>
      </c>
      <c r="I110" s="540">
        <v>132573.91666666666</v>
      </c>
      <c r="J110" s="540">
        <v>81459.95</v>
      </c>
      <c r="K110" s="540">
        <v>1118628.8760000002</v>
      </c>
      <c r="L110" s="540">
        <v>93219.073000000019</v>
      </c>
      <c r="M110" s="541"/>
      <c r="N110" s="541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1">
        <v>142600</v>
      </c>
      <c r="H111" s="540">
        <v>1601267</v>
      </c>
      <c r="I111" s="540">
        <v>133438.91666666666</v>
      </c>
      <c r="J111" s="540">
        <v>97312.25</v>
      </c>
      <c r="K111" s="540">
        <v>1109633.0329999998</v>
      </c>
      <c r="L111" s="540">
        <v>92469.419416666657</v>
      </c>
      <c r="M111" s="541"/>
      <c r="N111" s="541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1">
        <v>173160</v>
      </c>
      <c r="H112" s="540">
        <v>1619937</v>
      </c>
      <c r="I112" s="540">
        <v>134994.75</v>
      </c>
      <c r="J112" s="540">
        <v>102162.85</v>
      </c>
      <c r="K112" s="540">
        <v>1113204.8330000001</v>
      </c>
      <c r="L112" s="540">
        <v>92767.06941666668</v>
      </c>
      <c r="M112" s="541"/>
      <c r="N112" s="541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1">
        <v>168060</v>
      </c>
      <c r="H113" s="540">
        <v>1644427</v>
      </c>
      <c r="I113" s="540">
        <v>137035.58333333334</v>
      </c>
      <c r="J113" s="540">
        <v>106460.55</v>
      </c>
      <c r="K113" s="540">
        <v>1108113.0330000001</v>
      </c>
      <c r="L113" s="540">
        <v>92342.75275</v>
      </c>
      <c r="M113" s="541"/>
      <c r="N113" s="541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1">
        <v>166850</v>
      </c>
      <c r="H114" s="540">
        <v>1666467</v>
      </c>
      <c r="I114" s="540">
        <v>138872.25</v>
      </c>
      <c r="J114" s="540">
        <v>107788.5</v>
      </c>
      <c r="K114" s="540">
        <v>1108468.1490000002</v>
      </c>
      <c r="L114" s="540">
        <v>92372.345750000022</v>
      </c>
      <c r="M114" s="541"/>
      <c r="N114" s="541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1">
        <v>154040</v>
      </c>
      <c r="H115" s="540">
        <v>1676820</v>
      </c>
      <c r="I115" s="540">
        <v>139735</v>
      </c>
      <c r="J115" s="540">
        <v>110169</v>
      </c>
      <c r="K115" s="540">
        <v>1110498.912</v>
      </c>
      <c r="L115" s="540">
        <v>92541.576000000001</v>
      </c>
      <c r="M115" s="541"/>
      <c r="N115" s="541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1">
        <v>124160</v>
      </c>
      <c r="H116" s="540">
        <v>1656960</v>
      </c>
      <c r="I116" s="540">
        <v>138080</v>
      </c>
      <c r="J116" s="540">
        <v>100297</v>
      </c>
      <c r="K116" s="540">
        <v>1105021.2620000001</v>
      </c>
      <c r="L116" s="540">
        <v>92085.105166666675</v>
      </c>
      <c r="M116" s="541"/>
      <c r="N116" s="541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1">
        <v>152050</v>
      </c>
      <c r="H117" s="540">
        <v>1698650</v>
      </c>
      <c r="I117" s="540">
        <v>141554.16666666666</v>
      </c>
      <c r="J117" s="540">
        <v>81578.399999999994</v>
      </c>
      <c r="K117" s="540">
        <v>1121763.1810000001</v>
      </c>
      <c r="L117" s="540">
        <v>93480.265083333346</v>
      </c>
      <c r="M117" s="613"/>
      <c r="N117" s="613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1">
        <v>169890</v>
      </c>
      <c r="H118" s="540">
        <v>1756260</v>
      </c>
      <c r="I118" s="540">
        <v>146355</v>
      </c>
      <c r="J118" s="540">
        <v>97111.3</v>
      </c>
      <c r="K118" s="540">
        <v>1144567.331</v>
      </c>
      <c r="L118" s="540">
        <v>95380.610916666672</v>
      </c>
      <c r="M118" s="613"/>
      <c r="N118" s="613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1">
        <v>149490</v>
      </c>
      <c r="H119" s="540">
        <v>1796070</v>
      </c>
      <c r="I119" s="540">
        <v>149672.5</v>
      </c>
      <c r="J119" s="540">
        <v>91605.75</v>
      </c>
      <c r="K119" s="540">
        <v>1155641.7000000002</v>
      </c>
      <c r="L119" s="540">
        <v>96303.47500000002</v>
      </c>
      <c r="M119" s="613"/>
      <c r="N119" s="613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1">
        <v>151970</v>
      </c>
      <c r="H120" s="540">
        <v>1819260</v>
      </c>
      <c r="I120" s="540">
        <v>151605</v>
      </c>
      <c r="J120" s="540">
        <v>94968.9</v>
      </c>
      <c r="K120" s="540">
        <v>1160457.25</v>
      </c>
      <c r="L120" s="540">
        <v>96704.770833333328</v>
      </c>
      <c r="M120" s="613"/>
      <c r="N120" s="613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1">
        <v>142210</v>
      </c>
      <c r="H121" s="540">
        <v>1828310</v>
      </c>
      <c r="I121" s="540">
        <v>152359.16666666666</v>
      </c>
      <c r="J121" s="540">
        <v>98477.05</v>
      </c>
      <c r="K121" s="540">
        <v>1169391.5000000002</v>
      </c>
      <c r="L121" s="540">
        <v>97449.291666666686</v>
      </c>
      <c r="M121" s="613"/>
      <c r="N121" s="614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1">
        <v>136680</v>
      </c>
      <c r="H122" s="540">
        <v>1831160</v>
      </c>
      <c r="I122" s="540">
        <v>152596.66666666666</v>
      </c>
      <c r="J122" s="540">
        <v>77767</v>
      </c>
      <c r="K122" s="540">
        <v>1165698.55</v>
      </c>
      <c r="L122" s="540">
        <v>97141.545833333337</v>
      </c>
      <c r="M122" s="613"/>
      <c r="N122" s="613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1">
        <v>153100</v>
      </c>
      <c r="H123" s="540">
        <v>1841660</v>
      </c>
      <c r="I123" s="540">
        <v>153471.66666666666</v>
      </c>
      <c r="J123" s="540">
        <v>85047.5</v>
      </c>
      <c r="K123" s="540">
        <v>1153433.8000000003</v>
      </c>
      <c r="L123" s="540">
        <v>96119.483333333352</v>
      </c>
      <c r="M123" s="613"/>
      <c r="N123" s="613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1">
        <v>157880</v>
      </c>
      <c r="H124" s="540">
        <v>1826380</v>
      </c>
      <c r="I124" s="540">
        <v>152198.33333333334</v>
      </c>
      <c r="J124" s="540">
        <v>108615.35</v>
      </c>
      <c r="K124" s="540">
        <v>1159886.3000000003</v>
      </c>
      <c r="L124" s="540">
        <v>96657.191666666695</v>
      </c>
      <c r="M124" s="542"/>
      <c r="N124" s="542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1">
        <v>151690</v>
      </c>
      <c r="H125" s="540">
        <v>1810010</v>
      </c>
      <c r="I125" s="540">
        <v>150834.16666666666</v>
      </c>
      <c r="J125" s="540">
        <v>90634.599999999991</v>
      </c>
      <c r="K125" s="540">
        <v>1144060.3500000001</v>
      </c>
      <c r="L125" s="540">
        <v>95338.362500000003</v>
      </c>
      <c r="M125" s="542"/>
      <c r="N125" s="542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1">
        <v>158262</v>
      </c>
      <c r="H126" s="540">
        <v>1801422</v>
      </c>
      <c r="I126" s="540">
        <v>150118.5</v>
      </c>
      <c r="J126" s="540">
        <v>96127.2</v>
      </c>
      <c r="K126" s="540">
        <v>1132399.05</v>
      </c>
      <c r="L126" s="540">
        <v>94366.587500000009</v>
      </c>
      <c r="M126" s="542"/>
      <c r="N126" s="542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1">
        <v>148708</v>
      </c>
      <c r="H127" s="540">
        <v>1796090</v>
      </c>
      <c r="I127" s="540">
        <v>149674.16666666666</v>
      </c>
      <c r="J127" s="540">
        <v>96713.1</v>
      </c>
      <c r="K127" s="540">
        <v>1118943.1499999999</v>
      </c>
      <c r="L127" s="540">
        <v>93245.262499999997</v>
      </c>
      <c r="M127" s="542"/>
      <c r="N127" s="542"/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1">
        <v>130338</v>
      </c>
      <c r="H128" s="540">
        <v>1802268</v>
      </c>
      <c r="I128" s="540">
        <v>150189</v>
      </c>
      <c r="J128" s="540">
        <v>94030.200000000012</v>
      </c>
      <c r="K128" s="540">
        <v>1112676.3499999999</v>
      </c>
      <c r="L128" s="540">
        <v>92723.02916666666</v>
      </c>
      <c r="M128" s="542"/>
      <c r="N128" s="542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1">
        <v>123019.9</v>
      </c>
      <c r="H129" s="540">
        <v>1773237.9</v>
      </c>
      <c r="I129" s="540">
        <v>147769.82499999998</v>
      </c>
      <c r="J129" s="540">
        <v>88272.8</v>
      </c>
      <c r="K129" s="540">
        <v>1119370.75</v>
      </c>
      <c r="L129" s="540">
        <v>93280.895833333328</v>
      </c>
      <c r="M129" s="542"/>
      <c r="N129" s="542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1">
        <v>141749.70000000001</v>
      </c>
      <c r="H130" s="540">
        <v>1745097.5999999999</v>
      </c>
      <c r="I130" s="540">
        <v>145424.79999999999</v>
      </c>
      <c r="J130" s="540">
        <v>99355.200000000012</v>
      </c>
      <c r="K130" s="540">
        <v>1121614.6499999999</v>
      </c>
      <c r="L130" s="540">
        <v>93467.887499999997</v>
      </c>
      <c r="M130" s="542"/>
      <c r="N130" s="542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1">
        <v>136279</v>
      </c>
      <c r="H131" s="540">
        <v>1731886.5999999999</v>
      </c>
      <c r="I131" s="540">
        <v>144323.88333333333</v>
      </c>
      <c r="J131" s="540">
        <v>90233.600000000006</v>
      </c>
      <c r="K131" s="540">
        <v>1120242.5</v>
      </c>
      <c r="L131" s="540">
        <v>93353.541666666672</v>
      </c>
      <c r="M131" s="542"/>
      <c r="N131" s="542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1">
        <v>168240</v>
      </c>
      <c r="H132" s="540">
        <v>1748156.5999999999</v>
      </c>
      <c r="I132" s="540">
        <v>145679.71666666665</v>
      </c>
      <c r="J132" s="540">
        <v>89013.2</v>
      </c>
      <c r="K132" s="540">
        <v>1114286.8</v>
      </c>
      <c r="L132" s="540">
        <v>92857.233333333337</v>
      </c>
      <c r="M132" s="542"/>
      <c r="N132" s="542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1">
        <v>146382</v>
      </c>
      <c r="H133" s="540">
        <v>1752328.5999999999</v>
      </c>
      <c r="I133" s="540">
        <v>146027.38333333333</v>
      </c>
      <c r="J133" s="540">
        <v>83275.199999999997</v>
      </c>
      <c r="K133" s="540">
        <v>1099084.95</v>
      </c>
      <c r="L133" s="540">
        <v>91590.412499999991</v>
      </c>
      <c r="M133" s="542"/>
      <c r="N133" s="614">
        <v>2851413.55</v>
      </c>
      <c r="R133" s="354"/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1">
        <v>160720.6</v>
      </c>
      <c r="H134" s="540">
        <v>1776369.2000000002</v>
      </c>
      <c r="I134" s="540">
        <v>148030.76666666669</v>
      </c>
      <c r="J134" s="540">
        <v>89193</v>
      </c>
      <c r="K134" s="540">
        <v>1110510.9499999997</v>
      </c>
      <c r="L134" s="540">
        <v>92542.579166666648</v>
      </c>
      <c r="M134" s="542"/>
      <c r="N134" s="540"/>
      <c r="R134" s="354"/>
      <c r="S134" s="407"/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1">
        <v>140037</v>
      </c>
      <c r="H135" s="540">
        <v>1763306.2000000002</v>
      </c>
      <c r="I135" s="540">
        <v>146942.18333333335</v>
      </c>
      <c r="J135" s="540">
        <v>98710.7</v>
      </c>
      <c r="K135" s="540">
        <v>1124174.1499999999</v>
      </c>
      <c r="L135" s="540">
        <v>93681.179166666654</v>
      </c>
      <c r="M135" s="542"/>
      <c r="N135" s="540"/>
      <c r="R135" s="354"/>
      <c r="S135" s="407"/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1">
        <v>153930</v>
      </c>
      <c r="H136" s="540">
        <v>1759356.2000000002</v>
      </c>
      <c r="I136" s="540">
        <v>146613.01666666669</v>
      </c>
      <c r="J136" s="540">
        <v>99513.3</v>
      </c>
      <c r="K136" s="540">
        <v>1115072.0999999999</v>
      </c>
      <c r="L136" s="540">
        <v>92922.674999999988</v>
      </c>
      <c r="M136" s="542"/>
      <c r="N136" s="540"/>
      <c r="R136" s="354"/>
      <c r="S136" s="407"/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1">
        <v>156680</v>
      </c>
      <c r="H137" s="540">
        <v>1764346.2000000002</v>
      </c>
      <c r="I137" s="540">
        <v>147028.85</v>
      </c>
      <c r="J137" s="540">
        <v>104290.1</v>
      </c>
      <c r="K137" s="540">
        <v>1128727.5999999999</v>
      </c>
      <c r="L137" s="540">
        <v>94060.633333333317</v>
      </c>
      <c r="M137" s="542"/>
      <c r="N137" s="540"/>
      <c r="R137" s="354"/>
      <c r="S137" s="407"/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1">
        <v>157420</v>
      </c>
      <c r="H138" s="540">
        <v>1763504.2000000002</v>
      </c>
      <c r="I138" s="540">
        <v>146958.68333333335</v>
      </c>
      <c r="J138" s="540">
        <v>105070.1</v>
      </c>
      <c r="K138" s="540">
        <v>1137670.5</v>
      </c>
      <c r="L138" s="540">
        <v>94805.875</v>
      </c>
      <c r="M138" s="542"/>
      <c r="N138" s="540"/>
      <c r="R138" s="354"/>
      <c r="S138" s="407"/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1">
        <v>143500</v>
      </c>
      <c r="H139" s="540">
        <v>1758296.2</v>
      </c>
      <c r="I139" s="540">
        <v>146524.68333333332</v>
      </c>
      <c r="J139" s="540">
        <v>86822.7</v>
      </c>
      <c r="K139" s="540">
        <v>1127780.1000000001</v>
      </c>
      <c r="L139" s="540">
        <v>93981.675000000003</v>
      </c>
      <c r="M139" s="542"/>
      <c r="N139" s="540"/>
      <c r="R139" s="354"/>
      <c r="S139" s="407"/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1">
        <v>123900</v>
      </c>
      <c r="H140" s="540">
        <v>1751858.2</v>
      </c>
      <c r="I140" s="540">
        <v>145988.18333333332</v>
      </c>
      <c r="J140" s="540">
        <v>82734.2</v>
      </c>
      <c r="K140" s="540">
        <v>1116484.0999999999</v>
      </c>
      <c r="L140" s="540">
        <v>93040.34166666666</v>
      </c>
      <c r="M140" s="542"/>
      <c r="N140" s="540"/>
      <c r="R140" s="354"/>
      <c r="S140" s="407"/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1">
        <v>139910</v>
      </c>
      <c r="H141" s="540">
        <v>1768748.2999999998</v>
      </c>
      <c r="I141" s="540">
        <v>147395.69166666665</v>
      </c>
      <c r="J141" s="540">
        <v>86284.800000000003</v>
      </c>
      <c r="K141" s="540">
        <v>1114496.0999999999</v>
      </c>
      <c r="L141" s="540">
        <v>92874.674999999988</v>
      </c>
      <c r="M141" s="542"/>
      <c r="N141" s="540"/>
      <c r="R141" s="354"/>
      <c r="S141" s="407"/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1">
        <v>159210</v>
      </c>
      <c r="H142" s="540">
        <v>1786208.6</v>
      </c>
      <c r="I142" s="540">
        <v>148850.71666666667</v>
      </c>
      <c r="J142" s="540">
        <v>102684.6</v>
      </c>
      <c r="K142" s="540">
        <v>1117825.5</v>
      </c>
      <c r="L142" s="540">
        <v>93152.125</v>
      </c>
      <c r="M142" s="542"/>
      <c r="N142" s="540"/>
      <c r="O142" s="540"/>
      <c r="P142" s="540"/>
      <c r="Q142" s="540"/>
      <c r="R142" s="540"/>
      <c r="S142" s="110"/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1">
        <v>146360</v>
      </c>
      <c r="H143" s="540">
        <v>1796289.6</v>
      </c>
      <c r="I143" s="540">
        <v>149690.80000000002</v>
      </c>
      <c r="J143" s="540">
        <v>93350.6</v>
      </c>
      <c r="K143" s="540">
        <v>1120942.5</v>
      </c>
      <c r="L143" s="540">
        <v>93411.875</v>
      </c>
      <c r="M143" s="542"/>
      <c r="N143" s="540"/>
      <c r="R143" s="354"/>
      <c r="S143" s="407"/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1">
        <v>160120</v>
      </c>
      <c r="H144" s="540">
        <v>1788169.6</v>
      </c>
      <c r="I144" s="540">
        <v>149014.13333333333</v>
      </c>
      <c r="J144" s="540">
        <v>96431.400000000023</v>
      </c>
      <c r="K144" s="540">
        <v>1128360.7</v>
      </c>
      <c r="L144" s="540">
        <v>94030.058333333334</v>
      </c>
      <c r="M144" s="542"/>
      <c r="N144" s="540"/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1">
        <v>152210</v>
      </c>
      <c r="H145" s="540">
        <v>1793997.6</v>
      </c>
      <c r="I145" s="540">
        <v>149499.80000000002</v>
      </c>
      <c r="J145" s="540">
        <v>90380.3</v>
      </c>
      <c r="K145" s="540">
        <v>1135465.7999999998</v>
      </c>
      <c r="L145" s="540">
        <v>94622.14999999998</v>
      </c>
      <c r="M145" s="542"/>
      <c r="N145" s="614">
        <v>2929463.4</v>
      </c>
      <c r="P145" s="407"/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1">
        <v>144060</v>
      </c>
      <c r="H146" s="542"/>
      <c r="I146" s="542"/>
      <c r="J146" s="540"/>
      <c r="K146" s="540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1">
        <v>155500</v>
      </c>
      <c r="H147" s="542"/>
      <c r="I147" s="542"/>
      <c r="J147" s="540"/>
      <c r="K147" s="540"/>
      <c r="M147" s="540"/>
      <c r="N147" s="540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0">
        <v>166440</v>
      </c>
      <c r="H148" s="542"/>
      <c r="I148" s="542"/>
      <c r="J148" s="540"/>
      <c r="K148" s="540"/>
      <c r="M148" s="540"/>
      <c r="N148" s="540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0"/>
      <c r="H149" s="616"/>
      <c r="I149" s="542"/>
      <c r="J149" s="540"/>
      <c r="K149" s="540"/>
      <c r="M149" s="540"/>
      <c r="N149" s="540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0"/>
      <c r="H150" s="542"/>
      <c r="I150" s="542"/>
      <c r="J150" s="540"/>
      <c r="K150" s="540"/>
      <c r="M150" s="540"/>
      <c r="N150" s="540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0"/>
      <c r="H151" s="542"/>
      <c r="I151" s="542"/>
      <c r="J151" s="540"/>
      <c r="K151" s="540"/>
      <c r="M151" s="540"/>
      <c r="N151" s="540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0"/>
      <c r="H152" s="542"/>
      <c r="I152" s="542"/>
      <c r="J152" s="540"/>
      <c r="K152" s="540"/>
      <c r="M152" s="540"/>
      <c r="N152" s="540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0"/>
      <c r="H153" s="542"/>
      <c r="I153" s="542"/>
      <c r="J153" s="540"/>
      <c r="K153" s="540"/>
      <c r="M153" s="540"/>
      <c r="N153" s="540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0"/>
      <c r="H154" s="542"/>
      <c r="I154" s="542"/>
      <c r="J154" s="540"/>
      <c r="K154" s="540"/>
      <c r="M154" s="540"/>
      <c r="N154" s="540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0"/>
      <c r="H155" s="542"/>
      <c r="I155" s="542"/>
      <c r="J155" s="540"/>
      <c r="K155" s="540"/>
      <c r="M155" s="540"/>
      <c r="N155" s="540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0"/>
      <c r="H156" s="542"/>
      <c r="I156" s="542"/>
      <c r="J156" s="540"/>
      <c r="K156" s="540"/>
      <c r="M156" s="540"/>
      <c r="N156" s="540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0"/>
      <c r="H157" s="542"/>
      <c r="I157" s="542"/>
      <c r="J157" s="540"/>
      <c r="K157" s="540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2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2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2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2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2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1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1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1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1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1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1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551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7" t="s">
        <v>552</v>
      </c>
      <c r="R190" s="677"/>
      <c r="S190" s="677"/>
      <c r="T190" s="677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7" t="s">
        <v>553</v>
      </c>
      <c r="R191" s="677"/>
      <c r="S191" s="677"/>
      <c r="T191" s="677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7" t="s">
        <v>554</v>
      </c>
      <c r="R192" s="677"/>
      <c r="S192" s="677"/>
      <c r="T192" s="677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7" t="s">
        <v>555</v>
      </c>
      <c r="R193" s="677"/>
      <c r="S193" s="677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7" t="s">
        <v>556</v>
      </c>
      <c r="R194" s="677"/>
      <c r="S194" s="677"/>
      <c r="T194" s="677"/>
      <c r="U194" s="677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7" t="s">
        <v>557</v>
      </c>
      <c r="R195" s="677"/>
      <c r="S195" s="677"/>
      <c r="T195" s="677"/>
      <c r="U195" s="677"/>
      <c r="V195" s="677"/>
      <c r="W195" s="677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7" t="s">
        <v>558</v>
      </c>
      <c r="R196" s="677"/>
      <c r="S196" s="677"/>
      <c r="T196" s="677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7" t="s">
        <v>559</v>
      </c>
      <c r="R197" s="677"/>
      <c r="S197" s="677"/>
      <c r="T197" s="677"/>
      <c r="U197" s="677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560</v>
      </c>
      <c r="D1" s="416" t="s">
        <v>24</v>
      </c>
      <c r="E1" s="416" t="s">
        <v>490</v>
      </c>
      <c r="F1" s="416" t="s">
        <v>561</v>
      </c>
      <c r="G1" s="416" t="s">
        <v>562</v>
      </c>
      <c r="H1" s="416" t="s">
        <v>563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549</v>
      </c>
      <c r="K2" s="418">
        <f>SUM(B2:J2)</f>
        <v>136922</v>
      </c>
      <c r="N2" s="516" t="s">
        <v>564</v>
      </c>
      <c r="O2" s="516" t="s">
        <v>565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549</v>
      </c>
      <c r="K3" s="418">
        <f t="shared" ref="K3:K12" si="0">SUM(B3:J3)</f>
        <v>161693</v>
      </c>
      <c r="N3" s="420" t="s">
        <v>562</v>
      </c>
      <c r="O3" s="421" t="s">
        <v>566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549</v>
      </c>
      <c r="K4" s="418">
        <f t="shared" si="0"/>
        <v>157883</v>
      </c>
      <c r="N4" s="420" t="s">
        <v>567</v>
      </c>
      <c r="O4" s="420" t="s">
        <v>568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549</v>
      </c>
      <c r="K5" s="418">
        <f t="shared" si="0"/>
        <v>153769</v>
      </c>
      <c r="N5" s="420" t="s">
        <v>8</v>
      </c>
      <c r="O5" s="420" t="s">
        <v>569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549</v>
      </c>
      <c r="K6" s="418">
        <f t="shared" si="0"/>
        <v>157902</v>
      </c>
      <c r="N6" s="420" t="s">
        <v>570</v>
      </c>
      <c r="O6" s="420" t="s">
        <v>570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549</v>
      </c>
      <c r="K7" s="418">
        <f t="shared" si="0"/>
        <v>143176</v>
      </c>
      <c r="N7" s="420" t="s">
        <v>571</v>
      </c>
      <c r="O7" s="421" t="s">
        <v>572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549</v>
      </c>
      <c r="K8" s="418">
        <f t="shared" si="0"/>
        <v>130287</v>
      </c>
      <c r="N8" s="420" t="s">
        <v>573</v>
      </c>
      <c r="O8" s="421" t="s">
        <v>574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549</v>
      </c>
      <c r="K9" s="418">
        <f t="shared" si="0"/>
        <v>123012</v>
      </c>
      <c r="N9" s="420" t="s">
        <v>561</v>
      </c>
      <c r="O9" s="420" t="s">
        <v>575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549</v>
      </c>
      <c r="K10" s="418">
        <f t="shared" si="0"/>
        <v>141699</v>
      </c>
      <c r="N10" s="420" t="s">
        <v>560</v>
      </c>
      <c r="O10" s="420" t="s">
        <v>576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549</v>
      </c>
      <c r="K11" s="418">
        <f t="shared" si="0"/>
        <v>136262</v>
      </c>
      <c r="N11" s="420" t="s">
        <v>490</v>
      </c>
      <c r="O11" s="420" t="s">
        <v>577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549</v>
      </c>
      <c r="K12" s="418">
        <f t="shared" si="0"/>
        <v>168241</v>
      </c>
      <c r="N12" s="420" t="s">
        <v>496</v>
      </c>
      <c r="O12" s="420" t="s">
        <v>578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549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549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549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549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549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549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549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549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549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549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549</v>
      </c>
      <c r="F2" s="479" t="s">
        <v>549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549</v>
      </c>
      <c r="F3" s="479" t="s">
        <v>549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549</v>
      </c>
      <c r="F4" s="479" t="s">
        <v>549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549</v>
      </c>
      <c r="F5" s="479" t="s">
        <v>549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549</v>
      </c>
      <c r="F6" s="479" t="s">
        <v>549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549</v>
      </c>
      <c r="F7" s="479" t="s">
        <v>549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549</v>
      </c>
      <c r="F8" s="479" t="s">
        <v>549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549</v>
      </c>
      <c r="F9" s="479" t="s">
        <v>549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508" t="s">
        <v>582</v>
      </c>
      <c r="B2" s="479">
        <v>68.400000000000006</v>
      </c>
      <c r="C2" s="479">
        <v>4.4000000000000004</v>
      </c>
      <c r="D2" s="479">
        <v>25.3</v>
      </c>
      <c r="E2" s="479" t="s">
        <v>549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583</v>
      </c>
      <c r="B3" s="479">
        <v>57.9</v>
      </c>
      <c r="C3" s="479">
        <v>6.5</v>
      </c>
      <c r="D3" s="479">
        <v>8.8000000000000007</v>
      </c>
      <c r="E3" s="479" t="s">
        <v>549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549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549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549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549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549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tabSelected="1" zoomScale="75" workbookViewId="0">
      <pane xSplit="1" ySplit="1" topLeftCell="B75" activePane="bottomRight" state="frozen"/>
      <selection pane="topRight"/>
      <selection pane="bottomLeft"/>
      <selection pane="bottomRight" activeCell="V101" sqref="V101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33.332031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501</v>
      </c>
      <c r="C1" s="347" t="s">
        <v>584</v>
      </c>
      <c r="D1" s="347" t="s">
        <v>585</v>
      </c>
      <c r="E1" s="347" t="s">
        <v>502</v>
      </c>
      <c r="F1" s="347" t="s">
        <v>503</v>
      </c>
      <c r="G1" s="347" t="s">
        <v>504</v>
      </c>
      <c r="H1" s="347" t="s">
        <v>505</v>
      </c>
      <c r="I1" s="347" t="s">
        <v>273</v>
      </c>
      <c r="J1" s="347" t="s">
        <v>586</v>
      </c>
      <c r="K1" s="347" t="s">
        <v>587</v>
      </c>
      <c r="L1" s="347" t="s">
        <v>506</v>
      </c>
      <c r="M1" s="347" t="s">
        <v>45</v>
      </c>
      <c r="N1" s="347" t="s">
        <v>24</v>
      </c>
      <c r="O1" s="347" t="s">
        <v>588</v>
      </c>
      <c r="P1" s="347" t="s">
        <v>507</v>
      </c>
      <c r="Q1" s="347" t="s">
        <v>589</v>
      </c>
      <c r="R1" s="496" t="s">
        <v>590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v>0</v>
      </c>
      <c r="Q2" s="336"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0">J3+K3</f>
        <v>775</v>
      </c>
      <c r="M3" s="336">
        <v>925</v>
      </c>
      <c r="N3" s="336"/>
      <c r="O3" s="336"/>
      <c r="P3" s="336">
        <v>0</v>
      </c>
      <c r="Q3" s="336"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0"/>
        <v>625</v>
      </c>
      <c r="M4" s="336">
        <v>850</v>
      </c>
      <c r="N4" s="336"/>
      <c r="O4" s="336"/>
      <c r="P4" s="336">
        <v>0</v>
      </c>
      <c r="Q4" s="336"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0"/>
        <v>100</v>
      </c>
      <c r="M5" s="336">
        <v>900</v>
      </c>
      <c r="N5" s="336"/>
      <c r="O5" s="336"/>
      <c r="P5" s="336">
        <v>0</v>
      </c>
      <c r="Q5" s="336"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0"/>
        <v>750</v>
      </c>
      <c r="M6" s="336">
        <v>250</v>
      </c>
      <c r="N6" s="336"/>
      <c r="O6" s="336"/>
      <c r="P6" s="336">
        <v>0</v>
      </c>
      <c r="Q6" s="336"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0"/>
        <v>825</v>
      </c>
      <c r="M7" s="336">
        <v>100</v>
      </c>
      <c r="N7" s="336"/>
      <c r="O7" s="336">
        <v>325</v>
      </c>
      <c r="P7" s="336">
        <v>325</v>
      </c>
      <c r="Q7" s="336"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0"/>
        <v>975</v>
      </c>
      <c r="M8" s="336">
        <v>25</v>
      </c>
      <c r="N8" s="336"/>
      <c r="O8" s="336">
        <v>950</v>
      </c>
      <c r="P8" s="336">
        <v>950</v>
      </c>
      <c r="Q8" s="336"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0"/>
        <v>750</v>
      </c>
      <c r="M9" s="336">
        <v>175</v>
      </c>
      <c r="N9" s="336"/>
      <c r="O9" s="336">
        <v>775</v>
      </c>
      <c r="P9" s="336">
        <v>775</v>
      </c>
      <c r="Q9" s="336"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0"/>
        <v>300</v>
      </c>
      <c r="M10" s="336">
        <v>950</v>
      </c>
      <c r="N10" s="336"/>
      <c r="O10" s="336">
        <v>725</v>
      </c>
      <c r="P10" s="336">
        <v>725</v>
      </c>
      <c r="Q10" s="336"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0"/>
        <v>200</v>
      </c>
      <c r="M11" s="336">
        <v>1750</v>
      </c>
      <c r="N11" s="336"/>
      <c r="O11" s="336">
        <v>775</v>
      </c>
      <c r="P11" s="336">
        <v>775</v>
      </c>
      <c r="Q11" s="336"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0"/>
        <v>25</v>
      </c>
      <c r="M12" s="336">
        <v>2450</v>
      </c>
      <c r="N12" s="336"/>
      <c r="O12" s="336">
        <v>975</v>
      </c>
      <c r="P12" s="336">
        <v>975</v>
      </c>
      <c r="Q12" s="336"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0"/>
        <v>950</v>
      </c>
      <c r="M13" s="336">
        <v>2825</v>
      </c>
      <c r="N13" s="336"/>
      <c r="O13" s="336">
        <v>875</v>
      </c>
      <c r="P13" s="336">
        <v>875</v>
      </c>
      <c r="Q13" s="336"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0"/>
        <v>675</v>
      </c>
      <c r="M14" s="336">
        <v>3025</v>
      </c>
      <c r="N14" s="336"/>
      <c r="O14" s="336">
        <v>775</v>
      </c>
      <c r="P14" s="336">
        <v>775</v>
      </c>
      <c r="Q14" s="336"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0"/>
        <v>875</v>
      </c>
      <c r="M15" s="336">
        <v>3900</v>
      </c>
      <c r="N15" s="336"/>
      <c r="O15" s="336">
        <v>200</v>
      </c>
      <c r="P15" s="336">
        <v>200</v>
      </c>
      <c r="Q15" s="336"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0"/>
        <v>675</v>
      </c>
      <c r="M16" s="336">
        <v>4525</v>
      </c>
      <c r="N16" s="336"/>
      <c r="O16" s="336">
        <v>750</v>
      </c>
      <c r="P16" s="336">
        <v>750</v>
      </c>
      <c r="Q16" s="336"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0"/>
        <v>875</v>
      </c>
      <c r="M17" s="336">
        <v>2450</v>
      </c>
      <c r="N17" s="336"/>
      <c r="O17" s="336">
        <v>825</v>
      </c>
      <c r="P17" s="336">
        <v>825</v>
      </c>
      <c r="Q17" s="336"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0"/>
        <v>525</v>
      </c>
      <c r="M18" s="336">
        <v>2125</v>
      </c>
      <c r="N18" s="336"/>
      <c r="O18" s="336">
        <v>700</v>
      </c>
      <c r="P18" s="336">
        <v>700</v>
      </c>
      <c r="Q18" s="336"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0"/>
        <v>900</v>
      </c>
      <c r="M19" s="336">
        <v>2725</v>
      </c>
      <c r="N19" s="336"/>
      <c r="O19" s="336">
        <v>725</v>
      </c>
      <c r="P19" s="336">
        <v>725</v>
      </c>
      <c r="Q19" s="336"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0"/>
        <v>900</v>
      </c>
      <c r="M20" s="336">
        <v>2475</v>
      </c>
      <c r="N20" s="336"/>
      <c r="O20" s="336">
        <v>750</v>
      </c>
      <c r="P20" s="336">
        <v>750</v>
      </c>
      <c r="Q20" s="336"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0"/>
        <v>1025</v>
      </c>
      <c r="M21" s="336">
        <v>4875</v>
      </c>
      <c r="N21" s="336"/>
      <c r="O21" s="336">
        <v>825</v>
      </c>
      <c r="P21" s="336">
        <v>825</v>
      </c>
      <c r="Q21" s="336"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0"/>
        <v>725</v>
      </c>
      <c r="M22" s="336">
        <v>4775</v>
      </c>
      <c r="N22" s="336"/>
      <c r="O22" s="336">
        <v>775</v>
      </c>
      <c r="P22" s="336">
        <v>775</v>
      </c>
      <c r="Q22" s="336"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0"/>
        <v>800</v>
      </c>
      <c r="M23" s="337">
        <v>4900</v>
      </c>
      <c r="N23" s="337"/>
      <c r="O23" s="337">
        <v>850</v>
      </c>
      <c r="P23" s="336">
        <v>850</v>
      </c>
      <c r="Q23" s="336"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0"/>
        <v>1129</v>
      </c>
      <c r="M24" s="337">
        <v>698</v>
      </c>
      <c r="N24" s="337">
        <v>410</v>
      </c>
      <c r="O24" s="337">
        <v>801.8</v>
      </c>
      <c r="P24" s="336">
        <v>1211.8</v>
      </c>
      <c r="Q24" s="336"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0"/>
        <v>969</v>
      </c>
      <c r="M25" s="337">
        <v>1428.5</v>
      </c>
      <c r="N25" s="337">
        <v>464</v>
      </c>
      <c r="O25" s="337">
        <v>432</v>
      </c>
      <c r="P25" s="336">
        <v>896</v>
      </c>
      <c r="Q25" s="336"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0"/>
        <v>1385</v>
      </c>
      <c r="M26" s="337">
        <v>1943</v>
      </c>
      <c r="N26" s="337">
        <v>771</v>
      </c>
      <c r="O26" s="337">
        <v>401.5</v>
      </c>
      <c r="P26" s="336">
        <v>1172.5</v>
      </c>
      <c r="Q26" s="336"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0"/>
        <v>892</v>
      </c>
      <c r="M27" s="337">
        <v>1859</v>
      </c>
      <c r="N27" s="337">
        <v>701</v>
      </c>
      <c r="O27" s="337">
        <v>355</v>
      </c>
      <c r="P27" s="336">
        <v>1056</v>
      </c>
      <c r="Q27" s="336"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0"/>
        <v>1013</v>
      </c>
      <c r="M28" s="337">
        <v>2771</v>
      </c>
      <c r="N28" s="337">
        <v>873</v>
      </c>
      <c r="O28" s="337">
        <v>590.5</v>
      </c>
      <c r="P28" s="336">
        <v>1463.5</v>
      </c>
      <c r="Q28" s="336"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0"/>
        <v>1002.5</v>
      </c>
      <c r="M29" s="337">
        <v>2805</v>
      </c>
      <c r="N29" s="337">
        <v>722.5</v>
      </c>
      <c r="O29" s="337">
        <v>661</v>
      </c>
      <c r="P29" s="336">
        <v>1383.5</v>
      </c>
      <c r="Q29" s="336"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0"/>
        <v>964</v>
      </c>
      <c r="M30" s="337">
        <v>2159.5</v>
      </c>
      <c r="N30" s="337">
        <v>572.5</v>
      </c>
      <c r="O30" s="337">
        <v>623</v>
      </c>
      <c r="P30" s="336">
        <v>1195.5</v>
      </c>
      <c r="Q30" s="336"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0"/>
        <v>1894.5</v>
      </c>
      <c r="M31" s="337">
        <v>2328.5</v>
      </c>
      <c r="N31" s="337">
        <v>1050</v>
      </c>
      <c r="O31" s="337">
        <v>784.5</v>
      </c>
      <c r="P31" s="336">
        <v>1834.5</v>
      </c>
      <c r="Q31" s="336"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0"/>
        <v>1515</v>
      </c>
      <c r="M32" s="337">
        <v>2543</v>
      </c>
      <c r="N32" s="337">
        <v>1346.5</v>
      </c>
      <c r="O32" s="337">
        <v>1086</v>
      </c>
      <c r="P32" s="336">
        <v>2432.5</v>
      </c>
      <c r="Q32" s="336"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0"/>
        <v>1330.5</v>
      </c>
      <c r="M33" s="337">
        <v>2498</v>
      </c>
      <c r="N33" s="337">
        <v>1177</v>
      </c>
      <c r="O33" s="337">
        <v>1150.5</v>
      </c>
      <c r="P33" s="336">
        <v>2327.5</v>
      </c>
      <c r="Q33" s="336"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0"/>
        <v>851.5</v>
      </c>
      <c r="M34" s="337">
        <v>2776.5</v>
      </c>
      <c r="N34" s="337">
        <v>522.5</v>
      </c>
      <c r="O34" s="337">
        <v>827.5</v>
      </c>
      <c r="P34" s="336">
        <v>1350</v>
      </c>
      <c r="Q34" s="336"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0"/>
        <v>880</v>
      </c>
      <c r="M35" s="338">
        <v>2117</v>
      </c>
      <c r="N35" s="338">
        <v>0</v>
      </c>
      <c r="O35" s="338">
        <v>690</v>
      </c>
      <c r="P35" s="336">
        <v>690</v>
      </c>
      <c r="Q35" s="336"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0"/>
        <v>1008</v>
      </c>
      <c r="M36" s="338">
        <v>3266</v>
      </c>
      <c r="N36" s="338">
        <v>570</v>
      </c>
      <c r="O36" s="338">
        <v>982</v>
      </c>
      <c r="P36" s="336">
        <v>1552</v>
      </c>
      <c r="Q36" s="336"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0"/>
        <v>1517.5</v>
      </c>
      <c r="M37" s="337">
        <v>2346</v>
      </c>
      <c r="N37" s="337">
        <v>1577.5</v>
      </c>
      <c r="O37" s="337">
        <v>478.5</v>
      </c>
      <c r="P37" s="336">
        <v>2056</v>
      </c>
      <c r="Q37" s="336"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0"/>
        <v>807</v>
      </c>
      <c r="M38" s="337">
        <v>3256</v>
      </c>
      <c r="N38" s="337">
        <v>1197</v>
      </c>
      <c r="O38" s="337">
        <v>648</v>
      </c>
      <c r="P38" s="336">
        <v>1845</v>
      </c>
      <c r="Q38" s="336"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0"/>
        <v>1033.5</v>
      </c>
      <c r="M39" s="337">
        <v>2227</v>
      </c>
      <c r="N39" s="337">
        <v>1445</v>
      </c>
      <c r="O39" s="337">
        <v>688.5</v>
      </c>
      <c r="P39" s="336">
        <v>2133.5</v>
      </c>
      <c r="Q39" s="336"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0"/>
        <v>458</v>
      </c>
      <c r="M40" s="337">
        <v>3077</v>
      </c>
      <c r="N40" s="337">
        <v>2081</v>
      </c>
      <c r="O40" s="337">
        <v>556</v>
      </c>
      <c r="P40" s="336">
        <v>2637</v>
      </c>
      <c r="Q40" s="336"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0"/>
        <v>318.5</v>
      </c>
      <c r="M41" s="337">
        <v>2438</v>
      </c>
      <c r="N41" s="337">
        <v>331</v>
      </c>
      <c r="O41" s="337">
        <v>174.5</v>
      </c>
      <c r="P41" s="336">
        <v>505.5</v>
      </c>
      <c r="Q41" s="336"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0"/>
        <v>423.5</v>
      </c>
      <c r="M42" s="337">
        <v>163</v>
      </c>
      <c r="N42" s="337">
        <v>598</v>
      </c>
      <c r="O42" s="337">
        <v>480</v>
      </c>
      <c r="P42" s="336">
        <v>1078</v>
      </c>
      <c r="Q42" s="336"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0"/>
        <v>597.5</v>
      </c>
      <c r="M43" s="337">
        <v>239.5</v>
      </c>
      <c r="N43" s="337">
        <v>719</v>
      </c>
      <c r="O43" s="337">
        <v>480</v>
      </c>
      <c r="P43" s="336">
        <v>1199</v>
      </c>
      <c r="Q43" s="336"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0"/>
        <v>290</v>
      </c>
      <c r="M44" s="337">
        <v>0</v>
      </c>
      <c r="N44" s="337">
        <v>776</v>
      </c>
      <c r="O44" s="337">
        <v>325</v>
      </c>
      <c r="P44" s="336">
        <v>1101</v>
      </c>
      <c r="Q44" s="336"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0"/>
        <v>377</v>
      </c>
      <c r="M45" s="337">
        <v>0</v>
      </c>
      <c r="N45" s="337">
        <v>569.5</v>
      </c>
      <c r="O45" s="337">
        <v>333.5</v>
      </c>
      <c r="P45" s="336">
        <v>903</v>
      </c>
      <c r="Q45" s="336"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0"/>
        <v>436.1266730098319</v>
      </c>
      <c r="M46" s="336">
        <v>0</v>
      </c>
      <c r="N46" s="336">
        <v>258.50567713288933</v>
      </c>
      <c r="O46" s="336">
        <v>185.8812876625436</v>
      </c>
      <c r="P46" s="336">
        <v>444.38696479543296</v>
      </c>
      <c r="Q46" s="336"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0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v>1436.6519505233111</v>
      </c>
      <c r="Q47" s="336"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0"/>
        <v>844</v>
      </c>
      <c r="M48" s="336">
        <v>939</v>
      </c>
      <c r="N48" s="336">
        <v>1200</v>
      </c>
      <c r="O48" s="336">
        <v>737</v>
      </c>
      <c r="P48" s="336">
        <v>1937</v>
      </c>
      <c r="Q48" s="336"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0"/>
        <v>924</v>
      </c>
      <c r="M49" s="336">
        <v>1363</v>
      </c>
      <c r="N49" s="336">
        <v>917</v>
      </c>
      <c r="O49" s="336">
        <v>734</v>
      </c>
      <c r="P49" s="336">
        <v>1651</v>
      </c>
      <c r="Q49" s="336"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0"/>
        <v>822</v>
      </c>
      <c r="M50" s="336">
        <v>1157</v>
      </c>
      <c r="N50" s="336">
        <v>1958</v>
      </c>
      <c r="O50" s="336">
        <v>754</v>
      </c>
      <c r="P50" s="336">
        <v>2712</v>
      </c>
      <c r="Q50" s="336"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0"/>
        <v>1480</v>
      </c>
      <c r="M51" s="336">
        <v>1802</v>
      </c>
      <c r="N51" s="336">
        <v>1465</v>
      </c>
      <c r="O51" s="336">
        <v>1007</v>
      </c>
      <c r="P51" s="336">
        <v>2472</v>
      </c>
      <c r="Q51" s="336"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0"/>
        <v>1224</v>
      </c>
      <c r="M52" s="337">
        <v>583</v>
      </c>
      <c r="N52" s="339">
        <v>1649</v>
      </c>
      <c r="O52" s="337">
        <v>920</v>
      </c>
      <c r="P52" s="336">
        <v>2569</v>
      </c>
      <c r="Q52" s="336"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0"/>
        <v>1338</v>
      </c>
      <c r="M53" s="340">
        <v>0</v>
      </c>
      <c r="N53" s="338">
        <v>152</v>
      </c>
      <c r="O53" s="341">
        <v>284</v>
      </c>
      <c r="P53" s="336">
        <v>436</v>
      </c>
      <c r="Q53" s="336"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0"/>
        <v>1268</v>
      </c>
      <c r="M54" s="336">
        <v>0</v>
      </c>
      <c r="N54" s="342">
        <v>471</v>
      </c>
      <c r="O54" s="336">
        <v>672</v>
      </c>
      <c r="P54" s="336">
        <v>1143</v>
      </c>
      <c r="Q54" s="336"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0"/>
        <v>1584</v>
      </c>
      <c r="M55" s="336">
        <v>120</v>
      </c>
      <c r="N55" s="336">
        <v>1367</v>
      </c>
      <c r="O55" s="336">
        <v>1297</v>
      </c>
      <c r="P55" s="336">
        <v>2664</v>
      </c>
      <c r="Q55" s="336"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0"/>
        <v>1593</v>
      </c>
      <c r="M56" s="336">
        <v>80</v>
      </c>
      <c r="N56" s="336">
        <v>1465</v>
      </c>
      <c r="O56" s="336">
        <v>222</v>
      </c>
      <c r="P56" s="336">
        <v>1687</v>
      </c>
      <c r="Q56" s="336"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0"/>
        <v>1575</v>
      </c>
      <c r="M57" s="336">
        <v>566</v>
      </c>
      <c r="N57" s="336">
        <v>1138</v>
      </c>
      <c r="O57" s="336">
        <v>323</v>
      </c>
      <c r="P57" s="336">
        <v>1461</v>
      </c>
      <c r="Q57" s="336"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0"/>
        <v>1542</v>
      </c>
      <c r="M58" s="336">
        <v>2054</v>
      </c>
      <c r="N58" s="336">
        <v>1580</v>
      </c>
      <c r="O58" s="336">
        <v>183</v>
      </c>
      <c r="P58" s="336">
        <v>1763</v>
      </c>
      <c r="Q58" s="336"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0"/>
        <v>1305</v>
      </c>
      <c r="M59" s="336">
        <v>1877</v>
      </c>
      <c r="N59" s="336">
        <v>1597</v>
      </c>
      <c r="O59" s="336">
        <v>1094</v>
      </c>
      <c r="P59" s="336">
        <v>2691</v>
      </c>
      <c r="Q59" s="336"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0"/>
        <v>1290</v>
      </c>
      <c r="M60" s="336">
        <v>1489</v>
      </c>
      <c r="N60" s="336">
        <v>1183</v>
      </c>
      <c r="O60" s="336">
        <v>1229</v>
      </c>
      <c r="P60" s="336">
        <v>2412</v>
      </c>
      <c r="Q60" s="336"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0"/>
        <v>1267</v>
      </c>
      <c r="M61" s="336">
        <v>1101</v>
      </c>
      <c r="N61" s="336">
        <v>1239</v>
      </c>
      <c r="O61" s="336">
        <v>1297</v>
      </c>
      <c r="P61" s="336">
        <v>2536</v>
      </c>
      <c r="Q61" s="336"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0"/>
        <v>2383</v>
      </c>
      <c r="M62" s="336">
        <v>1707</v>
      </c>
      <c r="N62" s="336">
        <v>1651</v>
      </c>
      <c r="O62" s="336">
        <v>1311</v>
      </c>
      <c r="P62" s="336">
        <v>2962</v>
      </c>
      <c r="Q62" s="336"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0"/>
        <v>1998</v>
      </c>
      <c r="M63" s="336">
        <v>1660</v>
      </c>
      <c r="N63" s="336">
        <v>1535</v>
      </c>
      <c r="O63" s="336">
        <v>1717</v>
      </c>
      <c r="P63" s="336">
        <v>3252</v>
      </c>
      <c r="Q63" s="336"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0"/>
        <v>1847</v>
      </c>
      <c r="M64" s="336">
        <v>1949</v>
      </c>
      <c r="N64" s="336">
        <v>1298</v>
      </c>
      <c r="O64" s="336">
        <v>1730</v>
      </c>
      <c r="P64" s="336">
        <v>3028</v>
      </c>
      <c r="Q64" s="336"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0"/>
        <v>1720</v>
      </c>
      <c r="M65" s="336">
        <v>1449</v>
      </c>
      <c r="N65" s="336">
        <v>1243</v>
      </c>
      <c r="O65" s="336">
        <v>1413</v>
      </c>
      <c r="P65" s="336">
        <v>2656</v>
      </c>
      <c r="Q65" s="336"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0"/>
        <v>1493</v>
      </c>
      <c r="M66" s="336">
        <v>614</v>
      </c>
      <c r="N66" s="336">
        <v>715</v>
      </c>
      <c r="O66" s="336">
        <v>829</v>
      </c>
      <c r="P66" s="336">
        <v>1544</v>
      </c>
      <c r="Q66" s="336"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1">J67+K67</f>
        <v>1340</v>
      </c>
      <c r="M67" s="336">
        <v>436</v>
      </c>
      <c r="N67" s="336">
        <v>719</v>
      </c>
      <c r="O67" s="336">
        <v>812</v>
      </c>
      <c r="P67" s="336">
        <v>1531</v>
      </c>
      <c r="Q67" s="336"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1"/>
        <v>1957</v>
      </c>
      <c r="M68" s="336">
        <v>220</v>
      </c>
      <c r="N68" s="336">
        <v>1151</v>
      </c>
      <c r="O68" s="336">
        <v>1126</v>
      </c>
      <c r="P68" s="336">
        <v>2277</v>
      </c>
      <c r="Q68" s="336"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1"/>
        <v>1671</v>
      </c>
      <c r="M69" s="336">
        <v>381</v>
      </c>
      <c r="N69" s="336">
        <v>1186</v>
      </c>
      <c r="O69" s="336">
        <v>1062</v>
      </c>
      <c r="P69" s="336">
        <v>2248</v>
      </c>
      <c r="Q69" s="336"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1"/>
        <v>1743</v>
      </c>
      <c r="M70" s="504">
        <v>657</v>
      </c>
      <c r="N70" s="504">
        <v>1001</v>
      </c>
      <c r="O70" s="504">
        <v>972</v>
      </c>
      <c r="P70" s="504">
        <v>1973</v>
      </c>
      <c r="Q70" s="504">
        <v>22866</v>
      </c>
      <c r="R70" s="505">
        <v>389823.6</v>
      </c>
      <c r="S70" s="5">
        <f t="shared" ref="S70" si="2">R70/365</f>
        <v>1068.0098630136986</v>
      </c>
      <c r="T70" s="5">
        <f t="shared" ref="T70" si="3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1"/>
        <v>1557</v>
      </c>
      <c r="M71" s="342">
        <v>936</v>
      </c>
      <c r="N71" s="342">
        <v>970</v>
      </c>
      <c r="O71" s="342">
        <v>961</v>
      </c>
      <c r="P71" s="342">
        <v>1931</v>
      </c>
      <c r="Q71" s="342"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1"/>
        <v>1738</v>
      </c>
      <c r="M72" s="336">
        <v>1091</v>
      </c>
      <c r="N72" s="336">
        <v>979</v>
      </c>
      <c r="O72" s="336">
        <v>942</v>
      </c>
      <c r="P72" s="336">
        <v>1921</v>
      </c>
      <c r="Q72" s="336"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1"/>
        <v>1893</v>
      </c>
      <c r="M73" s="336">
        <v>1322</v>
      </c>
      <c r="N73" s="336">
        <v>1760</v>
      </c>
      <c r="O73" s="336">
        <v>1204</v>
      </c>
      <c r="P73" s="336">
        <v>2964</v>
      </c>
      <c r="Q73" s="336"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1"/>
        <v>1877</v>
      </c>
      <c r="M74" s="336">
        <v>1089</v>
      </c>
      <c r="N74" s="336">
        <v>1227</v>
      </c>
      <c r="O74" s="336">
        <v>1050</v>
      </c>
      <c r="P74" s="336">
        <v>2277</v>
      </c>
      <c r="Q74" s="336"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1"/>
        <v>1551</v>
      </c>
      <c r="M75" s="336">
        <v>1116</v>
      </c>
      <c r="N75" s="336">
        <v>1166</v>
      </c>
      <c r="O75" s="336">
        <v>955</v>
      </c>
      <c r="P75" s="336">
        <v>2121</v>
      </c>
      <c r="Q75" s="336"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1"/>
        <v>2054</v>
      </c>
      <c r="M76" s="336">
        <v>1484</v>
      </c>
      <c r="N76" s="336">
        <v>1563</v>
      </c>
      <c r="O76" s="336">
        <v>1230</v>
      </c>
      <c r="P76" s="336">
        <v>2793</v>
      </c>
      <c r="Q76" s="336"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1"/>
        <v>1586</v>
      </c>
      <c r="M77" s="336">
        <v>1144</v>
      </c>
      <c r="N77" s="336">
        <v>1287</v>
      </c>
      <c r="O77" s="336">
        <v>1150</v>
      </c>
      <c r="P77" s="336">
        <v>2437</v>
      </c>
      <c r="Q77" s="336"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1"/>
        <v>1471</v>
      </c>
      <c r="M78" s="336">
        <v>1292</v>
      </c>
      <c r="N78" s="336">
        <v>1024</v>
      </c>
      <c r="O78" s="336">
        <v>924</v>
      </c>
      <c r="P78" s="336">
        <v>1948</v>
      </c>
      <c r="Q78" s="336"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1"/>
        <v>1681</v>
      </c>
      <c r="M79" s="336">
        <v>1366</v>
      </c>
      <c r="N79" s="336">
        <v>1764</v>
      </c>
      <c r="O79" s="336">
        <v>1059</v>
      </c>
      <c r="P79" s="336">
        <v>2823</v>
      </c>
      <c r="Q79" s="336"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1"/>
        <v>1787</v>
      </c>
      <c r="M80" s="336">
        <v>1342</v>
      </c>
      <c r="N80" s="336">
        <v>1648.5</v>
      </c>
      <c r="O80" s="336">
        <v>954</v>
      </c>
      <c r="P80" s="336">
        <v>2602.5</v>
      </c>
      <c r="Q80" s="336">
        <v>39810.5</v>
      </c>
      <c r="R80" s="7"/>
    </row>
    <row r="81" spans="1:19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1"/>
        <v>1684</v>
      </c>
      <c r="M81" s="336">
        <v>1642</v>
      </c>
      <c r="N81" s="336">
        <v>2110</v>
      </c>
      <c r="O81" s="336">
        <v>833</v>
      </c>
      <c r="P81" s="336">
        <v>2943</v>
      </c>
      <c r="Q81" s="336">
        <v>39784</v>
      </c>
      <c r="R81" s="7"/>
    </row>
    <row r="82" spans="1:19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1"/>
        <v>1749</v>
      </c>
      <c r="M82" s="503">
        <v>1746</v>
      </c>
      <c r="N82" s="503">
        <v>2087.6</v>
      </c>
      <c r="O82" s="503">
        <f>798+897</f>
        <v>1695</v>
      </c>
      <c r="P82" s="504">
        <v>3782.6</v>
      </c>
      <c r="Q82" s="504">
        <v>40149.599999999999</v>
      </c>
      <c r="R82" s="505">
        <v>431763.1</v>
      </c>
    </row>
    <row r="83" spans="1:19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v>2284.4</v>
      </c>
      <c r="Q83" s="342">
        <v>23296.5</v>
      </c>
      <c r="R83" s="7"/>
    </row>
    <row r="84" spans="1:19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v>2206.1</v>
      </c>
      <c r="Q84" s="336">
        <v>28190.499999999996</v>
      </c>
      <c r="R84" s="7"/>
    </row>
    <row r="85" spans="1:19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v>2158.3000000000002</v>
      </c>
      <c r="Q85" s="336">
        <v>30387</v>
      </c>
      <c r="R85" s="7"/>
    </row>
    <row r="86" spans="1:19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v>2398.6</v>
      </c>
      <c r="Q86" s="336">
        <v>30156.499999999996</v>
      </c>
      <c r="R86" s="7"/>
    </row>
    <row r="87" spans="1:19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v>42615.9</v>
      </c>
      <c r="R87" s="7"/>
    </row>
    <row r="88" spans="1:19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v>35693.299999999996</v>
      </c>
      <c r="R88" s="7"/>
    </row>
    <row r="89" spans="1:19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v>29377.9</v>
      </c>
      <c r="R89" s="7"/>
    </row>
    <row r="90" spans="1:19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v>35652.6</v>
      </c>
      <c r="R90" s="7"/>
    </row>
    <row r="91" spans="1:19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v>43510.8</v>
      </c>
      <c r="R91" s="7"/>
    </row>
    <row r="92" spans="1:19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v>39601</v>
      </c>
      <c r="R92" s="7"/>
    </row>
    <row r="93" spans="1:19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v>40905.300000000003</v>
      </c>
      <c r="R93" s="7"/>
    </row>
    <row r="94" spans="1:19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v>30060</v>
      </c>
      <c r="R94" s="505">
        <v>409447.3</v>
      </c>
    </row>
    <row r="95" spans="1:19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v>34108.800000000003</v>
      </c>
      <c r="R95" s="7"/>
      <c r="S95" s="57"/>
    </row>
    <row r="96" spans="1:19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v>36595.5</v>
      </c>
      <c r="R96" s="7"/>
    </row>
    <row r="97" spans="1:18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v>46111.7</v>
      </c>
      <c r="R97" s="7"/>
    </row>
    <row r="98" spans="1:18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v>50542.2</v>
      </c>
    </row>
    <row r="99" spans="1:18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v>50742.400000000009</v>
      </c>
    </row>
    <row r="100" spans="1:18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v>42777</v>
      </c>
    </row>
    <row r="101" spans="1:18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v>32055</v>
      </c>
    </row>
    <row r="102" spans="1:18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v>41573.300000000003</v>
      </c>
    </row>
    <row r="103" spans="1:18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v>49419.1</v>
      </c>
    </row>
    <row r="104" spans="1:18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v>42293.100000000006</v>
      </c>
    </row>
    <row r="105" spans="1:18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v>44778.400000000009</v>
      </c>
    </row>
    <row r="106" spans="1:18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v>31534.400000000001</v>
      </c>
      <c r="R106" s="537">
        <v>502530.9</v>
      </c>
    </row>
    <row r="107" spans="1:18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v>30759.799999999996</v>
      </c>
      <c r="R107" s="62"/>
    </row>
    <row r="108" spans="1:18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v>31994.2</v>
      </c>
      <c r="R108" s="62"/>
    </row>
    <row r="109" spans="1:18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v>42403.399999999994</v>
      </c>
      <c r="R109" s="62"/>
    </row>
    <row r="110" spans="1:18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v>47055.799999999996</v>
      </c>
      <c r="R110" s="62"/>
    </row>
    <row r="111" spans="1:18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v>51520.399999999994</v>
      </c>
      <c r="R111" s="62"/>
    </row>
    <row r="112" spans="1:18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27" sqref="C27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501</v>
      </c>
      <c r="C1" s="368" t="s">
        <v>502</v>
      </c>
      <c r="D1" s="368" t="s">
        <v>503</v>
      </c>
      <c r="E1" s="368" t="s">
        <v>504</v>
      </c>
      <c r="F1" s="368" t="s">
        <v>505</v>
      </c>
      <c r="G1" s="368" t="s">
        <v>273</v>
      </c>
      <c r="H1" s="368" t="s">
        <v>591</v>
      </c>
      <c r="I1" s="368" t="s">
        <v>45</v>
      </c>
      <c r="J1" s="368" t="s">
        <v>507</v>
      </c>
      <c r="K1" s="368" t="s">
        <v>589</v>
      </c>
      <c r="L1" s="368" t="s">
        <v>592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593</v>
      </c>
    </row>
    <row r="14" spans="1:13" x14ac:dyDescent="0.2">
      <c r="B14" s="53" t="s">
        <v>594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topLeftCell="A124"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489</v>
      </c>
      <c r="C1" s="221" t="s">
        <v>492</v>
      </c>
      <c r="D1" s="221" t="s">
        <v>493</v>
      </c>
      <c r="E1" s="221" t="s">
        <v>494</v>
      </c>
      <c r="F1" s="221" t="s">
        <v>26</v>
      </c>
      <c r="G1" s="221" t="s">
        <v>495</v>
      </c>
      <c r="I1" s="221" t="s">
        <v>595</v>
      </c>
      <c r="J1" s="221" t="s">
        <v>489</v>
      </c>
      <c r="K1" s="221" t="s">
        <v>492</v>
      </c>
      <c r="L1" s="221" t="s">
        <v>493</v>
      </c>
      <c r="M1" s="221" t="s">
        <v>494</v>
      </c>
      <c r="N1" s="221" t="s">
        <v>26</v>
      </c>
      <c r="O1" s="221" t="s">
        <v>495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596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597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598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599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600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601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602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603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604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605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606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607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608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609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610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611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612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613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614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615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616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617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618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619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620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621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622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623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624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625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626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627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628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629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630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631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632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633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634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635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636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637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638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639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640</v>
      </c>
      <c r="J46" s="15">
        <f t="shared" ref="J46:O46" si="0">SUM(B134:B136)</f>
        <v>454687.6</v>
      </c>
      <c r="K46" s="15">
        <f t="shared" si="0"/>
        <v>720293.3</v>
      </c>
      <c r="L46" s="15">
        <f t="shared" si="0"/>
        <v>181205</v>
      </c>
      <c r="M46" s="15">
        <f t="shared" si="0"/>
        <v>246178.5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641</v>
      </c>
      <c r="J47" s="323">
        <f t="shared" ref="J47:O47" si="1">SUM(B137:B139)</f>
        <v>457600</v>
      </c>
      <c r="K47" s="323">
        <f t="shared" si="1"/>
        <v>803185.3</v>
      </c>
      <c r="L47" s="323">
        <f t="shared" si="1"/>
        <v>151575.29999999999</v>
      </c>
      <c r="M47" s="323">
        <f t="shared" si="1"/>
        <v>249196.90000000002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642</v>
      </c>
      <c r="J48" s="15">
        <f t="shared" ref="J48:O48" si="2">SUM(B140:B142)</f>
        <v>423020</v>
      </c>
      <c r="K48" s="15">
        <f t="shared" si="2"/>
        <v>705336.6</v>
      </c>
      <c r="L48" s="15">
        <f t="shared" si="2"/>
        <v>153675.20000000001</v>
      </c>
      <c r="M48" s="15">
        <f t="shared" si="2"/>
        <v>229393.1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643</v>
      </c>
      <c r="J49" s="15">
        <f t="shared" ref="J49:O49" si="3">SUM(B143:B145)</f>
        <v>458690</v>
      </c>
      <c r="K49" s="15">
        <f t="shared" si="3"/>
        <v>747958</v>
      </c>
      <c r="L49" s="15">
        <f t="shared" si="3"/>
        <v>171044.4</v>
      </c>
      <c r="M49" s="15">
        <f t="shared" si="3"/>
        <v>233217.8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644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645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549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549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549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(KG)'!D131)+SUM('Raw Data (KG)'!G131:V131)+SUM('Raw Data (KG)'!H131)+SUM('Raw Data (KG)'!K131:L131)</f>
        <v>87787.6</v>
      </c>
      <c r="D131" s="14">
        <f>SUM('Raw Data (KG)'!E131:F131)+SUM('Raw Data (KG)'!J131:Z131)+SUM('Raw Data (KG)'!Q131)</f>
        <v>52848.600000000006</v>
      </c>
      <c r="E131" s="14">
        <f>SUM('Raw Data (KG)'!I131:X131)+SUM('Raw Data (KG)'!J131)+SUM('Raw Data (KG)'!P131)</f>
        <v>76390.600000000006</v>
      </c>
      <c r="F131" s="15">
        <f>SUM('Raw Food Data (KG)'!Q92)</f>
        <v>39601</v>
      </c>
      <c r="G131" s="14">
        <f>SUM('Raw Data (KG)'!R131:S131)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(KG)'!D132)+SUM('Raw Data (KG)'!G132:V132)+SUM('Raw Data (KG)'!H132)+SUM('Raw Data (KG)'!K132:L132)</f>
        <v>86659.199999999997</v>
      </c>
      <c r="D132" s="14">
        <f>SUM('Raw Data (KG)'!E132:F132)+SUM('Raw Data (KG)'!J132:Z132)+SUM('Raw Data (KG)'!Q132)</f>
        <v>46277.9</v>
      </c>
      <c r="E132" s="14">
        <f>SUM('Raw Data (KG)'!I132:X132)+SUM('Raw Data (KG)'!J132)+SUM('Raw Data (KG)'!P132)</f>
        <v>73626.2</v>
      </c>
      <c r="F132" s="15">
        <f>SUM('Raw Food Data (KG)'!Q93)</f>
        <v>40905.300000000003</v>
      </c>
      <c r="G132" s="14">
        <f>SUM('Raw Data (KG)'!R132:S132)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(KG)'!D133)+SUM('Raw Data (KG)'!G131:V133)+SUM('Raw Data (KG)'!H133)+SUM('Raw Data (KG)'!K133:L133)</f>
        <v>229184.00000000006</v>
      </c>
      <c r="D133" s="14">
        <f>SUM('Raw Data (KG)'!E133:F133)+SUM('Raw Data (KG)'!J133:Z133)+SUM('Raw Data (KG)'!Q133)</f>
        <v>58071.199999999997</v>
      </c>
      <c r="E133" s="14">
        <f>SUM('Raw Data (KG)'!I133:X133)+SUM('Raw Data (KG)'!J133)+SUM('Raw Data (KG)'!P133)</f>
        <v>68816.7</v>
      </c>
      <c r="F133" s="15">
        <f>SUM('Raw Food Data (KG)'!Q94)</f>
        <v>30060</v>
      </c>
      <c r="G133" s="14">
        <f>SUM('Raw Data (KG)'!R133:S133)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(KG)'!D134)+SUM('Raw Data (KG)'!G132:V134)+SUM('Raw Data (KG)'!H134)+SUM('Raw Data (KG)'!K134:L134)</f>
        <v>227384.40000000002</v>
      </c>
      <c r="D134" s="14">
        <f>SUM('Raw Data (KG)'!E134:F134)+SUM('Raw Data (KG)'!J134:Z134)+SUM('Raw Data (KG)'!Q134)</f>
        <v>60311.199999999997</v>
      </c>
      <c r="E134" s="14">
        <f>SUM('Raw Data (KG)'!I134:X134)+SUM('Raw Data (KG)'!J134)+SUM('Raw Data (KG)'!P134)</f>
        <v>75785.5</v>
      </c>
      <c r="F134" s="15">
        <f>SUM('Raw Food Data (KG)'!Q95)</f>
        <v>34108.800000000003</v>
      </c>
      <c r="G134" s="14">
        <f>SUM('Raw Data (KG)'!R134:S134)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(KG)'!D135)+SUM('Raw Data (KG)'!G133:V135)+SUM('Raw Data (KG)'!H135)+SUM('Raw Data (KG)'!K135:L135)</f>
        <v>238403.90000000002</v>
      </c>
      <c r="D135" s="14">
        <f>SUM('Raw Data (KG)'!E135:F135)+SUM('Raw Data (KG)'!J135:Z135)+SUM('Raw Data (KG)'!Q135)</f>
        <v>69196.2</v>
      </c>
      <c r="E135" s="14">
        <f>SUM('Raw Data (KG)'!I135:X135)+SUM('Raw Data (KG)'!J135)+SUM('Raw Data (KG)'!P135)</f>
        <v>83804.7</v>
      </c>
      <c r="F135" s="15">
        <f>SUM('Raw Food Data (KG)'!Q96)</f>
        <v>36595.5</v>
      </c>
      <c r="G135" s="14">
        <f>SUM('Raw Data (KG)'!R135:S135)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(KG)'!D136)+SUM('Raw Data (KG)'!G134:V136)+SUM('Raw Data (KG)'!H136)+SUM('Raw Data (KG)'!K136:L136)</f>
        <v>254505.00000000003</v>
      </c>
      <c r="D136" s="14">
        <f>SUM('Raw Data (KG)'!E136:F136)+SUM('Raw Data (KG)'!J136:Z136)+SUM('Raw Data (KG)'!Q136)</f>
        <v>51697.599999999999</v>
      </c>
      <c r="E136" s="14">
        <f>SUM('Raw Data (KG)'!I136:X136)+SUM('Raw Data (KG)'!J136)+SUM('Raw Data (KG)'!P136)</f>
        <v>86588.3</v>
      </c>
      <c r="F136" s="15">
        <f>SUM('Raw Food Data (KG)'!Q97)</f>
        <v>46111.7</v>
      </c>
      <c r="G136" s="14">
        <f>SUM('Raw Data (KG)'!R136:S136)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(KG)'!D137)+SUM('Raw Data (KG)'!G135:V137)+SUM('Raw Data (KG)'!H137)+SUM('Raw Data (KG)'!K137:L137)</f>
        <v>269095.80000000005</v>
      </c>
      <c r="D137" s="14">
        <f>SUM('Raw Data (KG)'!E137:F137)+SUM('Raw Data (KG)'!J137:Z137)+SUM('Raw Data (KG)'!Q137)</f>
        <v>50958.9</v>
      </c>
      <c r="E137" s="14">
        <f>SUM('Raw Data (KG)'!I137:X137)+SUM('Raw Data (KG)'!J137)+SUM('Raw Data (KG)'!P137)</f>
        <v>88614.1</v>
      </c>
      <c r="F137" s="15">
        <f>SUM('Raw Food Data (KG)'!Q98)</f>
        <v>50542.2</v>
      </c>
      <c r="G137" s="14">
        <f>SUM('Raw Data (KG)'!R137:S137)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(KG)'!D138)+SUM('Raw Data (KG)'!G136:V138)+SUM('Raw Data (KG)'!H138)+SUM('Raw Data (KG)'!K138:L138)</f>
        <v>274142.2</v>
      </c>
      <c r="D138" s="14">
        <f>SUM('Raw Data (KG)'!E138:F138)+SUM('Raw Data (KG)'!J138:Z138)+SUM('Raw Data (KG)'!Q138)</f>
        <v>57973.7</v>
      </c>
      <c r="E138" s="14">
        <f>SUM('Raw Data (KG)'!I138:X138)+SUM('Raw Data (KG)'!J138)+SUM('Raw Data (KG)'!P138)</f>
        <v>88899.1</v>
      </c>
      <c r="F138" s="15">
        <f>SUM('Raw Food Data (KG)'!Q99)</f>
        <v>50742.400000000009</v>
      </c>
      <c r="G138" s="14">
        <f>SUM('Raw Data (KG)'!R138:S138)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(KG)'!D139)+SUM('Raw Data (KG)'!G137:V139)+SUM('Raw Data (KG)'!H139)+SUM('Raw Data (KG)'!K139:L139)</f>
        <v>259947.30000000002</v>
      </c>
      <c r="D139" s="14">
        <f>SUM('Raw Data (KG)'!E139:F139)+SUM('Raw Data (KG)'!J139:Z139)+SUM('Raw Data (KG)'!Q139)</f>
        <v>42642.7</v>
      </c>
      <c r="E139" s="14">
        <f>SUM('Raw Data (KG)'!I139:X139)+SUM('Raw Data (KG)'!J139)+SUM('Raw Data (KG)'!P139)</f>
        <v>71683.7</v>
      </c>
      <c r="F139" s="15">
        <f>SUM('Raw Food Data (KG)'!Q100)</f>
        <v>42777</v>
      </c>
      <c r="G139" s="14">
        <f>SUM('Raw Data (KG)'!R139:S139)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(KG)'!D140)+SUM('Raw Data (KG)'!G138:V140)+SUM('Raw Data (KG)'!H140)+SUM('Raw Data (KG)'!K140:L140)</f>
        <v>240576</v>
      </c>
      <c r="D140" s="14">
        <f>SUM('Raw Data (KG)'!E140:F140)+SUM('Raw Data (KG)'!J140:Z140)+SUM('Raw Data (KG)'!Q140)</f>
        <v>53193.2</v>
      </c>
      <c r="E140" s="14">
        <f>SUM('Raw Data (KG)'!I140:X140)+SUM('Raw Data (KG)'!J140)+SUM('Raw Data (KG)'!P140)</f>
        <v>70013.2</v>
      </c>
      <c r="F140" s="15">
        <f>SUM('Raw Food Data (KG)'!Q101)</f>
        <v>32055</v>
      </c>
      <c r="G140" s="14">
        <f>SUM('Raw Data (KG)'!R140:S140)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(KG)'!D141)+SUM('Raw Data (KG)'!G139:V141)+SUM('Raw Data (KG)'!H141)+SUM('Raw Data (KG)'!K141:L141)</f>
        <v>224609.2</v>
      </c>
      <c r="D141" s="14">
        <f>SUM('Raw Data (KG)'!E141:F141)+SUM('Raw Data (KG)'!J141:Z141)+SUM('Raw Data (KG)'!Q141)</f>
        <v>43552.5</v>
      </c>
      <c r="E141" s="14">
        <f>SUM('Raw Data (KG)'!I141:X141)+SUM('Raw Data (KG)'!J141)+SUM('Raw Data (KG)'!P141)</f>
        <v>72344.800000000003</v>
      </c>
      <c r="F141" s="15">
        <f>SUM('Raw Food Data (KG)'!Q102)</f>
        <v>41573.300000000003</v>
      </c>
      <c r="G141" s="14">
        <f>SUM('Raw Data (KG)'!R141:S141)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(KG)'!D142)+SUM('Raw Data (KG)'!G140:V142)+SUM('Raw Data (KG)'!H142)+SUM('Raw Data (KG)'!K142:L142)</f>
        <v>240151.4</v>
      </c>
      <c r="D142" s="14">
        <f>SUM('Raw Data (KG)'!E142:F142)+SUM('Raw Data (KG)'!J142:Z142)+SUM('Raw Data (KG)'!Q142)</f>
        <v>56929.5</v>
      </c>
      <c r="E142" s="14">
        <f>SUM('Raw Data (KG)'!I142:X142)+SUM('Raw Data (KG)'!J142)+SUM('Raw Data (KG)'!P142)</f>
        <v>87035.1</v>
      </c>
      <c r="F142" s="15">
        <f>SUM('Raw Food Data (KG)'!Q103)</f>
        <v>49419.1</v>
      </c>
      <c r="G142" s="14">
        <f>SUM('Raw Data (KG)'!R142:S142)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(KG)'!D143)+SUM('Raw Data (KG)'!G141:V143)+SUM('Raw Data (KG)'!H143)+SUM('Raw Data (KG)'!K143:L143)</f>
        <v>248094.5</v>
      </c>
      <c r="D143" s="14">
        <f>SUM('Raw Data (KG)'!E143:F143)+SUM('Raw Data (KG)'!J143:Z143)+SUM('Raw Data (KG)'!Q143)</f>
        <v>51871.5</v>
      </c>
      <c r="E143" s="14">
        <f>SUM('Raw Data (KG)'!I143:X143)+SUM('Raw Data (KG)'!J143)+SUM('Raw Data (KG)'!P143)</f>
        <v>76868.100000000006</v>
      </c>
      <c r="F143" s="15">
        <f>SUM('Raw Food Data (KG)'!Q104)</f>
        <v>42293.100000000006</v>
      </c>
      <c r="G143" s="14">
        <f>SUM('Raw Data (KG)'!R143:S143)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(KG)'!D144)+SUM('Raw Data (KG)'!G142:V144)+SUM('Raw Data (KG)'!H144)+SUM('Raw Data (KG)'!K144:L144)</f>
        <v>255666.20000000004</v>
      </c>
      <c r="D144" s="14">
        <f>SUM('Raw Data (KG)'!E144:F144)+SUM('Raw Data (KG)'!J144:Z144)+SUM('Raw Data (KG)'!Q144)</f>
        <v>55606</v>
      </c>
      <c r="E144" s="14">
        <f>SUM('Raw Data (KG)'!I144:X144)+SUM('Raw Data (KG)'!J144)+SUM('Raw Data (KG)'!P144)</f>
        <v>80592.900000000009</v>
      </c>
      <c r="F144" s="15">
        <f>SUM('Raw Food Data (KG)'!Q105)</f>
        <v>44778.400000000009</v>
      </c>
      <c r="G144" s="14">
        <f>SUM('Raw Data (KG)'!R144:S144)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(KG)'!D145)+SUM('Raw Data (KG)'!G143:V145)+SUM('Raw Data (KG)'!H145)+SUM('Raw Data (KG)'!K145:L145)</f>
        <v>244197.3</v>
      </c>
      <c r="D145" s="14">
        <f>SUM('Raw Data (KG)'!E145:F145)+SUM('Raw Data (KG)'!J145:Z145)+SUM('Raw Data (KG)'!Q145)</f>
        <v>63566.9</v>
      </c>
      <c r="E145" s="14">
        <f>SUM('Raw Data (KG)'!I145:X145)+SUM('Raw Data (KG)'!J145)+SUM('Raw Data (KG)'!P145)</f>
        <v>75756.800000000003</v>
      </c>
      <c r="F145" s="15">
        <f>SUM('Raw Food Data (KG)'!Q106)</f>
        <v>31534.400000000001</v>
      </c>
      <c r="G145" s="14">
        <f>SUM('Raw Data (KG)'!R145:S145)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171</v>
      </c>
      <c r="B148" s="15">
        <f t="shared" ref="B148:G148" si="4">SUM(B134:B145)</f>
        <v>1793997.6</v>
      </c>
      <c r="C148" s="15">
        <f t="shared" si="4"/>
        <v>2976773.2</v>
      </c>
      <c r="D148" s="15">
        <f t="shared" si="4"/>
        <v>657499.9</v>
      </c>
      <c r="E148" s="15">
        <f t="shared" si="4"/>
        <v>957986.3</v>
      </c>
      <c r="F148" s="15">
        <f t="shared" si="4"/>
        <v>502530.9</v>
      </c>
      <c r="G148" s="15">
        <f t="shared" si="4"/>
        <v>238264</v>
      </c>
      <c r="H148" s="15">
        <f>SUM(B148:G148)</f>
        <v>7127051.9000000013</v>
      </c>
    </row>
    <row r="149" spans="1:8" x14ac:dyDescent="0.2">
      <c r="B149" s="202">
        <f>B148/H148</f>
        <v>0.25171664598092791</v>
      </c>
      <c r="C149" s="202">
        <f>C148/$H$148</f>
        <v>0.4176724460221764</v>
      </c>
      <c r="D149" s="202">
        <f t="shared" ref="D149:G149" si="5">D148/$H$148</f>
        <v>9.2254119827582554E-2</v>
      </c>
      <c r="E149" s="202">
        <f t="shared" si="5"/>
        <v>0.13441550776415701</v>
      </c>
      <c r="F149" s="202">
        <f t="shared" si="5"/>
        <v>7.0510346641365129E-2</v>
      </c>
      <c r="G149" s="202">
        <f t="shared" si="5"/>
        <v>3.3430933763790881E-2</v>
      </c>
    </row>
    <row r="150" spans="1:8" x14ac:dyDescent="0.2">
      <c r="A150" s="328" t="s">
        <v>170</v>
      </c>
      <c r="B150" s="15">
        <f t="shared" ref="B150:G150" si="6">SUM(B122:B133)</f>
        <v>1752221</v>
      </c>
      <c r="C150" s="15">
        <f t="shared" si="6"/>
        <v>517022.80000000005</v>
      </c>
      <c r="D150" s="15">
        <f t="shared" si="6"/>
        <v>308198.7</v>
      </c>
      <c r="E150" s="15">
        <f t="shared" si="6"/>
        <v>233426.5</v>
      </c>
      <c r="F150" s="15">
        <f t="shared" si="6"/>
        <v>409116.8</v>
      </c>
      <c r="G150" s="15">
        <f t="shared" si="6"/>
        <v>285291</v>
      </c>
      <c r="H150" s="15">
        <f>SUM(B150:G150)</f>
        <v>3505276.8</v>
      </c>
    </row>
    <row r="151" spans="1:8" x14ac:dyDescent="0.2">
      <c r="B151" s="202">
        <f t="shared" ref="B151:G151" si="7">B150/$H$150</f>
        <v>0.49988092238535914</v>
      </c>
      <c r="C151" s="202">
        <f t="shared" si="7"/>
        <v>0.14749842294908067</v>
      </c>
      <c r="D151" s="202">
        <f t="shared" si="7"/>
        <v>8.7924211862526816E-2</v>
      </c>
      <c r="E151" s="202">
        <f t="shared" si="7"/>
        <v>6.6592886473330726E-2</v>
      </c>
      <c r="F151" s="202">
        <f t="shared" si="7"/>
        <v>0.11671454876259701</v>
      </c>
      <c r="G151" s="202">
        <f t="shared" si="7"/>
        <v>8.1389007567105695E-2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475</v>
      </c>
      <c r="C1" s="65" t="s">
        <v>476</v>
      </c>
      <c r="D1" s="65" t="s">
        <v>477</v>
      </c>
      <c r="E1" s="65" t="s">
        <v>478</v>
      </c>
      <c r="F1" s="65" t="s">
        <v>26</v>
      </c>
      <c r="G1" s="65" t="s">
        <v>479</v>
      </c>
      <c r="H1" s="65" t="s">
        <v>480</v>
      </c>
      <c r="I1" s="65" t="s">
        <v>481</v>
      </c>
      <c r="J1" s="66" t="str">
        <f>'Raw Data (KG)'!P1</f>
        <v>Electrical Appliance</v>
      </c>
      <c r="K1" s="66" t="s">
        <v>27</v>
      </c>
      <c r="L1" s="67" t="s">
        <v>646</v>
      </c>
      <c r="M1" s="91"/>
      <c r="N1" s="12"/>
      <c r="O1" s="674" t="s">
        <v>647</v>
      </c>
      <c r="P1" s="674"/>
    </row>
    <row r="2" spans="1:16" s="13" customFormat="1" x14ac:dyDescent="0.2">
      <c r="A2" s="68">
        <v>41456</v>
      </c>
      <c r="B2" s="75">
        <f>SUM('Raw Data (KG)'!D2:D2)</f>
        <v>5120</v>
      </c>
      <c r="C2" s="70">
        <f>SUM('Raw Data (KG)'!E2:F2)</f>
        <v>108</v>
      </c>
      <c r="D2" s="73">
        <f>SUM('Raw Data (KG)'!G2:V2)</f>
        <v>2358.4899999999998</v>
      </c>
      <c r="E2" s="70">
        <f>'Raw Data (KG)'!W2</f>
        <v>0</v>
      </c>
      <c r="F2" s="76"/>
      <c r="G2" s="70">
        <f>'Raw Data (KG)'!R2</f>
        <v>0</v>
      </c>
      <c r="H2" s="75">
        <f>'Raw Data (KG)'!S2</f>
        <v>0</v>
      </c>
      <c r="I2" s="77">
        <f>'Raw Data (KG)'!Q2</f>
        <v>0</v>
      </c>
      <c r="J2" s="75">
        <f>'Raw Data (KG)'!P2</f>
        <v>0</v>
      </c>
      <c r="K2" s="74">
        <f>'Raw Data (KG)'!H2+SUM('Raw Data (KG)'!J2:K2)+SUM('Raw Data (KG)'!M2:O2)+'Raw Data (KG)'!T2</f>
        <v>118.49000000000001</v>
      </c>
      <c r="L2" s="71">
        <f t="shared" ref="L2:L33" si="0">SUM(B2:K2)</f>
        <v>7704.98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(KG)'!D3:D3)</f>
        <v>4100</v>
      </c>
      <c r="C3" s="70">
        <f>SUM('Raw Data (KG)'!E3:F3)</f>
        <v>300</v>
      </c>
      <c r="D3" s="73">
        <f>SUM('Raw Data (KG)'!G3:V3)</f>
        <v>2369.75</v>
      </c>
      <c r="E3" s="70">
        <f>'Raw Data (KG)'!W3</f>
        <v>0</v>
      </c>
      <c r="F3" s="76"/>
      <c r="G3" s="70">
        <f>'Raw Data (KG)'!R3</f>
        <v>0</v>
      </c>
      <c r="H3" s="75">
        <f>'Raw Data (KG)'!S3</f>
        <v>0</v>
      </c>
      <c r="I3" s="77">
        <f>'Raw Data (KG)'!Q3</f>
        <v>0</v>
      </c>
      <c r="J3" s="75">
        <f>'Raw Data (KG)'!P3</f>
        <v>0</v>
      </c>
      <c r="K3" s="74">
        <f>'Raw Data (KG)'!H3+SUM('Raw Data (KG)'!J3:K3)+SUM('Raw Data (KG)'!M3:O3)+'Raw Data (KG)'!T3</f>
        <v>119.75</v>
      </c>
      <c r="L3" s="71">
        <f t="shared" si="0"/>
        <v>6889.5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(KG)'!D4:D4)</f>
        <v>4900</v>
      </c>
      <c r="C4" s="75">
        <f>SUM('Raw Data (KG)'!E4:F4)</f>
        <v>320</v>
      </c>
      <c r="D4" s="73">
        <f>SUM('Raw Data (KG)'!G4:V4)</f>
        <v>2458.4760000000001</v>
      </c>
      <c r="E4" s="75">
        <f>'Raw Data (KG)'!W4</f>
        <v>0</v>
      </c>
      <c r="F4" s="76"/>
      <c r="G4" s="70">
        <f>'Raw Data (KG)'!R4</f>
        <v>0</v>
      </c>
      <c r="H4" s="75">
        <f>'Raw Data (KG)'!S4</f>
        <v>0</v>
      </c>
      <c r="I4" s="77">
        <f>'Raw Data (KG)'!Q4</f>
        <v>0</v>
      </c>
      <c r="J4" s="75">
        <f>'Raw Data (KG)'!P4</f>
        <v>0</v>
      </c>
      <c r="K4" s="74">
        <f>'Raw Data (KG)'!H4+SUM('Raw Data (KG)'!J4:K4)+SUM('Raw Data (KG)'!M4:O4)+'Raw Data (KG)'!T4</f>
        <v>90.475999999999999</v>
      </c>
      <c r="L4" s="71">
        <f t="shared" si="0"/>
        <v>7768.9520000000002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(KG)'!D5:D5)</f>
        <v>4700</v>
      </c>
      <c r="C5" s="75">
        <f>SUM('Raw Data (KG)'!E5:F5)</f>
        <v>150</v>
      </c>
      <c r="D5" s="73">
        <f>SUM('Raw Data (KG)'!G5:V5)</f>
        <v>2588.2249999999999</v>
      </c>
      <c r="E5" s="75">
        <f>'Raw Data (KG)'!W5</f>
        <v>0</v>
      </c>
      <c r="F5" s="76"/>
      <c r="G5" s="75">
        <f>'Raw Data (KG)'!R5</f>
        <v>0</v>
      </c>
      <c r="H5" s="75">
        <f>'Raw Data (KG)'!S5</f>
        <v>0</v>
      </c>
      <c r="I5" s="77">
        <f>'Raw Data (KG)'!Q5</f>
        <v>0</v>
      </c>
      <c r="J5" s="75">
        <f>'Raw Data (KG)'!P5</f>
        <v>0</v>
      </c>
      <c r="K5" s="74">
        <f>'Raw Data (KG)'!H5+SUM('Raw Data (KG)'!J5:K5)+SUM('Raw Data (KG)'!M5:O5)+'Raw Data (KG)'!T5</f>
        <v>148.22500000000002</v>
      </c>
      <c r="L5" s="71">
        <f t="shared" si="0"/>
        <v>7586.4500000000007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(KG)'!D6:D6)</f>
        <v>4450</v>
      </c>
      <c r="C6" s="75">
        <f>SUM('Raw Data (KG)'!E6:F6)</f>
        <v>11</v>
      </c>
      <c r="D6" s="73">
        <f>SUM('Raw Data (KG)'!G6:V6)</f>
        <v>2675.5529999999999</v>
      </c>
      <c r="E6" s="75">
        <f>'Raw Data (KG)'!W6</f>
        <v>0</v>
      </c>
      <c r="F6" s="76"/>
      <c r="G6" s="75">
        <f>'Raw Data (KG)'!R6</f>
        <v>0</v>
      </c>
      <c r="H6" s="75">
        <f>'Raw Data (KG)'!S6</f>
        <v>0</v>
      </c>
      <c r="I6" s="77">
        <f>'Raw Data (KG)'!Q6</f>
        <v>0</v>
      </c>
      <c r="J6" s="75">
        <f>'Raw Data (KG)'!P6</f>
        <v>0</v>
      </c>
      <c r="K6" s="74">
        <f>'Raw Data (KG)'!H6+SUM('Raw Data (KG)'!J6:K6)+SUM('Raw Data (KG)'!M6:O6)+'Raw Data (KG)'!T6</f>
        <v>97.552999999999997</v>
      </c>
      <c r="L6" s="71">
        <f t="shared" si="0"/>
        <v>7234.1059999999998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(KG)'!D7:D7)</f>
        <v>4150</v>
      </c>
      <c r="C7" s="75">
        <f>SUM('Raw Data (KG)'!E7:F7)</f>
        <v>90</v>
      </c>
      <c r="D7" s="73">
        <f>SUM('Raw Data (KG)'!G7:V7)</f>
        <v>2726.1880000000001</v>
      </c>
      <c r="E7" s="75">
        <f>'Raw Data (KG)'!W7</f>
        <v>0</v>
      </c>
      <c r="F7" s="76"/>
      <c r="G7" s="75">
        <f>'Raw Data (KG)'!R7</f>
        <v>0</v>
      </c>
      <c r="H7" s="75">
        <f>'Raw Data (KG)'!S7</f>
        <v>0</v>
      </c>
      <c r="I7" s="77">
        <f>'Raw Data (KG)'!Q7</f>
        <v>0</v>
      </c>
      <c r="J7" s="75">
        <f>'Raw Data (KG)'!P7</f>
        <v>0</v>
      </c>
      <c r="K7" s="74">
        <f>'Raw Data (KG)'!H7+SUM('Raw Data (KG)'!J7:K7)+SUM('Raw Data (KG)'!M7:O7)+'Raw Data (KG)'!T7</f>
        <v>80.188000000000017</v>
      </c>
      <c r="L7" s="71">
        <f t="shared" si="0"/>
        <v>7046.3760000000002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(KG)'!D8:D8)</f>
        <v>4360</v>
      </c>
      <c r="C8" s="75">
        <f>SUM('Raw Data (KG)'!E8:F8)</f>
        <v>70</v>
      </c>
      <c r="D8" s="73">
        <f>SUM('Raw Data (KG)'!G8:V8)</f>
        <v>2585.4290000000001</v>
      </c>
      <c r="E8" s="75">
        <f>'Raw Data (KG)'!W8</f>
        <v>0</v>
      </c>
      <c r="F8" s="76"/>
      <c r="G8" s="75">
        <f>'Raw Data (KG)'!R8</f>
        <v>0</v>
      </c>
      <c r="H8" s="75">
        <f>'Raw Data (KG)'!S8</f>
        <v>0</v>
      </c>
      <c r="I8" s="77">
        <f>'Raw Data (KG)'!Q8</f>
        <v>0</v>
      </c>
      <c r="J8" s="75">
        <f>'Raw Data (KG)'!P8</f>
        <v>0</v>
      </c>
      <c r="K8" s="74">
        <f>'Raw Data (KG)'!H8+SUM('Raw Data (KG)'!J8:K8)+SUM('Raw Data (KG)'!M8:O8)+'Raw Data (KG)'!T8</f>
        <v>65.429000000000002</v>
      </c>
      <c r="L8" s="71">
        <f t="shared" si="0"/>
        <v>7080.8580000000002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(KG)'!D9:D9)</f>
        <v>4400</v>
      </c>
      <c r="C9" s="75">
        <f>SUM('Raw Data (KG)'!E9:F9)</f>
        <v>200</v>
      </c>
      <c r="D9" s="73">
        <f>SUM('Raw Data (KG)'!G9:V9)</f>
        <v>2516.7840000000001</v>
      </c>
      <c r="E9" s="75">
        <f>'Raw Data (KG)'!W9</f>
        <v>0</v>
      </c>
      <c r="F9" s="76"/>
      <c r="G9" s="75">
        <f>'Raw Data (KG)'!R9</f>
        <v>0</v>
      </c>
      <c r="H9" s="75">
        <f>'Raw Data (KG)'!S9</f>
        <v>0</v>
      </c>
      <c r="I9" s="77">
        <f>'Raw Data (KG)'!Q9</f>
        <v>0</v>
      </c>
      <c r="J9" s="75">
        <f>'Raw Data (KG)'!P9</f>
        <v>0</v>
      </c>
      <c r="K9" s="74">
        <f>'Raw Data (KG)'!H9+SUM('Raw Data (KG)'!J9:K9)+SUM('Raw Data (KG)'!M9:O9)+'Raw Data (KG)'!T9</f>
        <v>106.78400000000001</v>
      </c>
      <c r="L9" s="71">
        <f t="shared" si="0"/>
        <v>7223.5679999999993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(KG)'!D10:D10)</f>
        <v>4800</v>
      </c>
      <c r="C10" s="75">
        <f>SUM('Raw Data (KG)'!E10:F10)</f>
        <v>150</v>
      </c>
      <c r="D10" s="73">
        <f>SUM('Raw Data (KG)'!G10:V10)</f>
        <v>2504.163</v>
      </c>
      <c r="E10" s="75">
        <f>'Raw Data (KG)'!W10</f>
        <v>0</v>
      </c>
      <c r="F10" s="76"/>
      <c r="G10" s="75">
        <f>'Raw Data (KG)'!R10</f>
        <v>0</v>
      </c>
      <c r="H10" s="75">
        <f>'Raw Data (KG)'!S10</f>
        <v>0</v>
      </c>
      <c r="I10" s="77">
        <f>'Raw Data (KG)'!Q10</f>
        <v>0</v>
      </c>
      <c r="J10" s="75">
        <f>'Raw Data (KG)'!P10</f>
        <v>0</v>
      </c>
      <c r="K10" s="74">
        <f>'Raw Data (KG)'!H10+SUM('Raw Data (KG)'!J10:K10)+SUM('Raw Data (KG)'!M10:O10)+'Raw Data (KG)'!T10</f>
        <v>114.16300000000001</v>
      </c>
      <c r="L10" s="71">
        <f t="shared" si="0"/>
        <v>7568.3260000000009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(KG)'!D11:D11)</f>
        <v>4620</v>
      </c>
      <c r="C11" s="75">
        <f>SUM('Raw Data (KG)'!E11:F11)</f>
        <v>110</v>
      </c>
      <c r="D11" s="73">
        <f>SUM('Raw Data (KG)'!G11:V11)</f>
        <v>2634.9790000000003</v>
      </c>
      <c r="E11" s="75">
        <f>'Raw Data (KG)'!W11</f>
        <v>0</v>
      </c>
      <c r="F11" s="76"/>
      <c r="G11" s="75">
        <f>'Raw Data (KG)'!R11</f>
        <v>0</v>
      </c>
      <c r="H11" s="75">
        <f>'Raw Data (KG)'!S11</f>
        <v>0</v>
      </c>
      <c r="I11" s="77">
        <f>'Raw Data (KG)'!Q11</f>
        <v>0</v>
      </c>
      <c r="J11" s="75">
        <f>'Raw Data (KG)'!P11</f>
        <v>0</v>
      </c>
      <c r="K11" s="74">
        <f>'Raw Data (KG)'!H11+SUM('Raw Data (KG)'!J11:K11)+SUM('Raw Data (KG)'!M11:O11)+'Raw Data (KG)'!T11</f>
        <v>124.97900000000001</v>
      </c>
      <c r="L11" s="71">
        <f t="shared" si="0"/>
        <v>7489.9580000000005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(KG)'!D12:D12)</f>
        <v>4900</v>
      </c>
      <c r="C12" s="75">
        <f>SUM('Raw Data (KG)'!E12:F12)</f>
        <v>350</v>
      </c>
      <c r="D12" s="73">
        <f>SUM('Raw Data (KG)'!G12:V12)</f>
        <v>2602.7350000000001</v>
      </c>
      <c r="E12" s="75">
        <f>'Raw Data (KG)'!W12</f>
        <v>0</v>
      </c>
      <c r="F12" s="76"/>
      <c r="G12" s="75">
        <f>'Raw Data (KG)'!R12</f>
        <v>0</v>
      </c>
      <c r="H12" s="75">
        <f>'Raw Data (KG)'!S12</f>
        <v>0</v>
      </c>
      <c r="I12" s="77">
        <f>'Raw Data (KG)'!Q12</f>
        <v>0</v>
      </c>
      <c r="J12" s="75">
        <f>'Raw Data (KG)'!P12</f>
        <v>0</v>
      </c>
      <c r="K12" s="74">
        <f>'Raw Data (KG)'!H12+SUM('Raw Data (KG)'!J12:K12)+SUM('Raw Data (KG)'!M12:O12)+'Raw Data (KG)'!T12</f>
        <v>102.73500000000001</v>
      </c>
      <c r="L12" s="71">
        <f t="shared" si="0"/>
        <v>7955.47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(KG)'!D13:D13)</f>
        <v>4700</v>
      </c>
      <c r="C13" s="75">
        <f>SUM('Raw Data (KG)'!E13:F13)</f>
        <v>450</v>
      </c>
      <c r="D13" s="73">
        <f>SUM('Raw Data (KG)'!G13:V13)</f>
        <v>2489.8760000000002</v>
      </c>
      <c r="E13" s="75">
        <f>'Raw Data (KG)'!W13</f>
        <v>0</v>
      </c>
      <c r="F13" s="76"/>
      <c r="G13" s="75">
        <f>'Raw Data (KG)'!R13</f>
        <v>0</v>
      </c>
      <c r="H13" s="75">
        <f>'Raw Data (KG)'!S13</f>
        <v>0</v>
      </c>
      <c r="I13" s="77">
        <f>'Raw Data (KG)'!Q13</f>
        <v>0</v>
      </c>
      <c r="J13" s="75">
        <f>'Raw Data (KG)'!P13</f>
        <v>0</v>
      </c>
      <c r="K13" s="74">
        <f>'Raw Data (KG)'!H13+SUM('Raw Data (KG)'!J13:K13)+SUM('Raw Data (KG)'!M13:O13)+'Raw Data (KG)'!T13</f>
        <v>89.876000000000005</v>
      </c>
      <c r="L13" s="71">
        <f t="shared" si="0"/>
        <v>7729.7520000000004</v>
      </c>
      <c r="M13" s="150">
        <f>SUM(L2:L13)</f>
        <v>89278.296000000002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(KG)'!D14:D14)</f>
        <v>4520</v>
      </c>
      <c r="C14" s="9">
        <f>SUM('Raw Data (KG)'!E14:F14)</f>
        <v>150</v>
      </c>
      <c r="D14" s="8">
        <f>SUM('Raw Data (KG)'!G14:V14)</f>
        <v>2473.4670000000001</v>
      </c>
      <c r="E14" s="9">
        <f>'Raw Data (KG)'!W14</f>
        <v>0</v>
      </c>
      <c r="F14" s="7"/>
      <c r="G14" s="9">
        <f>'Raw Data (KG)'!R14</f>
        <v>0</v>
      </c>
      <c r="H14" s="9">
        <f>'Raw Data (KG)'!S14</f>
        <v>0</v>
      </c>
      <c r="I14" s="352">
        <f>'Raw Data (KG)'!Q14</f>
        <v>0</v>
      </c>
      <c r="J14" s="9">
        <f>'Raw Data (KG)'!P14</f>
        <v>0</v>
      </c>
      <c r="K14" s="62">
        <f>'Raw Data (KG)'!H14+SUM('Raw Data (KG)'!J14:K14)+SUM('Raw Data (KG)'!M14:O14)+'Raw Data (KG)'!T14</f>
        <v>103.46700000000001</v>
      </c>
      <c r="L14" s="353">
        <f t="shared" si="0"/>
        <v>7246.9340000000002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(KG)'!D15:D15)</f>
        <v>4610</v>
      </c>
      <c r="C15" s="9">
        <f>SUM('Raw Data (KG)'!E15:F15)</f>
        <v>140</v>
      </c>
      <c r="D15" s="8">
        <f>SUM('Raw Data (KG)'!G15:V15)</f>
        <v>2473.7170000000001</v>
      </c>
      <c r="E15" s="9">
        <f>'Raw Data (KG)'!W15</f>
        <v>626</v>
      </c>
      <c r="F15" s="7"/>
      <c r="G15" s="9">
        <f>'Raw Data (KG)'!R15</f>
        <v>0</v>
      </c>
      <c r="H15" s="9">
        <f>'Raw Data (KG)'!S15</f>
        <v>0</v>
      </c>
      <c r="I15" s="352">
        <f>'Raw Data (KG)'!Q15</f>
        <v>0</v>
      </c>
      <c r="J15" s="9">
        <f>'Raw Data (KG)'!P15</f>
        <v>0</v>
      </c>
      <c r="K15" s="62">
        <f>'Raw Data (KG)'!H15+SUM('Raw Data (KG)'!J15:K15)+SUM('Raw Data (KG)'!M15:O15)+'Raw Data (KG)'!T15</f>
        <v>73.717000000000013</v>
      </c>
      <c r="L15" s="353">
        <f t="shared" si="0"/>
        <v>7923.4340000000002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(KG)'!D16:D16)</f>
        <v>4500</v>
      </c>
      <c r="C16" s="9">
        <f>SUM('Raw Data (KG)'!E16:F16)</f>
        <v>350</v>
      </c>
      <c r="D16" s="8">
        <f>SUM('Raw Data (KG)'!G16:V16)</f>
        <v>2487.152</v>
      </c>
      <c r="E16" s="9">
        <f>'Raw Data (KG)'!W16</f>
        <v>827</v>
      </c>
      <c r="F16" s="7"/>
      <c r="G16" s="9">
        <f>'Raw Data (KG)'!R16</f>
        <v>0</v>
      </c>
      <c r="H16" s="9">
        <f>'Raw Data (KG)'!S16</f>
        <v>0</v>
      </c>
      <c r="I16" s="352">
        <f>'Raw Data (KG)'!Q16</f>
        <v>0</v>
      </c>
      <c r="J16" s="9">
        <f>'Raw Data (KG)'!P16</f>
        <v>0</v>
      </c>
      <c r="K16" s="62">
        <f>'Raw Data (KG)'!H16+SUM('Raw Data (KG)'!J16:K16)+SUM('Raw Data (KG)'!M16:O16)+'Raw Data (KG)'!T16</f>
        <v>97.152000000000015</v>
      </c>
      <c r="L16" s="353">
        <f t="shared" si="0"/>
        <v>8261.3040000000001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(KG)'!D17:D17)</f>
        <v>4100</v>
      </c>
      <c r="C17" s="9">
        <f>SUM('Raw Data (KG)'!E17:F17)</f>
        <v>90</v>
      </c>
      <c r="D17" s="8">
        <f>SUM('Raw Data (KG)'!G17:V17)</f>
        <v>2512.5259999999998</v>
      </c>
      <c r="E17" s="9">
        <f>'Raw Data (KG)'!W17</f>
        <v>728</v>
      </c>
      <c r="F17" s="7"/>
      <c r="G17" s="9">
        <f>'Raw Data (KG)'!R17</f>
        <v>0</v>
      </c>
      <c r="H17" s="9">
        <f>'Raw Data (KG)'!S17</f>
        <v>0</v>
      </c>
      <c r="I17" s="352">
        <f>'Raw Data (KG)'!Q17</f>
        <v>0</v>
      </c>
      <c r="J17" s="9">
        <f>'Raw Data (KG)'!P17</f>
        <v>0</v>
      </c>
      <c r="K17" s="62">
        <f>'Raw Data (KG)'!H17+SUM('Raw Data (KG)'!J17:K17)+SUM('Raw Data (KG)'!M17:O17)+'Raw Data (KG)'!T17</f>
        <v>67.525999999999996</v>
      </c>
      <c r="L17" s="353">
        <f t="shared" si="0"/>
        <v>7498.0519999999997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(KG)'!D18:D18)</f>
        <v>4900</v>
      </c>
      <c r="C18" s="9">
        <f>SUM('Raw Data (KG)'!E18:F18)</f>
        <v>110</v>
      </c>
      <c r="D18" s="8">
        <f>SUM('Raw Data (KG)'!G18:V18)</f>
        <v>2459.4749999999999</v>
      </c>
      <c r="E18" s="9">
        <f>'Raw Data (KG)'!W18</f>
        <v>1653</v>
      </c>
      <c r="F18" s="7"/>
      <c r="G18" s="9">
        <f>'Raw Data (KG)'!R18</f>
        <v>0</v>
      </c>
      <c r="H18" s="9">
        <f>'Raw Data (KG)'!S18</f>
        <v>0</v>
      </c>
      <c r="I18" s="352">
        <f>'Raw Data (KG)'!Q18</f>
        <v>0</v>
      </c>
      <c r="J18" s="9">
        <f>'Raw Data (KG)'!P18</f>
        <v>0</v>
      </c>
      <c r="K18" s="62">
        <f>'Raw Data (KG)'!H18+SUM('Raw Data (KG)'!J18:K18)+SUM('Raw Data (KG)'!M18:O18)+'Raw Data (KG)'!T18</f>
        <v>69.474999999999994</v>
      </c>
      <c r="L18" s="353">
        <f t="shared" si="0"/>
        <v>9191.9500000000007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(KG)'!D19:D19)</f>
        <v>4750</v>
      </c>
      <c r="C19" s="9">
        <f>SUM('Raw Data (KG)'!E19:F19)</f>
        <v>100</v>
      </c>
      <c r="D19" s="8">
        <f>SUM('Raw Data (KG)'!G19:V19)</f>
        <v>2490.681</v>
      </c>
      <c r="E19" s="9">
        <f>'Raw Data (KG)'!W19</f>
        <v>875</v>
      </c>
      <c r="F19" s="7"/>
      <c r="G19" s="9">
        <f>'Raw Data (KG)'!R19</f>
        <v>0</v>
      </c>
      <c r="H19" s="9">
        <f>'Raw Data (KG)'!S19</f>
        <v>0</v>
      </c>
      <c r="I19" s="352">
        <f>'Raw Data (KG)'!Q19</f>
        <v>0</v>
      </c>
      <c r="J19" s="9">
        <f>'Raw Data (KG)'!P19</f>
        <v>0</v>
      </c>
      <c r="K19" s="62">
        <f>'Raw Data (KG)'!H19+SUM('Raw Data (KG)'!J19:K19)+SUM('Raw Data (KG)'!M19:O19)+'Raw Data (KG)'!T19</f>
        <v>70.680999999999997</v>
      </c>
      <c r="L19" s="15">
        <f t="shared" si="0"/>
        <v>8286.362000000001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(KG)'!D20:D20)</f>
        <v>4640</v>
      </c>
      <c r="C20" s="9">
        <f>SUM('Raw Data (KG)'!E20:F20)</f>
        <v>370</v>
      </c>
      <c r="D20" s="8">
        <f>SUM('Raw Data (KG)'!G20:V20)</f>
        <v>2492.5070000000001</v>
      </c>
      <c r="E20" s="9">
        <f>'Raw Data (KG)'!W20</f>
        <v>870</v>
      </c>
      <c r="F20" s="7"/>
      <c r="G20" s="9">
        <f>'Raw Data (KG)'!R20</f>
        <v>0</v>
      </c>
      <c r="H20" s="9">
        <f>'Raw Data (KG)'!S20</f>
        <v>0</v>
      </c>
      <c r="I20" s="352">
        <f>'Raw Data (KG)'!Q20</f>
        <v>0</v>
      </c>
      <c r="J20" s="9">
        <f>'Raw Data (KG)'!P20</f>
        <v>0</v>
      </c>
      <c r="K20" s="62">
        <f>'Raw Data (KG)'!H20+SUM('Raw Data (KG)'!J20:K20)+SUM('Raw Data (KG)'!M20:O20)+'Raw Data (KG)'!T20</f>
        <v>102.50700000000001</v>
      </c>
      <c r="L20" s="15">
        <f t="shared" si="0"/>
        <v>8475.0139999999992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(KG)'!D21:D21)</f>
        <v>4540</v>
      </c>
      <c r="C21" s="9">
        <f>SUM('Raw Data (KG)'!E21:F21)</f>
        <v>110</v>
      </c>
      <c r="D21" s="8">
        <f>SUM('Raw Data (KG)'!G21:V21)</f>
        <v>2480.607</v>
      </c>
      <c r="E21" s="9">
        <f>'Raw Data (KG)'!W21</f>
        <v>856</v>
      </c>
      <c r="F21" s="7"/>
      <c r="G21" s="9">
        <f>'Raw Data (KG)'!R21</f>
        <v>0</v>
      </c>
      <c r="H21" s="9">
        <f>'Raw Data (KG)'!S21</f>
        <v>0</v>
      </c>
      <c r="I21" s="352">
        <f>'Raw Data (KG)'!Q21</f>
        <v>0</v>
      </c>
      <c r="J21" s="9">
        <f>'Raw Data (KG)'!P21</f>
        <v>0</v>
      </c>
      <c r="K21" s="62">
        <f>'Raw Data (KG)'!H21+SUM('Raw Data (KG)'!J21:K21)+SUM('Raw Data (KG)'!M21:O21)+'Raw Data (KG)'!T21</f>
        <v>79.607000000000014</v>
      </c>
      <c r="L21" s="15">
        <f t="shared" si="0"/>
        <v>8066.2139999999999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(KG)'!D22:D22)</f>
        <v>4140</v>
      </c>
      <c r="C22" s="9">
        <f>SUM('Raw Data (KG)'!E22:F22)</f>
        <v>140</v>
      </c>
      <c r="D22" s="8">
        <f>SUM('Raw Data (KG)'!G22:V22)</f>
        <v>2499.4679999999998</v>
      </c>
      <c r="E22" s="9">
        <f>'Raw Data (KG)'!W22</f>
        <v>1953</v>
      </c>
      <c r="F22" s="7"/>
      <c r="G22" s="9">
        <f>'Raw Data (KG)'!R22</f>
        <v>0</v>
      </c>
      <c r="H22" s="9">
        <f>'Raw Data (KG)'!S22</f>
        <v>0</v>
      </c>
      <c r="I22" s="352">
        <f>'Raw Data (KG)'!Q22</f>
        <v>0</v>
      </c>
      <c r="J22" s="9">
        <f>'Raw Data (KG)'!P22</f>
        <v>0</v>
      </c>
      <c r="K22" s="62">
        <f>'Raw Data (KG)'!H22+SUM('Raw Data (KG)'!J22:K22)+SUM('Raw Data (KG)'!M22:O22)+'Raw Data (KG)'!T22</f>
        <v>89.468000000000004</v>
      </c>
      <c r="L22" s="15">
        <f t="shared" si="0"/>
        <v>8821.9360000000015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(KG)'!D23:D23)</f>
        <v>4040</v>
      </c>
      <c r="C23" s="9">
        <f>SUM('Raw Data (KG)'!E23:F23)</f>
        <v>110</v>
      </c>
      <c r="D23" s="8">
        <f>SUM('Raw Data (KG)'!G23:V23)</f>
        <v>2559.61</v>
      </c>
      <c r="E23" s="9">
        <f>'Raw Data (KG)'!W23</f>
        <v>1067</v>
      </c>
      <c r="F23" s="7"/>
      <c r="G23" s="9">
        <f>'Raw Data (KG)'!R23</f>
        <v>0</v>
      </c>
      <c r="H23" s="9">
        <f>'Raw Data (KG)'!S23</f>
        <v>0</v>
      </c>
      <c r="I23" s="352">
        <f>'Raw Data (KG)'!Q23</f>
        <v>0</v>
      </c>
      <c r="J23" s="9">
        <f>'Raw Data (KG)'!P23</f>
        <v>0</v>
      </c>
      <c r="K23" s="62">
        <f>'Raw Data (KG)'!H23+SUM('Raw Data (KG)'!J23:K23)+SUM('Raw Data (KG)'!M23:O23)+'Raw Data (KG)'!T23</f>
        <v>59.61</v>
      </c>
      <c r="L23" s="15">
        <f t="shared" si="0"/>
        <v>7836.22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(KG)'!D24:D24)</f>
        <v>4090</v>
      </c>
      <c r="C24" s="9">
        <f>SUM('Raw Data (KG)'!E24:F24)</f>
        <v>550</v>
      </c>
      <c r="D24" s="8">
        <f>SUM('Raw Data (KG)'!G24:V24)</f>
        <v>2540.4070000000002</v>
      </c>
      <c r="E24" s="9">
        <f>'Raw Data (KG)'!W24</f>
        <v>1074</v>
      </c>
      <c r="F24" s="7"/>
      <c r="G24" s="9">
        <f>'Raw Data (KG)'!R24</f>
        <v>0</v>
      </c>
      <c r="H24" s="9">
        <f>'Raw Data (KG)'!S24</f>
        <v>0</v>
      </c>
      <c r="I24" s="352">
        <f>'Raw Data (KG)'!Q24</f>
        <v>0</v>
      </c>
      <c r="J24" s="9">
        <f>'Raw Data (KG)'!P24</f>
        <v>0</v>
      </c>
      <c r="K24" s="62">
        <f>'Raw Data (KG)'!H24+SUM('Raw Data (KG)'!J24:K24)+SUM('Raw Data (KG)'!M24:O24)+'Raw Data (KG)'!T24</f>
        <v>80.407000000000011</v>
      </c>
      <c r="L24" s="15">
        <f t="shared" si="0"/>
        <v>8334.8139999999985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(KG)'!D25:D25)</f>
        <v>4000</v>
      </c>
      <c r="C25" s="9">
        <f>SUM('Raw Data (KG)'!E25:F25)</f>
        <v>150</v>
      </c>
      <c r="D25" s="8">
        <f>SUM('Raw Data (KG)'!G25:V25)</f>
        <v>2504.2240000000002</v>
      </c>
      <c r="E25" s="9">
        <f>'Raw Data (KG)'!W25</f>
        <v>1038</v>
      </c>
      <c r="F25" s="7"/>
      <c r="G25" s="9">
        <f>'Raw Data (KG)'!R25</f>
        <v>0</v>
      </c>
      <c r="H25" s="9">
        <f>'Raw Data (KG)'!S25</f>
        <v>0</v>
      </c>
      <c r="I25" s="352">
        <f>'Raw Data (KG)'!Q25</f>
        <v>0</v>
      </c>
      <c r="J25" s="9">
        <f>'Raw Data (KG)'!P25</f>
        <v>0</v>
      </c>
      <c r="K25" s="62">
        <f>'Raw Data (KG)'!H25+SUM('Raw Data (KG)'!J25:K25)+SUM('Raw Data (KG)'!M25:O25)+'Raw Data (KG)'!T25</f>
        <v>94.224000000000004</v>
      </c>
      <c r="L25" s="15">
        <f t="shared" si="0"/>
        <v>7786.4480000000003</v>
      </c>
      <c r="M25" s="150">
        <f>SUM(L14:L25)</f>
        <v>97728.682000000015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(KG)'!D26:D26)</f>
        <v>4150</v>
      </c>
      <c r="C26" s="75">
        <f>SUM('Raw Data (KG)'!E26:F26)</f>
        <v>110</v>
      </c>
      <c r="D26" s="73">
        <f>SUM('Raw Data (KG)'!G26:V26)</f>
        <v>2613.9120000000003</v>
      </c>
      <c r="E26" s="75">
        <f>'Raw Data (KG)'!W26</f>
        <v>957</v>
      </c>
      <c r="F26" s="76"/>
      <c r="G26" s="75">
        <f>'Raw Data (KG)'!R26</f>
        <v>0</v>
      </c>
      <c r="H26" s="75">
        <f>'Raw Data (KG)'!S26</f>
        <v>0</v>
      </c>
      <c r="I26" s="77">
        <f>'Raw Data (KG)'!Q26</f>
        <v>0</v>
      </c>
      <c r="J26" s="75">
        <f>'Raw Data (KG)'!P26</f>
        <v>0</v>
      </c>
      <c r="K26" s="74">
        <f>'Raw Data (KG)'!H26+SUM('Raw Data (KG)'!J26:K26)+SUM('Raw Data (KG)'!M26:O26)+'Raw Data (KG)'!T26</f>
        <v>103.91200000000001</v>
      </c>
      <c r="L26" s="72">
        <f t="shared" si="0"/>
        <v>7934.8240000000005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(KG)'!D27:D27)</f>
        <v>4020</v>
      </c>
      <c r="C27" s="75">
        <f>SUM('Raw Data (KG)'!E27:F27)</f>
        <v>130</v>
      </c>
      <c r="D27" s="73">
        <f>SUM('Raw Data (KG)'!G27:V27)</f>
        <v>2555.3559999999998</v>
      </c>
      <c r="E27" s="75">
        <f>'Raw Data (KG)'!W27</f>
        <v>827</v>
      </c>
      <c r="F27" s="76"/>
      <c r="G27" s="75">
        <f>'Raw Data (KG)'!R27</f>
        <v>0</v>
      </c>
      <c r="H27" s="75">
        <f>'Raw Data (KG)'!S27</f>
        <v>0</v>
      </c>
      <c r="I27" s="77">
        <f>'Raw Data (KG)'!Q27</f>
        <v>0</v>
      </c>
      <c r="J27" s="75">
        <f>'Raw Data (KG)'!P27</f>
        <v>0</v>
      </c>
      <c r="K27" s="74">
        <f>'Raw Data (KG)'!H27+SUM('Raw Data (KG)'!J27:K27)+SUM('Raw Data (KG)'!M27:O27)+'Raw Data (KG)'!T27</f>
        <v>75.356000000000009</v>
      </c>
      <c r="L27" s="72">
        <f t="shared" si="0"/>
        <v>7607.7119999999995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(KG)'!D28:D28)</f>
        <v>3810</v>
      </c>
      <c r="C28" s="75">
        <f>SUM('Raw Data (KG)'!E28:F28)</f>
        <v>100</v>
      </c>
      <c r="D28" s="73">
        <f>SUM('Raw Data (KG)'!G28:V28)</f>
        <v>2477.3379999999997</v>
      </c>
      <c r="E28" s="75">
        <f>'Raw Data (KG)'!W28</f>
        <v>1956</v>
      </c>
      <c r="F28" s="76"/>
      <c r="G28" s="75">
        <f>'Raw Data (KG)'!R28</f>
        <v>0</v>
      </c>
      <c r="H28" s="75">
        <f>'Raw Data (KG)'!S28</f>
        <v>0</v>
      </c>
      <c r="I28" s="77">
        <f>'Raw Data (KG)'!Q28</f>
        <v>0</v>
      </c>
      <c r="J28" s="75">
        <f>'Raw Data (KG)'!P28</f>
        <v>0</v>
      </c>
      <c r="K28" s="74">
        <f>'Raw Data (KG)'!H28+SUM('Raw Data (KG)'!J28:K28)+SUM('Raw Data (KG)'!M28:O28)+'Raw Data (KG)'!T28</f>
        <v>87.338000000000008</v>
      </c>
      <c r="L28" s="72">
        <f t="shared" si="0"/>
        <v>8430.6759999999995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(KG)'!D29:D29)</f>
        <v>3970</v>
      </c>
      <c r="C29" s="75">
        <f>SUM('Raw Data (KG)'!E29:F29)</f>
        <v>90</v>
      </c>
      <c r="D29" s="73">
        <f>SUM('Raw Data (KG)'!G29:V29)</f>
        <v>2551.0520000000001</v>
      </c>
      <c r="E29" s="75">
        <f>'Raw Data (KG)'!W29</f>
        <v>3297</v>
      </c>
      <c r="F29" s="76"/>
      <c r="G29" s="75">
        <f>'Raw Data (KG)'!R29</f>
        <v>0</v>
      </c>
      <c r="H29" s="75">
        <f>'Raw Data (KG)'!S29</f>
        <v>0</v>
      </c>
      <c r="I29" s="77">
        <f>'Raw Data (KG)'!Q29</f>
        <v>0</v>
      </c>
      <c r="J29" s="75">
        <f>'Raw Data (KG)'!P29</f>
        <v>0</v>
      </c>
      <c r="K29" s="74">
        <f>'Raw Data (KG)'!H29+SUM('Raw Data (KG)'!J29:K29)+SUM('Raw Data (KG)'!M29:O29)+'Raw Data (KG)'!T29</f>
        <v>71.052000000000007</v>
      </c>
      <c r="L29" s="72">
        <f t="shared" si="0"/>
        <v>9979.1039999999994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(KG)'!D30:D30)</f>
        <v>3890</v>
      </c>
      <c r="C30" s="75">
        <f>SUM('Raw Data (KG)'!E30:F30)</f>
        <v>100</v>
      </c>
      <c r="D30" s="73">
        <f>SUM('Raw Data (KG)'!G30:V30)</f>
        <v>2545.8720000000003</v>
      </c>
      <c r="E30" s="75">
        <f>'Raw Data (KG)'!W30</f>
        <v>1785</v>
      </c>
      <c r="F30" s="76"/>
      <c r="G30" s="75">
        <f>'Raw Data (KG)'!R30</f>
        <v>0</v>
      </c>
      <c r="H30" s="75">
        <f>'Raw Data (KG)'!S30</f>
        <v>0</v>
      </c>
      <c r="I30" s="77">
        <f>'Raw Data (KG)'!Q30</f>
        <v>0</v>
      </c>
      <c r="J30" s="75">
        <f>'Raw Data (KG)'!P30</f>
        <v>0</v>
      </c>
      <c r="K30" s="74">
        <f>'Raw Data (KG)'!H30+SUM('Raw Data (KG)'!J30:K30)+SUM('Raw Data (KG)'!M30:O30)+'Raw Data (KG)'!T30</f>
        <v>95.872</v>
      </c>
      <c r="L30" s="72">
        <f t="shared" si="0"/>
        <v>8416.7439999999988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(KG)'!D31:D31)</f>
        <v>3810</v>
      </c>
      <c r="C31" s="75">
        <f>SUM('Raw Data (KG)'!E31:F31)</f>
        <v>250</v>
      </c>
      <c r="D31" s="73">
        <f>SUM('Raw Data (KG)'!G31:V31)</f>
        <v>2465.174</v>
      </c>
      <c r="E31" s="75">
        <f>'Raw Data (KG)'!W31</f>
        <v>1400</v>
      </c>
      <c r="F31" s="76"/>
      <c r="G31" s="75">
        <f>'Raw Data (KG)'!R31</f>
        <v>0</v>
      </c>
      <c r="H31" s="75">
        <f>'Raw Data (KG)'!S31</f>
        <v>0</v>
      </c>
      <c r="I31" s="77">
        <f>'Raw Data (KG)'!Q31</f>
        <v>0</v>
      </c>
      <c r="J31" s="75">
        <f>'Raw Data (KG)'!P31</f>
        <v>0</v>
      </c>
      <c r="K31" s="74">
        <f>'Raw Data (KG)'!H31+SUM('Raw Data (KG)'!J31:K31)+SUM('Raw Data (KG)'!M31:O31)+'Raw Data (KG)'!T31</f>
        <v>95.174000000000007</v>
      </c>
      <c r="L31" s="72">
        <f t="shared" si="0"/>
        <v>8020.348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(KG)'!D32:D32)</f>
        <v>4230</v>
      </c>
      <c r="C32" s="75">
        <f>SUM('Raw Data (KG)'!E32:F32)</f>
        <v>300</v>
      </c>
      <c r="D32" s="73">
        <f>SUM('Raw Data (KG)'!G32:V32)</f>
        <v>2709.5683330000002</v>
      </c>
      <c r="E32" s="75">
        <f>'Raw Data (KG)'!W32</f>
        <v>1647</v>
      </c>
      <c r="F32" s="76"/>
      <c r="G32" s="75">
        <f>'Raw Data (KG)'!R32</f>
        <v>0</v>
      </c>
      <c r="H32" s="75">
        <f>'Raw Data (KG)'!S32</f>
        <v>0</v>
      </c>
      <c r="I32" s="77">
        <f>'Raw Data (KG)'!Q32</f>
        <v>0</v>
      </c>
      <c r="J32" s="75">
        <f>'Raw Data (KG)'!P32</f>
        <v>0</v>
      </c>
      <c r="K32" s="74">
        <f>'Raw Data (KG)'!H32+SUM('Raw Data (KG)'!J32:K32)+SUM('Raw Data (KG)'!M32:O32)+'Raw Data (KG)'!T32</f>
        <v>51.760000000000005</v>
      </c>
      <c r="L32" s="72">
        <f t="shared" si="0"/>
        <v>8938.3283329999995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(KG)'!D33:D33)</f>
        <v>4070</v>
      </c>
      <c r="C33" s="75">
        <f>SUM('Raw Data (KG)'!E33:F33)</f>
        <v>250</v>
      </c>
      <c r="D33" s="73">
        <f>SUM('Raw Data (KG)'!G33:V33)</f>
        <v>2706.1063329999997</v>
      </c>
      <c r="E33" s="75">
        <f>'Raw Data (KG)'!W33</f>
        <v>3015</v>
      </c>
      <c r="F33" s="76"/>
      <c r="G33" s="75">
        <f>'Raw Data (KG)'!R33</f>
        <v>0</v>
      </c>
      <c r="H33" s="75">
        <f>'Raw Data (KG)'!S33</f>
        <v>0</v>
      </c>
      <c r="I33" s="77">
        <f>'Raw Data (KG)'!Q33</f>
        <v>0</v>
      </c>
      <c r="J33" s="75">
        <f>'Raw Data (KG)'!P33</f>
        <v>0</v>
      </c>
      <c r="K33" s="74">
        <f>'Raw Data (KG)'!H33+SUM('Raw Data (KG)'!J33:K33)+SUM('Raw Data (KG)'!M33:O33)+'Raw Data (KG)'!T33</f>
        <v>38.298000000000002</v>
      </c>
      <c r="L33" s="72">
        <f t="shared" si="0"/>
        <v>10079.404333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(KG)'!D34:D34)</f>
        <v>4120</v>
      </c>
      <c r="C34" s="75">
        <f>SUM('Raw Data (KG)'!E34:F34)</f>
        <v>170</v>
      </c>
      <c r="D34" s="73">
        <f>SUM('Raw Data (KG)'!G34:V34)</f>
        <v>2766.344333</v>
      </c>
      <c r="E34" s="75">
        <f>'Raw Data (KG)'!W34</f>
        <v>1168</v>
      </c>
      <c r="F34" s="76"/>
      <c r="G34" s="75">
        <f>'Raw Data (KG)'!R34</f>
        <v>0</v>
      </c>
      <c r="H34" s="75">
        <f>'Raw Data (KG)'!S34</f>
        <v>0</v>
      </c>
      <c r="I34" s="77">
        <f>'Raw Data (KG)'!Q34</f>
        <v>0</v>
      </c>
      <c r="J34" s="75">
        <f>'Raw Data (KG)'!P34</f>
        <v>0</v>
      </c>
      <c r="K34" s="74">
        <f>'Raw Data (KG)'!H34+SUM('Raw Data (KG)'!J34:K34)+SUM('Raw Data (KG)'!M34:O34)+'Raw Data (KG)'!T34</f>
        <v>88.536000000000001</v>
      </c>
      <c r="L34" s="72">
        <f t="shared" ref="L34:L65" si="1">SUM(B34:K34)</f>
        <v>8312.880333000001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(KG)'!D35:D35)</f>
        <v>4050</v>
      </c>
      <c r="C35" s="75">
        <f>SUM('Raw Data (KG)'!E35:F35)</f>
        <v>140</v>
      </c>
      <c r="D35" s="73">
        <f>SUM('Raw Data (KG)'!G35:V35)</f>
        <v>2643.8423330000001</v>
      </c>
      <c r="E35" s="75">
        <f>'Raw Data (KG)'!W35</f>
        <v>1397</v>
      </c>
      <c r="F35" s="76"/>
      <c r="G35" s="75">
        <f>'Raw Data (KG)'!R35</f>
        <v>0</v>
      </c>
      <c r="H35" s="75">
        <f>'Raw Data (KG)'!S35</f>
        <v>0</v>
      </c>
      <c r="I35" s="77">
        <f>'Raw Data (KG)'!Q35</f>
        <v>0</v>
      </c>
      <c r="J35" s="75">
        <f>'Raw Data (KG)'!P35</f>
        <v>0</v>
      </c>
      <c r="K35" s="74">
        <f>'Raw Data (KG)'!H35+SUM('Raw Data (KG)'!J35:K35)+SUM('Raw Data (KG)'!M35:O35)+'Raw Data (KG)'!T35</f>
        <v>56.034000000000006</v>
      </c>
      <c r="L35" s="72">
        <f t="shared" si="1"/>
        <v>8286.8763330000002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(KG)'!D36:D36)</f>
        <v>4080</v>
      </c>
      <c r="C36" s="75">
        <f>SUM('Raw Data (KG)'!E36:F36)</f>
        <v>110</v>
      </c>
      <c r="D36" s="73">
        <f>SUM('Raw Data (KG)'!G36:V36)</f>
        <v>2721.6483330000001</v>
      </c>
      <c r="E36" s="75">
        <f>'Raw Data (KG)'!W36</f>
        <v>1824</v>
      </c>
      <c r="F36" s="76"/>
      <c r="G36" s="75">
        <f>'Raw Data (KG)'!R36</f>
        <v>0</v>
      </c>
      <c r="H36" s="75">
        <f>'Raw Data (KG)'!S36</f>
        <v>0</v>
      </c>
      <c r="I36" s="77">
        <f>'Raw Data (KG)'!Q36</f>
        <v>0</v>
      </c>
      <c r="J36" s="75">
        <f>'Raw Data (KG)'!P36</f>
        <v>0</v>
      </c>
      <c r="K36" s="74">
        <f>'Raw Data (KG)'!H36+SUM('Raw Data (KG)'!J36:K36)+SUM('Raw Data (KG)'!M36:O36)+'Raw Data (KG)'!T36</f>
        <v>34.840000000000003</v>
      </c>
      <c r="L36" s="72">
        <f t="shared" si="1"/>
        <v>8770.4883330000011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(KG)'!D37:D37)</f>
        <v>4120</v>
      </c>
      <c r="C37" s="75">
        <f>SUM('Raw Data (KG)'!E37:F37)</f>
        <v>270</v>
      </c>
      <c r="D37" s="73">
        <f>SUM('Raw Data (KG)'!G37:V37)</f>
        <v>2667.8083329999999</v>
      </c>
      <c r="E37" s="75">
        <f>'Raw Data (KG)'!W37</f>
        <v>1672</v>
      </c>
      <c r="F37" s="76"/>
      <c r="G37" s="75">
        <f>'Raw Data (KG)'!R37</f>
        <v>0</v>
      </c>
      <c r="H37" s="75">
        <f>'Raw Data (KG)'!S37</f>
        <v>0</v>
      </c>
      <c r="I37" s="77">
        <f>'Raw Data (KG)'!Q37</f>
        <v>0</v>
      </c>
      <c r="J37" s="75">
        <f>'Raw Data (KG)'!P37</f>
        <v>0</v>
      </c>
      <c r="K37" s="74">
        <f>'Raw Data (KG)'!H37+SUM('Raw Data (KG)'!J37:K37)+SUM('Raw Data (KG)'!M37:O37)+'Raw Data (KG)'!T37</f>
        <v>0</v>
      </c>
      <c r="L37" s="72">
        <f t="shared" si="1"/>
        <v>8729.8083330000009</v>
      </c>
      <c r="M37" s="150">
        <f>SUM(L26:L37)</f>
        <v>103507.193998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(KG)'!D38:D38)</f>
        <v>2980</v>
      </c>
      <c r="C38" s="9">
        <f>SUM('Raw Data (KG)'!E38:F38)</f>
        <v>260</v>
      </c>
      <c r="D38" s="8">
        <f>SUM('Raw Data (KG)'!G38:V38)</f>
        <v>3167.8083329999999</v>
      </c>
      <c r="E38" s="9">
        <f>'Raw Data (KG)'!W38</f>
        <v>2495</v>
      </c>
      <c r="F38" s="7"/>
      <c r="G38" s="9">
        <f>'Raw Data (KG)'!R38</f>
        <v>0</v>
      </c>
      <c r="H38" s="9">
        <f>'Raw Data (KG)'!S38</f>
        <v>0</v>
      </c>
      <c r="I38" s="352">
        <f>'Raw Data (KG)'!Q38</f>
        <v>0</v>
      </c>
      <c r="J38" s="9">
        <f>'Raw Data (KG)'!P38</f>
        <v>0</v>
      </c>
      <c r="K38" s="62">
        <f>'Raw Data (KG)'!H38+SUM('Raw Data (KG)'!J38:K38)+SUM('Raw Data (KG)'!M38:O38)+'Raw Data (KG)'!T38</f>
        <v>0</v>
      </c>
      <c r="L38" s="15">
        <f t="shared" si="1"/>
        <v>8902.8083330000009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(KG)'!D39:D39)</f>
        <v>7160</v>
      </c>
      <c r="C39" s="9">
        <f>SUM('Raw Data (KG)'!E39:F39)</f>
        <v>400</v>
      </c>
      <c r="D39" s="8">
        <f>SUM('Raw Data (KG)'!G39:V39)</f>
        <v>3335.3083329999999</v>
      </c>
      <c r="E39" s="9">
        <f>'Raw Data (KG)'!W39</f>
        <v>1142</v>
      </c>
      <c r="F39" s="7"/>
      <c r="G39" s="9">
        <f>'Raw Data (KG)'!R39</f>
        <v>0</v>
      </c>
      <c r="H39" s="9">
        <f>'Raw Data (KG)'!S39</f>
        <v>0</v>
      </c>
      <c r="I39" s="352">
        <f>'Raw Data (KG)'!Q39</f>
        <v>0</v>
      </c>
      <c r="J39" s="9">
        <f>'Raw Data (KG)'!P39</f>
        <v>0</v>
      </c>
      <c r="K39" s="62">
        <f>'Raw Data (KG)'!H39+SUM('Raw Data (KG)'!J39:K39)+SUM('Raw Data (KG)'!M39:O39)+'Raw Data (KG)'!T39</f>
        <v>0</v>
      </c>
      <c r="L39" s="15">
        <f t="shared" si="1"/>
        <v>12037.308333000001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(KG)'!D40:D40)</f>
        <v>7820</v>
      </c>
      <c r="C40" s="9">
        <f>SUM('Raw Data (KG)'!E40:F40)</f>
        <v>250</v>
      </c>
      <c r="D40" s="8">
        <f>SUM('Raw Data (KG)'!G40:V40)</f>
        <v>4297.1183330000003</v>
      </c>
      <c r="E40" s="9">
        <f>'Raw Data (KG)'!W40</f>
        <v>2204</v>
      </c>
      <c r="F40" s="348">
        <v>11950</v>
      </c>
      <c r="G40" s="9">
        <f>'Raw Data (KG)'!R40</f>
        <v>0</v>
      </c>
      <c r="H40" s="9">
        <f>'Raw Data (KG)'!S40</f>
        <v>0</v>
      </c>
      <c r="I40" s="352">
        <f>'Raw Data (KG)'!Q40</f>
        <v>0</v>
      </c>
      <c r="J40" s="9">
        <f>'Raw Data (KG)'!P40</f>
        <v>0</v>
      </c>
      <c r="K40" s="62">
        <f>'Raw Data (KG)'!H40+SUM('Raw Data (KG)'!J40:K40)+SUM('Raw Data (KG)'!M40:O40)+'Raw Data (KG)'!T40</f>
        <v>169.51000000000002</v>
      </c>
      <c r="L40" s="15">
        <f t="shared" si="1"/>
        <v>26690.628332999997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(KG)'!D41:D41)</f>
        <v>9300</v>
      </c>
      <c r="C41" s="9">
        <f>SUM('Raw Data (KG)'!E41:F41)</f>
        <v>150</v>
      </c>
      <c r="D41" s="8">
        <f>SUM('Raw Data (KG)'!G41:V41)</f>
        <v>24301.270333333334</v>
      </c>
      <c r="E41" s="9">
        <f>'Raw Data (KG)'!W41</f>
        <v>1653</v>
      </c>
      <c r="F41" s="7">
        <f>'Raw Food Data (KG)'!Q2</f>
        <v>21800</v>
      </c>
      <c r="G41" s="9">
        <f>'Raw Data (KG)'!R41</f>
        <v>0</v>
      </c>
      <c r="H41" s="9">
        <f>'Raw Data (KG)'!S41</f>
        <v>0</v>
      </c>
      <c r="I41" s="352">
        <f>'Raw Data (KG)'!Q41</f>
        <v>0</v>
      </c>
      <c r="J41" s="9">
        <f>'Raw Data (KG)'!P41</f>
        <v>0</v>
      </c>
      <c r="K41" s="62">
        <f>'Raw Data (KG)'!H41+SUM('Raw Data (KG)'!J41:K41)+SUM('Raw Data (KG)'!M41:O41)+'Raw Data (KG)'!T41</f>
        <v>13.462</v>
      </c>
      <c r="L41" s="15">
        <f t="shared" si="1"/>
        <v>57217.732333333333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(KG)'!D42:D42)</f>
        <v>9900</v>
      </c>
      <c r="C42" s="9">
        <f>SUM('Raw Data (KG)'!E42:F42)</f>
        <v>110</v>
      </c>
      <c r="D42" s="8">
        <f>SUM('Raw Data (KG)'!G42:V42)</f>
        <v>22269.378333333334</v>
      </c>
      <c r="E42" s="9">
        <f>'Raw Data (KG)'!W42</f>
        <v>3458</v>
      </c>
      <c r="F42" s="7">
        <f>'Raw Food Data (KG)'!Q3</f>
        <v>19250</v>
      </c>
      <c r="G42" s="9">
        <f>'Raw Data (KG)'!R42</f>
        <v>66</v>
      </c>
      <c r="H42" s="9">
        <f>'Raw Data (KG)'!S42</f>
        <v>0</v>
      </c>
      <c r="I42" s="352">
        <f>'Raw Data (KG)'!Q42</f>
        <v>0</v>
      </c>
      <c r="J42" s="9">
        <f>'Raw Data (KG)'!P42</f>
        <v>0</v>
      </c>
      <c r="K42" s="62">
        <f>'Raw Data (KG)'!H42+SUM('Raw Data (KG)'!J42:K42)+SUM('Raw Data (KG)'!M42:O42)+'Raw Data (KG)'!T42</f>
        <v>148.07000000000002</v>
      </c>
      <c r="L42" s="15">
        <f t="shared" si="1"/>
        <v>55201.448333333334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(KG)'!D43:D43)</f>
        <v>9450</v>
      </c>
      <c r="C43" s="9">
        <f>SUM('Raw Data (KG)'!E43:F43)</f>
        <v>270</v>
      </c>
      <c r="D43" s="8">
        <f>SUM('Raw Data (KG)'!G43:V43)</f>
        <v>18618.458333333336</v>
      </c>
      <c r="E43" s="9">
        <f>'Raw Data (KG)'!W43</f>
        <v>1465</v>
      </c>
      <c r="F43" s="7">
        <f>'Raw Food Data (KG)'!Q4</f>
        <v>16900</v>
      </c>
      <c r="G43" s="9">
        <f>'Raw Data (KG)'!R43</f>
        <v>62.5</v>
      </c>
      <c r="H43" s="9">
        <f>'Raw Data (KG)'!S43</f>
        <v>0</v>
      </c>
      <c r="I43" s="352">
        <f>'Raw Data (KG)'!Q43</f>
        <v>0</v>
      </c>
      <c r="J43" s="9">
        <f>'Raw Data (KG)'!P43</f>
        <v>0</v>
      </c>
      <c r="K43" s="62">
        <f>'Raw Data (KG)'!H43+SUM('Raw Data (KG)'!J43:K43)+SUM('Raw Data (KG)'!M43:O43)+'Raw Data (KG)'!T43</f>
        <v>5.65</v>
      </c>
      <c r="L43" s="15">
        <f t="shared" si="1"/>
        <v>46771.608333333337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(KG)'!D44:D44)</f>
        <v>10200</v>
      </c>
      <c r="C44" s="9">
        <f>SUM('Raw Data (KG)'!E44:F44)</f>
        <v>180</v>
      </c>
      <c r="D44" s="8">
        <f>SUM('Raw Data (KG)'!G44:V44)</f>
        <v>17672.126</v>
      </c>
      <c r="E44" s="9">
        <f>'Raw Data (KG)'!W44</f>
        <v>1726</v>
      </c>
      <c r="F44" s="7">
        <f>'Raw Food Data (KG)'!Q5</f>
        <v>13750</v>
      </c>
      <c r="G44" s="9">
        <f>'Raw Data (KG)'!R44</f>
        <v>0</v>
      </c>
      <c r="H44" s="9">
        <f>'Raw Data (KG)'!S44</f>
        <v>0</v>
      </c>
      <c r="I44" s="352">
        <f>'Raw Data (KG)'!Q44</f>
        <v>0</v>
      </c>
      <c r="J44" s="9">
        <f>'Raw Data (KG)'!P44</f>
        <v>0</v>
      </c>
      <c r="K44" s="62">
        <f>'Raw Data (KG)'!H44+SUM('Raw Data (KG)'!J44:K44)+SUM('Raw Data (KG)'!M44:O44)+'Raw Data (KG)'!T44</f>
        <v>146.251</v>
      </c>
      <c r="L44" s="15">
        <f t="shared" si="1"/>
        <v>43674.377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(KG)'!D45:D45)</f>
        <v>9070</v>
      </c>
      <c r="C45" s="9">
        <f>SUM('Raw Data (KG)'!E45:F45)</f>
        <v>210</v>
      </c>
      <c r="D45" s="8">
        <f>SUM('Raw Data (KG)'!G45:V45)</f>
        <v>22764.375</v>
      </c>
      <c r="E45" s="9">
        <f>'Raw Data (KG)'!W45</f>
        <v>1475</v>
      </c>
      <c r="F45" s="7">
        <f>'Raw Food Data (KG)'!Q6</f>
        <v>18825</v>
      </c>
      <c r="G45" s="9">
        <f>'Raw Data (KG)'!R45</f>
        <v>0</v>
      </c>
      <c r="H45" s="9">
        <f>'Raw Data (KG)'!S45</f>
        <v>0</v>
      </c>
      <c r="I45" s="352">
        <f>'Raw Data (KG)'!Q45</f>
        <v>0</v>
      </c>
      <c r="J45" s="9">
        <f>'Raw Data (KG)'!P45</f>
        <v>0</v>
      </c>
      <c r="K45" s="62">
        <f>'Raw Data (KG)'!H45+SUM('Raw Data (KG)'!J45:K45)+SUM('Raw Data (KG)'!M45:O45)+'Raw Data (KG)'!T45</f>
        <v>0</v>
      </c>
      <c r="L45" s="15">
        <f t="shared" si="1"/>
        <v>52344.375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(KG)'!D46:D46)</f>
        <v>9840</v>
      </c>
      <c r="C46" s="9">
        <f>SUM('Raw Data (KG)'!E46:F46)</f>
        <v>210</v>
      </c>
      <c r="D46" s="8">
        <f>SUM('Raw Data (KG)'!G46:V46)</f>
        <v>26140.945</v>
      </c>
      <c r="E46" s="9">
        <f>'Raw Data (KG)'!W46</f>
        <v>1816</v>
      </c>
      <c r="F46" s="7">
        <f>'Raw Food Data (KG)'!Q7</f>
        <v>21975</v>
      </c>
      <c r="G46" s="9">
        <f>'Raw Data (KG)'!R46</f>
        <v>0</v>
      </c>
      <c r="H46" s="9">
        <f>'Raw Data (KG)'!S46</f>
        <v>0</v>
      </c>
      <c r="I46" s="352">
        <f>'Raw Data (KG)'!Q46</f>
        <v>0</v>
      </c>
      <c r="J46" s="9">
        <f>'Raw Data (KG)'!P46</f>
        <v>0</v>
      </c>
      <c r="K46" s="62">
        <f>'Raw Data (KG)'!H46+SUM('Raw Data (KG)'!J46:K46)+SUM('Raw Data (KG)'!M46:O46)+'Raw Data (KG)'!T46</f>
        <v>81.070000000000007</v>
      </c>
      <c r="L46" s="15">
        <f t="shared" si="1"/>
        <v>60063.014999999999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(KG)'!D47:D47)</f>
        <v>10420</v>
      </c>
      <c r="C47" s="9">
        <f>SUM('Raw Data (KG)'!E47:F47)</f>
        <v>290</v>
      </c>
      <c r="D47" s="8">
        <f>SUM('Raw Data (KG)'!G47:V47)</f>
        <v>23674.275000000001</v>
      </c>
      <c r="E47" s="9">
        <f>'Raw Data (KG)'!W47</f>
        <v>1894</v>
      </c>
      <c r="F47" s="7">
        <f>'Raw Food Data (KG)'!Q8</f>
        <v>18850</v>
      </c>
      <c r="G47" s="9">
        <f>'Raw Data (KG)'!R47</f>
        <v>0</v>
      </c>
      <c r="H47" s="9">
        <f>'Raw Data (KG)'!S47</f>
        <v>0</v>
      </c>
      <c r="I47" s="352">
        <f>'Raw Data (KG)'!Q47</f>
        <v>0</v>
      </c>
      <c r="J47" s="9">
        <f>'Raw Data (KG)'!P47</f>
        <v>0</v>
      </c>
      <c r="K47" s="62">
        <f>'Raw Data (KG)'!H47+SUM('Raw Data (KG)'!J47:K47)+SUM('Raw Data (KG)'!M47:O47)+'Raw Data (KG)'!T47</f>
        <v>660.2</v>
      </c>
      <c r="L47" s="15">
        <f t="shared" si="1"/>
        <v>55788.474999999999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(KG)'!D48:D48)</f>
        <v>11250</v>
      </c>
      <c r="C48" s="9">
        <f>SUM('Raw Data (KG)'!E48:F48)</f>
        <v>260</v>
      </c>
      <c r="D48" s="8">
        <f>SUM('Raw Data (KG)'!G48:V48)</f>
        <v>24363.305</v>
      </c>
      <c r="E48" s="9">
        <f>'Raw Data (KG)'!W48</f>
        <v>1563</v>
      </c>
      <c r="F48" s="7">
        <f>'Raw Food Data (KG)'!Q9</f>
        <v>20275</v>
      </c>
      <c r="G48" s="9">
        <f>'Raw Data (KG)'!R48</f>
        <v>0</v>
      </c>
      <c r="H48" s="9">
        <f>'Raw Data (KG)'!S48</f>
        <v>0</v>
      </c>
      <c r="I48" s="352">
        <f>'Raw Data (KG)'!Q48</f>
        <v>0</v>
      </c>
      <c r="J48" s="9">
        <f>'Raw Data (KG)'!P48</f>
        <v>0</v>
      </c>
      <c r="K48" s="62">
        <f>'Raw Data (KG)'!H48+SUM('Raw Data (KG)'!J48:K48)+SUM('Raw Data (KG)'!M48:O48)+'Raw Data (KG)'!T48</f>
        <v>94.43</v>
      </c>
      <c r="L48" s="15">
        <f t="shared" si="1"/>
        <v>57805.735000000001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(KG)'!D49:D49)</f>
        <v>7160</v>
      </c>
      <c r="C49" s="9">
        <f>SUM('Raw Data (KG)'!E49:F49)</f>
        <v>400</v>
      </c>
      <c r="D49" s="8">
        <f>SUM('Raw Data (KG)'!G49:V49)</f>
        <v>26469.875</v>
      </c>
      <c r="E49" s="9">
        <f>'Raw Data (KG)'!W49</f>
        <v>1981</v>
      </c>
      <c r="F49" s="7">
        <f>'Raw Food Data (KG)'!Q10</f>
        <v>21025</v>
      </c>
      <c r="G49" s="9">
        <f>'Raw Data (KG)'!R49</f>
        <v>0</v>
      </c>
      <c r="H49" s="9">
        <f>'Raw Data (KG)'!S49</f>
        <v>0</v>
      </c>
      <c r="I49" s="352">
        <f>'Raw Data (KG)'!Q49</f>
        <v>0</v>
      </c>
      <c r="J49" s="9">
        <f>'Raw Data (KG)'!P49</f>
        <v>0</v>
      </c>
      <c r="K49" s="62">
        <f>'Raw Data (KG)'!H49+SUM('Raw Data (KG)'!J49:K49)+SUM('Raw Data (KG)'!M49:O49)+'Raw Data (KG)'!T49</f>
        <v>340</v>
      </c>
      <c r="L49" s="15">
        <f t="shared" si="1"/>
        <v>57375.875</v>
      </c>
      <c r="M49" s="150">
        <f>SUM(L38:L49)</f>
        <v>533873.38599899993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(KG)'!D50:D50)</f>
        <v>10930</v>
      </c>
      <c r="C50" s="75">
        <f>SUM('Raw Data (KG)'!E50:F50)</f>
        <v>270</v>
      </c>
      <c r="D50" s="73">
        <f>SUM('Raw Data (KG)'!G50:V50)</f>
        <v>17337.102999999999</v>
      </c>
      <c r="E50" s="75">
        <f>'Raw Data (KG)'!W50</f>
        <v>1948</v>
      </c>
      <c r="F50" s="76">
        <f>'Raw Food Data (KG)'!Q11</f>
        <v>13275</v>
      </c>
      <c r="G50" s="75">
        <f>'Raw Data (KG)'!R50</f>
        <v>0</v>
      </c>
      <c r="H50" s="75">
        <f>'Raw Data (KG)'!S50</f>
        <v>0</v>
      </c>
      <c r="I50" s="77">
        <f>'Raw Data (KG)'!Q50</f>
        <v>0</v>
      </c>
      <c r="J50" s="75">
        <f>'Raw Data (KG)'!P50</f>
        <v>0</v>
      </c>
      <c r="K50" s="74">
        <f>'Raw Data (KG)'!H50+SUM('Raw Data (KG)'!J50:K50)+SUM('Raw Data (KG)'!M50:O50)+'Raw Data (KG)'!T50</f>
        <v>101.72800000000001</v>
      </c>
      <c r="L50" s="72">
        <f t="shared" si="1"/>
        <v>43861.831000000006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(KG)'!D51:D51)</f>
        <v>10700</v>
      </c>
      <c r="C51" s="75">
        <f>SUM('Raw Data (KG)'!E51:F51)</f>
        <v>210</v>
      </c>
      <c r="D51" s="73">
        <f>SUM('Raw Data (KG)'!G51:V51)</f>
        <v>18870.875</v>
      </c>
      <c r="E51" s="75">
        <f>'Raw Data (KG)'!W51</f>
        <v>1726</v>
      </c>
      <c r="F51" s="76">
        <f>'Raw Food Data (KG)'!Q12</f>
        <v>15525</v>
      </c>
      <c r="G51" s="75">
        <f>'Raw Data (KG)'!R51</f>
        <v>0</v>
      </c>
      <c r="H51" s="75">
        <f>'Raw Data (KG)'!S51</f>
        <v>0</v>
      </c>
      <c r="I51" s="77">
        <f>'Raw Data (KG)'!Q51</f>
        <v>0</v>
      </c>
      <c r="J51" s="75">
        <f>'Raw Data (KG)'!P51</f>
        <v>0</v>
      </c>
      <c r="K51" s="74">
        <f>'Raw Data (KG)'!H51+SUM('Raw Data (KG)'!J51:K51)+SUM('Raw Data (KG)'!M51:O51)+'Raw Data (KG)'!T51</f>
        <v>277</v>
      </c>
      <c r="L51" s="72">
        <f t="shared" si="1"/>
        <v>47308.875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(KG)'!D52:D52)</f>
        <v>7160</v>
      </c>
      <c r="C52" s="75">
        <f>SUM('Raw Data (KG)'!E52:F52)</f>
        <v>400</v>
      </c>
      <c r="D52" s="73">
        <f>SUM('Raw Data (KG)'!G52:V52)</f>
        <v>26749.434000000001</v>
      </c>
      <c r="E52" s="75">
        <f>'Raw Data (KG)'!W52</f>
        <v>3290</v>
      </c>
      <c r="F52" s="76">
        <f>'Raw Food Data (KG)'!Q13</f>
        <v>25050</v>
      </c>
      <c r="G52" s="75">
        <f>'Raw Data (KG)'!R52</f>
        <v>0</v>
      </c>
      <c r="H52" s="75">
        <f>'Raw Data (KG)'!S52</f>
        <v>0</v>
      </c>
      <c r="I52" s="77">
        <f>'Raw Data (KG)'!Q52</f>
        <v>0</v>
      </c>
      <c r="J52" s="75">
        <f>'Raw Data (KG)'!P52</f>
        <v>0</v>
      </c>
      <c r="K52" s="74">
        <f>'Raw Data (KG)'!H52+SUM('Raw Data (KG)'!J52:K52)+SUM('Raw Data (KG)'!M52:O52)+'Raw Data (KG)'!T52</f>
        <v>3.4340000000000002</v>
      </c>
      <c r="L52" s="72">
        <f t="shared" si="1"/>
        <v>62652.868000000002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(KG)'!D53:D53)</f>
        <v>9910</v>
      </c>
      <c r="C53" s="75">
        <f>SUM('Raw Data (KG)'!E53:F53)</f>
        <v>200</v>
      </c>
      <c r="D53" s="73">
        <f>SUM('Raw Data (KG)'!G53:V53)</f>
        <v>27425.31</v>
      </c>
      <c r="E53" s="75">
        <f>'Raw Data (KG)'!W53</f>
        <v>0</v>
      </c>
      <c r="F53" s="76">
        <f>'Raw Food Data (KG)'!Q14</f>
        <v>25175</v>
      </c>
      <c r="G53" s="75">
        <f>'Raw Data (KG)'!R53</f>
        <v>0</v>
      </c>
      <c r="H53" s="75">
        <f>'Raw Data (KG)'!S53</f>
        <v>0</v>
      </c>
      <c r="I53" s="77">
        <f>'Raw Data (KG)'!Q53</f>
        <v>0</v>
      </c>
      <c r="J53" s="75">
        <f>'Raw Data (KG)'!P53</f>
        <v>0</v>
      </c>
      <c r="K53" s="74">
        <f>'Raw Data (KG)'!H53+SUM('Raw Data (KG)'!J53:K53)+SUM('Raw Data (KG)'!M53:O53)+'Raw Data (KG)'!T53</f>
        <v>129.31</v>
      </c>
      <c r="L53" s="72">
        <f t="shared" si="1"/>
        <v>62839.619999999995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(KG)'!D54:D54)</f>
        <v>9740</v>
      </c>
      <c r="C54" s="75">
        <f>SUM('Raw Data (KG)'!E54:F54)</f>
        <v>210</v>
      </c>
      <c r="D54" s="73">
        <f>SUM('Raw Data (KG)'!G54:V54)</f>
        <v>32182.010999999999</v>
      </c>
      <c r="E54" s="75">
        <f>'Raw Data (KG)'!W54</f>
        <v>3956</v>
      </c>
      <c r="F54" s="76">
        <f>'Raw Food Data (KG)'!Q15</f>
        <v>30100</v>
      </c>
      <c r="G54" s="75">
        <f>'Raw Data (KG)'!R54</f>
        <v>0</v>
      </c>
      <c r="H54" s="75">
        <f>'Raw Data (KG)'!S54</f>
        <v>0</v>
      </c>
      <c r="I54" s="77">
        <f>'Raw Data (KG)'!Q54</f>
        <v>0</v>
      </c>
      <c r="J54" s="75">
        <f>'Raw Data (KG)'!P54</f>
        <v>0</v>
      </c>
      <c r="K54" s="74">
        <f>'Raw Data (KG)'!H54+SUM('Raw Data (KG)'!J54:K54)+SUM('Raw Data (KG)'!M54:O54)+'Raw Data (KG)'!T54</f>
        <v>279.01100000000002</v>
      </c>
      <c r="L54" s="72">
        <f t="shared" si="1"/>
        <v>76467.021999999997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(KG)'!D55:D55)</f>
        <v>8410</v>
      </c>
      <c r="C55" s="75">
        <f>SUM('Raw Data (KG)'!E55:F55)</f>
        <v>150</v>
      </c>
      <c r="D55" s="73">
        <f>SUM('Raw Data (KG)'!G55:V55)</f>
        <v>34505.960000000006</v>
      </c>
      <c r="E55" s="75">
        <f>'Raw Data (KG)'!W55</f>
        <v>4858</v>
      </c>
      <c r="F55" s="76">
        <f>'Raw Food Data (KG)'!Q16</f>
        <v>30200</v>
      </c>
      <c r="G55" s="75">
        <f>'Raw Data (KG)'!R55</f>
        <v>0</v>
      </c>
      <c r="H55" s="75">
        <f>'Raw Data (KG)'!S55</f>
        <v>0</v>
      </c>
      <c r="I55" s="77">
        <f>'Raw Data (KG)'!Q55</f>
        <v>0</v>
      </c>
      <c r="J55" s="75">
        <f>'Raw Data (KG)'!P55</f>
        <v>0</v>
      </c>
      <c r="K55" s="74">
        <f>'Raw Data (KG)'!H55+SUM('Raw Data (KG)'!J55:K55)+SUM('Raw Data (KG)'!M55:O55)+'Raw Data (KG)'!T55</f>
        <v>378.90999999999997</v>
      </c>
      <c r="L55" s="72">
        <f t="shared" si="1"/>
        <v>78502.87000000001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(KG)'!D56:D56)</f>
        <v>9740</v>
      </c>
      <c r="C56" s="75">
        <f>SUM('Raw Data (KG)'!E56:F56)</f>
        <v>210</v>
      </c>
      <c r="D56" s="73">
        <f>SUM('Raw Data (KG)'!G56:V56)</f>
        <v>29204.3</v>
      </c>
      <c r="E56" s="75">
        <f>'Raw Data (KG)'!W56</f>
        <v>0</v>
      </c>
      <c r="F56" s="76">
        <f>'Raw Food Data (KG)'!Q17</f>
        <v>27975</v>
      </c>
      <c r="G56" s="75">
        <f>'Raw Data (KG)'!R56</f>
        <v>0</v>
      </c>
      <c r="H56" s="75">
        <f>'Raw Data (KG)'!S56</f>
        <v>0</v>
      </c>
      <c r="I56" s="77">
        <f>'Raw Data (KG)'!Q56</f>
        <v>0</v>
      </c>
      <c r="J56" s="75">
        <f>'Raw Data (KG)'!P56</f>
        <v>0</v>
      </c>
      <c r="K56" s="74">
        <f>'Raw Data (KG)'!H56+SUM('Raw Data (KG)'!J56:K56)+SUM('Raw Data (KG)'!M56:O56)+'Raw Data (KG)'!T56</f>
        <v>0</v>
      </c>
      <c r="L56" s="72">
        <f t="shared" si="1"/>
        <v>67129.3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(KG)'!D57:D57)</f>
        <v>7530</v>
      </c>
      <c r="C57" s="75">
        <f>SUM('Raw Data (KG)'!E57:F57)</f>
        <v>150</v>
      </c>
      <c r="D57" s="73">
        <f>SUM('Raw Data (KG)'!G57:V57)</f>
        <v>23638.3</v>
      </c>
      <c r="E57" s="75">
        <f>'Raw Data (KG)'!W57</f>
        <v>2040</v>
      </c>
      <c r="F57" s="76">
        <f>'Raw Food Data (KG)'!Q18</f>
        <v>21825</v>
      </c>
      <c r="G57" s="75">
        <f>'Raw Data (KG)'!R57</f>
        <v>0</v>
      </c>
      <c r="H57" s="75">
        <f>'Raw Data (KG)'!S57</f>
        <v>0</v>
      </c>
      <c r="I57" s="77">
        <f>'Raw Data (KG)'!Q57</f>
        <v>1300</v>
      </c>
      <c r="J57" s="75">
        <f>'Raw Data (KG)'!P57</f>
        <v>0</v>
      </c>
      <c r="K57" s="74">
        <f>'Raw Data (KG)'!H57+SUM('Raw Data (KG)'!J57:K57)+SUM('Raw Data (KG)'!M57:O57)+'Raw Data (KG)'!T57</f>
        <v>0</v>
      </c>
      <c r="L57" s="72">
        <f t="shared" si="1"/>
        <v>56483.3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(KG)'!D58:D58)</f>
        <v>9500</v>
      </c>
      <c r="C58" s="75">
        <f>SUM('Raw Data (KG)'!E58:F58)</f>
        <v>500</v>
      </c>
      <c r="D58" s="73">
        <f>SUM('Raw Data (KG)'!G58:V58)</f>
        <v>27680.7</v>
      </c>
      <c r="E58" s="75">
        <f>'Raw Data (KG)'!W58</f>
        <v>1740</v>
      </c>
      <c r="F58" s="76">
        <f>'Raw Food Data (KG)'!Q19</f>
        <v>25300</v>
      </c>
      <c r="G58" s="75">
        <f>'Raw Data (KG)'!R58</f>
        <v>0</v>
      </c>
      <c r="H58" s="75">
        <f>'Raw Data (KG)'!S58</f>
        <v>0</v>
      </c>
      <c r="I58" s="77">
        <f>'Raw Data (KG)'!Q58</f>
        <v>1500</v>
      </c>
      <c r="J58" s="75">
        <f>'Raw Data (KG)'!P58</f>
        <v>0</v>
      </c>
      <c r="K58" s="74">
        <f>'Raw Data (KG)'!H58+SUM('Raw Data (KG)'!J58:K58)+SUM('Raw Data (KG)'!M58:O58)+'Raw Data (KG)'!T58</f>
        <v>174.20000000000002</v>
      </c>
      <c r="L58" s="72">
        <f t="shared" si="1"/>
        <v>66394.899999999994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(KG)'!D59:D59)</f>
        <v>9790</v>
      </c>
      <c r="C59" s="75">
        <f>SUM('Raw Data (KG)'!E59:F59)</f>
        <v>170</v>
      </c>
      <c r="D59" s="73">
        <f>SUM('Raw Data (KG)'!G59:V59)</f>
        <v>30600.911</v>
      </c>
      <c r="E59" s="75">
        <f>'Raw Data (KG)'!W59</f>
        <v>1490</v>
      </c>
      <c r="F59" s="76">
        <f>'Raw Food Data (KG)'!Q20</f>
        <v>25225</v>
      </c>
      <c r="G59" s="75">
        <f>'Raw Data (KG)'!R59</f>
        <v>0</v>
      </c>
      <c r="H59" s="75">
        <f>'Raw Data (KG)'!S59</f>
        <v>3000</v>
      </c>
      <c r="I59" s="77">
        <f>'Raw Data (KG)'!Q59</f>
        <v>1300</v>
      </c>
      <c r="J59" s="75">
        <f>'Raw Data (KG)'!P59</f>
        <v>0</v>
      </c>
      <c r="K59" s="74">
        <f>'Raw Data (KG)'!H59+SUM('Raw Data (KG)'!J59:K59)+SUM('Raw Data (KG)'!M59:O59)+'Raw Data (KG)'!T59</f>
        <v>559.51099999999997</v>
      </c>
      <c r="L59" s="72">
        <f t="shared" si="1"/>
        <v>72135.421999999991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(KG)'!D60:D60)</f>
        <v>11580</v>
      </c>
      <c r="C60" s="75">
        <f>SUM('Raw Data (KG)'!E60:F60)</f>
        <v>170</v>
      </c>
      <c r="D60" s="73">
        <f>SUM('Raw Data (KG)'!G60:V60)</f>
        <v>53400</v>
      </c>
      <c r="E60" s="75">
        <f>'Raw Data (KG)'!W60</f>
        <v>0</v>
      </c>
      <c r="F60" s="76">
        <f>'Raw Food Data (KG)'!Q21</f>
        <v>37200</v>
      </c>
      <c r="G60" s="75">
        <f>'Raw Data (KG)'!R60</f>
        <v>0</v>
      </c>
      <c r="H60" s="75">
        <f>'Raw Data (KG)'!S60</f>
        <v>12000</v>
      </c>
      <c r="I60" s="77">
        <f>'Raw Data (KG)'!Q60</f>
        <v>3400.0000000000005</v>
      </c>
      <c r="J60" s="75">
        <f>'Raw Data (KG)'!P60</f>
        <v>0</v>
      </c>
      <c r="K60" s="74">
        <f>'Raw Data (KG)'!H60+SUM('Raw Data (KG)'!J60:K60)+SUM('Raw Data (KG)'!M60:O60)+'Raw Data (KG)'!T60</f>
        <v>0</v>
      </c>
      <c r="L60" s="72">
        <f t="shared" si="1"/>
        <v>117750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(KG)'!D61:D61)</f>
        <v>10110</v>
      </c>
      <c r="C61" s="75">
        <f>SUM('Raw Data (KG)'!E61:F61)</f>
        <v>210</v>
      </c>
      <c r="D61" s="73">
        <f>SUM('Raw Data (KG)'!G61:V61)</f>
        <v>78853.649999999994</v>
      </c>
      <c r="E61" s="75">
        <f>'Raw Data (KG)'!W61</f>
        <v>3470</v>
      </c>
      <c r="F61" s="76">
        <f>'Raw Food Data (KG)'!Q22</f>
        <v>27900</v>
      </c>
      <c r="G61" s="75">
        <f>'Raw Data (KG)'!R61</f>
        <v>0</v>
      </c>
      <c r="H61" s="75">
        <f>'Raw Data (KG)'!S61</f>
        <v>6000</v>
      </c>
      <c r="I61" s="77">
        <f>'Raw Data (KG)'!Q61</f>
        <v>40370</v>
      </c>
      <c r="J61" s="75">
        <f>'Raw Data (KG)'!P61</f>
        <v>0</v>
      </c>
      <c r="K61" s="74">
        <f>'Raw Data (KG)'!H61+SUM('Raw Data (KG)'!J61:K61)+SUM('Raw Data (KG)'!M61:O61)+'Raw Data (KG)'!T61</f>
        <v>0</v>
      </c>
      <c r="L61" s="72">
        <f t="shared" si="1"/>
        <v>166913.65</v>
      </c>
      <c r="M61" s="150">
        <f>SUM(L50:L61)</f>
        <v>918439.65800000005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(KG)'!D62:D62)</f>
        <v>11130</v>
      </c>
      <c r="C62" s="9">
        <f>SUM('Raw Data (KG)'!E62:F62)</f>
        <v>260</v>
      </c>
      <c r="D62" s="8">
        <f>SUM('Raw Data (KG)'!G62:V62)</f>
        <v>31570.799999999999</v>
      </c>
      <c r="E62" s="9">
        <f>'Raw Data (KG)'!W62</f>
        <v>0</v>
      </c>
      <c r="F62" s="7">
        <f>'Raw Food Data (KG)'!Q23</f>
        <v>25675</v>
      </c>
      <c r="G62" s="9">
        <f>'Raw Data (KG)'!R62</f>
        <v>0</v>
      </c>
      <c r="H62" s="9">
        <f>'Raw Data (KG)'!S62</f>
        <v>5000</v>
      </c>
      <c r="I62" s="352">
        <f>'Raw Data (KG)'!Q62</f>
        <v>0</v>
      </c>
      <c r="J62" s="9">
        <f>'Raw Data (KG)'!P62</f>
        <v>0</v>
      </c>
      <c r="K62" s="62">
        <f>'Raw Data (KG)'!H62+SUM('Raw Data (KG)'!J62:K62)+SUM('Raw Data (KG)'!M62:O62)+'Raw Data (KG)'!T62</f>
        <v>134</v>
      </c>
      <c r="L62" s="15">
        <f t="shared" si="1"/>
        <v>73769.8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(KG)'!D63:D63)</f>
        <v>10170</v>
      </c>
      <c r="C63" s="9">
        <f>SUM('Raw Data (KG)'!E63:F63)</f>
        <v>310</v>
      </c>
      <c r="D63" s="8">
        <f>SUM('Raw Data (KG)'!G63:V63)</f>
        <v>28551.4</v>
      </c>
      <c r="E63" s="9">
        <f>'Raw Data (KG)'!W63</f>
        <v>2620</v>
      </c>
      <c r="F63" s="7">
        <f>'Raw Food Data (KG)'!Q24</f>
        <v>16633.900000000001</v>
      </c>
      <c r="G63" s="9">
        <f>'Raw Data (KG)'!R63</f>
        <v>0</v>
      </c>
      <c r="H63" s="9">
        <f>'Raw Data (KG)'!S63</f>
        <v>3500</v>
      </c>
      <c r="I63" s="352">
        <f>'Raw Data (KG)'!Q63</f>
        <v>7200</v>
      </c>
      <c r="J63" s="9">
        <f>'Raw Data (KG)'!P63</f>
        <v>582</v>
      </c>
      <c r="K63" s="62">
        <f>'Raw Data (KG)'!H63+SUM('Raw Data (KG)'!J63:K63)+SUM('Raw Data (KG)'!M63:O63)+'Raw Data (KG)'!T63</f>
        <v>0</v>
      </c>
      <c r="L63" s="15">
        <f t="shared" si="1"/>
        <v>69567.3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(KG)'!D64:D64)</f>
        <v>9110</v>
      </c>
      <c r="C64" s="9">
        <f>SUM('Raw Data (KG)'!E64:F64)</f>
        <v>270</v>
      </c>
      <c r="D64" s="8">
        <f>SUM('Raw Data (KG)'!G64:V64)</f>
        <v>76596.695999999996</v>
      </c>
      <c r="E64" s="9">
        <f>'Raw Data (KG)'!W64</f>
        <v>845</v>
      </c>
      <c r="F64" s="7">
        <f>'Raw Food Data (KG)'!Q25</f>
        <v>18194.05</v>
      </c>
      <c r="G64" s="9">
        <f>'Raw Data (KG)'!R64</f>
        <v>7680</v>
      </c>
      <c r="H64" s="9">
        <f>'Raw Data (KG)'!S64</f>
        <v>45500</v>
      </c>
      <c r="I64" s="352">
        <f>'Raw Data (KG)'!Q64</f>
        <v>3800</v>
      </c>
      <c r="J64" s="9">
        <f>'Raw Data (KG)'!P64</f>
        <v>0</v>
      </c>
      <c r="K64" s="62">
        <f>'Raw Data (KG)'!H64+SUM('Raw Data (KG)'!J64:K64)+SUM('Raw Data (KG)'!M64:O64)+'Raw Data (KG)'!T64</f>
        <v>159.64600000000002</v>
      </c>
      <c r="L64" s="15">
        <f t="shared" si="1"/>
        <v>162155.39199999999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(KG)'!D65:D65)</f>
        <v>7540</v>
      </c>
      <c r="C65" s="9">
        <f>SUM('Raw Data (KG)'!E65:F65)</f>
        <v>190</v>
      </c>
      <c r="D65" s="8">
        <f>SUM('Raw Data (KG)'!G65:V65)</f>
        <v>38396.949999999997</v>
      </c>
      <c r="E65" s="9">
        <f>'Raw Data (KG)'!W65</f>
        <v>1663</v>
      </c>
      <c r="F65" s="7">
        <f>'Raw Food Data (KG)'!Q26</f>
        <v>26058</v>
      </c>
      <c r="G65" s="9">
        <f>'Raw Data (KG)'!R65</f>
        <v>7680</v>
      </c>
      <c r="H65" s="9">
        <f>'Raw Data (KG)'!S65</f>
        <v>0</v>
      </c>
      <c r="I65" s="352">
        <f>'Raw Data (KG)'!Q65</f>
        <v>2700</v>
      </c>
      <c r="J65" s="9">
        <f>'Raw Data (KG)'!P65</f>
        <v>340.5</v>
      </c>
      <c r="K65" s="62">
        <f>'Raw Data (KG)'!H65+SUM('Raw Data (KG)'!J65:K65)+SUM('Raw Data (KG)'!M65:O65)+'Raw Data (KG)'!T65</f>
        <v>0</v>
      </c>
      <c r="L65" s="15">
        <f t="shared" si="1"/>
        <v>84568.45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(KG)'!D66:D66)</f>
        <v>7720</v>
      </c>
      <c r="C66" s="9">
        <f>SUM('Raw Data (KG)'!E66:F66)</f>
        <v>170</v>
      </c>
      <c r="D66" s="8">
        <f>SUM('Raw Data (KG)'!G66:V66)</f>
        <v>64057.599000000002</v>
      </c>
      <c r="E66" s="9">
        <f>'Raw Data (KG)'!W66</f>
        <v>812</v>
      </c>
      <c r="F66" s="7">
        <f>'Raw Food Data (KG)'!Q27</f>
        <v>28892.5</v>
      </c>
      <c r="G66" s="9">
        <f>'Raw Data (KG)'!R66</f>
        <v>7680</v>
      </c>
      <c r="H66" s="9">
        <f>'Raw Data (KG)'!S66</f>
        <v>21000</v>
      </c>
      <c r="I66" s="352">
        <f>'Raw Data (KG)'!Q66</f>
        <v>3700</v>
      </c>
      <c r="J66" s="9">
        <f>'Raw Data (KG)'!P66</f>
        <v>1179</v>
      </c>
      <c r="K66" s="62">
        <f>'Raw Data (KG)'!H66+SUM('Raw Data (KG)'!J66:K66)+SUM('Raw Data (KG)'!M66:O66)+'Raw Data (KG)'!T66</f>
        <v>260.44900000000001</v>
      </c>
      <c r="L66" s="15">
        <f t="shared" ref="L66:L97" si="2">SUM(B66:K66)</f>
        <v>135471.54799999998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(KG)'!D67:D67)</f>
        <v>7080</v>
      </c>
      <c r="C67" s="9">
        <f>SUM('Raw Data (KG)'!E67:F67)</f>
        <v>120</v>
      </c>
      <c r="D67" s="8">
        <f>SUM('Raw Data (KG)'!G67:V67)</f>
        <v>94829.58600000001</v>
      </c>
      <c r="E67" s="9">
        <f>'Raw Data (KG)'!W67</f>
        <v>2191</v>
      </c>
      <c r="F67" s="7">
        <f>'Raw Food Data (KG)'!Q28</f>
        <v>24534.5</v>
      </c>
      <c r="G67" s="9">
        <f>'Raw Data (KG)'!R67</f>
        <v>7680</v>
      </c>
      <c r="H67" s="9">
        <f>'Raw Data (KG)'!S67</f>
        <v>28000</v>
      </c>
      <c r="I67" s="352">
        <f>'Raw Data (KG)'!Q67</f>
        <v>32700.000000000004</v>
      </c>
      <c r="J67" s="9">
        <f>'Raw Data (KG)'!P67</f>
        <v>0</v>
      </c>
      <c r="K67" s="62">
        <f>'Raw Data (KG)'!H67+SUM('Raw Data (KG)'!J67:K67)+SUM('Raw Data (KG)'!M67:O67)+'Raw Data (KG)'!T67</f>
        <v>248.08600000000001</v>
      </c>
      <c r="L67" s="15">
        <f t="shared" si="2"/>
        <v>197383.17200000002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(KG)'!D68:D68)</f>
        <v>9880</v>
      </c>
      <c r="C68" s="9">
        <f>SUM('Raw Data (KG)'!E68:F68)</f>
        <v>170</v>
      </c>
      <c r="D68" s="8">
        <f>SUM('Raw Data (KG)'!G68:V68)</f>
        <v>77277</v>
      </c>
      <c r="E68" s="9">
        <f>'Raw Data (KG)'!W68</f>
        <v>1388</v>
      </c>
      <c r="F68" s="7">
        <f>'Raw Food Data (KG)'!Q29</f>
        <v>21757.5</v>
      </c>
      <c r="G68" s="9">
        <f>'Raw Data (KG)'!R68</f>
        <v>7680</v>
      </c>
      <c r="H68" s="9">
        <f>'Raw Data (KG)'!S68</f>
        <v>38500</v>
      </c>
      <c r="I68" s="352">
        <f>'Raw Data (KG)'!Q68</f>
        <v>7800</v>
      </c>
      <c r="J68" s="9">
        <f>'Raw Data (KG)'!P68</f>
        <v>850</v>
      </c>
      <c r="K68" s="62">
        <f>'Raw Data (KG)'!H68+SUM('Raw Data (KG)'!J68:K68)+SUM('Raw Data (KG)'!M68:O68)+'Raw Data (KG)'!T68</f>
        <v>0</v>
      </c>
      <c r="L68" s="15">
        <f t="shared" si="2"/>
        <v>165302.5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(KG)'!D69:D69)</f>
        <v>7000</v>
      </c>
      <c r="C69" s="9">
        <f>SUM('Raw Data (KG)'!E69:F69)</f>
        <v>160</v>
      </c>
      <c r="D69" s="8">
        <f>SUM('Raw Data (KG)'!G69:V69)</f>
        <v>34939.695</v>
      </c>
      <c r="E69" s="9">
        <f>'Raw Data (KG)'!W69</f>
        <v>1172</v>
      </c>
      <c r="F69" s="7">
        <f>'Raw Food Data (KG)'!Q30</f>
        <v>24584.5</v>
      </c>
      <c r="G69" s="9">
        <f>'Raw Data (KG)'!R69</f>
        <v>7680</v>
      </c>
      <c r="H69" s="9">
        <f>'Raw Data (KG)'!S69</f>
        <v>0</v>
      </c>
      <c r="I69" s="352">
        <f>'Raw Data (KG)'!Q69</f>
        <v>1900</v>
      </c>
      <c r="J69" s="9">
        <f>'Raw Data (KG)'!P69</f>
        <v>0</v>
      </c>
      <c r="K69" s="62">
        <f>'Raw Data (KG)'!H69+SUM('Raw Data (KG)'!J69:K69)+SUM('Raw Data (KG)'!M69:O69)+'Raw Data (KG)'!T69</f>
        <v>87.694999999999993</v>
      </c>
      <c r="L69" s="15">
        <f t="shared" si="2"/>
        <v>77523.890000000014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(KG)'!D70:D70)</f>
        <v>9520</v>
      </c>
      <c r="C70" s="9">
        <f>SUM('Raw Data (KG)'!E70:F70)</f>
        <v>180</v>
      </c>
      <c r="D70" s="8">
        <f>SUM('Raw Data (KG)'!G70:V70)</f>
        <v>38235</v>
      </c>
      <c r="E70" s="9">
        <f>'Raw Data (KG)'!W70</f>
        <v>1793</v>
      </c>
      <c r="F70" s="7">
        <f>'Raw Food Data (KG)'!Q31</f>
        <v>30930.5</v>
      </c>
      <c r="G70" s="9">
        <f>'Raw Data (KG)'!R70</f>
        <v>0</v>
      </c>
      <c r="H70" s="9">
        <f>'Raw Data (KG)'!S70</f>
        <v>3500</v>
      </c>
      <c r="I70" s="352">
        <f>'Raw Data (KG)'!Q70</f>
        <v>2500</v>
      </c>
      <c r="J70" s="9">
        <f>'Raw Data (KG)'!P70</f>
        <v>0</v>
      </c>
      <c r="K70" s="62">
        <f>'Raw Data (KG)'!H70+SUM('Raw Data (KG)'!J70:K70)+SUM('Raw Data (KG)'!M70:O70)+'Raw Data (KG)'!T70</f>
        <v>60.300000000000004</v>
      </c>
      <c r="L70" s="15">
        <f t="shared" si="2"/>
        <v>86718.8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(KG)'!D71:D71)</f>
        <v>8220</v>
      </c>
      <c r="C71" s="9">
        <f>SUM('Raw Data (KG)'!E71:F71)</f>
        <v>160</v>
      </c>
      <c r="D71" s="8">
        <f>SUM('Raw Data (KG)'!G71:V71)</f>
        <v>41850.76</v>
      </c>
      <c r="E71" s="9">
        <f>'Raw Data (KG)'!W71</f>
        <v>1845</v>
      </c>
      <c r="F71" s="7">
        <f>'Raw Food Data (KG)'!Q32</f>
        <v>32534.5</v>
      </c>
      <c r="G71" s="9">
        <f>'Raw Data (KG)'!R71</f>
        <v>0</v>
      </c>
      <c r="H71" s="9">
        <f>'Raw Data (KG)'!S71</f>
        <v>0</v>
      </c>
      <c r="I71" s="352">
        <f>'Raw Data (KG)'!Q71</f>
        <v>7800</v>
      </c>
      <c r="J71" s="9">
        <f>'Raw Data (KG)'!P71</f>
        <v>0</v>
      </c>
      <c r="K71" s="62">
        <f>'Raw Data (KG)'!H71+SUM('Raw Data (KG)'!J71:K71)+SUM('Raw Data (KG)'!M71:O71)+'Raw Data (KG)'!T71</f>
        <v>93.26</v>
      </c>
      <c r="L71" s="15">
        <f t="shared" si="2"/>
        <v>92503.52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(KG)'!D72:D72)</f>
        <v>6735</v>
      </c>
      <c r="C72" s="9">
        <f>SUM('Raw Data (KG)'!E72:F72)</f>
        <v>140</v>
      </c>
      <c r="D72" s="8">
        <f>SUM('Raw Data (KG)'!G72:V72)</f>
        <v>56293.690999999999</v>
      </c>
      <c r="E72" s="9">
        <f>'Raw Data (KG)'!W72</f>
        <v>1356</v>
      </c>
      <c r="F72" s="7">
        <f>'Raw Food Data (KG)'!Q33</f>
        <v>31664</v>
      </c>
      <c r="G72" s="9">
        <f>'Raw Data (KG)'!R72</f>
        <v>0</v>
      </c>
      <c r="H72" s="9">
        <f>'Raw Data (KG)'!S72</f>
        <v>0</v>
      </c>
      <c r="I72" s="352">
        <f>'Raw Data (KG)'!Q72</f>
        <v>10400</v>
      </c>
      <c r="J72" s="9">
        <f>'Raw Data (KG)'!P72</f>
        <v>1504.5</v>
      </c>
      <c r="K72" s="62">
        <f>'Raw Data (KG)'!H72+SUM('Raw Data (KG)'!J72:K72)+SUM('Raw Data (KG)'!M72:O72)+'Raw Data (KG)'!T72</f>
        <v>1.841</v>
      </c>
      <c r="L72" s="15">
        <f t="shared" si="2"/>
        <v>108095.03199999999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(KG)'!D73:D73)</f>
        <v>7100</v>
      </c>
      <c r="C73" s="9">
        <f>SUM('Raw Data (KG)'!E73:F73)</f>
        <v>170</v>
      </c>
      <c r="D73" s="8">
        <f>SUM('Raw Data (KG)'!G73:V73)</f>
        <v>35671.300000000003</v>
      </c>
      <c r="E73" s="9">
        <f>'Raw Data (KG)'!W73</f>
        <v>2613</v>
      </c>
      <c r="F73" s="7">
        <f>'Raw Food Data (KG)'!Q34</f>
        <v>23162.5</v>
      </c>
      <c r="G73" s="9">
        <f>'Raw Data (KG)'!R73</f>
        <v>0</v>
      </c>
      <c r="H73" s="9">
        <f>'Raw Data (KG)'!S73</f>
        <v>0</v>
      </c>
      <c r="I73" s="352">
        <f>'Raw Data (KG)'!Q73</f>
        <v>11000</v>
      </c>
      <c r="J73" s="9">
        <f>'Raw Data (KG)'!P73</f>
        <v>0</v>
      </c>
      <c r="K73" s="62">
        <f>'Raw Data (KG)'!H73+SUM('Raw Data (KG)'!J73:K73)+SUM('Raw Data (KG)'!M73:O73)+'Raw Data (KG)'!T73</f>
        <v>0</v>
      </c>
      <c r="L73" s="15">
        <f t="shared" si="2"/>
        <v>79716.800000000003</v>
      </c>
      <c r="M73" s="150">
        <f>SUM(L62:L73)</f>
        <v>1332776.2039999999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(KG)'!D74:D74)</f>
        <v>12152</v>
      </c>
      <c r="C74" s="75">
        <f>SUM('Raw Data (KG)'!E74:F74)</f>
        <v>523</v>
      </c>
      <c r="D74" s="73">
        <f>SUM('Raw Data (KG)'!G74:V74)</f>
        <v>42357.107000000004</v>
      </c>
      <c r="E74" s="75">
        <f>'Raw Data (KG)'!W74</f>
        <v>1388</v>
      </c>
      <c r="F74" s="76">
        <f>'Raw Food Data (KG)'!Q35</f>
        <v>19566</v>
      </c>
      <c r="G74" s="75">
        <f>'Raw Data (KG)'!R74</f>
        <v>0</v>
      </c>
      <c r="H74" s="75">
        <f>'Raw Data (KG)'!S74</f>
        <v>0</v>
      </c>
      <c r="I74" s="77">
        <f>'Raw Data (KG)'!Q74</f>
        <v>19200</v>
      </c>
      <c r="J74" s="75">
        <f>'Raw Data (KG)'!P74</f>
        <v>0</v>
      </c>
      <c r="K74" s="74">
        <f>'Raw Data (KG)'!H74+SUM('Raw Data (KG)'!J74:K74)+SUM('Raw Data (KG)'!M74:O74)+'Raw Data (KG)'!T74</f>
        <v>95.106999999999999</v>
      </c>
      <c r="L74" s="72">
        <f t="shared" si="2"/>
        <v>95281.214000000007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(KG)'!D75:D75)</f>
        <v>5646</v>
      </c>
      <c r="C75" s="75">
        <f>SUM('Raw Data (KG)'!E75:F75)</f>
        <v>318</v>
      </c>
      <c r="D75" s="73">
        <f>SUM('Raw Data (KG)'!G75:V75)</f>
        <v>54666.299999999996</v>
      </c>
      <c r="E75" s="75">
        <f>'Raw Data (KG)'!W75</f>
        <v>2411</v>
      </c>
      <c r="F75" s="76">
        <f>'Raw Food Data (KG)'!Q36</f>
        <v>24598</v>
      </c>
      <c r="G75" s="75">
        <f>'Raw Data (KG)'!R75</f>
        <v>0</v>
      </c>
      <c r="H75" s="75">
        <f>'Raw Data (KG)'!S75</f>
        <v>0</v>
      </c>
      <c r="I75" s="77">
        <f>'Raw Data (KG)'!Q75</f>
        <v>25600</v>
      </c>
      <c r="J75" s="75">
        <f>'Raw Data (KG)'!P75</f>
        <v>0</v>
      </c>
      <c r="K75" s="74">
        <f>'Raw Data (KG)'!H75+SUM('Raw Data (KG)'!J75:K75)+SUM('Raw Data (KG)'!M75:O75)+'Raw Data (KG)'!T75</f>
        <v>0</v>
      </c>
      <c r="L75" s="72">
        <f t="shared" si="2"/>
        <v>113239.29999999999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(KG)'!D76:D76)</f>
        <v>10805</v>
      </c>
      <c r="C76" s="75">
        <f>SUM('Raw Data (KG)'!E76:F76)</f>
        <v>252</v>
      </c>
      <c r="D76" s="73">
        <f>SUM('Raw Data (KG)'!G76:V76)</f>
        <v>96406.28899999999</v>
      </c>
      <c r="E76" s="75">
        <f>'Raw Data (KG)'!W76</f>
        <v>2352</v>
      </c>
      <c r="F76" s="76">
        <f>'Raw Food Data (KG)'!Q37</f>
        <v>34879.5</v>
      </c>
      <c r="G76" s="75">
        <f>'Raw Data (KG)'!R76</f>
        <v>10560</v>
      </c>
      <c r="H76" s="75">
        <f>'Raw Data (KG)'!S76</f>
        <v>17500</v>
      </c>
      <c r="I76" s="77">
        <f>'Raw Data (KG)'!Q76</f>
        <v>24100</v>
      </c>
      <c r="J76" s="75">
        <f>'Raw Data (KG)'!P76</f>
        <v>852</v>
      </c>
      <c r="K76" s="74">
        <f>'Raw Data (KG)'!H76+SUM('Raw Data (KG)'!J76:K76)+SUM('Raw Data (KG)'!M76:O76)+'Raw Data (KG)'!T76</f>
        <v>71.13900000000001</v>
      </c>
      <c r="L76" s="72">
        <f t="shared" si="2"/>
        <v>197777.92799999999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(KG)'!D77:D77)</f>
        <v>14330</v>
      </c>
      <c r="C77" s="75">
        <f>SUM('Raw Data (KG)'!E77:F77)</f>
        <v>286</v>
      </c>
      <c r="D77" s="73">
        <f>SUM('Raw Data (KG)'!G77:V77)</f>
        <v>74453.78</v>
      </c>
      <c r="E77" s="75">
        <f>'Raw Data (KG)'!W77</f>
        <v>2259</v>
      </c>
      <c r="F77" s="76">
        <f>'Raw Food Data (KG)'!Q38</f>
        <v>37724</v>
      </c>
      <c r="G77" s="75">
        <f>'Raw Data (KG)'!R77</f>
        <v>10560</v>
      </c>
      <c r="H77" s="75">
        <f>'Raw Data (KG)'!S77</f>
        <v>10500</v>
      </c>
      <c r="I77" s="77">
        <f>'Raw Data (KG)'!Q77</f>
        <v>14400</v>
      </c>
      <c r="J77" s="75">
        <f>'Raw Data (KG)'!P77</f>
        <v>0</v>
      </c>
      <c r="K77" s="74">
        <f>'Raw Data (KG)'!H77+SUM('Raw Data (KG)'!J77:K77)+SUM('Raw Data (KG)'!M77:O77)+'Raw Data (KG)'!T77</f>
        <v>95.78</v>
      </c>
      <c r="L77" s="72">
        <f t="shared" si="2"/>
        <v>164608.56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(KG)'!D78:D78)</f>
        <v>12030</v>
      </c>
      <c r="C78" s="75">
        <f>SUM('Raw Data (KG)'!E78:F78)</f>
        <v>327</v>
      </c>
      <c r="D78" s="73">
        <f>SUM('Raw Data (KG)'!G78:V78)</f>
        <v>65085.5</v>
      </c>
      <c r="E78" s="75">
        <f>'Raw Data (KG)'!W78</f>
        <v>542</v>
      </c>
      <c r="F78" s="76">
        <f>'Raw Food Data (KG)'!Q39</f>
        <v>27265.5</v>
      </c>
      <c r="G78" s="75">
        <f>'Raw Data (KG)'!R78</f>
        <v>10240</v>
      </c>
      <c r="H78" s="75">
        <f>'Raw Data (KG)'!S78</f>
        <v>14000</v>
      </c>
      <c r="I78" s="77">
        <f>'Raw Data (KG)'!Q78</f>
        <v>10500</v>
      </c>
      <c r="J78" s="75">
        <f>'Raw Data (KG)'!P78</f>
        <v>0</v>
      </c>
      <c r="K78" s="74">
        <f>'Raw Data (KG)'!H78+SUM('Raw Data (KG)'!J78:K78)+SUM('Raw Data (KG)'!M78:O78)+'Raw Data (KG)'!T78</f>
        <v>67.050000000000011</v>
      </c>
      <c r="L78" s="72">
        <f t="shared" si="2"/>
        <v>140057.04999999999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(KG)'!D79:D79)</f>
        <v>13715</v>
      </c>
      <c r="C79" s="75">
        <f>SUM('Raw Data (KG)'!E79:F79)</f>
        <v>291</v>
      </c>
      <c r="D79" s="73">
        <f>SUM('Raw Data (KG)'!G79:V79)</f>
        <v>76045.5</v>
      </c>
      <c r="E79" s="75">
        <f>'Raw Data (KG)'!W79</f>
        <v>874</v>
      </c>
      <c r="F79" s="76">
        <f>'Raw Food Data (KG)'!Q40</f>
        <v>28071.5</v>
      </c>
      <c r="G79" s="75">
        <f>'Raw Data (KG)'!R79</f>
        <v>10240</v>
      </c>
      <c r="H79" s="75">
        <f>'Raw Data (KG)'!S79</f>
        <v>24500</v>
      </c>
      <c r="I79" s="77">
        <f>'Raw Data (KG)'!Q79</f>
        <v>10100</v>
      </c>
      <c r="J79" s="75">
        <f>'Raw Data (KG)'!P79</f>
        <v>1746.5</v>
      </c>
      <c r="K79" s="74">
        <f>'Raw Data (KG)'!H79+SUM('Raw Data (KG)'!J79:K79)+SUM('Raw Data (KG)'!M79:O79)+'Raw Data (KG)'!T79</f>
        <v>55.150000000000006</v>
      </c>
      <c r="L79" s="72">
        <f t="shared" si="2"/>
        <v>165638.65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(KG)'!D80:D80)</f>
        <v>12753</v>
      </c>
      <c r="C80" s="75">
        <f>SUM('Raw Data (KG)'!E80:F80)</f>
        <v>294</v>
      </c>
      <c r="D80" s="73">
        <f>SUM('Raw Data (KG)'!G80:V80)</f>
        <v>62469.35</v>
      </c>
      <c r="E80" s="75">
        <f>'Raw Data (KG)'!W80</f>
        <v>0</v>
      </c>
      <c r="F80" s="76">
        <f>'Raw Food Data (KG)'!Q41</f>
        <v>23781.5</v>
      </c>
      <c r="G80" s="75">
        <f>'Raw Data (KG)'!R80</f>
        <v>5120</v>
      </c>
      <c r="H80" s="75">
        <f>'Raw Data (KG)'!S80</f>
        <v>21000</v>
      </c>
      <c r="I80" s="77">
        <f>'Raw Data (KG)'!Q80</f>
        <v>11200</v>
      </c>
      <c r="J80" s="75">
        <f>'Raw Data (KG)'!P80</f>
        <v>0</v>
      </c>
      <c r="K80" s="74">
        <f>'Raw Data (KG)'!H80+SUM('Raw Data (KG)'!J80:K80)+SUM('Raw Data (KG)'!M80:O80)+'Raw Data (KG)'!T80</f>
        <v>0</v>
      </c>
      <c r="L80" s="72">
        <f t="shared" si="2"/>
        <v>136617.85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(KG)'!D81:D81)</f>
        <v>7410</v>
      </c>
      <c r="C81" s="75">
        <f>SUM('Raw Data (KG)'!E81:F81)</f>
        <v>220</v>
      </c>
      <c r="D81" s="73">
        <f>SUM('Raw Data (KG)'!G81:V81)</f>
        <v>47255.4</v>
      </c>
      <c r="E81" s="75">
        <f>'Raw Data (KG)'!W81</f>
        <v>0</v>
      </c>
      <c r="F81" s="76">
        <f>'Raw Food Data (KG)'!Q42</f>
        <v>11633.5</v>
      </c>
      <c r="G81" s="75">
        <f>'Raw Data (KG)'!R81</f>
        <v>6400</v>
      </c>
      <c r="H81" s="75">
        <f>'Raw Data (KG)'!S81</f>
        <v>21000</v>
      </c>
      <c r="I81" s="77">
        <f>'Raw Data (KG)'!Q81</f>
        <v>7900</v>
      </c>
      <c r="J81" s="75">
        <f>'Raw Data (KG)'!P81</f>
        <v>0</v>
      </c>
      <c r="K81" s="74">
        <f>'Raw Data (KG)'!H81+SUM('Raw Data (KG)'!J81:K81)+SUM('Raw Data (KG)'!M81:O81)+'Raw Data (KG)'!T81</f>
        <v>0</v>
      </c>
      <c r="L81" s="72">
        <f t="shared" si="2"/>
        <v>101818.9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(KG)'!D82:D82)</f>
        <v>10071</v>
      </c>
      <c r="C82" s="75">
        <f>SUM('Raw Data (KG)'!E82:F82)</f>
        <v>288</v>
      </c>
      <c r="D82" s="73">
        <f>SUM('Raw Data (KG)'!G82:V82)</f>
        <v>50210.6</v>
      </c>
      <c r="E82" s="75">
        <f>'Raw Data (KG)'!W82</f>
        <v>1020</v>
      </c>
      <c r="F82" s="76">
        <f>'Raw Food Data (KG)'!Q43</f>
        <v>13782.5</v>
      </c>
      <c r="G82" s="75">
        <f>'Raw Data (KG)'!R82</f>
        <v>4800</v>
      </c>
      <c r="H82" s="75">
        <f>'Raw Data (KG)'!S82</f>
        <v>21000</v>
      </c>
      <c r="I82" s="77">
        <f>'Raw Data (KG)'!Q82</f>
        <v>10000</v>
      </c>
      <c r="J82" s="75">
        <f>'Raw Data (KG)'!P82</f>
        <v>0</v>
      </c>
      <c r="K82" s="74">
        <f>'Raw Data (KG)'!H82+SUM('Raw Data (KG)'!J82:K82)+SUM('Raw Data (KG)'!M82:O82)+'Raw Data (KG)'!T82</f>
        <v>0</v>
      </c>
      <c r="L82" s="72">
        <f t="shared" si="2"/>
        <v>111172.1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(KG)'!D83:D83)</f>
        <v>8981</v>
      </c>
      <c r="C83" s="75">
        <f>SUM('Raw Data (KG)'!E83:F83)</f>
        <v>281</v>
      </c>
      <c r="D83" s="73">
        <f>SUM('Raw Data (KG)'!G83:V83)</f>
        <v>46873</v>
      </c>
      <c r="E83" s="75">
        <f>'Raw Data (KG)'!W83</f>
        <v>0</v>
      </c>
      <c r="F83" s="76">
        <f>'Raw Food Data (KG)'!Q44</f>
        <v>11779</v>
      </c>
      <c r="G83" s="75">
        <f>'Raw Data (KG)'!R83</f>
        <v>4800</v>
      </c>
      <c r="H83" s="75">
        <f>'Raw Data (KG)'!S83</f>
        <v>24500</v>
      </c>
      <c r="I83" s="77">
        <f>'Raw Data (KG)'!Q83</f>
        <v>5200</v>
      </c>
      <c r="J83" s="75">
        <f>'Raw Data (KG)'!P83</f>
        <v>0</v>
      </c>
      <c r="K83" s="74">
        <f>'Raw Data (KG)'!H83+SUM('Raw Data (KG)'!J83:K83)+SUM('Raw Data (KG)'!M83:O83)+'Raw Data (KG)'!T83</f>
        <v>0</v>
      </c>
      <c r="L83" s="72">
        <f t="shared" si="2"/>
        <v>102414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(KG)'!D84:D84)</f>
        <v>9906</v>
      </c>
      <c r="C84" s="75">
        <f>SUM('Raw Data (KG)'!E84:F84)</f>
        <v>1819</v>
      </c>
      <c r="D84" s="73">
        <f>SUM('Raw Data (KG)'!G84:V84)</f>
        <v>63892.188999999998</v>
      </c>
      <c r="E84" s="75">
        <f>'Raw Data (KG)'!W84</f>
        <v>863</v>
      </c>
      <c r="F84" s="76">
        <f>'Raw Food Data (KG)'!Q45</f>
        <v>15765</v>
      </c>
      <c r="G84" s="75">
        <f>'Raw Data (KG)'!R84</f>
        <v>6400</v>
      </c>
      <c r="H84" s="75">
        <f>'Raw Data (KG)'!S84</f>
        <v>28000</v>
      </c>
      <c r="I84" s="77">
        <f>'Raw Data (KG)'!Q84</f>
        <v>11500</v>
      </c>
      <c r="J84" s="75">
        <f>'Raw Data (KG)'!P84</f>
        <v>729</v>
      </c>
      <c r="K84" s="74">
        <f>'Raw Data (KG)'!H84+SUM('Raw Data (KG)'!J84:K84)+SUM('Raw Data (KG)'!M84:O84)+'Raw Data (KG)'!T84</f>
        <v>120.03900000000002</v>
      </c>
      <c r="L84" s="72">
        <f t="shared" si="2"/>
        <v>138994.228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(KG)'!D85:D85)</f>
        <v>12620</v>
      </c>
      <c r="C85" s="75">
        <f>SUM('Raw Data (KG)'!E85:F85)</f>
        <v>2352</v>
      </c>
      <c r="D85" s="73">
        <f>SUM('Raw Data (KG)'!G85:V85)</f>
        <v>63949.62</v>
      </c>
      <c r="E85" s="75">
        <f>'Raw Data (KG)'!W85</f>
        <v>982</v>
      </c>
      <c r="F85" s="76">
        <f>'Raw Food Data (KG)'!Q46</f>
        <v>20002.000000000004</v>
      </c>
      <c r="G85" s="75">
        <f>'Raw Data (KG)'!R85</f>
        <v>6400</v>
      </c>
      <c r="H85" s="75">
        <f>'Raw Data (KG)'!S85</f>
        <v>28000</v>
      </c>
      <c r="I85" s="77">
        <f>'Raw Data (KG)'!Q85</f>
        <v>7200</v>
      </c>
      <c r="J85" s="75">
        <f>'Raw Data (KG)'!P85</f>
        <v>1045.5</v>
      </c>
      <c r="K85" s="74">
        <f>'Raw Data (KG)'!H85+SUM('Raw Data (KG)'!J85:K85)+SUM('Raw Data (KG)'!M85:O85)+'Raw Data (KG)'!T85</f>
        <v>178.02</v>
      </c>
      <c r="L85" s="72">
        <f t="shared" si="2"/>
        <v>142729.13999999998</v>
      </c>
      <c r="M85" s="150">
        <f>SUM(L74:L85)</f>
        <v>1610348.9199999997</v>
      </c>
      <c r="N85" s="12"/>
      <c r="O85" s="12"/>
      <c r="P85" s="12"/>
    </row>
    <row r="86" spans="1:16" x14ac:dyDescent="0.2">
      <c r="A86" s="68">
        <v>44013</v>
      </c>
      <c r="B86" s="9">
        <f>SUM('Raw Data (KG)'!D86:D86)</f>
        <v>12224</v>
      </c>
      <c r="C86" s="9">
        <f>SUM('Raw Data (KG)'!E86:F86)</f>
        <v>1566</v>
      </c>
      <c r="D86" s="8">
        <f>SUM('Raw Data (KG)'!G86:V86)</f>
        <v>60618.051000000007</v>
      </c>
      <c r="E86" s="9">
        <f>'Raw Data (KG)'!W86</f>
        <v>0</v>
      </c>
      <c r="F86" s="7">
        <f>'Raw Food Data (KG)'!Q47</f>
        <v>24809</v>
      </c>
      <c r="G86" s="9">
        <f>'Raw Data (KG)'!R86</f>
        <v>4800</v>
      </c>
      <c r="H86" s="9">
        <f>'Raw Data (KG)'!S86</f>
        <v>17500</v>
      </c>
      <c r="I86" s="352">
        <f>'Raw Data (KG)'!Q86</f>
        <v>12300</v>
      </c>
      <c r="J86" s="9">
        <f>'Raw Data (KG)'!P86</f>
        <v>0</v>
      </c>
      <c r="K86" s="62">
        <f>'Raw Data (KG)'!H86+SUM('Raw Data (KG)'!J86:K86)+SUM('Raw Data (KG)'!M86:O86)+'Raw Data (KG)'!T86</f>
        <v>148.251</v>
      </c>
      <c r="L86" s="15">
        <f t="shared" si="2"/>
        <v>133965.302</v>
      </c>
    </row>
    <row r="87" spans="1:16" x14ac:dyDescent="0.2">
      <c r="A87" s="68">
        <v>44044</v>
      </c>
      <c r="B87" s="9">
        <f>SUM('Raw Data (KG)'!D87:D87)</f>
        <v>11764</v>
      </c>
      <c r="C87" s="9">
        <f>SUM('Raw Data (KG)'!E87:F87)</f>
        <v>1981</v>
      </c>
      <c r="D87" s="8">
        <f>SUM('Raw Data (KG)'!G87:V87)</f>
        <v>66638.149999999994</v>
      </c>
      <c r="E87" s="9">
        <f>'Raw Data (KG)'!W87</f>
        <v>734</v>
      </c>
      <c r="F87" s="7">
        <f>'Raw Food Data (KG)'!Q48</f>
        <v>23143</v>
      </c>
      <c r="G87" s="9">
        <f>'Raw Data (KG)'!R87</f>
        <v>4800</v>
      </c>
      <c r="H87" s="9">
        <f>'Raw Data (KG)'!S87</f>
        <v>24000</v>
      </c>
      <c r="I87" s="352">
        <f>'Raw Data (KG)'!Q87</f>
        <v>12400</v>
      </c>
      <c r="J87" s="9">
        <f>'Raw Data (KG)'!P87</f>
        <v>1080</v>
      </c>
      <c r="K87" s="62">
        <f>'Raw Data (KG)'!H87+SUM('Raw Data (KG)'!J87:K87)+SUM('Raw Data (KG)'!M87:O87)+'Raw Data (KG)'!T87</f>
        <v>0</v>
      </c>
      <c r="L87" s="15">
        <f t="shared" si="2"/>
        <v>146540.15</v>
      </c>
    </row>
    <row r="88" spans="1:16" x14ac:dyDescent="0.2">
      <c r="A88" s="68">
        <v>44075</v>
      </c>
      <c r="B88" s="9">
        <f>SUM('Raw Data (KG)'!D88:D88)</f>
        <v>12331</v>
      </c>
      <c r="C88" s="9">
        <f>SUM('Raw Data (KG)'!E88:F88)</f>
        <v>371</v>
      </c>
      <c r="D88" s="8">
        <f>SUM('Raw Data (KG)'!G88:V88)</f>
        <v>69057.948999999993</v>
      </c>
      <c r="E88" s="9">
        <f>'Raw Data (KG)'!W88</f>
        <v>643</v>
      </c>
      <c r="F88" s="7">
        <f>'Raw Food Data (KG)'!Q49</f>
        <v>28611</v>
      </c>
      <c r="G88" s="9">
        <f>'Raw Data (KG)'!R88</f>
        <v>6400</v>
      </c>
      <c r="H88" s="9">
        <f>'Raw Data (KG)'!S88</f>
        <v>21000</v>
      </c>
      <c r="I88" s="352">
        <f>'Raw Data (KG)'!Q88</f>
        <v>10400</v>
      </c>
      <c r="J88" s="9">
        <f>'Raw Data (KG)'!P88</f>
        <v>0</v>
      </c>
      <c r="K88" s="62">
        <f>'Raw Data (KG)'!H88+SUM('Raw Data (KG)'!J88:K88)+SUM('Raw Data (KG)'!M88:O88)+'Raw Data (KG)'!T88</f>
        <v>83.199000000000012</v>
      </c>
      <c r="L88" s="15">
        <f t="shared" si="2"/>
        <v>148897.14799999999</v>
      </c>
    </row>
    <row r="89" spans="1:16" x14ac:dyDescent="0.2">
      <c r="A89" s="68">
        <v>44105</v>
      </c>
      <c r="B89" s="9">
        <f>SUM('Raw Data (KG)'!D89:D89)</f>
        <v>13196</v>
      </c>
      <c r="C89" s="9">
        <f>SUM('Raw Data (KG)'!E89:F89)</f>
        <v>345</v>
      </c>
      <c r="D89" s="8">
        <f>SUM('Raw Data (KG)'!G89:V89)</f>
        <v>74682.319999999992</v>
      </c>
      <c r="E89" s="9">
        <f>'Raw Data (KG)'!W89</f>
        <v>971</v>
      </c>
      <c r="F89" s="7">
        <f>'Raw Food Data (KG)'!Q50</f>
        <v>31009</v>
      </c>
      <c r="G89" s="9">
        <f>'Raw Data (KG)'!R89</f>
        <v>4800</v>
      </c>
      <c r="H89" s="9">
        <f>'Raw Data (KG)'!S89</f>
        <v>24500</v>
      </c>
      <c r="I89" s="352">
        <f>'Raw Data (KG)'!Q89</f>
        <v>12200</v>
      </c>
      <c r="J89" s="9">
        <f>'Raw Data (KG)'!P89</f>
        <v>792</v>
      </c>
      <c r="K89" s="62">
        <f>'Raw Data (KG)'!H89+SUM('Raw Data (KG)'!J89:K89)+SUM('Raw Data (KG)'!M89:O89)+'Raw Data (KG)'!T89</f>
        <v>57.620000000000005</v>
      </c>
      <c r="L89" s="15">
        <f t="shared" si="2"/>
        <v>162552.94</v>
      </c>
    </row>
    <row r="90" spans="1:16" x14ac:dyDescent="0.2">
      <c r="A90" s="68">
        <v>44136</v>
      </c>
      <c r="B90" s="9">
        <f>SUM('Raw Data (KG)'!D90:D90)</f>
        <v>11978</v>
      </c>
      <c r="C90" s="9">
        <f>SUM('Raw Data (KG)'!E90:F90)</f>
        <v>421</v>
      </c>
      <c r="D90" s="8">
        <f>SUM('Raw Data (KG)'!G90:V90)</f>
        <v>75092.364000000001</v>
      </c>
      <c r="E90" s="9">
        <f>'Raw Data (KG)'!W90</f>
        <v>781</v>
      </c>
      <c r="F90" s="7">
        <f>'Raw Food Data (KG)'!Q51</f>
        <v>34289</v>
      </c>
      <c r="G90" s="9">
        <f>'Raw Data (KG)'!R90</f>
        <v>3200</v>
      </c>
      <c r="H90" s="9">
        <f>'Raw Data (KG)'!S90</f>
        <v>21000</v>
      </c>
      <c r="I90" s="352">
        <f>'Raw Data (KG)'!Q90</f>
        <v>13500</v>
      </c>
      <c r="J90" s="9">
        <f>'Raw Data (KG)'!P90</f>
        <v>1427</v>
      </c>
      <c r="K90" s="62">
        <f>'Raw Data (KG)'!H90+SUM('Raw Data (KG)'!J90:K90)+SUM('Raw Data (KG)'!M90:O90)+'Raw Data (KG)'!T90</f>
        <v>84.213999999999999</v>
      </c>
      <c r="L90" s="15">
        <f t="shared" si="2"/>
        <v>161772.57800000001</v>
      </c>
    </row>
    <row r="91" spans="1:16" x14ac:dyDescent="0.2">
      <c r="A91" s="68">
        <v>44166</v>
      </c>
      <c r="B91" s="9">
        <f>SUM('Raw Data (KG)'!D91:D91)</f>
        <v>11422</v>
      </c>
      <c r="C91" s="9">
        <f>SUM('Raw Data (KG)'!E91:F91)</f>
        <v>407</v>
      </c>
      <c r="D91" s="8">
        <f>SUM('Raw Data (KG)'!G91:V91)</f>
        <v>62971.978000000003</v>
      </c>
      <c r="E91" s="9">
        <f>'Raw Data (KG)'!W91</f>
        <v>971</v>
      </c>
      <c r="F91" s="7">
        <f>'Raw Food Data (KG)'!Q52</f>
        <v>33360</v>
      </c>
      <c r="G91" s="9">
        <f>'Raw Data (KG)'!R91</f>
        <v>3200</v>
      </c>
      <c r="H91" s="9">
        <f>'Raw Data (KG)'!S91</f>
        <v>10500</v>
      </c>
      <c r="I91" s="352">
        <f>'Raw Data (KG)'!Q91</f>
        <v>14600</v>
      </c>
      <c r="J91" s="9">
        <f>'Raw Data (KG)'!P91</f>
        <v>0</v>
      </c>
      <c r="K91" s="62">
        <f>'Raw Data (KG)'!H91+SUM('Raw Data (KG)'!J91:K91)+SUM('Raw Data (KG)'!M91:O91)+'Raw Data (KG)'!T91</f>
        <v>67.927999999999997</v>
      </c>
      <c r="L91" s="15">
        <f t="shared" si="2"/>
        <v>137499.90600000002</v>
      </c>
    </row>
    <row r="92" spans="1:16" x14ac:dyDescent="0.2">
      <c r="A92" s="68">
        <v>44197</v>
      </c>
      <c r="B92" s="9">
        <f>SUM('Raw Data (KG)'!D92:D92)</f>
        <v>12557</v>
      </c>
      <c r="C92" s="9">
        <f>SUM('Raw Data (KG)'!E92:F92)</f>
        <v>344</v>
      </c>
      <c r="D92" s="8">
        <f>SUM('Raw Data (KG)'!G92:V92)</f>
        <v>80676.23</v>
      </c>
      <c r="E92" s="9">
        <f>'Raw Data (KG)'!W92</f>
        <v>1544</v>
      </c>
      <c r="F92" s="7">
        <f>'Raw Food Data (KG)'!Q53</f>
        <v>33517</v>
      </c>
      <c r="G92" s="9">
        <f>'Raw Data (KG)'!R92</f>
        <v>3200</v>
      </c>
      <c r="H92" s="9">
        <f>'Raw Data (KG)'!S92</f>
        <v>24500</v>
      </c>
      <c r="I92" s="352">
        <f>'Raw Data (KG)'!Q92</f>
        <v>18700</v>
      </c>
      <c r="J92" s="9">
        <f>'Raw Data (KG)'!P92</f>
        <v>0</v>
      </c>
      <c r="K92" s="62">
        <f>'Raw Data (KG)'!H92+SUM('Raw Data (KG)'!J92:K92)+SUM('Raw Data (KG)'!M92:O92)+'Raw Data (KG)'!T92</f>
        <v>79.680000000000007</v>
      </c>
      <c r="L92" s="15">
        <f t="shared" si="2"/>
        <v>175117.90999999997</v>
      </c>
    </row>
    <row r="93" spans="1:16" x14ac:dyDescent="0.2">
      <c r="A93" s="68">
        <v>44228</v>
      </c>
      <c r="B93" s="9">
        <f>SUM('Raw Data (KG)'!D93:D93)</f>
        <v>11838</v>
      </c>
      <c r="C93" s="9">
        <f>SUM('Raw Data (KG)'!E93:F93)</f>
        <v>1790</v>
      </c>
      <c r="D93" s="8">
        <f>SUM('Raw Data (KG)'!G93:V93)</f>
        <v>55565.461000000003</v>
      </c>
      <c r="E93" s="9">
        <f>'Raw Data (KG)'!W93</f>
        <v>0</v>
      </c>
      <c r="F93" s="7">
        <f>'Raw Food Data (KG)'!Q54</f>
        <v>29468</v>
      </c>
      <c r="G93" s="9">
        <f>'Raw Data (KG)'!R93</f>
        <v>4800</v>
      </c>
      <c r="H93" s="9">
        <f>'Raw Data (KG)'!S93</f>
        <v>14000</v>
      </c>
      <c r="I93" s="352">
        <f>'Raw Data (KG)'!Q93</f>
        <v>6000</v>
      </c>
      <c r="J93" s="9">
        <f>'Raw Data (KG)'!P93</f>
        <v>652.5</v>
      </c>
      <c r="K93" s="62">
        <f>'Raw Data (KG)'!H93+SUM('Raw Data (KG)'!J93:K93)+SUM('Raw Data (KG)'!M93:O93)+'Raw Data (KG)'!T93</f>
        <v>3.911</v>
      </c>
      <c r="L93" s="15">
        <f t="shared" si="2"/>
        <v>124117.872</v>
      </c>
    </row>
    <row r="94" spans="1:16" x14ac:dyDescent="0.2">
      <c r="A94" s="68">
        <v>44256</v>
      </c>
      <c r="B94" s="9">
        <f>SUM('Raw Data (KG)'!D94:D94)</f>
        <v>14191</v>
      </c>
      <c r="C94" s="9">
        <f>SUM('Raw Data (KG)'!E94:F94)</f>
        <v>341</v>
      </c>
      <c r="D94" s="8">
        <f>SUM('Raw Data (KG)'!G94:V94)</f>
        <v>76888.663</v>
      </c>
      <c r="E94" s="9">
        <f>'Raw Data (KG)'!W94</f>
        <v>758</v>
      </c>
      <c r="F94" s="7">
        <f>'Raw Food Data (KG)'!Q55</f>
        <v>35447</v>
      </c>
      <c r="G94" s="9">
        <f>'Raw Data (KG)'!R94</f>
        <v>8000</v>
      </c>
      <c r="H94" s="9">
        <f>'Raw Data (KG)'!S94</f>
        <v>17500</v>
      </c>
      <c r="I94" s="352">
        <f>'Raw Data (KG)'!Q94</f>
        <v>14700</v>
      </c>
      <c r="J94" s="9">
        <f>'Raw Data (KG)'!P94</f>
        <v>0</v>
      </c>
      <c r="K94" s="62">
        <f>'Raw Data (KG)'!H94+SUM('Raw Data (KG)'!J94:K94)+SUM('Raw Data (KG)'!M94:O94)+'Raw Data (KG)'!T94</f>
        <v>78.063000000000002</v>
      </c>
      <c r="L94" s="15">
        <f t="shared" si="2"/>
        <v>167903.726</v>
      </c>
    </row>
    <row r="95" spans="1:16" x14ac:dyDescent="0.2">
      <c r="A95" s="68">
        <v>44287</v>
      </c>
      <c r="B95" s="9">
        <f>SUM('Raw Data (KG)'!D95:D95)</f>
        <v>12749</v>
      </c>
      <c r="C95" s="9">
        <f>SUM('Raw Data (KG)'!E95:F95)</f>
        <v>1351</v>
      </c>
      <c r="D95" s="8">
        <f>SUM('Raw Data (KG)'!G95:V95)</f>
        <v>83742.706000000006</v>
      </c>
      <c r="E95" s="9">
        <f>'Raw Data (KG)'!W95</f>
        <v>0</v>
      </c>
      <c r="F95" s="7">
        <f>'Raw Food Data (KG)'!Q56</f>
        <v>43497</v>
      </c>
      <c r="G95" s="9">
        <f>'Raw Data (KG)'!R95</f>
        <v>4800</v>
      </c>
      <c r="H95" s="9">
        <f>'Raw Data (KG)'!S95</f>
        <v>14000</v>
      </c>
      <c r="I95" s="352">
        <f>'Raw Data (KG)'!Q95</f>
        <v>20500</v>
      </c>
      <c r="J95" s="9">
        <f>'Raw Data (KG)'!P95</f>
        <v>0</v>
      </c>
      <c r="K95" s="62">
        <f>'Raw Data (KG)'!H95+SUM('Raw Data (KG)'!J95:K95)+SUM('Raw Data (KG)'!M95:O95)+'Raw Data (KG)'!T95</f>
        <v>120.956</v>
      </c>
      <c r="L95" s="15">
        <f t="shared" si="2"/>
        <v>180760.66200000001</v>
      </c>
    </row>
    <row r="96" spans="1:16" x14ac:dyDescent="0.2">
      <c r="A96" s="68">
        <v>44317</v>
      </c>
      <c r="B96" s="9">
        <f>SUM('Raw Data (KG)'!D96:D96)</f>
        <v>12531</v>
      </c>
      <c r="C96" s="9">
        <f>SUM('Raw Data (KG)'!E96:F96)</f>
        <v>879</v>
      </c>
      <c r="D96" s="8">
        <f>SUM('Raw Data (KG)'!G96:V96)</f>
        <v>76461.664999999994</v>
      </c>
      <c r="E96" s="9">
        <f>'Raw Data (KG)'!W96</f>
        <v>1085</v>
      </c>
      <c r="F96" s="7">
        <f>'Raw Food Data (KG)'!Q57</f>
        <v>40188</v>
      </c>
      <c r="G96" s="9">
        <f>'Raw Data (KG)'!R96</f>
        <v>6400</v>
      </c>
      <c r="H96" s="9">
        <f>'Raw Data (KG)'!S96</f>
        <v>17500</v>
      </c>
      <c r="I96" s="352">
        <f>'Raw Data (KG)'!Q96</f>
        <v>10400</v>
      </c>
      <c r="J96" s="9">
        <f>'Raw Data (KG)'!P96</f>
        <v>675</v>
      </c>
      <c r="K96" s="62">
        <f>'Raw Data (KG)'!H96+SUM('Raw Data (KG)'!J96:K96)+SUM('Raw Data (KG)'!M96:O96)+'Raw Data (KG)'!T96</f>
        <v>129.36500000000001</v>
      </c>
      <c r="L96" s="15">
        <f t="shared" si="2"/>
        <v>166249.02999999997</v>
      </c>
    </row>
    <row r="97" spans="1:13" x14ac:dyDescent="0.2">
      <c r="A97" s="68">
        <v>44348</v>
      </c>
      <c r="B97" s="9">
        <f>SUM('Raw Data (KG)'!D97:D97)</f>
        <v>13034</v>
      </c>
      <c r="C97" s="9">
        <f>SUM('Raw Data (KG)'!E97:F97)</f>
        <v>332</v>
      </c>
      <c r="D97" s="8">
        <f>SUM('Raw Data (KG)'!G97:V97)</f>
        <v>77281.968000000008</v>
      </c>
      <c r="E97" s="9">
        <f>'Raw Data (KG)'!W97</f>
        <v>908</v>
      </c>
      <c r="F97" s="7">
        <f>'Raw Food Data (KG)'!Q58</f>
        <v>35583</v>
      </c>
      <c r="G97" s="9">
        <f>'Raw Data (KG)'!R97</f>
        <v>4800</v>
      </c>
      <c r="H97" s="9">
        <f>'Raw Data (KG)'!S97</f>
        <v>24500</v>
      </c>
      <c r="I97" s="352">
        <f>'Raw Data (KG)'!Q97</f>
        <v>10400</v>
      </c>
      <c r="J97" s="9">
        <f>'Raw Data (KG)'!P97</f>
        <v>0</v>
      </c>
      <c r="K97" s="62">
        <f>'Raw Data (KG)'!H97+SUM('Raw Data (KG)'!J97:K97)+SUM('Raw Data (KG)'!M97:O97)+'Raw Data (KG)'!T97</f>
        <v>84.268000000000001</v>
      </c>
      <c r="L97" s="15">
        <f t="shared" si="2"/>
        <v>166923.236</v>
      </c>
      <c r="M97" s="15">
        <f>SUM(L86:L97)</f>
        <v>1872300.46</v>
      </c>
    </row>
    <row r="98" spans="1:13" x14ac:dyDescent="0.2">
      <c r="A98" s="68">
        <v>44378</v>
      </c>
      <c r="B98" s="75">
        <f>SUM('Raw Data (KG)'!D98:D98)</f>
        <v>12407</v>
      </c>
      <c r="C98" s="75">
        <f>SUM('Raw Data (KG)'!E98:F98)</f>
        <v>1128</v>
      </c>
      <c r="D98" s="73">
        <f>SUM('Raw Data (KG)'!G98:V98)</f>
        <v>83859.218000000008</v>
      </c>
      <c r="E98" s="75">
        <f>'Raw Data (KG)'!W98</f>
        <v>1043</v>
      </c>
      <c r="F98" s="76">
        <f>'Raw Food Data (KG)'!Q59</f>
        <v>36437</v>
      </c>
      <c r="G98" s="75">
        <f>'Raw Data (KG)'!R98</f>
        <v>8000</v>
      </c>
      <c r="H98" s="75">
        <f>'Raw Data (KG)'!S98</f>
        <v>21000</v>
      </c>
      <c r="I98" s="77">
        <f>'Raw Data (KG)'!Q98</f>
        <v>16700</v>
      </c>
      <c r="J98" s="75">
        <f>'Raw Data (KG)'!P98</f>
        <v>0</v>
      </c>
      <c r="K98" s="74">
        <f>'Raw Data (KG)'!H98+SUM('Raw Data (KG)'!J98:K98)+SUM('Raw Data (KG)'!M98:O98)+'Raw Data (KG)'!T98</f>
        <v>104.36799999999999</v>
      </c>
      <c r="L98" s="72">
        <f t="shared" ref="L98:L129" si="3">SUM(B98:K98)</f>
        <v>180678.58599999998</v>
      </c>
    </row>
    <row r="99" spans="1:13" x14ac:dyDescent="0.2">
      <c r="A99" s="68">
        <v>44409</v>
      </c>
      <c r="B99" s="75">
        <f>SUM('Raw Data (KG)'!D99:D99)</f>
        <v>14252</v>
      </c>
      <c r="C99" s="75">
        <f>SUM('Raw Data (KG)'!E99:F99)</f>
        <v>376</v>
      </c>
      <c r="D99" s="73">
        <f>SUM('Raw Data (KG)'!G99:V99)</f>
        <v>90350.093000000008</v>
      </c>
      <c r="E99" s="75">
        <f>'Raw Data (KG)'!W99</f>
        <v>0</v>
      </c>
      <c r="F99" s="76">
        <f>'Raw Food Data (KG)'!Q60</f>
        <v>33584</v>
      </c>
      <c r="G99" s="75">
        <f>'Raw Data (KG)'!R99</f>
        <v>6400</v>
      </c>
      <c r="H99" s="75">
        <f>'Raw Data (KG)'!S99</f>
        <v>35000</v>
      </c>
      <c r="I99" s="77">
        <f>'Raw Data (KG)'!Q99</f>
        <v>13700</v>
      </c>
      <c r="J99" s="75">
        <f>'Raw Data (KG)'!P99</f>
        <v>0</v>
      </c>
      <c r="K99" s="74">
        <f>'Raw Data (KG)'!H99+SUM('Raw Data (KG)'!J99:K99)+SUM('Raw Data (KG)'!M99:O99)+'Raw Data (KG)'!T99</f>
        <v>122.14300000000001</v>
      </c>
      <c r="L99" s="72">
        <f t="shared" si="3"/>
        <v>193784.236</v>
      </c>
    </row>
    <row r="100" spans="1:13" x14ac:dyDescent="0.2">
      <c r="A100" s="68">
        <v>44440</v>
      </c>
      <c r="B100" s="75">
        <f>SUM('Raw Data (KG)'!D100:D100)</f>
        <v>15030</v>
      </c>
      <c r="C100" s="75">
        <f>SUM('Raw Data (KG)'!E100:F100)</f>
        <v>902</v>
      </c>
      <c r="D100" s="73">
        <f>SUM('Raw Data (KG)'!G100:V100)</f>
        <v>80373.05</v>
      </c>
      <c r="E100" s="75">
        <f>'Raw Data (KG)'!W100</f>
        <v>1006</v>
      </c>
      <c r="F100" s="76">
        <f>'Raw Food Data (KG)'!Q61</f>
        <v>35376</v>
      </c>
      <c r="G100" s="75">
        <f>'Raw Data (KG)'!R100</f>
        <v>6400</v>
      </c>
      <c r="H100" s="75">
        <f>'Raw Data (KG)'!S100</f>
        <v>28000</v>
      </c>
      <c r="I100" s="77">
        <f>'Raw Data (KG)'!Q100</f>
        <v>9500</v>
      </c>
      <c r="J100" s="75">
        <f>'Raw Data (KG)'!P100</f>
        <v>0</v>
      </c>
      <c r="K100" s="74">
        <f>'Raw Data (KG)'!H100+SUM('Raw Data (KG)'!J100:K100)+SUM('Raw Data (KG)'!M100:O100)+'Raw Data (KG)'!T100</f>
        <v>67</v>
      </c>
      <c r="L100" s="72">
        <f t="shared" si="3"/>
        <v>176654.05</v>
      </c>
    </row>
    <row r="101" spans="1:13" x14ac:dyDescent="0.2">
      <c r="A101" s="68">
        <v>44470</v>
      </c>
      <c r="B101" s="75">
        <f>SUM('Raw Data (KG)'!D101:D101)</f>
        <v>12985</v>
      </c>
      <c r="C101" s="75">
        <f>SUM('Raw Data (KG)'!E101:F101)</f>
        <v>992</v>
      </c>
      <c r="D101" s="73">
        <f>SUM('Raw Data (KG)'!G101:V101)</f>
        <v>95334.35</v>
      </c>
      <c r="E101" s="75">
        <f>'Raw Data (KG)'!W101</f>
        <v>891</v>
      </c>
      <c r="F101" s="76">
        <f>'Raw Food Data (KG)'!Q62</f>
        <v>45400</v>
      </c>
      <c r="G101" s="75">
        <f>'Raw Data (KG)'!R101</f>
        <v>6400</v>
      </c>
      <c r="H101" s="75">
        <f>'Raw Data (KG)'!S101</f>
        <v>35000</v>
      </c>
      <c r="I101" s="77">
        <f>'Raw Data (KG)'!Q101</f>
        <v>7830</v>
      </c>
      <c r="J101" s="75">
        <f>'Raw Data (KG)'!P101</f>
        <v>0</v>
      </c>
      <c r="K101" s="74">
        <f>'Raw Data (KG)'!H101+SUM('Raw Data (KG)'!J101:K101)+SUM('Raw Data (KG)'!M101:O101)+'Raw Data (KG)'!T101</f>
        <v>0</v>
      </c>
      <c r="L101" s="72">
        <f t="shared" si="3"/>
        <v>204832.35</v>
      </c>
    </row>
    <row r="102" spans="1:13" x14ac:dyDescent="0.2">
      <c r="A102" s="68">
        <v>44501</v>
      </c>
      <c r="B102" s="75">
        <f>SUM('Raw Data (KG)'!D102:D102)</f>
        <v>13164</v>
      </c>
      <c r="C102" s="75">
        <f>SUM('Raw Data (KG)'!E102:F102)</f>
        <v>370</v>
      </c>
      <c r="D102" s="73">
        <f>SUM('Raw Data (KG)'!G102:V102)</f>
        <v>92044.383999999991</v>
      </c>
      <c r="E102" s="75">
        <f>'Raw Data (KG)'!W102</f>
        <v>625</v>
      </c>
      <c r="F102" s="76">
        <f>'Raw Food Data (KG)'!Q63</f>
        <v>42665</v>
      </c>
      <c r="G102" s="75">
        <f>'Raw Data (KG)'!R102</f>
        <v>4800</v>
      </c>
      <c r="H102" s="75">
        <f>'Raw Data (KG)'!S102</f>
        <v>35000</v>
      </c>
      <c r="I102" s="77">
        <f>'Raw Data (KG)'!Q102</f>
        <v>5800</v>
      </c>
      <c r="J102" s="75">
        <f>'Raw Data (KG)'!P102</f>
        <v>1971</v>
      </c>
      <c r="K102" s="74">
        <f>'Raw Data (KG)'!H102+SUM('Raw Data (KG)'!J102:K102)+SUM('Raw Data (KG)'!M102:O102)+'Raw Data (KG)'!T102</f>
        <v>173.63400000000001</v>
      </c>
      <c r="L102" s="72">
        <f t="shared" si="3"/>
        <v>196613.01799999998</v>
      </c>
    </row>
    <row r="103" spans="1:13" x14ac:dyDescent="0.2">
      <c r="A103" s="68">
        <v>44531</v>
      </c>
      <c r="B103" s="75">
        <f>SUM('Raw Data (KG)'!D103:D103)</f>
        <v>13435</v>
      </c>
      <c r="C103" s="75">
        <f>SUM('Raw Data (KG)'!E103:F103)</f>
        <v>1071</v>
      </c>
      <c r="D103" s="73">
        <f>SUM('Raw Data (KG)'!G103:V103)</f>
        <v>92562.237000000008</v>
      </c>
      <c r="E103" s="75">
        <f>'Raw Data (KG)'!W103</f>
        <v>0</v>
      </c>
      <c r="F103" s="76">
        <f>'Raw Food Data (KG)'!Q64</f>
        <v>41338</v>
      </c>
      <c r="G103" s="75">
        <f>'Raw Data (KG)'!R103</f>
        <v>8000</v>
      </c>
      <c r="H103" s="75">
        <f>'Raw Data (KG)'!S103</f>
        <v>31500</v>
      </c>
      <c r="I103" s="77">
        <f>'Raw Data (KG)'!Q103</f>
        <v>10180</v>
      </c>
      <c r="J103" s="75">
        <f>'Raw Data (KG)'!P103</f>
        <v>355.5</v>
      </c>
      <c r="K103" s="74">
        <f>'Raw Data (KG)'!H103+SUM('Raw Data (KG)'!J103:K103)+SUM('Raw Data (KG)'!M103:O103)+'Raw Data (KG)'!T103</f>
        <v>80.787000000000006</v>
      </c>
      <c r="L103" s="72">
        <f t="shared" si="3"/>
        <v>198522.52400000003</v>
      </c>
    </row>
    <row r="104" spans="1:13" x14ac:dyDescent="0.2">
      <c r="A104" s="68">
        <v>44562</v>
      </c>
      <c r="B104" s="75">
        <f>SUM('Raw Data (KG)'!D104:D104)</f>
        <v>13422</v>
      </c>
      <c r="C104" s="75">
        <f>SUM('Raw Data (KG)'!E104:F104)</f>
        <v>1212</v>
      </c>
      <c r="D104" s="73">
        <f>SUM('Raw Data (KG)'!G104:V104)</f>
        <v>89140.65</v>
      </c>
      <c r="E104" s="75">
        <f>'Raw Data (KG)'!W104</f>
        <v>0</v>
      </c>
      <c r="F104" s="76">
        <f>'Raw Food Data (KG)'!Q65</f>
        <v>33071</v>
      </c>
      <c r="G104" s="75">
        <f>'Raw Data (KG)'!R104</f>
        <v>6400</v>
      </c>
      <c r="H104" s="75">
        <f>'Raw Data (KG)'!S104</f>
        <v>28000</v>
      </c>
      <c r="I104" s="77">
        <f>'Raw Data (KG)'!Q104</f>
        <v>19838</v>
      </c>
      <c r="J104" s="75">
        <f>'Raw Data (KG)'!P104</f>
        <v>0</v>
      </c>
      <c r="K104" s="74">
        <f>'Raw Data (KG)'!H104+SUM('Raw Data (KG)'!J104:K104)+SUM('Raw Data (KG)'!M104:O104)+'Raw Data (KG)'!T104</f>
        <v>0</v>
      </c>
      <c r="L104" s="72">
        <f t="shared" si="3"/>
        <v>191083.65</v>
      </c>
    </row>
    <row r="105" spans="1:13" x14ac:dyDescent="0.2">
      <c r="A105" s="68">
        <v>44593</v>
      </c>
      <c r="B105" s="75">
        <f>SUM('Raw Data (KG)'!D105:D105)</f>
        <v>9823</v>
      </c>
      <c r="C105" s="75">
        <f>SUM('Raw Data (KG)'!E105:F105)</f>
        <v>313</v>
      </c>
      <c r="D105" s="73">
        <f>SUM('Raw Data (KG)'!G105:V105)</f>
        <v>53031.481</v>
      </c>
      <c r="E105" s="75">
        <f>'Raw Data (KG)'!W105</f>
        <v>869</v>
      </c>
      <c r="F105" s="76">
        <f>'Raw Food Data (KG)'!Q66</f>
        <v>24947</v>
      </c>
      <c r="G105" s="75">
        <f>'Raw Data (KG)'!R105</f>
        <v>4800</v>
      </c>
      <c r="H105" s="75">
        <f>'Raw Data (KG)'!S105</f>
        <v>14000</v>
      </c>
      <c r="I105" s="77">
        <f>'Raw Data (KG)'!Q105</f>
        <v>7420</v>
      </c>
      <c r="J105" s="75">
        <f>'Raw Data (KG)'!P105</f>
        <v>256.5</v>
      </c>
      <c r="K105" s="74">
        <f>'Raw Data (KG)'!H105+SUM('Raw Data (KG)'!J105:K105)+SUM('Raw Data (KG)'!M105:O105)+'Raw Data (KG)'!T105</f>
        <v>126.331</v>
      </c>
      <c r="L105" s="72">
        <f t="shared" si="3"/>
        <v>115586.31200000001</v>
      </c>
    </row>
    <row r="106" spans="1:13" x14ac:dyDescent="0.2">
      <c r="A106" s="68">
        <v>44621</v>
      </c>
      <c r="B106" s="75">
        <f>SUM('Raw Data (KG)'!D106:D106)</f>
        <v>9495</v>
      </c>
      <c r="C106" s="75">
        <f>SUM('Raw Data (KG)'!E106:F106)</f>
        <v>389</v>
      </c>
      <c r="D106" s="73">
        <f>SUM('Raw Data (KG)'!G106:V106)</f>
        <v>63623.15</v>
      </c>
      <c r="E106" s="75">
        <f>'Raw Data (KG)'!W106</f>
        <v>0</v>
      </c>
      <c r="F106" s="76">
        <f>'Raw Food Data (KG)'!Q67</f>
        <v>22091</v>
      </c>
      <c r="G106" s="75">
        <f>'Raw Data (KG)'!R106</f>
        <v>6400</v>
      </c>
      <c r="H106" s="75">
        <f>'Raw Data (KG)'!S106</f>
        <v>24500</v>
      </c>
      <c r="I106" s="77">
        <f>'Raw Data (KG)'!Q106</f>
        <v>9700</v>
      </c>
      <c r="J106" s="75">
        <f>'Raw Data (KG)'!P106</f>
        <v>0</v>
      </c>
      <c r="K106" s="74">
        <f>'Raw Data (KG)'!H106+SUM('Raw Data (KG)'!J106:K106)+SUM('Raw Data (KG)'!M106:O106)+'Raw Data (KG)'!T106</f>
        <v>0</v>
      </c>
      <c r="L106" s="72">
        <f t="shared" si="3"/>
        <v>136198.15</v>
      </c>
    </row>
    <row r="107" spans="1:13" x14ac:dyDescent="0.2">
      <c r="A107" s="68">
        <v>44652</v>
      </c>
      <c r="B107" s="75">
        <f>SUM('Raw Data (KG)'!D107:D107)</f>
        <v>9308</v>
      </c>
      <c r="C107" s="75">
        <f>SUM('Raw Data (KG)'!E107:F107)</f>
        <v>1101</v>
      </c>
      <c r="D107" s="73">
        <f>SUM('Raw Data (KG)'!G107:V107)</f>
        <v>67926.381000000008</v>
      </c>
      <c r="E107" s="75">
        <f>'Raw Data (KG)'!W107</f>
        <v>1036</v>
      </c>
      <c r="F107" s="76">
        <f>'Raw Food Data (KG)'!Q68</f>
        <v>24586.6</v>
      </c>
      <c r="G107" s="75">
        <f>'Raw Data (KG)'!R107</f>
        <v>6400</v>
      </c>
      <c r="H107" s="75">
        <f>'Raw Data (KG)'!S107</f>
        <v>24500</v>
      </c>
      <c r="I107" s="77">
        <f>'Raw Data (KG)'!Q107</f>
        <v>10420</v>
      </c>
      <c r="J107" s="75">
        <f>'Raw Data (KG)'!P107</f>
        <v>1482</v>
      </c>
      <c r="K107" s="74">
        <f>'Raw Data (KG)'!H107+SUM('Raw Data (KG)'!J107:K107)+SUM('Raw Data (KG)'!M107:O107)+'Raw Data (KG)'!T107</f>
        <v>72.981000000000009</v>
      </c>
      <c r="L107" s="72">
        <f t="shared" si="3"/>
        <v>146832.962</v>
      </c>
    </row>
    <row r="108" spans="1:13" x14ac:dyDescent="0.2">
      <c r="A108" s="68">
        <v>44682</v>
      </c>
      <c r="B108" s="75">
        <f>SUM('Raw Data (KG)'!D108:D108)</f>
        <v>10020</v>
      </c>
      <c r="C108" s="75">
        <f>SUM('Raw Data (KG)'!E108:F108)</f>
        <v>316</v>
      </c>
      <c r="D108" s="73">
        <f>SUM('Raw Data (KG)'!G108:V108)</f>
        <v>79137.350000000006</v>
      </c>
      <c r="E108" s="75">
        <f>'Raw Data (KG)'!W108</f>
        <v>0</v>
      </c>
      <c r="F108" s="76">
        <f>'Raw Food Data (KG)'!Q69</f>
        <v>27462</v>
      </c>
      <c r="G108" s="75">
        <f>'Raw Data (KG)'!R108</f>
        <v>6400</v>
      </c>
      <c r="H108" s="75">
        <f>'Raw Data (KG)'!S108</f>
        <v>31500</v>
      </c>
      <c r="I108" s="77">
        <f>'Raw Data (KG)'!Q108</f>
        <v>12000</v>
      </c>
      <c r="J108" s="75">
        <f>'Raw Data (KG)'!P108</f>
        <v>736</v>
      </c>
      <c r="K108" s="74">
        <f>'Raw Data (KG)'!H108+SUM('Raw Data (KG)'!J108:K108)+SUM('Raw Data (KG)'!M108:O108)+'Raw Data (KG)'!T108</f>
        <v>0</v>
      </c>
      <c r="L108" s="72">
        <f t="shared" si="3"/>
        <v>167571.35</v>
      </c>
    </row>
    <row r="109" spans="1:13" x14ac:dyDescent="0.2">
      <c r="A109" s="68">
        <v>44713</v>
      </c>
      <c r="B109" s="75">
        <f>SUM('Raw Data (KG)'!D109:D109)</f>
        <v>10130</v>
      </c>
      <c r="C109" s="75">
        <f>SUM('Raw Data (KG)'!E109:F109)</f>
        <v>304</v>
      </c>
      <c r="D109" s="73">
        <f>SUM('Raw Data (KG)'!G109:V109)</f>
        <v>76702.8</v>
      </c>
      <c r="E109" s="75">
        <f>'Raw Data (KG)'!W109</f>
        <v>1056</v>
      </c>
      <c r="F109" s="76">
        <f>'Raw Food Data (KG)'!Q70</f>
        <v>22866</v>
      </c>
      <c r="G109" s="75">
        <f>'Raw Data (KG)'!R109</f>
        <v>8000</v>
      </c>
      <c r="H109" s="75">
        <f>'Raw Data (KG)'!S109</f>
        <v>35000</v>
      </c>
      <c r="I109" s="77">
        <f>'Raw Data (KG)'!Q109</f>
        <v>9000</v>
      </c>
      <c r="J109" s="75">
        <f>'Raw Data (KG)'!P109</f>
        <v>819</v>
      </c>
      <c r="K109" s="74">
        <f>'Raw Data (KG)'!H109+SUM('Raw Data (KG)'!J109:K109)+SUM('Raw Data (KG)'!M109:O109)+'Raw Data (KG)'!T109</f>
        <v>102</v>
      </c>
      <c r="L109" s="72">
        <f t="shared" si="3"/>
        <v>163979.79999999999</v>
      </c>
      <c r="M109" s="15">
        <f>SUM(L98:L109)</f>
        <v>2072336.9879999999</v>
      </c>
    </row>
    <row r="110" spans="1:13" x14ac:dyDescent="0.2">
      <c r="A110" s="68">
        <v>44743</v>
      </c>
      <c r="B110" s="9">
        <f>SUM('Raw Data (KG)'!D110:D110)</f>
        <v>10024</v>
      </c>
      <c r="C110" s="9">
        <f>SUM('Raw Data (KG)'!E110:F110)</f>
        <v>810</v>
      </c>
      <c r="D110" s="8">
        <f>SUM('Raw Data (KG)'!G110:V110)</f>
        <v>69475.95</v>
      </c>
      <c r="E110" s="9">
        <f>'Raw Data (KG)'!W110</f>
        <v>0</v>
      </c>
      <c r="F110" s="7">
        <f>'Raw Food Data (KG)'!Q71</f>
        <v>25176</v>
      </c>
      <c r="G110" s="9">
        <f>'Raw Data (KG)'!R110</f>
        <v>6400</v>
      </c>
      <c r="H110" s="9">
        <f>'Raw Data (KG)'!S110</f>
        <v>24500</v>
      </c>
      <c r="I110" s="352">
        <f>'Raw Data (KG)'!Q110</f>
        <v>12000</v>
      </c>
      <c r="J110" s="9">
        <f>'Raw Data (KG)'!P110</f>
        <v>0</v>
      </c>
      <c r="K110" s="62">
        <f>'Raw Data (KG)'!H110+SUM('Raw Data (KG)'!J110:K110)+'Raw Data (KG)'!T110</f>
        <v>435</v>
      </c>
      <c r="L110" s="15">
        <f t="shared" si="3"/>
        <v>148820.95000000001</v>
      </c>
    </row>
    <row r="111" spans="1:13" x14ac:dyDescent="0.2">
      <c r="A111" s="68">
        <v>44774</v>
      </c>
      <c r="B111" s="9">
        <f>SUM('Raw Data (KG)'!D111:D111)</f>
        <v>11052</v>
      </c>
      <c r="C111" s="9">
        <f>SUM('Raw Data (KG)'!E111:F111)</f>
        <v>1303</v>
      </c>
      <c r="D111" s="8">
        <f>SUM('Raw Data (KG)'!G111:V111)</f>
        <v>81234.25</v>
      </c>
      <c r="E111" s="9">
        <f>'Raw Data (KG)'!W111</f>
        <v>1973</v>
      </c>
      <c r="F111" s="7">
        <f>'Raw Food Data (KG)'!Q72</f>
        <v>26660</v>
      </c>
      <c r="G111" s="9">
        <f>'Raw Data (KG)'!R111</f>
        <v>6400</v>
      </c>
      <c r="H111" s="9">
        <f>'Raw Data (KG)'!S111</f>
        <v>31500</v>
      </c>
      <c r="I111" s="352">
        <f>'Raw Data (KG)'!Q111</f>
        <v>15000</v>
      </c>
      <c r="J111" s="9">
        <f>'Raw Data (KG)'!P111</f>
        <v>604</v>
      </c>
      <c r="K111" s="62">
        <f>'Raw Data (KG)'!H111+SUM('Raw Data (KG)'!J111:K111)+'Raw Data (KG)'!T111</f>
        <v>165</v>
      </c>
      <c r="L111" s="15">
        <f t="shared" si="3"/>
        <v>175891.25</v>
      </c>
    </row>
    <row r="112" spans="1:13" x14ac:dyDescent="0.2">
      <c r="A112" s="68">
        <v>44805</v>
      </c>
      <c r="B112" s="9">
        <f>SUM('Raw Data (KG)'!D112:D112)</f>
        <v>12231</v>
      </c>
      <c r="C112" s="9">
        <f>SUM('Raw Data (KG)'!E112:F112)</f>
        <v>631</v>
      </c>
      <c r="D112" s="8">
        <f>SUM('Raw Data (KG)'!G112:V112)</f>
        <v>88390.85</v>
      </c>
      <c r="E112" s="9">
        <f>'Raw Data (KG)'!W112</f>
        <v>0</v>
      </c>
      <c r="F112" s="7">
        <f>'Raw Food Data (KG)'!Q73</f>
        <v>35619</v>
      </c>
      <c r="G112" s="9">
        <f>'Raw Data (KG)'!R112</f>
        <v>8000</v>
      </c>
      <c r="H112" s="9">
        <f>'Raw Data (KG)'!S112</f>
        <v>31500</v>
      </c>
      <c r="I112" s="352">
        <f>'Raw Data (KG)'!Q112</f>
        <v>12000</v>
      </c>
      <c r="J112" s="9">
        <f>'Raw Data (KG)'!P112</f>
        <v>0</v>
      </c>
      <c r="K112" s="62">
        <f>'Raw Data (KG)'!H112+SUM('Raw Data (KG)'!J112:K112)+'Raw Data (KG)'!T112</f>
        <v>61.6</v>
      </c>
      <c r="L112" s="15">
        <f t="shared" si="3"/>
        <v>188433.45</v>
      </c>
    </row>
    <row r="113" spans="1:13" x14ac:dyDescent="0.2">
      <c r="A113" s="68">
        <v>44835</v>
      </c>
      <c r="B113" s="9">
        <f>SUM('Raw Data (KG)'!D113:D113)</f>
        <v>11893</v>
      </c>
      <c r="C113" s="9">
        <f>SUM('Raw Data (KG)'!E113:F113)</f>
        <v>726</v>
      </c>
      <c r="D113" s="8">
        <f>SUM('Raw Data (KG)'!G113:V113)</f>
        <v>91572.55</v>
      </c>
      <c r="E113" s="9">
        <f>'Raw Data (KG)'!W113</f>
        <v>1009</v>
      </c>
      <c r="F113" s="7">
        <f>'Raw Food Data (KG)'!Q74</f>
        <v>39851</v>
      </c>
      <c r="G113" s="9">
        <f>'Raw Data (KG)'!R113</f>
        <v>6400</v>
      </c>
      <c r="H113" s="9">
        <f>'Raw Data (KG)'!S113</f>
        <v>28000</v>
      </c>
      <c r="I113" s="352">
        <f>'Raw Data (KG)'!Q113</f>
        <v>15000</v>
      </c>
      <c r="J113" s="9">
        <f>'Raw Data (KG)'!P113</f>
        <v>731</v>
      </c>
      <c r="K113" s="62">
        <f>'Raw Data (KG)'!H113+SUM('Raw Data (KG)'!J113:K113)+'Raw Data (KG)'!T113</f>
        <v>67</v>
      </c>
      <c r="L113" s="15">
        <f t="shared" si="3"/>
        <v>195249.55</v>
      </c>
    </row>
    <row r="114" spans="1:13" x14ac:dyDescent="0.2">
      <c r="A114" s="68">
        <v>44866</v>
      </c>
      <c r="B114" s="9">
        <f>SUM('Raw Data (KG)'!D114:D114)</f>
        <v>11445</v>
      </c>
      <c r="C114" s="9">
        <f>SUM('Raw Data (KG)'!E114:F114)</f>
        <v>736</v>
      </c>
      <c r="D114" s="8">
        <f>SUM('Raw Data (KG)'!G114:V114)</f>
        <v>93234.5</v>
      </c>
      <c r="E114" s="9">
        <f>'Raw Data (KG)'!W114</f>
        <v>993</v>
      </c>
      <c r="F114" s="7">
        <f>'Raw Food Data (KG)'!Q75</f>
        <v>42228</v>
      </c>
      <c r="G114" s="9">
        <f>'Raw Data (KG)'!R114</f>
        <v>6400</v>
      </c>
      <c r="H114" s="9">
        <f>'Raw Data (KG)'!S114</f>
        <v>31500</v>
      </c>
      <c r="I114" s="352">
        <f>'Raw Data (KG)'!Q114</f>
        <v>12000</v>
      </c>
      <c r="J114" s="9">
        <f>'Raw Data (KG)'!P114</f>
        <v>0</v>
      </c>
      <c r="K114" s="62">
        <f>'Raw Data (KG)'!H114+SUM('Raw Data (KG)'!J114:K114)+'Raw Data (KG)'!T114</f>
        <v>110.5</v>
      </c>
      <c r="L114" s="15">
        <f t="shared" si="3"/>
        <v>198647</v>
      </c>
    </row>
    <row r="115" spans="1:13" x14ac:dyDescent="0.2">
      <c r="A115" s="68">
        <v>44896</v>
      </c>
      <c r="B115" s="9">
        <f>SUM('Raw Data (KG)'!D115:D115)</f>
        <v>11105</v>
      </c>
      <c r="C115" s="9">
        <f>SUM('Raw Data (KG)'!E115:F115)</f>
        <v>1633</v>
      </c>
      <c r="D115" s="8">
        <f>SUM('Raw Data (KG)'!G115:V115)</f>
        <v>95239</v>
      </c>
      <c r="E115" s="9">
        <f>'Raw Data (KG)'!W115</f>
        <v>762</v>
      </c>
      <c r="F115" s="7">
        <f>'Raw Food Data (KG)'!Q76</f>
        <v>44338</v>
      </c>
      <c r="G115" s="9">
        <f>'Raw Data (KG)'!R115</f>
        <v>6400</v>
      </c>
      <c r="H115" s="9">
        <f>'Raw Data (KG)'!S115</f>
        <v>28000</v>
      </c>
      <c r="I115" s="352">
        <f>'Raw Data (KG)'!Q115</f>
        <v>15000</v>
      </c>
      <c r="J115" s="9">
        <f>'Raw Data (KG)'!P115</f>
        <v>0</v>
      </c>
      <c r="K115" s="62">
        <f>'Raw Data (KG)'!H115+SUM('Raw Data (KG)'!J115:K115)+'Raw Data (KG)'!T115</f>
        <v>118</v>
      </c>
      <c r="L115" s="15">
        <f t="shared" si="3"/>
        <v>202595</v>
      </c>
    </row>
    <row r="116" spans="1:13" x14ac:dyDescent="0.2">
      <c r="A116" s="68">
        <v>44927</v>
      </c>
      <c r="B116" s="9">
        <f>SUM('Raw Data (KG)'!D116:D116)</f>
        <v>9350</v>
      </c>
      <c r="C116" s="9">
        <f>SUM('Raw Data (KG)'!E116:F116)</f>
        <v>772</v>
      </c>
      <c r="D116" s="8">
        <f>SUM('Raw Data (KG)'!G116:V116)</f>
        <v>88728</v>
      </c>
      <c r="E116" s="9">
        <f>'Raw Data (KG)'!W116</f>
        <v>757</v>
      </c>
      <c r="F116" s="7">
        <f>'Raw Food Data (KG)'!Q77</f>
        <v>34407</v>
      </c>
      <c r="G116" s="9">
        <f>'Raw Data (KG)'!R116</f>
        <v>6400</v>
      </c>
      <c r="H116" s="9">
        <f>'Raw Data (KG)'!S116</f>
        <v>31500</v>
      </c>
      <c r="I116" s="352">
        <f>'Raw Data (KG)'!Q116</f>
        <v>15000</v>
      </c>
      <c r="J116" s="9">
        <f>'Raw Data (KG)'!P116</f>
        <v>1109</v>
      </c>
      <c r="K116" s="62">
        <f>'Raw Data (KG)'!H116+SUM('Raw Data (KG)'!J116:K116)+'Raw Data (KG)'!T116</f>
        <v>9.5</v>
      </c>
      <c r="L116" s="15">
        <f t="shared" si="3"/>
        <v>188032.5</v>
      </c>
    </row>
    <row r="117" spans="1:13" x14ac:dyDescent="0.2">
      <c r="A117" s="68">
        <v>44958</v>
      </c>
      <c r="B117" s="9">
        <f>SUM('Raw Data (KG)'!D117:D117)</f>
        <v>10379</v>
      </c>
      <c r="C117" s="9">
        <f>SUM('Raw Data (KG)'!E117:F117)</f>
        <v>1110</v>
      </c>
      <c r="D117" s="8">
        <f>SUM('Raw Data (KG)'!G117:V117)</f>
        <v>68279.399999999994</v>
      </c>
      <c r="E117" s="9">
        <f>'Raw Data (KG)'!W117</f>
        <v>670</v>
      </c>
      <c r="F117" s="7">
        <f>'Raw Food Data (KG)'!Q78</f>
        <v>28553</v>
      </c>
      <c r="G117" s="9">
        <f>'Raw Data (KG)'!R117</f>
        <v>6400</v>
      </c>
      <c r="H117" s="9">
        <f>'Raw Data (KG)'!S117</f>
        <v>21000</v>
      </c>
      <c r="I117" s="352">
        <f>'Raw Data (KG)'!Q117</f>
        <v>12000</v>
      </c>
      <c r="J117" s="9">
        <f>'Raw Data (KG)'!P117</f>
        <v>0</v>
      </c>
      <c r="K117" s="62">
        <f>'Raw Data (KG)'!H117+SUM('Raw Data (KG)'!J117:K117)+'Raw Data (KG)'!T117</f>
        <v>109.4</v>
      </c>
      <c r="L117" s="15">
        <f t="shared" si="3"/>
        <v>148500.79999999999</v>
      </c>
    </row>
    <row r="118" spans="1:13" x14ac:dyDescent="0.2">
      <c r="A118" s="68">
        <v>44986</v>
      </c>
      <c r="B118" s="9">
        <f>SUM('Raw Data (KG)'!D118:D118)</f>
        <v>11198</v>
      </c>
      <c r="C118" s="9">
        <f>SUM('Raw Data (KG)'!E118:F118)</f>
        <v>974</v>
      </c>
      <c r="D118" s="8">
        <f>SUM('Raw Data (KG)'!G118:V118)</f>
        <v>83136.3</v>
      </c>
      <c r="E118" s="9">
        <f>'Raw Data (KG)'!W118</f>
        <v>603</v>
      </c>
      <c r="F118" s="7">
        <f>'Raw Food Data (KG)'!Q79</f>
        <v>35187</v>
      </c>
      <c r="G118" s="9">
        <f>'Raw Data (KG)'!R118</f>
        <v>8000</v>
      </c>
      <c r="H118" s="9">
        <f>'Raw Data (KG)'!S118</f>
        <v>24500</v>
      </c>
      <c r="I118" s="352">
        <f>'Raw Data (KG)'!Q118</f>
        <v>15000</v>
      </c>
      <c r="J118" s="9">
        <f>'Raw Data (KG)'!P118</f>
        <v>0</v>
      </c>
      <c r="K118" s="62">
        <f>'Raw Data (KG)'!H118+SUM('Raw Data (KG)'!J118:K118)+'Raw Data (KG)'!T118</f>
        <v>128.5</v>
      </c>
      <c r="L118" s="15">
        <f t="shared" si="3"/>
        <v>178726.8</v>
      </c>
    </row>
    <row r="119" spans="1:13" x14ac:dyDescent="0.2">
      <c r="A119" s="68">
        <v>45017</v>
      </c>
      <c r="B119" s="9">
        <f>SUM('Raw Data (KG)'!D119:D119)</f>
        <v>10871</v>
      </c>
      <c r="C119" s="9">
        <f>SUM('Raw Data (KG)'!E119:F119)</f>
        <v>727</v>
      </c>
      <c r="D119" s="8">
        <f>SUM('Raw Data (KG)'!G119:V119)</f>
        <v>78858.75</v>
      </c>
      <c r="E119" s="9">
        <f>'Raw Data (KG)'!W119</f>
        <v>499</v>
      </c>
      <c r="F119" s="7">
        <f>'Raw Food Data (KG)'!Q80</f>
        <v>39810.5</v>
      </c>
      <c r="G119" s="9">
        <f>'Raw Data (KG)'!R119</f>
        <v>4800</v>
      </c>
      <c r="H119" s="9">
        <f>'Raw Data (KG)'!S119</f>
        <v>17500</v>
      </c>
      <c r="I119" s="352">
        <f>'Raw Data (KG)'!Q119</f>
        <v>15000</v>
      </c>
      <c r="J119" s="9">
        <f>'Raw Data (KG)'!P119</f>
        <v>1438</v>
      </c>
      <c r="K119" s="62">
        <f>'Raw Data (KG)'!H119+SUM('Raw Data (KG)'!J119:K119)+'Raw Data (KG)'!T119</f>
        <v>54.5</v>
      </c>
      <c r="L119" s="15">
        <f t="shared" si="3"/>
        <v>169558.75</v>
      </c>
    </row>
    <row r="120" spans="1:13" x14ac:dyDescent="0.2">
      <c r="A120" s="68">
        <v>45047</v>
      </c>
      <c r="B120" s="9">
        <f>SUM('Raw Data (KG)'!D120:D120)</f>
        <v>10533</v>
      </c>
      <c r="C120" s="9">
        <f>SUM('Raw Data (KG)'!E120:F120)</f>
        <v>638</v>
      </c>
      <c r="D120" s="8">
        <f>SUM('Raw Data (KG)'!G120:V120)</f>
        <v>83077.899999999994</v>
      </c>
      <c r="E120" s="9">
        <f>'Raw Data (KG)'!W120</f>
        <v>0</v>
      </c>
      <c r="F120" s="7">
        <f>'Raw Food Data (KG)'!Q81</f>
        <v>39784</v>
      </c>
      <c r="G120" s="9">
        <f>'Raw Data (KG)'!R120</f>
        <v>6400</v>
      </c>
      <c r="H120" s="9">
        <f>'Raw Data (KG)'!S120</f>
        <v>24500</v>
      </c>
      <c r="I120" s="352">
        <f>'Raw Data (KG)'!Q120</f>
        <v>12000</v>
      </c>
      <c r="J120" s="9">
        <f>'Raw Data (KG)'!P120</f>
        <v>0</v>
      </c>
      <c r="K120" s="62">
        <f>'Raw Data (KG)'!H120+SUM('Raw Data (KG)'!J120:K120)+'Raw Data (KG)'!T120</f>
        <v>105</v>
      </c>
      <c r="L120" s="15">
        <f t="shared" si="3"/>
        <v>177037.9</v>
      </c>
    </row>
    <row r="121" spans="1:13" x14ac:dyDescent="0.2">
      <c r="A121" s="68">
        <v>45078</v>
      </c>
      <c r="B121" s="9">
        <f>SUM('Raw Data (KG)'!D121:D121)</f>
        <v>10392</v>
      </c>
      <c r="C121" s="9">
        <f>SUM('Raw Data (KG)'!E121:F121)</f>
        <v>897</v>
      </c>
      <c r="D121" s="8">
        <f>SUM('Raw Data (KG)'!G121:V121)</f>
        <v>85000.05</v>
      </c>
      <c r="E121" s="9">
        <f>'Raw Data (KG)'!W121</f>
        <v>608</v>
      </c>
      <c r="F121" s="7">
        <f>'Raw Food Data (KG)'!Q82</f>
        <v>40149.599999999999</v>
      </c>
      <c r="G121" s="9">
        <f>'Raw Data (KG)'!R121</f>
        <v>8000</v>
      </c>
      <c r="H121" s="9">
        <f>'Raw Data (KG)'!S121</f>
        <v>24500</v>
      </c>
      <c r="I121" s="352">
        <f>'Raw Data (KG)'!Q121</f>
        <v>12000</v>
      </c>
      <c r="J121" s="9">
        <f>'Raw Data (KG)'!P121</f>
        <v>0</v>
      </c>
      <c r="K121" s="62">
        <f>'Raw Data (KG)'!H121+SUM('Raw Data (KG)'!J121:K121)+'Raw Data (KG)'!T121</f>
        <v>65</v>
      </c>
      <c r="L121" s="15">
        <f t="shared" si="3"/>
        <v>181611.65</v>
      </c>
      <c r="M121" s="15">
        <f>SUM(L110:L121)</f>
        <v>2153105.6</v>
      </c>
    </row>
    <row r="122" spans="1:13" x14ac:dyDescent="0.2">
      <c r="A122" s="68">
        <v>45108</v>
      </c>
      <c r="B122" s="75">
        <f>SUM('Raw Data (KG)'!D122:D122)</f>
        <v>10670</v>
      </c>
      <c r="C122" s="75">
        <f>SUM('Raw Data (KG)'!E122:F122)</f>
        <v>915</v>
      </c>
      <c r="D122" s="73">
        <f>SUM('Raw Data (KG)'!G122:V122)</f>
        <v>63739</v>
      </c>
      <c r="E122" s="75">
        <f>'Raw Data (KG)'!W122</f>
        <v>673</v>
      </c>
      <c r="F122" s="76">
        <f>'Raw Food Data (KG)'!Q83</f>
        <v>23296.5</v>
      </c>
      <c r="G122" s="75">
        <f>'Raw Data (KG)'!R122</f>
        <v>7185</v>
      </c>
      <c r="H122" s="75">
        <f>'Raw Data (KG)'!S122</f>
        <v>14485</v>
      </c>
      <c r="I122" s="77">
        <f>'Raw Data (KG)'!Q122</f>
        <v>18000</v>
      </c>
      <c r="J122" s="75">
        <f>'Raw Data (KG)'!P122</f>
        <v>513</v>
      </c>
      <c r="K122" s="74">
        <f>'Raw Data (KG)'!H122+SUM('Raw Data (KG)'!J122:K122)+'Raw Data (KG)'!T122</f>
        <v>0</v>
      </c>
      <c r="L122" s="72">
        <f t="shared" si="3"/>
        <v>139476.5</v>
      </c>
    </row>
    <row r="123" spans="1:13" x14ac:dyDescent="0.2">
      <c r="A123" s="68">
        <v>45139</v>
      </c>
      <c r="B123" s="75">
        <f>SUM('Raw Data (KG)'!D123:D123)</f>
        <v>10732</v>
      </c>
      <c r="C123" s="75">
        <f>SUM('Raw Data (KG)'!E123:F123)</f>
        <v>872</v>
      </c>
      <c r="D123" s="73">
        <f>SUM('Raw Data (KG)'!G123:V123)</f>
        <v>71197.5</v>
      </c>
      <c r="E123" s="75">
        <f>'Raw Data (KG)'!W123</f>
        <v>996</v>
      </c>
      <c r="F123" s="76">
        <f>'Raw Food Data (KG)'!Q84</f>
        <v>28190.499999999996</v>
      </c>
      <c r="G123" s="75">
        <f>'Raw Data (KG)'!R123</f>
        <v>7200</v>
      </c>
      <c r="H123" s="75">
        <f>'Raw Data (KG)'!S123</f>
        <v>20070</v>
      </c>
      <c r="I123" s="77">
        <f>'Raw Data (KG)'!Q123</f>
        <v>15000</v>
      </c>
      <c r="J123" s="75">
        <f>'Raw Data (KG)'!P123</f>
        <v>435</v>
      </c>
      <c r="K123" s="74">
        <f>'Raw Data (KG)'!H123+SUM('Raw Data (KG)'!J123:K123)+'Raw Data (KG)'!T123</f>
        <v>21.1</v>
      </c>
      <c r="L123" s="72">
        <f t="shared" si="3"/>
        <v>154714.1</v>
      </c>
      <c r="M123" s="15">
        <f>SUM(L122:L130)</f>
        <v>1523593.7500000002</v>
      </c>
    </row>
    <row r="124" spans="1:13" x14ac:dyDescent="0.2">
      <c r="A124" s="68">
        <v>45170</v>
      </c>
      <c r="B124" s="75">
        <f>SUM('Raw Data (KG)'!D124:D124)</f>
        <v>11135</v>
      </c>
      <c r="C124" s="75">
        <f>SUM('Raw Data (KG)'!E124:F124)</f>
        <v>801</v>
      </c>
      <c r="D124" s="73">
        <f>SUM('Raw Data (KG)'!G124:V124)</f>
        <v>95299.35</v>
      </c>
      <c r="E124" s="75">
        <f>'Raw Data (KG)'!W124</f>
        <v>0</v>
      </c>
      <c r="F124" s="76">
        <f>'Raw Food Data (KG)'!Q85</f>
        <v>30387</v>
      </c>
      <c r="G124" s="75">
        <f>'Raw Data (KG)'!R124</f>
        <v>11215</v>
      </c>
      <c r="H124" s="75">
        <f>'Raw Data (KG)'!S124</f>
        <v>37770</v>
      </c>
      <c r="I124" s="77">
        <f>'Raw Data (KG)'!Q124</f>
        <v>15000</v>
      </c>
      <c r="J124" s="75">
        <f>'Raw Data (KG)'!P124</f>
        <v>531</v>
      </c>
      <c r="K124" s="74">
        <f>'Raw Data (KG)'!H124+SUM('Raw Data (KG)'!J124:K124)+'Raw Data (KG)'!T124</f>
        <v>91.6</v>
      </c>
      <c r="L124" s="72">
        <f t="shared" si="3"/>
        <v>202229.95</v>
      </c>
    </row>
    <row r="125" spans="1:13" x14ac:dyDescent="0.2">
      <c r="A125" s="68">
        <v>45200</v>
      </c>
      <c r="B125" s="75">
        <f>SUM('Raw Data (KG)'!D125:D125)</f>
        <v>11304</v>
      </c>
      <c r="C125" s="75">
        <f>SUM('Raw Data (KG)'!E125:F125)</f>
        <v>733</v>
      </c>
      <c r="D125" s="73">
        <f>SUM('Raw Data (KG)'!G125:V125)</f>
        <v>76415.600000000006</v>
      </c>
      <c r="E125" s="75">
        <f>'Raw Data (KG)'!W125</f>
        <v>1412</v>
      </c>
      <c r="F125" s="76">
        <f>'Raw Food Data (KG)'!Q86</f>
        <v>30156.499999999996</v>
      </c>
      <c r="G125" s="75">
        <f>'Raw Data (KG)'!R125</f>
        <v>9565</v>
      </c>
      <c r="H125" s="75">
        <f>'Raw Data (KG)'!S125</f>
        <v>20910</v>
      </c>
      <c r="I125" s="77">
        <f>'Raw Data (KG)'!Q125</f>
        <v>15000</v>
      </c>
      <c r="J125" s="75">
        <f>'Raw Data (KG)'!P125</f>
        <v>364.5</v>
      </c>
      <c r="K125" s="74">
        <f>'Raw Data (KG)'!H125+SUM('Raw Data (KG)'!J125:K125)+'Raw Data (KG)'!T125</f>
        <v>77</v>
      </c>
      <c r="L125" s="72">
        <f t="shared" si="3"/>
        <v>165937.60000000001</v>
      </c>
    </row>
    <row r="126" spans="1:13" x14ac:dyDescent="0.2">
      <c r="A126" s="69">
        <v>45231</v>
      </c>
      <c r="B126" s="75">
        <f>SUM('Raw Data (KG)'!D126:D126)</f>
        <v>13460</v>
      </c>
      <c r="C126" s="75">
        <f>SUM('Raw Data (KG)'!E126:F126)</f>
        <v>752</v>
      </c>
      <c r="D126" s="73">
        <f>SUM('Raw Data (KG)'!G126:V126)</f>
        <v>79550.2</v>
      </c>
      <c r="E126" s="75">
        <f>'Raw Data (KG)'!W126</f>
        <v>975</v>
      </c>
      <c r="F126" s="76">
        <f>'Raw Food Data (KG)'!Q87</f>
        <v>42615.9</v>
      </c>
      <c r="G126" s="75">
        <f>'Raw Data (KG)'!R126</f>
        <v>7803</v>
      </c>
      <c r="H126" s="75">
        <f>'Raw Data (KG)'!S126</f>
        <v>15947</v>
      </c>
      <c r="I126" s="77">
        <f>'Raw Data (KG)'!Q126</f>
        <v>12000</v>
      </c>
      <c r="J126" s="75">
        <f>'Raw Data (KG)'!P126</f>
        <v>737.5</v>
      </c>
      <c r="K126" s="74">
        <f>'Raw Data (KG)'!H126+SUM('Raw Data (KG)'!J126:K126)+'Raw Data (KG)'!T126</f>
        <v>27.2</v>
      </c>
      <c r="L126" s="72">
        <f t="shared" si="3"/>
        <v>173867.80000000002</v>
      </c>
    </row>
    <row r="127" spans="1:13" x14ac:dyDescent="0.2">
      <c r="A127" s="69">
        <v>45261</v>
      </c>
      <c r="B127" s="75">
        <f>SUM('Raw Data (KG)'!D127:D127)</f>
        <v>13442</v>
      </c>
      <c r="C127" s="75">
        <f>SUM('Raw Data (KG)'!E127:F127)</f>
        <v>342</v>
      </c>
      <c r="D127" s="73">
        <f>SUM('Raw Data (KG)'!G127:V127)</f>
        <v>80093.099999999991</v>
      </c>
      <c r="E127" s="75">
        <f>'Raw Data (KG)'!W127</f>
        <v>856</v>
      </c>
      <c r="F127" s="76">
        <f>'Raw Food Data (KG)'!Q88</f>
        <v>35693.299999999996</v>
      </c>
      <c r="G127" s="75">
        <f>'Raw Data (KG)'!R127</f>
        <v>19833</v>
      </c>
      <c r="H127" s="75">
        <f>'Raw Data (KG)'!S127</f>
        <v>7885</v>
      </c>
      <c r="I127" s="77">
        <f>'Raw Data (KG)'!Q127</f>
        <v>15000</v>
      </c>
      <c r="J127" s="75">
        <f>'Raw Data (KG)'!P127</f>
        <v>1285</v>
      </c>
      <c r="K127" s="74">
        <f>'Raw Data (KG)'!H127+SUM('Raw Data (KG)'!J127:K127)+'Raw Data (KG)'!T127</f>
        <v>0</v>
      </c>
      <c r="L127" s="72">
        <f t="shared" si="3"/>
        <v>174429.4</v>
      </c>
    </row>
    <row r="128" spans="1:13" x14ac:dyDescent="0.2">
      <c r="A128" s="69">
        <v>45292</v>
      </c>
      <c r="B128" s="75">
        <f>SUM('Raw Data (KG)'!D128:D128)</f>
        <v>13416</v>
      </c>
      <c r="C128" s="75">
        <f>SUM('Raw Data (KG)'!E128:F128)</f>
        <v>735</v>
      </c>
      <c r="D128" s="73">
        <f>SUM('Raw Data (KG)'!G128:V128)</f>
        <v>78479.199999999997</v>
      </c>
      <c r="E128" s="75">
        <f>'Raw Data (KG)'!W128</f>
        <v>0</v>
      </c>
      <c r="F128" s="76">
        <f>'Raw Food Data (KG)'!Q89</f>
        <v>29377.9</v>
      </c>
      <c r="G128" s="75">
        <f>'Raw Data (KG)'!R128</f>
        <v>21650</v>
      </c>
      <c r="H128" s="75">
        <f>'Raw Data (KG)'!S128</f>
        <v>7650</v>
      </c>
      <c r="I128" s="77">
        <f>'Raw Data (KG)'!Q128</f>
        <v>18000</v>
      </c>
      <c r="J128" s="75">
        <f>'Raw Data (KG)'!P128</f>
        <v>917.5</v>
      </c>
      <c r="K128" s="74">
        <f>'Raw Data (KG)'!H128+SUM('Raw Data (KG)'!J128:K128)+'Raw Data (KG)'!T128</f>
        <v>505</v>
      </c>
      <c r="L128" s="72">
        <f t="shared" si="3"/>
        <v>170730.6</v>
      </c>
    </row>
    <row r="129" spans="1:15" x14ac:dyDescent="0.2">
      <c r="A129" s="69">
        <v>45323</v>
      </c>
      <c r="B129" s="75">
        <f>SUM('Raw Data (KG)'!D129:D129)</f>
        <v>12589</v>
      </c>
      <c r="C129" s="75">
        <f>SUM('Raw Data (KG)'!E129:F129)</f>
        <v>318</v>
      </c>
      <c r="D129" s="73">
        <f>SUM('Raw Data (KG)'!G129:V129)</f>
        <v>73507.799999999988</v>
      </c>
      <c r="E129" s="75">
        <f>'Raw Data (KG)'!W129</f>
        <v>698</v>
      </c>
      <c r="F129" s="76">
        <f>'Raw Food Data (KG)'!Q90</f>
        <v>35652.6</v>
      </c>
      <c r="G129" s="75">
        <f>'Raw Data (KG)'!R129</f>
        <v>15470</v>
      </c>
      <c r="H129" s="75">
        <f>'Raw Data (KG)'!S129</f>
        <v>6340</v>
      </c>
      <c r="I129" s="77">
        <f>'Raw Data (KG)'!Q129</f>
        <v>15000</v>
      </c>
      <c r="J129" s="75">
        <f>'Raw Data (KG)'!P129</f>
        <v>353.1</v>
      </c>
      <c r="K129" s="74">
        <f>'Raw Data (KG)'!H129+SUM('Raw Data (KG)'!J129:K129)+'Raw Data (KG)'!T129</f>
        <v>320.7</v>
      </c>
      <c r="L129" s="72">
        <f t="shared" si="3"/>
        <v>160249.20000000001</v>
      </c>
    </row>
    <row r="130" spans="1:15" x14ac:dyDescent="0.2">
      <c r="A130" s="69">
        <v>45352</v>
      </c>
      <c r="B130" s="75">
        <f>SUM('Raw Data (KG)'!D130:D130)</f>
        <v>13346</v>
      </c>
      <c r="C130" s="75">
        <f>SUM('Raw Data (KG)'!E130:F130)</f>
        <v>533</v>
      </c>
      <c r="D130" s="73">
        <f>SUM('Raw Data (KG)'!G130:V130)</f>
        <v>83949.200000000012</v>
      </c>
      <c r="E130" s="75">
        <f>'Raw Data (KG)'!W130</f>
        <v>597</v>
      </c>
      <c r="F130" s="76">
        <f>'Raw Food Data (KG)'!Q91</f>
        <v>43510.8</v>
      </c>
      <c r="G130" s="75">
        <f>'Raw Data (KG)'!R130</f>
        <v>17465</v>
      </c>
      <c r="H130" s="75">
        <f>'Raw Data (KG)'!S130</f>
        <v>6740</v>
      </c>
      <c r="I130" s="77">
        <f>'Raw Data (KG)'!Q130</f>
        <v>15000</v>
      </c>
      <c r="J130" s="75">
        <f>'Raw Data (KG)'!P130</f>
        <v>785</v>
      </c>
      <c r="K130" s="74">
        <f>'Raw Data (KG)'!H130+SUM('Raw Data (KG)'!J130:K130)+'Raw Data (KG)'!T130</f>
        <v>32.6</v>
      </c>
      <c r="L130" s="72">
        <f t="shared" ref="L130:L135" si="4">SUM(B130:K130)</f>
        <v>181958.6</v>
      </c>
    </row>
    <row r="131" spans="1:15" x14ac:dyDescent="0.2">
      <c r="A131" s="69">
        <v>45383</v>
      </c>
      <c r="B131" s="75">
        <f>SUM('Raw Data (KG)'!D131:D131)</f>
        <v>12371</v>
      </c>
      <c r="C131" s="75">
        <f>SUM('Raw Data (KG)'!E131:F131)</f>
        <v>739</v>
      </c>
      <c r="D131" s="73">
        <f>SUM('Raw Data (KG)'!G131:V131)</f>
        <v>75206.600000000006</v>
      </c>
      <c r="E131" s="75">
        <f>'Raw Data (KG)'!W131</f>
        <v>917</v>
      </c>
      <c r="F131" s="76">
        <f>'Raw Food Data (KG)'!Q92</f>
        <v>39601</v>
      </c>
      <c r="G131" s="75">
        <f>'Raw Data (KG)'!R131</f>
        <v>6415</v>
      </c>
      <c r="H131" s="75">
        <f>'Raw Data (KG)'!S131</f>
        <v>13000</v>
      </c>
      <c r="I131" s="77">
        <f>'Raw Data (KG)'!Q131</f>
        <v>15000</v>
      </c>
      <c r="J131" s="75">
        <f>'Raw Data (KG)'!P131</f>
        <v>440</v>
      </c>
      <c r="K131" s="74">
        <f>'Raw Data (KG)'!H131+SUM('Raw Data (KG)'!J131:K131)+'Raw Data (KG)'!T131</f>
        <v>272.8</v>
      </c>
      <c r="L131" s="72">
        <f t="shared" si="4"/>
        <v>163962.4</v>
      </c>
    </row>
    <row r="132" spans="1:15" x14ac:dyDescent="0.2">
      <c r="A132" s="69">
        <v>45413</v>
      </c>
      <c r="B132" s="75">
        <f>SUM('Raw Data (KG)'!D132:D132)</f>
        <v>13434</v>
      </c>
      <c r="C132" s="75">
        <f>SUM('Raw Data (KG)'!E132:F132)</f>
        <v>757</v>
      </c>
      <c r="D132" s="73">
        <f>SUM('Raw Data (KG)'!G132:V132)</f>
        <v>73151.199999999997</v>
      </c>
      <c r="E132" s="75">
        <f>'Raw Data (KG)'!W132</f>
        <v>321</v>
      </c>
      <c r="F132" s="76">
        <f>'Raw Food Data (KG)'!Q93</f>
        <v>40905.300000000003</v>
      </c>
      <c r="G132" s="75">
        <f>'Raw Data (KG)'!R132</f>
        <v>7575</v>
      </c>
      <c r="H132" s="75">
        <f>'Raw Data (KG)'!S132</f>
        <v>11695</v>
      </c>
      <c r="I132" s="77">
        <f>'Raw Data (KG)'!Q132</f>
        <v>12000</v>
      </c>
      <c r="J132" s="75">
        <f>'Raw Data (KG)'!P132</f>
        <v>359</v>
      </c>
      <c r="K132" s="74">
        <f>'Raw Data (KG)'!H132+SUM('Raw Data (KG)'!J132:K132)+'Raw Data (KG)'!T132</f>
        <v>150.69999999999999</v>
      </c>
      <c r="L132" s="72">
        <f t="shared" si="4"/>
        <v>160348.20000000001</v>
      </c>
    </row>
    <row r="133" spans="1:15" x14ac:dyDescent="0.2">
      <c r="A133" s="69">
        <v>45444</v>
      </c>
      <c r="B133" s="75">
        <f>SUM('Raw Data (KG)'!D133:D133)</f>
        <v>12778</v>
      </c>
      <c r="C133" s="75">
        <f>SUM('Raw Data (KG)'!E133:F133)</f>
        <v>1087</v>
      </c>
      <c r="D133" s="73">
        <f>SUM('Raw Data (KG)'!G133:V133)</f>
        <v>68048.2</v>
      </c>
      <c r="E133" s="75">
        <f>'Raw Data (KG)'!W133</f>
        <v>612</v>
      </c>
      <c r="F133" s="76">
        <f>'Raw Food Data (KG)'!Q94</f>
        <v>30060</v>
      </c>
      <c r="G133" s="75">
        <f>'Raw Data (KG)'!R133</f>
        <v>4565</v>
      </c>
      <c r="H133" s="75">
        <f>'Raw Data (KG)'!S133</f>
        <v>14570</v>
      </c>
      <c r="I133" s="77">
        <f>'Raw Data (KG)'!Q133</f>
        <v>18000</v>
      </c>
      <c r="J133" s="75">
        <f>'Raw Data (KG)'!P133</f>
        <v>372.5</v>
      </c>
      <c r="K133" s="74">
        <f>'Raw Data (KG)'!H133+SUM('Raw Data (KG)'!J133:K133)+'Raw Data (KG)'!T133</f>
        <v>33.700000000000003</v>
      </c>
      <c r="L133" s="72">
        <f t="shared" si="4"/>
        <v>150126.40000000002</v>
      </c>
      <c r="M133" s="15">
        <f>SUM(L122:L133)</f>
        <v>1998030.75</v>
      </c>
    </row>
    <row r="134" spans="1:15" x14ac:dyDescent="0.2">
      <c r="A134" s="69">
        <v>45474</v>
      </c>
      <c r="B134" s="9">
        <f>SUM('Raw Data (KG)'!D134:D134)</f>
        <v>12412</v>
      </c>
      <c r="C134" s="9">
        <f>SUM('Raw Data (KG)'!E134:F134)</f>
        <v>894</v>
      </c>
      <c r="D134" s="8">
        <f>SUM('Raw Data (KG)'!G134:V134)</f>
        <v>73773</v>
      </c>
      <c r="E134" s="9">
        <f>'Raw Data (KG)'!W134</f>
        <v>704</v>
      </c>
      <c r="F134" s="7">
        <f>'Raw Food Data (KG)'!Q95</f>
        <v>34108.800000000003</v>
      </c>
      <c r="G134" s="9">
        <f>'Raw Data (KG)'!R134</f>
        <v>6540</v>
      </c>
      <c r="H134" s="9">
        <f>'Raw Data (KG)'!S134</f>
        <v>13230</v>
      </c>
      <c r="I134" s="352">
        <f>'Raw Data (KG)'!Q134</f>
        <v>18000</v>
      </c>
      <c r="J134" s="9">
        <f>'Raw Data (KG)'!P134</f>
        <v>1459.5</v>
      </c>
      <c r="K134" s="62">
        <f>'Raw Data (KG)'!H134+SUM('Raw Data (KG)'!J134:K134)+SUM('Raw Data (KG)'!M134:O134)+'Raw Data (KG)'!T134</f>
        <v>11.7</v>
      </c>
      <c r="L134" s="15">
        <f t="shared" si="4"/>
        <v>161133</v>
      </c>
    </row>
    <row r="135" spans="1:15" x14ac:dyDescent="0.2">
      <c r="A135" s="69">
        <v>45505</v>
      </c>
      <c r="B135" s="9">
        <f>SUM('Raw Data (KG)'!D135:D135)</f>
        <v>13553</v>
      </c>
      <c r="C135" s="9">
        <f>SUM('Raw Data (KG)'!E135:F135)</f>
        <v>387</v>
      </c>
      <c r="D135" s="8">
        <f>SUM('Raw Data (KG)'!G135:V135)</f>
        <v>82941.7</v>
      </c>
      <c r="E135" s="9">
        <f>'Raw Data (KG)'!W135</f>
        <v>479</v>
      </c>
      <c r="F135" s="7">
        <f>'Raw Food Data (KG)'!Q96</f>
        <v>36595.5</v>
      </c>
      <c r="G135" s="9">
        <f>'Raw Data (KG)'!R135</f>
        <v>7880</v>
      </c>
      <c r="H135" s="9">
        <f>'Raw Data (KG)'!S135</f>
        <v>16335</v>
      </c>
      <c r="I135" s="352">
        <f>'Raw Data (KG)'!Q135</f>
        <v>21000</v>
      </c>
      <c r="J135" s="9">
        <f>'Raw Data (KG)'!P135</f>
        <v>574</v>
      </c>
      <c r="K135" s="62">
        <f>'Raw Data (KG)'!H135+SUM('Raw Data (KG)'!J135:K135)+SUM('Raw Data (KG)'!M135:O135)+'Raw Data (KG)'!T135</f>
        <v>126.2</v>
      </c>
      <c r="L135" s="15">
        <f t="shared" si="4"/>
        <v>179871.40000000002</v>
      </c>
    </row>
    <row r="136" spans="1:15" x14ac:dyDescent="0.2">
      <c r="A136" s="69">
        <v>45536</v>
      </c>
      <c r="B136" s="9">
        <f>SUM('Raw Data (KG)'!D136:D136)</f>
        <v>13355</v>
      </c>
      <c r="C136" s="9">
        <f>SUM('Raw Data (KG)'!E136:F136)</f>
        <v>608</v>
      </c>
      <c r="D136" s="8">
        <f>SUM('Raw Data (KG)'!G136:V136)</f>
        <v>84378.3</v>
      </c>
      <c r="E136" s="9">
        <f>'Raw Data (KG)'!W136</f>
        <v>432</v>
      </c>
      <c r="F136" s="7">
        <f>'Raw Food Data (KG)'!Q97</f>
        <v>46111.7</v>
      </c>
      <c r="G136" s="9">
        <f>'Raw Data (KG)'!R136</f>
        <v>6620</v>
      </c>
      <c r="H136" s="9">
        <f>'Raw Data (KG)'!S136</f>
        <v>17160</v>
      </c>
      <c r="I136" s="352">
        <f>'Raw Data (KG)'!Q136</f>
        <v>12000</v>
      </c>
      <c r="J136" s="9">
        <f>'Raw Data (KG)'!P136</f>
        <v>1960</v>
      </c>
      <c r="K136" s="62">
        <f>'Raw Data (KG)'!H136+SUM('Raw Data (KG)'!J136:K136)+SUM('Raw Data (KG)'!M136:O136)+'Raw Data (KG)'!T136</f>
        <v>98.6</v>
      </c>
      <c r="L136" s="15">
        <f t="shared" ref="L136" si="5">SUM(B136:K136)</f>
        <v>182723.6</v>
      </c>
    </row>
    <row r="137" spans="1:15" x14ac:dyDescent="0.2">
      <c r="A137" s="69">
        <v>45566</v>
      </c>
      <c r="B137" s="9">
        <f>SUM('Raw Data (KG)'!D137:D137)</f>
        <v>14395</v>
      </c>
      <c r="C137" s="9">
        <f>SUM('Raw Data (KG)'!E137:F137)</f>
        <v>731</v>
      </c>
      <c r="D137" s="8">
        <f>SUM('Raw Data (KG)'!G137:V137)</f>
        <v>87340.800000000003</v>
      </c>
      <c r="E137" s="9">
        <f>'Raw Data (KG)'!W137</f>
        <v>483.3</v>
      </c>
      <c r="F137" s="7">
        <f>'Raw Food Data (KG)'!Q98</f>
        <v>50542.2</v>
      </c>
      <c r="G137" s="9">
        <f>'Raw Data (KG)'!R137</f>
        <v>6395</v>
      </c>
      <c r="H137" s="9">
        <f>'Raw Data (KG)'!S137</f>
        <v>16830</v>
      </c>
      <c r="I137" s="352">
        <f>'Raw Data (KG)'!Q137</f>
        <v>12000</v>
      </c>
      <c r="J137" s="9">
        <f>'Raw Data (KG)'!P137</f>
        <v>945</v>
      </c>
      <c r="K137" s="62">
        <f>'Raw Data (KG)'!H137+SUM('Raw Data (KG)'!J137:K137)+SUM('Raw Data (KG)'!M137:O137)+'Raw Data (KG)'!T137</f>
        <v>149.6</v>
      </c>
      <c r="L137" s="15">
        <f t="shared" ref="L137:L139" si="6">SUM(B137:K137)</f>
        <v>189811.9</v>
      </c>
    </row>
    <row r="138" spans="1:15" x14ac:dyDescent="0.2">
      <c r="A138" s="69">
        <v>45597</v>
      </c>
      <c r="B138" s="9">
        <f>SUM('Raw Data (KG)'!D138:D138)</f>
        <v>13980</v>
      </c>
      <c r="C138" s="9">
        <f>SUM('Raw Data (KG)'!E138:F138)</f>
        <v>1080</v>
      </c>
      <c r="D138" s="8">
        <f>SUM('Raw Data (KG)'!G138:V138)</f>
        <v>88413.1</v>
      </c>
      <c r="E138" s="9">
        <f>'Raw Data (KG)'!W138</f>
        <v>597</v>
      </c>
      <c r="F138" s="7">
        <f>'Raw Food Data (KG)'!Q99</f>
        <v>50742.400000000009</v>
      </c>
      <c r="G138" s="9">
        <f>'Raw Data (KG)'!R138</f>
        <v>6575</v>
      </c>
      <c r="H138" s="9">
        <f>'Raw Data (KG)'!S138</f>
        <v>12345</v>
      </c>
      <c r="I138" s="352">
        <f>'Raw Data (KG)'!Q138</f>
        <v>18000</v>
      </c>
      <c r="J138" s="9">
        <f>'Raw Data (KG)'!P138</f>
        <v>252</v>
      </c>
      <c r="K138" s="62">
        <f>'Raw Data (KG)'!H138+SUM('Raw Data (KG)'!J138:K138)+SUM('Raw Data (KG)'!M138:O138)+'Raw Data (KG)'!T138</f>
        <v>47.7</v>
      </c>
      <c r="L138" s="15">
        <f t="shared" si="6"/>
        <v>192032.2</v>
      </c>
    </row>
    <row r="139" spans="1:15" x14ac:dyDescent="0.2">
      <c r="A139" s="69">
        <v>45627</v>
      </c>
      <c r="B139" s="9">
        <f>SUM('Raw Data (KG)'!D139:D139)</f>
        <v>13076</v>
      </c>
      <c r="C139" s="9">
        <f>SUM('Raw Data (KG)'!E139:F139)</f>
        <v>875</v>
      </c>
      <c r="D139" s="8">
        <f>SUM('Raw Data (KG)'!G139:V139)</f>
        <v>71041.399999999994</v>
      </c>
      <c r="E139" s="9">
        <f>'Raw Data (KG)'!W139</f>
        <v>500.3</v>
      </c>
      <c r="F139" s="7">
        <f>'Raw Food Data (KG)'!Q100</f>
        <v>42777</v>
      </c>
      <c r="G139" s="9">
        <f>'Raw Data (KG)'!R139</f>
        <v>4805</v>
      </c>
      <c r="H139" s="9">
        <f>'Raw Data (KG)'!S139</f>
        <v>10635</v>
      </c>
      <c r="I139" s="352">
        <f>'Raw Data (KG)'!Q139</f>
        <v>12000</v>
      </c>
      <c r="J139" s="9">
        <f>'Raw Data (KG)'!P139</f>
        <v>324</v>
      </c>
      <c r="K139" s="62">
        <f>'Raw Data (KG)'!H139+SUM('Raw Data (KG)'!J139:K139)+SUM('Raw Data (KG)'!M139:O139)+'Raw Data (KG)'!T139</f>
        <v>104.4</v>
      </c>
      <c r="L139" s="15">
        <f t="shared" si="6"/>
        <v>156138.1</v>
      </c>
    </row>
    <row r="140" spans="1:15" x14ac:dyDescent="0.2">
      <c r="A140" s="369">
        <v>45658</v>
      </c>
      <c r="B140" s="9">
        <f>SUM('Raw Data (KG)'!D140:D140)</f>
        <v>12180</v>
      </c>
      <c r="C140" s="9">
        <f>SUM('Raw Data (KG)'!E140:F140)</f>
        <v>337</v>
      </c>
      <c r="D140" s="8">
        <f>SUM('Raw Data (KG)'!G140:V140)</f>
        <v>68941.5</v>
      </c>
      <c r="E140" s="9">
        <f>'Raw Data (KG)'!W140</f>
        <v>535.70000000000005</v>
      </c>
      <c r="F140" s="7">
        <f>'Raw Food Data (KG)'!Q101</f>
        <v>32055</v>
      </c>
      <c r="G140" s="9">
        <f>'Raw Data (KG)'!R140</f>
        <v>6125</v>
      </c>
      <c r="H140" s="9">
        <f>'Raw Data (KG)'!S140</f>
        <v>14663</v>
      </c>
      <c r="I140" s="352">
        <f>'Raw Data (KG)'!Q140</f>
        <v>15000</v>
      </c>
      <c r="J140" s="9">
        <f>'Raw Data (KG)'!P140</f>
        <v>702</v>
      </c>
      <c r="K140" s="62">
        <f>'Raw Data (KG)'!H140+SUM('Raw Data (KG)'!J140:K140)+SUM('Raw Data (KG)'!M140:O140)+'Raw Data (KG)'!T140</f>
        <v>8.5</v>
      </c>
      <c r="L140" s="15">
        <f t="shared" ref="L140:L145" si="7">SUM(B140:K140)</f>
        <v>150547.70000000001</v>
      </c>
    </row>
    <row r="141" spans="1:15" x14ac:dyDescent="0.2">
      <c r="A141" s="369">
        <v>45689</v>
      </c>
      <c r="B141" s="9">
        <f>SUM('Raw Data (KG)'!D141:D141)</f>
        <v>12819</v>
      </c>
      <c r="C141" s="9">
        <f>SUM('Raw Data (KG)'!E141:F141)</f>
        <v>854</v>
      </c>
      <c r="D141" s="8">
        <f>SUM('Raw Data (KG)'!G141:V141)</f>
        <v>71754.3</v>
      </c>
      <c r="E141" s="9">
        <f>'Raw Data (KG)'!W141</f>
        <v>307.5</v>
      </c>
      <c r="F141" s="7">
        <f>'Raw Food Data (KG)'!Q102</f>
        <v>41573.300000000003</v>
      </c>
      <c r="G141" s="9">
        <f>'Raw Data (KG)'!R141</f>
        <v>6455</v>
      </c>
      <c r="H141" s="9">
        <f>'Raw Data (KG)'!S141</f>
        <v>10741</v>
      </c>
      <c r="I141" s="352">
        <f>'Raw Data (KG)'!Q141</f>
        <v>12000</v>
      </c>
      <c r="J141" s="9">
        <f>'Raw Data (KG)'!P141</f>
        <v>403</v>
      </c>
      <c r="K141" s="62">
        <f>'Raw Data (KG)'!H141+SUM('Raw Data (KG)'!J141:K141)+SUM('Raw Data (KG)'!M141:O141)+'Raw Data (KG)'!T141</f>
        <v>144</v>
      </c>
      <c r="L141" s="15">
        <f t="shared" si="7"/>
        <v>157051.1</v>
      </c>
    </row>
    <row r="142" spans="1:15" x14ac:dyDescent="0.2">
      <c r="A142" s="369">
        <v>45717</v>
      </c>
      <c r="B142" s="9">
        <f>SUM('Raw Data (KG)'!D142:D142)</f>
        <v>13802</v>
      </c>
      <c r="C142" s="9">
        <f>SUM('Raw Data (KG)'!E142:F142)</f>
        <v>1033</v>
      </c>
      <c r="D142" s="8">
        <f>SUM('Raw Data (KG)'!G142:V142)</f>
        <v>85626.6</v>
      </c>
      <c r="E142" s="9">
        <f>'Raw Data (KG)'!W142</f>
        <v>913</v>
      </c>
      <c r="F142" s="7">
        <f>'Raw Food Data (KG)'!Q103</f>
        <v>49419.1</v>
      </c>
      <c r="G142" s="9">
        <f>'Raw Data (KG)'!R142</f>
        <v>5720</v>
      </c>
      <c r="H142" s="9">
        <f>'Raw Data (KG)'!S142</f>
        <v>10890</v>
      </c>
      <c r="I142" s="352">
        <f>'Raw Data (KG)'!Q142</f>
        <v>18000</v>
      </c>
      <c r="J142" s="9">
        <f>'Raw Data (KG)'!P142</f>
        <v>779.5</v>
      </c>
      <c r="K142" s="62">
        <f>'Raw Data (KG)'!H142+SUM('Raw Data (KG)'!J142:K142)+SUM('Raw Data (KG)'!M142:O142)+'Raw Data (KG)'!T142</f>
        <v>192</v>
      </c>
      <c r="L142" s="15">
        <f t="shared" si="7"/>
        <v>186375.2</v>
      </c>
      <c r="O142" s="14"/>
    </row>
    <row r="143" spans="1:15" x14ac:dyDescent="0.2">
      <c r="A143" s="369">
        <v>45748</v>
      </c>
      <c r="B143" s="9">
        <f>SUM('Raw Data (KG)'!D143:D143)</f>
        <v>13793</v>
      </c>
      <c r="C143" s="9">
        <f>SUM('Raw Data (KG)'!E143:F143)</f>
        <v>1358</v>
      </c>
      <c r="D143" s="8">
        <f>SUM('Raw Data (KG)'!G143:V143)</f>
        <v>76869.600000000006</v>
      </c>
      <c r="E143" s="9">
        <f>'Raw Data (KG)'!W143</f>
        <v>0</v>
      </c>
      <c r="F143" s="7">
        <f>'Raw Food Data (KG)'!Q104</f>
        <v>42293.100000000006</v>
      </c>
      <c r="G143" s="9">
        <f>'Raw Data (KG)'!R143</f>
        <v>5518</v>
      </c>
      <c r="H143" s="9">
        <f>'Raw Data (KG)'!S143</f>
        <v>13267</v>
      </c>
      <c r="I143" s="352">
        <f>'Raw Data (KG)'!Q143</f>
        <v>15000</v>
      </c>
      <c r="J143" s="9">
        <f>'Raw Data (KG)'!P143</f>
        <v>108.5</v>
      </c>
      <c r="K143" s="62">
        <f>'Raw Data (KG)'!H143+SUM('Raw Data (KG)'!J143:K143)+SUM('Raw Data (KG)'!M143:O143)+'Raw Data (KG)'!T143</f>
        <v>211</v>
      </c>
      <c r="L143" s="15">
        <f t="shared" si="7"/>
        <v>168418.2</v>
      </c>
    </row>
    <row r="144" spans="1:15" x14ac:dyDescent="0.2">
      <c r="A144" s="369">
        <v>45778</v>
      </c>
      <c r="B144" s="9">
        <f>SUM('Raw Data (KG)'!D144:D144)</f>
        <v>13599</v>
      </c>
      <c r="C144" s="9">
        <f>SUM('Raw Data (KG)'!E144:F144)</f>
        <v>1195</v>
      </c>
      <c r="D144" s="8">
        <f>SUM('Raw Data (KG)'!G144:V144)</f>
        <v>79513.000000000015</v>
      </c>
      <c r="E144" s="9">
        <f>'Raw Data (KG)'!W144</f>
        <v>774.4</v>
      </c>
      <c r="F144" s="7">
        <f>'Raw Food Data (KG)'!Q105</f>
        <v>44778.400000000009</v>
      </c>
      <c r="G144" s="9">
        <f>'Raw Data (KG)'!R144</f>
        <v>5925</v>
      </c>
      <c r="H144" s="9">
        <f>'Raw Data (KG)'!S144</f>
        <v>9595</v>
      </c>
      <c r="I144" s="352">
        <f>'Raw Data (KG)'!Q144</f>
        <v>18000</v>
      </c>
      <c r="J144" s="9">
        <f>'Raw Data (KG)'!P144</f>
        <v>475.5</v>
      </c>
      <c r="K144" s="62">
        <f>'Raw Data (KG)'!H144+SUM('Raw Data (KG)'!J144:K144)+SUM('Raw Data (KG)'!M144:O144)+'Raw Data (KG)'!T144</f>
        <v>196.1</v>
      </c>
      <c r="L144" s="15">
        <f t="shared" si="7"/>
        <v>174051.40000000002</v>
      </c>
    </row>
    <row r="145" spans="1:12" x14ac:dyDescent="0.2">
      <c r="A145" s="369">
        <v>45809</v>
      </c>
      <c r="B145" s="9">
        <f>SUM('Raw Data (KG)'!D145:D145)</f>
        <v>12886</v>
      </c>
      <c r="C145" s="9">
        <f>SUM('Raw Data (KG)'!E145:F145)</f>
        <v>979</v>
      </c>
      <c r="D145" s="8">
        <f>SUM('Raw Data (KG)'!G145:V145)</f>
        <v>74900.7</v>
      </c>
      <c r="E145" s="9">
        <f>'Raw Data (KG)'!W145</f>
        <v>314.60000000000002</v>
      </c>
      <c r="F145" s="7">
        <f>'Raw Food Data (KG)'!Q106</f>
        <v>31534.400000000001</v>
      </c>
      <c r="G145" s="9">
        <f>'Raw Data (KG)'!R145</f>
        <v>5780</v>
      </c>
      <c r="H145" s="9">
        <f>'Raw Data (KG)'!S145</f>
        <v>18235</v>
      </c>
      <c r="I145" s="352">
        <f>'Raw Data (KG)'!Q145</f>
        <v>18000</v>
      </c>
      <c r="J145" s="9">
        <f>'Raw Data (KG)'!P145</f>
        <v>671.5</v>
      </c>
      <c r="K145" s="62">
        <f>'Raw Data (KG)'!H145+SUM('Raw Data (KG)'!J145:K145)+SUM('Raw Data (KG)'!M145:O145)+'Raw Data (KG)'!T145</f>
        <v>203.8</v>
      </c>
      <c r="L145" s="15">
        <f t="shared" si="7"/>
        <v>163505</v>
      </c>
    </row>
    <row r="146" spans="1:12" x14ac:dyDescent="0.2">
      <c r="A146" s="369">
        <v>45839</v>
      </c>
      <c r="B146" s="9">
        <f>SUM('Raw Data (KG)'!D146:D146)</f>
        <v>14144</v>
      </c>
      <c r="C146" s="9">
        <f>SUM('Raw Data (KG)'!E146:F146)</f>
        <v>1062</v>
      </c>
      <c r="D146" s="8">
        <f>SUM('Raw Data (KG)'!G146:V146)</f>
        <v>64664.799999999996</v>
      </c>
      <c r="E146" s="9">
        <f>'Raw Data (KG)'!W146</f>
        <v>0</v>
      </c>
      <c r="F146" s="7">
        <f>'Raw Food Data (KG)'!Q107</f>
        <v>30759.799999999996</v>
      </c>
      <c r="G146" s="9">
        <f>'Raw Data (KG)'!R146</f>
        <v>6740</v>
      </c>
      <c r="H146" s="9">
        <f>'Raw Data (KG)'!S146</f>
        <v>13345</v>
      </c>
      <c r="I146" s="352">
        <f>'Raw Data (KG)'!Q146</f>
        <v>13120</v>
      </c>
      <c r="J146" s="9">
        <f>'Raw Data (KG)'!P146</f>
        <v>0</v>
      </c>
      <c r="K146" s="62">
        <f>'Raw Data (KG)'!H146+SUM('Raw Data (KG)'!J146:K146)+SUM('Raw Data (KG)'!M146:O146)+'Raw Data (KG)'!T146</f>
        <v>184</v>
      </c>
      <c r="L146" s="15">
        <f t="shared" ref="L146:L156" si="8">SUM(B146:K146)</f>
        <v>144019.59999999998</v>
      </c>
    </row>
    <row r="147" spans="1:12" x14ac:dyDescent="0.2">
      <c r="A147" s="369">
        <v>45870</v>
      </c>
      <c r="B147" s="9">
        <f>SUM('Raw Data (KG)'!D147:D147)</f>
        <v>14513</v>
      </c>
      <c r="C147" s="9">
        <f>SUM('Raw Data (KG)'!E147:F147)</f>
        <v>890</v>
      </c>
      <c r="D147" s="8">
        <f>SUM('Raw Data (KG)'!G147:V147)</f>
        <v>77380.2</v>
      </c>
      <c r="E147" s="9">
        <f>'Raw Data (KG)'!W147</f>
        <v>893</v>
      </c>
      <c r="F147" s="7">
        <f>'Raw Food Data (KG)'!Q108</f>
        <v>31994.2</v>
      </c>
      <c r="G147" s="9">
        <f>'Raw Data (KG)'!R147</f>
        <v>8680</v>
      </c>
      <c r="H147" s="9">
        <f>'Raw Data (KG)'!S147</f>
        <v>20840</v>
      </c>
      <c r="I147" s="352">
        <f>'Raw Data (KG)'!Q147</f>
        <v>15150</v>
      </c>
      <c r="J147" s="9">
        <f>'Raw Data (KG)'!P147</f>
        <v>0</v>
      </c>
      <c r="K147" s="62">
        <f>'Raw Data (KG)'!H147+SUM('Raw Data (KG)'!J147:K147)+SUM('Raw Data (KG)'!M147:O147)+'Raw Data (KG)'!T147</f>
        <v>171</v>
      </c>
      <c r="L147" s="15">
        <f t="shared" si="8"/>
        <v>170511.4</v>
      </c>
    </row>
    <row r="148" spans="1:12" x14ac:dyDescent="0.2">
      <c r="A148" s="369">
        <v>45901</v>
      </c>
      <c r="B148" s="9">
        <f>SUM('Raw Data (KG)'!D148:D148)</f>
        <v>14116</v>
      </c>
      <c r="C148" s="9">
        <f>SUM('Raw Data (KG)'!E148:F148)</f>
        <v>1915</v>
      </c>
      <c r="D148" s="8">
        <f>SUM('Raw Data (KG)'!G148:V148)</f>
        <v>81601.399999999994</v>
      </c>
      <c r="E148" s="9" t="str">
        <f>'Raw Data (KG)'!W148</f>
        <v>-</v>
      </c>
      <c r="F148" s="7">
        <f>'Raw Food Data (KG)'!Q109</f>
        <v>42403.399999999994</v>
      </c>
      <c r="G148" s="9">
        <f>'Raw Data (KG)'!R148</f>
        <v>11010</v>
      </c>
      <c r="H148" s="9">
        <f>'Raw Data (KG)'!S148</f>
        <v>13360</v>
      </c>
      <c r="I148" s="352">
        <f>'Raw Data (KG)'!Q148</f>
        <v>14305</v>
      </c>
      <c r="J148" s="9">
        <f>'Raw Data (KG)'!P148</f>
        <v>0</v>
      </c>
      <c r="K148" s="62">
        <f>'Raw Data (KG)'!H148+SUM('Raw Data (KG)'!J148:K148)+SUM('Raw Data (KG)'!M148:O148)+'Raw Data (KG)'!T148</f>
        <v>5</v>
      </c>
      <c r="L148" s="15">
        <f t="shared" si="8"/>
        <v>178715.8</v>
      </c>
    </row>
    <row r="149" spans="1:12" x14ac:dyDescent="0.2">
      <c r="A149" s="369">
        <v>45931</v>
      </c>
      <c r="B149" s="9">
        <f>SUM('Raw Data (KG)'!D149:D149)</f>
        <v>13952</v>
      </c>
      <c r="C149" s="9">
        <f>SUM('Raw Data (KG)'!E149:F149)</f>
        <v>1164</v>
      </c>
      <c r="D149" s="8">
        <f>SUM('Raw Data (KG)'!G149:V149)</f>
        <v>86429.299999999988</v>
      </c>
      <c r="E149" s="9">
        <f>'Raw Data (KG)'!W149</f>
        <v>191.2</v>
      </c>
      <c r="F149" s="7">
        <f>'Raw Food Data (KG)'!Q110</f>
        <v>47055.799999999996</v>
      </c>
      <c r="G149" s="9">
        <f>'Raw Data (KG)'!R149</f>
        <v>10020</v>
      </c>
      <c r="H149" s="9">
        <f>'Raw Data (KG)'!S149</f>
        <v>19145</v>
      </c>
      <c r="I149" s="352">
        <f>'Raw Data (KG)'!Q149</f>
        <v>9655</v>
      </c>
      <c r="J149" s="9">
        <f>'Raw Data (KG)'!P149</f>
        <v>0</v>
      </c>
      <c r="K149" s="62">
        <f>'Raw Data (KG)'!H149+SUM('Raw Data (KG)'!J149:K149)+SUM('Raw Data (KG)'!M149:O149)+'Raw Data (KG)'!T149</f>
        <v>53.5</v>
      </c>
      <c r="L149" s="15">
        <f t="shared" si="8"/>
        <v>187665.8</v>
      </c>
    </row>
    <row r="150" spans="1:12" x14ac:dyDescent="0.2">
      <c r="A150" s="369">
        <v>45962</v>
      </c>
      <c r="B150" s="9">
        <f>SUM('Raw Data (KG)'!D150:D150)</f>
        <v>14700</v>
      </c>
      <c r="C150" s="9">
        <f>SUM('Raw Data (KG)'!E150:F150)</f>
        <v>1502</v>
      </c>
      <c r="D150" s="8">
        <f>SUM('Raw Data (KG)'!G150:V150)</f>
        <v>86036.4</v>
      </c>
      <c r="E150" s="9">
        <f>'Raw Data (KG)'!W150</f>
        <v>946</v>
      </c>
      <c r="F150" s="7">
        <f>'Raw Food Data (KG)'!Q111</f>
        <v>51520.399999999994</v>
      </c>
      <c r="G150" s="9">
        <f>'Raw Data (KG)'!R150</f>
        <v>8905</v>
      </c>
      <c r="H150" s="9">
        <f>'Raw Data (KG)'!S150</f>
        <v>15420</v>
      </c>
      <c r="I150" s="352">
        <f>'Raw Data (KG)'!Q150</f>
        <v>9530</v>
      </c>
      <c r="J150" s="9">
        <f>'Raw Data (KG)'!P150</f>
        <v>0</v>
      </c>
      <c r="K150" s="62">
        <f>'Raw Data (KG)'!H150+SUM('Raw Data (KG)'!J150:K150)+SUM('Raw Data (KG)'!M150:O150)+'Raw Data (KG)'!T150</f>
        <v>57</v>
      </c>
      <c r="L150" s="15">
        <f t="shared" si="8"/>
        <v>188616.8</v>
      </c>
    </row>
    <row r="151" spans="1:12" x14ac:dyDescent="0.2">
      <c r="A151" s="369">
        <v>45992</v>
      </c>
      <c r="B151" s="9">
        <f>SUM('Raw Data (KG)'!D151:D151)</f>
        <v>12838</v>
      </c>
      <c r="C151" s="9">
        <f>SUM('Raw Data (KG)'!E151:F151)</f>
        <v>397</v>
      </c>
      <c r="D151" s="8">
        <f>SUM('Raw Data (KG)'!G151:V151)</f>
        <v>74335.100000000006</v>
      </c>
      <c r="E151" s="9">
        <f>'Raw Data (KG)'!W151</f>
        <v>0</v>
      </c>
      <c r="F151" s="7">
        <f>'Raw Food Data (KG)'!Q112</f>
        <v>40105.1</v>
      </c>
      <c r="G151" s="9">
        <f>'Raw Data (KG)'!R151</f>
        <v>10775</v>
      </c>
      <c r="H151" s="9">
        <f>'Raw Data (KG)'!S151</f>
        <v>11475</v>
      </c>
      <c r="I151" s="352">
        <f>'Raw Data (KG)'!Q151</f>
        <v>11380</v>
      </c>
      <c r="J151" s="9">
        <f>'Raw Data (KG)'!P151</f>
        <v>0</v>
      </c>
      <c r="K151" s="62">
        <f>'Raw Data (KG)'!H151+SUM('Raw Data (KG)'!J151:K151)+SUM('Raw Data (KG)'!M151:O151)+'Raw Data (KG)'!T151</f>
        <v>73</v>
      </c>
      <c r="L151" s="15">
        <f t="shared" si="8"/>
        <v>161378.20000000001</v>
      </c>
    </row>
    <row r="152" spans="1:12" x14ac:dyDescent="0.2">
      <c r="A152" s="369">
        <v>46023</v>
      </c>
      <c r="B152" s="9">
        <f>SUM('Raw Data (KG)'!D152:D152)</f>
        <v>13661</v>
      </c>
      <c r="C152" s="9">
        <f>SUM('Raw Data (KG)'!E152:F152)</f>
        <v>997</v>
      </c>
      <c r="D152" s="8">
        <f>SUM('Raw Data (KG)'!G152:V152)</f>
        <v>62290</v>
      </c>
      <c r="E152" s="9">
        <f>'Raw Data (KG)'!W152</f>
        <v>1116</v>
      </c>
      <c r="F152" s="7">
        <f>'Raw Food Data (KG)'!Q113</f>
        <v>30488.999999999996</v>
      </c>
      <c r="G152" s="9">
        <f>'Raw Data (KG)'!R152</f>
        <v>11975</v>
      </c>
      <c r="H152" s="9">
        <f>'Raw Data (KG)'!S152</f>
        <v>8510</v>
      </c>
      <c r="I152" s="352">
        <f>'Raw Data (KG)'!Q152</f>
        <v>10865</v>
      </c>
      <c r="J152" s="9">
        <f>'Raw Data (KG)'!P152</f>
        <v>0</v>
      </c>
      <c r="K152" s="62">
        <f>'Raw Data (KG)'!H152+SUM('Raw Data (KG)'!J152:K152)+SUM('Raw Data (KG)'!M152:O152)+'Raw Data (KG)'!T152</f>
        <v>61</v>
      </c>
      <c r="L152" s="15">
        <f t="shared" si="8"/>
        <v>139964</v>
      </c>
    </row>
    <row r="153" spans="1:12" x14ac:dyDescent="0.2">
      <c r="A153" s="369">
        <v>46054</v>
      </c>
      <c r="B153" s="9">
        <f>SUM('Raw Data (KG)'!D153:D153)</f>
        <v>11648</v>
      </c>
      <c r="C153" s="9">
        <f>SUM('Raw Data (KG)'!E153:F153)</f>
        <v>609</v>
      </c>
      <c r="D153" s="8">
        <f>SUM('Raw Data (KG)'!G153:V153)</f>
        <v>41952</v>
      </c>
      <c r="E153" s="9">
        <f>'Raw Data (KG)'!W153</f>
        <v>0</v>
      </c>
      <c r="F153" s="7">
        <f>'Raw Food Data (KG)'!Q114</f>
        <v>27489.000000000004</v>
      </c>
      <c r="G153" s="9">
        <f>'Raw Data (KG)'!R153</f>
        <v>12319</v>
      </c>
      <c r="H153" s="9">
        <f>'Raw Data (KG)'!S153</f>
        <v>8672</v>
      </c>
      <c r="I153" s="352">
        <f>'Raw Data (KG)'!Q153</f>
        <v>20659</v>
      </c>
      <c r="J153" s="9">
        <f>'Raw Data (KG)'!P153</f>
        <v>0</v>
      </c>
      <c r="K153" s="62">
        <f>'Raw Data (KG)'!H153+SUM('Raw Data (KG)'!J153:K153)+SUM('Raw Data (KG)'!M153:O153)+'Raw Data (KG)'!T153</f>
        <v>0</v>
      </c>
      <c r="L153" s="15">
        <f t="shared" si="8"/>
        <v>123348</v>
      </c>
    </row>
    <row r="154" spans="1:12" x14ac:dyDescent="0.2">
      <c r="A154" s="369">
        <v>46082</v>
      </c>
      <c r="B154" s="9">
        <f>SUM('Raw Data (KG)'!D154:D154)</f>
        <v>13565</v>
      </c>
      <c r="C154" s="9">
        <f>SUM('Raw Data (KG)'!E154:F154)</f>
        <v>1687</v>
      </c>
      <c r="D154" s="8">
        <f>SUM('Raw Data (KG)'!G154:V154)</f>
        <v>35308.5</v>
      </c>
      <c r="E154" s="9">
        <f>'Raw Data (KG)'!W154</f>
        <v>672.9</v>
      </c>
      <c r="F154" s="7">
        <f>'Raw Food Data (KG)'!Q115</f>
        <v>0</v>
      </c>
      <c r="G154" s="9">
        <f>'Raw Data (KG)'!R154</f>
        <v>12478</v>
      </c>
      <c r="H154" s="9">
        <f>'Raw Data (KG)'!S154</f>
        <v>12330</v>
      </c>
      <c r="I154" s="352">
        <f>'Raw Data (KG)'!Q154</f>
        <v>10009</v>
      </c>
      <c r="J154" s="9">
        <f>'Raw Data (KG)'!P154</f>
        <v>0</v>
      </c>
      <c r="K154" s="62">
        <f>'Raw Data (KG)'!H154+SUM('Raw Data (KG)'!J154:K154)+SUM('Raw Data (KG)'!M154:O154)+'Raw Data (KG)'!T154</f>
        <v>59.5</v>
      </c>
      <c r="L154" s="15">
        <f t="shared" si="8"/>
        <v>86109.9</v>
      </c>
    </row>
    <row r="155" spans="1:12" x14ac:dyDescent="0.2">
      <c r="A155" s="369">
        <v>46113</v>
      </c>
      <c r="B155" s="9">
        <f>SUM('Raw Data (KG)'!D155:D155)</f>
        <v>12906</v>
      </c>
      <c r="C155" s="9">
        <f>SUM('Raw Data (KG)'!E155:F155)</f>
        <v>340</v>
      </c>
      <c r="D155" s="8">
        <f>SUM('Raw Data (KG)'!G155:V155)</f>
        <v>27748</v>
      </c>
      <c r="E155" s="9">
        <f>'Raw Data (KG)'!W155</f>
        <v>0</v>
      </c>
      <c r="F155" s="7">
        <f>'Raw Food Data (KG)'!Q116</f>
        <v>0</v>
      </c>
      <c r="G155" s="9">
        <f>'Raw Data (KG)'!R155</f>
        <v>11114</v>
      </c>
      <c r="H155" s="9">
        <f>'Raw Data (KG)'!S155</f>
        <v>9640</v>
      </c>
      <c r="I155" s="352">
        <f>'Raw Data (KG)'!Q155</f>
        <v>6591</v>
      </c>
      <c r="J155" s="9">
        <f>'Raw Data (KG)'!P155</f>
        <v>0</v>
      </c>
      <c r="K155" s="62">
        <f>'Raw Data (KG)'!H155+SUM('Raw Data (KG)'!J155:K155)+SUM('Raw Data (KG)'!M155:O155)+'Raw Data (KG)'!T155</f>
        <v>26</v>
      </c>
      <c r="L155" s="15">
        <f t="shared" si="8"/>
        <v>68365</v>
      </c>
    </row>
    <row r="156" spans="1:12" x14ac:dyDescent="0.2">
      <c r="A156" s="369">
        <v>46143</v>
      </c>
      <c r="B156" s="9">
        <f>SUM('Raw Data (KG)'!D156:D156)</f>
        <v>13759</v>
      </c>
      <c r="C156" s="9">
        <f>SUM('Raw Data (KG)'!E156:F156)</f>
        <v>0</v>
      </c>
      <c r="D156" s="8">
        <f>SUM('Raw Data (KG)'!G156:V156)</f>
        <v>33634</v>
      </c>
      <c r="E156" s="9">
        <f>'Raw Data (KG)'!W156</f>
        <v>1073.5</v>
      </c>
      <c r="F156" s="7">
        <f>'Raw Food Data (KG)'!Q117</f>
        <v>0</v>
      </c>
      <c r="G156" s="9">
        <f>'Raw Data (KG)'!R156</f>
        <v>10244</v>
      </c>
      <c r="H156" s="9">
        <f>'Raw Data (KG)'!S156</f>
        <v>11378</v>
      </c>
      <c r="I156" s="352">
        <f>'Raw Data (KG)'!Q156</f>
        <v>12012</v>
      </c>
      <c r="J156" s="9">
        <f>'Raw Data (KG)'!P156</f>
        <v>0</v>
      </c>
      <c r="K156" s="62">
        <f>'Raw Data (KG)'!H156+SUM('Raw Data (KG)'!J156:K156)+SUM('Raw Data (KG)'!M156:O156)+'Raw Data (KG)'!T156</f>
        <v>0</v>
      </c>
      <c r="L156" s="15">
        <f t="shared" si="8"/>
        <v>82100.5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475</v>
      </c>
      <c r="C1" s="17" t="s">
        <v>476</v>
      </c>
      <c r="D1" s="17" t="s">
        <v>477</v>
      </c>
      <c r="E1" s="17" t="s">
        <v>478</v>
      </c>
      <c r="F1" s="17" t="s">
        <v>26</v>
      </c>
      <c r="G1" s="17" t="s">
        <v>479</v>
      </c>
      <c r="H1" s="17" t="s">
        <v>480</v>
      </c>
      <c r="I1" s="17" t="s">
        <v>481</v>
      </c>
      <c r="J1" s="17" t="s">
        <v>498</v>
      </c>
      <c r="K1" s="17" t="s">
        <v>648</v>
      </c>
      <c r="L1" s="17" t="s">
        <v>649</v>
      </c>
      <c r="M1" s="17" t="s">
        <v>646</v>
      </c>
      <c r="N1" s="17" t="s">
        <v>650</v>
      </c>
      <c r="O1" s="17" t="s">
        <v>651</v>
      </c>
      <c r="P1" s="18" t="s">
        <v>652</v>
      </c>
      <c r="Q1" s="18" t="s">
        <v>653</v>
      </c>
    </row>
    <row r="2" spans="1:17" x14ac:dyDescent="0.2">
      <c r="A2" s="371" t="s">
        <v>133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134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135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118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8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39">
        <f>L6/'Yearly GHG (mCO2)'!G6</f>
        <v>203.30477356181152</v>
      </c>
      <c r="O6" s="531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0">
        <f>L7/'Yearly GHG (mCO2)'!G7</f>
        <v>191.7453823476325</v>
      </c>
      <c r="O7" s="531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0">
        <f>L8/'Yearly GHG (mCO2)'!G8</f>
        <v>171.16101621434146</v>
      </c>
      <c r="O8" s="531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0">
        <f>L9/'Yearly GHG (mCO2)'!G9</f>
        <v>161.91034117220408</v>
      </c>
      <c r="O9" s="531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0">
        <f>L10/'Yearly GHG (mCO2)'!G10</f>
        <v>125.50990085636329</v>
      </c>
      <c r="O10" s="531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0">
        <f>L11/'Yearly GHG (mCO2)'!G11</f>
        <v>101.25007070535663</v>
      </c>
      <c r="O11" s="531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0">
        <f>L12/'Yearly GHG (mCO2)'!G12</f>
        <v>73.033422934523514</v>
      </c>
      <c r="O12" s="531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0">
        <f>L13/'Yearly GHG (mCO2)'!G13</f>
        <v>76.668451540670787</v>
      </c>
      <c r="O13" s="531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130473</v>
      </c>
      <c r="C14" s="9">
        <f>SUM('Monthly Recycling'!C110:C121)</f>
        <v>10957</v>
      </c>
      <c r="D14" s="8">
        <f>SUM('Monthly Recycling'!D110:D121)</f>
        <v>1006227.5000000002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1429</v>
      </c>
      <c r="L14" s="9">
        <f>SUM('Raw Data (KG)'!B110:C121)</f>
        <v>1828310</v>
      </c>
      <c r="M14" s="9">
        <f>SUM(B14:K14)</f>
        <v>2153105.6</v>
      </c>
      <c r="N14" s="530">
        <f>L14/'Yearly GHG (mCO2)'!G14</f>
        <v>85.049541796529752</v>
      </c>
      <c r="O14" s="531">
        <f>L14/'Yearly GHG (mCO2)'!H14</f>
        <v>3.163127782189489</v>
      </c>
      <c r="P14" s="202">
        <f t="shared" si="1"/>
        <v>0.54078895958512851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918636.94999999984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1532.3999999999999</v>
      </c>
      <c r="L15" s="9">
        <f>SUM('Raw Data (KG)'!B122:C133)</f>
        <v>1752328.5999999999</v>
      </c>
      <c r="M15" s="9">
        <f>SUM(B15:K15)</f>
        <v>1998030.7499999998</v>
      </c>
      <c r="N15" s="530">
        <f>L15/'Yearly GHG (mCO2)'!G15</f>
        <v>79.044097613785013</v>
      </c>
      <c r="O15" s="531">
        <f>L15/'Yearly GHG (mCO2)'!H15</f>
        <v>2.9837433508374027</v>
      </c>
      <c r="P15" s="202">
        <f t="shared" si="1"/>
        <v>0.53275714765839699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945494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1493.6</v>
      </c>
      <c r="L16" s="9">
        <f>SUM('Raw Data (KG)'!B134:C145)</f>
        <v>1793997.6</v>
      </c>
      <c r="M16" s="9">
        <f>SUM(B16:K16)</f>
        <v>2061658.8000000003</v>
      </c>
      <c r="N16" s="530">
        <f>L16/'Yearly GHG (mCO2)'!G16</f>
        <v>75.134966704359854</v>
      </c>
      <c r="O16" s="531">
        <f>L16/'Yearly GHG (mCO2)'!H16</f>
        <v>3.0546944279847166</v>
      </c>
      <c r="P16" s="202">
        <f t="shared" si="1"/>
        <v>0.53471019876148718</v>
      </c>
      <c r="Q16" s="202">
        <f t="shared" si="2"/>
        <v>2.3779215838855929E-2</v>
      </c>
    </row>
    <row r="17" spans="1:17" x14ac:dyDescent="0.2">
      <c r="A17" s="51" t="s">
        <v>111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936385.8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1649.2</v>
      </c>
      <c r="L17" s="9">
        <f>SUM('Raw Data (KG)'!B124:C135)</f>
        <v>1763306.2000000002</v>
      </c>
      <c r="M17" s="9">
        <f>SUM(B17:K17)</f>
        <v>2044528.7</v>
      </c>
      <c r="N17" s="530" t="e">
        <f>L17/'Yearly GHG (mCO2)'!G17</f>
        <v>#DIV/0!</v>
      </c>
      <c r="O17" s="531" t="e">
        <f>L17/'Yearly GHG (mCO2)'!H17</f>
        <v>#DIV/0!</v>
      </c>
      <c r="P17" s="202">
        <f t="shared" ref="P17" si="3">M17/(M17+L17)</f>
        <v>0.53692682421708982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501</v>
      </c>
      <c r="C1" s="429" t="s">
        <v>502</v>
      </c>
      <c r="D1" s="429" t="s">
        <v>503</v>
      </c>
      <c r="E1" s="429" t="s">
        <v>504</v>
      </c>
      <c r="F1" s="429" t="s">
        <v>505</v>
      </c>
      <c r="G1" s="429" t="s">
        <v>273</v>
      </c>
      <c r="H1" s="429" t="s">
        <v>586</v>
      </c>
      <c r="I1" s="429" t="s">
        <v>45</v>
      </c>
      <c r="J1" s="429" t="s">
        <v>507</v>
      </c>
      <c r="K1" s="429" t="s">
        <v>589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655</v>
      </c>
      <c r="B2" s="678" t="s">
        <v>656</v>
      </c>
      <c r="C2" s="679"/>
      <c r="D2" s="678" t="s">
        <v>657</v>
      </c>
      <c r="E2" s="679"/>
      <c r="F2" s="678" t="s">
        <v>658</v>
      </c>
      <c r="G2" s="679"/>
      <c r="H2" s="678" t="s">
        <v>659</v>
      </c>
      <c r="I2" s="679"/>
      <c r="J2" s="23" t="s">
        <v>660</v>
      </c>
      <c r="K2" s="678" t="s">
        <v>661</v>
      </c>
      <c r="L2" s="679"/>
      <c r="M2" s="678" t="s">
        <v>662</v>
      </c>
      <c r="N2" s="679"/>
      <c r="O2" s="23" t="s">
        <v>663</v>
      </c>
      <c r="P2" s="23" t="s">
        <v>664</v>
      </c>
    </row>
    <row r="3" spans="1:16" s="21" customFormat="1" x14ac:dyDescent="0.2">
      <c r="A3" s="19" t="s">
        <v>665</v>
      </c>
      <c r="B3" s="20" t="s">
        <v>666</v>
      </c>
      <c r="C3" s="20" t="s">
        <v>667</v>
      </c>
      <c r="D3" s="20" t="s">
        <v>668</v>
      </c>
      <c r="E3" s="20" t="s">
        <v>667</v>
      </c>
      <c r="F3" s="20" t="s">
        <v>669</v>
      </c>
      <c r="G3" s="20" t="s">
        <v>667</v>
      </c>
      <c r="H3" s="20" t="s">
        <v>670</v>
      </c>
      <c r="I3" s="20" t="s">
        <v>667</v>
      </c>
      <c r="J3" s="20" t="s">
        <v>671</v>
      </c>
      <c r="K3" s="20" t="s">
        <v>672</v>
      </c>
      <c r="L3" s="20" t="s">
        <v>673</v>
      </c>
      <c r="M3" s="20" t="s">
        <v>674</v>
      </c>
      <c r="N3" s="20" t="s">
        <v>675</v>
      </c>
      <c r="O3" s="20" t="s">
        <v>673</v>
      </c>
      <c r="P3" s="20" t="s">
        <v>673</v>
      </c>
    </row>
    <row r="4" spans="1:16" s="21" customFormat="1" x14ac:dyDescent="0.2">
      <c r="A4" s="19" t="s">
        <v>676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678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679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680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681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682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683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684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685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686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687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688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689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690</v>
      </c>
      <c r="S143" s="31" t="s">
        <v>691</v>
      </c>
      <c r="T143" s="31" t="s">
        <v>692</v>
      </c>
      <c r="U143" s="31" t="s">
        <v>693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694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695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696</v>
      </c>
      <c r="C1" s="52" t="s">
        <v>697</v>
      </c>
      <c r="D1" s="52" t="s">
        <v>82</v>
      </c>
    </row>
    <row r="2" spans="1:4" x14ac:dyDescent="0.2">
      <c r="A2" s="51" t="s">
        <v>134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135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118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5"/>
      <c r="C16" s="515"/>
    </row>
    <row r="17" spans="2:3" x14ac:dyDescent="0.2">
      <c r="B17" s="515"/>
      <c r="C17" s="515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698</v>
      </c>
      <c r="C1" s="196" t="s">
        <v>699</v>
      </c>
      <c r="D1" s="196" t="s">
        <v>697</v>
      </c>
      <c r="E1" s="196" t="s">
        <v>700</v>
      </c>
      <c r="F1" s="196" t="s">
        <v>701</v>
      </c>
      <c r="G1" s="196" t="s">
        <v>702</v>
      </c>
      <c r="I1" s="680" t="s">
        <v>703</v>
      </c>
      <c r="J1" s="680"/>
      <c r="K1" s="680"/>
      <c r="L1" s="680"/>
      <c r="M1" s="680"/>
      <c r="N1" s="680"/>
    </row>
    <row r="2" spans="1:14" x14ac:dyDescent="0.2">
      <c r="A2" s="51" t="s">
        <v>134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135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118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704</v>
      </c>
    </row>
    <row r="20" spans="2:2" x14ac:dyDescent="0.2">
      <c r="B20" s="8" t="s">
        <v>705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Props1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Sheet1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2026-07-16T02:49:30Z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