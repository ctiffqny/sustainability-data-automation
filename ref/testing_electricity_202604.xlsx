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tiffanychen/Desktop/intern/hkust_net_zero_office/sustainability-data-automation/ref/"/>
    </mc:Choice>
  </mc:AlternateContent>
  <xr:revisionPtr revIDLastSave="0" documentId="13_ncr:1_{6765342E-D962-934C-8A95-42D661D79C68}" xr6:coauthVersionLast="47" xr6:coauthVersionMax="47" xr10:uidLastSave="{00000000-0000-0000-0000-000000000000}"/>
  <bookViews>
    <workbookView xWindow="2560" yWindow="820" windowWidth="26160" windowHeight="16780" tabRatio="887" activeTab="1" xr2:uid="{00000000-000D-0000-FFFF-FFFF00000000}"/>
  </bookViews>
  <sheets>
    <sheet name="CLP Tariff" sheetId="2" r:id="rId1"/>
    <sheet name="Breakdown" sheetId="7" r:id="rId2"/>
    <sheet name="Commercial &amp; Quarter" sheetId="18" r:id="rId3"/>
    <sheet name="Chart1" sheetId="19" state="hidden" r:id="rId4"/>
  </sheets>
  <externalReferences>
    <externalReference r:id="rId5"/>
  </externalReferences>
  <definedNames>
    <definedName name="Category">#REF!</definedName>
    <definedName name="dd">#REF!</definedName>
    <definedName name="GHGItems" localSheetId="1">#REF!</definedName>
    <definedName name="GHGItems">#REF!</definedName>
    <definedName name="New" localSheetId="1">#REF!</definedName>
    <definedName name="New">#REF!</definedName>
    <definedName name="newyear" localSheetId="1">#REF!</definedName>
    <definedName name="newyear">#REF!</definedName>
    <definedName name="_xlnm.Print_Area" localSheetId="1">Breakdown!$A$1:$AB$105</definedName>
    <definedName name="Reduction" localSheetId="1">#REF!</definedName>
    <definedName name="Reduction">#REF!</definedName>
    <definedName name="s">#REF!</definedName>
    <definedName name="Y" localSheetId="1">#REF!</definedName>
    <definedName name="Y">#REF!</definedName>
    <definedName name="Yea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54" i="7" l="1"/>
  <c r="AF154" i="7"/>
  <c r="Z155" i="7"/>
  <c r="X155" i="7"/>
  <c r="W155" i="7"/>
  <c r="V155" i="7"/>
  <c r="T155" i="7"/>
  <c r="R155" i="7"/>
  <c r="X154" i="7"/>
  <c r="W154" i="7"/>
  <c r="V154" i="7"/>
  <c r="U154" i="7"/>
  <c r="R154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B155" i="7"/>
  <c r="S151" i="7"/>
  <c r="U151" i="7"/>
  <c r="FB75" i="18"/>
  <c r="AE151" i="7"/>
  <c r="O144" i="2"/>
  <c r="I156" i="2"/>
  <c r="J156" i="2" s="1"/>
  <c r="AD151" i="7"/>
  <c r="FB72" i="18" l="1"/>
  <c r="AB151" i="7"/>
  <c r="Y151" i="7"/>
  <c r="L153" i="2"/>
  <c r="L141" i="2"/>
  <c r="AI155" i="7"/>
  <c r="AH155" i="7"/>
  <c r="AI154" i="7"/>
  <c r="AH154" i="7"/>
  <c r="C151" i="7" l="1"/>
  <c r="FA72" i="18" l="1"/>
  <c r="FA75" i="18" s="1"/>
  <c r="O143" i="2"/>
  <c r="O142" i="2"/>
  <c r="I155" i="2"/>
  <c r="J155" i="2"/>
  <c r="S150" i="7" l="1"/>
  <c r="AE150" i="7" l="1"/>
  <c r="AD150" i="7" l="1"/>
  <c r="AB150" i="7"/>
  <c r="Y150" i="7"/>
  <c r="C150" i="7" l="1"/>
  <c r="AE149" i="7"/>
  <c r="AE148" i="7"/>
  <c r="S149" i="7" l="1"/>
  <c r="AD149" i="7" l="1"/>
  <c r="I154" i="2"/>
  <c r="J154" i="2" s="1"/>
  <c r="EZ72" i="18" l="1"/>
  <c r="EZ75" i="18" s="1"/>
  <c r="Y149" i="7"/>
  <c r="C149" i="7" s="1"/>
  <c r="AB149" i="7"/>
  <c r="S148" i="7"/>
  <c r="AG142" i="7" l="1"/>
  <c r="Y148" i="7" l="1"/>
  <c r="AB148" i="7" l="1"/>
  <c r="C148" i="7"/>
  <c r="AE147" i="7"/>
  <c r="AD148" i="7" l="1"/>
  <c r="H153" i="2" l="1"/>
  <c r="G153" i="2"/>
  <c r="F153" i="2"/>
  <c r="I153" i="2" l="1"/>
  <c r="J153" i="2" s="1"/>
  <c r="AI153" i="7"/>
  <c r="AH153" i="7"/>
  <c r="AI157" i="7" l="1"/>
  <c r="AH157" i="7"/>
  <c r="T137" i="7" l="1"/>
  <c r="T154" i="7" l="1"/>
  <c r="S139" i="7"/>
  <c r="S154" i="7" l="1"/>
  <c r="S140" i="7"/>
  <c r="S141" i="7" l="1"/>
  <c r="S142" i="7" l="1"/>
  <c r="S143" i="7" l="1"/>
  <c r="S144" i="7" l="1"/>
  <c r="S155" i="7" l="1"/>
  <c r="S153" i="7"/>
  <c r="R153" i="7"/>
  <c r="O141" i="2"/>
  <c r="EY72" i="18"/>
  <c r="EY75" i="18" s="1"/>
  <c r="AG146" i="7"/>
  <c r="AG145" i="7"/>
  <c r="AG153" i="7"/>
  <c r="AF153" i="7"/>
  <c r="AG147" i="7"/>
  <c r="AG144" i="7"/>
  <c r="AG143" i="7"/>
  <c r="AF145" i="7"/>
  <c r="AF144" i="7"/>
  <c r="AF146" i="7"/>
  <c r="AF147" i="7"/>
  <c r="AG155" i="7" l="1"/>
  <c r="AF155" i="7"/>
  <c r="S157" i="7"/>
  <c r="O140" i="2" l="1"/>
  <c r="EX72" i="18"/>
  <c r="EX75" i="18" s="1"/>
  <c r="AB147" i="7"/>
  <c r="Y147" i="7"/>
  <c r="AA147" i="7" s="1"/>
  <c r="I152" i="2"/>
  <c r="J152" i="2" s="1"/>
  <c r="O139" i="2"/>
  <c r="Y146" i="7"/>
  <c r="C146" i="7" s="1"/>
  <c r="AE146" i="7"/>
  <c r="AB146" i="7"/>
  <c r="C147" i="7" l="1"/>
  <c r="AA146" i="7"/>
  <c r="EW72" i="18"/>
  <c r="EW75" i="18" s="1"/>
  <c r="U145" i="7" l="1"/>
  <c r="I151" i="2" l="1"/>
  <c r="J151" i="2" s="1"/>
  <c r="AE145" i="7"/>
  <c r="O138" i="2" l="1"/>
  <c r="I150" i="2"/>
  <c r="EV72" i="18" l="1"/>
  <c r="EV75" i="18" s="1"/>
  <c r="AB145" i="7"/>
  <c r="Y145" i="7"/>
  <c r="J150" i="2"/>
  <c r="AA145" i="7" l="1"/>
  <c r="C145" i="7"/>
  <c r="AB132" i="7"/>
  <c r="Y132" i="7"/>
  <c r="AA132" i="7" l="1"/>
  <c r="O137" i="2" l="1"/>
  <c r="AE144" i="7"/>
  <c r="AD144" i="7"/>
  <c r="EU72" i="18"/>
  <c r="EU75" i="18" s="1"/>
  <c r="Y144" i="7"/>
  <c r="AB144" i="7"/>
  <c r="I149" i="2"/>
  <c r="J149" i="2" s="1"/>
  <c r="AA144" i="7" l="1"/>
  <c r="C144" i="7"/>
  <c r="O136" i="2" l="1"/>
  <c r="O135" i="2"/>
  <c r="AD135" i="7"/>
  <c r="AD134" i="7"/>
  <c r="AD133" i="7"/>
  <c r="AD132" i="7"/>
  <c r="AD131" i="7"/>
  <c r="AD130" i="7"/>
  <c r="AD129" i="7"/>
  <c r="AD128" i="7"/>
  <c r="AD127" i="7"/>
  <c r="AD126" i="7"/>
  <c r="AD125" i="7"/>
  <c r="AD124" i="7"/>
  <c r="AE132" i="7"/>
  <c r="AD143" i="7" l="1"/>
  <c r="U143" i="7" l="1"/>
  <c r="U155" i="7" l="1"/>
  <c r="AE143" i="7"/>
  <c r="V157" i="7" l="1"/>
  <c r="ET72" i="18"/>
  <c r="ET75" i="18" s="1"/>
  <c r="AB143" i="7"/>
  <c r="Y143" i="7"/>
  <c r="I148" i="2"/>
  <c r="J148" i="2" s="1"/>
  <c r="H147" i="2"/>
  <c r="G147" i="2"/>
  <c r="F147" i="2"/>
  <c r="AA143" i="7" l="1"/>
  <c r="C143" i="7"/>
  <c r="Q157" i="7"/>
  <c r="U153" i="7"/>
  <c r="AE142" i="7"/>
  <c r="ES72" i="18"/>
  <c r="ES75" i="18" s="1"/>
  <c r="AB142" i="7"/>
  <c r="Y142" i="7"/>
  <c r="I147" i="2"/>
  <c r="AE141" i="7"/>
  <c r="AA142" i="7" l="1"/>
  <c r="J147" i="2"/>
  <c r="U157" i="7"/>
  <c r="C142" i="7"/>
  <c r="AD141" i="7"/>
  <c r="Y141" i="7"/>
  <c r="O134" i="2"/>
  <c r="ER72" i="18"/>
  <c r="ER75" i="18" s="1"/>
  <c r="I146" i="2"/>
  <c r="J146" i="2" s="1"/>
  <c r="AB141" i="7"/>
  <c r="O133" i="2"/>
  <c r="AD140" i="7"/>
  <c r="Y140" i="7"/>
  <c r="AD155" i="7" l="1"/>
  <c r="Y155" i="7"/>
  <c r="C141" i="7"/>
  <c r="AA141" i="7"/>
  <c r="AE140" i="7"/>
  <c r="D140" i="7"/>
  <c r="I145" i="2"/>
  <c r="P144" i="2" s="1"/>
  <c r="Q144" i="2" s="1"/>
  <c r="EQ72" i="18"/>
  <c r="EQ75" i="18" s="1"/>
  <c r="AB140" i="7"/>
  <c r="AB155" i="7" s="1"/>
  <c r="AA140" i="7"/>
  <c r="AA155" i="7" l="1"/>
  <c r="AE155" i="7"/>
  <c r="D155" i="7"/>
  <c r="J145" i="2"/>
  <c r="C140" i="7"/>
  <c r="AE139" i="7"/>
  <c r="C155" i="7" l="1"/>
  <c r="AD139" i="7"/>
  <c r="D139" i="7"/>
  <c r="O132" i="2"/>
  <c r="EP72" i="18"/>
  <c r="EP75" i="18" s="1"/>
  <c r="AB139" i="7"/>
  <c r="Y139" i="7"/>
  <c r="I144" i="2"/>
  <c r="L129" i="2"/>
  <c r="J144" i="2" l="1"/>
  <c r="P143" i="2"/>
  <c r="Q143" i="2" s="1"/>
  <c r="AA139" i="7"/>
  <c r="C139" i="7"/>
  <c r="AE138" i="7"/>
  <c r="D138" i="7" l="1"/>
  <c r="I143" i="2" l="1"/>
  <c r="P142" i="2" s="1"/>
  <c r="Q142" i="2" s="1"/>
  <c r="J143" i="2" l="1"/>
  <c r="EO72" i="18"/>
  <c r="EO75" i="18" s="1"/>
  <c r="AB138" i="7"/>
  <c r="Y138" i="7"/>
  <c r="AA138" i="7" l="1"/>
  <c r="C138" i="7"/>
  <c r="Y137" i="7"/>
  <c r="D137" i="7"/>
  <c r="D154" i="7" s="1"/>
  <c r="AE137" i="7"/>
  <c r="AD137" i="7"/>
  <c r="EN72" i="18"/>
  <c r="EN75" i="18" s="1"/>
  <c r="I142" i="2"/>
  <c r="P141" i="2" s="1"/>
  <c r="Q141" i="2" s="1"/>
  <c r="AB137" i="7"/>
  <c r="Y136" i="7"/>
  <c r="Y135" i="7"/>
  <c r="I141" i="2"/>
  <c r="EM72" i="18"/>
  <c r="EM75" i="18" s="1"/>
  <c r="AD136" i="7"/>
  <c r="AD154" i="7" s="1"/>
  <c r="AB136" i="7"/>
  <c r="AE136" i="7"/>
  <c r="AE135" i="7"/>
  <c r="AB135" i="7"/>
  <c r="I140" i="2"/>
  <c r="J142" i="2" l="1"/>
  <c r="J141" i="2"/>
  <c r="P140" i="2"/>
  <c r="Q140" i="2" s="1"/>
  <c r="AA137" i="7"/>
  <c r="AA135" i="7"/>
  <c r="P139" i="2"/>
  <c r="Q139" i="2" s="1"/>
  <c r="C137" i="7"/>
  <c r="C135" i="7"/>
  <c r="EL65" i="18"/>
  <c r="AD157" i="7" l="1"/>
  <c r="EL72" i="18"/>
  <c r="EL75" i="18" s="1"/>
  <c r="AA136" i="7"/>
  <c r="J140" i="2"/>
  <c r="C136" i="7" l="1"/>
  <c r="EK72" i="18" l="1"/>
  <c r="EK75" i="18" s="1"/>
  <c r="AB134" i="7"/>
  <c r="Y134" i="7"/>
  <c r="I139" i="2"/>
  <c r="Y133" i="7"/>
  <c r="AA133" i="7" l="1"/>
  <c r="J139" i="2"/>
  <c r="P138" i="2"/>
  <c r="Q138" i="2" s="1"/>
  <c r="AA134" i="7"/>
  <c r="C134" i="7"/>
  <c r="C133" i="7"/>
  <c r="EJ72" i="18"/>
  <c r="EJ75" i="18" s="1"/>
  <c r="I138" i="2"/>
  <c r="AB133" i="7"/>
  <c r="AE130" i="7"/>
  <c r="AE131" i="7"/>
  <c r="AE154" i="7" l="1"/>
  <c r="AE157" i="7" s="1"/>
  <c r="J138" i="2"/>
  <c r="P137" i="2"/>
  <c r="Q137" i="2" s="1"/>
  <c r="AE153" i="7" l="1"/>
  <c r="EI72" i="18" l="1"/>
  <c r="EI75" i="18" s="1"/>
  <c r="B132" i="7"/>
  <c r="I137" i="2"/>
  <c r="J137" i="2" l="1"/>
  <c r="P136" i="2"/>
  <c r="Q136" i="2" s="1"/>
  <c r="C132" i="7"/>
  <c r="I136" i="2"/>
  <c r="AD123" i="7"/>
  <c r="AD122" i="7"/>
  <c r="AD121" i="7"/>
  <c r="AD120" i="7"/>
  <c r="AD119" i="7"/>
  <c r="AD118" i="7"/>
  <c r="AD117" i="7"/>
  <c r="AD116" i="7"/>
  <c r="AD115" i="7"/>
  <c r="AD114" i="7"/>
  <c r="AD113" i="7"/>
  <c r="AD112" i="7"/>
  <c r="AD111" i="7"/>
  <c r="AD110" i="7"/>
  <c r="AD109" i="7"/>
  <c r="AD108" i="7"/>
  <c r="AD107" i="7"/>
  <c r="AD106" i="7"/>
  <c r="AD105" i="7"/>
  <c r="AD104" i="7"/>
  <c r="AD103" i="7"/>
  <c r="AD102" i="7"/>
  <c r="AD99" i="7"/>
  <c r="AD98" i="7"/>
  <c r="AD97" i="7"/>
  <c r="AD96" i="7"/>
  <c r="AD95" i="7"/>
  <c r="AD94" i="7"/>
  <c r="AD93" i="7"/>
  <c r="AD92" i="7"/>
  <c r="AD91" i="7"/>
  <c r="AD90" i="7"/>
  <c r="AD89" i="7"/>
  <c r="AD88" i="7"/>
  <c r="AD87" i="7"/>
  <c r="AD86" i="7"/>
  <c r="AD85" i="7"/>
  <c r="AD84" i="7"/>
  <c r="AD83" i="7"/>
  <c r="AD82" i="7"/>
  <c r="AD81" i="7"/>
  <c r="AD80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62" i="7"/>
  <c r="AD61" i="7"/>
  <c r="AD60" i="7"/>
  <c r="AD59" i="7"/>
  <c r="AD58" i="7"/>
  <c r="AD57" i="7"/>
  <c r="AD56" i="7"/>
  <c r="AD55" i="7"/>
  <c r="AD54" i="7"/>
  <c r="AD53" i="7"/>
  <c r="AD153" i="7"/>
  <c r="EH72" i="18"/>
  <c r="EH75" i="18" s="1"/>
  <c r="Y131" i="7"/>
  <c r="B131" i="7"/>
  <c r="Y130" i="7"/>
  <c r="B130" i="7"/>
  <c r="AB130" i="7"/>
  <c r="E130" i="7"/>
  <c r="E154" i="7" s="1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EG72" i="18"/>
  <c r="EG75" i="18" s="1"/>
  <c r="W157" i="7"/>
  <c r="P157" i="7"/>
  <c r="F157" i="7"/>
  <c r="AB131" i="7"/>
  <c r="AB129" i="7"/>
  <c r="Y129" i="7"/>
  <c r="B129" i="7"/>
  <c r="P135" i="2" l="1"/>
  <c r="Q135" i="2" s="1"/>
  <c r="P127" i="2"/>
  <c r="AA131" i="7"/>
  <c r="J136" i="2"/>
  <c r="AA130" i="7"/>
  <c r="J135" i="2"/>
  <c r="P134" i="2"/>
  <c r="Q134" i="2" s="1"/>
  <c r="P128" i="2"/>
  <c r="P131" i="2"/>
  <c r="P130" i="2"/>
  <c r="P129" i="2"/>
  <c r="J134" i="2"/>
  <c r="P133" i="2"/>
  <c r="Q133" i="2" s="1"/>
  <c r="J133" i="2"/>
  <c r="P132" i="2"/>
  <c r="Q132" i="2" s="1"/>
  <c r="P121" i="2"/>
  <c r="P122" i="2"/>
  <c r="P123" i="2"/>
  <c r="P124" i="2"/>
  <c r="P125" i="2"/>
  <c r="P126" i="2"/>
  <c r="C129" i="7"/>
  <c r="C130" i="7"/>
  <c r="C131" i="7"/>
  <c r="AB128" i="7"/>
  <c r="AB154" i="7" s="1"/>
  <c r="Y128" i="7"/>
  <c r="Y154" i="7" s="1"/>
  <c r="B128" i="7"/>
  <c r="EF72" i="18"/>
  <c r="EF75" i="18" s="1"/>
  <c r="B154" i="7" l="1"/>
  <c r="C128" i="7"/>
  <c r="Z129" i="7"/>
  <c r="EE72" i="18"/>
  <c r="EE75" i="18" s="1"/>
  <c r="C154" i="7" l="1"/>
  <c r="AA129" i="7"/>
  <c r="Z128" i="7"/>
  <c r="J157" i="7"/>
  <c r="I157" i="7"/>
  <c r="L157" i="7"/>
  <c r="E157" i="7"/>
  <c r="D157" i="7"/>
  <c r="K157" i="7"/>
  <c r="X157" i="7"/>
  <c r="G157" i="7"/>
  <c r="H157" i="7"/>
  <c r="N157" i="7"/>
  <c r="O157" i="7"/>
  <c r="ED17" i="18"/>
  <c r="ED18" i="18"/>
  <c r="ED19" i="18"/>
  <c r="ED20" i="18"/>
  <c r="ED21" i="18"/>
  <c r="ED22" i="18"/>
  <c r="ED23" i="18"/>
  <c r="ED24" i="18"/>
  <c r="ED25" i="18"/>
  <c r="ED26" i="18"/>
  <c r="ED27" i="18"/>
  <c r="ED28" i="18"/>
  <c r="ED29" i="18"/>
  <c r="ED30" i="18"/>
  <c r="ED31" i="18"/>
  <c r="ED32" i="18"/>
  <c r="ED33" i="18"/>
  <c r="ED34" i="18"/>
  <c r="ED35" i="18"/>
  <c r="ED36" i="18"/>
  <c r="ED37" i="18"/>
  <c r="ED38" i="18"/>
  <c r="ED39" i="18"/>
  <c r="ED40" i="18"/>
  <c r="ED41" i="18"/>
  <c r="ED42" i="18"/>
  <c r="ED43" i="18"/>
  <c r="ED44" i="18"/>
  <c r="ED46" i="18"/>
  <c r="ED55" i="18"/>
  <c r="ED56" i="18"/>
  <c r="ED60" i="18"/>
  <c r="ED61" i="18"/>
  <c r="ED62" i="18"/>
  <c r="ED63" i="18"/>
  <c r="ED64" i="18"/>
  <c r="ED65" i="18"/>
  <c r="ED66" i="18"/>
  <c r="ED67" i="18"/>
  <c r="ED68" i="18"/>
  <c r="ED69" i="18"/>
  <c r="ED70" i="18"/>
  <c r="ED16" i="18"/>
  <c r="ED14" i="18"/>
  <c r="Z154" i="7" l="1"/>
  <c r="AA128" i="7"/>
  <c r="AA154" i="7" s="1"/>
  <c r="ED72" i="18"/>
  <c r="B132" i="2"/>
  <c r="O131" i="2" l="1"/>
  <c r="Q131" i="2" s="1"/>
  <c r="J132" i="2"/>
  <c r="ED75" i="18"/>
  <c r="Z127" i="7"/>
  <c r="B127" i="7"/>
  <c r="Y127" i="7"/>
  <c r="AB127" i="7"/>
  <c r="C127" i="7" l="1"/>
  <c r="AA127" i="7"/>
  <c r="B131" i="2"/>
  <c r="EC17" i="18"/>
  <c r="EC18" i="18"/>
  <c r="EC19" i="18"/>
  <c r="EC20" i="18"/>
  <c r="EC21" i="18"/>
  <c r="EC22" i="18"/>
  <c r="EC23" i="18"/>
  <c r="EC24" i="18"/>
  <c r="EC25" i="18"/>
  <c r="EC26" i="18"/>
  <c r="EC27" i="18"/>
  <c r="EC28" i="18"/>
  <c r="EC29" i="18"/>
  <c r="EC30" i="18"/>
  <c r="EC31" i="18"/>
  <c r="EC32" i="18"/>
  <c r="EC33" i="18"/>
  <c r="EC34" i="18"/>
  <c r="EC35" i="18"/>
  <c r="EC36" i="18"/>
  <c r="EC37" i="18"/>
  <c r="EC38" i="18"/>
  <c r="EC39" i="18"/>
  <c r="EC40" i="18"/>
  <c r="EC41" i="18"/>
  <c r="EC42" i="18"/>
  <c r="EC43" i="18"/>
  <c r="EC44" i="18"/>
  <c r="EC46" i="18"/>
  <c r="EC47" i="18"/>
  <c r="EC48" i="18"/>
  <c r="EC49" i="18"/>
  <c r="EC55" i="18"/>
  <c r="EC56" i="18"/>
  <c r="EC60" i="18"/>
  <c r="EC61" i="18"/>
  <c r="EC62" i="18"/>
  <c r="EC63" i="18"/>
  <c r="EC64" i="18"/>
  <c r="EC65" i="18"/>
  <c r="EC66" i="18"/>
  <c r="EC67" i="18"/>
  <c r="EC68" i="18"/>
  <c r="EC69" i="18"/>
  <c r="EC70" i="18"/>
  <c r="EC71" i="18"/>
  <c r="EC16" i="18"/>
  <c r="EC14" i="18"/>
  <c r="Y126" i="7"/>
  <c r="AB126" i="7"/>
  <c r="O130" i="2" l="1"/>
  <c r="Q130" i="2" s="1"/>
  <c r="B126" i="7"/>
  <c r="J131" i="2"/>
  <c r="EC72" i="18"/>
  <c r="C126" i="7" l="1"/>
  <c r="EC75" i="18"/>
  <c r="Z126" i="7"/>
  <c r="Y125" i="7"/>
  <c r="B130" i="2"/>
  <c r="EB16" i="18"/>
  <c r="EB17" i="18"/>
  <c r="EB18" i="18"/>
  <c r="EB19" i="18"/>
  <c r="EB20" i="18"/>
  <c r="EB21" i="18"/>
  <c r="EB22" i="18"/>
  <c r="EB23" i="18"/>
  <c r="EB24" i="18"/>
  <c r="EB25" i="18"/>
  <c r="EB26" i="18"/>
  <c r="EB27" i="18"/>
  <c r="EB28" i="18"/>
  <c r="EB29" i="18"/>
  <c r="EB30" i="18"/>
  <c r="EB31" i="18"/>
  <c r="EB32" i="18"/>
  <c r="EB33" i="18"/>
  <c r="EB34" i="18"/>
  <c r="EB35" i="18"/>
  <c r="EB36" i="18"/>
  <c r="EB37" i="18"/>
  <c r="EB38" i="18"/>
  <c r="EB39" i="18"/>
  <c r="EB40" i="18"/>
  <c r="EB41" i="18"/>
  <c r="EB42" i="18"/>
  <c r="EB43" i="18"/>
  <c r="EB44" i="18"/>
  <c r="EB45" i="18"/>
  <c r="EB46" i="18"/>
  <c r="EB47" i="18"/>
  <c r="EB48" i="18"/>
  <c r="EB49" i="18"/>
  <c r="EB50" i="18"/>
  <c r="EB51" i="18"/>
  <c r="EB52" i="18"/>
  <c r="EB53" i="18"/>
  <c r="EB54" i="18"/>
  <c r="EB55" i="18"/>
  <c r="EB56" i="18"/>
  <c r="EB60" i="18"/>
  <c r="EB61" i="18"/>
  <c r="EB62" i="18"/>
  <c r="EB63" i="18"/>
  <c r="EB64" i="18"/>
  <c r="EB65" i="18"/>
  <c r="EB66" i="18"/>
  <c r="EB67" i="18"/>
  <c r="EB68" i="18"/>
  <c r="EB69" i="18"/>
  <c r="EB70" i="18"/>
  <c r="EB71" i="18"/>
  <c r="EB14" i="18"/>
  <c r="O129" i="2" l="1"/>
  <c r="Q129" i="2" s="1"/>
  <c r="AA126" i="7"/>
  <c r="J130" i="2"/>
  <c r="EB72" i="18"/>
  <c r="Z125" i="7" s="1"/>
  <c r="B125" i="7"/>
  <c r="AB125" i="7"/>
  <c r="AA125" i="7" l="1"/>
  <c r="EB75" i="18"/>
  <c r="C125" i="7"/>
  <c r="L117" i="2" l="1"/>
  <c r="B129" i="2"/>
  <c r="EA16" i="18"/>
  <c r="EA17" i="18"/>
  <c r="EA18" i="18"/>
  <c r="EA19" i="18"/>
  <c r="EA20" i="18"/>
  <c r="EA21" i="18"/>
  <c r="EA22" i="18"/>
  <c r="EA23" i="18"/>
  <c r="EA24" i="18"/>
  <c r="EA25" i="18"/>
  <c r="EA26" i="18"/>
  <c r="EA27" i="18"/>
  <c r="EA28" i="18"/>
  <c r="EA29" i="18"/>
  <c r="EA30" i="18"/>
  <c r="EA31" i="18"/>
  <c r="EA32" i="18"/>
  <c r="EA33" i="18"/>
  <c r="EA34" i="18"/>
  <c r="EA35" i="18"/>
  <c r="EA36" i="18"/>
  <c r="EA37" i="18"/>
  <c r="EA38" i="18"/>
  <c r="EA39" i="18"/>
  <c r="EA40" i="18"/>
  <c r="EA41" i="18"/>
  <c r="EA42" i="18"/>
  <c r="EA43" i="18"/>
  <c r="EA44" i="18"/>
  <c r="EA45" i="18"/>
  <c r="EA46" i="18"/>
  <c r="EA47" i="18"/>
  <c r="EA48" i="18"/>
  <c r="EA49" i="18"/>
  <c r="EA50" i="18"/>
  <c r="EA51" i="18"/>
  <c r="EA52" i="18"/>
  <c r="EA53" i="18"/>
  <c r="EA54" i="18"/>
  <c r="EA55" i="18"/>
  <c r="EA56" i="18"/>
  <c r="EA60" i="18"/>
  <c r="EA61" i="18"/>
  <c r="EA62" i="18"/>
  <c r="EA63" i="18"/>
  <c r="EA64" i="18"/>
  <c r="EA65" i="18"/>
  <c r="EA66" i="18"/>
  <c r="EA67" i="18"/>
  <c r="EA68" i="18"/>
  <c r="EA69" i="18"/>
  <c r="EA70" i="18"/>
  <c r="EA71" i="18"/>
  <c r="EA14" i="18"/>
  <c r="Y124" i="7"/>
  <c r="AB124" i="7"/>
  <c r="O128" i="2" l="1"/>
  <c r="Q128" i="2" s="1"/>
  <c r="B124" i="7"/>
  <c r="J129" i="2"/>
  <c r="EA72" i="18"/>
  <c r="C124" i="7" l="1"/>
  <c r="Z124" i="7"/>
  <c r="EA75" i="18"/>
  <c r="B128" i="2"/>
  <c r="DZ17" i="18"/>
  <c r="DZ18" i="18"/>
  <c r="DZ19" i="18"/>
  <c r="DZ20" i="18"/>
  <c r="DZ21" i="18"/>
  <c r="DZ22" i="18"/>
  <c r="DZ23" i="18"/>
  <c r="DZ24" i="18"/>
  <c r="DZ25" i="18"/>
  <c r="DZ26" i="18"/>
  <c r="DZ27" i="18"/>
  <c r="DZ28" i="18"/>
  <c r="DZ29" i="18"/>
  <c r="DZ30" i="18"/>
  <c r="DZ31" i="18"/>
  <c r="DZ32" i="18"/>
  <c r="DZ33" i="18"/>
  <c r="DZ34" i="18"/>
  <c r="DZ35" i="18"/>
  <c r="DZ36" i="18"/>
  <c r="DZ37" i="18"/>
  <c r="DZ38" i="18"/>
  <c r="DZ39" i="18"/>
  <c r="DZ40" i="18"/>
  <c r="DZ41" i="18"/>
  <c r="DZ42" i="18"/>
  <c r="DZ43" i="18"/>
  <c r="DZ44" i="18"/>
  <c r="DZ45" i="18"/>
  <c r="DZ46" i="18"/>
  <c r="DZ47" i="18"/>
  <c r="DZ48" i="18"/>
  <c r="DZ49" i="18"/>
  <c r="DZ50" i="18"/>
  <c r="DZ51" i="18"/>
  <c r="DZ52" i="18"/>
  <c r="DZ53" i="18"/>
  <c r="DZ54" i="18"/>
  <c r="DZ55" i="18"/>
  <c r="DZ56" i="18"/>
  <c r="DZ60" i="18"/>
  <c r="DZ61" i="18"/>
  <c r="DZ62" i="18"/>
  <c r="DZ63" i="18"/>
  <c r="DZ64" i="18"/>
  <c r="DZ65" i="18"/>
  <c r="DZ66" i="18"/>
  <c r="DZ67" i="18"/>
  <c r="DZ68" i="18"/>
  <c r="DZ69" i="18"/>
  <c r="DZ70" i="18"/>
  <c r="DZ71" i="18"/>
  <c r="DZ16" i="18"/>
  <c r="DZ14" i="18"/>
  <c r="Y123" i="7"/>
  <c r="AB123" i="7"/>
  <c r="AA124" i="7" l="1"/>
  <c r="O127" i="2"/>
  <c r="Q127" i="2" s="1"/>
  <c r="B123" i="7"/>
  <c r="J128" i="2"/>
  <c r="DZ72" i="18"/>
  <c r="Z123" i="7" s="1"/>
  <c r="DZ75" i="18" l="1"/>
  <c r="C123" i="7"/>
  <c r="AA123" i="7"/>
  <c r="B127" i="2"/>
  <c r="O126" i="2" l="1"/>
  <c r="Q126" i="2" s="1"/>
  <c r="J127" i="2"/>
  <c r="B122" i="7"/>
  <c r="Y122" i="7"/>
  <c r="AB122" i="7"/>
  <c r="DY16" i="18"/>
  <c r="DY17" i="18"/>
  <c r="DY18" i="18"/>
  <c r="DY19" i="18"/>
  <c r="DY20" i="18"/>
  <c r="DY21" i="18"/>
  <c r="DY22" i="18"/>
  <c r="DY23" i="18"/>
  <c r="DY24" i="18"/>
  <c r="DY25" i="18"/>
  <c r="DY26" i="18"/>
  <c r="DY27" i="18"/>
  <c r="DY28" i="18"/>
  <c r="DY29" i="18"/>
  <c r="DY30" i="18"/>
  <c r="DY31" i="18"/>
  <c r="DY32" i="18"/>
  <c r="DY33" i="18"/>
  <c r="DY34" i="18"/>
  <c r="DY35" i="18"/>
  <c r="DY36" i="18"/>
  <c r="DY37" i="18"/>
  <c r="DY38" i="18"/>
  <c r="DY39" i="18"/>
  <c r="DY40" i="18"/>
  <c r="DY41" i="18"/>
  <c r="DY42" i="18"/>
  <c r="DY43" i="18"/>
  <c r="DY44" i="18"/>
  <c r="DY45" i="18"/>
  <c r="DY46" i="18"/>
  <c r="DY47" i="18"/>
  <c r="DY48" i="18"/>
  <c r="DY49" i="18"/>
  <c r="DY50" i="18"/>
  <c r="DY51" i="18"/>
  <c r="DY52" i="18"/>
  <c r="DY53" i="18"/>
  <c r="DY54" i="18"/>
  <c r="DY55" i="18"/>
  <c r="DY56" i="18"/>
  <c r="DY60" i="18"/>
  <c r="DY61" i="18"/>
  <c r="DY62" i="18"/>
  <c r="DY63" i="18"/>
  <c r="DY64" i="18"/>
  <c r="DY65" i="18"/>
  <c r="DY66" i="18"/>
  <c r="DY67" i="18"/>
  <c r="DY68" i="18"/>
  <c r="DY69" i="18"/>
  <c r="DY70" i="18"/>
  <c r="DY71" i="18"/>
  <c r="DY14" i="18"/>
  <c r="DY72" i="18" l="1"/>
  <c r="DY75" i="18" s="1"/>
  <c r="C122" i="7"/>
  <c r="Z122" i="7" l="1"/>
  <c r="B126" i="2"/>
  <c r="DX17" i="18"/>
  <c r="DX18" i="18"/>
  <c r="DX19" i="18"/>
  <c r="DX20" i="18"/>
  <c r="DX21" i="18"/>
  <c r="DX22" i="18"/>
  <c r="DX23" i="18"/>
  <c r="DX24" i="18"/>
  <c r="DX25" i="18"/>
  <c r="DX26" i="18"/>
  <c r="DX27" i="18"/>
  <c r="DX28" i="18"/>
  <c r="DX29" i="18"/>
  <c r="DX30" i="18"/>
  <c r="DX31" i="18"/>
  <c r="DX32" i="18"/>
  <c r="DX33" i="18"/>
  <c r="DX34" i="18"/>
  <c r="DX35" i="18"/>
  <c r="DX36" i="18"/>
  <c r="DX37" i="18"/>
  <c r="DX38" i="18"/>
  <c r="DX39" i="18"/>
  <c r="DX40" i="18"/>
  <c r="DX41" i="18"/>
  <c r="DX42" i="18"/>
  <c r="DX43" i="18"/>
  <c r="DX44" i="18"/>
  <c r="DX45" i="18"/>
  <c r="DX46" i="18"/>
  <c r="DX47" i="18"/>
  <c r="DX48" i="18"/>
  <c r="DX49" i="18"/>
  <c r="DX50" i="18"/>
  <c r="DX51" i="18"/>
  <c r="DX52" i="18"/>
  <c r="DX53" i="18"/>
  <c r="DX54" i="18"/>
  <c r="DX55" i="18"/>
  <c r="DX56" i="18"/>
  <c r="DX60" i="18"/>
  <c r="DX61" i="18"/>
  <c r="DX62" i="18"/>
  <c r="DX63" i="18"/>
  <c r="DX64" i="18"/>
  <c r="DX65" i="18"/>
  <c r="DX66" i="18"/>
  <c r="DX67" i="18"/>
  <c r="DX68" i="18"/>
  <c r="DX69" i="18"/>
  <c r="DX70" i="18"/>
  <c r="DX71" i="18"/>
  <c r="DX16" i="18"/>
  <c r="DX14" i="18"/>
  <c r="DW14" i="18"/>
  <c r="O125" i="2" l="1"/>
  <c r="Q125" i="2"/>
  <c r="AA122" i="7"/>
  <c r="J126" i="2"/>
  <c r="DX72" i="18"/>
  <c r="Z121" i="7" s="1"/>
  <c r="B121" i="7"/>
  <c r="Y121" i="7"/>
  <c r="AB121" i="7"/>
  <c r="DX75" i="18" l="1"/>
  <c r="C121" i="7"/>
  <c r="AA121" i="7"/>
  <c r="DV32" i="18" l="1"/>
  <c r="DW17" i="18" l="1"/>
  <c r="DW18" i="18"/>
  <c r="DW19" i="18"/>
  <c r="DW20" i="18"/>
  <c r="DW21" i="18"/>
  <c r="DW22" i="18"/>
  <c r="DW23" i="18"/>
  <c r="DW24" i="18"/>
  <c r="DW25" i="18"/>
  <c r="DW26" i="18"/>
  <c r="DW27" i="18"/>
  <c r="DW28" i="18"/>
  <c r="DW29" i="18"/>
  <c r="DW30" i="18"/>
  <c r="DW31" i="18"/>
  <c r="DW32" i="18"/>
  <c r="DW33" i="18"/>
  <c r="DW34" i="18"/>
  <c r="DW35" i="18"/>
  <c r="DW36" i="18"/>
  <c r="DW37" i="18"/>
  <c r="DW38" i="18"/>
  <c r="DW39" i="18"/>
  <c r="DW40" i="18"/>
  <c r="DW41" i="18"/>
  <c r="DW42" i="18"/>
  <c r="DW43" i="18"/>
  <c r="DW44" i="18"/>
  <c r="DW45" i="18"/>
  <c r="DW46" i="18"/>
  <c r="DW47" i="18"/>
  <c r="DW48" i="18"/>
  <c r="DW49" i="18"/>
  <c r="DW50" i="18"/>
  <c r="DW51" i="18"/>
  <c r="DW52" i="18"/>
  <c r="DW53" i="18"/>
  <c r="DW54" i="18"/>
  <c r="DW55" i="18"/>
  <c r="DW56" i="18"/>
  <c r="DW60" i="18"/>
  <c r="DW61" i="18"/>
  <c r="DW62" i="18"/>
  <c r="DW63" i="18"/>
  <c r="DW64" i="18"/>
  <c r="DW65" i="18"/>
  <c r="DW66" i="18"/>
  <c r="DW67" i="18"/>
  <c r="DW68" i="18"/>
  <c r="DW69" i="18"/>
  <c r="DW70" i="18"/>
  <c r="DW71" i="18"/>
  <c r="DW16" i="18"/>
  <c r="Y120" i="7"/>
  <c r="AB120" i="7"/>
  <c r="B125" i="2"/>
  <c r="O124" i="2" l="1"/>
  <c r="Q124" i="2" s="1"/>
  <c r="B120" i="7"/>
  <c r="J125" i="2"/>
  <c r="DW72" i="18"/>
  <c r="DW75" i="18" s="1"/>
  <c r="C120" i="7" l="1"/>
  <c r="Z120" i="7"/>
  <c r="B124" i="2"/>
  <c r="DV17" i="18"/>
  <c r="DV18" i="18"/>
  <c r="DV19" i="18"/>
  <c r="DV20" i="18"/>
  <c r="DV21" i="18"/>
  <c r="DV22" i="18"/>
  <c r="DV23" i="18"/>
  <c r="DV24" i="18"/>
  <c r="DV25" i="18"/>
  <c r="DV26" i="18"/>
  <c r="DV27" i="18"/>
  <c r="DV28" i="18"/>
  <c r="DV29" i="18"/>
  <c r="DV30" i="18"/>
  <c r="DV31" i="18"/>
  <c r="DV33" i="18"/>
  <c r="DV34" i="18"/>
  <c r="DV35" i="18"/>
  <c r="DV36" i="18"/>
  <c r="DV37" i="18"/>
  <c r="DV38" i="18"/>
  <c r="DV39" i="18"/>
  <c r="DV40" i="18"/>
  <c r="DV41" i="18"/>
  <c r="DV42" i="18"/>
  <c r="DV43" i="18"/>
  <c r="DV44" i="18"/>
  <c r="DV45" i="18"/>
  <c r="DV46" i="18"/>
  <c r="DV47" i="18"/>
  <c r="DV48" i="18"/>
  <c r="DV49" i="18"/>
  <c r="DV50" i="18"/>
  <c r="DV51" i="18"/>
  <c r="DV52" i="18"/>
  <c r="DV53" i="18"/>
  <c r="DV54" i="18"/>
  <c r="DV55" i="18"/>
  <c r="DV56" i="18"/>
  <c r="DV60" i="18"/>
  <c r="DV61" i="18"/>
  <c r="DV62" i="18"/>
  <c r="DV63" i="18"/>
  <c r="DV64" i="18"/>
  <c r="DV65" i="18"/>
  <c r="DV66" i="18"/>
  <c r="DV67" i="18"/>
  <c r="DV68" i="18"/>
  <c r="DV69" i="18"/>
  <c r="DV70" i="18"/>
  <c r="DV71" i="18"/>
  <c r="DV16" i="18"/>
  <c r="DV14" i="18"/>
  <c r="DU16" i="18"/>
  <c r="Y119" i="7"/>
  <c r="AB119" i="7"/>
  <c r="AA120" i="7" l="1"/>
  <c r="O123" i="2"/>
  <c r="Q123" i="2" s="1"/>
  <c r="B119" i="7"/>
  <c r="J124" i="2"/>
  <c r="DV72" i="18"/>
  <c r="DV75" i="18" s="1"/>
  <c r="C119" i="7" l="1"/>
  <c r="Z119" i="7"/>
  <c r="B123" i="2"/>
  <c r="DU17" i="18"/>
  <c r="DU18" i="18"/>
  <c r="DU19" i="18"/>
  <c r="DU20" i="18"/>
  <c r="DU21" i="18"/>
  <c r="DU22" i="18"/>
  <c r="DU23" i="18"/>
  <c r="DU24" i="18"/>
  <c r="DU25" i="18"/>
  <c r="DU26" i="18"/>
  <c r="DU27" i="18"/>
  <c r="DU28" i="18"/>
  <c r="DU29" i="18"/>
  <c r="DU30" i="18"/>
  <c r="DU31" i="18"/>
  <c r="DU32" i="18"/>
  <c r="DU33" i="18"/>
  <c r="DU34" i="18"/>
  <c r="DU35" i="18"/>
  <c r="DU36" i="18"/>
  <c r="DU37" i="18"/>
  <c r="DU38" i="18"/>
  <c r="DU39" i="18"/>
  <c r="DU40" i="18"/>
  <c r="DU41" i="18"/>
  <c r="DU42" i="18"/>
  <c r="DU43" i="18"/>
  <c r="DU44" i="18"/>
  <c r="DU45" i="18"/>
  <c r="DU46" i="18"/>
  <c r="DU47" i="18"/>
  <c r="DU48" i="18"/>
  <c r="DU49" i="18"/>
  <c r="DU50" i="18"/>
  <c r="DU51" i="18"/>
  <c r="DU52" i="18"/>
  <c r="DU53" i="18"/>
  <c r="DU54" i="18"/>
  <c r="DU55" i="18"/>
  <c r="DU56" i="18"/>
  <c r="DU60" i="18"/>
  <c r="DU61" i="18"/>
  <c r="DU62" i="18"/>
  <c r="DU63" i="18"/>
  <c r="DU64" i="18"/>
  <c r="DU65" i="18"/>
  <c r="DU66" i="18"/>
  <c r="DU67" i="18"/>
  <c r="DU68" i="18"/>
  <c r="DU69" i="18"/>
  <c r="DU70" i="18"/>
  <c r="DU71" i="18"/>
  <c r="DU14" i="18"/>
  <c r="J123" i="2" l="1"/>
  <c r="O122" i="2"/>
  <c r="AA119" i="7"/>
  <c r="DU72" i="18"/>
  <c r="DU75" i="18" s="1"/>
  <c r="B118" i="7"/>
  <c r="Y118" i="7"/>
  <c r="AB118" i="7"/>
  <c r="Q122" i="2" l="1"/>
  <c r="Z118" i="7"/>
  <c r="C118" i="7"/>
  <c r="AA118" i="7" l="1"/>
  <c r="DT44" i="18"/>
  <c r="DT45" i="18"/>
  <c r="DT46" i="18"/>
  <c r="DT47" i="18"/>
  <c r="DT48" i="18"/>
  <c r="DT49" i="18"/>
  <c r="DT50" i="18"/>
  <c r="DT51" i="18"/>
  <c r="DT52" i="18"/>
  <c r="DT53" i="18"/>
  <c r="DT54" i="18"/>
  <c r="DT55" i="18"/>
  <c r="DT56" i="18"/>
  <c r="DT60" i="18"/>
  <c r="DT61" i="18"/>
  <c r="DT62" i="18"/>
  <c r="DT63" i="18"/>
  <c r="DT64" i="18"/>
  <c r="DT65" i="18"/>
  <c r="DT66" i="18"/>
  <c r="DT67" i="18"/>
  <c r="DT68" i="18"/>
  <c r="DT69" i="18"/>
  <c r="DT70" i="18"/>
  <c r="DT71" i="18"/>
  <c r="DT15" i="18"/>
  <c r="DT16" i="18"/>
  <c r="DT17" i="18"/>
  <c r="DT18" i="18"/>
  <c r="DT19" i="18"/>
  <c r="DT20" i="18"/>
  <c r="DT21" i="18"/>
  <c r="DT22" i="18"/>
  <c r="DT23" i="18"/>
  <c r="DT24" i="18"/>
  <c r="DT25" i="18"/>
  <c r="DT26" i="18"/>
  <c r="DT27" i="18"/>
  <c r="DT28" i="18"/>
  <c r="DT29" i="18"/>
  <c r="DT30" i="18"/>
  <c r="DT31" i="18"/>
  <c r="DT32" i="18"/>
  <c r="DT33" i="18"/>
  <c r="DT34" i="18"/>
  <c r="DT35" i="18"/>
  <c r="DT36" i="18"/>
  <c r="DT37" i="18"/>
  <c r="DT38" i="18"/>
  <c r="DT39" i="18"/>
  <c r="DT40" i="18"/>
  <c r="DT41" i="18"/>
  <c r="DT42" i="18"/>
  <c r="DT43" i="18"/>
  <c r="DT14" i="18"/>
  <c r="B122" i="2"/>
  <c r="J122" i="2" l="1"/>
  <c r="O121" i="2"/>
  <c r="DT72" i="18"/>
  <c r="Y117" i="7"/>
  <c r="B117" i="7"/>
  <c r="AB117" i="7"/>
  <c r="Q121" i="2" l="1"/>
  <c r="DT75" i="18"/>
  <c r="Z117" i="7"/>
  <c r="C117" i="7"/>
  <c r="AA117" i="7" l="1"/>
  <c r="DS15" i="18"/>
  <c r="DS16" i="18"/>
  <c r="DS17" i="18"/>
  <c r="DS18" i="18"/>
  <c r="DS19" i="18"/>
  <c r="DS20" i="18"/>
  <c r="DS21" i="18"/>
  <c r="DS22" i="18"/>
  <c r="DS23" i="18"/>
  <c r="DS24" i="18"/>
  <c r="DS25" i="18"/>
  <c r="DS26" i="18"/>
  <c r="DS27" i="18"/>
  <c r="DS28" i="18"/>
  <c r="DS29" i="18"/>
  <c r="DS30" i="18"/>
  <c r="DS31" i="18"/>
  <c r="DS32" i="18"/>
  <c r="DS33" i="18"/>
  <c r="DS34" i="18"/>
  <c r="DS35" i="18"/>
  <c r="DS36" i="18"/>
  <c r="DS37" i="18"/>
  <c r="DS38" i="18"/>
  <c r="DS39" i="18"/>
  <c r="DS40" i="18"/>
  <c r="DS41" i="18"/>
  <c r="DS42" i="18"/>
  <c r="DS43" i="18"/>
  <c r="DS44" i="18"/>
  <c r="DS45" i="18"/>
  <c r="DS46" i="18"/>
  <c r="DS47" i="18"/>
  <c r="DS48" i="18"/>
  <c r="DS49" i="18"/>
  <c r="DS50" i="18"/>
  <c r="DS51" i="18"/>
  <c r="DS52" i="18"/>
  <c r="DS53" i="18"/>
  <c r="DS54" i="18"/>
  <c r="DS55" i="18"/>
  <c r="DS56" i="18"/>
  <c r="DS60" i="18"/>
  <c r="DS61" i="18"/>
  <c r="DS62" i="18"/>
  <c r="DS63" i="18"/>
  <c r="DS64" i="18"/>
  <c r="DS65" i="18"/>
  <c r="DS66" i="18"/>
  <c r="DS67" i="18"/>
  <c r="DS68" i="18"/>
  <c r="DS69" i="18"/>
  <c r="DS70" i="18"/>
  <c r="DS71" i="18"/>
  <c r="DS14" i="18"/>
  <c r="B121" i="2"/>
  <c r="O120" i="2" l="1"/>
  <c r="J121" i="2"/>
  <c r="P120" i="2"/>
  <c r="Q120" i="2" s="1"/>
  <c r="DS72" i="18"/>
  <c r="DS75" i="18" l="1"/>
  <c r="Z116" i="7"/>
  <c r="B116" i="7"/>
  <c r="Y116" i="7"/>
  <c r="AB116" i="7"/>
  <c r="C116" i="7" l="1"/>
  <c r="AA116" i="7"/>
  <c r="DR15" i="18" l="1"/>
  <c r="DR16" i="18"/>
  <c r="DR17" i="18"/>
  <c r="DR18" i="18"/>
  <c r="DR19" i="18"/>
  <c r="DR20" i="18"/>
  <c r="DR21" i="18"/>
  <c r="DR22" i="18"/>
  <c r="DR23" i="18"/>
  <c r="DR24" i="18"/>
  <c r="DR25" i="18"/>
  <c r="DR26" i="18"/>
  <c r="DR27" i="18"/>
  <c r="DR28" i="18"/>
  <c r="DR29" i="18"/>
  <c r="DR30" i="18"/>
  <c r="DR31" i="18"/>
  <c r="DR32" i="18"/>
  <c r="DR33" i="18"/>
  <c r="DR34" i="18"/>
  <c r="DR35" i="18"/>
  <c r="DR36" i="18"/>
  <c r="DR37" i="18"/>
  <c r="DR38" i="18"/>
  <c r="DR39" i="18"/>
  <c r="DR40" i="18"/>
  <c r="DR41" i="18"/>
  <c r="DR42" i="18"/>
  <c r="DR43" i="18"/>
  <c r="DR44" i="18"/>
  <c r="DR45" i="18"/>
  <c r="DR46" i="18"/>
  <c r="DR47" i="18"/>
  <c r="DR48" i="18"/>
  <c r="DR49" i="18"/>
  <c r="DR50" i="18"/>
  <c r="DR51" i="18"/>
  <c r="DR52" i="18"/>
  <c r="DR53" i="18"/>
  <c r="DR54" i="18"/>
  <c r="DR55" i="18"/>
  <c r="DR56" i="18"/>
  <c r="DR60" i="18"/>
  <c r="DR61" i="18"/>
  <c r="DR62" i="18"/>
  <c r="DR63" i="18"/>
  <c r="DR64" i="18"/>
  <c r="DR65" i="18"/>
  <c r="DR66" i="18"/>
  <c r="DR67" i="18"/>
  <c r="DR68" i="18"/>
  <c r="DR69" i="18"/>
  <c r="DR70" i="18"/>
  <c r="DR71" i="18"/>
  <c r="DR14" i="18"/>
  <c r="DO14" i="18"/>
  <c r="DP14" i="18"/>
  <c r="DQ14" i="18"/>
  <c r="DR72" i="18" l="1"/>
  <c r="Y115" i="7"/>
  <c r="AB115" i="7"/>
  <c r="B120" i="2"/>
  <c r="O119" i="2" l="1"/>
  <c r="J120" i="2"/>
  <c r="P119" i="2"/>
  <c r="Q119" i="2" s="1"/>
  <c r="B115" i="7"/>
  <c r="C115" i="7" s="1"/>
  <c r="Z115" i="7"/>
  <c r="DR75" i="18"/>
  <c r="DQ55" i="18"/>
  <c r="DQ56" i="18"/>
  <c r="AA115" i="7" l="1"/>
  <c r="B119" i="2"/>
  <c r="J119" i="2" l="1"/>
  <c r="P118" i="2"/>
  <c r="O118" i="2"/>
  <c r="DN17" i="18"/>
  <c r="DO19" i="18"/>
  <c r="DP19" i="18"/>
  <c r="DQ15" i="18"/>
  <c r="DQ16" i="18"/>
  <c r="DQ17" i="18"/>
  <c r="DQ18" i="18"/>
  <c r="DQ19" i="18"/>
  <c r="DQ20" i="18"/>
  <c r="DQ21" i="18"/>
  <c r="DQ22" i="18"/>
  <c r="DQ23" i="18"/>
  <c r="DQ24" i="18"/>
  <c r="DQ25" i="18"/>
  <c r="DQ26" i="18"/>
  <c r="DQ27" i="18"/>
  <c r="DQ28" i="18"/>
  <c r="DQ29" i="18"/>
  <c r="DQ30" i="18"/>
  <c r="DQ31" i="18"/>
  <c r="DQ32" i="18"/>
  <c r="DQ33" i="18"/>
  <c r="DQ34" i="18"/>
  <c r="DQ35" i="18"/>
  <c r="DQ36" i="18"/>
  <c r="DQ37" i="18"/>
  <c r="DQ38" i="18"/>
  <c r="DQ39" i="18"/>
  <c r="DQ40" i="18"/>
  <c r="DQ41" i="18"/>
  <c r="DQ42" i="18"/>
  <c r="DQ43" i="18"/>
  <c r="DQ44" i="18"/>
  <c r="DQ45" i="18"/>
  <c r="DQ46" i="18"/>
  <c r="DQ47" i="18"/>
  <c r="DQ48" i="18"/>
  <c r="DQ49" i="18"/>
  <c r="DQ50" i="18"/>
  <c r="DQ51" i="18"/>
  <c r="DQ52" i="18"/>
  <c r="DQ53" i="18"/>
  <c r="DQ54" i="18"/>
  <c r="DQ60" i="18"/>
  <c r="DQ61" i="18"/>
  <c r="DQ62" i="18"/>
  <c r="DQ63" i="18"/>
  <c r="DQ64" i="18"/>
  <c r="DQ65" i="18"/>
  <c r="DQ66" i="18"/>
  <c r="DQ67" i="18"/>
  <c r="DQ68" i="18"/>
  <c r="DQ69" i="18"/>
  <c r="DQ70" i="18"/>
  <c r="DQ71" i="18"/>
  <c r="B114" i="7"/>
  <c r="Y114" i="7"/>
  <c r="AB114" i="7"/>
  <c r="Q118" i="2" l="1"/>
  <c r="C114" i="7"/>
  <c r="DQ72" i="18"/>
  <c r="DQ75" i="18" s="1"/>
  <c r="Z114" i="7" l="1"/>
  <c r="Y113" i="7"/>
  <c r="AB113" i="7"/>
  <c r="AA114" i="7" l="1"/>
  <c r="DP39" i="18"/>
  <c r="DP40" i="18"/>
  <c r="DP41" i="18"/>
  <c r="DP42" i="18"/>
  <c r="DP43" i="18"/>
  <c r="DP44" i="18"/>
  <c r="DP45" i="18"/>
  <c r="DP46" i="18"/>
  <c r="DP49" i="18"/>
  <c r="DP50" i="18"/>
  <c r="DP51" i="18"/>
  <c r="DP52" i="18"/>
  <c r="DP53" i="18"/>
  <c r="DP54" i="18"/>
  <c r="DP55" i="18"/>
  <c r="DP56" i="18"/>
  <c r="DP60" i="18"/>
  <c r="DP61" i="18"/>
  <c r="DP62" i="18"/>
  <c r="DP63" i="18"/>
  <c r="DP64" i="18"/>
  <c r="DP65" i="18"/>
  <c r="DP66" i="18"/>
  <c r="DP67" i="18"/>
  <c r="DP68" i="18"/>
  <c r="DP69" i="18"/>
  <c r="DP70" i="18"/>
  <c r="DP71" i="18"/>
  <c r="DP15" i="18"/>
  <c r="DP16" i="18"/>
  <c r="DP17" i="18"/>
  <c r="DP18" i="18"/>
  <c r="DP20" i="18"/>
  <c r="DP21" i="18"/>
  <c r="DP22" i="18"/>
  <c r="DP23" i="18"/>
  <c r="DP24" i="18"/>
  <c r="DP25" i="18"/>
  <c r="DP26" i="18"/>
  <c r="DP27" i="18"/>
  <c r="DP28" i="18"/>
  <c r="DP29" i="18"/>
  <c r="DP30" i="18"/>
  <c r="DP31" i="18"/>
  <c r="DP32" i="18"/>
  <c r="DP33" i="18"/>
  <c r="DP34" i="18"/>
  <c r="DP35" i="18"/>
  <c r="DP36" i="18"/>
  <c r="DP37" i="18"/>
  <c r="DP38" i="18"/>
  <c r="B117" i="2" l="1"/>
  <c r="J117" i="2" l="1"/>
  <c r="DP72" i="18"/>
  <c r="B118" i="2"/>
  <c r="J118" i="2" l="1"/>
  <c r="P117" i="2"/>
  <c r="O117" i="2"/>
  <c r="B113" i="7"/>
  <c r="O116" i="2"/>
  <c r="Z113" i="7"/>
  <c r="DP75" i="18"/>
  <c r="C113" i="7" l="1"/>
  <c r="Z157" i="7"/>
  <c r="Q117" i="2"/>
  <c r="AA113" i="7"/>
  <c r="DO15" i="18"/>
  <c r="DO16" i="18"/>
  <c r="DO17" i="18"/>
  <c r="DO18" i="18"/>
  <c r="DO20" i="18"/>
  <c r="DO21" i="18"/>
  <c r="DO22" i="18"/>
  <c r="DO23" i="18"/>
  <c r="DO24" i="18"/>
  <c r="DO25" i="18"/>
  <c r="DO26" i="18"/>
  <c r="DO27" i="18"/>
  <c r="DO28" i="18"/>
  <c r="DO29" i="18"/>
  <c r="DO30" i="18"/>
  <c r="DO31" i="18"/>
  <c r="DO32" i="18"/>
  <c r="DO33" i="18"/>
  <c r="DO34" i="18"/>
  <c r="DO35" i="18"/>
  <c r="DO36" i="18"/>
  <c r="DO37" i="18"/>
  <c r="DO38" i="18"/>
  <c r="DO39" i="18"/>
  <c r="DO40" i="18"/>
  <c r="DO41" i="18"/>
  <c r="DO42" i="18"/>
  <c r="DO43" i="18"/>
  <c r="DO44" i="18"/>
  <c r="DO45" i="18"/>
  <c r="DO46" i="18"/>
  <c r="DO47" i="18"/>
  <c r="DO48" i="18"/>
  <c r="DO49" i="18"/>
  <c r="DO50" i="18"/>
  <c r="DO51" i="18"/>
  <c r="DO52" i="18"/>
  <c r="DO53" i="18"/>
  <c r="DO54" i="18"/>
  <c r="DO55" i="18"/>
  <c r="DO56" i="18"/>
  <c r="DO60" i="18"/>
  <c r="DO61" i="18"/>
  <c r="DO62" i="18"/>
  <c r="DO63" i="18"/>
  <c r="DO64" i="18"/>
  <c r="DO65" i="18"/>
  <c r="DO66" i="18"/>
  <c r="DO67" i="18"/>
  <c r="DO68" i="18"/>
  <c r="DO69" i="18"/>
  <c r="DO70" i="18"/>
  <c r="DO71" i="18"/>
  <c r="DN28" i="18"/>
  <c r="B112" i="7"/>
  <c r="Y112" i="7"/>
  <c r="AB112" i="7"/>
  <c r="L105" i="2"/>
  <c r="P116" i="2" l="1"/>
  <c r="Q116" i="2" s="1"/>
  <c r="DO72" i="18"/>
  <c r="DO75" i="18" s="1"/>
  <c r="C112" i="7"/>
  <c r="AA112" i="7"/>
  <c r="DN71" i="18" l="1"/>
  <c r="DN70" i="18"/>
  <c r="DN69" i="18"/>
  <c r="DN68" i="18"/>
  <c r="DN67" i="18"/>
  <c r="DN66" i="18"/>
  <c r="DN65" i="18"/>
  <c r="DN64" i="18"/>
  <c r="DN63" i="18"/>
  <c r="DN62" i="18"/>
  <c r="DN61" i="18"/>
  <c r="DN60" i="18"/>
  <c r="DN56" i="18"/>
  <c r="DN55" i="18"/>
  <c r="DN54" i="18"/>
  <c r="DN53" i="18"/>
  <c r="DN52" i="18"/>
  <c r="DN51" i="18"/>
  <c r="DN50" i="18"/>
  <c r="DN49" i="18"/>
  <c r="DN48" i="18"/>
  <c r="DN47" i="18"/>
  <c r="DN46" i="18"/>
  <c r="DN45" i="18"/>
  <c r="DN44" i="18"/>
  <c r="DN43" i="18"/>
  <c r="DN42" i="18"/>
  <c r="DN41" i="18"/>
  <c r="DN40" i="18"/>
  <c r="DN38" i="18"/>
  <c r="DN37" i="18"/>
  <c r="DN36" i="18"/>
  <c r="DN35" i="18"/>
  <c r="DN34" i="18"/>
  <c r="DN33" i="18"/>
  <c r="DN32" i="18"/>
  <c r="DN31" i="18"/>
  <c r="DN30" i="18"/>
  <c r="DN29" i="18"/>
  <c r="DN27" i="18"/>
  <c r="DN26" i="18"/>
  <c r="DN24" i="18"/>
  <c r="DN23" i="18"/>
  <c r="DN22" i="18"/>
  <c r="DN21" i="18"/>
  <c r="DN15" i="18"/>
  <c r="DN16" i="18"/>
  <c r="DN18" i="18"/>
  <c r="DN19" i="18"/>
  <c r="DN14" i="18"/>
  <c r="DN72" i="18" l="1"/>
  <c r="DN75" i="18" s="1"/>
  <c r="B116" i="2"/>
  <c r="Y111" i="7"/>
  <c r="AB111" i="7"/>
  <c r="J116" i="2" l="1"/>
  <c r="P115" i="2"/>
  <c r="B111" i="7"/>
  <c r="O115" i="2"/>
  <c r="AA111" i="7"/>
  <c r="C111" i="7" l="1"/>
  <c r="Q115" i="2"/>
  <c r="B115" i="2"/>
  <c r="O114" i="2" l="1"/>
  <c r="J115" i="2"/>
  <c r="P114" i="2"/>
  <c r="B110" i="7"/>
  <c r="Y110" i="7"/>
  <c r="AB110" i="7"/>
  <c r="Q114" i="2" l="1"/>
  <c r="C110" i="7"/>
  <c r="AA110" i="7"/>
  <c r="DM72" i="18"/>
  <c r="DM75" i="18" s="1"/>
  <c r="P153" i="7" l="1"/>
  <c r="Y109" i="7"/>
  <c r="Y106" i="7"/>
  <c r="Y107" i="7"/>
  <c r="Y108" i="7"/>
  <c r="Y105" i="7"/>
  <c r="Y104" i="7"/>
  <c r="Y103" i="7"/>
  <c r="Y102" i="7"/>
  <c r="Y101" i="7"/>
  <c r="B114" i="2"/>
  <c r="B113" i="2"/>
  <c r="B112" i="2"/>
  <c r="B111" i="2"/>
  <c r="B110" i="2"/>
  <c r="B109" i="2"/>
  <c r="B108" i="2"/>
  <c r="B107" i="2"/>
  <c r="DL72" i="18"/>
  <c r="DL75" i="18" s="1"/>
  <c r="J107" i="2" l="1"/>
  <c r="J111" i="2"/>
  <c r="J112" i="2"/>
  <c r="J113" i="2"/>
  <c r="B104" i="7"/>
  <c r="J109" i="2"/>
  <c r="O113" i="2"/>
  <c r="J114" i="2"/>
  <c r="B103" i="7"/>
  <c r="J108" i="2"/>
  <c r="B105" i="7"/>
  <c r="J110" i="2"/>
  <c r="B102" i="7"/>
  <c r="P113" i="2"/>
  <c r="O110" i="2"/>
  <c r="O111" i="2"/>
  <c r="O109" i="2"/>
  <c r="O112" i="2"/>
  <c r="O107" i="2"/>
  <c r="B106" i="7"/>
  <c r="B108" i="7"/>
  <c r="O106" i="2"/>
  <c r="B107" i="7"/>
  <c r="O108" i="2"/>
  <c r="B109" i="7"/>
  <c r="Y157" i="7"/>
  <c r="AA109" i="7"/>
  <c r="AA108" i="7"/>
  <c r="AA107" i="7"/>
  <c r="AA106" i="7"/>
  <c r="AA105" i="7"/>
  <c r="AA104" i="7"/>
  <c r="AA103" i="7"/>
  <c r="AA102" i="7"/>
  <c r="AB109" i="7"/>
  <c r="Q113" i="2" l="1"/>
  <c r="C109" i="7"/>
  <c r="B157" i="7"/>
  <c r="AA157" i="7"/>
  <c r="I153" i="7"/>
  <c r="I156" i="7" s="1"/>
  <c r="DI22" i="18" l="1"/>
  <c r="DK72" i="18" l="1"/>
  <c r="DK75" i="18" s="1"/>
  <c r="AB108" i="7"/>
  <c r="C108" i="7"/>
  <c r="P112" i="2" l="1"/>
  <c r="Q112" i="2" s="1"/>
  <c r="DJ72" i="18"/>
  <c r="DJ75" i="18" s="1"/>
  <c r="AB107" i="7"/>
  <c r="C107" i="7"/>
  <c r="P111" i="2" l="1"/>
  <c r="Q111" i="2" s="1"/>
  <c r="DI72" i="18" l="1"/>
  <c r="DI75" i="18" s="1"/>
  <c r="AB106" i="7"/>
  <c r="C106" i="7"/>
  <c r="P110" i="2" l="1"/>
  <c r="Q110" i="2" s="1"/>
  <c r="DH72" i="18"/>
  <c r="DH75" i="18" s="1"/>
  <c r="P109" i="2" l="1"/>
  <c r="Q109" i="2" s="1"/>
  <c r="AB105" i="7" l="1"/>
  <c r="C105" i="7"/>
  <c r="DD75" i="18" l="1"/>
  <c r="DC75" i="18"/>
  <c r="DB75" i="18"/>
  <c r="DA75" i="18"/>
  <c r="CZ75" i="18"/>
  <c r="CY75" i="18"/>
  <c r="CX75" i="18"/>
  <c r="CW75" i="18"/>
  <c r="CV75" i="18"/>
  <c r="CU75" i="18"/>
  <c r="CT75" i="18"/>
  <c r="CS75" i="18"/>
  <c r="CR75" i="18"/>
  <c r="CQ75" i="18"/>
  <c r="CP75" i="18"/>
  <c r="CO75" i="18"/>
  <c r="CN75" i="18"/>
  <c r="CM75" i="18"/>
  <c r="CL75" i="18"/>
  <c r="CK75" i="18"/>
  <c r="CJ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V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H75" i="18"/>
  <c r="BG75" i="18"/>
  <c r="BF75" i="18"/>
  <c r="BE75" i="18"/>
  <c r="BD75" i="18"/>
  <c r="BC75" i="18"/>
  <c r="BB75" i="18"/>
  <c r="BA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DG72" i="18" l="1"/>
  <c r="DG75" i="18" s="1"/>
  <c r="AB104" i="7"/>
  <c r="AB157" i="7" s="1"/>
  <c r="C104" i="7"/>
  <c r="C157" i="7" s="1"/>
  <c r="P108" i="2" l="1"/>
  <c r="Q108" i="2" s="1"/>
  <c r="C103" i="7"/>
  <c r="DF72" i="18" l="1"/>
  <c r="DF75" i="18" s="1"/>
  <c r="AB103" i="7"/>
  <c r="P107" i="2" l="1"/>
  <c r="Q107" i="2" s="1"/>
  <c r="P106" i="2"/>
  <c r="Q106" i="2" s="1"/>
  <c r="DB72" i="18"/>
  <c r="DC72" i="18"/>
  <c r="DD72" i="18"/>
  <c r="DE72" i="18" l="1"/>
  <c r="DE75" i="18" s="1"/>
  <c r="C102" i="7"/>
  <c r="AB102" i="7"/>
  <c r="Y96" i="7" l="1"/>
  <c r="AB96" i="7"/>
  <c r="AA96" i="7" l="1"/>
  <c r="B106" i="2"/>
  <c r="O105" i="2" l="1"/>
  <c r="J106" i="2"/>
  <c r="P105" i="2"/>
  <c r="B101" i="7"/>
  <c r="AA101" i="7"/>
  <c r="AB101" i="7"/>
  <c r="Q105" i="2" l="1"/>
  <c r="C101" i="7"/>
  <c r="B105" i="2"/>
  <c r="O104" i="2" l="1"/>
  <c r="J105" i="2"/>
  <c r="P104" i="2"/>
  <c r="B100" i="7"/>
  <c r="Y100" i="7"/>
  <c r="AB100" i="7"/>
  <c r="Q104" i="2" l="1"/>
  <c r="AA100" i="7"/>
  <c r="C100" i="7"/>
  <c r="Y99" i="7" l="1"/>
  <c r="AB99" i="7"/>
  <c r="L93" i="2"/>
  <c r="B104" i="2"/>
  <c r="J104" i="2" l="1"/>
  <c r="P103" i="2"/>
  <c r="B99" i="7"/>
  <c r="C99" i="7" s="1"/>
  <c r="O103" i="2"/>
  <c r="AA99" i="7"/>
  <c r="Q103" i="2" l="1"/>
  <c r="P102" i="2" l="1"/>
  <c r="DA72" i="18"/>
  <c r="Y98" i="7" l="1"/>
  <c r="AB98" i="7"/>
  <c r="B103" i="2"/>
  <c r="J103" i="2" l="1"/>
  <c r="B98" i="7"/>
  <c r="C98" i="7" s="1"/>
  <c r="O102" i="2"/>
  <c r="AA98" i="7"/>
  <c r="Q102" i="2" l="1"/>
  <c r="D153" i="7"/>
  <c r="D156" i="7" s="1"/>
  <c r="E153" i="7"/>
  <c r="F153" i="7"/>
  <c r="G153" i="7"/>
  <c r="H153" i="7"/>
  <c r="J153" i="7"/>
  <c r="J156" i="7" s="1"/>
  <c r="K153" i="7"/>
  <c r="K156" i="7" s="1"/>
  <c r="L153" i="7"/>
  <c r="M153" i="7"/>
  <c r="N153" i="7"/>
  <c r="O153" i="7"/>
  <c r="O156" i="7" s="1"/>
  <c r="Q153" i="7"/>
  <c r="W153" i="7"/>
  <c r="X153" i="7"/>
  <c r="X156" i="7" s="1"/>
  <c r="N156" i="7" l="1"/>
  <c r="B102" i="2"/>
  <c r="O101" i="2" l="1"/>
  <c r="J102" i="2"/>
  <c r="P101" i="2"/>
  <c r="CZ72" i="18"/>
  <c r="Q101" i="2" l="1"/>
  <c r="B97" i="7"/>
  <c r="Y97" i="7"/>
  <c r="AB97" i="7"/>
  <c r="C97" i="7" l="1"/>
  <c r="AA97" i="7"/>
  <c r="P100" i="2" l="1"/>
  <c r="P98" i="2"/>
  <c r="P99" i="2"/>
  <c r="P94" i="2"/>
  <c r="P97" i="2"/>
  <c r="P96" i="2"/>
  <c r="P95" i="2"/>
  <c r="P90" i="2"/>
  <c r="P93" i="2"/>
  <c r="P92" i="2"/>
  <c r="P91" i="2"/>
  <c r="CY38" i="18" l="1"/>
  <c r="CY37" i="18"/>
  <c r="CY33" i="18"/>
  <c r="CY32" i="18"/>
  <c r="CY31" i="18"/>
  <c r="CY30" i="18"/>
  <c r="CY29" i="18"/>
  <c r="CY28" i="18"/>
  <c r="CY26" i="18"/>
  <c r="CY25" i="18"/>
  <c r="CY24" i="18"/>
  <c r="CY23" i="18"/>
  <c r="CY19" i="18"/>
  <c r="CY14" i="18"/>
  <c r="CY17" i="18" l="1"/>
  <c r="CY16" i="18"/>
  <c r="CY15" i="18"/>
  <c r="P89" i="2" l="1"/>
  <c r="B101" i="2"/>
  <c r="CY72" i="18"/>
  <c r="J101" i="2" l="1"/>
  <c r="B96" i="7"/>
  <c r="C96" i="7" s="1"/>
  <c r="O100" i="2"/>
  <c r="P88" i="2"/>
  <c r="Q100" i="2" l="1"/>
  <c r="B100" i="2"/>
  <c r="CX72" i="18"/>
  <c r="J100" i="2" l="1"/>
  <c r="O99" i="2"/>
  <c r="Q99" i="2" s="1"/>
  <c r="B95" i="7"/>
  <c r="Y95" i="7"/>
  <c r="AB95" i="7"/>
  <c r="AA95" i="7" l="1"/>
  <c r="C95" i="7"/>
  <c r="P82" i="2"/>
  <c r="P83" i="2" l="1"/>
  <c r="P84" i="2"/>
  <c r="P85" i="2"/>
  <c r="P86" i="2"/>
  <c r="P87" i="2"/>
  <c r="Y94" i="7" l="1"/>
  <c r="AB94" i="7"/>
  <c r="AA94" i="7" l="1"/>
  <c r="CW72" i="18" l="1"/>
  <c r="B99" i="2"/>
  <c r="J99" i="2" l="1"/>
  <c r="O98" i="2"/>
  <c r="Q98" i="2" s="1"/>
  <c r="B94" i="7"/>
  <c r="W16" i="2"/>
  <c r="CT72" i="18"/>
  <c r="C94" i="7" l="1"/>
  <c r="B98" i="2"/>
  <c r="J98" i="2" l="1"/>
  <c r="O97" i="2"/>
  <c r="Q97" i="2" s="1"/>
  <c r="CV72" i="18"/>
  <c r="CU72" i="18"/>
  <c r="B93" i="7" l="1"/>
  <c r="Y93" i="7"/>
  <c r="AB93" i="7"/>
  <c r="AA93" i="7" l="1"/>
  <c r="C93" i="7"/>
  <c r="Y92" i="7" l="1"/>
  <c r="AB92" i="7"/>
  <c r="B97" i="2"/>
  <c r="J97" i="2" l="1"/>
  <c r="O96" i="2"/>
  <c r="B92" i="7"/>
  <c r="AA92" i="7"/>
  <c r="C92" i="7" l="1"/>
  <c r="Q96" i="2"/>
  <c r="Y91" i="7"/>
  <c r="AB91" i="7"/>
  <c r="B96" i="2"/>
  <c r="J96" i="2" l="1"/>
  <c r="B91" i="7"/>
  <c r="O95" i="2"/>
  <c r="AA91" i="7"/>
  <c r="C91" i="7" l="1"/>
  <c r="Q95" i="2"/>
  <c r="Y90" i="7"/>
  <c r="AB90" i="7"/>
  <c r="E72" i="18"/>
  <c r="AA90" i="7" l="1"/>
  <c r="B95" i="2"/>
  <c r="CS72" i="18"/>
  <c r="J95" i="2" l="1"/>
  <c r="O94" i="2"/>
  <c r="B90" i="7"/>
  <c r="C90" i="7" l="1"/>
  <c r="Q94" i="2"/>
  <c r="B94" i="2" l="1"/>
  <c r="J94" i="2" l="1"/>
  <c r="O93" i="2"/>
  <c r="Q93" i="2" s="1"/>
  <c r="CR72" i="18"/>
  <c r="B89" i="7" l="1"/>
  <c r="Y89" i="7"/>
  <c r="AB89" i="7"/>
  <c r="C89" i="7" l="1"/>
  <c r="AA89" i="7"/>
  <c r="CQ72" i="18" l="1"/>
  <c r="Y88" i="7"/>
  <c r="AB88" i="7"/>
  <c r="L81" i="2"/>
  <c r="B93" i="2"/>
  <c r="J93" i="2" l="1"/>
  <c r="O92" i="2"/>
  <c r="Q92" i="2" s="1"/>
  <c r="AA88" i="7"/>
  <c r="B88" i="7"/>
  <c r="C88" i="7" l="1"/>
  <c r="Y87" i="7"/>
  <c r="B92" i="2"/>
  <c r="AB87" i="7"/>
  <c r="CP72" i="18"/>
  <c r="J92" i="2" l="1"/>
  <c r="O91" i="2"/>
  <c r="B87" i="7"/>
  <c r="AA87" i="7"/>
  <c r="C87" i="7" l="1"/>
  <c r="Q91" i="2"/>
  <c r="B91" i="2" l="1"/>
  <c r="CO72" i="18"/>
  <c r="Y86" i="7"/>
  <c r="AB86" i="7"/>
  <c r="J91" i="2" l="1"/>
  <c r="O90" i="2"/>
  <c r="Q90" i="2" s="1"/>
  <c r="B86" i="7"/>
  <c r="AA86" i="7"/>
  <c r="C86" i="7" l="1"/>
  <c r="CN72" i="18"/>
  <c r="Y85" i="7"/>
  <c r="AB85" i="7"/>
  <c r="B90" i="2"/>
  <c r="J90" i="2" l="1"/>
  <c r="O89" i="2"/>
  <c r="B85" i="7"/>
  <c r="AA85" i="7"/>
  <c r="Q89" i="2" l="1"/>
  <c r="C85" i="7"/>
  <c r="CM72" i="18" l="1"/>
  <c r="AB84" i="7"/>
  <c r="Y84" i="7"/>
  <c r="Z84" i="7" l="1"/>
  <c r="B89" i="2"/>
  <c r="J89" i="2" l="1"/>
  <c r="O88" i="2"/>
  <c r="Q88" i="2" s="1"/>
  <c r="AA84" i="7"/>
  <c r="B84" i="7"/>
  <c r="C84" i="7" l="1"/>
  <c r="B88" i="2"/>
  <c r="J88" i="2" l="1"/>
  <c r="O87" i="2"/>
  <c r="Q87" i="2" s="1"/>
  <c r="CL72" i="18"/>
  <c r="AB83" i="7"/>
  <c r="B83" i="7"/>
  <c r="Y83" i="7"/>
  <c r="Z83" i="7" l="1"/>
  <c r="C83" i="7"/>
  <c r="AA83" i="7" l="1"/>
  <c r="CK72" i="18" l="1"/>
  <c r="B87" i="2"/>
  <c r="J87" i="2" l="1"/>
  <c r="O86" i="2"/>
  <c r="Q86" i="2" s="1"/>
  <c r="W15" i="2"/>
  <c r="Z82" i="7"/>
  <c r="B82" i="7" l="1"/>
  <c r="Y82" i="7"/>
  <c r="AB82" i="7"/>
  <c r="C82" i="7" l="1"/>
  <c r="AA82" i="7"/>
  <c r="B51" i="2" l="1"/>
  <c r="CJ72" i="18" l="1"/>
  <c r="Z81" i="7" l="1"/>
  <c r="Y81" i="7"/>
  <c r="AB81" i="7"/>
  <c r="B86" i="2"/>
  <c r="J86" i="2" l="1"/>
  <c r="O85" i="2"/>
  <c r="Q85" i="2" s="1"/>
  <c r="B81" i="7"/>
  <c r="C81" i="7" s="1"/>
  <c r="AA81" i="7"/>
  <c r="CI72" i="18" l="1"/>
  <c r="Z80" i="7" s="1"/>
  <c r="AB80" i="7"/>
  <c r="Y80" i="7"/>
  <c r="B85" i="2"/>
  <c r="J85" i="2" l="1"/>
  <c r="B80" i="7"/>
  <c r="C80" i="7" s="1"/>
  <c r="O84" i="2"/>
  <c r="Q84" i="2" s="1"/>
  <c r="AA80" i="7"/>
  <c r="CH72" i="18" l="1"/>
  <c r="Y79" i="7"/>
  <c r="AB79" i="7"/>
  <c r="B84" i="2"/>
  <c r="J84" i="2" l="1"/>
  <c r="O83" i="2"/>
  <c r="Q83" i="2" s="1"/>
  <c r="B79" i="7"/>
  <c r="C79" i="7" s="1"/>
  <c r="Z79" i="7"/>
  <c r="AA79" i="7" l="1"/>
  <c r="B83" i="2"/>
  <c r="CG72" i="18"/>
  <c r="J83" i="2" l="1"/>
  <c r="O82" i="2"/>
  <c r="Z78" i="7"/>
  <c r="B78" i="7"/>
  <c r="Y78" i="7"/>
  <c r="AB78" i="7"/>
  <c r="Q82" i="2" l="1"/>
  <c r="C78" i="7"/>
  <c r="AA78" i="7"/>
  <c r="CF72" i="18" l="1"/>
  <c r="B82" i="2" l="1"/>
  <c r="Z77" i="7"/>
  <c r="Y77" i="7"/>
  <c r="AB77" i="7"/>
  <c r="B77" i="7" l="1"/>
  <c r="C77" i="7" s="1"/>
  <c r="O81" i="2"/>
  <c r="AA77" i="7"/>
  <c r="CE72" i="18" l="1"/>
  <c r="Z76" i="7" l="1"/>
  <c r="Y76" i="7"/>
  <c r="AB76" i="7"/>
  <c r="B81" i="2"/>
  <c r="B76" i="7" l="1"/>
  <c r="O80" i="2"/>
  <c r="AA76" i="7"/>
  <c r="C76" i="7" l="1"/>
  <c r="L69" i="2" l="1"/>
  <c r="L57" i="2"/>
  <c r="B80" i="2"/>
  <c r="O79" i="2" l="1"/>
  <c r="B75" i="7"/>
  <c r="CD72" i="18"/>
  <c r="Z75" i="7" l="1"/>
  <c r="Y75" i="7"/>
  <c r="AB75" i="7"/>
  <c r="C75" i="7" l="1"/>
  <c r="AA75" i="7"/>
  <c r="CC72" i="18" l="1"/>
  <c r="Z74" i="7" l="1"/>
  <c r="Y74" i="7"/>
  <c r="AB74" i="7"/>
  <c r="AA74" i="7" l="1"/>
  <c r="B79" i="2" l="1"/>
  <c r="O78" i="2" l="1"/>
  <c r="B74" i="7"/>
  <c r="C74" i="7" l="1"/>
  <c r="F72" i="18"/>
  <c r="G72" i="18"/>
  <c r="H72" i="18"/>
  <c r="I72" i="18"/>
  <c r="J72" i="18"/>
  <c r="K72" i="18"/>
  <c r="L72" i="18"/>
  <c r="M72" i="18"/>
  <c r="N72" i="18"/>
  <c r="O72" i="18"/>
  <c r="P72" i="18"/>
  <c r="Q72" i="18"/>
  <c r="R72" i="18"/>
  <c r="S72" i="18"/>
  <c r="T72" i="18"/>
  <c r="U72" i="18"/>
  <c r="V72" i="18"/>
  <c r="W72" i="18"/>
  <c r="X72" i="18"/>
  <c r="Y72" i="18"/>
  <c r="Z72" i="18"/>
  <c r="AA72" i="18"/>
  <c r="AB72" i="18"/>
  <c r="AC72" i="18"/>
  <c r="AD72" i="18"/>
  <c r="AE72" i="18"/>
  <c r="AF72" i="18"/>
  <c r="AG72" i="18"/>
  <c r="AH72" i="18"/>
  <c r="AI72" i="18"/>
  <c r="AJ72" i="18"/>
  <c r="AK72" i="18"/>
  <c r="AL72" i="18"/>
  <c r="AM72" i="18"/>
  <c r="AN72" i="18"/>
  <c r="AO72" i="18"/>
  <c r="AP72" i="18"/>
  <c r="AQ72" i="18"/>
  <c r="AR72" i="18"/>
  <c r="AS72" i="18"/>
  <c r="AT72" i="18"/>
  <c r="AU72" i="18"/>
  <c r="AV72" i="18"/>
  <c r="AW72" i="18"/>
  <c r="AX72" i="18"/>
  <c r="AY72" i="18"/>
  <c r="AZ72" i="18"/>
  <c r="BA72" i="18"/>
  <c r="BB72" i="18"/>
  <c r="BC72" i="18"/>
  <c r="BD72" i="18"/>
  <c r="BE72" i="18"/>
  <c r="BF72" i="18"/>
  <c r="BG72" i="18"/>
  <c r="BH72" i="18"/>
  <c r="BI72" i="18"/>
  <c r="BJ72" i="18"/>
  <c r="BK72" i="18"/>
  <c r="BL72" i="18"/>
  <c r="BM72" i="18"/>
  <c r="BN72" i="18"/>
  <c r="BO72" i="18"/>
  <c r="BP72" i="18"/>
  <c r="BQ72" i="18"/>
  <c r="BR72" i="18"/>
  <c r="BS72" i="18"/>
  <c r="BT72" i="18"/>
  <c r="BU72" i="18"/>
  <c r="Z66" i="7" s="1"/>
  <c r="BV72" i="18"/>
  <c r="Z67" i="7" s="1"/>
  <c r="BW72" i="18"/>
  <c r="Z68" i="7" s="1"/>
  <c r="BX72" i="18"/>
  <c r="Z69" i="7" s="1"/>
  <c r="BY72" i="18"/>
  <c r="Z70" i="7" s="1"/>
  <c r="BZ72" i="18"/>
  <c r="Z71" i="7" s="1"/>
  <c r="CA72" i="18"/>
  <c r="Z72" i="7" s="1"/>
  <c r="CB72" i="18"/>
  <c r="Z73" i="7" s="1"/>
  <c r="Y73" i="7" l="1"/>
  <c r="AB73" i="7" l="1"/>
  <c r="B78" i="2" l="1"/>
  <c r="B73" i="7" l="1"/>
  <c r="AA73" i="7"/>
  <c r="C73" i="7" l="1"/>
  <c r="AB72" i="7" l="1"/>
  <c r="Y72" i="7" l="1"/>
  <c r="AA72" i="7" l="1"/>
  <c r="B77" i="2"/>
  <c r="O77" i="2" l="1"/>
  <c r="B72" i="7"/>
  <c r="AB71" i="7"/>
  <c r="C72" i="7" l="1"/>
  <c r="Y71" i="7"/>
  <c r="AA71" i="7" l="1"/>
  <c r="B76" i="2"/>
  <c r="O76" i="2" l="1"/>
  <c r="B71" i="7"/>
  <c r="Y70" i="7"/>
  <c r="C71" i="7" l="1"/>
  <c r="B75" i="2" l="1"/>
  <c r="AB70" i="7"/>
  <c r="O75" i="2" l="1"/>
  <c r="W14" i="2"/>
  <c r="AA70" i="7"/>
  <c r="B70" i="7"/>
  <c r="C70" i="7" l="1"/>
  <c r="AB69" i="7"/>
  <c r="Z65" i="7" l="1"/>
  <c r="Z64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19" i="7" l="1"/>
  <c r="Z13" i="7"/>
  <c r="Z7" i="7"/>
  <c r="Z61" i="7"/>
  <c r="Z48" i="7"/>
  <c r="Z59" i="7"/>
  <c r="Z47" i="7"/>
  <c r="Z17" i="7"/>
  <c r="Z11" i="7"/>
  <c r="Z5" i="7"/>
  <c r="Z55" i="7"/>
  <c r="Z18" i="7"/>
  <c r="Z52" i="7"/>
  <c r="Z16" i="7"/>
  <c r="Z10" i="7"/>
  <c r="Z4" i="7"/>
  <c r="Z6" i="7"/>
  <c r="Z49" i="7"/>
  <c r="Z60" i="7"/>
  <c r="Z53" i="7"/>
  <c r="Z46" i="7"/>
  <c r="Z63" i="7"/>
  <c r="Z51" i="7"/>
  <c r="Z15" i="7"/>
  <c r="Z9" i="7"/>
  <c r="Z12" i="7"/>
  <c r="Z54" i="7"/>
  <c r="Z58" i="7"/>
  <c r="Z57" i="7"/>
  <c r="Z21" i="7"/>
  <c r="Z62" i="7"/>
  <c r="Z56" i="7"/>
  <c r="Z50" i="7"/>
  <c r="Z20" i="7"/>
  <c r="Z14" i="7"/>
  <c r="Z8" i="7"/>
  <c r="Z153" i="7" l="1"/>
  <c r="Z156" i="7" s="1"/>
  <c r="AB68" i="7"/>
  <c r="AB5" i="7" l="1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4" i="7"/>
  <c r="AB153" i="7" l="1"/>
  <c r="AB156" i="7" s="1"/>
  <c r="L9" i="2"/>
  <c r="L45" i="2" l="1"/>
  <c r="L33" i="2"/>
  <c r="L21" i="2"/>
  <c r="B67" i="2" l="1"/>
  <c r="Y4" i="7" l="1"/>
  <c r="Y5" i="7"/>
  <c r="AA5" i="7" s="1"/>
  <c r="Y6" i="7"/>
  <c r="AA6" i="7" s="1"/>
  <c r="Y7" i="7"/>
  <c r="AA7" i="7" s="1"/>
  <c r="Y8" i="7"/>
  <c r="AA8" i="7" s="1"/>
  <c r="Y9" i="7"/>
  <c r="AA9" i="7" s="1"/>
  <c r="Y10" i="7"/>
  <c r="AA10" i="7" l="1"/>
  <c r="AA4" i="7"/>
  <c r="Y61" i="7"/>
  <c r="AA61" i="7" l="1"/>
  <c r="B47" i="2"/>
  <c r="Y11" i="7" l="1"/>
  <c r="Y12" i="7"/>
  <c r="AA12" i="7" s="1"/>
  <c r="Y13" i="7"/>
  <c r="Y14" i="7"/>
  <c r="AA14" i="7" s="1"/>
  <c r="Y15" i="7"/>
  <c r="AA15" i="7" s="1"/>
  <c r="Y16" i="7"/>
  <c r="Y17" i="7"/>
  <c r="AA17" i="7" s="1"/>
  <c r="Y18" i="7"/>
  <c r="AA18" i="7" s="1"/>
  <c r="Y19" i="7"/>
  <c r="AA19" i="7" s="1"/>
  <c r="Y20" i="7"/>
  <c r="AA20" i="7" s="1"/>
  <c r="Y21" i="7"/>
  <c r="AA21" i="7" s="1"/>
  <c r="AA13" i="7" l="1"/>
  <c r="AA16" i="7"/>
  <c r="Y153" i="7"/>
  <c r="Y156" i="7" s="1"/>
  <c r="AA11" i="7"/>
  <c r="AA153" i="7" l="1"/>
  <c r="AA156" i="7" s="1"/>
  <c r="Y69" i="7" l="1"/>
  <c r="Y68" i="7"/>
  <c r="Y67" i="7"/>
  <c r="Y66" i="7"/>
  <c r="Y65" i="7"/>
  <c r="Y64" i="7"/>
  <c r="Y63" i="7"/>
  <c r="Y62" i="7"/>
  <c r="Y60" i="7"/>
  <c r="Y59" i="7"/>
  <c r="Y58" i="7"/>
  <c r="B74" i="2"/>
  <c r="B73" i="2"/>
  <c r="B72" i="2"/>
  <c r="B71" i="2"/>
  <c r="B70" i="2"/>
  <c r="B69" i="2"/>
  <c r="B68" i="2"/>
  <c r="B62" i="7"/>
  <c r="B66" i="2"/>
  <c r="B65" i="2"/>
  <c r="B64" i="2"/>
  <c r="B63" i="2"/>
  <c r="O74" i="2" l="1"/>
  <c r="W13" i="2"/>
  <c r="O71" i="2"/>
  <c r="O72" i="2"/>
  <c r="O66" i="2"/>
  <c r="O65" i="2"/>
  <c r="O73" i="2"/>
  <c r="O63" i="2"/>
  <c r="O64" i="2"/>
  <c r="O70" i="2"/>
  <c r="AA68" i="7"/>
  <c r="AA67" i="7"/>
  <c r="AA66" i="7"/>
  <c r="AA65" i="7"/>
  <c r="O68" i="2"/>
  <c r="O67" i="2"/>
  <c r="O69" i="2"/>
  <c r="AA63" i="7"/>
  <c r="AA62" i="7"/>
  <c r="AA60" i="7"/>
  <c r="AA59" i="7"/>
  <c r="AA64" i="7"/>
  <c r="AA58" i="7"/>
  <c r="AA69" i="7"/>
  <c r="B64" i="7"/>
  <c r="B67" i="7"/>
  <c r="C62" i="7"/>
  <c r="B66" i="7"/>
  <c r="B68" i="7"/>
  <c r="B63" i="7"/>
  <c r="B69" i="7"/>
  <c r="B65" i="7"/>
  <c r="B61" i="7"/>
  <c r="B60" i="7"/>
  <c r="B58" i="7"/>
  <c r="B59" i="7"/>
  <c r="C69" i="7" l="1"/>
  <c r="C67" i="7"/>
  <c r="C66" i="7"/>
  <c r="C65" i="7"/>
  <c r="C61" i="7"/>
  <c r="C58" i="7"/>
  <c r="C64" i="7"/>
  <c r="C60" i="7"/>
  <c r="C59" i="7"/>
  <c r="C63" i="7"/>
  <c r="C68" i="7"/>
  <c r="Y57" i="7" l="1"/>
  <c r="AA57" i="7" l="1"/>
  <c r="B62" i="2"/>
  <c r="O62" i="2" l="1"/>
  <c r="X56" i="7"/>
  <c r="B61" i="2" l="1"/>
  <c r="O61" i="2" l="1"/>
  <c r="X55" i="7"/>
  <c r="B60" i="2" l="1"/>
  <c r="O60" i="2" l="1"/>
  <c r="B55" i="7"/>
  <c r="B56" i="7"/>
  <c r="B57" i="7"/>
  <c r="X54" i="7"/>
  <c r="X53" i="7"/>
  <c r="Y46" i="7"/>
  <c r="Y47" i="7"/>
  <c r="AA47" i="7" s="1"/>
  <c r="Y48" i="7"/>
  <c r="Y49" i="7"/>
  <c r="Y50" i="7"/>
  <c r="Y51" i="7"/>
  <c r="Y34" i="7"/>
  <c r="AA34" i="7" s="1"/>
  <c r="Y35" i="7"/>
  <c r="AA35" i="7" s="1"/>
  <c r="Y36" i="7"/>
  <c r="AA36" i="7" s="1"/>
  <c r="Y37" i="7"/>
  <c r="AA37" i="7" s="1"/>
  <c r="Y38" i="7"/>
  <c r="Y39" i="7"/>
  <c r="AA39" i="7" s="1"/>
  <c r="Y22" i="7"/>
  <c r="Y23" i="7"/>
  <c r="AA23" i="7" s="1"/>
  <c r="Y24" i="7"/>
  <c r="AA24" i="7" s="1"/>
  <c r="Y25" i="7"/>
  <c r="AA25" i="7" s="1"/>
  <c r="Y26" i="7"/>
  <c r="AA26" i="7" s="1"/>
  <c r="Y27" i="7"/>
  <c r="AA27" i="7" s="1"/>
  <c r="Y45" i="7"/>
  <c r="AA45" i="7" s="1"/>
  <c r="Y40" i="7"/>
  <c r="Y28" i="7"/>
  <c r="Y41" i="7"/>
  <c r="AA41" i="7" s="1"/>
  <c r="Y29" i="7"/>
  <c r="AA29" i="7" s="1"/>
  <c r="Y42" i="7"/>
  <c r="AA42" i="7" s="1"/>
  <c r="Y30" i="7"/>
  <c r="AA30" i="7" s="1"/>
  <c r="Y43" i="7"/>
  <c r="AA43" i="7" s="1"/>
  <c r="Y31" i="7"/>
  <c r="AA31" i="7" s="1"/>
  <c r="Y44" i="7"/>
  <c r="AA44" i="7" s="1"/>
  <c r="Y32" i="7"/>
  <c r="AA32" i="7" s="1"/>
  <c r="Y33" i="7"/>
  <c r="AA33" i="7" s="1"/>
  <c r="Y52" i="7"/>
  <c r="Y53" i="7"/>
  <c r="Y54" i="7"/>
  <c r="Y55" i="7"/>
  <c r="Y56" i="7"/>
  <c r="B59" i="2"/>
  <c r="B58" i="2"/>
  <c r="B57" i="2"/>
  <c r="B56" i="2"/>
  <c r="B55" i="2"/>
  <c r="B15" i="2"/>
  <c r="B54" i="2"/>
  <c r="B53" i="2"/>
  <c r="B52" i="2"/>
  <c r="B50" i="2"/>
  <c r="B26" i="2"/>
  <c r="B49" i="2"/>
  <c r="B25" i="2"/>
  <c r="B48" i="2"/>
  <c r="B24" i="2"/>
  <c r="B23" i="2"/>
  <c r="B46" i="2"/>
  <c r="B22" i="2"/>
  <c r="B45" i="2"/>
  <c r="B21" i="2"/>
  <c r="B44" i="2"/>
  <c r="B20" i="2"/>
  <c r="B43" i="2"/>
  <c r="B19" i="2"/>
  <c r="B42" i="2"/>
  <c r="B18" i="2"/>
  <c r="B41" i="2"/>
  <c r="B17" i="2"/>
  <c r="B40" i="2"/>
  <c r="B16" i="2"/>
  <c r="B39" i="2"/>
  <c r="B4" i="2"/>
  <c r="B5" i="2"/>
  <c r="B6" i="2"/>
  <c r="B7" i="2"/>
  <c r="B8" i="2"/>
  <c r="B9" i="2"/>
  <c r="B10" i="2"/>
  <c r="B11" i="2"/>
  <c r="B12" i="2"/>
  <c r="B13" i="2"/>
  <c r="B14" i="2"/>
  <c r="B27" i="2"/>
  <c r="B28" i="2"/>
  <c r="B29" i="2"/>
  <c r="B30" i="2"/>
  <c r="B31" i="2"/>
  <c r="B32" i="2"/>
  <c r="B33" i="2"/>
  <c r="B34" i="2"/>
  <c r="B35" i="2"/>
  <c r="B36" i="2"/>
  <c r="B37" i="2"/>
  <c r="B38" i="2"/>
  <c r="B3" i="2"/>
  <c r="O58" i="2" l="1"/>
  <c r="O59" i="2"/>
  <c r="W12" i="2"/>
  <c r="W10" i="2"/>
  <c r="W11" i="2"/>
  <c r="W9" i="2"/>
  <c r="AA40" i="7"/>
  <c r="AA22" i="7"/>
  <c r="AA28" i="7"/>
  <c r="O9" i="2"/>
  <c r="O15" i="2"/>
  <c r="O51" i="2"/>
  <c r="AA38" i="7"/>
  <c r="AA55" i="7"/>
  <c r="AA54" i="7"/>
  <c r="AA53" i="7"/>
  <c r="O56" i="2"/>
  <c r="AA51" i="7"/>
  <c r="AA50" i="7"/>
  <c r="O16" i="2"/>
  <c r="O19" i="2"/>
  <c r="AA49" i="7"/>
  <c r="AA48" i="7"/>
  <c r="O18" i="2"/>
  <c r="O17" i="2"/>
  <c r="O20" i="2"/>
  <c r="AA52" i="7"/>
  <c r="AA46" i="7"/>
  <c r="AA56" i="7"/>
  <c r="C57" i="7"/>
  <c r="O37" i="2"/>
  <c r="O32" i="2"/>
  <c r="O49" i="2"/>
  <c r="O52" i="2"/>
  <c r="O36" i="2"/>
  <c r="O28" i="2"/>
  <c r="O12" i="2"/>
  <c r="O21" i="2"/>
  <c r="O35" i="2"/>
  <c r="O31" i="2"/>
  <c r="O27" i="2"/>
  <c r="O11" i="2"/>
  <c r="O39" i="2"/>
  <c r="O41" i="2"/>
  <c r="O43" i="2"/>
  <c r="O45" i="2"/>
  <c r="O24" i="2"/>
  <c r="O26" i="2"/>
  <c r="O53" i="2"/>
  <c r="O55" i="2"/>
  <c r="O23" i="2"/>
  <c r="O38" i="2"/>
  <c r="O34" i="2"/>
  <c r="O30" i="2"/>
  <c r="O14" i="2"/>
  <c r="O10" i="2"/>
  <c r="O22" i="2"/>
  <c r="O48" i="2"/>
  <c r="O47" i="2"/>
  <c r="O50" i="2"/>
  <c r="O57" i="2"/>
  <c r="O33" i="2"/>
  <c r="O29" i="2"/>
  <c r="O13" i="2"/>
  <c r="O40" i="2"/>
  <c r="O42" i="2"/>
  <c r="O44" i="2"/>
  <c r="O46" i="2"/>
  <c r="O25" i="2"/>
  <c r="O54" i="2"/>
  <c r="B23" i="7"/>
  <c r="C23" i="7" s="1"/>
  <c r="B7" i="7"/>
  <c r="C7" i="7" s="1"/>
  <c r="B9" i="7"/>
  <c r="C9" i="7" s="1"/>
  <c r="B5" i="7"/>
  <c r="C5" i="7" s="1"/>
  <c r="B49" i="7"/>
  <c r="B54" i="7"/>
  <c r="B8" i="7"/>
  <c r="C8" i="7" s="1"/>
  <c r="B31" i="7"/>
  <c r="C31" i="7" s="1"/>
  <c r="B22" i="7"/>
  <c r="C22" i="7" s="1"/>
  <c r="B6" i="7"/>
  <c r="C6" i="7" s="1"/>
  <c r="B41" i="7"/>
  <c r="C41" i="7" s="1"/>
  <c r="B47" i="7"/>
  <c r="C47" i="7" s="1"/>
  <c r="B4" i="7"/>
  <c r="B35" i="7"/>
  <c r="C35" i="7" s="1"/>
  <c r="C55" i="7"/>
  <c r="B30" i="7"/>
  <c r="C30" i="7" s="1"/>
  <c r="B45" i="7"/>
  <c r="B34" i="7"/>
  <c r="C34" i="7" s="1"/>
  <c r="B51" i="7"/>
  <c r="B42" i="7"/>
  <c r="C42" i="7" s="1"/>
  <c r="B33" i="7"/>
  <c r="C33" i="7" s="1"/>
  <c r="B27" i="7"/>
  <c r="C27" i="7" s="1"/>
  <c r="C56" i="7"/>
  <c r="B10" i="7"/>
  <c r="B43" i="7"/>
  <c r="B39" i="7"/>
  <c r="B13" i="7"/>
  <c r="B18" i="7"/>
  <c r="C18" i="7" s="1"/>
  <c r="B50" i="7"/>
  <c r="B46" i="7"/>
  <c r="B38" i="7"/>
  <c r="B26" i="7"/>
  <c r="C26" i="7" s="1"/>
  <c r="B12" i="7"/>
  <c r="C12" i="7" s="1"/>
  <c r="B15" i="7"/>
  <c r="C15" i="7" s="1"/>
  <c r="B16" i="7"/>
  <c r="B17" i="7"/>
  <c r="C17" i="7" s="1"/>
  <c r="B21" i="7"/>
  <c r="C21" i="7" s="1"/>
  <c r="B53" i="7"/>
  <c r="B37" i="7"/>
  <c r="B29" i="7"/>
  <c r="B25" i="7"/>
  <c r="B11" i="7"/>
  <c r="C11" i="7" s="1"/>
  <c r="B14" i="7"/>
  <c r="C14" i="7" s="1"/>
  <c r="B19" i="7"/>
  <c r="C19" i="7" s="1"/>
  <c r="B20" i="7"/>
  <c r="C20" i="7" s="1"/>
  <c r="B52" i="7"/>
  <c r="B48" i="7"/>
  <c r="B44" i="7"/>
  <c r="C44" i="7" s="1"/>
  <c r="B40" i="7"/>
  <c r="B36" i="7"/>
  <c r="C36" i="7" s="1"/>
  <c r="B32" i="7"/>
  <c r="C32" i="7" s="1"/>
  <c r="B28" i="7"/>
  <c r="B24" i="7"/>
  <c r="R56" i="2" l="1"/>
  <c r="R22" i="2"/>
  <c r="R144" i="2"/>
  <c r="S144" i="2"/>
  <c r="R143" i="2"/>
  <c r="R142" i="2"/>
  <c r="S143" i="2"/>
  <c r="S142" i="2"/>
  <c r="R141" i="2"/>
  <c r="S141" i="2"/>
  <c r="R140" i="2"/>
  <c r="S140" i="2"/>
  <c r="R139" i="2"/>
  <c r="S139" i="2"/>
  <c r="R138" i="2"/>
  <c r="S138" i="2"/>
  <c r="R137" i="2"/>
  <c r="S137" i="2"/>
  <c r="R135" i="2"/>
  <c r="R136" i="2"/>
  <c r="S136" i="2"/>
  <c r="S135" i="2"/>
  <c r="R30" i="2"/>
  <c r="R34" i="2"/>
  <c r="R134" i="2"/>
  <c r="S134" i="2"/>
  <c r="R133" i="2"/>
  <c r="S133" i="2"/>
  <c r="R132" i="2"/>
  <c r="S132" i="2"/>
  <c r="T82" i="2"/>
  <c r="R131" i="2"/>
  <c r="S131" i="2"/>
  <c r="R130" i="2"/>
  <c r="S130" i="2"/>
  <c r="R129" i="2"/>
  <c r="S129" i="2"/>
  <c r="R128" i="2"/>
  <c r="S128" i="2"/>
  <c r="R127" i="2"/>
  <c r="S127" i="2"/>
  <c r="R126" i="2"/>
  <c r="S126" i="2"/>
  <c r="R125" i="2"/>
  <c r="S125" i="2"/>
  <c r="R124" i="2"/>
  <c r="S124" i="2"/>
  <c r="R123" i="2"/>
  <c r="S123" i="2"/>
  <c r="R122" i="2"/>
  <c r="S122" i="2"/>
  <c r="R121" i="2"/>
  <c r="S121" i="2"/>
  <c r="R82" i="2"/>
  <c r="R48" i="2"/>
  <c r="R28" i="2"/>
  <c r="R32" i="2"/>
  <c r="R55" i="2"/>
  <c r="R54" i="2"/>
  <c r="R53" i="2"/>
  <c r="R37" i="2"/>
  <c r="R45" i="2"/>
  <c r="R120" i="2"/>
  <c r="S120" i="2"/>
  <c r="R119" i="2"/>
  <c r="S119" i="2"/>
  <c r="R118" i="2"/>
  <c r="S118" i="2"/>
  <c r="R117" i="2"/>
  <c r="R116" i="2"/>
  <c r="S116" i="2"/>
  <c r="S117" i="2"/>
  <c r="R115" i="2"/>
  <c r="R114" i="2"/>
  <c r="S115" i="2"/>
  <c r="S114" i="2"/>
  <c r="R110" i="2"/>
  <c r="R113" i="2"/>
  <c r="R108" i="2"/>
  <c r="R109" i="2"/>
  <c r="R106" i="2"/>
  <c r="S113" i="2"/>
  <c r="R107" i="2"/>
  <c r="R112" i="2"/>
  <c r="R111" i="2"/>
  <c r="S112" i="2"/>
  <c r="S111" i="2"/>
  <c r="S110" i="2"/>
  <c r="S109" i="2"/>
  <c r="S108" i="2"/>
  <c r="S106" i="2"/>
  <c r="S107" i="2"/>
  <c r="R105" i="2"/>
  <c r="S105" i="2"/>
  <c r="R104" i="2"/>
  <c r="S104" i="2"/>
  <c r="R103" i="2"/>
  <c r="S103" i="2"/>
  <c r="R102" i="2"/>
  <c r="S102" i="2"/>
  <c r="R101" i="2"/>
  <c r="S101" i="2"/>
  <c r="R100" i="2"/>
  <c r="S100" i="2"/>
  <c r="R99" i="2"/>
  <c r="S99" i="2"/>
  <c r="R98" i="2"/>
  <c r="S98" i="2"/>
  <c r="R89" i="2"/>
  <c r="R44" i="2"/>
  <c r="R43" i="2"/>
  <c r="R17" i="2"/>
  <c r="R27" i="2"/>
  <c r="R29" i="2"/>
  <c r="R21" i="2"/>
  <c r="R19" i="2"/>
  <c r="R35" i="2"/>
  <c r="B153" i="7"/>
  <c r="B156" i="7" s="1"/>
  <c r="R97" i="2"/>
  <c r="S97" i="2"/>
  <c r="R96" i="2"/>
  <c r="S96" i="2"/>
  <c r="R25" i="2"/>
  <c r="R42" i="2"/>
  <c r="R33" i="2"/>
  <c r="R50" i="2"/>
  <c r="R38" i="2"/>
  <c r="R26" i="2"/>
  <c r="R41" i="2"/>
  <c r="R36" i="2"/>
  <c r="R52" i="2"/>
  <c r="R18" i="2"/>
  <c r="R16" i="2"/>
  <c r="R46" i="2"/>
  <c r="R40" i="2"/>
  <c r="R57" i="2"/>
  <c r="C28" i="7"/>
  <c r="C16" i="7"/>
  <c r="R59" i="2"/>
  <c r="R95" i="2"/>
  <c r="S95" i="2"/>
  <c r="S94" i="2"/>
  <c r="R51" i="2"/>
  <c r="R94" i="2"/>
  <c r="R93" i="2"/>
  <c r="S93" i="2"/>
  <c r="R92" i="2"/>
  <c r="S92" i="2"/>
  <c r="R91" i="2"/>
  <c r="S91" i="2"/>
  <c r="R90" i="2"/>
  <c r="S90" i="2"/>
  <c r="S89" i="2"/>
  <c r="R88" i="2"/>
  <c r="S88" i="2"/>
  <c r="R63" i="2"/>
  <c r="R62" i="2"/>
  <c r="R61" i="2"/>
  <c r="R60" i="2"/>
  <c r="R58" i="2"/>
  <c r="R47" i="2"/>
  <c r="R23" i="2"/>
  <c r="R24" i="2"/>
  <c r="R39" i="2"/>
  <c r="R31" i="2"/>
  <c r="R49" i="2"/>
  <c r="R20" i="2"/>
  <c r="C13" i="7"/>
  <c r="S87" i="2"/>
  <c r="S86" i="2"/>
  <c r="S85" i="2"/>
  <c r="S84" i="2"/>
  <c r="S83" i="2"/>
  <c r="S82" i="2"/>
  <c r="R87" i="2"/>
  <c r="R86" i="2"/>
  <c r="R85" i="2"/>
  <c r="R84" i="2"/>
  <c r="R83" i="2"/>
  <c r="R81" i="2"/>
  <c r="R80" i="2"/>
  <c r="R79" i="2"/>
  <c r="R78" i="2"/>
  <c r="R77" i="2"/>
  <c r="R76" i="2"/>
  <c r="R75" i="2"/>
  <c r="R64" i="2"/>
  <c r="R73" i="2"/>
  <c r="R74" i="2"/>
  <c r="R71" i="2"/>
  <c r="R72" i="2"/>
  <c r="C54" i="7"/>
  <c r="R70" i="2"/>
  <c r="R67" i="2"/>
  <c r="R69" i="2"/>
  <c r="R68" i="2"/>
  <c r="C51" i="7"/>
  <c r="C49" i="7"/>
  <c r="R65" i="2"/>
  <c r="R66" i="2"/>
  <c r="C48" i="7"/>
  <c r="C10" i="7"/>
  <c r="C46" i="7"/>
  <c r="C39" i="7"/>
  <c r="C40" i="7"/>
  <c r="C4" i="7"/>
  <c r="C53" i="7"/>
  <c r="C50" i="7"/>
  <c r="C43" i="7"/>
  <c r="C52" i="7"/>
  <c r="C29" i="7"/>
  <c r="C38" i="7"/>
  <c r="C25" i="7"/>
  <c r="C24" i="7"/>
  <c r="C37" i="7"/>
  <c r="C45" i="7"/>
  <c r="C153" i="7" l="1"/>
  <c r="C15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CHONG, Kam Fai</author>
  </authors>
  <commentList>
    <comment ref="D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It was 726613</t>
        </r>
      </text>
    </comment>
    <comment ref="K3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it was 31</t>
        </r>
      </text>
    </comment>
    <comment ref="K5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It was 28</t>
        </r>
      </text>
    </comment>
    <comment ref="C7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CLP re-issued a LPT bill to correct their missing charge in Mar, the total kWh should be 7073914.  </t>
        </r>
      </text>
    </comment>
    <comment ref="E8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EC system only.</t>
        </r>
      </text>
    </comment>
    <comment ref="E9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Widex systems are included.</t>
        </r>
      </text>
    </comment>
    <comment ref="F9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Counted in Sep Tariff</t>
        </r>
      </text>
    </comment>
    <comment ref="F10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It seems double counted in the tariff.</t>
        </r>
      </text>
    </comment>
    <comment ref="G10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It seems doubled counted.</t>
        </r>
      </text>
    </comment>
    <comment ref="F10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It included the RE from 7 July - 29 Sep 2021.</t>
        </r>
      </text>
    </comment>
    <comment ref="G10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It includes the RE from 18 Aug to 29 Sep.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CHONG, Kam Fai</author>
    <author>tc={B344C78B-0E69-4D1E-98BD-AD80D07B7CEE}</author>
    <author>tc={35A6199D-D56C-45C9-ADEC-E399F8B087DF}</author>
    <author>CHAN, Joyce</author>
    <author>tc={820AC5A9-E7C2-49DD-B9D4-CCACDC583731}</author>
    <author>tc={CBDB98F0-5E89-4593-858C-2A043F3B3F34}</author>
    <author>tc={79965FD5-3AED-4D4C-89C9-100A3BD87DB4}</author>
  </authors>
  <commentList>
    <comment ref="G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APCF Switches 1-33</t>
        </r>
      </text>
    </comment>
    <comment ref="H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NDC All Switches</t>
        </r>
      </text>
    </comment>
    <comment ref="I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Include seawater pump</t>
        </r>
      </text>
    </comment>
    <comment ref="N3" authorId="0" shapeId="0" xr:uid="{00000000-0006-0000-0100-000004000000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 cooling tower</t>
        </r>
      </text>
    </comment>
    <comment ref="Q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SISC Switches 1-3
</t>
        </r>
      </text>
    </comment>
    <comment ref="T3" authorId="1" shapeId="0" xr:uid="{B344C78B-0E69-4D1E-98BD-AD80D07B7CEE}">
      <text>
        <t>[Threaded comment]
Your version of Excel allows you to read this threaded comment; however, any edits to it will get removed if the file is opened in a newer version of Excel. Learn more: https://go.microsoft.com/fwlink/?linkid=870924
Comment:
    EC-20 &amp; EC-21</t>
      </text>
    </comment>
    <comment ref="W3" authorId="0" shapeId="0" xr:uid="{D906E13D-65BA-45B8-9FC1-3AF14A2B7675}">
      <text>
        <r>
          <rPr>
            <b/>
            <sz val="9"/>
            <color indexed="81"/>
            <rFont val="Tahoma"/>
            <family val="2"/>
          </rPr>
          <t>Tom Chong:</t>
        </r>
        <r>
          <rPr>
            <sz val="9"/>
            <color indexed="81"/>
            <rFont val="Tahoma"/>
            <family val="2"/>
          </rPr>
          <t xml:space="preserve">
GGT-07 Switch, Line 267
</t>
        </r>
      </text>
    </comment>
    <comment ref="X3" authorId="0" shapeId="0" xr:uid="{BCCCE7A2-7E3D-4E5F-AE35-DFAE61574C0E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Excluding GRUCs consumptions</t>
        </r>
      </text>
    </comment>
    <comment ref="Y3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From CLP LPT Group B</t>
        </r>
      </text>
    </comment>
    <comment ref="AE3" authorId="2" shapeId="0" xr:uid="{35A6199D-D56C-45C9-ADEC-E399F8B087DF}">
      <text>
        <t>[Threaded comment]
Your version of Excel allows you to read this threaded comment; however, any edits to it will get removed if the file is opened in a newer version of Excel. Learn more: https://go.microsoft.com/fwlink/?linkid=870924
Comment:
    EC-20 &amp; EC-21</t>
      </text>
    </comment>
    <comment ref="K4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Waiting old data for revision</t>
        </r>
      </text>
    </comment>
    <comment ref="N4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By interpolation</t>
        </r>
      </text>
    </comment>
    <comment ref="G7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First Month in Operation</t>
        </r>
      </text>
    </comment>
    <comment ref="Q7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First Month In Operation</t>
        </r>
      </text>
    </comment>
    <comment ref="X95" authorId="3" shapeId="0" xr:uid="{00000000-0006-0000-0100-00000D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UG9 reading is lost due to meter replacement. July consumption is used as a reference.  </t>
        </r>
      </text>
    </comment>
    <comment ref="H97" authorId="3" shapeId="0" xr:uid="{00000000-0006-0000-0100-00000E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Data Hall Rm2113 consumption added
</t>
        </r>
      </text>
    </comment>
    <comment ref="F152" authorId="4" shapeId="0" xr:uid="{820AC5A9-E7C2-49DD-B9D4-CCACDC583731}">
      <text>
        <t>[Threaded comment]
Your version of Excel allows you to read this threaded comment; however, any edits to it will get removed if the file is opened in a newer version of Excel. Learn more: https://go.microsoft.com/fwlink/?linkid=870924
Comment:
    MPA-05</t>
      </text>
    </comment>
    <comment ref="G152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Tom Chong:</t>
        </r>
        <r>
          <rPr>
            <sz val="9"/>
            <color indexed="81"/>
            <rFont val="Tahoma"/>
            <family val="2"/>
          </rPr>
          <t xml:space="preserve">
APCF Switches 1-33</t>
        </r>
      </text>
    </comment>
    <comment ref="H152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Tom Chong:</t>
        </r>
        <r>
          <rPr>
            <sz val="9"/>
            <color indexed="81"/>
            <rFont val="Tahoma"/>
            <family val="2"/>
          </rPr>
          <t xml:space="preserve">
NDC All Switches 
Line 5-24</t>
        </r>
      </text>
    </comment>
    <comment ref="I152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Include seawater pump</t>
        </r>
      </text>
    </comment>
    <comment ref="N152" authorId="0" shapeId="0" xr:uid="{00000000-0006-0000-0100-000012000000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 cooling tower</t>
        </r>
      </text>
    </comment>
    <comment ref="P152" authorId="5" shapeId="0" xr:uid="{CBDB98F0-5E89-4593-858C-2A043F3B3F34}">
      <text>
        <t>[Threaded comment]
Your version of Excel allows you to read this threaded comment; however, any edits to it will get removed if the file is opened in a newer version of Excel. Learn more: https://go.microsoft.com/fwlink/?linkid=870924
Comment:
    BH-01 Line338</t>
      </text>
    </comment>
    <comment ref="Q152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Tom Chong:</t>
        </r>
        <r>
          <rPr>
            <sz val="9"/>
            <color indexed="81"/>
            <rFont val="Tahoma"/>
            <family val="2"/>
          </rPr>
          <t xml:space="preserve">
SISC-01 to 03
</t>
        </r>
      </text>
    </comment>
    <comment ref="W152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Tom Chong:</t>
        </r>
        <r>
          <rPr>
            <sz val="9"/>
            <color indexed="81"/>
            <rFont val="Tahoma"/>
            <family val="2"/>
          </rPr>
          <t xml:space="preserve">
GGT-07 Switch, Line 267
</t>
        </r>
      </text>
    </comment>
    <comment ref="X152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Excluding GRUCs consumptions</t>
        </r>
      </text>
    </comment>
    <comment ref="Y152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From CLP LPT Group B</t>
        </r>
      </text>
    </comment>
    <comment ref="AE152" authorId="6" shapeId="0" xr:uid="{79965FD5-3AED-4D4C-89C9-100A3BD87DB4}">
      <text>
        <t>[Threaded comment]
Your version of Excel allows you to read this threaded comment; however, any edits to it will get removed if the file is opened in a newer version of Excel. Learn more: https://go.microsoft.com/fwlink/?linkid=870924
Comment:
    EC-20 &amp; EC-21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CHONG, Kam Fai</author>
    <author>CHAN, Joyce</author>
    <author>CHUI, Kin Ming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All meters are in CLP LPT bill</t>
        </r>
      </text>
    </comment>
    <comment ref="B14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3006113 is replaced by 7629952 in Sep 2021</t>
        </r>
      </text>
    </comment>
    <comment ref="B15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3054632 is replaced by 7631007 in Sep 2021
</t>
        </r>
      </text>
    </comment>
    <comment ref="D15" authorId="2" shapeId="0" xr:uid="{00000000-0006-0000-0200-000004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5, Line 8
NewP, CLP5, Line 121</t>
        </r>
      </text>
    </comment>
    <comment ref="FC15" authorId="2" shapeId="0" xr:uid="{13761F9E-E8F0-451B-86D9-F110D32AB49A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5, Line 8
NewP, CLP5, Line 121</t>
        </r>
      </text>
    </comment>
    <comment ref="B16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3058702 is replaced by 7631011 in Sep 2021</t>
        </r>
      </text>
    </comment>
    <comment ref="D16" authorId="2" shapeId="0" xr:uid="{00000000-0006-0000-0200-000006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9, Line 11
NewP, Line 128</t>
        </r>
      </text>
    </comment>
    <comment ref="FC16" authorId="2" shapeId="0" xr:uid="{F11CE55A-5708-4069-89A2-E9C0357CDEBC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9, Line 11
NewP, Line 128</t>
        </r>
      </text>
    </comment>
    <comment ref="B17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3058782 is replaced by 7631012 in Sep 2021</t>
        </r>
      </text>
    </comment>
    <comment ref="D17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9, Line 13
New P, CLP 9, Line 136</t>
        </r>
      </text>
    </comment>
    <comment ref="FC17" authorId="2" shapeId="0" xr:uid="{5D272B94-E439-46BD-8A8C-50DBAC271CC2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9, Line 13
New P, CLP 9, Line 136</t>
        </r>
      </text>
    </comment>
    <comment ref="B18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3152185 is replaced by 7631033 in Sep 2021</t>
        </r>
      </text>
    </comment>
    <comment ref="B19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3156551 is replaced by 7631015 in Sep 2021</t>
        </r>
      </text>
    </comment>
    <comment ref="D21" authorId="2" shapeId="0" xr:uid="{00000000-0006-0000-0200-00000B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3 Line 46
NewIP, CLP 3 Line 110</t>
        </r>
      </text>
    </comment>
    <comment ref="FC21" authorId="2" shapeId="0" xr:uid="{C8DF4464-B0A4-4469-A6A7-246AE2ACE734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3 Line 46
NewIP, CLP 3 Line 110</t>
        </r>
      </text>
    </comment>
    <comment ref="B23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3183476 is replaced by 7629917</t>
        </r>
      </text>
    </comment>
    <comment ref="B24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3202495 is replaced by 7631006 in Sept 2021
</t>
        </r>
      </text>
    </comment>
    <comment ref="B25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 xml:space="preserve">CHAN, Joyce:
</t>
        </r>
        <r>
          <rPr>
            <sz val="9"/>
            <color indexed="81"/>
            <rFont val="Tahoma"/>
            <family val="2"/>
          </rPr>
          <t xml:space="preserve">3330656 is replaced by 7631014 in Sept 2021
</t>
        </r>
      </text>
    </comment>
    <comment ref="D25" authorId="2" shapeId="0" xr:uid="{00000000-0006-0000-0200-00000F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CLP, CLP 4, Line 7
NewP, CLP 4, Line 120</t>
        </r>
      </text>
    </comment>
    <comment ref="FC25" authorId="2" shapeId="0" xr:uid="{882EA541-583B-4A9B-82BC-7B87E01D2FB5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CLP, CLP 4, Line 7
NewP, CLP 4, Line 120</t>
        </r>
      </text>
    </comment>
    <comment ref="B26" authorId="1" shapeId="0" xr:uid="{00000000-0006-0000-0200-000010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3567683 is replaced by 7612017</t>
        </r>
      </text>
    </comment>
    <comment ref="D26" authorId="2" shapeId="0" xr:uid="{00000000-0006-0000-0200-000011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 Line 4
NewP, Line 67</t>
        </r>
      </text>
    </comment>
    <comment ref="FC26" authorId="2" shapeId="0" xr:uid="{4B36BA63-393A-44BA-AB51-7F374E66AA1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 Line 4
NewP, Line 67</t>
        </r>
      </text>
    </comment>
    <comment ref="B27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3576372 is replaced by 10279754 in Sep 2021</t>
        </r>
      </text>
    </comment>
    <comment ref="B28" authorId="1" shapeId="0" xr:uid="{00000000-0006-0000-0200-000013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3617397 is replaced by 7629950 in Sep 2021</t>
        </r>
      </text>
    </comment>
    <comment ref="B29" authorId="1" shapeId="0" xr:uid="{00000000-0006-0000-0200-000014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3619127 is replaced by 7618717 in Sep 2021</t>
        </r>
      </text>
    </comment>
    <comment ref="D29" authorId="2" shapeId="0" xr:uid="{00000000-0006-0000-0200-000015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6, Line 9
NewP, CLP 6, Line 122</t>
        </r>
      </text>
    </comment>
    <comment ref="FC29" authorId="2" shapeId="0" xr:uid="{A112C823-E66A-42E1-BE4B-072BA951C5F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6, Line 9
NewP, CLP 6, Line 122</t>
        </r>
      </text>
    </comment>
    <comment ref="B30" authorId="1" shapeId="0" xr:uid="{00000000-0006-0000-0200-000016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3627139 is replaced by 7631016 in Sept 2021</t>
        </r>
      </text>
    </comment>
    <comment ref="B31" authorId="1" shapeId="0" xr:uid="{00000000-0006-0000-0200-000017000000}">
      <text>
        <r>
          <rPr>
            <b/>
            <sz val="9"/>
            <color indexed="81"/>
            <rFont val="Tahoma"/>
            <family val="2"/>
          </rPr>
          <t xml:space="preserve">CHAN, Joyce:
</t>
        </r>
        <r>
          <rPr>
            <sz val="9"/>
            <color indexed="81"/>
            <rFont val="Tahoma"/>
            <family val="2"/>
          </rPr>
          <t>3635632 is replaced by 7631013 in Sept 2021</t>
        </r>
      </text>
    </comment>
    <comment ref="B32" authorId="1" shapeId="0" xr:uid="{00000000-0006-0000-0200-000018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3636372 is replaced by 7631009 in Sep 2021</t>
        </r>
      </text>
    </comment>
    <comment ref="B33" authorId="1" shapeId="0" xr:uid="{00000000-0006-0000-0200-000019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3637425 is replaced by 7631008 in Sep 2021</t>
        </r>
      </text>
    </comment>
    <comment ref="B34" authorId="1" shapeId="0" xr:uid="{00000000-0006-0000-0200-00001A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5643250 is replaced by 7633635 in Aug 2021</t>
        </r>
      </text>
    </comment>
    <comment ref="B35" authorId="1" shapeId="0" xr:uid="{00000000-0006-0000-0200-00001B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5643251 is replaced by 7633631 in Aug 2021</t>
        </r>
      </text>
    </comment>
    <comment ref="B36" authorId="1" shapeId="0" xr:uid="{00000000-0006-0000-0200-00001C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5643253 is replaced by 7633635 in Aug 2021</t>
        </r>
      </text>
    </comment>
    <comment ref="B37" authorId="1" shapeId="0" xr:uid="{00000000-0006-0000-0200-00001D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5643329 is replaced by 7634226 in Sep 2021</t>
        </r>
      </text>
    </comment>
    <comment ref="B38" authorId="1" shapeId="0" xr:uid="{00000000-0006-0000-0200-00001E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5643333 is replaced by 7634228 in Sept 2021</t>
        </r>
      </text>
    </comment>
    <comment ref="B40" authorId="1" shapeId="0" xr:uid="{00000000-0006-0000-0200-00001F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5643336 is replaced by 7633533 in Sept 2021</t>
        </r>
      </text>
    </comment>
    <comment ref="D42" authorId="2" shapeId="0" xr:uid="{00000000-0006-0000-0200-000020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Canteen 
CLP 2 Line 5</t>
        </r>
      </text>
    </comment>
    <comment ref="FC42" authorId="2" shapeId="0" xr:uid="{63C98AC2-A093-48F2-8289-6D8EA1D8934C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Canteen 
CLP 2 Line 5</t>
        </r>
      </text>
    </comment>
    <comment ref="D43" authorId="2" shapeId="0" xr:uid="{00000000-0006-0000-0200-000021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7, Line 10
NewP, CLP 7, Line 123</t>
        </r>
      </text>
    </comment>
    <comment ref="FC43" authorId="2" shapeId="0" xr:uid="{413D7ED3-FC63-4C10-83F4-256B22822F9F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7, Line 10
NewP, CLP 7, Line 123</t>
        </r>
      </text>
    </comment>
    <comment ref="D44" authorId="2" shapeId="0" xr:uid="{00000000-0006-0000-0200-000022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18, Line 21
NewP, CLP 18, Line 30</t>
        </r>
      </text>
    </comment>
    <comment ref="FC44" authorId="2" shapeId="0" xr:uid="{2112A9DF-97EA-4820-AE8D-50C01E22A523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18, Line 21
NewP, CLP 18, Line 30</t>
        </r>
      </text>
    </comment>
    <comment ref="B45" authorId="0" shapeId="0" xr:uid="{AF06A8F0-0CC2-413B-9ADA-14CCCDD87C59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Jun 2018</t>
        </r>
      </text>
    </comment>
    <comment ref="D45" authorId="2" shapeId="0" xr:uid="{00000000-0006-0000-0200-000024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11, Line 14
NewP, CLP 11, Line 273
</t>
        </r>
      </text>
    </comment>
    <comment ref="FC45" authorId="2" shapeId="0" xr:uid="{AB0C77AB-A5A7-48AE-880C-25EC74CF6FAB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11, Line 14
NewP, CLP 11, Line 273
</t>
        </r>
      </text>
    </comment>
    <comment ref="D46" authorId="2" shapeId="0" xr:uid="{00000000-0006-0000-0200-000025000000}">
      <text>
        <r>
          <rPr>
            <b/>
            <sz val="9"/>
            <color indexed="81"/>
            <rFont val="Tahoma"/>
            <family val="2"/>
          </rPr>
          <t xml:space="preserve">CHUI, Kin Ming
</t>
        </r>
        <r>
          <rPr>
            <sz val="9"/>
            <color indexed="81"/>
            <rFont val="Tahoma"/>
            <family val="2"/>
          </rPr>
          <t>Meter Log
CLP, CLP 16, Line 19,
NewP, CLP 16, Line 29</t>
        </r>
      </text>
    </comment>
    <comment ref="FC46" authorId="2" shapeId="0" xr:uid="{BE4B4635-69DC-4214-B599-419CAB489B85}">
      <text>
        <r>
          <rPr>
            <b/>
            <sz val="9"/>
            <color indexed="81"/>
            <rFont val="Tahoma"/>
            <family val="2"/>
          </rPr>
          <t xml:space="preserve">CHUI, Kin Ming
</t>
        </r>
        <r>
          <rPr>
            <sz val="9"/>
            <color indexed="81"/>
            <rFont val="Tahoma"/>
            <family val="2"/>
          </rPr>
          <t>Meter Log
CLP, CLP 16, Line 19,
NewP, CLP 16, Line 29</t>
        </r>
      </text>
    </comment>
    <comment ref="B47" authorId="0" shapeId="0" xr:uid="{6257605F-51AA-4B2C-A7E5-73A6F2626F0C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2013.
7608936 on Aug 2024.
</t>
        </r>
      </text>
    </comment>
    <comment ref="C47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2013.
7608936 on Aug 2024.
</t>
        </r>
      </text>
    </comment>
    <comment ref="DG47" authorId="2" shapeId="0" xr:uid="{00000000-0006-0000-0200-000027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9
NAB 5</t>
        </r>
      </text>
    </comment>
    <comment ref="DH47" authorId="2" shapeId="0" xr:uid="{00000000-0006-0000-0200-000028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9
NAB 5</t>
        </r>
      </text>
    </comment>
    <comment ref="DI47" authorId="2" shapeId="0" xr:uid="{00000000-0006-0000-0200-000029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9
NAB 5</t>
        </r>
      </text>
    </comment>
    <comment ref="DJ47" authorId="2" shapeId="0" xr:uid="{00000000-0006-0000-0200-00002A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9
NAB 5</t>
        </r>
      </text>
    </comment>
    <comment ref="DK47" authorId="2" shapeId="0" xr:uid="{00000000-0006-0000-0200-00002B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9
NAB 5</t>
        </r>
      </text>
    </comment>
    <comment ref="DP47" authorId="1" shapeId="0" xr:uid="{00000000-0006-0000-0200-00002C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new meter
</t>
        </r>
      </text>
    </comment>
    <comment ref="B48" authorId="0" shapeId="0" xr:uid="{0A9366EB-9840-4542-8C9A-ADFB3B53C4B1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2014
10350214 on Aug 2024.
</t>
        </r>
      </text>
    </comment>
    <comment ref="C48" authorId="0" shapeId="0" xr:uid="{00000000-0006-0000-0200-00002D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2014
10350214 on Aug 2024.
</t>
        </r>
      </text>
    </comment>
    <comment ref="DF48" authorId="2" shapeId="0" xr:uid="{00000000-0006-0000-0200-00002E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11
NAB 5</t>
        </r>
      </text>
    </comment>
    <comment ref="DG48" authorId="2" shapeId="0" xr:uid="{00000000-0006-0000-0200-00002F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11
NAB 5</t>
        </r>
      </text>
    </comment>
    <comment ref="DH48" authorId="2" shapeId="0" xr:uid="{00000000-0006-0000-0200-000030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11
NAB 5</t>
        </r>
      </text>
    </comment>
    <comment ref="DI48" authorId="2" shapeId="0" xr:uid="{00000000-0006-0000-0200-000031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11
NAB 5</t>
        </r>
      </text>
    </comment>
    <comment ref="DJ48" authorId="2" shapeId="0" xr:uid="{00000000-0006-0000-0200-000032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11
NAB 5</t>
        </r>
      </text>
    </comment>
    <comment ref="DK48" authorId="2" shapeId="0" xr:uid="{00000000-0006-0000-0200-000033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11
NAB 5</t>
        </r>
      </text>
    </comment>
    <comment ref="DP48" authorId="1" shapeId="0" xr:uid="{00000000-0006-0000-0200-000034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new meter</t>
        </r>
      </text>
    </comment>
    <comment ref="B49" authorId="0" shapeId="0" xr:uid="{C79CFC80-9C41-435D-8ABD-D5883E60DB73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Sep 2019
10210630 on Aug 2024.</t>
        </r>
      </text>
    </comment>
    <comment ref="C49" authorId="0" shapeId="0" xr:uid="{00000000-0006-0000-0200-000035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Sep 2019
10210630 on Aug 2024.</t>
        </r>
      </text>
    </comment>
    <comment ref="DF49" authorId="2" shapeId="0" xr:uid="{00000000-0006-0000-0200-000036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MC Line 11
NAB 6</t>
        </r>
      </text>
    </comment>
    <comment ref="DG49" authorId="2" shapeId="0" xr:uid="{00000000-0006-0000-0200-000037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MC Line 13
NAB 8
</t>
        </r>
      </text>
    </comment>
    <comment ref="DH49" authorId="2" shapeId="0" xr:uid="{00000000-0006-0000-0200-000038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MC Line 13
NAB 8
</t>
        </r>
      </text>
    </comment>
    <comment ref="DI49" authorId="2" shapeId="0" xr:uid="{00000000-0006-0000-0200-000039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MC Line 13
NAB 8
</t>
        </r>
      </text>
    </comment>
    <comment ref="DJ49" authorId="2" shapeId="0" xr:uid="{00000000-0006-0000-0200-00003A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MC Line 13
NAB 8
</t>
        </r>
      </text>
    </comment>
    <comment ref="DK49" authorId="2" shapeId="0" xr:uid="{00000000-0006-0000-0200-00003B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 
MC Line 13
NAB 8
</t>
        </r>
      </text>
    </comment>
    <comment ref="B50" authorId="0" shapeId="0" xr:uid="{56979FDB-D20A-46FC-8921-76AD4AA92714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Oct 2018</t>
        </r>
      </text>
    </comment>
    <comment ref="C50" authorId="0" shapeId="0" xr:uid="{4AB4AD72-F7E3-479B-AE68-B9E434652C62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Oct 2018
7647873 on Aug 2024.
</t>
        </r>
      </text>
    </comment>
    <comment ref="D50" authorId="2" shapeId="0" xr:uid="{00000000-0006-0000-0200-00003D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19, Line 23,
NewP, CLP 19, Line 142</t>
        </r>
      </text>
    </comment>
    <comment ref="DF50" authorId="2" shapeId="0" xr:uid="{00000000-0006-0000-0200-00003E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13
NAB 8
</t>
        </r>
      </text>
    </comment>
    <comment ref="DG50" authorId="2" shapeId="0" xr:uid="{00000000-0006-0000-0200-00003F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13
NAB 8
</t>
        </r>
      </text>
    </comment>
    <comment ref="DH50" authorId="2" shapeId="0" xr:uid="{00000000-0006-0000-0200-000040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13
NAB 8
</t>
        </r>
      </text>
    </comment>
    <comment ref="DI50" authorId="2" shapeId="0" xr:uid="{00000000-0006-0000-0200-000041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13
NAB 8
</t>
        </r>
      </text>
    </comment>
    <comment ref="DJ50" authorId="2" shapeId="0" xr:uid="{00000000-0006-0000-0200-000042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13
NAB 8
</t>
        </r>
      </text>
    </comment>
    <comment ref="DK50" authorId="2" shapeId="0" xr:uid="{00000000-0006-0000-0200-000043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MC Line 13
NAB 8
</t>
        </r>
      </text>
    </comment>
    <comment ref="FC50" authorId="2" shapeId="0" xr:uid="{56488920-5F9D-4248-BB0D-16419A106396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19, Line 23,
NewP, CLP 19, Line 142</t>
        </r>
      </text>
    </comment>
    <comment ref="B51" authorId="0" shapeId="0" xr:uid="{319D813A-A419-4E32-9D56-05329411F131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</t>
        </r>
      </text>
    </comment>
    <comment ref="C51" authorId="0" shapeId="0" xr:uid="{04454C22-ED09-4D5E-BE18-CE4D7BC03EB8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
7647876 on Aug 2024.
</t>
        </r>
      </text>
    </comment>
    <comment ref="D51" authorId="2" shapeId="0" xr:uid="{00000000-0006-0000-0200-000045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20, Line 24
NewP, CLP 20, Line  151</t>
        </r>
      </text>
    </comment>
    <comment ref="FC51" authorId="2" shapeId="0" xr:uid="{DF14144B-7F53-464A-9115-20F961E1519D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20, Line 24
NewP, CLP 20, Line  151</t>
        </r>
      </text>
    </comment>
    <comment ref="B52" authorId="0" shapeId="0" xr:uid="{BA071BC9-0740-4889-86E2-DF605F04C556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</t>
        </r>
      </text>
    </comment>
    <comment ref="C52" authorId="0" shapeId="0" xr:uid="{3C94BEEC-D4EE-4F1A-98FC-22B3C4044676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
7647812 on Aug 2024
</t>
        </r>
      </text>
    </comment>
    <comment ref="D52" authorId="2" shapeId="0" xr:uid="{00000000-0006-0000-0200-000047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21, Line 25
NewP, CLP 21, Line 152</t>
        </r>
      </text>
    </comment>
    <comment ref="FC52" authorId="2" shapeId="0" xr:uid="{26B9BF1A-F19E-46DB-92B7-8AEFF9A4B887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21, Line 25
NewP, CLP 21, Line 152</t>
        </r>
      </text>
    </comment>
    <comment ref="B53" authorId="0" shapeId="0" xr:uid="{1D3E7498-B726-4D8F-A33C-260718943F64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</t>
        </r>
      </text>
    </comment>
    <comment ref="C53" authorId="0" shapeId="0" xr:uid="{2E871E76-1508-441D-A58B-A407385E6D26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
7654261 on Aug 2024
</t>
        </r>
      </text>
    </comment>
    <comment ref="D53" authorId="1" shapeId="0" xr:uid="{00000000-0006-0000-0200-000049000000}">
      <text>
        <r>
          <rPr>
            <b/>
            <sz val="9"/>
            <color indexed="81"/>
            <rFont val="Tahoma"/>
            <family val="2"/>
          </rPr>
          <t xml:space="preserve">CHAN, 
</t>
        </r>
        <r>
          <rPr>
            <sz val="9"/>
            <color indexed="81"/>
            <rFont val="Tahoma"/>
            <family val="2"/>
          </rPr>
          <t xml:space="preserve">From 21 Aug 2019
Meter Log
CLP, CLP 22, Line 26
NewP, CLP 22, Line 71
</t>
        </r>
      </text>
    </comment>
    <comment ref="FC53" authorId="1" shapeId="0" xr:uid="{53328DC5-CF53-466F-A18F-12F29FA5F382}">
      <text>
        <r>
          <rPr>
            <b/>
            <sz val="9"/>
            <color indexed="81"/>
            <rFont val="Tahoma"/>
            <family val="2"/>
          </rPr>
          <t xml:space="preserve">CHAN, 
</t>
        </r>
        <r>
          <rPr>
            <sz val="9"/>
            <color indexed="81"/>
            <rFont val="Tahoma"/>
            <family val="2"/>
          </rPr>
          <t xml:space="preserve">From 21 Aug 2019
Meter Log
CLP, CLP 22, Line 26
NewP, CLP 22, Line 71
</t>
        </r>
      </text>
    </comment>
    <comment ref="B54" authorId="0" shapeId="0" xr:uid="{6397E19F-E5CC-4869-A424-FF54E399DB5C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</t>
        </r>
      </text>
    </comment>
    <comment ref="C54" authorId="0" shapeId="0" xr:uid="{6C1D5632-E3DF-4BAF-8FF6-2E93A6A31467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Aug 2019
7647877 on Aug 2024
</t>
        </r>
      </text>
    </comment>
    <comment ref="D54" authorId="2" shapeId="0" xr:uid="{00000000-0006-0000-0200-00004B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23, Line 27
NewP, CLP 23, Line 72</t>
        </r>
      </text>
    </comment>
    <comment ref="FC54" authorId="2" shapeId="0" xr:uid="{D562B6E7-389C-474F-965A-D45B9A5DE1D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23, Line 27
NewP, CLP 23, Line 72</t>
        </r>
      </text>
    </comment>
    <comment ref="B55" authorId="0" shapeId="0" xr:uid="{00000000-0006-0000-0200-00004C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Sep 2019</t>
        </r>
      </text>
    </comment>
    <comment ref="D55" authorId="1" shapeId="0" xr:uid="{00000000-0006-0000-0200-00004D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From 23 Sep 2019
Meter Log
CLP, CLP 24, Line 28
NewP, CLP 24, Line 73
</t>
        </r>
      </text>
    </comment>
    <comment ref="FC55" authorId="1" shapeId="0" xr:uid="{B9536859-C58D-4A6A-AF00-18B31CE3E053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From 23 Sep 2019
Meter Log
CLP, CLP 24, Line 28
NewP, CLP 24, Line 73
</t>
        </r>
      </text>
    </comment>
    <comment ref="B56" authorId="1" shapeId="0" xr:uid="{9F0BE441-3B66-477F-A614-07F8B0089BB4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MPA26</t>
        </r>
      </text>
    </comment>
    <comment ref="B60" authorId="0" shapeId="0" xr:uid="{00000000-0006-0000-0200-00004F00000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Installed in Sep 2019</t>
        </r>
      </text>
    </comment>
    <comment ref="D60" authorId="2" shapeId="0" xr:uid="{00000000-0006-0000-0200-000050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26, Line 22
NewP, CLP 26, Line 31</t>
        </r>
      </text>
    </comment>
    <comment ref="FC60" authorId="2" shapeId="0" xr:uid="{7ADB0AD2-9ADD-4622-9CB5-8FA74029DFF8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26, Line 22
NewP, CLP 26, Line 31</t>
        </r>
      </text>
    </comment>
    <comment ref="B61" authorId="1" shapeId="0" xr:uid="{00000000-0006-0000-0200-000051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installed on 7 July 2021</t>
        </r>
      </text>
    </comment>
    <comment ref="B62" authorId="1" shapeId="0" xr:uid="{00000000-0006-0000-0200-000052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installed on 7 July 2021</t>
        </r>
      </text>
    </comment>
    <comment ref="B63" authorId="1" shapeId="0" xr:uid="{00000000-0006-0000-0200-000053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installed on 30 July 2021</t>
        </r>
      </text>
    </comment>
    <comment ref="D63" authorId="2" shapeId="0" xr:uid="{00000000-0006-0000-0200-000054000000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25, Line 29
NewP, CLP 25, Line 74
</t>
        </r>
      </text>
    </comment>
    <comment ref="FC63" authorId="2" shapeId="0" xr:uid="{3092BFEA-2C1C-4DEA-9351-F8C2E7EEC29E}">
      <text>
        <r>
          <rPr>
            <b/>
            <sz val="9"/>
            <color indexed="81"/>
            <rFont val="Tahoma"/>
            <family val="2"/>
          </rPr>
          <t>CHUI, Kin Ming:</t>
        </r>
        <r>
          <rPr>
            <sz val="9"/>
            <color indexed="81"/>
            <rFont val="Tahoma"/>
            <family val="2"/>
          </rPr>
          <t xml:space="preserve">
Meter Log
CLP, CLP 25, Line 29
NewP, CLP 25, Line 74
</t>
        </r>
      </text>
    </comment>
    <comment ref="B64" authorId="1" shapeId="0" xr:uid="{00000000-0006-0000-0200-000055000000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installed on 15 Sep 2021</t>
        </r>
      </text>
    </comment>
  </commentList>
</comments>
</file>

<file path=xl/sharedStrings.xml><?xml version="1.0" encoding="utf-8"?>
<sst xmlns="http://schemas.openxmlformats.org/spreadsheetml/2006/main" count="921" uniqueCount="255">
  <si>
    <t>Total 
(Group A) (kWh)</t>
    <phoneticPr fontId="5" type="noConversion"/>
  </si>
  <si>
    <t>LPT Total (excluding Gp B) (kWh)</t>
  </si>
  <si>
    <t>LPT Group B (kWh)</t>
    <phoneticPr fontId="5" type="noConversion"/>
  </si>
  <si>
    <t>FiT Renewable Energy Generation (kWh)</t>
    <phoneticPr fontId="5" type="noConversion"/>
  </si>
  <si>
    <t>No. of days.</t>
    <phoneticPr fontId="5" type="noConversion"/>
  </si>
  <si>
    <t>Billing Days</t>
    <phoneticPr fontId="5" type="noConversion"/>
  </si>
  <si>
    <t>Whole Campus</t>
    <phoneticPr fontId="5" type="noConversion"/>
  </si>
  <si>
    <t>Teaching Buildings, Public Facilities &amp; Student Hostels</t>
    <phoneticPr fontId="5" type="noConversion"/>
  </si>
  <si>
    <t>Staff Quarters &amp; Commercial Outlets</t>
    <phoneticPr fontId="5" type="noConversion"/>
  </si>
  <si>
    <t>LPT Bill</t>
    <phoneticPr fontId="5" type="noConversion"/>
  </si>
  <si>
    <t>SSQ Bill</t>
    <phoneticPr fontId="5" type="noConversion"/>
  </si>
  <si>
    <t>JSQ Bill</t>
    <phoneticPr fontId="5" type="noConversion"/>
  </si>
  <si>
    <t>VC &amp; Guest Lodge</t>
    <phoneticPr fontId="5" type="noConversion"/>
  </si>
  <si>
    <t>Solar kWhTotal</t>
    <phoneticPr fontId="5" type="noConversion"/>
  </si>
  <si>
    <t>% of Solar kWh / Whole Campus kWh</t>
    <phoneticPr fontId="5" type="noConversion"/>
  </si>
  <si>
    <t>Period</t>
    <phoneticPr fontId="5" type="noConversion"/>
  </si>
  <si>
    <t>12-month Rolling Sum in Electricity Consumption (kWh)</t>
    <phoneticPr fontId="5" type="noConversion"/>
  </si>
  <si>
    <t>12-month Rolling Sum in Renewable Energy Generation (kWh)</t>
    <phoneticPr fontId="5" type="noConversion"/>
  </si>
  <si>
    <t>12-month Rolling Sum of Net Electricity Consumption (kWh)</t>
    <phoneticPr fontId="5" type="noConversion"/>
  </si>
  <si>
    <t>12-month Rolling Saving Performance</t>
    <phoneticPr fontId="5" type="noConversion"/>
  </si>
  <si>
    <t>12-month Rolling Net Saving Performance</t>
    <phoneticPr fontId="5" type="noConversion"/>
  </si>
  <si>
    <t>Jul-Sep 2014</t>
    <phoneticPr fontId="5" type="noConversion"/>
  </si>
  <si>
    <t>Jul-Sep 2015</t>
    <phoneticPr fontId="5" type="noConversion"/>
  </si>
  <si>
    <t>Jul-Sep 2016</t>
  </si>
  <si>
    <t>Jul-Sep 2017</t>
  </si>
  <si>
    <t>Jul-Sep 2018</t>
  </si>
  <si>
    <t>Jul-Sep 2019</t>
  </si>
  <si>
    <t>Jul 14 - Jun 15</t>
    <phoneticPr fontId="5" type="noConversion"/>
  </si>
  <si>
    <t>Base Year</t>
    <phoneticPr fontId="5" type="noConversion"/>
  </si>
  <si>
    <t>Jul-Sep 2020</t>
  </si>
  <si>
    <t>Jul-Sep 2021</t>
  </si>
  <si>
    <t>Jul 15 - Jun 16</t>
    <phoneticPr fontId="5" type="noConversion"/>
  </si>
  <si>
    <t>Jul 16 - Jun 17</t>
    <phoneticPr fontId="5" type="noConversion"/>
  </si>
  <si>
    <t>Jul 17 - Jun 18</t>
    <phoneticPr fontId="5" type="noConversion"/>
  </si>
  <si>
    <t>Jul 18 - Jun 19</t>
    <phoneticPr fontId="5" type="noConversion"/>
  </si>
  <si>
    <t>Jul 19 - Jun 20</t>
  </si>
  <si>
    <t>Jul 20 - Jun 21</t>
    <phoneticPr fontId="5" type="noConversion"/>
  </si>
  <si>
    <t>Jul 21 - Jun 22</t>
    <phoneticPr fontId="5" type="noConversion"/>
  </si>
  <si>
    <t>0</t>
    <phoneticPr fontId="5" type="noConversion"/>
  </si>
  <si>
    <t>Jul 22 - Jun 23</t>
  </si>
  <si>
    <t>Jul 23 - Jun 24</t>
    <phoneticPr fontId="5" type="noConversion"/>
  </si>
  <si>
    <t>Jul 24 - Jun 25</t>
    <phoneticPr fontId="5" type="noConversion"/>
  </si>
  <si>
    <t>Jul 25 - Jun 26</t>
    <phoneticPr fontId="5" type="noConversion"/>
  </si>
  <si>
    <t>HKUST Electricity Consumption (kWh)</t>
    <phoneticPr fontId="10" type="noConversion"/>
  </si>
  <si>
    <t># Remark : The electricity consumption by category should not be double counted.</t>
    <phoneticPr fontId="10" type="noConversion"/>
  </si>
  <si>
    <t>Period</t>
    <phoneticPr fontId="10" type="noConversion"/>
  </si>
  <si>
    <t>CLP Total</t>
    <phoneticPr fontId="10" type="noConversion"/>
  </si>
  <si>
    <t>Main Academic Buildings &amp; Other Public Facilities</t>
    <phoneticPr fontId="5" type="noConversion"/>
  </si>
  <si>
    <t>EC (ALL)</t>
    <phoneticPr fontId="5" type="noConversion"/>
  </si>
  <si>
    <t>CYT</t>
    <phoneticPr fontId="5" type="noConversion"/>
  </si>
  <si>
    <t>Shaw Auditorium</t>
    <phoneticPr fontId="5" type="noConversion"/>
  </si>
  <si>
    <t>APCF 
(R/F Zone L)</t>
    <phoneticPr fontId="5" type="noConversion"/>
  </si>
  <si>
    <t>New Data Centre 
(2/F Zone L)</t>
    <phoneticPr fontId="5" type="noConversion"/>
  </si>
  <si>
    <t>Main Chiller Plant</t>
    <phoneticPr fontId="5" type="noConversion"/>
  </si>
  <si>
    <t>LSKBB</t>
    <phoneticPr fontId="5" type="noConversion"/>
  </si>
  <si>
    <t>IAS</t>
    <phoneticPr fontId="5" type="noConversion"/>
  </si>
  <si>
    <t>Conference Lodge</t>
  </si>
  <si>
    <t>LSK Hostel</t>
    <phoneticPr fontId="5" type="noConversion"/>
  </si>
  <si>
    <t>LSK Chiller Plant</t>
    <phoneticPr fontId="5" type="noConversion"/>
  </si>
  <si>
    <t>WWT</t>
    <phoneticPr fontId="5" type="noConversion"/>
  </si>
  <si>
    <t>Water Sport Centre</t>
    <phoneticPr fontId="5" type="noConversion"/>
  </si>
  <si>
    <t>SISC</t>
    <phoneticPr fontId="5" type="noConversion"/>
  </si>
  <si>
    <t>IB</t>
    <phoneticPr fontId="5" type="noConversion"/>
  </si>
  <si>
    <t>SRD (UG10-13)</t>
    <phoneticPr fontId="5" type="noConversion"/>
  </si>
  <si>
    <t>TA-B</t>
    <phoneticPr fontId="5" type="noConversion"/>
  </si>
  <si>
    <t>GGT</t>
    <phoneticPr fontId="5" type="noConversion"/>
  </si>
  <si>
    <t>Student Housing UG1-UG9, PG1-PG2</t>
    <phoneticPr fontId="5" type="noConversion"/>
  </si>
  <si>
    <t xml:space="preserve">Staff Quarters &amp; Commercial Outlets </t>
    <phoneticPr fontId="5" type="noConversion"/>
  </si>
  <si>
    <t>Commercial Outlets</t>
    <phoneticPr fontId="5" type="noConversion"/>
  </si>
  <si>
    <t>Staff Quarters</t>
    <phoneticPr fontId="5" type="noConversion"/>
  </si>
  <si>
    <t>Combined Chiller Plants</t>
    <phoneticPr fontId="5" type="noConversion"/>
  </si>
  <si>
    <t>TKO JC Hall</t>
    <phoneticPr fontId="5" type="noConversion"/>
  </si>
  <si>
    <t>EC 3/F Data Centre (Elect)</t>
    <phoneticPr fontId="5" type="noConversion"/>
  </si>
  <si>
    <t>SRD (Chiller kWhe)</t>
    <phoneticPr fontId="5" type="noConversion"/>
  </si>
  <si>
    <t>IB (Chiller kWhe)</t>
    <phoneticPr fontId="5" type="noConversion"/>
  </si>
  <si>
    <t>BMW EV Charger kWh (LG7 &amp; WWT)</t>
    <phoneticPr fontId="5" type="noConversion"/>
  </si>
  <si>
    <t>Corner Stone EV Charger kWh</t>
    <phoneticPr fontId="5" type="noConversion"/>
  </si>
  <si>
    <t>Main Acad Bldg &amp; Other Public Facilities</t>
    <phoneticPr fontId="5" type="noConversion"/>
  </si>
  <si>
    <t>New Data Centre 
(2/F Zone L)</t>
  </si>
  <si>
    <t>LSK Chiller Plant (include UG10-13)</t>
    <phoneticPr fontId="5" type="noConversion"/>
  </si>
  <si>
    <t>HPC5</t>
    <phoneticPr fontId="5" type="noConversion"/>
  </si>
  <si>
    <t>RB2</t>
    <phoneticPr fontId="5" type="noConversion"/>
  </si>
  <si>
    <t>SRD Chiller kWh</t>
    <phoneticPr fontId="5" type="noConversion"/>
  </si>
  <si>
    <t>IB Chiller kWh</t>
    <phoneticPr fontId="5" type="noConversion"/>
  </si>
  <si>
    <t>Jul 2014 - Jun 2015</t>
    <phoneticPr fontId="5" type="noConversion"/>
  </si>
  <si>
    <t>May 2024 - Apr 2025</t>
    <phoneticPr fontId="5" type="noConversion"/>
  </si>
  <si>
    <t>May 2025 - Apr 2026</t>
    <phoneticPr fontId="5" type="noConversion"/>
  </si>
  <si>
    <t>This Year vs Base Year</t>
    <phoneticPr fontId="5" type="noConversion"/>
  </si>
  <si>
    <t>N/A</t>
  </si>
  <si>
    <t>N/A</t>
    <phoneticPr fontId="5" type="noConversion"/>
  </si>
  <si>
    <t>This Year vs Last Year</t>
    <phoneticPr fontId="5" type="noConversion"/>
  </si>
  <si>
    <t>Summary of Commercial Outlets Meters</t>
    <phoneticPr fontId="5" type="noConversion"/>
  </si>
  <si>
    <t>Reading</t>
  </si>
  <si>
    <t>CLP Deduction meter no.</t>
    <phoneticPr fontId="5" type="noConversion"/>
  </si>
  <si>
    <t>Meter number</t>
  </si>
  <si>
    <t>Old meter number</t>
  </si>
  <si>
    <t>Company</t>
  </si>
  <si>
    <t>2013/7</t>
  </si>
  <si>
    <t>2013/8</t>
  </si>
  <si>
    <t>2013/9</t>
  </si>
  <si>
    <t>2013/10</t>
  </si>
  <si>
    <t>2013/11</t>
  </si>
  <si>
    <t>2013/12</t>
  </si>
  <si>
    <t>2014/1</t>
  </si>
  <si>
    <t>2014/2</t>
  </si>
  <si>
    <t>2014/3</t>
  </si>
  <si>
    <t>2014/4</t>
  </si>
  <si>
    <t>2014/5</t>
  </si>
  <si>
    <t>2014/6</t>
  </si>
  <si>
    <t>2014/07</t>
    <phoneticPr fontId="41" type="noConversion"/>
  </si>
  <si>
    <t>2014/08</t>
    <phoneticPr fontId="41" type="noConversion"/>
  </si>
  <si>
    <t>2014/09</t>
    <phoneticPr fontId="41" type="noConversion"/>
  </si>
  <si>
    <t>2014/10</t>
    <phoneticPr fontId="41" type="noConversion"/>
  </si>
  <si>
    <t>2014/11</t>
    <phoneticPr fontId="41" type="noConversion"/>
  </si>
  <si>
    <t>2014/12</t>
    <phoneticPr fontId="41" type="noConversion"/>
  </si>
  <si>
    <t>2015/01</t>
    <phoneticPr fontId="41" type="noConversion"/>
  </si>
  <si>
    <t>2015/02</t>
    <phoneticPr fontId="41" type="noConversion"/>
  </si>
  <si>
    <t>2015/03</t>
    <phoneticPr fontId="41" type="noConversion"/>
  </si>
  <si>
    <t>2015/04</t>
    <phoneticPr fontId="41" type="noConversion"/>
  </si>
  <si>
    <t>2015/05</t>
    <phoneticPr fontId="41" type="noConversion"/>
  </si>
  <si>
    <t>2015/06</t>
    <phoneticPr fontId="41" type="noConversion"/>
  </si>
  <si>
    <t>2015/07</t>
    <phoneticPr fontId="41" type="noConversion"/>
  </si>
  <si>
    <t>2015/08</t>
    <phoneticPr fontId="41" type="noConversion"/>
  </si>
  <si>
    <t>2015/09</t>
    <phoneticPr fontId="41" type="noConversion"/>
  </si>
  <si>
    <t>2015/10</t>
    <phoneticPr fontId="41" type="noConversion"/>
  </si>
  <si>
    <t>2015/11</t>
    <phoneticPr fontId="41" type="noConversion"/>
  </si>
  <si>
    <t>2015/12</t>
    <phoneticPr fontId="41" type="noConversion"/>
  </si>
  <si>
    <t>2016/01</t>
    <phoneticPr fontId="41" type="noConversion"/>
  </si>
  <si>
    <t>2016/02</t>
    <phoneticPr fontId="41" type="noConversion"/>
  </si>
  <si>
    <t>2016/03</t>
    <phoneticPr fontId="41" type="noConversion"/>
  </si>
  <si>
    <t>2016/04</t>
    <phoneticPr fontId="41" type="noConversion"/>
  </si>
  <si>
    <t>2016/05</t>
    <phoneticPr fontId="41" type="noConversion"/>
  </si>
  <si>
    <t>2016/06</t>
    <phoneticPr fontId="41" type="noConversion"/>
  </si>
  <si>
    <t>2016/07</t>
    <phoneticPr fontId="41" type="noConversion"/>
  </si>
  <si>
    <t>2016/08</t>
    <phoneticPr fontId="41" type="noConversion"/>
  </si>
  <si>
    <t>2016/09</t>
    <phoneticPr fontId="41" type="noConversion"/>
  </si>
  <si>
    <t>2016/10</t>
    <phoneticPr fontId="41" type="noConversion"/>
  </si>
  <si>
    <t>2016/11</t>
    <phoneticPr fontId="41" type="noConversion"/>
  </si>
  <si>
    <t>2016/12</t>
    <phoneticPr fontId="41" type="noConversion"/>
  </si>
  <si>
    <t>2017/01</t>
    <phoneticPr fontId="41" type="noConversion"/>
  </si>
  <si>
    <t>2017/02</t>
    <phoneticPr fontId="41" type="noConversion"/>
  </si>
  <si>
    <t>2017/03</t>
    <phoneticPr fontId="41" type="noConversion"/>
  </si>
  <si>
    <t>2017/04</t>
    <phoneticPr fontId="41" type="noConversion"/>
  </si>
  <si>
    <t>2017/05</t>
    <phoneticPr fontId="41" type="noConversion"/>
  </si>
  <si>
    <t>2017/06</t>
    <phoneticPr fontId="41" type="noConversion"/>
  </si>
  <si>
    <t>2017/07</t>
    <phoneticPr fontId="41" type="noConversion"/>
  </si>
  <si>
    <t>2017/08</t>
    <phoneticPr fontId="41" type="noConversion"/>
  </si>
  <si>
    <t>2017/09</t>
    <phoneticPr fontId="41" type="noConversion"/>
  </si>
  <si>
    <t>2017/10</t>
    <phoneticPr fontId="41" type="noConversion"/>
  </si>
  <si>
    <t>2017/11</t>
    <phoneticPr fontId="41" type="noConversion"/>
  </si>
  <si>
    <t>2017/12</t>
    <phoneticPr fontId="41" type="noConversion"/>
  </si>
  <si>
    <t>2018/1</t>
  </si>
  <si>
    <t>2018/2</t>
  </si>
  <si>
    <t>2018/3</t>
  </si>
  <si>
    <t>2018/4</t>
  </si>
  <si>
    <t>2018/5</t>
  </si>
  <si>
    <t>2018/6</t>
  </si>
  <si>
    <t>2018/7</t>
  </si>
  <si>
    <t>2018/8</t>
  </si>
  <si>
    <t>2018/9</t>
  </si>
  <si>
    <t>2018/10</t>
  </si>
  <si>
    <t>2018/11</t>
  </si>
  <si>
    <t>2018/12</t>
  </si>
  <si>
    <t>2019/1</t>
    <phoneticPr fontId="5" type="noConversion"/>
  </si>
  <si>
    <t>2019/2</t>
    <phoneticPr fontId="5" type="noConversion"/>
  </si>
  <si>
    <t>2019/3</t>
    <phoneticPr fontId="5" type="noConversion"/>
  </si>
  <si>
    <t>2019/4</t>
    <phoneticPr fontId="5" type="noConversion"/>
  </si>
  <si>
    <t>2019/5</t>
    <phoneticPr fontId="5" type="noConversion"/>
  </si>
  <si>
    <t>2019/6</t>
  </si>
  <si>
    <t>2019/7</t>
  </si>
  <si>
    <t>2019/8</t>
  </si>
  <si>
    <t>2019/9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</si>
  <si>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</si>
  <si>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</si>
  <si>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</si>
  <si>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</si>
  <si>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</si>
  <si>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</si>
  <si>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</si>
  <si>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</si>
  <si>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</si>
  <si>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</si>
  <si>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</si>
  <si>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</si>
  <si>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</si>
  <si>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</si>
  <si>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</si>
  <si>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</si>
  <si>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</si>
  <si>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</si>
  <si>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</si>
  <si>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</si>
  <si>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</si>
  <si>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</si>
  <si>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</si>
  <si>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</si>
  <si>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</si>
  <si>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</si>
  <si>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</si>
  <si>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Seafront Snake Shop (UG6 G/F Kitchen)</t>
    <phoneticPr fontId="5" type="noConversion"/>
  </si>
  <si>
    <t>-</t>
    <phoneticPr fontId="5" type="noConversion"/>
  </si>
  <si>
    <t>CARRIES TECHNOLOGY LIMITED</t>
  </si>
  <si>
    <t>LG7 Hair Salon (R001)</t>
  </si>
  <si>
    <t>CLP POWER HONG KONG LIMITED</t>
  </si>
  <si>
    <t>HONG KONG CABLE TELEVISION LIMITED</t>
  </si>
  <si>
    <t>LG7 Gold Rice Bowl</t>
    <phoneticPr fontId="7" type="noConversion"/>
  </si>
  <si>
    <t>LG7 Malino</t>
    <phoneticPr fontId="7" type="noConversion"/>
  </si>
  <si>
    <t>LG7 Asia Pacific</t>
    <phoneticPr fontId="7" type="noConversion"/>
  </si>
  <si>
    <t>SNACK KITCHEN G/F,M-RISE P/GRADUATE HOST, HK U OF SCI &amp; TECHNY</t>
  </si>
  <si>
    <t>Commercial Press</t>
    <phoneticPr fontId="5" type="noConversion"/>
  </si>
  <si>
    <t>Removed</t>
  </si>
  <si>
    <t>Bank Of China</t>
    <phoneticPr fontId="5" type="noConversion"/>
  </si>
  <si>
    <t>Hang Seng Bank</t>
    <phoneticPr fontId="5" type="noConversion"/>
  </si>
  <si>
    <t>CHINA MOBILE HONG KONG COMPANY LIMI</t>
  </si>
  <si>
    <t>SMARTONE MOBILE COMMUNICATIONS LIMI</t>
  </si>
  <si>
    <t>PCCW-HKT TELEPHONE LIMITED</t>
  </si>
  <si>
    <t>China Garden &amp; Centeen II (ESS) LG1 &amp; G/F Kitchen Equipment</t>
    <phoneticPr fontId="5" type="noConversion"/>
  </si>
  <si>
    <t>Uni Bristro &amp; Bar</t>
    <phoneticPr fontId="5" type="noConversion"/>
  </si>
  <si>
    <t>Bank Of Aisa</t>
    <phoneticPr fontId="5" type="noConversion"/>
  </si>
  <si>
    <t>Fusion Supermarket</t>
    <phoneticPr fontId="5" type="noConversion"/>
  </si>
  <si>
    <t>Starbuck Coffee</t>
    <phoneticPr fontId="5" type="noConversion"/>
  </si>
  <si>
    <t>CSL Moblie Tel</t>
    <phoneticPr fontId="6" type="noConversion"/>
  </si>
  <si>
    <t>China Moblie</t>
    <phoneticPr fontId="5" type="noConversion"/>
  </si>
  <si>
    <t>HONG KONG CABLE TELEVISION LIMITED</t>
    <phoneticPr fontId="5" type="noConversion"/>
  </si>
  <si>
    <t>G/F+LG1 Maxim Restaurant</t>
    <phoneticPr fontId="7" type="noConversion"/>
  </si>
  <si>
    <t>Macdonald's &amp; McCafe</t>
    <phoneticPr fontId="5" type="noConversion"/>
  </si>
  <si>
    <t>LG1 Hair Salon</t>
    <phoneticPr fontId="2" type="noConversion"/>
  </si>
  <si>
    <t>9131014/7654236</t>
    <phoneticPr fontId="5" type="noConversion"/>
  </si>
  <si>
    <t>Seafront Cafeteria at Hall 6</t>
    <phoneticPr fontId="5" type="noConversion"/>
  </si>
  <si>
    <t>new meter</t>
  </si>
  <si>
    <t>Subway</t>
    <phoneticPr fontId="5" type="noConversion"/>
  </si>
  <si>
    <t>9096703/7608936</t>
    <phoneticPr fontId="5" type="noConversion"/>
  </si>
  <si>
    <t>Diners@LSKBB</t>
    <phoneticPr fontId="5" type="noConversion"/>
  </si>
  <si>
    <t>9097633/10350214</t>
    <phoneticPr fontId="5" type="noConversion"/>
  </si>
  <si>
    <t>Ebeneezer</t>
    <phoneticPr fontId="5" type="noConversion"/>
  </si>
  <si>
    <t>10210630/10210630</t>
    <phoneticPr fontId="5" type="noConversion"/>
  </si>
  <si>
    <t>Pacific Coffee</t>
    <phoneticPr fontId="5" type="noConversion"/>
  </si>
  <si>
    <t>Passion</t>
    <phoneticPr fontId="5" type="noConversion"/>
  </si>
  <si>
    <t>Hungry Korean</t>
  </si>
  <si>
    <t>American Diner</t>
  </si>
  <si>
    <t>Café De Coral</t>
  </si>
  <si>
    <t>Gold Rice Bowl</t>
  </si>
  <si>
    <t>TT Veggie (Talent Tank Social Enterprice Limited)</t>
    <phoneticPr fontId="5" type="noConversion"/>
  </si>
  <si>
    <t>Tamja Samgor</t>
    <phoneticPr fontId="5" type="noConversion"/>
  </si>
  <si>
    <t>Shop G/G Rm G22 HFT Life</t>
    <phoneticPr fontId="5" type="noConversion"/>
  </si>
  <si>
    <t>IB Caterer</t>
    <phoneticPr fontId="5" type="noConversion"/>
  </si>
  <si>
    <t>7-Eleven in LG5</t>
    <phoneticPr fontId="5" type="noConversion"/>
  </si>
  <si>
    <t>7-Eleven in UG11</t>
    <phoneticPr fontId="5" type="noConversion"/>
  </si>
  <si>
    <t>PCCW Moblie</t>
  </si>
  <si>
    <t>Super Sandwich (LG7 shop food outlet 4)</t>
    <phoneticPr fontId="5" type="noConversion"/>
  </si>
  <si>
    <t>The Dairy Farm Company Limited (LG5302 &amp; LG5302A)</t>
  </si>
  <si>
    <t>HPC5</t>
  </si>
  <si>
    <t>RB2</t>
  </si>
  <si>
    <t>TEST BUILDING 1</t>
  </si>
  <si>
    <t>TEST BUILDING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</si>
</sst>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[$-409]mmm\-yy;@"/>
    <numFmt numFmtId="167" formatCode="_-* #,##0.0_-;\-* #,##0.0_-;_-* &quot;-&quot;??_-;_-@_-"/>
    <numFmt numFmtId="168" formatCode="_(* #,##0_);_(* \(#,##0\);_(* &quot;-&quot;??_);_(@_)"/>
    <numFmt numFmtId="169" formatCode="0.00_);[Red]\(0.00\)"/>
    <numFmt numFmtId="170" formatCode="0.0%"/>
    <numFmt numFmtId="171" formatCode="0.0_ "/>
  </numFmts>
  <fonts count="71">
    <font>
      <sz val="12"/>
      <color theme="1"/>
      <name val="Arial"/>
      <family val="2"/>
      <charset val="136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Arial"/>
      <family val="2"/>
      <charset val="136"/>
    </font>
    <font>
      <sz val="9"/>
      <name val="Arial"/>
      <family val="2"/>
      <charset val="136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新細明體"/>
      <family val="1"/>
      <charset val="136"/>
    </font>
    <font>
      <sz val="12"/>
      <name val="Arial"/>
      <family val="2"/>
      <charset val="136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22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65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b/>
      <sz val="12"/>
      <color theme="1"/>
      <name val="Arial"/>
      <family val="2"/>
    </font>
    <font>
      <sz val="11"/>
      <color rgb="FFFF0000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1"/>
      <charset val="136"/>
      <scheme val="minor"/>
    </font>
    <font>
      <sz val="9"/>
      <name val="細明體"/>
      <family val="3"/>
      <charset val="136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1"/>
      <charset val="136"/>
      <scheme val="minor"/>
    </font>
    <font>
      <sz val="12"/>
      <color indexed="8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rgb="FF000000"/>
      <name val="Arial"/>
      <family val="2"/>
    </font>
    <font>
      <sz val="12"/>
      <name val="Calibri"/>
      <family val="2"/>
    </font>
    <font>
      <sz val="12"/>
      <color rgb="FFFF0000"/>
      <name val="Arial"/>
      <family val="2"/>
      <charset val="136"/>
    </font>
    <font>
      <u/>
      <sz val="12"/>
      <color theme="10"/>
      <name val="Arial"/>
      <family val="2"/>
      <charset val="136"/>
    </font>
    <font>
      <sz val="12"/>
      <color rgb="FFFF0000"/>
      <name val="Calibri"/>
      <family val="2"/>
    </font>
    <font>
      <sz val="12"/>
      <color theme="4" tint="-0.249977111117893"/>
      <name val="Arial"/>
      <family val="2"/>
      <charset val="136"/>
    </font>
    <font>
      <sz val="12"/>
      <color theme="2" tint="-0.89999084444715716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8E68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0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9" fillId="21" borderId="10" applyNumberFormat="0" applyAlignment="0" applyProtection="0">
      <alignment vertical="center"/>
    </xf>
    <xf numFmtId="0" fontId="30" fillId="21" borderId="9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22" borderId="12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23" borderId="13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/>
    <xf numFmtId="16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0" fillId="0" borderId="0">
      <alignment vertical="center"/>
    </xf>
    <xf numFmtId="0" fontId="7" fillId="0" borderId="0"/>
    <xf numFmtId="0" fontId="43" fillId="0" borderId="0"/>
    <xf numFmtId="0" fontId="7" fillId="54" borderId="20" applyNumberFormat="0" applyProtection="0">
      <alignment horizontal="left" vertical="center" indent="1"/>
    </xf>
    <xf numFmtId="0" fontId="45" fillId="55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13" fillId="0" borderId="0">
      <alignment vertical="center"/>
    </xf>
    <xf numFmtId="0" fontId="45" fillId="56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45" fillId="59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3" borderId="0" applyNumberFormat="0" applyBorder="0" applyAlignment="0" applyProtection="0">
      <alignment vertical="center"/>
    </xf>
    <xf numFmtId="0" fontId="48" fillId="64" borderId="0" applyNumberFormat="0" applyBorder="0" applyAlignment="0" applyProtection="0">
      <alignment vertical="center"/>
    </xf>
    <xf numFmtId="0" fontId="48" fillId="61" borderId="0" applyNumberFormat="0" applyBorder="0" applyAlignment="0" applyProtection="0">
      <alignment vertical="center"/>
    </xf>
    <xf numFmtId="0" fontId="48" fillId="62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4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164" fontId="13" fillId="0" borderId="0" applyFont="0" applyFill="0" applyBorder="0" applyAlignment="0" applyProtection="0">
      <alignment vertical="center"/>
    </xf>
    <xf numFmtId="0" fontId="49" fillId="68" borderId="0" applyNumberFormat="0" applyBorder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51" fillId="69" borderId="22" applyNumberFormat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7" fillId="70" borderId="24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8" fillId="71" borderId="0" applyNumberFormat="0" applyBorder="0" applyAlignment="0" applyProtection="0">
      <alignment vertical="center"/>
    </xf>
    <xf numFmtId="0" fontId="48" fillId="72" borderId="0" applyNumberFormat="0" applyBorder="0" applyAlignment="0" applyProtection="0">
      <alignment vertical="center"/>
    </xf>
    <xf numFmtId="0" fontId="48" fillId="73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74" borderId="0" applyNumberFormat="0" applyBorder="0" applyAlignment="0" applyProtection="0">
      <alignment vertical="center"/>
    </xf>
    <xf numFmtId="0" fontId="59" fillId="0" borderId="25" applyNumberFormat="0" applyFill="0" applyAlignment="0" applyProtection="0">
      <alignment vertical="center"/>
    </xf>
    <xf numFmtId="0" fontId="60" fillId="0" borderId="26" applyNumberFormat="0" applyFill="0" applyAlignment="0" applyProtection="0">
      <alignment vertical="center"/>
    </xf>
    <xf numFmtId="0" fontId="61" fillId="0" borderId="27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4" fillId="59" borderId="22" applyNumberFormat="0" applyAlignment="0" applyProtection="0">
      <alignment vertical="center"/>
    </xf>
    <xf numFmtId="0" fontId="55" fillId="69" borderId="20" applyNumberFormat="0" applyAlignment="0" applyProtection="0">
      <alignment vertical="center"/>
    </xf>
    <xf numFmtId="0" fontId="56" fillId="75" borderId="28" applyNumberFormat="0" applyAlignment="0" applyProtection="0">
      <alignment vertical="center"/>
    </xf>
    <xf numFmtId="0" fontId="57" fillId="5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" fillId="0" borderId="0"/>
  </cellStyleXfs>
  <cellXfs count="280">
    <xf numFmtId="0" fontId="0" fillId="0" borderId="0" xfId="0">
      <alignment vertical="center"/>
    </xf>
    <xf numFmtId="166" fontId="6" fillId="2" borderId="1" xfId="0" applyNumberFormat="1" applyFont="1" applyFill="1" applyBorder="1" applyAlignment="1">
      <alignment horizontal="right" vertical="center"/>
    </xf>
    <xf numFmtId="166" fontId="6" fillId="4" borderId="1" xfId="0" applyNumberFormat="1" applyFont="1" applyFill="1" applyBorder="1" applyAlignment="1">
      <alignment horizontal="right" vertical="center"/>
    </xf>
    <xf numFmtId="165" fontId="7" fillId="3" borderId="1" xfId="0" applyNumberFormat="1" applyFont="1" applyFill="1" applyBorder="1" applyAlignment="1">
      <alignment horizontal="right" vertical="center"/>
    </xf>
    <xf numFmtId="0" fontId="11" fillId="0" borderId="0" xfId="3" applyFont="1" applyAlignment="1">
      <alignment vertical="center" wrapText="1"/>
    </xf>
    <xf numFmtId="0" fontId="11" fillId="0" borderId="0" xfId="3" applyFont="1">
      <alignment vertical="center"/>
    </xf>
    <xf numFmtId="3" fontId="11" fillId="6" borderId="2" xfId="3" applyNumberFormat="1" applyFont="1" applyFill="1" applyBorder="1" applyAlignment="1">
      <alignment vertical="center" wrapText="1"/>
    </xf>
    <xf numFmtId="165" fontId="7" fillId="3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>
      <alignment vertical="center"/>
    </xf>
    <xf numFmtId="3" fontId="15" fillId="6" borderId="2" xfId="3" applyNumberFormat="1" applyFont="1" applyFill="1" applyBorder="1" applyAlignment="1">
      <alignment vertical="center" wrapText="1"/>
    </xf>
    <xf numFmtId="3" fontId="11" fillId="0" borderId="0" xfId="3" applyNumberFormat="1" applyFont="1" applyAlignment="1">
      <alignment vertical="center" wrapText="1"/>
    </xf>
    <xf numFmtId="165" fontId="0" fillId="0" borderId="0" xfId="0" applyNumberFormat="1">
      <alignment vertical="center"/>
    </xf>
    <xf numFmtId="0" fontId="18" fillId="0" borderId="0" xfId="3" applyFont="1">
      <alignment vertical="center"/>
    </xf>
    <xf numFmtId="166" fontId="6" fillId="50" borderId="1" xfId="0" applyNumberFormat="1" applyFont="1" applyFill="1" applyBorder="1" applyAlignment="1">
      <alignment horizontal="right" vertical="center"/>
    </xf>
    <xf numFmtId="166" fontId="6" fillId="10" borderId="1" xfId="0" applyNumberFormat="1" applyFont="1" applyFill="1" applyBorder="1" applyAlignment="1">
      <alignment horizontal="right" vertical="center"/>
    </xf>
    <xf numFmtId="166" fontId="6" fillId="49" borderId="1" xfId="0" applyNumberFormat="1" applyFont="1" applyFill="1" applyBorder="1" applyAlignment="1">
      <alignment horizontal="right" vertical="center"/>
    </xf>
    <xf numFmtId="166" fontId="6" fillId="48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0" fontId="37" fillId="0" borderId="0" xfId="0" applyFont="1">
      <alignment vertical="center"/>
    </xf>
    <xf numFmtId="165" fontId="7" fillId="10" borderId="1" xfId="0" applyNumberFormat="1" applyFont="1" applyFill="1" applyBorder="1" applyAlignment="1">
      <alignment horizontal="right" vertical="center"/>
    </xf>
    <xf numFmtId="165" fontId="6" fillId="10" borderId="1" xfId="0" applyNumberFormat="1" applyFont="1" applyFill="1" applyBorder="1" applyAlignment="1">
      <alignment horizontal="right" vertical="center"/>
    </xf>
    <xf numFmtId="165" fontId="7" fillId="48" borderId="1" xfId="0" applyNumberFormat="1" applyFont="1" applyFill="1" applyBorder="1" applyAlignment="1">
      <alignment horizontal="right" vertical="center"/>
    </xf>
    <xf numFmtId="165" fontId="6" fillId="48" borderId="1" xfId="0" applyNumberFormat="1" applyFont="1" applyFill="1" applyBorder="1" applyAlignment="1">
      <alignment horizontal="right" vertical="center"/>
    </xf>
    <xf numFmtId="165" fontId="7" fillId="50" borderId="1" xfId="0" applyNumberFormat="1" applyFont="1" applyFill="1" applyBorder="1" applyAlignment="1">
      <alignment horizontal="right" vertical="center"/>
    </xf>
    <xf numFmtId="165" fontId="6" fillId="50" borderId="1" xfId="0" applyNumberFormat="1" applyFont="1" applyFill="1" applyBorder="1" applyAlignment="1">
      <alignment horizontal="right" vertical="center"/>
    </xf>
    <xf numFmtId="165" fontId="7" fillId="49" borderId="1" xfId="0" applyNumberFormat="1" applyFont="1" applyFill="1" applyBorder="1" applyAlignment="1">
      <alignment horizontal="right" vertical="center"/>
    </xf>
    <xf numFmtId="165" fontId="6" fillId="49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67" fontId="6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7" fontId="11" fillId="51" borderId="3" xfId="3" applyNumberFormat="1" applyFont="1" applyFill="1" applyBorder="1" applyAlignment="1">
      <alignment vertical="center" wrapText="1"/>
    </xf>
    <xf numFmtId="3" fontId="11" fillId="51" borderId="3" xfId="3" applyNumberFormat="1" applyFont="1" applyFill="1" applyBorder="1" applyAlignment="1">
      <alignment vertical="center" wrapText="1"/>
    </xf>
    <xf numFmtId="3" fontId="11" fillId="51" borderId="2" xfId="3" applyNumberFormat="1" applyFont="1" applyFill="1" applyBorder="1" applyAlignment="1">
      <alignment vertical="center" wrapText="1"/>
    </xf>
    <xf numFmtId="3" fontId="15" fillId="51" borderId="3" xfId="3" applyNumberFormat="1" applyFont="1" applyFill="1" applyBorder="1" applyAlignment="1">
      <alignment vertical="center" wrapText="1"/>
    </xf>
    <xf numFmtId="17" fontId="11" fillId="51" borderId="2" xfId="3" applyNumberFormat="1" applyFont="1" applyFill="1" applyBorder="1" applyAlignment="1">
      <alignment vertical="center" wrapText="1"/>
    </xf>
    <xf numFmtId="3" fontId="15" fillId="51" borderId="2" xfId="3" applyNumberFormat="1" applyFont="1" applyFill="1" applyBorder="1" applyAlignment="1">
      <alignment vertical="center" wrapText="1"/>
    </xf>
    <xf numFmtId="17" fontId="11" fillId="50" borderId="2" xfId="3" applyNumberFormat="1" applyFont="1" applyFill="1" applyBorder="1" applyAlignment="1">
      <alignment vertical="center" wrapText="1"/>
    </xf>
    <xf numFmtId="3" fontId="11" fillId="50" borderId="2" xfId="3" applyNumberFormat="1" applyFont="1" applyFill="1" applyBorder="1" applyAlignment="1">
      <alignment vertical="center" wrapText="1"/>
    </xf>
    <xf numFmtId="3" fontId="15" fillId="50" borderId="2" xfId="3" applyNumberFormat="1" applyFont="1" applyFill="1" applyBorder="1" applyAlignment="1">
      <alignment vertical="center" wrapText="1"/>
    </xf>
    <xf numFmtId="17" fontId="11" fillId="10" borderId="2" xfId="3" applyNumberFormat="1" applyFont="1" applyFill="1" applyBorder="1" applyAlignment="1">
      <alignment vertical="center" wrapText="1"/>
    </xf>
    <xf numFmtId="3" fontId="11" fillId="10" borderId="2" xfId="3" applyNumberFormat="1" applyFont="1" applyFill="1" applyBorder="1" applyAlignment="1">
      <alignment vertical="center" wrapText="1"/>
    </xf>
    <xf numFmtId="3" fontId="15" fillId="10" borderId="2" xfId="3" applyNumberFormat="1" applyFont="1" applyFill="1" applyBorder="1" applyAlignment="1">
      <alignment vertical="center" wrapText="1"/>
    </xf>
    <xf numFmtId="17" fontId="11" fillId="49" borderId="2" xfId="3" applyNumberFormat="1" applyFont="1" applyFill="1" applyBorder="1" applyAlignment="1">
      <alignment vertical="center" wrapText="1"/>
    </xf>
    <xf numFmtId="3" fontId="11" fillId="49" borderId="2" xfId="3" applyNumberFormat="1" applyFont="1" applyFill="1" applyBorder="1" applyAlignment="1">
      <alignment vertical="center" wrapText="1"/>
    </xf>
    <xf numFmtId="3" fontId="15" fillId="49" borderId="2" xfId="3" applyNumberFormat="1" applyFont="1" applyFill="1" applyBorder="1" applyAlignment="1">
      <alignment vertical="center" wrapText="1"/>
    </xf>
    <xf numFmtId="17" fontId="11" fillId="6" borderId="2" xfId="3" applyNumberFormat="1" applyFont="1" applyFill="1" applyBorder="1" applyAlignment="1">
      <alignment vertical="center" wrapText="1"/>
    </xf>
    <xf numFmtId="0" fontId="6" fillId="52" borderId="0" xfId="0" applyFont="1" applyFill="1" applyAlignment="1">
      <alignment horizontal="center" vertical="center" wrapText="1"/>
    </xf>
    <xf numFmtId="0" fontId="6" fillId="53" borderId="0" xfId="0" applyFont="1" applyFill="1" applyAlignment="1">
      <alignment horizontal="center" vertical="center" wrapText="1"/>
    </xf>
    <xf numFmtId="167" fontId="6" fillId="53" borderId="1" xfId="0" applyNumberFormat="1" applyFont="1" applyFill="1" applyBorder="1" applyAlignment="1">
      <alignment horizontal="center" vertical="center" wrapText="1"/>
    </xf>
    <xf numFmtId="0" fontId="8" fillId="13" borderId="0" xfId="0" applyFont="1" applyFill="1" applyAlignment="1">
      <alignment vertical="center" wrapText="1"/>
    </xf>
    <xf numFmtId="166" fontId="6" fillId="0" borderId="1" xfId="0" applyNumberFormat="1" applyFont="1" applyBorder="1" applyAlignment="1">
      <alignment horizontal="right" vertical="center"/>
    </xf>
    <xf numFmtId="170" fontId="0" fillId="0" borderId="0" xfId="2" applyNumberFormat="1" applyFont="1">
      <alignment vertical="center"/>
    </xf>
    <xf numFmtId="0" fontId="0" fillId="13" borderId="0" xfId="0" applyFill="1" applyAlignment="1">
      <alignment vertical="center" wrapText="1"/>
    </xf>
    <xf numFmtId="166" fontId="6" fillId="13" borderId="1" xfId="0" applyNumberFormat="1" applyFont="1" applyFill="1" applyBorder="1" applyAlignment="1">
      <alignment horizontal="center" vertical="center"/>
    </xf>
    <xf numFmtId="166" fontId="6" fillId="13" borderId="1" xfId="0" applyNumberFormat="1" applyFont="1" applyFill="1" applyBorder="1" applyAlignment="1">
      <alignment horizontal="center" vertical="center" wrapText="1"/>
    </xf>
    <xf numFmtId="3" fontId="38" fillId="49" borderId="2" xfId="3" applyNumberFormat="1" applyFont="1" applyFill="1" applyBorder="1" applyAlignment="1">
      <alignment vertical="center" wrapText="1"/>
    </xf>
    <xf numFmtId="3" fontId="11" fillId="51" borderId="17" xfId="3" applyNumberFormat="1" applyFont="1" applyFill="1" applyBorder="1" applyAlignment="1">
      <alignment vertical="center" wrapText="1"/>
    </xf>
    <xf numFmtId="3" fontId="11" fillId="10" borderId="17" xfId="3" applyNumberFormat="1" applyFont="1" applyFill="1" applyBorder="1" applyAlignment="1">
      <alignment vertical="center" wrapText="1"/>
    </xf>
    <xf numFmtId="3" fontId="11" fillId="6" borderId="17" xfId="3" applyNumberFormat="1" applyFont="1" applyFill="1" applyBorder="1" applyAlignment="1">
      <alignment vertical="center" wrapText="1"/>
    </xf>
    <xf numFmtId="3" fontId="11" fillId="49" borderId="17" xfId="3" applyNumberFormat="1" applyFont="1" applyFill="1" applyBorder="1" applyAlignment="1">
      <alignment vertical="center" wrapText="1"/>
    </xf>
    <xf numFmtId="3" fontId="11" fillId="50" borderId="17" xfId="3" applyNumberFormat="1" applyFont="1" applyFill="1" applyBorder="1" applyAlignment="1">
      <alignment vertical="center" wrapText="1"/>
    </xf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0" fillId="0" borderId="16" xfId="0" applyBorder="1" applyAlignment="1">
      <alignment vertical="top"/>
    </xf>
    <xf numFmtId="166" fontId="6" fillId="9" borderId="1" xfId="0" applyNumberFormat="1" applyFont="1" applyFill="1" applyBorder="1" applyAlignment="1">
      <alignment horizontal="right" vertical="center"/>
    </xf>
    <xf numFmtId="165" fontId="0" fillId="9" borderId="0" xfId="0" applyNumberFormat="1" applyFill="1">
      <alignment vertical="center"/>
    </xf>
    <xf numFmtId="166" fontId="6" fillId="0" borderId="0" xfId="0" applyNumberFormat="1" applyFont="1" applyAlignment="1">
      <alignment horizontal="right" vertical="center"/>
    </xf>
    <xf numFmtId="0" fontId="42" fillId="0" borderId="0" xfId="0" applyFont="1">
      <alignment vertical="center"/>
    </xf>
    <xf numFmtId="0" fontId="42" fillId="0" borderId="0" xfId="0" applyFont="1" applyAlignment="1">
      <alignment vertical="top"/>
    </xf>
    <xf numFmtId="0" fontId="42" fillId="0" borderId="0" xfId="0" applyFont="1" applyAlignment="1">
      <alignment vertical="center" wrapText="1"/>
    </xf>
    <xf numFmtId="0" fontId="0" fillId="10" borderId="0" xfId="0" applyFill="1" applyAlignment="1">
      <alignment vertical="top"/>
    </xf>
    <xf numFmtId="0" fontId="7" fillId="6" borderId="0" xfId="0" applyFont="1" applyFill="1" applyAlignment="1">
      <alignment vertical="top"/>
    </xf>
    <xf numFmtId="0" fontId="0" fillId="6" borderId="0" xfId="0" applyFill="1" applyAlignment="1">
      <alignment vertical="top"/>
    </xf>
    <xf numFmtId="0" fontId="7" fillId="49" borderId="0" xfId="0" applyFont="1" applyFill="1" applyAlignment="1">
      <alignment vertical="top"/>
    </xf>
    <xf numFmtId="0" fontId="0" fillId="49" borderId="0" xfId="0" applyFill="1" applyAlignment="1">
      <alignment vertical="top"/>
    </xf>
    <xf numFmtId="0" fontId="0" fillId="0" borderId="0" xfId="0" applyAlignment="1">
      <alignment horizontal="right" vertical="top"/>
    </xf>
    <xf numFmtId="3" fontId="11" fillId="51" borderId="18" xfId="3" applyNumberFormat="1" applyFont="1" applyFill="1" applyBorder="1" applyAlignment="1">
      <alignment vertical="center" wrapText="1"/>
    </xf>
    <xf numFmtId="3" fontId="11" fillId="10" borderId="18" xfId="3" applyNumberFormat="1" applyFont="1" applyFill="1" applyBorder="1" applyAlignment="1">
      <alignment vertical="center" wrapText="1"/>
    </xf>
    <xf numFmtId="3" fontId="11" fillId="6" borderId="18" xfId="3" applyNumberFormat="1" applyFont="1" applyFill="1" applyBorder="1" applyAlignment="1">
      <alignment vertical="center" wrapText="1"/>
    </xf>
    <xf numFmtId="3" fontId="11" fillId="49" borderId="18" xfId="3" applyNumberFormat="1" applyFont="1" applyFill="1" applyBorder="1" applyAlignment="1">
      <alignment vertical="center" wrapText="1"/>
    </xf>
    <xf numFmtId="3" fontId="11" fillId="50" borderId="18" xfId="3" applyNumberFormat="1" applyFont="1" applyFill="1" applyBorder="1" applyAlignment="1">
      <alignment vertical="center" wrapText="1"/>
    </xf>
    <xf numFmtId="0" fontId="38" fillId="0" borderId="0" xfId="3" applyFont="1" applyAlignment="1">
      <alignment vertical="center" wrapText="1"/>
    </xf>
    <xf numFmtId="165" fontId="7" fillId="10" borderId="19" xfId="0" applyNumberFormat="1" applyFont="1" applyFill="1" applyBorder="1" applyAlignment="1">
      <alignment horizontal="right" vertical="center"/>
    </xf>
    <xf numFmtId="0" fontId="14" fillId="49" borderId="0" xfId="0" applyFont="1" applyFill="1" applyAlignment="1">
      <alignment vertical="top"/>
    </xf>
    <xf numFmtId="0" fontId="14" fillId="0" borderId="0" xfId="0" applyFont="1" applyAlignment="1">
      <alignment vertical="top"/>
    </xf>
    <xf numFmtId="0" fontId="14" fillId="6" borderId="0" xfId="0" applyFont="1" applyFill="1" applyAlignment="1">
      <alignment vertical="top"/>
    </xf>
    <xf numFmtId="0" fontId="0" fillId="10" borderId="0" xfId="0" applyFill="1" applyAlignment="1">
      <alignment horizontal="right" vertical="top"/>
    </xf>
    <xf numFmtId="0" fontId="0" fillId="6" borderId="0" xfId="0" applyFill="1" applyAlignment="1">
      <alignment horizontal="right" vertical="top"/>
    </xf>
    <xf numFmtId="0" fontId="42" fillId="0" borderId="16" xfId="0" applyFont="1" applyBorder="1">
      <alignment vertical="center"/>
    </xf>
    <xf numFmtId="0" fontId="0" fillId="49" borderId="16" xfId="0" applyFill="1" applyBorder="1" applyAlignment="1">
      <alignment vertical="top"/>
    </xf>
    <xf numFmtId="0" fontId="7" fillId="49" borderId="16" xfId="0" applyFont="1" applyFill="1" applyBorder="1" applyAlignment="1">
      <alignment vertical="top"/>
    </xf>
    <xf numFmtId="0" fontId="7" fillId="0" borderId="16" xfId="0" applyFont="1" applyBorder="1" applyAlignment="1">
      <alignment vertical="top"/>
    </xf>
    <xf numFmtId="0" fontId="7" fillId="6" borderId="16" xfId="0" applyFont="1" applyFill="1" applyBorder="1" applyAlignment="1">
      <alignment vertical="top"/>
    </xf>
    <xf numFmtId="0" fontId="0" fillId="6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0" fillId="6" borderId="16" xfId="0" applyFill="1" applyBorder="1" applyAlignment="1">
      <alignment horizontal="right" vertical="top"/>
    </xf>
    <xf numFmtId="0" fontId="0" fillId="0" borderId="0" xfId="0" applyAlignment="1">
      <alignment vertical="top" wrapText="1"/>
    </xf>
    <xf numFmtId="17" fontId="15" fillId="50" borderId="2" xfId="3" applyNumberFormat="1" applyFont="1" applyFill="1" applyBorder="1" applyAlignment="1">
      <alignment vertical="center" wrapText="1"/>
    </xf>
    <xf numFmtId="3" fontId="15" fillId="50" borderId="18" xfId="3" applyNumberFormat="1" applyFont="1" applyFill="1" applyBorder="1" applyAlignment="1">
      <alignment vertical="center" wrapText="1"/>
    </xf>
    <xf numFmtId="3" fontId="15" fillId="50" borderId="17" xfId="3" applyNumberFormat="1" applyFont="1" applyFill="1" applyBorder="1" applyAlignment="1">
      <alignment vertical="center" wrapText="1"/>
    </xf>
    <xf numFmtId="3" fontId="15" fillId="6" borderId="17" xfId="3" applyNumberFormat="1" applyFont="1" applyFill="1" applyBorder="1" applyAlignment="1">
      <alignment vertical="center" wrapText="1"/>
    </xf>
    <xf numFmtId="0" fontId="14" fillId="6" borderId="0" xfId="0" applyFont="1" applyFill="1" applyAlignment="1">
      <alignment horizontal="right" vertical="top"/>
    </xf>
    <xf numFmtId="166" fontId="6" fillId="53" borderId="1" xfId="0" applyNumberFormat="1" applyFont="1" applyFill="1" applyBorder="1" applyAlignment="1">
      <alignment horizontal="right" vertical="center"/>
    </xf>
    <xf numFmtId="165" fontId="6" fillId="53" borderId="1" xfId="0" applyNumberFormat="1" applyFont="1" applyFill="1" applyBorder="1" applyAlignment="1">
      <alignment horizontal="right" vertical="center"/>
    </xf>
    <xf numFmtId="165" fontId="7" fillId="53" borderId="1" xfId="0" applyNumberFormat="1" applyFont="1" applyFill="1" applyBorder="1" applyAlignment="1">
      <alignment horizontal="right" vertical="center"/>
    </xf>
    <xf numFmtId="3" fontId="15" fillId="10" borderId="17" xfId="3" applyNumberFormat="1" applyFont="1" applyFill="1" applyBorder="1" applyAlignment="1">
      <alignment vertical="center" wrapText="1"/>
    </xf>
    <xf numFmtId="3" fontId="11" fillId="51" borderId="16" xfId="3" applyNumberFormat="1" applyFont="1" applyFill="1" applyBorder="1" applyAlignment="1">
      <alignment vertical="center" wrapText="1"/>
    </xf>
    <xf numFmtId="3" fontId="11" fillId="51" borderId="15" xfId="3" applyNumberFormat="1" applyFont="1" applyFill="1" applyBorder="1" applyAlignment="1">
      <alignment vertical="center" wrapText="1"/>
    </xf>
    <xf numFmtId="165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wrapText="1"/>
    </xf>
    <xf numFmtId="166" fontId="6" fillId="0" borderId="1" xfId="0" applyNumberFormat="1" applyFont="1" applyBorder="1" applyAlignment="1">
      <alignment horizontal="right" vertical="center" wrapText="1"/>
    </xf>
    <xf numFmtId="168" fontId="0" fillId="0" borderId="0" xfId="0" applyNumberFormat="1" applyAlignment="1">
      <alignment horizontal="right" vertical="center"/>
    </xf>
    <xf numFmtId="3" fontId="0" fillId="6" borderId="0" xfId="0" applyNumberFormat="1" applyFill="1" applyAlignment="1">
      <alignment vertical="top"/>
    </xf>
    <xf numFmtId="3" fontId="0" fillId="6" borderId="0" xfId="0" applyNumberFormat="1" applyFill="1" applyAlignment="1">
      <alignment horizontal="right" vertical="top"/>
    </xf>
    <xf numFmtId="17" fontId="11" fillId="52" borderId="2" xfId="3" applyNumberFormat="1" applyFont="1" applyFill="1" applyBorder="1" applyAlignment="1">
      <alignment vertical="center" wrapText="1"/>
    </xf>
    <xf numFmtId="3" fontId="15" fillId="52" borderId="2" xfId="3" applyNumberFormat="1" applyFont="1" applyFill="1" applyBorder="1" applyAlignment="1">
      <alignment vertical="center" wrapText="1"/>
    </xf>
    <xf numFmtId="3" fontId="11" fillId="52" borderId="18" xfId="3" applyNumberFormat="1" applyFont="1" applyFill="1" applyBorder="1" applyAlignment="1">
      <alignment vertical="center" wrapText="1"/>
    </xf>
    <xf numFmtId="3" fontId="15" fillId="52" borderId="17" xfId="3" applyNumberFormat="1" applyFont="1" applyFill="1" applyBorder="1" applyAlignment="1">
      <alignment vertical="center" wrapText="1"/>
    </xf>
    <xf numFmtId="165" fontId="11" fillId="9" borderId="0" xfId="1" applyNumberFormat="1" applyFont="1" applyFill="1" applyAlignment="1">
      <alignment horizontal="center" vertical="center" wrapText="1"/>
    </xf>
    <xf numFmtId="0" fontId="0" fillId="16" borderId="0" xfId="0" applyFill="1">
      <alignment vertical="center"/>
    </xf>
    <xf numFmtId="3" fontId="11" fillId="9" borderId="3" xfId="3" applyNumberFormat="1" applyFont="1" applyFill="1" applyBorder="1" applyAlignment="1">
      <alignment vertical="center" wrapText="1"/>
    </xf>
    <xf numFmtId="3" fontId="11" fillId="9" borderId="2" xfId="3" applyNumberFormat="1" applyFont="1" applyFill="1" applyBorder="1" applyAlignment="1">
      <alignment vertical="center" wrapText="1"/>
    </xf>
    <xf numFmtId="169" fontId="0" fillId="16" borderId="0" xfId="0" applyNumberFormat="1" applyFill="1">
      <alignment vertical="center"/>
    </xf>
    <xf numFmtId="165" fontId="0" fillId="16" borderId="0" xfId="0" applyNumberFormat="1" applyFill="1">
      <alignment vertical="center"/>
    </xf>
    <xf numFmtId="170" fontId="0" fillId="16" borderId="0" xfId="2" applyNumberFormat="1" applyFont="1" applyFill="1">
      <alignment vertical="center"/>
    </xf>
    <xf numFmtId="165" fontId="0" fillId="2" borderId="0" xfId="0" applyNumberFormat="1" applyFill="1">
      <alignment vertical="center"/>
    </xf>
    <xf numFmtId="0" fontId="0" fillId="9" borderId="0" xfId="0" applyFill="1" applyAlignment="1">
      <alignment horizontal="right" vertical="center"/>
    </xf>
    <xf numFmtId="0" fontId="0" fillId="49" borderId="0" xfId="0" applyFill="1" applyAlignment="1">
      <alignment horizontal="right" vertical="top"/>
    </xf>
    <xf numFmtId="0" fontId="0" fillId="49" borderId="16" xfId="0" applyFill="1" applyBorder="1" applyAlignment="1">
      <alignment horizontal="right" vertical="top"/>
    </xf>
    <xf numFmtId="3" fontId="0" fillId="49" borderId="0" xfId="0" applyNumberFormat="1" applyFill="1" applyAlignment="1">
      <alignment vertical="top"/>
    </xf>
    <xf numFmtId="3" fontId="0" fillId="49" borderId="0" xfId="0" applyNumberFormat="1" applyFill="1" applyAlignment="1">
      <alignment horizontal="right" vertical="top"/>
    </xf>
    <xf numFmtId="0" fontId="14" fillId="49" borderId="0" xfId="0" applyFont="1" applyFill="1" applyAlignment="1">
      <alignment horizontal="right" vertical="top"/>
    </xf>
    <xf numFmtId="0" fontId="0" fillId="0" borderId="5" xfId="0" applyBorder="1" applyAlignment="1">
      <alignment vertical="top"/>
    </xf>
    <xf numFmtId="165" fontId="7" fillId="16" borderId="0" xfId="0" applyNumberFormat="1" applyFont="1" applyFill="1" applyAlignment="1">
      <alignment horizontal="right" vertical="center"/>
    </xf>
    <xf numFmtId="167" fontId="6" fillId="52" borderId="30" xfId="0" applyNumberFormat="1" applyFont="1" applyFill="1" applyBorder="1" applyAlignment="1">
      <alignment horizontal="center" vertical="center" wrapText="1"/>
    </xf>
    <xf numFmtId="167" fontId="6" fillId="76" borderId="2" xfId="0" applyNumberFormat="1" applyFont="1" applyFill="1" applyBorder="1" applyAlignment="1">
      <alignment horizontal="center" vertical="center" wrapText="1"/>
    </xf>
    <xf numFmtId="165" fontId="7" fillId="50" borderId="1" xfId="0" quotePrefix="1" applyNumberFormat="1" applyFont="1" applyFill="1" applyBorder="1" applyAlignment="1">
      <alignment horizontal="right" vertical="center"/>
    </xf>
    <xf numFmtId="0" fontId="15" fillId="9" borderId="0" xfId="3" applyFont="1" applyFill="1" applyAlignment="1">
      <alignment horizontal="center" vertical="center" wrapText="1"/>
    </xf>
    <xf numFmtId="9" fontId="15" fillId="9" borderId="0" xfId="2" applyFont="1" applyFill="1" applyAlignment="1">
      <alignment horizontal="center" vertical="center" wrapText="1"/>
    </xf>
    <xf numFmtId="0" fontId="15" fillId="0" borderId="0" xfId="3" applyFont="1" applyAlignment="1">
      <alignment vertical="center" wrapText="1"/>
    </xf>
    <xf numFmtId="0" fontId="63" fillId="50" borderId="2" xfId="0" applyFont="1" applyFill="1" applyBorder="1" applyAlignment="1">
      <alignment horizontal="right" vertical="center" wrapText="1"/>
    </xf>
    <xf numFmtId="3" fontId="15" fillId="49" borderId="17" xfId="3" applyNumberFormat="1" applyFont="1" applyFill="1" applyBorder="1" applyAlignment="1">
      <alignment vertical="center" wrapText="1"/>
    </xf>
    <xf numFmtId="17" fontId="0" fillId="6" borderId="0" xfId="0" applyNumberFormat="1" applyFill="1" applyAlignment="1">
      <alignment vertical="top"/>
    </xf>
    <xf numFmtId="0" fontId="0" fillId="9" borderId="0" xfId="0" quotePrefix="1" applyFill="1" applyAlignment="1">
      <alignment horizontal="center" vertical="top"/>
    </xf>
    <xf numFmtId="0" fontId="0" fillId="9" borderId="16" xfId="0" quotePrefix="1" applyFill="1" applyBorder="1" applyAlignment="1">
      <alignment horizontal="center" vertical="top"/>
    </xf>
    <xf numFmtId="0" fontId="0" fillId="9" borderId="0" xfId="0" applyFill="1" applyAlignment="1">
      <alignment vertical="top"/>
    </xf>
    <xf numFmtId="3" fontId="0" fillId="9" borderId="0" xfId="0" applyNumberFormat="1" applyFill="1" applyAlignment="1">
      <alignment vertical="top"/>
    </xf>
    <xf numFmtId="3" fontId="0" fillId="9" borderId="0" xfId="0" quotePrefix="1" applyNumberFormat="1" applyFill="1" applyAlignment="1">
      <alignment vertical="top"/>
    </xf>
    <xf numFmtId="0" fontId="0" fillId="9" borderId="0" xfId="0" quotePrefix="1" applyFill="1" applyAlignment="1">
      <alignment vertical="top"/>
    </xf>
    <xf numFmtId="3" fontId="0" fillId="9" borderId="0" xfId="0" applyNumberFormat="1" applyFill="1" applyAlignment="1">
      <alignment horizontal="right" vertical="top"/>
    </xf>
    <xf numFmtId="0" fontId="0" fillId="9" borderId="0" xfId="0" applyFill="1" applyAlignment="1">
      <alignment horizontal="right" vertical="top"/>
    </xf>
    <xf numFmtId="0" fontId="14" fillId="9" borderId="0" xfId="0" applyFont="1" applyFill="1" applyAlignment="1">
      <alignment horizontal="right" vertical="top"/>
    </xf>
    <xf numFmtId="0" fontId="0" fillId="9" borderId="16" xfId="0" applyFill="1" applyBorder="1" applyAlignment="1">
      <alignment vertical="top"/>
    </xf>
    <xf numFmtId="170" fontId="0" fillId="0" borderId="0" xfId="2" applyNumberFormat="1" applyFont="1" applyFill="1">
      <alignment vertical="center"/>
    </xf>
    <xf numFmtId="3" fontId="64" fillId="9" borderId="0" xfId="0" applyNumberFormat="1" applyFont="1" applyFill="1" applyAlignment="1">
      <alignment vertical="top"/>
    </xf>
    <xf numFmtId="0" fontId="64" fillId="9" borderId="0" xfId="0" applyFont="1" applyFill="1" applyAlignment="1">
      <alignment horizontal="right" vertical="top"/>
    </xf>
    <xf numFmtId="3" fontId="64" fillId="9" borderId="0" xfId="0" applyNumberFormat="1" applyFont="1" applyFill="1" applyAlignment="1">
      <alignment horizontal="right" vertical="top"/>
    </xf>
    <xf numFmtId="0" fontId="64" fillId="9" borderId="0" xfId="0" applyFont="1" applyFill="1" applyAlignment="1">
      <alignment vertical="top"/>
    </xf>
    <xf numFmtId="0" fontId="65" fillId="0" borderId="0" xfId="108">
      <alignment vertical="center"/>
    </xf>
    <xf numFmtId="0" fontId="0" fillId="0" borderId="0" xfId="0" applyAlignment="1">
      <alignment horizontal="center" vertical="top"/>
    </xf>
    <xf numFmtId="0" fontId="66" fillId="49" borderId="2" xfId="0" applyFont="1" applyFill="1" applyBorder="1" applyAlignment="1">
      <alignment horizontal="right" vertical="center" wrapText="1"/>
    </xf>
    <xf numFmtId="0" fontId="64" fillId="5" borderId="0" xfId="0" applyFont="1" applyFill="1" applyAlignment="1">
      <alignment vertical="top"/>
    </xf>
    <xf numFmtId="17" fontId="11" fillId="77" borderId="2" xfId="3" applyNumberFormat="1" applyFont="1" applyFill="1" applyBorder="1" applyAlignment="1">
      <alignment vertical="center" wrapText="1"/>
    </xf>
    <xf numFmtId="3" fontId="15" fillId="77" borderId="2" xfId="3" applyNumberFormat="1" applyFont="1" applyFill="1" applyBorder="1" applyAlignment="1">
      <alignment vertical="center" wrapText="1"/>
    </xf>
    <xf numFmtId="3" fontId="11" fillId="77" borderId="18" xfId="3" applyNumberFormat="1" applyFont="1" applyFill="1" applyBorder="1" applyAlignment="1">
      <alignment vertical="center" wrapText="1"/>
    </xf>
    <xf numFmtId="3" fontId="15" fillId="77" borderId="17" xfId="3" applyNumberFormat="1" applyFont="1" applyFill="1" applyBorder="1" applyAlignment="1">
      <alignment vertical="center" wrapText="1"/>
    </xf>
    <xf numFmtId="166" fontId="6" fillId="77" borderId="1" xfId="0" applyNumberFormat="1" applyFont="1" applyFill="1" applyBorder="1" applyAlignment="1">
      <alignment horizontal="right" vertical="center"/>
    </xf>
    <xf numFmtId="165" fontId="6" fillId="77" borderId="1" xfId="0" applyNumberFormat="1" applyFont="1" applyFill="1" applyBorder="1" applyAlignment="1">
      <alignment horizontal="right" vertical="center"/>
    </xf>
    <xf numFmtId="165" fontId="7" fillId="77" borderId="1" xfId="0" applyNumberFormat="1" applyFont="1" applyFill="1" applyBorder="1" applyAlignment="1">
      <alignment horizontal="right" vertical="center"/>
    </xf>
    <xf numFmtId="0" fontId="64" fillId="7" borderId="0" xfId="0" applyFont="1" applyFill="1" applyAlignment="1">
      <alignment horizontal="right" vertical="top"/>
    </xf>
    <xf numFmtId="3" fontId="64" fillId="7" borderId="0" xfId="0" applyNumberFormat="1" applyFont="1" applyFill="1" applyAlignment="1">
      <alignment vertical="top"/>
    </xf>
    <xf numFmtId="0" fontId="14" fillId="9" borderId="0" xfId="0" applyFont="1" applyFill="1" applyAlignment="1">
      <alignment vertical="top"/>
    </xf>
    <xf numFmtId="0" fontId="67" fillId="9" borderId="0" xfId="0" applyFont="1" applyFill="1" applyAlignment="1">
      <alignment vertical="top"/>
    </xf>
    <xf numFmtId="0" fontId="0" fillId="8" borderId="0" xfId="0" applyFill="1" applyAlignment="1">
      <alignment vertical="top"/>
    </xf>
    <xf numFmtId="0" fontId="0" fillId="0" borderId="0" xfId="0" applyAlignment="1">
      <alignment horizontal="center" vertical="top" wrapText="1"/>
    </xf>
    <xf numFmtId="0" fontId="0" fillId="9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14" fillId="0" borderId="2" xfId="0" applyFont="1" applyBorder="1" applyAlignment="1">
      <alignment horizontal="center" vertical="top"/>
    </xf>
    <xf numFmtId="0" fontId="4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7" fillId="3" borderId="0" xfId="0" applyNumberFormat="1" applyFont="1" applyFill="1" applyAlignment="1">
      <alignment horizontal="center" vertical="center"/>
    </xf>
    <xf numFmtId="165" fontId="7" fillId="10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65" fontId="7" fillId="50" borderId="0" xfId="0" applyNumberFormat="1" applyFont="1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165" fontId="7" fillId="49" borderId="0" xfId="0" applyNumberFormat="1" applyFont="1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165" fontId="7" fillId="48" borderId="0" xfId="0" applyNumberFormat="1" applyFont="1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5" fontId="7" fillId="53" borderId="0" xfId="0" applyNumberFormat="1" applyFont="1" applyFill="1" applyAlignment="1">
      <alignment horizontal="center" vertical="center"/>
    </xf>
    <xf numFmtId="165" fontId="7" fillId="77" borderId="0" xfId="0" applyNumberFormat="1" applyFont="1" applyFill="1" applyAlignment="1">
      <alignment horizontal="center" vertical="center"/>
    </xf>
    <xf numFmtId="10" fontId="7" fillId="53" borderId="0" xfId="0" applyNumberFormat="1" applyFont="1" applyFill="1" applyAlignment="1">
      <alignment horizontal="right" vertical="center"/>
    </xf>
    <xf numFmtId="10" fontId="7" fillId="50" borderId="0" xfId="0" applyNumberFormat="1" applyFont="1" applyFill="1" applyAlignment="1">
      <alignment horizontal="right" vertical="center"/>
    </xf>
    <xf numFmtId="10" fontId="7" fillId="49" borderId="0" xfId="0" applyNumberFormat="1" applyFont="1" applyFill="1" applyAlignment="1">
      <alignment horizontal="right" vertical="center"/>
    </xf>
    <xf numFmtId="10" fontId="7" fillId="77" borderId="0" xfId="0" applyNumberFormat="1" applyFont="1" applyFill="1" applyAlignment="1">
      <alignment horizontal="right" vertical="center"/>
    </xf>
    <xf numFmtId="0" fontId="0" fillId="12" borderId="0" xfId="0" applyFill="1" applyAlignment="1">
      <alignment vertical="top"/>
    </xf>
    <xf numFmtId="171" fontId="0" fillId="0" borderId="0" xfId="2" applyNumberFormat="1" applyFont="1">
      <alignment vertical="center"/>
    </xf>
    <xf numFmtId="3" fontId="15" fillId="49" borderId="29" xfId="3" applyNumberFormat="1" applyFont="1" applyFill="1" applyBorder="1" applyAlignment="1">
      <alignment vertical="center" wrapText="1"/>
    </xf>
    <xf numFmtId="165" fontId="11" fillId="9" borderId="0" xfId="1" applyNumberFormat="1" applyFont="1" applyFill="1" applyBorder="1" applyAlignment="1">
      <alignment horizontal="center" vertical="center" wrapText="1"/>
    </xf>
    <xf numFmtId="9" fontId="15" fillId="9" borderId="0" xfId="2" applyFont="1" applyFill="1" applyBorder="1" applyAlignment="1">
      <alignment horizontal="center" vertical="center" wrapText="1"/>
    </xf>
    <xf numFmtId="0" fontId="11" fillId="0" borderId="0" xfId="3" applyFont="1" applyAlignment="1">
      <alignment horizontal="right" vertical="center" wrapText="1"/>
    </xf>
    <xf numFmtId="3" fontId="11" fillId="51" borderId="3" xfId="3" applyNumberFormat="1" applyFont="1" applyFill="1" applyBorder="1" applyAlignment="1">
      <alignment horizontal="right" vertical="center" wrapText="1"/>
    </xf>
    <xf numFmtId="3" fontId="15" fillId="10" borderId="2" xfId="3" applyNumberFormat="1" applyFont="1" applyFill="1" applyBorder="1" applyAlignment="1">
      <alignment horizontal="right" vertical="center" wrapText="1"/>
    </xf>
    <xf numFmtId="3" fontId="11" fillId="6" borderId="2" xfId="3" applyNumberFormat="1" applyFont="1" applyFill="1" applyBorder="1" applyAlignment="1">
      <alignment horizontal="right" vertical="center" wrapText="1"/>
    </xf>
    <xf numFmtId="3" fontId="15" fillId="49" borderId="2" xfId="3" applyNumberFormat="1" applyFont="1" applyFill="1" applyBorder="1" applyAlignment="1">
      <alignment horizontal="right" vertical="center" wrapText="1"/>
    </xf>
    <xf numFmtId="3" fontId="11" fillId="50" borderId="2" xfId="3" applyNumberFormat="1" applyFont="1" applyFill="1" applyBorder="1" applyAlignment="1">
      <alignment horizontal="right" vertical="center" wrapText="1"/>
    </xf>
    <xf numFmtId="3" fontId="11" fillId="6" borderId="17" xfId="3" applyNumberFormat="1" applyFont="1" applyFill="1" applyBorder="1" applyAlignment="1">
      <alignment horizontal="right" vertical="center" wrapText="1"/>
    </xf>
    <xf numFmtId="3" fontId="15" fillId="52" borderId="2" xfId="3" applyNumberFormat="1" applyFont="1" applyFill="1" applyBorder="1" applyAlignment="1">
      <alignment horizontal="right" vertical="center" wrapText="1"/>
    </xf>
    <xf numFmtId="165" fontId="11" fillId="9" borderId="0" xfId="1" applyNumberFormat="1" applyFont="1" applyFill="1" applyAlignment="1">
      <alignment horizontal="right" vertical="center" wrapText="1"/>
    </xf>
    <xf numFmtId="0" fontId="62" fillId="12" borderId="0" xfId="0" applyFont="1" applyFill="1" applyAlignment="1">
      <alignment horizontal="center" vertical="center"/>
    </xf>
    <xf numFmtId="0" fontId="0" fillId="12" borderId="4" xfId="0" applyFill="1" applyBorder="1" applyAlignment="1">
      <alignment horizontal="center" vertical="top"/>
    </xf>
    <xf numFmtId="0" fontId="0" fillId="12" borderId="17" xfId="0" applyFill="1" applyBorder="1" applyAlignment="1">
      <alignment horizontal="center" vertical="top"/>
    </xf>
    <xf numFmtId="0" fontId="12" fillId="9" borderId="31" xfId="3" applyFont="1" applyFill="1" applyBorder="1" applyAlignment="1">
      <alignment horizontal="center" vertical="center" wrapText="1"/>
    </xf>
    <xf numFmtId="0" fontId="12" fillId="4" borderId="31" xfId="3" applyFont="1" applyFill="1" applyBorder="1" applyAlignment="1">
      <alignment horizontal="center" vertical="center" wrapText="1"/>
    </xf>
    <xf numFmtId="0" fontId="12" fillId="13" borderId="31" xfId="3" applyFont="1" applyFill="1" applyBorder="1" applyAlignment="1">
      <alignment horizontal="center" vertical="center" wrapText="1"/>
    </xf>
    <xf numFmtId="0" fontId="16" fillId="13" borderId="31" xfId="3" applyFont="1" applyFill="1" applyBorder="1" applyAlignment="1">
      <alignment horizontal="center" vertical="center" wrapText="1"/>
    </xf>
    <xf numFmtId="0" fontId="12" fillId="11" borderId="31" xfId="3" applyFont="1" applyFill="1" applyBorder="1" applyAlignment="1">
      <alignment horizontal="center" vertical="center" wrapText="1"/>
    </xf>
    <xf numFmtId="0" fontId="16" fillId="11" borderId="31" xfId="3" applyFont="1" applyFill="1" applyBorder="1" applyAlignment="1">
      <alignment horizontal="center" vertical="center" wrapText="1"/>
    </xf>
    <xf numFmtId="0" fontId="12" fillId="12" borderId="31" xfId="3" applyFont="1" applyFill="1" applyBorder="1" applyAlignment="1">
      <alignment horizontal="center" vertical="center" wrapText="1"/>
    </xf>
    <xf numFmtId="0" fontId="12" fillId="14" borderId="31" xfId="3" applyFont="1" applyFill="1" applyBorder="1" applyAlignment="1">
      <alignment horizontal="center" vertical="center" wrapText="1"/>
    </xf>
    <xf numFmtId="0" fontId="17" fillId="15" borderId="31" xfId="3" applyFont="1" applyFill="1" applyBorder="1" applyAlignment="1">
      <alignment horizontal="center" vertical="center" wrapText="1"/>
    </xf>
    <xf numFmtId="0" fontId="12" fillId="13" borderId="32" xfId="3" applyFont="1" applyFill="1" applyBorder="1" applyAlignment="1">
      <alignment horizontal="center" vertical="center" wrapText="1"/>
    </xf>
    <xf numFmtId="0" fontId="12" fillId="12" borderId="32" xfId="3" applyFont="1" applyFill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0" fillId="6" borderId="0" xfId="0" applyFill="1">
      <alignment vertical="center"/>
    </xf>
    <xf numFmtId="0" fontId="0" fillId="10" borderId="0" xfId="0" applyFill="1">
      <alignment vertical="center"/>
    </xf>
    <xf numFmtId="0" fontId="0" fillId="6" borderId="0" xfId="0" applyFill="1" applyAlignment="1">
      <alignment horizontal="right" vertical="center"/>
    </xf>
    <xf numFmtId="0" fontId="14" fillId="6" borderId="0" xfId="0" applyFont="1" applyFill="1" applyAlignment="1">
      <alignment horizontal="right" vertical="center"/>
    </xf>
    <xf numFmtId="0" fontId="14" fillId="49" borderId="0" xfId="0" applyFont="1" applyFill="1" applyAlignment="1">
      <alignment horizontal="right" vertical="center"/>
    </xf>
    <xf numFmtId="0" fontId="64" fillId="9" borderId="0" xfId="0" applyFont="1" applyFill="1" applyAlignment="1">
      <alignment horizontal="right" vertical="center"/>
    </xf>
    <xf numFmtId="0" fontId="64" fillId="9" borderId="0" xfId="0" applyFont="1" applyFill="1">
      <alignment vertical="center"/>
    </xf>
    <xf numFmtId="0" fontId="67" fillId="9" borderId="0" xfId="0" applyFont="1" applyFill="1">
      <alignment vertical="center"/>
    </xf>
    <xf numFmtId="0" fontId="0" fillId="9" borderId="0" xfId="0" applyFill="1">
      <alignment vertical="center"/>
    </xf>
    <xf numFmtId="0" fontId="42" fillId="9" borderId="0" xfId="0" applyFont="1" applyFill="1">
      <alignment vertical="center"/>
    </xf>
    <xf numFmtId="0" fontId="0" fillId="49" borderId="0" xfId="0" applyFill="1">
      <alignment vertical="center"/>
    </xf>
    <xf numFmtId="0" fontId="14" fillId="49" borderId="0" xfId="0" applyFont="1" applyFill="1">
      <alignment vertical="center"/>
    </xf>
    <xf numFmtId="0" fontId="14" fillId="6" borderId="0" xfId="0" applyFont="1" applyFill="1">
      <alignment vertical="center"/>
    </xf>
    <xf numFmtId="0" fontId="14" fillId="9" borderId="0" xfId="0" applyFont="1" applyFill="1">
      <alignment vertical="center"/>
    </xf>
    <xf numFmtId="0" fontId="42" fillId="78" borderId="2" xfId="0" applyFont="1" applyFill="1" applyBorder="1" applyAlignment="1">
      <alignment vertical="center" wrapText="1"/>
    </xf>
    <xf numFmtId="3" fontId="11" fillId="51" borderId="33" xfId="3" applyNumberFormat="1" applyFont="1" applyFill="1" applyBorder="1" applyAlignment="1">
      <alignment vertical="center" wrapText="1"/>
    </xf>
    <xf numFmtId="0" fontId="12" fillId="13" borderId="34" xfId="3" applyFont="1" applyFill="1" applyBorder="1" applyAlignment="1">
      <alignment horizontal="center" vertical="center" wrapText="1"/>
    </xf>
    <xf numFmtId="0" fontId="12" fillId="9" borderId="34" xfId="3" applyFont="1" applyFill="1" applyBorder="1" applyAlignment="1">
      <alignment horizontal="center" vertical="center" wrapText="1"/>
    </xf>
    <xf numFmtId="0" fontId="12" fillId="12" borderId="34" xfId="3" applyFont="1" applyFill="1" applyBorder="1" applyAlignment="1">
      <alignment horizontal="center" vertical="center" wrapText="1"/>
    </xf>
    <xf numFmtId="167" fontId="6" fillId="76" borderId="17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167" fontId="6" fillId="4" borderId="2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14" fillId="0" borderId="17" xfId="0" applyFont="1" applyBorder="1" applyAlignment="1">
      <alignment horizontal="center" vertical="top"/>
    </xf>
    <xf numFmtId="0" fontId="62" fillId="0" borderId="17" xfId="0" applyFont="1" applyBorder="1" applyAlignment="1">
      <alignment horizontal="center" vertical="center"/>
    </xf>
    <xf numFmtId="0" fontId="62" fillId="12" borderId="17" xfId="0" applyFont="1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top"/>
    </xf>
    <xf numFmtId="0" fontId="62" fillId="12" borderId="17" xfId="0" applyFont="1" applyFill="1" applyBorder="1" applyAlignment="1">
      <alignment horizontal="center" vertical="center" wrapText="1"/>
    </xf>
    <xf numFmtId="0" fontId="42" fillId="12" borderId="17" xfId="0" applyFont="1" applyFill="1" applyBorder="1" applyAlignment="1">
      <alignment horizontal="center" vertical="center" wrapText="1"/>
    </xf>
    <xf numFmtId="0" fontId="42" fillId="12" borderId="17" xfId="0" applyFont="1" applyFill="1" applyBorder="1" applyAlignment="1">
      <alignment horizontal="center" vertical="center"/>
    </xf>
    <xf numFmtId="0" fontId="64" fillId="12" borderId="17" xfId="0" applyFont="1" applyFill="1" applyBorder="1" applyAlignment="1">
      <alignment horizontal="center" vertical="center"/>
    </xf>
    <xf numFmtId="0" fontId="68" fillId="12" borderId="17" xfId="0" applyFont="1" applyFill="1" applyBorder="1" applyAlignment="1">
      <alignment horizontal="center" vertical="top"/>
    </xf>
    <xf numFmtId="0" fontId="42" fillId="12" borderId="4" xfId="0" applyFont="1" applyFill="1" applyBorder="1" applyAlignment="1">
      <alignment horizontal="center" vertical="top"/>
    </xf>
    <xf numFmtId="0" fontId="42" fillId="12" borderId="17" xfId="0" applyFont="1" applyFill="1" applyBorder="1" applyAlignment="1">
      <alignment horizontal="center" vertical="top"/>
    </xf>
    <xf numFmtId="0" fontId="42" fillId="12" borderId="15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42" fillId="12" borderId="0" xfId="0" applyFont="1" applyFill="1" applyAlignment="1">
      <alignment horizontal="center" vertical="top"/>
    </xf>
    <xf numFmtId="0" fontId="42" fillId="12" borderId="0" xfId="0" applyFont="1" applyFill="1" applyAlignment="1">
      <alignment horizontal="right" vertical="center"/>
    </xf>
    <xf numFmtId="0" fontId="12" fillId="79" borderId="34" xfId="3" applyFont="1" applyFill="1" applyBorder="1" applyAlignment="1">
      <alignment horizontal="center" vertical="center" wrapText="1"/>
    </xf>
    <xf numFmtId="0" fontId="8" fillId="7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9" fillId="0" borderId="0" xfId="0" applyFont="1" applyAlignment="1">
      <alignment horizontal="right" vertical="center"/>
    </xf>
    <xf numFmtId="0" fontId="0" fillId="49" borderId="0" xfId="0" applyFill="1" applyAlignment="1">
      <alignment horizontal="right" vertical="center"/>
    </xf>
    <xf numFmtId="0" fontId="39" fillId="6" borderId="0" xfId="0" applyFont="1" applyFill="1">
      <alignment vertical="center"/>
    </xf>
    <xf numFmtId="0" fontId="39" fillId="0" borderId="0" xfId="0" applyFont="1">
      <alignment vertical="center"/>
    </xf>
    <xf numFmtId="0" fontId="0" fillId="0" borderId="0" xfId="0">
      <alignment vertical="center"/>
    </xf>
  </cellXfs>
  <cellStyles count="110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20% - 輔色1 2" xfId="59" xr:uid="{00000000-0005-0000-0000-000001000000}"/>
    <cellStyle name="20% - 輔色2 2" xfId="58" xr:uid="{00000000-0005-0000-0000-000003000000}"/>
    <cellStyle name="20% - 輔色3 2" xfId="61" xr:uid="{00000000-0005-0000-0000-000005000000}"/>
    <cellStyle name="20% - 輔色4 2" xfId="62" xr:uid="{00000000-0005-0000-0000-000007000000}"/>
    <cellStyle name="20% - 輔色5 2" xfId="63" xr:uid="{00000000-0005-0000-0000-000009000000}"/>
    <cellStyle name="20% - 輔色6 2" xfId="64" xr:uid="{00000000-0005-0000-0000-00000B000000}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40% - 輔色1 2" xfId="65" xr:uid="{00000000-0005-0000-0000-00000D000000}"/>
    <cellStyle name="40% - 輔色2 2" xfId="66" xr:uid="{00000000-0005-0000-0000-00000F000000}"/>
    <cellStyle name="40% - 輔色3 2" xfId="67" xr:uid="{00000000-0005-0000-0000-000011000000}"/>
    <cellStyle name="40% - 輔色4 2" xfId="68" xr:uid="{00000000-0005-0000-0000-000013000000}"/>
    <cellStyle name="40% - 輔色5 2" xfId="69" xr:uid="{00000000-0005-0000-0000-000015000000}"/>
    <cellStyle name="40% - 輔色6 2" xfId="70" xr:uid="{00000000-0005-0000-0000-000017000000}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60% - 輔色1 2" xfId="71" xr:uid="{00000000-0005-0000-0000-000019000000}"/>
    <cellStyle name="60% - 輔色2 2" xfId="72" xr:uid="{00000000-0005-0000-0000-00001B000000}"/>
    <cellStyle name="60% - 輔色3 2" xfId="73" xr:uid="{00000000-0005-0000-0000-00001D000000}"/>
    <cellStyle name="60% - 輔色4 2" xfId="74" xr:uid="{00000000-0005-0000-0000-00001F000000}"/>
    <cellStyle name="60% - 輔色5 2" xfId="75" xr:uid="{00000000-0005-0000-0000-000021000000}"/>
    <cellStyle name="60% - 輔色6 2" xfId="76" xr:uid="{00000000-0005-0000-0000-000023000000}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/>
    <cellStyle name="Comma 2" xfId="4" xr:uid="{00000000-0005-0000-0000-000024000000}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" xfId="108" builtinId="8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2" xfId="3" xr:uid="{00000000-0005-0000-0000-000025000000}"/>
    <cellStyle name="Normal 2 2" xfId="77" xr:uid="{00000000-0005-0000-0000-000026000000}"/>
    <cellStyle name="Normal 4" xfId="5" xr:uid="{00000000-0005-0000-0000-000027000000}"/>
    <cellStyle name="Output" xfId="15" builtinId="21" customBuiltin="1"/>
    <cellStyle name="Per cent" xfId="2" builtinId="5"/>
    <cellStyle name="SAPBEXstdItem" xfId="57" xr:uid="{00000000-0005-0000-0000-000029000000}"/>
    <cellStyle name="Title" xfId="6" builtinId="15" customBuiltin="1"/>
    <cellStyle name="Total" xfId="21" builtinId="25" customBuiltin="1"/>
    <cellStyle name="Warning Text" xfId="19" builtinId="11" customBuiltin="1"/>
    <cellStyle name="一般 2" xfId="46" xr:uid="{00000000-0005-0000-0000-00002B000000}"/>
    <cellStyle name="一般 2 2" xfId="55" xr:uid="{00000000-0005-0000-0000-00002C000000}"/>
    <cellStyle name="一般 2 3" xfId="78" xr:uid="{00000000-0005-0000-0000-00002D000000}"/>
    <cellStyle name="一般 3" xfId="47" xr:uid="{00000000-0005-0000-0000-00002E000000}"/>
    <cellStyle name="一般 3 2" xfId="56" xr:uid="{00000000-0005-0000-0000-00002F000000}"/>
    <cellStyle name="一般 3 2 2" xfId="80" xr:uid="{00000000-0005-0000-0000-000030000000}"/>
    <cellStyle name="一般 3 3" xfId="79" xr:uid="{00000000-0005-0000-0000-000031000000}"/>
    <cellStyle name="一般 4" xfId="49" xr:uid="{00000000-0005-0000-0000-000032000000}"/>
    <cellStyle name="一般 4 2" xfId="81" xr:uid="{00000000-0005-0000-0000-000033000000}"/>
    <cellStyle name="一般 5" xfId="50" xr:uid="{00000000-0005-0000-0000-000034000000}"/>
    <cellStyle name="一般 5 2" xfId="82" xr:uid="{00000000-0005-0000-0000-000035000000}"/>
    <cellStyle name="一般 6" xfId="54" xr:uid="{00000000-0005-0000-0000-000036000000}"/>
    <cellStyle name="一般 7" xfId="60" xr:uid="{00000000-0005-0000-0000-000037000000}"/>
    <cellStyle name="一般 8" xfId="109" xr:uid="{00000000-0005-0000-0000-000038000000}"/>
    <cellStyle name="中等 2" xfId="84" xr:uid="{00000000-0005-0000-0000-00003D000000}"/>
    <cellStyle name="備註 2" xfId="48" xr:uid="{00000000-0005-0000-0000-00004A000000}"/>
    <cellStyle name="備註 2 2" xfId="90" xr:uid="{00000000-0005-0000-0000-00004B000000}"/>
    <cellStyle name="千分位 2" xfId="51" xr:uid="{00000000-0005-0000-0000-00003A000000}"/>
    <cellStyle name="千分位 3" xfId="83" xr:uid="{00000000-0005-0000-0000-00003B000000}"/>
    <cellStyle name="合計 2" xfId="85" xr:uid="{00000000-0005-0000-0000-00003F000000}"/>
    <cellStyle name="壞 2" xfId="106" xr:uid="{00000000-0005-0000-0000-00006C000000}"/>
    <cellStyle name="好 2" xfId="86" xr:uid="{00000000-0005-0000-0000-000041000000}"/>
    <cellStyle name="標題 1 2" xfId="98" xr:uid="{00000000-0005-0000-0000-00005D000000}"/>
    <cellStyle name="標題 2 2" xfId="99" xr:uid="{00000000-0005-0000-0000-00005F000000}"/>
    <cellStyle name="標題 3 2" xfId="100" xr:uid="{00000000-0005-0000-0000-000061000000}"/>
    <cellStyle name="標題 4 2" xfId="101" xr:uid="{00000000-0005-0000-0000-000063000000}"/>
    <cellStyle name="標題 5" xfId="102" xr:uid="{00000000-0005-0000-0000-000064000000}"/>
    <cellStyle name="檢查儲存格 2" xfId="105" xr:uid="{00000000-0005-0000-0000-00006A000000}"/>
    <cellStyle name="百分比 2" xfId="53" xr:uid="{00000000-0005-0000-0000-000043000000}"/>
    <cellStyle name="百分比 3" xfId="87" xr:uid="{00000000-0005-0000-0000-000044000000}"/>
    <cellStyle name="計算方式 2" xfId="88" xr:uid="{00000000-0005-0000-0000-000046000000}"/>
    <cellStyle name="說明文字 2" xfId="91" xr:uid="{00000000-0005-0000-0000-00004E000000}"/>
    <cellStyle name="警告文字 2" xfId="107" xr:uid="{00000000-0005-0000-0000-00006E000000}"/>
    <cellStyle name="貨幣 2" xfId="52" xr:uid="{00000000-0005-0000-0000-000047000000}"/>
    <cellStyle name="輔色1 2" xfId="92" xr:uid="{00000000-0005-0000-0000-000050000000}"/>
    <cellStyle name="輔色2 2" xfId="93" xr:uid="{00000000-0005-0000-0000-000052000000}"/>
    <cellStyle name="輔色3 2" xfId="94" xr:uid="{00000000-0005-0000-0000-000054000000}"/>
    <cellStyle name="輔色4 2" xfId="95" xr:uid="{00000000-0005-0000-0000-000056000000}"/>
    <cellStyle name="輔色5 2" xfId="96" xr:uid="{00000000-0005-0000-0000-000058000000}"/>
    <cellStyle name="輔色6 2" xfId="97" xr:uid="{00000000-0005-0000-0000-00005A000000}"/>
    <cellStyle name="輸入 2" xfId="103" xr:uid="{00000000-0005-0000-0000-000066000000}"/>
    <cellStyle name="輸出 2" xfId="104" xr:uid="{00000000-0005-0000-0000-000068000000}"/>
    <cellStyle name="連結的儲存格 2" xfId="89" xr:uid="{00000000-0005-0000-0000-000049000000}"/>
  </cellStyles>
  <dxfs count="1">
    <dxf>
      <font>
        <color rgb="FF9C0006"/>
      </font>
    </dxf>
  </dxfs>
  <tableStyles count="0" defaultTableStyle="TableStyleMedium2" defaultPivotStyle="PivotStyleLight16"/>
  <colors>
    <mruColors>
      <color rgb="FFB8E68E"/>
      <color rgb="FFFFCC66"/>
      <color rgb="FF9EDD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'CLP Tariff'!$N$18:$N$144</c:f>
              <c:strCache>
                <c:ptCount val="117"/>
                <c:pt idx="9">
                  <c:v>Jul 15 - Jun 16</c:v>
                </c:pt>
                <c:pt idx="21">
                  <c:v>Jul 16 - Jun 17</c:v>
                </c:pt>
                <c:pt idx="33">
                  <c:v>Jul 17 - Jun 18</c:v>
                </c:pt>
                <c:pt idx="45">
                  <c:v>Jul 18 - Jun 19</c:v>
                </c:pt>
                <c:pt idx="57">
                  <c:v>Jul 19 - Jun 20</c:v>
                </c:pt>
                <c:pt idx="68">
                  <c:v>Jul 20 - Jun 21</c:v>
                </c:pt>
                <c:pt idx="80">
                  <c:v>Jul 21 - Jun 22</c:v>
                </c:pt>
                <c:pt idx="92">
                  <c:v>Jul 22 - Jun 23</c:v>
                </c:pt>
                <c:pt idx="104">
                  <c:v>Jul 23 - Jun 24</c:v>
                </c:pt>
                <c:pt idx="116">
                  <c:v>Jul 24 - Jun 25</c:v>
                </c:pt>
              </c:strCache>
            </c:strRef>
          </c:cat>
          <c:val>
            <c:numRef>
              <c:f>'CLP Tariff'!$O$15:$O$144</c:f>
              <c:numCache>
                <c:formatCode>_-* #,##0_-;\-* #,##0_-;_-* "-"??_-;_-@_-</c:formatCode>
                <c:ptCount val="130"/>
                <c:pt idx="0">
                  <c:v>93067207</c:v>
                </c:pt>
                <c:pt idx="1">
                  <c:v>92560708</c:v>
                </c:pt>
                <c:pt idx="2">
                  <c:v>92658683</c:v>
                </c:pt>
                <c:pt idx="3">
                  <c:v>92589207</c:v>
                </c:pt>
                <c:pt idx="4">
                  <c:v>92906500</c:v>
                </c:pt>
                <c:pt idx="5">
                  <c:v>94099443</c:v>
                </c:pt>
                <c:pt idx="6">
                  <c:v>94187317</c:v>
                </c:pt>
                <c:pt idx="7">
                  <c:v>94394903</c:v>
                </c:pt>
                <c:pt idx="8">
                  <c:v>95166272</c:v>
                </c:pt>
                <c:pt idx="9">
                  <c:v>94971369</c:v>
                </c:pt>
                <c:pt idx="10">
                  <c:v>95180695</c:v>
                </c:pt>
                <c:pt idx="11">
                  <c:v>95720512</c:v>
                </c:pt>
                <c:pt idx="12">
                  <c:v>95800070</c:v>
                </c:pt>
                <c:pt idx="13">
                  <c:v>96134757</c:v>
                </c:pt>
                <c:pt idx="14">
                  <c:v>96947485</c:v>
                </c:pt>
                <c:pt idx="15">
                  <c:v>96474873</c:v>
                </c:pt>
                <c:pt idx="16">
                  <c:v>96161212</c:v>
                </c:pt>
                <c:pt idx="17">
                  <c:v>96368281</c:v>
                </c:pt>
                <c:pt idx="18">
                  <c:v>96342853</c:v>
                </c:pt>
                <c:pt idx="19">
                  <c:v>95623203</c:v>
                </c:pt>
                <c:pt idx="20">
                  <c:v>95982844</c:v>
                </c:pt>
                <c:pt idx="21">
                  <c:v>96253205</c:v>
                </c:pt>
                <c:pt idx="22">
                  <c:v>95356819</c:v>
                </c:pt>
                <c:pt idx="23">
                  <c:v>94764032</c:v>
                </c:pt>
                <c:pt idx="24">
                  <c:v>94486358</c:v>
                </c:pt>
                <c:pt idx="25">
                  <c:v>93560730</c:v>
                </c:pt>
                <c:pt idx="26">
                  <c:v>93908381</c:v>
                </c:pt>
                <c:pt idx="27">
                  <c:v>93939573</c:v>
                </c:pt>
                <c:pt idx="28">
                  <c:v>94414956</c:v>
                </c:pt>
                <c:pt idx="29">
                  <c:v>93418878</c:v>
                </c:pt>
                <c:pt idx="30">
                  <c:v>92921703</c:v>
                </c:pt>
                <c:pt idx="31">
                  <c:v>93736605</c:v>
                </c:pt>
                <c:pt idx="32">
                  <c:v>92920952</c:v>
                </c:pt>
                <c:pt idx="33">
                  <c:v>92503642</c:v>
                </c:pt>
                <c:pt idx="34">
                  <c:v>93292059</c:v>
                </c:pt>
                <c:pt idx="35">
                  <c:v>94135291</c:v>
                </c:pt>
                <c:pt idx="36">
                  <c:v>92966450</c:v>
                </c:pt>
                <c:pt idx="37">
                  <c:v>93887240</c:v>
                </c:pt>
                <c:pt idx="38">
                  <c:v>93309781</c:v>
                </c:pt>
                <c:pt idx="39">
                  <c:v>92346280</c:v>
                </c:pt>
                <c:pt idx="40">
                  <c:v>91966795</c:v>
                </c:pt>
                <c:pt idx="41">
                  <c:v>92006183</c:v>
                </c:pt>
                <c:pt idx="42">
                  <c:v>91781095</c:v>
                </c:pt>
                <c:pt idx="43">
                  <c:v>91689287</c:v>
                </c:pt>
                <c:pt idx="44">
                  <c:v>91511184</c:v>
                </c:pt>
                <c:pt idx="45">
                  <c:v>91375813</c:v>
                </c:pt>
                <c:pt idx="46">
                  <c:v>91623394</c:v>
                </c:pt>
                <c:pt idx="47">
                  <c:v>90483094</c:v>
                </c:pt>
                <c:pt idx="48">
                  <c:v>90186094</c:v>
                </c:pt>
                <c:pt idx="49">
                  <c:v>90323695</c:v>
                </c:pt>
                <c:pt idx="50">
                  <c:v>90175858</c:v>
                </c:pt>
                <c:pt idx="51">
                  <c:v>91088438</c:v>
                </c:pt>
                <c:pt idx="52">
                  <c:v>91275557</c:v>
                </c:pt>
                <c:pt idx="53">
                  <c:v>90389256</c:v>
                </c:pt>
                <c:pt idx="54">
                  <c:v>90542578</c:v>
                </c:pt>
                <c:pt idx="55">
                  <c:v>90062702</c:v>
                </c:pt>
                <c:pt idx="56">
                  <c:v>89253740</c:v>
                </c:pt>
                <c:pt idx="57">
                  <c:v>88747332</c:v>
                </c:pt>
                <c:pt idx="58">
                  <c:v>86704720</c:v>
                </c:pt>
                <c:pt idx="59">
                  <c:v>86447454</c:v>
                </c:pt>
                <c:pt idx="60">
                  <c:v>87353244</c:v>
                </c:pt>
                <c:pt idx="61">
                  <c:v>86884899</c:v>
                </c:pt>
                <c:pt idx="62">
                  <c:v>85699386</c:v>
                </c:pt>
                <c:pt idx="63">
                  <c:v>84624859</c:v>
                </c:pt>
                <c:pt idx="64">
                  <c:v>84979994</c:v>
                </c:pt>
                <c:pt idx="65">
                  <c:v>84854430</c:v>
                </c:pt>
                <c:pt idx="66">
                  <c:v>84786987</c:v>
                </c:pt>
                <c:pt idx="67">
                  <c:v>85189795</c:v>
                </c:pt>
                <c:pt idx="68">
                  <c:v>86161740</c:v>
                </c:pt>
                <c:pt idx="69">
                  <c:v>87567752</c:v>
                </c:pt>
                <c:pt idx="70">
                  <c:v>88775236</c:v>
                </c:pt>
                <c:pt idx="71">
                  <c:v>88318175</c:v>
                </c:pt>
                <c:pt idx="72">
                  <c:v>88449963</c:v>
                </c:pt>
                <c:pt idx="73">
                  <c:v>89334599</c:v>
                </c:pt>
                <c:pt idx="74">
                  <c:v>89608532</c:v>
                </c:pt>
                <c:pt idx="75">
                  <c:v>90225077</c:v>
                </c:pt>
                <c:pt idx="76">
                  <c:v>90922176</c:v>
                </c:pt>
                <c:pt idx="77">
                  <c:v>91369619</c:v>
                </c:pt>
                <c:pt idx="78">
                  <c:v>91387901</c:v>
                </c:pt>
                <c:pt idx="79">
                  <c:v>91934658</c:v>
                </c:pt>
                <c:pt idx="80">
                  <c:v>91174346</c:v>
                </c:pt>
                <c:pt idx="81">
                  <c:v>90701082</c:v>
                </c:pt>
                <c:pt idx="82">
                  <c:v>89446511</c:v>
                </c:pt>
                <c:pt idx="83">
                  <c:v>89692408</c:v>
                </c:pt>
                <c:pt idx="84">
                  <c:v>89386136</c:v>
                </c:pt>
                <c:pt idx="85">
                  <c:v>90058326</c:v>
                </c:pt>
                <c:pt idx="86">
                  <c:v>89931525</c:v>
                </c:pt>
                <c:pt idx="87">
                  <c:v>89686998</c:v>
                </c:pt>
                <c:pt idx="88">
                  <c:v>90490096</c:v>
                </c:pt>
                <c:pt idx="89">
                  <c:v>90554772</c:v>
                </c:pt>
                <c:pt idx="90">
                  <c:v>90952030</c:v>
                </c:pt>
                <c:pt idx="91">
                  <c:v>91245100</c:v>
                </c:pt>
                <c:pt idx="92">
                  <c:v>92037317</c:v>
                </c:pt>
                <c:pt idx="93">
                  <c:v>92421203</c:v>
                </c:pt>
                <c:pt idx="94">
                  <c:v>93510500</c:v>
                </c:pt>
                <c:pt idx="95">
                  <c:v>93932338</c:v>
                </c:pt>
                <c:pt idx="96">
                  <c:v>93669668</c:v>
                </c:pt>
                <c:pt idx="97">
                  <c:v>94202442</c:v>
                </c:pt>
                <c:pt idx="98">
                  <c:v>93817045</c:v>
                </c:pt>
                <c:pt idx="99">
                  <c:v>95115663</c:v>
                </c:pt>
                <c:pt idx="100">
                  <c:v>94437900</c:v>
                </c:pt>
                <c:pt idx="101">
                  <c:v>94622317</c:v>
                </c:pt>
                <c:pt idx="102">
                  <c:v>95197696</c:v>
                </c:pt>
                <c:pt idx="103">
                  <c:v>95585834</c:v>
                </c:pt>
                <c:pt idx="104">
                  <c:v>95368572</c:v>
                </c:pt>
                <c:pt idx="105">
                  <c:v>97412202</c:v>
                </c:pt>
                <c:pt idx="106">
                  <c:v>97207952</c:v>
                </c:pt>
                <c:pt idx="107">
                  <c:v>96709341</c:v>
                </c:pt>
                <c:pt idx="108">
                  <c:v>98664166</c:v>
                </c:pt>
                <c:pt idx="109">
                  <c:v>98443491</c:v>
                </c:pt>
                <c:pt idx="110">
                  <c:v>99413865</c:v>
                </c:pt>
                <c:pt idx="111">
                  <c:v>99357598</c:v>
                </c:pt>
                <c:pt idx="112">
                  <c:v>100029481</c:v>
                </c:pt>
                <c:pt idx="113">
                  <c:v>100802371</c:v>
                </c:pt>
                <c:pt idx="114">
                  <c:v>100581586</c:v>
                </c:pt>
                <c:pt idx="115">
                  <c:v>101060258</c:v>
                </c:pt>
                <c:pt idx="116">
                  <c:v>101471382</c:v>
                </c:pt>
                <c:pt idx="117">
                  <c:v>101180417</c:v>
                </c:pt>
                <c:pt idx="118">
                  <c:v>102046244</c:v>
                </c:pt>
                <c:pt idx="119">
                  <c:v>103383996</c:v>
                </c:pt>
                <c:pt idx="120">
                  <c:v>103225651</c:v>
                </c:pt>
                <c:pt idx="121">
                  <c:v>103479701</c:v>
                </c:pt>
                <c:pt idx="122">
                  <c:v>104605753</c:v>
                </c:pt>
                <c:pt idx="123">
                  <c:v>105551131</c:v>
                </c:pt>
                <c:pt idx="124">
                  <c:v>105265370</c:v>
                </c:pt>
                <c:pt idx="125">
                  <c:v>106068432</c:v>
                </c:pt>
                <c:pt idx="126">
                  <c:v>106905493</c:v>
                </c:pt>
                <c:pt idx="127">
                  <c:v>106826175</c:v>
                </c:pt>
                <c:pt idx="128">
                  <c:v>108273733</c:v>
                </c:pt>
                <c:pt idx="129">
                  <c:v>109240359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5-462F-A820-8C4FCF213D42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'CLP Tariff'!$N$18:$N$144</c:f>
              <c:strCache>
                <c:ptCount val="117"/>
                <c:pt idx="9">
                  <c:v>Jul 15 - Jun 16</c:v>
                </c:pt>
                <c:pt idx="21">
                  <c:v>Jul 16 - Jun 17</c:v>
                </c:pt>
                <c:pt idx="33">
                  <c:v>Jul 17 - Jun 18</c:v>
                </c:pt>
                <c:pt idx="45">
                  <c:v>Jul 18 - Jun 19</c:v>
                </c:pt>
                <c:pt idx="57">
                  <c:v>Jul 19 - Jun 20</c:v>
                </c:pt>
                <c:pt idx="68">
                  <c:v>Jul 20 - Jun 21</c:v>
                </c:pt>
                <c:pt idx="80">
                  <c:v>Jul 21 - Jun 22</c:v>
                </c:pt>
                <c:pt idx="92">
                  <c:v>Jul 22 - Jun 23</c:v>
                </c:pt>
                <c:pt idx="104">
                  <c:v>Jul 23 - Jun 24</c:v>
                </c:pt>
                <c:pt idx="116">
                  <c:v>Jul 24 - Jun 25</c:v>
                </c:pt>
              </c:strCache>
            </c:strRef>
          </c:cat>
          <c:val>
            <c:numRef>
              <c:f>'CLP Tariff'!$P$15:$P$87</c:f>
              <c:numCache>
                <c:formatCode>General</c:formatCode>
                <c:ptCount val="73"/>
                <c:pt idx="67" formatCode="_-* #,##0_-;\-* #,##0_-;_-* &quot;-&quot;??_-;_-@_-">
                  <c:v>48047</c:v>
                </c:pt>
                <c:pt idx="68" formatCode="_-* #,##0_-;\-* #,##0_-;_-* &quot;-&quot;??_-;_-@_-">
                  <c:v>97324</c:v>
                </c:pt>
                <c:pt idx="69" formatCode="_-* #,##0_-;\-* #,##0_-;_-* &quot;-&quot;??_-;_-@_-">
                  <c:v>152319</c:v>
                </c:pt>
                <c:pt idx="70" formatCode="_-* #,##0_-;\-* #,##0_-;_-* &quot;-&quot;??_-;_-@_-">
                  <c:v>281265</c:v>
                </c:pt>
                <c:pt idx="71" formatCode="_-* #,##0_-;\-* #,##0_-;_-* &quot;-&quot;??_-;_-@_-">
                  <c:v>391443</c:v>
                </c:pt>
                <c:pt idx="72" formatCode="_-* #,##0_-;\-* #,##0_-;_-* &quot;-&quot;??_-;_-@_-">
                  <c:v>550622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45-462F-A820-8C4FCF213D42}"/>
            </c:ext>
          </c:extLst>
        </c:ser>
        <c:ser>
          <c:idx val="2"/>
          <c:order val="2"/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'CLP Tariff'!$N$18:$N$144</c:f>
              <c:strCache>
                <c:ptCount val="117"/>
                <c:pt idx="9">
                  <c:v>Jul 15 - Jun 16</c:v>
                </c:pt>
                <c:pt idx="21">
                  <c:v>Jul 16 - Jun 17</c:v>
                </c:pt>
                <c:pt idx="33">
                  <c:v>Jul 17 - Jun 18</c:v>
                </c:pt>
                <c:pt idx="45">
                  <c:v>Jul 18 - Jun 19</c:v>
                </c:pt>
                <c:pt idx="57">
                  <c:v>Jul 19 - Jun 20</c:v>
                </c:pt>
                <c:pt idx="68">
                  <c:v>Jul 20 - Jun 21</c:v>
                </c:pt>
                <c:pt idx="80">
                  <c:v>Jul 21 - Jun 22</c:v>
                </c:pt>
                <c:pt idx="92">
                  <c:v>Jul 22 - Jun 23</c:v>
                </c:pt>
                <c:pt idx="104">
                  <c:v>Jul 23 - Jun 24</c:v>
                </c:pt>
                <c:pt idx="116">
                  <c:v>Jul 24 - Jun 25</c:v>
                </c:pt>
              </c:strCache>
            </c:strRef>
          </c:cat>
          <c:val>
            <c:numRef>
              <c:f>'CLP Tariff'!$Q$15:$Q$144</c:f>
              <c:numCache>
                <c:formatCode>_-* #,##0_-;\-* #,##0_-;_-* "-"??_-;_-@_-</c:formatCode>
                <c:ptCount val="130"/>
                <c:pt idx="0">
                  <c:v>93067207</c:v>
                </c:pt>
                <c:pt idx="1">
                  <c:v>92560708</c:v>
                </c:pt>
                <c:pt idx="2">
                  <c:v>92658683</c:v>
                </c:pt>
                <c:pt idx="3">
                  <c:v>92589207</c:v>
                </c:pt>
                <c:pt idx="4">
                  <c:v>92906500</c:v>
                </c:pt>
                <c:pt idx="5">
                  <c:v>94099443</c:v>
                </c:pt>
                <c:pt idx="6">
                  <c:v>94187317</c:v>
                </c:pt>
                <c:pt idx="7">
                  <c:v>94394903</c:v>
                </c:pt>
                <c:pt idx="8">
                  <c:v>95166272</c:v>
                </c:pt>
                <c:pt idx="9">
                  <c:v>94971369</c:v>
                </c:pt>
                <c:pt idx="10">
                  <c:v>95180695</c:v>
                </c:pt>
                <c:pt idx="11">
                  <c:v>95720512</c:v>
                </c:pt>
                <c:pt idx="12">
                  <c:v>95800070</c:v>
                </c:pt>
                <c:pt idx="13">
                  <c:v>96134757</c:v>
                </c:pt>
                <c:pt idx="14">
                  <c:v>96947485</c:v>
                </c:pt>
                <c:pt idx="15">
                  <c:v>96474873</c:v>
                </c:pt>
                <c:pt idx="16">
                  <c:v>96161212</c:v>
                </c:pt>
                <c:pt idx="17">
                  <c:v>96368281</c:v>
                </c:pt>
                <c:pt idx="18">
                  <c:v>96342853</c:v>
                </c:pt>
                <c:pt idx="19">
                  <c:v>95623203</c:v>
                </c:pt>
                <c:pt idx="20">
                  <c:v>95982844</c:v>
                </c:pt>
                <c:pt idx="21">
                  <c:v>96253205</c:v>
                </c:pt>
                <c:pt idx="22">
                  <c:v>95356819</c:v>
                </c:pt>
                <c:pt idx="23">
                  <c:v>94764032</c:v>
                </c:pt>
                <c:pt idx="24">
                  <c:v>94486358</c:v>
                </c:pt>
                <c:pt idx="25">
                  <c:v>93560730</c:v>
                </c:pt>
                <c:pt idx="26">
                  <c:v>93908381</c:v>
                </c:pt>
                <c:pt idx="27">
                  <c:v>93939573</c:v>
                </c:pt>
                <c:pt idx="28">
                  <c:v>94414956</c:v>
                </c:pt>
                <c:pt idx="29">
                  <c:v>93418878</c:v>
                </c:pt>
                <c:pt idx="30">
                  <c:v>92921703</c:v>
                </c:pt>
                <c:pt idx="31">
                  <c:v>93736605</c:v>
                </c:pt>
                <c:pt idx="32">
                  <c:v>92920952</c:v>
                </c:pt>
                <c:pt idx="33">
                  <c:v>92503642</c:v>
                </c:pt>
                <c:pt idx="34">
                  <c:v>93292059</c:v>
                </c:pt>
                <c:pt idx="35">
                  <c:v>94135291</c:v>
                </c:pt>
                <c:pt idx="36">
                  <c:v>92966450</c:v>
                </c:pt>
                <c:pt idx="37">
                  <c:v>93887240</c:v>
                </c:pt>
                <c:pt idx="38">
                  <c:v>93309781</c:v>
                </c:pt>
                <c:pt idx="39">
                  <c:v>92346280</c:v>
                </c:pt>
                <c:pt idx="40">
                  <c:v>91966795</c:v>
                </c:pt>
                <c:pt idx="41">
                  <c:v>92006183</c:v>
                </c:pt>
                <c:pt idx="42">
                  <c:v>91781095</c:v>
                </c:pt>
                <c:pt idx="43">
                  <c:v>91689287</c:v>
                </c:pt>
                <c:pt idx="44">
                  <c:v>91511184</c:v>
                </c:pt>
                <c:pt idx="45">
                  <c:v>91375813</c:v>
                </c:pt>
                <c:pt idx="46">
                  <c:v>91623394</c:v>
                </c:pt>
                <c:pt idx="47">
                  <c:v>90483094</c:v>
                </c:pt>
                <c:pt idx="48">
                  <c:v>90186094</c:v>
                </c:pt>
                <c:pt idx="49">
                  <c:v>90323695</c:v>
                </c:pt>
                <c:pt idx="50">
                  <c:v>90175858</c:v>
                </c:pt>
                <c:pt idx="51">
                  <c:v>91088438</c:v>
                </c:pt>
                <c:pt idx="52">
                  <c:v>91275557</c:v>
                </c:pt>
                <c:pt idx="53">
                  <c:v>90389256</c:v>
                </c:pt>
                <c:pt idx="54">
                  <c:v>90542578</c:v>
                </c:pt>
                <c:pt idx="55">
                  <c:v>90062702</c:v>
                </c:pt>
                <c:pt idx="56">
                  <c:v>89253740</c:v>
                </c:pt>
                <c:pt idx="57">
                  <c:v>88747332</c:v>
                </c:pt>
                <c:pt idx="58">
                  <c:v>86704720</c:v>
                </c:pt>
                <c:pt idx="59">
                  <c:v>86447454</c:v>
                </c:pt>
                <c:pt idx="60">
                  <c:v>87353244</c:v>
                </c:pt>
                <c:pt idx="61">
                  <c:v>86884899</c:v>
                </c:pt>
                <c:pt idx="62">
                  <c:v>85699386</c:v>
                </c:pt>
                <c:pt idx="63">
                  <c:v>84624859</c:v>
                </c:pt>
                <c:pt idx="64">
                  <c:v>84979994</c:v>
                </c:pt>
                <c:pt idx="65">
                  <c:v>84854430</c:v>
                </c:pt>
                <c:pt idx="66">
                  <c:v>84786987</c:v>
                </c:pt>
                <c:pt idx="67">
                  <c:v>85141748</c:v>
                </c:pt>
                <c:pt idx="68">
                  <c:v>86064416</c:v>
                </c:pt>
                <c:pt idx="69">
                  <c:v>87415433</c:v>
                </c:pt>
                <c:pt idx="70">
                  <c:v>88493971</c:v>
                </c:pt>
                <c:pt idx="71">
                  <c:v>87926732</c:v>
                </c:pt>
                <c:pt idx="72">
                  <c:v>87899341</c:v>
                </c:pt>
                <c:pt idx="73">
                  <c:v>88626135</c:v>
                </c:pt>
                <c:pt idx="74">
                  <c:v>88685609</c:v>
                </c:pt>
                <c:pt idx="75">
                  <c:v>89164639</c:v>
                </c:pt>
                <c:pt idx="76">
                  <c:v>89693158</c:v>
                </c:pt>
                <c:pt idx="77">
                  <c:v>90018629</c:v>
                </c:pt>
                <c:pt idx="78">
                  <c:v>89941874</c:v>
                </c:pt>
                <c:pt idx="79">
                  <c:v>90395382</c:v>
                </c:pt>
                <c:pt idx="80">
                  <c:v>89525986</c:v>
                </c:pt>
                <c:pt idx="81">
                  <c:v>88890540</c:v>
                </c:pt>
                <c:pt idx="82">
                  <c:v>87608311</c:v>
                </c:pt>
                <c:pt idx="83">
                  <c:v>87779687</c:v>
                </c:pt>
                <c:pt idx="84">
                  <c:v>87385569</c:v>
                </c:pt>
                <c:pt idx="85">
                  <c:v>87996010</c:v>
                </c:pt>
                <c:pt idx="86">
                  <c:v>87830413</c:v>
                </c:pt>
                <c:pt idx="87">
                  <c:v>87505575</c:v>
                </c:pt>
                <c:pt idx="88">
                  <c:v>88345845</c:v>
                </c:pt>
                <c:pt idx="89">
                  <c:v>88374653</c:v>
                </c:pt>
                <c:pt idx="90">
                  <c:v>88721816</c:v>
                </c:pt>
                <c:pt idx="91">
                  <c:v>88949078</c:v>
                </c:pt>
                <c:pt idx="92">
                  <c:v>89716188</c:v>
                </c:pt>
                <c:pt idx="93">
                  <c:v>90189803</c:v>
                </c:pt>
                <c:pt idx="94">
                  <c:v>91243008</c:v>
                </c:pt>
                <c:pt idx="95">
                  <c:v>91606532</c:v>
                </c:pt>
                <c:pt idx="96">
                  <c:v>91312922</c:v>
                </c:pt>
                <c:pt idx="97">
                  <c:v>91781107</c:v>
                </c:pt>
                <c:pt idx="98">
                  <c:v>91439054</c:v>
                </c:pt>
                <c:pt idx="99">
                  <c:v>92752340</c:v>
                </c:pt>
                <c:pt idx="100">
                  <c:v>91988625</c:v>
                </c:pt>
                <c:pt idx="101">
                  <c:v>92194605</c:v>
                </c:pt>
                <c:pt idx="102">
                  <c:v>92731494</c:v>
                </c:pt>
                <c:pt idx="103">
                  <c:v>93168470</c:v>
                </c:pt>
                <c:pt idx="104">
                  <c:v>92988107</c:v>
                </c:pt>
                <c:pt idx="105">
                  <c:v>94987541</c:v>
                </c:pt>
                <c:pt idx="106">
                  <c:v>94814188</c:v>
                </c:pt>
                <c:pt idx="107">
                  <c:v>94374564</c:v>
                </c:pt>
                <c:pt idx="108">
                  <c:v>96314387</c:v>
                </c:pt>
                <c:pt idx="109">
                  <c:v>96110267</c:v>
                </c:pt>
                <c:pt idx="110">
                  <c:v>97041154</c:v>
                </c:pt>
                <c:pt idx="111">
                  <c:v>96938468</c:v>
                </c:pt>
                <c:pt idx="112">
                  <c:v>97653298</c:v>
                </c:pt>
                <c:pt idx="113">
                  <c:v>98367497</c:v>
                </c:pt>
                <c:pt idx="114">
                  <c:v>98147812</c:v>
                </c:pt>
                <c:pt idx="115">
                  <c:v>98572163</c:v>
                </c:pt>
                <c:pt idx="116">
                  <c:v>98925540</c:v>
                </c:pt>
                <c:pt idx="117">
                  <c:v>98574172</c:v>
                </c:pt>
                <c:pt idx="118">
                  <c:v>99381208</c:v>
                </c:pt>
                <c:pt idx="119">
                  <c:v>100666840</c:v>
                </c:pt>
                <c:pt idx="120">
                  <c:v>100546018</c:v>
                </c:pt>
                <c:pt idx="121">
                  <c:v>100856419</c:v>
                </c:pt>
                <c:pt idx="122">
                  <c:v>101938657</c:v>
                </c:pt>
                <c:pt idx="123">
                  <c:v>102901173</c:v>
                </c:pt>
                <c:pt idx="124">
                  <c:v>102589948</c:v>
                </c:pt>
                <c:pt idx="125">
                  <c:v>103410051</c:v>
                </c:pt>
                <c:pt idx="126">
                  <c:v>104209468</c:v>
                </c:pt>
                <c:pt idx="127">
                  <c:v>104135538</c:v>
                </c:pt>
                <c:pt idx="128">
                  <c:v>105554570</c:v>
                </c:pt>
                <c:pt idx="129">
                  <c:v>106525578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45-462F-A820-8C4FCF213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57696"/>
        <c:axId val="52559232"/>
      </c:areaChart>
      <c:catAx>
        <c:axId val="5255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9232"/>
        <c:crosses val="autoZero"/>
        <c:auto val="1"/>
        <c:lblAlgn val="ctr"/>
        <c:lblOffset val="100"/>
        <c:noMultiLvlLbl val="0"/>
      </c:catAx>
      <c:valAx>
        <c:axId val="52559232"/>
        <c:scaling>
          <c:orientation val="minMax"/>
          <c:min val="79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'CLP Tariff'!$V$9:$V$16</c:f>
              <c:strCache>
                <c:ptCount val="8"/>
                <c:pt idx="0">
                  <c:v> Jul-Sep 2014 </c:v>
                </c:pt>
                <c:pt idx="1">
                  <c:v> Jul-Sep 2015 </c:v>
                </c:pt>
                <c:pt idx="2">
                  <c:v> Jul-Sep 2016 </c:v>
                </c:pt>
                <c:pt idx="3">
                  <c:v> Jul-Sep 2017 </c:v>
                </c:pt>
                <c:pt idx="4">
                  <c:v> Jul-Sep 2018 </c:v>
                </c:pt>
                <c:pt idx="5">
                  <c:v> Jul-Sep 2019 </c:v>
                </c:pt>
                <c:pt idx="6">
                  <c:v> Jul-Sep 2020 </c:v>
                </c:pt>
                <c:pt idx="7">
                  <c:v> Jul-Sep 2021 </c:v>
                </c:pt>
              </c:strCache>
            </c:strRef>
          </c:cat>
          <c:val>
            <c:numRef>
              <c:f>'CLP Tariff'!$W$9:$W$16</c:f>
              <c:numCache>
                <c:formatCode>_-* #,##0_-;\-* #,##0_-;_-* "-"??_-;_-@_-</c:formatCode>
                <c:ptCount val="8"/>
                <c:pt idx="0">
                  <c:v>27948305</c:v>
                </c:pt>
                <c:pt idx="1">
                  <c:v>27470305</c:v>
                </c:pt>
                <c:pt idx="2">
                  <c:v>28145108</c:v>
                </c:pt>
                <c:pt idx="3">
                  <c:v>27598323</c:v>
                </c:pt>
                <c:pt idx="4">
                  <c:v>26978153</c:v>
                </c:pt>
                <c:pt idx="5">
                  <c:v>27880497</c:v>
                </c:pt>
                <c:pt idx="6">
                  <c:v>26237832</c:v>
                </c:pt>
                <c:pt idx="7">
                  <c:v>27528189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7-4CE6-93CE-83E3C7CC3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64096"/>
        <c:axId val="130982272"/>
      </c:barChart>
      <c:catAx>
        <c:axId val="13096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82272"/>
        <c:crosses val="autoZero"/>
        <c:auto val="1"/>
        <c:lblAlgn val="ctr"/>
        <c:lblOffset val="100"/>
        <c:noMultiLvlLbl val="0"/>
      </c:catAx>
      <c:valAx>
        <c:axId val="130982272"/>
        <c:scaling>
          <c:orientation val="minMax"/>
          <c:min val="2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6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Breakdown!$A$153:$AB$153</c:f>
              <c:numCache>
                <c:formatCode>_-* #,##0_-;\-* #,##0_-;_-* "-"??_-;_-@_-</c:formatCode>
                <c:ptCount val="27"/>
                <c:pt idx="0" formatCode="General">
                  <c:v>0</c:v>
                </c:pt>
                <c:pt idx="1">
                  <c:v>93067207</c:v>
                </c:pt>
                <c:pt idx="2">
                  <c:v>48161326</c:v>
                </c:pt>
                <c:pt idx="3">
                  <c:v>2701602</c:v>
                </c:pt>
                <c:pt idx="4">
                  <c:v>1645614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18602394</c:v>
                </c:pt>
                <c:pt idx="9">
                  <c:v>2956133</c:v>
                </c:pt>
                <c:pt idx="10">
                  <c:v>729539</c:v>
                </c:pt>
                <c:pt idx="11">
                  <c:v>0</c:v>
                </c:pt>
                <c:pt idx="12">
                  <c:v>1914636</c:v>
                </c:pt>
                <c:pt idx="13">
                  <c:v>972626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7303751</c:v>
                </c:pt>
                <c:pt idx="23">
                  <c:v>8079586</c:v>
                </c:pt>
                <c:pt idx="24">
                  <c:v>3418093</c:v>
                </c:pt>
                <c:pt idx="25">
                  <c:v>4661493</c:v>
                </c:pt>
                <c:pt idx="26">
                  <c:v>20517030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B-474F-9187-137A58357DA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B-474F-9187-137A58357DAD}"/>
            </c:ext>
          </c:extLst>
        </c:ser>
        <c:ser>
          <c:idx val="3"/>
          <c:order val="2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2B-474F-9187-137A58357DAD}"/>
            </c:ext>
          </c:extLst>
        </c:ser>
        <c:ser>
          <c:idx val="4"/>
          <c:order val="3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2B-474F-9187-137A58357DAD}"/>
            </c:ext>
          </c:extLst>
        </c:ser>
        <c:ser>
          <c:idx val="5"/>
          <c:order val="4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2B-474F-9187-137A58357DAD}"/>
            </c:ext>
          </c:extLst>
        </c:ser>
        <c:ser>
          <c:idx val="6"/>
          <c:order val="5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2B-474F-9187-137A58357DAD}"/>
            </c:ext>
          </c:extLst>
        </c:ser>
        <c:ser>
          <c:idx val="7"/>
          <c:order val="6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2B-474F-9187-137A58357DAD}"/>
            </c:ext>
          </c:extLst>
        </c:ser>
        <c:ser>
          <c:idx val="8"/>
          <c:order val="7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2B-474F-9187-137A58357DAD}"/>
            </c:ext>
          </c:extLst>
        </c:ser>
        <c:ser>
          <c:idx val="9"/>
          <c:order val="8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Breakdown!$A$152:$AB$152</c:f>
              <c:strCache>
                <c:ptCount val="27"/>
                <c:pt idx="0">
                  <c:v>Period</c:v>
                </c:pt>
                <c:pt idx="1">
                  <c:v>CLP Total</c:v>
                </c:pt>
                <c:pt idx="2">
                  <c:v>Main Acad Bldg &amp; Other Public Facilities</c:v>
                </c:pt>
                <c:pt idx="3">
                  <c:v>EC (ALL)</c:v>
                </c:pt>
                <c:pt idx="4">
                  <c:v>CYT</c:v>
                </c:pt>
                <c:pt idx="5">
                  <c:v>Shaw Auditorium</c:v>
                </c:pt>
                <c:pt idx="6">
                  <c:v>APCF 
(R/F Zone L)</c:v>
                </c:pt>
                <c:pt idx="7">
                  <c:v>New Data Centre 
(2/F Zone L)</c:v>
                </c:pt>
                <c:pt idx="8">
                  <c:v>Main Chiller Plant</c:v>
                </c:pt>
                <c:pt idx="9">
                  <c:v>LSKBB</c:v>
                </c:pt>
                <c:pt idx="10">
                  <c:v>IAS</c:v>
                </c:pt>
                <c:pt idx="11">
                  <c:v>Conference Lodge</c:v>
                </c:pt>
                <c:pt idx="12">
                  <c:v>LSK Chiller Plant (include UG10-13)</c:v>
                </c:pt>
                <c:pt idx="13">
                  <c:v>WWT</c:v>
                </c:pt>
                <c:pt idx="14">
                  <c:v>Water Sport Centre</c:v>
                </c:pt>
                <c:pt idx="15">
                  <c:v>SISC</c:v>
                </c:pt>
                <c:pt idx="16">
                  <c:v>HPC5</c:v>
                </c:pt>
                <c:pt idx="17">
                  <c:v>RB2</c:v>
                </c:pt>
                <c:pt idx="18">
                  <c:v>IB</c:v>
                </c:pt>
                <c:pt idx="19">
                  <c:v>SRD (UG10-13)</c:v>
                </c:pt>
                <c:pt idx="20">
                  <c:v>TA-B</c:v>
                </c:pt>
                <c:pt idx="21">
                  <c:v>GGT</c:v>
                </c:pt>
                <c:pt idx="22">
                  <c:v>Student Housing UG1-UG9, PG1-PG2</c:v>
                </c:pt>
                <c:pt idx="23">
                  <c:v>Staff Quarters &amp; Commercial Outlets </c:v>
                </c:pt>
                <c:pt idx="24">
                  <c:v>Commercial Outlets</c:v>
                </c:pt>
                <c:pt idx="25">
                  <c:v>Staff Quarters</c:v>
                </c:pt>
                <c:pt idx="26">
                  <c:v>Combined Chiller Plants</c:v>
                </c:pt>
              </c:strCache>
            </c:strRef>
          </c:cat>
          <c:val>
            <c:numRef>
              <c:f>Breakdown!#REF!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2B-474F-9187-137A58357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095999"/>
        <c:axId val="1093105567"/>
      </c:barChart>
      <c:catAx>
        <c:axId val="10930959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3105567"/>
        <c:crosses val="autoZero"/>
        <c:auto val="1"/>
        <c:lblAlgn val="ctr"/>
        <c:lblOffset val="100"/>
        <c:noMultiLvlLbl val="0"/>
      </c:catAx>
      <c:valAx>
        <c:axId val="109310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9599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55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977900</xdr:colOff>
      <xdr:row>127</xdr:row>
      <xdr:rowOff>21492</xdr:rowOff>
    </xdr:from>
    <xdr:to>
      <xdr:col>31</xdr:col>
      <xdr:colOff>836084</xdr:colOff>
      <xdr:row>146</xdr:row>
      <xdr:rowOff>177067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545352</xdr:colOff>
      <xdr:row>8</xdr:row>
      <xdr:rowOff>25400</xdr:rowOff>
    </xdr:from>
    <xdr:to>
      <xdr:col>28</xdr:col>
      <xdr:colOff>814294</xdr:colOff>
      <xdr:row>22</xdr:row>
      <xdr:rowOff>49306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CT/Meter%20Log/Joyce%20Info/To%20Tom%20Chong/Tom%20Chong_2022-09/05%20Electricity%20(202205)%20use%20Tom%20Chong_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P Tariff"/>
      <sheetName val="Breakdown"/>
      <sheetName val="Main Academic Buidling"/>
      <sheetName val="Hostels"/>
      <sheetName val="Chiller Plants"/>
      <sheetName val="Commercial &amp; Quarter"/>
      <sheetName val="Energy Forecast"/>
      <sheetName val="Performance"/>
      <sheetName val="GFA"/>
      <sheetName val="Capita"/>
      <sheetName val="Staff Quarters"/>
      <sheetName val="Individual Quarter"/>
      <sheetName val="Covid"/>
      <sheetName val="WFH"/>
    </sheetNames>
    <sheetDataSet>
      <sheetData sheetId="0">
        <row r="9">
          <cell r="D9">
            <v>561631</v>
          </cell>
        </row>
        <row r="10">
          <cell r="D10">
            <v>593916</v>
          </cell>
        </row>
        <row r="11">
          <cell r="D11">
            <v>539516</v>
          </cell>
        </row>
        <row r="12">
          <cell r="D12">
            <v>579866</v>
          </cell>
        </row>
        <row r="13">
          <cell r="D13">
            <v>712636</v>
          </cell>
        </row>
        <row r="14">
          <cell r="D14">
            <v>887404</v>
          </cell>
        </row>
        <row r="15">
          <cell r="D15">
            <v>898402</v>
          </cell>
        </row>
        <row r="16">
          <cell r="D16">
            <v>790160</v>
          </cell>
        </row>
        <row r="17">
          <cell r="D17">
            <v>926418</v>
          </cell>
        </row>
        <row r="18">
          <cell r="D18">
            <v>633499</v>
          </cell>
        </row>
        <row r="19">
          <cell r="D19">
            <v>477408</v>
          </cell>
        </row>
        <row r="20">
          <cell r="D20">
            <v>579361</v>
          </cell>
        </row>
        <row r="21">
          <cell r="D21">
            <v>547530</v>
          </cell>
        </row>
        <row r="22">
          <cell r="D22">
            <v>487383</v>
          </cell>
        </row>
        <row r="23">
          <cell r="D23">
            <v>560763</v>
          </cell>
        </row>
        <row r="24">
          <cell r="D24">
            <v>550544</v>
          </cell>
        </row>
        <row r="25">
          <cell r="D25">
            <v>676113</v>
          </cell>
        </row>
        <row r="26">
          <cell r="D26">
            <v>952005</v>
          </cell>
        </row>
        <row r="51">
          <cell r="D51">
            <v>576957</v>
          </cell>
        </row>
        <row r="52">
          <cell r="D52">
            <v>787787</v>
          </cell>
        </row>
        <row r="53">
          <cell r="D53">
            <v>755058</v>
          </cell>
        </row>
        <row r="54">
          <cell r="D54">
            <v>604519</v>
          </cell>
        </row>
        <row r="55">
          <cell r="D55">
            <v>442991</v>
          </cell>
        </row>
        <row r="56">
          <cell r="D56">
            <v>411991</v>
          </cell>
        </row>
        <row r="57">
          <cell r="D57">
            <v>532247</v>
          </cell>
        </row>
        <row r="58">
          <cell r="D58">
            <v>589457</v>
          </cell>
        </row>
        <row r="59">
          <cell r="D59">
            <v>487612</v>
          </cell>
        </row>
        <row r="60">
          <cell r="D60">
            <v>538711</v>
          </cell>
        </row>
        <row r="61">
          <cell r="D61">
            <v>795384</v>
          </cell>
        </row>
        <row r="62">
          <cell r="D62">
            <v>750466</v>
          </cell>
        </row>
        <row r="63">
          <cell r="D63">
            <v>808175</v>
          </cell>
        </row>
        <row r="64">
          <cell r="D64">
            <v>820072</v>
          </cell>
        </row>
        <row r="65">
          <cell r="D65">
            <v>778848</v>
          </cell>
        </row>
        <row r="66">
          <cell r="D66">
            <v>635654</v>
          </cell>
        </row>
        <row r="67">
          <cell r="D67">
            <v>553668</v>
          </cell>
        </row>
        <row r="68">
          <cell r="D68">
            <v>482917</v>
          </cell>
        </row>
        <row r="69">
          <cell r="D69">
            <v>587169</v>
          </cell>
        </row>
        <row r="70">
          <cell r="D70">
            <v>489678</v>
          </cell>
        </row>
        <row r="71">
          <cell r="D71">
            <v>541972</v>
          </cell>
        </row>
        <row r="72">
          <cell r="D72">
            <v>656408</v>
          </cell>
        </row>
        <row r="73">
          <cell r="D73">
            <v>685279</v>
          </cell>
        </row>
        <row r="74">
          <cell r="D74">
            <v>755115</v>
          </cell>
        </row>
        <row r="75">
          <cell r="D75">
            <v>865487</v>
          </cell>
        </row>
        <row r="76">
          <cell r="D76">
            <v>887388</v>
          </cell>
        </row>
        <row r="77">
          <cell r="D77">
            <v>936609</v>
          </cell>
        </row>
        <row r="78">
          <cell r="D78">
            <v>750006</v>
          </cell>
        </row>
        <row r="79">
          <cell r="D79">
            <v>486439</v>
          </cell>
        </row>
        <row r="80">
          <cell r="D80">
            <v>485190</v>
          </cell>
        </row>
        <row r="81">
          <cell r="D81">
            <v>483301</v>
          </cell>
        </row>
        <row r="82">
          <cell r="D82">
            <v>468232</v>
          </cell>
        </row>
        <row r="83">
          <cell r="D83">
            <v>498157</v>
          </cell>
        </row>
        <row r="84">
          <cell r="D84">
            <v>476218</v>
          </cell>
        </row>
        <row r="85">
          <cell r="D85">
            <v>726879</v>
          </cell>
        </row>
        <row r="86">
          <cell r="D86">
            <v>969589</v>
          </cell>
        </row>
        <row r="87">
          <cell r="D87">
            <v>1025760</v>
          </cell>
        </row>
        <row r="88">
          <cell r="D88">
            <v>830339</v>
          </cell>
        </row>
        <row r="89">
          <cell r="D89">
            <v>927129</v>
          </cell>
        </row>
        <row r="90">
          <cell r="D90">
            <v>587664</v>
          </cell>
        </row>
        <row r="91">
          <cell r="D91">
            <v>525452</v>
          </cell>
        </row>
        <row r="92">
          <cell r="D92">
            <v>509484</v>
          </cell>
        </row>
        <row r="93">
          <cell r="D93">
            <v>586715</v>
          </cell>
        </row>
        <row r="94">
          <cell r="D94">
            <v>423484</v>
          </cell>
        </row>
        <row r="95">
          <cell r="D95">
            <v>524832</v>
          </cell>
        </row>
        <row r="96">
          <cell r="D96">
            <v>554260</v>
          </cell>
        </row>
        <row r="97">
          <cell r="D97">
            <v>888154</v>
          </cell>
        </row>
        <row r="98">
          <cell r="D98">
            <v>811203</v>
          </cell>
        </row>
        <row r="99">
          <cell r="D99">
            <v>929945</v>
          </cell>
        </row>
        <row r="100">
          <cell r="D100">
            <v>854104</v>
          </cell>
        </row>
        <row r="101">
          <cell r="D101">
            <v>980025</v>
          </cell>
        </row>
        <row r="102">
          <cell r="D102">
            <v>687261</v>
          </cell>
        </row>
        <row r="103">
          <cell r="D103">
            <v>580932</v>
          </cell>
        </row>
        <row r="104">
          <cell r="D104">
            <v>525622</v>
          </cell>
        </row>
        <row r="105">
          <cell r="D105">
            <v>511246</v>
          </cell>
        </row>
        <row r="106">
          <cell r="D106">
            <v>650640</v>
          </cell>
        </row>
      </sheetData>
      <sheetData sheetId="1"/>
      <sheetData sheetId="2"/>
      <sheetData sheetId="3"/>
      <sheetData sheetId="4"/>
      <sheetData sheetId="5">
        <row r="68">
          <cell r="K68">
            <v>229909</v>
          </cell>
          <cell r="L68">
            <v>220164</v>
          </cell>
          <cell r="M68">
            <v>247766</v>
          </cell>
          <cell r="N68">
            <v>295835</v>
          </cell>
          <cell r="O68">
            <v>281303</v>
          </cell>
          <cell r="P68">
            <v>266840</v>
          </cell>
          <cell r="Q68">
            <v>274134</v>
          </cell>
          <cell r="R68">
            <v>264880</v>
          </cell>
          <cell r="S68">
            <v>311968</v>
          </cell>
          <cell r="T68">
            <v>297097</v>
          </cell>
          <cell r="U68">
            <v>276436</v>
          </cell>
          <cell r="V68">
            <v>281511</v>
          </cell>
          <cell r="W68">
            <v>262207</v>
          </cell>
          <cell r="X68">
            <v>247789</v>
          </cell>
          <cell r="Y68">
            <v>302505</v>
          </cell>
          <cell r="Z68">
            <v>303017</v>
          </cell>
          <cell r="AA68">
            <v>293556</v>
          </cell>
          <cell r="AB68">
            <v>302993</v>
          </cell>
          <cell r="BA68">
            <v>212800</v>
          </cell>
          <cell r="BB68">
            <v>241411</v>
          </cell>
          <cell r="BC68">
            <v>247909</v>
          </cell>
          <cell r="BD68">
            <v>246432</v>
          </cell>
          <cell r="BE68">
            <v>271273</v>
          </cell>
          <cell r="BF68">
            <v>234655</v>
          </cell>
          <cell r="BG68">
            <v>267046</v>
          </cell>
          <cell r="BH68">
            <v>272614</v>
          </cell>
          <cell r="BI68">
            <v>306197</v>
          </cell>
          <cell r="BJ68">
            <v>333892</v>
          </cell>
          <cell r="BK68">
            <v>342020</v>
          </cell>
          <cell r="BL68">
            <v>296584</v>
          </cell>
          <cell r="BM68">
            <v>301748</v>
          </cell>
          <cell r="BN68">
            <v>314766</v>
          </cell>
          <cell r="BO68">
            <v>322443</v>
          </cell>
          <cell r="BP68">
            <v>351483</v>
          </cell>
          <cell r="BQ68">
            <v>356420</v>
          </cell>
          <cell r="BR68">
            <v>321018</v>
          </cell>
          <cell r="BS68">
            <v>326358</v>
          </cell>
          <cell r="BT68">
            <v>301948</v>
          </cell>
          <cell r="BU68">
            <v>329756</v>
          </cell>
          <cell r="BV68">
            <v>354868</v>
          </cell>
          <cell r="BW68">
            <v>332260</v>
          </cell>
          <cell r="BX68">
            <v>242424</v>
          </cell>
          <cell r="BY68">
            <v>260859</v>
          </cell>
          <cell r="BZ68">
            <v>258945</v>
          </cell>
          <cell r="CA68">
            <v>377836</v>
          </cell>
          <cell r="CB68">
            <v>348709</v>
          </cell>
          <cell r="CC68">
            <v>283909</v>
          </cell>
          <cell r="CD68">
            <v>280873</v>
          </cell>
          <cell r="CE68">
            <v>262219</v>
          </cell>
          <cell r="CF68">
            <v>208348</v>
          </cell>
          <cell r="CG68">
            <v>261289</v>
          </cell>
          <cell r="CH68">
            <v>231032</v>
          </cell>
          <cell r="CI68">
            <v>260510</v>
          </cell>
          <cell r="CJ68">
            <v>291027</v>
          </cell>
          <cell r="CK68">
            <v>265659</v>
          </cell>
          <cell r="CL68">
            <v>232096</v>
          </cell>
          <cell r="CM68">
            <v>303922</v>
          </cell>
          <cell r="CN68">
            <v>267278</v>
          </cell>
          <cell r="CO68">
            <v>293224</v>
          </cell>
          <cell r="CP68">
            <v>259382</v>
          </cell>
          <cell r="CQ68">
            <v>249052</v>
          </cell>
          <cell r="CR68">
            <v>237507</v>
          </cell>
          <cell r="CS68">
            <v>288377</v>
          </cell>
          <cell r="CT68">
            <v>282594</v>
          </cell>
          <cell r="CU68">
            <v>308231</v>
          </cell>
          <cell r="CV68">
            <v>275823</v>
          </cell>
          <cell r="CW68">
            <v>289890</v>
          </cell>
          <cell r="CX68">
            <v>293783</v>
          </cell>
          <cell r="CY68">
            <v>338691</v>
          </cell>
          <cell r="CZ68">
            <v>302816</v>
          </cell>
          <cell r="DA68">
            <v>338707</v>
          </cell>
          <cell r="DB68">
            <v>304173</v>
          </cell>
          <cell r="DC68">
            <v>258838</v>
          </cell>
          <cell r="DD68">
            <v>261658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in Ming CHUI" id="{CD38B5CB-031A-4777-A957-868B938A71ED}" userId="S::eokmchui@ust.hk::35cdcb79-f0d7-4788-9aa9-c6dff20fbd48" providerId="AD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3" dT="2024-10-19T07:03:10.21" personId="{CD38B5CB-031A-4777-A957-868B938A71ED}" id="{B344C78B-0E69-4D1E-98BD-AD80D07B7CEE}">
    <text>EC-20 &amp; EC-21</text>
  </threadedComment>
  <threadedComment ref="AE3" dT="2024-10-19T07:03:10.21" personId="{CD38B5CB-031A-4777-A957-868B938A71ED}" id="{35A6199D-D56C-45C9-ADEC-E399F8B087DF}">
    <text>EC-20 &amp; EC-21</text>
  </threadedComment>
  <threadedComment ref="F152" dT="2024-09-08T07:27:43.67" personId="{CD38B5CB-031A-4777-A957-868B938A71ED}" id="{820AC5A9-E7C2-49DD-B9D4-CCACDC583731}">
    <text>MPA-05</text>
  </threadedComment>
  <threadedComment ref="P152" dT="2024-11-08T13:52:00.45" personId="{CD38B5CB-031A-4777-A957-868B938A71ED}" id="{CBDB98F0-5E89-4593-858C-2A043F3B3F34}">
    <text>BH-01 Line338</text>
  </threadedComment>
  <threadedComment ref="AE152" dT="2024-10-19T07:03:10.21" personId="{CD38B5CB-031A-4777-A957-868B938A71ED}" id="{79965FD5-3AED-4D4C-89C9-100A3BD87DB4}">
    <text>EC-20 &amp; EC-21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Diners@LSKBB" TargetMode="External"/><Relationship Id="rId1" Type="http://schemas.openxmlformats.org/officeDocument/2006/relationships/hyperlink" Target="mailto:Diners@LSKBB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6"/>
  <sheetViews>
    <sheetView zoomScale="85" zoomScaleNormal="85" workbookViewId="0">
      <pane xSplit="1" ySplit="2" topLeftCell="B132" activePane="bottomRight" state="frozen"/>
      <selection pane="topRight" activeCell="B1" sqref="B1"/>
      <selection pane="bottomLeft" activeCell="A3" sqref="A3"/>
      <selection pane="bottomRight" activeCell="I156" sqref="I156"/>
    </sheetView>
  </sheetViews>
  <sheetFormatPr baseColWidth="10" defaultColWidth="8.7109375" defaultRowHeight="16"/>
  <cols>
    <col min="1" max="1" width="13.7109375" customWidth="1"/>
    <col min="2" max="2" width="13.5703125" style="22" bestFit="1" customWidth="1"/>
    <col min="3" max="3" width="16.28515625" customWidth="1"/>
    <col min="4" max="4" width="12.28515625" customWidth="1"/>
    <col min="5" max="6" width="8.7109375" customWidth="1"/>
    <col min="7" max="8" width="8" customWidth="1"/>
    <col min="9" max="9" width="11.28515625" bestFit="1" customWidth="1"/>
    <col min="10" max="10" width="12.42578125" bestFit="1" customWidth="1"/>
    <col min="11" max="11" width="8.85546875" style="186" bestFit="1" customWidth="1"/>
    <col min="12" max="12" width="16.5703125" style="186" bestFit="1" customWidth="1"/>
    <col min="13" max="13" width="10.28515625" customWidth="1"/>
    <col min="14" max="14" width="11.7109375" customWidth="1"/>
    <col min="15" max="15" width="16.7109375" customWidth="1"/>
    <col min="16" max="16" width="16.85546875" customWidth="1"/>
    <col min="17" max="17" width="18" customWidth="1"/>
    <col min="18" max="19" width="16.85546875" customWidth="1"/>
    <col min="20" max="20" width="11.42578125" customWidth="1"/>
    <col min="21" max="21" width="7.7109375" customWidth="1"/>
    <col min="22" max="22" width="13.7109375" bestFit="1" customWidth="1"/>
    <col min="23" max="23" width="11.7109375" bestFit="1" customWidth="1"/>
    <col min="24" max="26" width="8.7109375" customWidth="1"/>
    <col min="27" max="27" width="13.5703125" customWidth="1"/>
    <col min="28" max="28" width="12.28515625" customWidth="1"/>
    <col min="29" max="29" width="12.140625" customWidth="1"/>
    <col min="30" max="30" width="14" customWidth="1"/>
    <col min="32" max="32" width="16" customWidth="1"/>
  </cols>
  <sheetData>
    <row r="1" spans="1:30" s="10" customFormat="1" ht="50.25" customHeight="1">
      <c r="A1" s="8"/>
      <c r="B1" s="9" t="s">
        <v>0</v>
      </c>
      <c r="C1" s="52" t="s">
        <v>1</v>
      </c>
      <c r="D1" s="51" t="s">
        <v>2</v>
      </c>
      <c r="E1" s="273" t="s">
        <v>3</v>
      </c>
      <c r="F1" s="274"/>
      <c r="G1" s="274"/>
      <c r="H1" s="274"/>
      <c r="I1" s="274"/>
      <c r="J1" s="185"/>
      <c r="K1" s="253" t="s">
        <v>4</v>
      </c>
      <c r="L1" s="253" t="s">
        <v>5</v>
      </c>
      <c r="N1" s="54"/>
      <c r="O1" s="57"/>
      <c r="P1" s="54"/>
      <c r="Q1" s="57"/>
      <c r="R1" s="57"/>
      <c r="S1" s="57"/>
      <c r="T1"/>
    </row>
    <row r="2" spans="1:30" ht="49.25" customHeight="1">
      <c r="A2" s="2"/>
      <c r="B2" s="33" t="s">
        <v>6</v>
      </c>
      <c r="C2" s="53" t="s">
        <v>7</v>
      </c>
      <c r="D2" s="139" t="s">
        <v>8</v>
      </c>
      <c r="E2" s="140" t="s">
        <v>9</v>
      </c>
      <c r="F2" s="140" t="s">
        <v>10</v>
      </c>
      <c r="G2" s="140" t="s">
        <v>11</v>
      </c>
      <c r="H2" s="140" t="s">
        <v>12</v>
      </c>
      <c r="I2" s="140" t="s">
        <v>13</v>
      </c>
      <c r="J2" s="252" t="s">
        <v>14</v>
      </c>
      <c r="K2" s="254"/>
      <c r="L2" s="254"/>
      <c r="N2" s="58" t="s">
        <v>15</v>
      </c>
      <c r="O2" s="59" t="s">
        <v>16</v>
      </c>
      <c r="P2" s="59" t="s">
        <v>17</v>
      </c>
      <c r="Q2" s="59" t="s">
        <v>18</v>
      </c>
      <c r="R2" s="59" t="s">
        <v>19</v>
      </c>
      <c r="S2" s="59" t="s">
        <v>20</v>
      </c>
      <c r="U2" s="114"/>
      <c r="V2" s="115"/>
      <c r="W2" s="115"/>
      <c r="X2" s="115"/>
      <c r="Y2" s="115"/>
      <c r="Z2" s="115"/>
      <c r="AA2" s="115"/>
      <c r="AB2" s="115"/>
      <c r="AC2" s="115"/>
      <c r="AD2" s="34"/>
    </row>
    <row r="3" spans="1:30" hidden="1">
      <c r="A3" s="1">
        <v>41456</v>
      </c>
      <c r="B3" s="21">
        <f t="shared" ref="B3:B34" si="0">SUM(C3:D3)</f>
        <v>8917775</v>
      </c>
      <c r="C3" s="3">
        <v>8036102</v>
      </c>
      <c r="D3" s="3">
        <v>881673</v>
      </c>
      <c r="E3" s="7"/>
      <c r="F3" s="7"/>
      <c r="G3" s="7"/>
      <c r="H3" s="7"/>
      <c r="K3" s="187">
        <v>32</v>
      </c>
      <c r="L3" s="187"/>
      <c r="N3" s="55">
        <v>41456</v>
      </c>
      <c r="U3" s="34"/>
      <c r="V3" s="34"/>
      <c r="W3" s="34"/>
      <c r="X3" s="34"/>
      <c r="Y3" s="34"/>
      <c r="Z3" s="34"/>
      <c r="AA3" s="34"/>
      <c r="AB3" s="34"/>
      <c r="AC3" s="34"/>
      <c r="AD3" s="34"/>
    </row>
    <row r="4" spans="1:30" hidden="1">
      <c r="A4" s="1">
        <v>41487</v>
      </c>
      <c r="B4" s="21">
        <f t="shared" si="0"/>
        <v>8906248</v>
      </c>
      <c r="C4" s="3">
        <v>8026656</v>
      </c>
      <c r="D4" s="3">
        <v>879592</v>
      </c>
      <c r="E4" s="7"/>
      <c r="F4" s="7"/>
      <c r="G4" s="7"/>
      <c r="H4" s="7"/>
      <c r="K4" s="187">
        <v>31</v>
      </c>
      <c r="L4" s="187"/>
      <c r="N4" s="55">
        <v>41487</v>
      </c>
      <c r="U4" s="34"/>
      <c r="V4" s="34"/>
      <c r="W4" s="34"/>
      <c r="X4" s="34"/>
      <c r="Y4" s="34"/>
      <c r="Z4" s="34"/>
      <c r="AA4" s="34"/>
      <c r="AB4" s="34"/>
      <c r="AC4" s="34"/>
      <c r="AD4" s="34"/>
    </row>
    <row r="5" spans="1:30" hidden="1">
      <c r="A5" s="1">
        <v>41518</v>
      </c>
      <c r="B5" s="21">
        <f t="shared" si="0"/>
        <v>8919899</v>
      </c>
      <c r="C5" s="3">
        <v>8108930</v>
      </c>
      <c r="D5" s="3">
        <v>810969</v>
      </c>
      <c r="E5" s="7"/>
      <c r="F5" s="7"/>
      <c r="G5" s="7"/>
      <c r="H5" s="7"/>
      <c r="K5" s="187">
        <v>31</v>
      </c>
      <c r="L5" s="187"/>
      <c r="N5" s="55">
        <v>41518</v>
      </c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spans="1:30" hidden="1">
      <c r="A6" s="1">
        <v>41548</v>
      </c>
      <c r="B6" s="21">
        <f t="shared" si="0"/>
        <v>7600046</v>
      </c>
      <c r="C6" s="3">
        <v>6953433</v>
      </c>
      <c r="D6" s="3">
        <v>646613</v>
      </c>
      <c r="E6" s="7"/>
      <c r="F6" s="7"/>
      <c r="G6" s="7"/>
      <c r="H6" s="7"/>
      <c r="K6" s="187">
        <v>30</v>
      </c>
      <c r="L6" s="187"/>
      <c r="N6" s="55">
        <v>41548</v>
      </c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spans="1:30" hidden="1">
      <c r="A7" s="1">
        <v>41579</v>
      </c>
      <c r="B7" s="21">
        <f t="shared" si="0"/>
        <v>6995914</v>
      </c>
      <c r="C7" s="3">
        <v>6475053</v>
      </c>
      <c r="D7" s="3">
        <v>520861</v>
      </c>
      <c r="E7" s="7"/>
      <c r="F7" s="7"/>
      <c r="G7" s="7"/>
      <c r="H7" s="7"/>
      <c r="K7" s="187">
        <v>30</v>
      </c>
      <c r="L7" s="187"/>
      <c r="N7" s="55">
        <v>41579</v>
      </c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spans="1:30" hidden="1">
      <c r="A8" s="1">
        <v>41609</v>
      </c>
      <c r="B8" s="21">
        <f t="shared" si="0"/>
        <v>6133318</v>
      </c>
      <c r="C8" s="3">
        <v>5561498</v>
      </c>
      <c r="D8" s="3">
        <v>571820</v>
      </c>
      <c r="E8" s="7"/>
      <c r="F8" s="7"/>
      <c r="G8" s="7"/>
      <c r="H8" s="7"/>
      <c r="K8" s="187">
        <v>31</v>
      </c>
      <c r="L8" s="187"/>
      <c r="N8" s="55">
        <v>41609</v>
      </c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spans="1:30">
      <c r="A9" s="17">
        <v>41640</v>
      </c>
      <c r="B9" s="24">
        <f t="shared" si="0"/>
        <v>5938547</v>
      </c>
      <c r="C9" s="23">
        <v>5376916</v>
      </c>
      <c r="D9" s="23">
        <v>561631</v>
      </c>
      <c r="E9" s="138"/>
      <c r="F9" s="138"/>
      <c r="G9" s="138"/>
      <c r="H9" s="138"/>
      <c r="I9" s="124"/>
      <c r="J9" s="124"/>
      <c r="K9" s="188">
        <v>31</v>
      </c>
      <c r="L9" s="188">
        <f>SUM(K9:K20)</f>
        <v>365</v>
      </c>
      <c r="N9" s="55"/>
      <c r="O9" s="14">
        <f t="shared" ref="O9:O40" si="1">SUM(B9:B20)</f>
        <v>91444196</v>
      </c>
      <c r="P9" s="128"/>
      <c r="Q9" s="128"/>
      <c r="R9" s="128"/>
      <c r="S9" s="128"/>
      <c r="U9" s="113"/>
      <c r="V9" s="113" t="s">
        <v>21</v>
      </c>
      <c r="W9" s="113">
        <f>SUM(B15:B17)</f>
        <v>27948305</v>
      </c>
      <c r="X9" s="113"/>
      <c r="Y9" s="113"/>
      <c r="Z9" s="113"/>
      <c r="AA9" s="116"/>
      <c r="AB9" s="113"/>
      <c r="AC9" s="113"/>
      <c r="AD9" s="113"/>
    </row>
    <row r="10" spans="1:30">
      <c r="A10" s="17">
        <v>41671</v>
      </c>
      <c r="B10" s="24">
        <f t="shared" si="0"/>
        <v>5888877</v>
      </c>
      <c r="C10" s="23">
        <v>5294961</v>
      </c>
      <c r="D10" s="23">
        <v>593916</v>
      </c>
      <c r="E10" s="138"/>
      <c r="F10" s="138"/>
      <c r="G10" s="138"/>
      <c r="H10" s="138"/>
      <c r="I10" s="124"/>
      <c r="J10" s="124"/>
      <c r="K10" s="188">
        <v>29</v>
      </c>
      <c r="L10" s="189"/>
      <c r="N10" s="55"/>
      <c r="O10" s="14">
        <f t="shared" si="1"/>
        <v>91543286</v>
      </c>
      <c r="P10" s="124"/>
      <c r="Q10" s="128"/>
      <c r="R10" s="124"/>
      <c r="S10" s="124"/>
      <c r="U10" s="113"/>
      <c r="V10" s="113" t="s">
        <v>22</v>
      </c>
      <c r="W10" s="113">
        <f>SUM(B27:B29)</f>
        <v>27470305</v>
      </c>
      <c r="X10" s="113"/>
      <c r="Y10" s="113"/>
      <c r="Z10" s="113"/>
      <c r="AA10" s="116"/>
      <c r="AB10" s="113"/>
      <c r="AC10" s="113"/>
      <c r="AD10" s="113"/>
    </row>
    <row r="11" spans="1:30">
      <c r="A11" s="17">
        <v>41699</v>
      </c>
      <c r="B11" s="24">
        <f t="shared" si="0"/>
        <v>6018786</v>
      </c>
      <c r="C11" s="23">
        <v>5479270</v>
      </c>
      <c r="D11" s="23">
        <v>539516</v>
      </c>
      <c r="E11" s="138"/>
      <c r="F11" s="138"/>
      <c r="G11" s="138"/>
      <c r="H11" s="138"/>
      <c r="I11" s="124"/>
      <c r="J11" s="124"/>
      <c r="K11" s="188">
        <v>28</v>
      </c>
      <c r="L11" s="189"/>
      <c r="N11" s="55"/>
      <c r="O11" s="14">
        <f t="shared" si="1"/>
        <v>91349924</v>
      </c>
      <c r="P11" s="124"/>
      <c r="Q11" s="128"/>
      <c r="R11" s="124"/>
      <c r="S11" s="124"/>
      <c r="U11" s="113"/>
      <c r="V11" s="113" t="s">
        <v>23</v>
      </c>
      <c r="W11" s="113">
        <f>SUM(B39:B41)</f>
        <v>28145108</v>
      </c>
      <c r="X11" s="113"/>
      <c r="Y11" s="113"/>
      <c r="Z11" s="113"/>
      <c r="AA11" s="116"/>
      <c r="AB11" s="113"/>
      <c r="AC11" s="113"/>
      <c r="AD11" s="113"/>
    </row>
    <row r="12" spans="1:30">
      <c r="A12" s="17">
        <v>41730</v>
      </c>
      <c r="B12" s="24">
        <f t="shared" si="0"/>
        <v>7488350</v>
      </c>
      <c r="C12" s="23">
        <v>6908484</v>
      </c>
      <c r="D12" s="23">
        <v>579866</v>
      </c>
      <c r="E12" s="138"/>
      <c r="F12" s="138"/>
      <c r="G12" s="138"/>
      <c r="H12" s="138"/>
      <c r="I12" s="124"/>
      <c r="J12" s="124"/>
      <c r="K12" s="188">
        <v>33</v>
      </c>
      <c r="L12" s="189"/>
      <c r="N12" s="55"/>
      <c r="O12" s="14">
        <f t="shared" si="1"/>
        <v>92139511</v>
      </c>
      <c r="P12" s="124"/>
      <c r="Q12" s="128"/>
      <c r="R12" s="124"/>
      <c r="S12" s="124"/>
      <c r="U12" s="113"/>
      <c r="V12" s="113" t="s">
        <v>24</v>
      </c>
      <c r="W12" s="113">
        <f>SUM(B51:B53)</f>
        <v>27598323</v>
      </c>
      <c r="X12" s="113"/>
      <c r="Y12" s="113"/>
      <c r="Z12" s="113"/>
      <c r="AA12" s="116"/>
      <c r="AB12" s="113"/>
      <c r="AC12" s="113"/>
      <c r="AD12" s="113"/>
    </row>
    <row r="13" spans="1:30">
      <c r="A13" s="17">
        <v>41760</v>
      </c>
      <c r="B13" s="24">
        <f t="shared" si="0"/>
        <v>7986119</v>
      </c>
      <c r="C13" s="23">
        <v>7273483</v>
      </c>
      <c r="D13" s="23">
        <v>712636</v>
      </c>
      <c r="E13" s="138"/>
      <c r="F13" s="138"/>
      <c r="G13" s="138"/>
      <c r="H13" s="138"/>
      <c r="I13" s="124"/>
      <c r="J13" s="124"/>
      <c r="K13" s="188">
        <v>30</v>
      </c>
      <c r="L13" s="189"/>
      <c r="N13" s="55"/>
      <c r="O13" s="14">
        <f t="shared" si="1"/>
        <v>92026556</v>
      </c>
      <c r="P13" s="124"/>
      <c r="Q13" s="128"/>
      <c r="R13" s="124"/>
      <c r="S13" s="124"/>
      <c r="V13" s="113" t="s">
        <v>25</v>
      </c>
      <c r="W13" s="14">
        <f>SUM(B63:B65)</f>
        <v>26978153</v>
      </c>
      <c r="AD13" s="113"/>
    </row>
    <row r="14" spans="1:30">
      <c r="A14" s="17">
        <v>41791</v>
      </c>
      <c r="B14" s="24">
        <f t="shared" si="0"/>
        <v>8876152</v>
      </c>
      <c r="C14" s="23">
        <v>7988748</v>
      </c>
      <c r="D14" s="23">
        <v>887404</v>
      </c>
      <c r="E14" s="138"/>
      <c r="F14" s="138"/>
      <c r="G14" s="138"/>
      <c r="H14" s="138"/>
      <c r="I14" s="124"/>
      <c r="J14" s="124"/>
      <c r="K14" s="188">
        <v>31</v>
      </c>
      <c r="L14" s="189"/>
      <c r="N14" s="55"/>
      <c r="O14" s="14">
        <f t="shared" si="1"/>
        <v>92230972</v>
      </c>
      <c r="P14" s="124"/>
      <c r="Q14" s="128"/>
      <c r="R14" s="124"/>
      <c r="S14" s="124"/>
      <c r="V14" s="113" t="s">
        <v>26</v>
      </c>
      <c r="W14" s="14">
        <f>SUM(B75:B77)</f>
        <v>27880497</v>
      </c>
      <c r="AD14" s="113"/>
    </row>
    <row r="15" spans="1:30">
      <c r="A15" s="17">
        <v>41821</v>
      </c>
      <c r="B15" s="24">
        <f t="shared" si="0"/>
        <v>9340526</v>
      </c>
      <c r="C15" s="23">
        <v>8442124</v>
      </c>
      <c r="D15" s="23">
        <v>898402</v>
      </c>
      <c r="E15" s="138"/>
      <c r="F15" s="138"/>
      <c r="G15" s="138"/>
      <c r="H15" s="138"/>
      <c r="I15" s="127"/>
      <c r="J15" s="127"/>
      <c r="K15" s="188">
        <v>31</v>
      </c>
      <c r="L15" s="189"/>
      <c r="N15" s="69" t="s">
        <v>27</v>
      </c>
      <c r="O15" s="70">
        <f t="shared" si="1"/>
        <v>93067207</v>
      </c>
      <c r="P15" s="124"/>
      <c r="Q15" s="130">
        <v>93067207</v>
      </c>
      <c r="R15" s="131" t="s">
        <v>28</v>
      </c>
      <c r="S15" s="124"/>
      <c r="V15" s="113" t="s">
        <v>29</v>
      </c>
      <c r="W15" s="14">
        <f>SUM(B87:B89)</f>
        <v>26237832</v>
      </c>
      <c r="AD15" s="113"/>
    </row>
    <row r="16" spans="1:30">
      <c r="A16" s="17">
        <v>41852</v>
      </c>
      <c r="B16" s="24">
        <f t="shared" si="0"/>
        <v>8583907</v>
      </c>
      <c r="C16" s="23">
        <v>7793747</v>
      </c>
      <c r="D16" s="23">
        <v>790160</v>
      </c>
      <c r="E16" s="138"/>
      <c r="F16" s="138"/>
      <c r="G16" s="138"/>
      <c r="H16" s="138"/>
      <c r="I16" s="127"/>
      <c r="J16" s="127"/>
      <c r="K16" s="188">
        <v>29</v>
      </c>
      <c r="L16" s="189"/>
      <c r="N16" s="55"/>
      <c r="O16" s="14">
        <f t="shared" si="1"/>
        <v>92560708</v>
      </c>
      <c r="P16" s="124"/>
      <c r="Q16" s="130">
        <v>92560708</v>
      </c>
      <c r="R16" s="56">
        <f t="shared" ref="R16:R61" si="2">(O16-$O$15)/$O$15</f>
        <v>-5.4422929013008842E-3</v>
      </c>
      <c r="S16" s="124"/>
      <c r="V16" s="113" t="s">
        <v>30</v>
      </c>
      <c r="W16" s="14">
        <f>SUM(B99:B101)</f>
        <v>27528189</v>
      </c>
      <c r="AD16" s="113"/>
    </row>
    <row r="17" spans="1:19">
      <c r="A17" s="17">
        <v>41883</v>
      </c>
      <c r="B17" s="24">
        <f t="shared" si="0"/>
        <v>10023872</v>
      </c>
      <c r="C17" s="23">
        <v>9097454</v>
      </c>
      <c r="D17" s="23">
        <v>926418</v>
      </c>
      <c r="E17" s="138"/>
      <c r="F17" s="138"/>
      <c r="G17" s="138"/>
      <c r="H17" s="138"/>
      <c r="I17" s="127"/>
      <c r="J17" s="127"/>
      <c r="K17" s="188">
        <v>32</v>
      </c>
      <c r="L17" s="189"/>
      <c r="N17" s="55"/>
      <c r="O17" s="14">
        <f t="shared" si="1"/>
        <v>92658683</v>
      </c>
      <c r="P17" s="124"/>
      <c r="Q17" s="130">
        <v>92658683</v>
      </c>
      <c r="R17" s="56">
        <f t="shared" si="2"/>
        <v>-4.3895590419942444E-3</v>
      </c>
      <c r="S17" s="124"/>
    </row>
    <row r="18" spans="1:19">
      <c r="A18" s="17">
        <v>41913</v>
      </c>
      <c r="B18" s="24">
        <f t="shared" si="0"/>
        <v>8035429</v>
      </c>
      <c r="C18" s="23">
        <v>7401930</v>
      </c>
      <c r="D18" s="23">
        <v>633499</v>
      </c>
      <c r="E18" s="138"/>
      <c r="F18" s="138"/>
      <c r="G18" s="138"/>
      <c r="H18" s="138"/>
      <c r="I18" s="127"/>
      <c r="J18" s="127"/>
      <c r="K18" s="188">
        <v>30</v>
      </c>
      <c r="L18" s="189"/>
      <c r="N18" s="55"/>
      <c r="O18" s="14">
        <f t="shared" si="1"/>
        <v>92589207</v>
      </c>
      <c r="P18" s="124"/>
      <c r="Q18" s="130">
        <v>92589207</v>
      </c>
      <c r="R18" s="56">
        <f t="shared" si="2"/>
        <v>-5.1360733324682236E-3</v>
      </c>
      <c r="S18" s="124"/>
    </row>
    <row r="19" spans="1:19">
      <c r="A19" s="17">
        <v>41944</v>
      </c>
      <c r="B19" s="24">
        <f t="shared" si="0"/>
        <v>6858052</v>
      </c>
      <c r="C19" s="23">
        <v>6380644</v>
      </c>
      <c r="D19" s="23">
        <v>477408</v>
      </c>
      <c r="E19" s="138"/>
      <c r="F19" s="138"/>
      <c r="G19" s="138"/>
      <c r="H19" s="138"/>
      <c r="I19" s="127"/>
      <c r="J19" s="127"/>
      <c r="K19" s="188">
        <v>29</v>
      </c>
      <c r="L19" s="189"/>
      <c r="N19" s="55"/>
      <c r="O19" s="14">
        <f t="shared" si="1"/>
        <v>92906500</v>
      </c>
      <c r="P19" s="124"/>
      <c r="Q19" s="130">
        <v>92906500</v>
      </c>
      <c r="R19" s="56">
        <f t="shared" si="2"/>
        <v>-1.7267843871150018E-3</v>
      </c>
      <c r="S19" s="124"/>
    </row>
    <row r="20" spans="1:19">
      <c r="A20" s="17">
        <v>41974</v>
      </c>
      <c r="B20" s="24">
        <f t="shared" si="0"/>
        <v>6405579</v>
      </c>
      <c r="C20" s="23">
        <v>5826218</v>
      </c>
      <c r="D20" s="23">
        <v>579361</v>
      </c>
      <c r="E20" s="138"/>
      <c r="F20" s="138"/>
      <c r="G20" s="138"/>
      <c r="H20" s="138"/>
      <c r="I20" s="127"/>
      <c r="J20" s="127"/>
      <c r="K20" s="188">
        <v>32</v>
      </c>
      <c r="L20" s="189"/>
      <c r="N20" s="55"/>
      <c r="O20" s="14">
        <f t="shared" si="1"/>
        <v>94099443</v>
      </c>
      <c r="P20" s="124"/>
      <c r="Q20" s="130">
        <v>94099443</v>
      </c>
      <c r="R20" s="56">
        <f t="shared" si="2"/>
        <v>1.109129663684868E-2</v>
      </c>
      <c r="S20" s="124"/>
    </row>
    <row r="21" spans="1:19">
      <c r="A21" s="16">
        <v>42005</v>
      </c>
      <c r="B21" s="28">
        <f t="shared" si="0"/>
        <v>6037637</v>
      </c>
      <c r="C21" s="27">
        <v>5490107</v>
      </c>
      <c r="D21" s="27">
        <v>547530</v>
      </c>
      <c r="E21" s="138"/>
      <c r="F21" s="138"/>
      <c r="G21" s="138"/>
      <c r="H21" s="138"/>
      <c r="I21" s="127"/>
      <c r="J21" s="127"/>
      <c r="K21" s="190">
        <v>31</v>
      </c>
      <c r="L21" s="190">
        <f>SUM(K21:K32)</f>
        <v>365</v>
      </c>
      <c r="N21" s="55"/>
      <c r="O21" s="14">
        <f t="shared" si="1"/>
        <v>94187317</v>
      </c>
      <c r="P21" s="124"/>
      <c r="Q21" s="130">
        <v>94187317</v>
      </c>
      <c r="R21" s="56">
        <f t="shared" si="2"/>
        <v>1.2035496026006239E-2</v>
      </c>
      <c r="S21" s="124"/>
    </row>
    <row r="22" spans="1:19">
      <c r="A22" s="16">
        <v>42036</v>
      </c>
      <c r="B22" s="28">
        <f t="shared" si="0"/>
        <v>5695515</v>
      </c>
      <c r="C22" s="27">
        <v>5208132</v>
      </c>
      <c r="D22" s="27">
        <v>487383</v>
      </c>
      <c r="E22" s="138"/>
      <c r="F22" s="138"/>
      <c r="G22" s="138"/>
      <c r="H22" s="138"/>
      <c r="I22" s="127"/>
      <c r="J22" s="127"/>
      <c r="K22" s="190">
        <v>28</v>
      </c>
      <c r="L22" s="191"/>
      <c r="N22" s="55"/>
      <c r="O22" s="14">
        <f t="shared" si="1"/>
        <v>94394903</v>
      </c>
      <c r="P22" s="124"/>
      <c r="Q22" s="130">
        <v>94394903</v>
      </c>
      <c r="R22" s="56">
        <f t="shared" si="2"/>
        <v>1.4265991672018264E-2</v>
      </c>
      <c r="S22" s="124"/>
    </row>
    <row r="23" spans="1:19">
      <c r="A23" s="16">
        <v>42064</v>
      </c>
      <c r="B23" s="28">
        <f t="shared" si="0"/>
        <v>6808373</v>
      </c>
      <c r="C23" s="27">
        <v>6247610</v>
      </c>
      <c r="D23" s="27">
        <v>560763</v>
      </c>
      <c r="E23" s="138"/>
      <c r="F23" s="138"/>
      <c r="G23" s="138"/>
      <c r="H23" s="138"/>
      <c r="I23" s="127"/>
      <c r="J23" s="127"/>
      <c r="K23" s="190">
        <v>31</v>
      </c>
      <c r="L23" s="191"/>
      <c r="N23" s="55"/>
      <c r="O23" s="14">
        <f t="shared" si="1"/>
        <v>95166272</v>
      </c>
      <c r="P23" s="124"/>
      <c r="Q23" s="130">
        <v>95166272</v>
      </c>
      <c r="R23" s="56">
        <f t="shared" si="2"/>
        <v>2.2554292405057349E-2</v>
      </c>
      <c r="S23" s="124"/>
    </row>
    <row r="24" spans="1:19">
      <c r="A24" s="16">
        <v>42095</v>
      </c>
      <c r="B24" s="28">
        <f t="shared" si="0"/>
        <v>7375395</v>
      </c>
      <c r="C24" s="27">
        <v>6824851</v>
      </c>
      <c r="D24" s="27">
        <v>550544</v>
      </c>
      <c r="E24" s="138"/>
      <c r="F24" s="138"/>
      <c r="G24" s="138"/>
      <c r="H24" s="138"/>
      <c r="I24" s="127"/>
      <c r="J24" s="127"/>
      <c r="K24" s="190">
        <v>31</v>
      </c>
      <c r="L24" s="191"/>
      <c r="N24" s="55"/>
      <c r="O24" s="14">
        <f t="shared" si="1"/>
        <v>94971369</v>
      </c>
      <c r="P24" s="124"/>
      <c r="Q24" s="130">
        <v>94971369</v>
      </c>
      <c r="R24" s="56">
        <f t="shared" si="2"/>
        <v>2.0460074621128362E-2</v>
      </c>
      <c r="S24" s="124"/>
    </row>
    <row r="25" spans="1:19">
      <c r="A25" s="16">
        <v>42125</v>
      </c>
      <c r="B25" s="28">
        <f t="shared" si="0"/>
        <v>8190535</v>
      </c>
      <c r="C25" s="27">
        <v>7514422</v>
      </c>
      <c r="D25" s="27">
        <v>676113</v>
      </c>
      <c r="E25" s="138"/>
      <c r="F25" s="138"/>
      <c r="G25" s="138"/>
      <c r="H25" s="138"/>
      <c r="I25" s="127"/>
      <c r="J25" s="127"/>
      <c r="K25" s="190">
        <v>29</v>
      </c>
      <c r="L25" s="191"/>
      <c r="N25" s="55"/>
      <c r="O25" s="14">
        <f t="shared" si="1"/>
        <v>95180695</v>
      </c>
      <c r="P25" s="124"/>
      <c r="Q25" s="130">
        <v>95180695</v>
      </c>
      <c r="R25" s="56">
        <f t="shared" si="2"/>
        <v>2.2709266433664436E-2</v>
      </c>
      <c r="S25" s="124"/>
    </row>
    <row r="26" spans="1:19">
      <c r="A26" s="16">
        <v>42156</v>
      </c>
      <c r="B26" s="28">
        <f t="shared" si="0"/>
        <v>9712387</v>
      </c>
      <c r="C26" s="27">
        <v>8760382</v>
      </c>
      <c r="D26" s="27">
        <v>952005</v>
      </c>
      <c r="E26" s="138"/>
      <c r="F26" s="138"/>
      <c r="G26" s="138"/>
      <c r="H26" s="138"/>
      <c r="I26" s="127"/>
      <c r="J26" s="127"/>
      <c r="K26" s="190">
        <v>32</v>
      </c>
      <c r="L26" s="191"/>
      <c r="N26" s="55"/>
      <c r="O26" s="14">
        <f t="shared" si="1"/>
        <v>95720512</v>
      </c>
      <c r="P26" s="124"/>
      <c r="Q26" s="130">
        <v>95720512</v>
      </c>
      <c r="R26" s="56">
        <f t="shared" si="2"/>
        <v>2.8509558689130961E-2</v>
      </c>
      <c r="S26" s="124"/>
    </row>
    <row r="27" spans="1:19">
      <c r="A27" s="16">
        <v>42186</v>
      </c>
      <c r="B27" s="28">
        <f t="shared" si="0"/>
        <v>8834027</v>
      </c>
      <c r="C27" s="27">
        <v>8050260</v>
      </c>
      <c r="D27" s="27">
        <v>783767</v>
      </c>
      <c r="E27" s="138"/>
      <c r="F27" s="138"/>
      <c r="G27" s="138"/>
      <c r="H27" s="138"/>
      <c r="I27" s="127"/>
      <c r="J27" s="127"/>
      <c r="K27" s="190">
        <v>30</v>
      </c>
      <c r="L27" s="191"/>
      <c r="N27" s="55" t="s">
        <v>31</v>
      </c>
      <c r="O27" s="14">
        <f t="shared" si="1"/>
        <v>95800070</v>
      </c>
      <c r="P27" s="124"/>
      <c r="Q27" s="130">
        <v>95800070</v>
      </c>
      <c r="R27" s="56">
        <f t="shared" si="2"/>
        <v>2.9364403296211521E-2</v>
      </c>
      <c r="S27" s="124"/>
    </row>
    <row r="28" spans="1:19">
      <c r="A28" s="16">
        <v>42217</v>
      </c>
      <c r="B28" s="28">
        <f t="shared" si="0"/>
        <v>8681882</v>
      </c>
      <c r="C28" s="27">
        <v>7874121</v>
      </c>
      <c r="D28" s="27">
        <v>807761</v>
      </c>
      <c r="E28" s="138"/>
      <c r="F28" s="138"/>
      <c r="G28" s="138"/>
      <c r="H28" s="138"/>
      <c r="I28" s="127"/>
      <c r="J28" s="127"/>
      <c r="K28" s="190">
        <v>29</v>
      </c>
      <c r="L28" s="191"/>
      <c r="N28" s="55"/>
      <c r="O28" s="14">
        <f t="shared" si="1"/>
        <v>96134757</v>
      </c>
      <c r="P28" s="124"/>
      <c r="Q28" s="130">
        <v>96134757</v>
      </c>
      <c r="R28" s="56">
        <f t="shared" si="2"/>
        <v>3.2960589437265479E-2</v>
      </c>
      <c r="S28" s="124"/>
    </row>
    <row r="29" spans="1:19">
      <c r="A29" s="16">
        <v>42248</v>
      </c>
      <c r="B29" s="28">
        <f t="shared" si="0"/>
        <v>9954396</v>
      </c>
      <c r="C29" s="27">
        <v>9106237</v>
      </c>
      <c r="D29" s="27">
        <v>848159</v>
      </c>
      <c r="E29" s="138"/>
      <c r="F29" s="138"/>
      <c r="G29" s="138"/>
      <c r="H29" s="138"/>
      <c r="I29" s="127"/>
      <c r="J29" s="127"/>
      <c r="K29" s="190">
        <v>33</v>
      </c>
      <c r="L29" s="191"/>
      <c r="N29" s="55"/>
      <c r="O29" s="14">
        <f t="shared" si="1"/>
        <v>96947485</v>
      </c>
      <c r="P29" s="124"/>
      <c r="Q29" s="130">
        <v>96947485</v>
      </c>
      <c r="R29" s="56">
        <f t="shared" si="2"/>
        <v>4.1693289452642543E-2</v>
      </c>
      <c r="S29" s="124"/>
    </row>
    <row r="30" spans="1:19">
      <c r="A30" s="16">
        <v>42278</v>
      </c>
      <c r="B30" s="28">
        <f t="shared" si="0"/>
        <v>8352722</v>
      </c>
      <c r="C30" s="27">
        <v>7743078</v>
      </c>
      <c r="D30" s="27">
        <v>609644</v>
      </c>
      <c r="E30" s="138"/>
      <c r="F30" s="138"/>
      <c r="G30" s="138"/>
      <c r="H30" s="138"/>
      <c r="I30" s="127"/>
      <c r="J30" s="127"/>
      <c r="K30" s="190">
        <v>30</v>
      </c>
      <c r="L30" s="191"/>
      <c r="N30" s="55"/>
      <c r="O30" s="14">
        <f t="shared" si="1"/>
        <v>96474873</v>
      </c>
      <c r="P30" s="124"/>
      <c r="Q30" s="130">
        <v>96474873</v>
      </c>
      <c r="R30" s="56">
        <f t="shared" si="2"/>
        <v>3.6615109766859125E-2</v>
      </c>
      <c r="S30" s="124"/>
    </row>
    <row r="31" spans="1:19">
      <c r="A31" s="16">
        <v>42309</v>
      </c>
      <c r="B31" s="28">
        <f t="shared" si="0"/>
        <v>8050995</v>
      </c>
      <c r="C31" s="27">
        <v>7497518</v>
      </c>
      <c r="D31" s="27">
        <v>553477</v>
      </c>
      <c r="E31" s="138"/>
      <c r="F31" s="138"/>
      <c r="G31" s="138"/>
      <c r="H31" s="138"/>
      <c r="I31" s="127"/>
      <c r="J31" s="127"/>
      <c r="K31" s="190">
        <v>31</v>
      </c>
      <c r="L31" s="191"/>
      <c r="N31" s="55"/>
      <c r="O31" s="14">
        <f t="shared" si="1"/>
        <v>96161212</v>
      </c>
      <c r="P31" s="124"/>
      <c r="Q31" s="130">
        <v>96161212</v>
      </c>
      <c r="R31" s="56">
        <f t="shared" si="2"/>
        <v>3.324484638289403E-2</v>
      </c>
      <c r="S31" s="124"/>
    </row>
    <row r="32" spans="1:19">
      <c r="A32" s="16">
        <v>42339</v>
      </c>
      <c r="B32" s="28">
        <f t="shared" si="0"/>
        <v>6493453</v>
      </c>
      <c r="C32" s="27">
        <v>6007766</v>
      </c>
      <c r="D32" s="27">
        <v>485687</v>
      </c>
      <c r="E32" s="138"/>
      <c r="F32" s="138"/>
      <c r="G32" s="138"/>
      <c r="H32" s="138"/>
      <c r="I32" s="127"/>
      <c r="J32" s="127"/>
      <c r="K32" s="190">
        <v>30</v>
      </c>
      <c r="L32" s="191"/>
      <c r="N32" s="55"/>
      <c r="O32" s="14">
        <f t="shared" si="1"/>
        <v>96368281</v>
      </c>
      <c r="P32" s="124"/>
      <c r="Q32" s="130">
        <v>96368281</v>
      </c>
      <c r="R32" s="56">
        <f t="shared" si="2"/>
        <v>3.5469786903565288E-2</v>
      </c>
      <c r="S32" s="124"/>
    </row>
    <row r="33" spans="1:19">
      <c r="A33" s="18">
        <v>42370</v>
      </c>
      <c r="B33" s="30">
        <f t="shared" si="0"/>
        <v>6245223</v>
      </c>
      <c r="C33" s="29">
        <v>5677744</v>
      </c>
      <c r="D33" s="29">
        <v>567479</v>
      </c>
      <c r="E33" s="138"/>
      <c r="F33" s="138"/>
      <c r="G33" s="138"/>
      <c r="H33" s="138"/>
      <c r="I33" s="127"/>
      <c r="J33" s="127"/>
      <c r="K33" s="192">
        <v>30</v>
      </c>
      <c r="L33" s="192">
        <f>SUM(K33:K44)</f>
        <v>366</v>
      </c>
      <c r="N33" s="55"/>
      <c r="O33" s="14">
        <f t="shared" si="1"/>
        <v>96342853</v>
      </c>
      <c r="P33" s="124"/>
      <c r="Q33" s="130">
        <v>96342853</v>
      </c>
      <c r="R33" s="56">
        <f t="shared" si="2"/>
        <v>3.5196564994155244E-2</v>
      </c>
      <c r="S33" s="124"/>
    </row>
    <row r="34" spans="1:19">
      <c r="A34" s="18">
        <v>42401</v>
      </c>
      <c r="B34" s="30">
        <f t="shared" si="0"/>
        <v>6466884</v>
      </c>
      <c r="C34" s="29">
        <v>5859419</v>
      </c>
      <c r="D34" s="29">
        <v>607465</v>
      </c>
      <c r="E34" s="138"/>
      <c r="F34" s="138"/>
      <c r="G34" s="138"/>
      <c r="H34" s="138"/>
      <c r="I34" s="127"/>
      <c r="J34" s="127"/>
      <c r="K34" s="192">
        <v>31</v>
      </c>
      <c r="L34" s="193"/>
      <c r="N34" s="55"/>
      <c r="O34" s="14">
        <f t="shared" si="1"/>
        <v>95623203</v>
      </c>
      <c r="P34" s="124"/>
      <c r="Q34" s="130">
        <v>95623203</v>
      </c>
      <c r="R34" s="56">
        <f t="shared" si="2"/>
        <v>2.7463980948735253E-2</v>
      </c>
      <c r="S34" s="124"/>
    </row>
    <row r="35" spans="1:19">
      <c r="A35" s="18">
        <v>42430</v>
      </c>
      <c r="B35" s="30">
        <f t="shared" ref="B35:B66" si="3">SUM(C35:D35)</f>
        <v>6613470</v>
      </c>
      <c r="C35" s="29">
        <v>6048978</v>
      </c>
      <c r="D35" s="29">
        <v>564492</v>
      </c>
      <c r="E35" s="138"/>
      <c r="F35" s="138"/>
      <c r="G35" s="138"/>
      <c r="H35" s="138"/>
      <c r="I35" s="127"/>
      <c r="J35" s="127"/>
      <c r="K35" s="192">
        <v>30</v>
      </c>
      <c r="L35" s="193"/>
      <c r="N35" s="55"/>
      <c r="O35" s="14">
        <f t="shared" si="1"/>
        <v>95982844</v>
      </c>
      <c r="P35" s="124"/>
      <c r="Q35" s="130">
        <v>95982844</v>
      </c>
      <c r="R35" s="56">
        <f t="shared" si="2"/>
        <v>3.1328295905559946E-2</v>
      </c>
      <c r="S35" s="124"/>
    </row>
    <row r="36" spans="1:19">
      <c r="A36" s="18">
        <v>42461</v>
      </c>
      <c r="B36" s="30">
        <f t="shared" si="3"/>
        <v>7584721</v>
      </c>
      <c r="C36" s="29">
        <v>7011981</v>
      </c>
      <c r="D36" s="29">
        <v>572740</v>
      </c>
      <c r="E36" s="138"/>
      <c r="F36" s="138"/>
      <c r="G36" s="138"/>
      <c r="H36" s="138"/>
      <c r="I36" s="127"/>
      <c r="J36" s="127"/>
      <c r="K36" s="192">
        <v>30</v>
      </c>
      <c r="L36" s="193"/>
      <c r="N36" s="55"/>
      <c r="O36" s="14">
        <f t="shared" si="1"/>
        <v>96253205</v>
      </c>
      <c r="P36" s="124"/>
      <c r="Q36" s="130">
        <v>96253205</v>
      </c>
      <c r="R36" s="56">
        <f t="shared" si="2"/>
        <v>3.4233304111081789E-2</v>
      </c>
      <c r="S36" s="124"/>
    </row>
    <row r="37" spans="1:19">
      <c r="A37" s="18">
        <v>42491</v>
      </c>
      <c r="B37" s="30">
        <f t="shared" si="3"/>
        <v>8730352</v>
      </c>
      <c r="C37" s="29">
        <v>8032494</v>
      </c>
      <c r="D37" s="29">
        <v>697858</v>
      </c>
      <c r="E37" s="138"/>
      <c r="F37" s="138"/>
      <c r="G37" s="138"/>
      <c r="H37" s="138"/>
      <c r="I37" s="127"/>
      <c r="J37" s="127"/>
      <c r="K37" s="192">
        <v>31</v>
      </c>
      <c r="L37" s="193"/>
      <c r="N37" s="55"/>
      <c r="O37" s="14">
        <f t="shared" si="1"/>
        <v>95356819</v>
      </c>
      <c r="P37" s="124"/>
      <c r="Q37" s="130">
        <v>95356819</v>
      </c>
      <c r="R37" s="56">
        <f t="shared" si="2"/>
        <v>2.4601705303136476E-2</v>
      </c>
      <c r="S37" s="124"/>
    </row>
    <row r="38" spans="1:19">
      <c r="A38" s="18">
        <v>42522</v>
      </c>
      <c r="B38" s="30">
        <f t="shared" si="3"/>
        <v>9791945</v>
      </c>
      <c r="C38" s="29">
        <v>8895567</v>
      </c>
      <c r="D38" s="29">
        <v>896378</v>
      </c>
      <c r="E38" s="138"/>
      <c r="F38" s="138"/>
      <c r="G38" s="138"/>
      <c r="H38" s="138"/>
      <c r="I38" s="127"/>
      <c r="J38" s="127"/>
      <c r="K38" s="192">
        <v>31</v>
      </c>
      <c r="L38" s="193"/>
      <c r="N38" s="55"/>
      <c r="O38" s="14">
        <f t="shared" si="1"/>
        <v>94764032</v>
      </c>
      <c r="P38" s="124"/>
      <c r="Q38" s="130">
        <v>94764032</v>
      </c>
      <c r="R38" s="56">
        <f t="shared" si="2"/>
        <v>1.8232254461015469E-2</v>
      </c>
      <c r="S38" s="124"/>
    </row>
    <row r="39" spans="1:19">
      <c r="A39" s="18">
        <v>42552</v>
      </c>
      <c r="B39" s="30">
        <f t="shared" si="3"/>
        <v>9168714</v>
      </c>
      <c r="C39" s="29">
        <v>8357768</v>
      </c>
      <c r="D39" s="29">
        <v>810946</v>
      </c>
      <c r="E39" s="138"/>
      <c r="F39" s="138"/>
      <c r="G39" s="138"/>
      <c r="H39" s="138"/>
      <c r="I39" s="127"/>
      <c r="J39" s="127"/>
      <c r="K39" s="192">
        <v>29</v>
      </c>
      <c r="L39" s="193"/>
      <c r="N39" s="55" t="s">
        <v>32</v>
      </c>
      <c r="O39" s="14">
        <f t="shared" si="1"/>
        <v>94486358</v>
      </c>
      <c r="P39" s="124"/>
      <c r="Q39" s="130">
        <v>94486358</v>
      </c>
      <c r="R39" s="56">
        <f t="shared" si="2"/>
        <v>1.5248668631476177E-2</v>
      </c>
      <c r="S39" s="124"/>
    </row>
    <row r="40" spans="1:19">
      <c r="A40" s="18">
        <v>42583</v>
      </c>
      <c r="B40" s="30">
        <f t="shared" si="3"/>
        <v>9494610</v>
      </c>
      <c r="C40" s="29">
        <v>8718549</v>
      </c>
      <c r="D40" s="29">
        <v>776061</v>
      </c>
      <c r="E40" s="138"/>
      <c r="F40" s="138"/>
      <c r="G40" s="138"/>
      <c r="H40" s="138"/>
      <c r="I40" s="127"/>
      <c r="J40" s="127"/>
      <c r="K40" s="192">
        <v>32</v>
      </c>
      <c r="L40" s="193"/>
      <c r="N40" s="55"/>
      <c r="O40" s="14">
        <f t="shared" si="1"/>
        <v>93560730</v>
      </c>
      <c r="P40" s="124"/>
      <c r="Q40" s="130">
        <v>93560730</v>
      </c>
      <c r="R40" s="56">
        <f t="shared" si="2"/>
        <v>5.302866776693965E-3</v>
      </c>
      <c r="S40" s="124"/>
    </row>
    <row r="41" spans="1:19">
      <c r="A41" s="18">
        <v>42614</v>
      </c>
      <c r="B41" s="30">
        <f t="shared" si="3"/>
        <v>9481784</v>
      </c>
      <c r="C41" s="29">
        <v>8768279</v>
      </c>
      <c r="D41" s="29">
        <v>713505</v>
      </c>
      <c r="E41" s="138"/>
      <c r="F41" s="138"/>
      <c r="G41" s="138"/>
      <c r="H41" s="138"/>
      <c r="I41" s="127"/>
      <c r="J41" s="127"/>
      <c r="K41" s="192">
        <v>31</v>
      </c>
      <c r="L41" s="193"/>
      <c r="N41" s="55"/>
      <c r="O41" s="14">
        <f t="shared" ref="O41:O72" si="4">SUM(B41:B52)</f>
        <v>93908381</v>
      </c>
      <c r="P41" s="124"/>
      <c r="Q41" s="130">
        <v>93908381</v>
      </c>
      <c r="R41" s="56">
        <f t="shared" si="2"/>
        <v>9.038350103275368E-3</v>
      </c>
      <c r="S41" s="124"/>
    </row>
    <row r="42" spans="1:19">
      <c r="A42" s="18">
        <v>42644</v>
      </c>
      <c r="B42" s="30">
        <f t="shared" si="3"/>
        <v>8039061</v>
      </c>
      <c r="C42" s="29">
        <v>7474272</v>
      </c>
      <c r="D42" s="29">
        <v>564789</v>
      </c>
      <c r="E42" s="138"/>
      <c r="F42" s="138"/>
      <c r="G42" s="138"/>
      <c r="H42" s="138"/>
      <c r="I42" s="127"/>
      <c r="J42" s="127"/>
      <c r="K42" s="192">
        <v>28</v>
      </c>
      <c r="L42" s="193"/>
      <c r="N42" s="55"/>
      <c r="O42" s="14">
        <f t="shared" si="4"/>
        <v>93939573</v>
      </c>
      <c r="P42" s="124"/>
      <c r="Q42" s="130">
        <v>93939573</v>
      </c>
      <c r="R42" s="56">
        <f t="shared" si="2"/>
        <v>9.3735057505271429E-3</v>
      </c>
      <c r="S42" s="124"/>
    </row>
    <row r="43" spans="1:19">
      <c r="A43" s="18">
        <v>42675</v>
      </c>
      <c r="B43" s="30">
        <f t="shared" si="3"/>
        <v>8258064</v>
      </c>
      <c r="C43" s="29">
        <v>7711029</v>
      </c>
      <c r="D43" s="29">
        <v>547035</v>
      </c>
      <c r="E43" s="138"/>
      <c r="F43" s="138"/>
      <c r="G43" s="138"/>
      <c r="H43" s="138"/>
      <c r="I43" s="127"/>
      <c r="J43" s="127"/>
      <c r="K43" s="192">
        <v>33</v>
      </c>
      <c r="L43" s="193"/>
      <c r="N43" s="55"/>
      <c r="O43" s="14">
        <f t="shared" si="4"/>
        <v>94414956</v>
      </c>
      <c r="P43" s="124"/>
      <c r="Q43" s="130">
        <v>94414956</v>
      </c>
      <c r="R43" s="56">
        <f t="shared" si="2"/>
        <v>1.4481459618746268E-2</v>
      </c>
      <c r="S43" s="124"/>
    </row>
    <row r="44" spans="1:19">
      <c r="A44" s="18">
        <v>42705</v>
      </c>
      <c r="B44" s="30">
        <f t="shared" si="3"/>
        <v>6468025</v>
      </c>
      <c r="C44" s="29">
        <v>6023715</v>
      </c>
      <c r="D44" s="29">
        <v>444310</v>
      </c>
      <c r="E44" s="138"/>
      <c r="F44" s="138"/>
      <c r="G44" s="138"/>
      <c r="H44" s="138"/>
      <c r="I44" s="127"/>
      <c r="J44" s="127"/>
      <c r="K44" s="192">
        <v>30</v>
      </c>
      <c r="L44" s="193"/>
      <c r="N44" s="55"/>
      <c r="O44" s="14">
        <f t="shared" si="4"/>
        <v>93418878</v>
      </c>
      <c r="P44" s="124"/>
      <c r="Q44" s="130">
        <v>93418878</v>
      </c>
      <c r="R44" s="56">
        <f t="shared" si="2"/>
        <v>3.778677918205926E-3</v>
      </c>
      <c r="S44" s="124"/>
    </row>
    <row r="45" spans="1:19">
      <c r="A45" s="19">
        <v>42736</v>
      </c>
      <c r="B45" s="26">
        <f t="shared" si="3"/>
        <v>5525573</v>
      </c>
      <c r="C45" s="25">
        <v>5117411</v>
      </c>
      <c r="D45" s="25">
        <v>408162</v>
      </c>
      <c r="E45" s="138"/>
      <c r="F45" s="138"/>
      <c r="G45" s="138"/>
      <c r="H45" s="138"/>
      <c r="I45" s="127"/>
      <c r="J45" s="127"/>
      <c r="K45" s="194">
        <v>27</v>
      </c>
      <c r="L45" s="194">
        <f>SUM(K45:K56)</f>
        <v>364</v>
      </c>
      <c r="N45" s="55"/>
      <c r="O45" s="14">
        <f t="shared" si="4"/>
        <v>92921703</v>
      </c>
      <c r="P45" s="124"/>
      <c r="Q45" s="130">
        <v>92921703</v>
      </c>
      <c r="R45" s="56">
        <f t="shared" si="2"/>
        <v>-1.563429318341959E-3</v>
      </c>
      <c r="S45" s="124"/>
    </row>
    <row r="46" spans="1:19">
      <c r="A46" s="19">
        <v>42767</v>
      </c>
      <c r="B46" s="26">
        <f t="shared" si="3"/>
        <v>6826525</v>
      </c>
      <c r="C46" s="25">
        <v>6291044</v>
      </c>
      <c r="D46" s="25">
        <v>535481</v>
      </c>
      <c r="E46" s="138"/>
      <c r="F46" s="138"/>
      <c r="G46" s="138"/>
      <c r="H46" s="138"/>
      <c r="I46" s="127"/>
      <c r="J46" s="127"/>
      <c r="K46" s="194">
        <v>33</v>
      </c>
      <c r="L46" s="195"/>
      <c r="N46" s="55"/>
      <c r="O46" s="14">
        <f t="shared" si="4"/>
        <v>93736605</v>
      </c>
      <c r="P46" s="124"/>
      <c r="Q46" s="130">
        <v>93736605</v>
      </c>
      <c r="R46" s="56">
        <f t="shared" si="2"/>
        <v>7.1926301602668703E-3</v>
      </c>
      <c r="S46" s="124"/>
    </row>
    <row r="47" spans="1:19">
      <c r="A47" s="19">
        <v>42795</v>
      </c>
      <c r="B47" s="26">
        <f t="shared" si="3"/>
        <v>6883831</v>
      </c>
      <c r="C47" s="25">
        <v>6371149</v>
      </c>
      <c r="D47" s="25">
        <v>512682</v>
      </c>
      <c r="E47" s="138"/>
      <c r="F47" s="138"/>
      <c r="G47" s="138"/>
      <c r="H47" s="138"/>
      <c r="I47" s="127"/>
      <c r="J47" s="127"/>
      <c r="K47" s="194">
        <v>31</v>
      </c>
      <c r="L47" s="195"/>
      <c r="N47" s="55"/>
      <c r="O47" s="14">
        <f t="shared" si="4"/>
        <v>92920952</v>
      </c>
      <c r="P47" s="124"/>
      <c r="Q47" s="130">
        <v>92920952</v>
      </c>
      <c r="R47" s="56">
        <f t="shared" si="2"/>
        <v>-1.5714987557325106E-3</v>
      </c>
      <c r="S47" s="124"/>
    </row>
    <row r="48" spans="1:19">
      <c r="A48" s="19">
        <v>42826</v>
      </c>
      <c r="B48" s="26">
        <f t="shared" si="3"/>
        <v>6688335</v>
      </c>
      <c r="C48" s="25">
        <v>6233637</v>
      </c>
      <c r="D48" s="25">
        <v>454698</v>
      </c>
      <c r="E48" s="138"/>
      <c r="F48" s="138"/>
      <c r="G48" s="138"/>
      <c r="H48" s="138"/>
      <c r="I48" s="127"/>
      <c r="J48" s="127"/>
      <c r="K48" s="194">
        <v>28</v>
      </c>
      <c r="L48" s="195"/>
      <c r="N48" s="55"/>
      <c r="O48" s="14">
        <f t="shared" si="4"/>
        <v>92503642</v>
      </c>
      <c r="P48" s="124"/>
      <c r="Q48" s="130">
        <v>92503642</v>
      </c>
      <c r="R48" s="56">
        <f t="shared" si="2"/>
        <v>-6.0554626937499049E-3</v>
      </c>
      <c r="S48" s="124"/>
    </row>
    <row r="49" spans="1:20">
      <c r="A49" s="19">
        <v>42856</v>
      </c>
      <c r="B49" s="26">
        <f t="shared" si="3"/>
        <v>8137565</v>
      </c>
      <c r="C49" s="25">
        <v>7570218</v>
      </c>
      <c r="D49" s="25">
        <v>567347</v>
      </c>
      <c r="E49" s="138"/>
      <c r="F49" s="138"/>
      <c r="G49" s="138"/>
      <c r="H49" s="138"/>
      <c r="I49" s="127"/>
      <c r="J49" s="127"/>
      <c r="K49" s="194">
        <v>31</v>
      </c>
      <c r="L49" s="195"/>
      <c r="N49" s="55"/>
      <c r="O49" s="14">
        <f t="shared" si="4"/>
        <v>93292059</v>
      </c>
      <c r="P49" s="124"/>
      <c r="Q49" s="130">
        <v>93292059</v>
      </c>
      <c r="R49" s="56">
        <f t="shared" si="2"/>
        <v>2.4160174915316842E-3</v>
      </c>
      <c r="S49" s="124"/>
    </row>
    <row r="50" spans="1:20">
      <c r="A50" s="19">
        <v>42887</v>
      </c>
      <c r="B50" s="26">
        <f t="shared" si="3"/>
        <v>9514271</v>
      </c>
      <c r="C50" s="25">
        <v>8753106</v>
      </c>
      <c r="D50" s="25">
        <v>761165</v>
      </c>
      <c r="E50" s="138"/>
      <c r="F50" s="138"/>
      <c r="G50" s="138"/>
      <c r="H50" s="138"/>
      <c r="I50" s="127"/>
      <c r="J50" s="127"/>
      <c r="K50" s="194">
        <v>32</v>
      </c>
      <c r="L50" s="195"/>
      <c r="N50" s="55"/>
      <c r="O50" s="14">
        <f t="shared" si="4"/>
        <v>94135291</v>
      </c>
      <c r="P50" s="124"/>
      <c r="Q50" s="130">
        <v>94135291</v>
      </c>
      <c r="R50" s="56">
        <f t="shared" si="2"/>
        <v>1.1476480646937218E-2</v>
      </c>
      <c r="S50" s="124"/>
    </row>
    <row r="51" spans="1:20">
      <c r="A51" s="19">
        <v>42917</v>
      </c>
      <c r="B51" s="26">
        <f>SUM(C51:D51)</f>
        <v>8243086</v>
      </c>
      <c r="C51" s="25">
        <v>7666129</v>
      </c>
      <c r="D51" s="25">
        <v>576957</v>
      </c>
      <c r="E51" s="138"/>
      <c r="F51" s="138"/>
      <c r="G51" s="138"/>
      <c r="H51" s="138"/>
      <c r="I51" s="127"/>
      <c r="J51" s="127"/>
      <c r="K51" s="194">
        <v>28</v>
      </c>
      <c r="L51" s="195"/>
      <c r="N51" s="55" t="s">
        <v>33</v>
      </c>
      <c r="O51" s="14">
        <f t="shared" si="4"/>
        <v>92966450</v>
      </c>
      <c r="P51" s="124"/>
      <c r="Q51" s="130">
        <v>92966450</v>
      </c>
      <c r="R51" s="56">
        <f t="shared" si="2"/>
        <v>-1.0826262358985372E-3</v>
      </c>
      <c r="S51" s="124"/>
    </row>
    <row r="52" spans="1:20">
      <c r="A52" s="19">
        <v>42948</v>
      </c>
      <c r="B52" s="26">
        <f t="shared" si="3"/>
        <v>9842261</v>
      </c>
      <c r="C52" s="25">
        <v>9054474</v>
      </c>
      <c r="D52" s="25">
        <v>787787</v>
      </c>
      <c r="E52" s="138"/>
      <c r="F52" s="138"/>
      <c r="G52" s="138"/>
      <c r="H52" s="138"/>
      <c r="I52" s="127"/>
      <c r="J52" s="127"/>
      <c r="K52" s="194">
        <v>33</v>
      </c>
      <c r="L52" s="195"/>
      <c r="N52" s="55"/>
      <c r="O52" s="14">
        <f t="shared" si="4"/>
        <v>93887240</v>
      </c>
      <c r="P52" s="124"/>
      <c r="Q52" s="130">
        <v>93887240</v>
      </c>
      <c r="R52" s="56">
        <f t="shared" si="2"/>
        <v>8.8111916800081898E-3</v>
      </c>
      <c r="S52" s="124"/>
    </row>
    <row r="53" spans="1:20">
      <c r="A53" s="19">
        <v>42979</v>
      </c>
      <c r="B53" s="26">
        <f t="shared" si="3"/>
        <v>9512976</v>
      </c>
      <c r="C53" s="25">
        <v>8757918</v>
      </c>
      <c r="D53" s="25">
        <v>755058</v>
      </c>
      <c r="E53" s="138"/>
      <c r="F53" s="138"/>
      <c r="G53" s="138"/>
      <c r="H53" s="138"/>
      <c r="I53" s="127"/>
      <c r="J53" s="127"/>
      <c r="K53" s="194">
        <v>30</v>
      </c>
      <c r="L53" s="195"/>
      <c r="N53" s="55"/>
      <c r="O53" s="14">
        <f t="shared" si="4"/>
        <v>93309781</v>
      </c>
      <c r="P53" s="124"/>
      <c r="Q53" s="130">
        <v>93309781</v>
      </c>
      <c r="R53" s="56">
        <f t="shared" si="2"/>
        <v>2.606439022071437E-3</v>
      </c>
      <c r="S53" s="124"/>
    </row>
    <row r="54" spans="1:20">
      <c r="A54" s="19">
        <v>43009</v>
      </c>
      <c r="B54" s="26">
        <f t="shared" si="3"/>
        <v>8514444</v>
      </c>
      <c r="C54" s="25">
        <v>7909925</v>
      </c>
      <c r="D54" s="25">
        <v>604519</v>
      </c>
      <c r="E54" s="138"/>
      <c r="F54" s="138"/>
      <c r="G54" s="138"/>
      <c r="H54" s="138"/>
      <c r="I54" s="127"/>
      <c r="J54" s="127"/>
      <c r="K54" s="194">
        <v>31</v>
      </c>
      <c r="L54" s="195"/>
      <c r="N54" s="55"/>
      <c r="O54" s="14">
        <f t="shared" si="4"/>
        <v>92346280</v>
      </c>
      <c r="P54" s="124"/>
      <c r="Q54" s="130">
        <v>92346280</v>
      </c>
      <c r="R54" s="56">
        <f t="shared" si="2"/>
        <v>-7.7463053124609185E-3</v>
      </c>
      <c r="S54" s="124"/>
    </row>
    <row r="55" spans="1:20">
      <c r="A55" s="19">
        <v>43040</v>
      </c>
      <c r="B55" s="26">
        <f t="shared" si="3"/>
        <v>7261986</v>
      </c>
      <c r="C55" s="25">
        <v>6818995</v>
      </c>
      <c r="D55" s="25">
        <v>442991</v>
      </c>
      <c r="E55" s="138"/>
      <c r="F55" s="138"/>
      <c r="G55" s="138"/>
      <c r="H55" s="138"/>
      <c r="I55" s="127"/>
      <c r="J55" s="127"/>
      <c r="K55" s="194">
        <v>31</v>
      </c>
      <c r="L55" s="195"/>
      <c r="N55" s="55"/>
      <c r="O55" s="14">
        <f t="shared" si="4"/>
        <v>91966795</v>
      </c>
      <c r="P55" s="124"/>
      <c r="Q55" s="130">
        <v>91966795</v>
      </c>
      <c r="R55" s="56">
        <f t="shared" si="2"/>
        <v>-1.1823842527046073E-2</v>
      </c>
      <c r="S55" s="124"/>
    </row>
    <row r="56" spans="1:20">
      <c r="A56" s="19">
        <v>43070</v>
      </c>
      <c r="B56" s="26">
        <f t="shared" si="3"/>
        <v>5970850</v>
      </c>
      <c r="C56" s="25">
        <v>5558859</v>
      </c>
      <c r="D56" s="25">
        <v>411991</v>
      </c>
      <c r="E56" s="138"/>
      <c r="F56" s="138"/>
      <c r="G56" s="138"/>
      <c r="H56" s="138"/>
      <c r="I56" s="127"/>
      <c r="J56" s="127"/>
      <c r="K56" s="194">
        <v>29</v>
      </c>
      <c r="L56" s="195"/>
      <c r="N56" s="55"/>
      <c r="O56" s="14">
        <f t="shared" si="4"/>
        <v>92006183</v>
      </c>
      <c r="P56" s="124"/>
      <c r="Q56" s="130">
        <v>92006183</v>
      </c>
      <c r="R56" s="56">
        <f t="shared" si="2"/>
        <v>-1.140062148851206E-2</v>
      </c>
      <c r="S56" s="124"/>
    </row>
    <row r="57" spans="1:20">
      <c r="A57" s="20">
        <v>43101</v>
      </c>
      <c r="B57" s="32">
        <f t="shared" si="3"/>
        <v>6340475</v>
      </c>
      <c r="C57" s="31">
        <v>5808228</v>
      </c>
      <c r="D57" s="31">
        <v>532247</v>
      </c>
      <c r="E57" s="138"/>
      <c r="F57" s="138"/>
      <c r="G57" s="138"/>
      <c r="H57" s="138"/>
      <c r="I57" s="127"/>
      <c r="J57" s="127"/>
      <c r="K57" s="196">
        <v>32</v>
      </c>
      <c r="L57" s="196">
        <f>SUM(K57:K68)</f>
        <v>364</v>
      </c>
      <c r="N57" s="55"/>
      <c r="O57" s="14">
        <f t="shared" si="4"/>
        <v>91781095</v>
      </c>
      <c r="P57" s="124"/>
      <c r="Q57" s="130">
        <v>91781095</v>
      </c>
      <c r="R57" s="56">
        <f t="shared" si="2"/>
        <v>-1.381917478194011E-2</v>
      </c>
      <c r="S57" s="124"/>
    </row>
    <row r="58" spans="1:20">
      <c r="A58" s="20">
        <v>43132</v>
      </c>
      <c r="B58" s="32">
        <f t="shared" si="3"/>
        <v>6010872</v>
      </c>
      <c r="C58" s="31">
        <v>5421415</v>
      </c>
      <c r="D58" s="31">
        <v>589457</v>
      </c>
      <c r="E58" s="138"/>
      <c r="F58" s="138"/>
      <c r="G58" s="138"/>
      <c r="H58" s="138"/>
      <c r="I58" s="127"/>
      <c r="J58" s="127"/>
      <c r="K58" s="196">
        <v>29</v>
      </c>
      <c r="L58" s="197"/>
      <c r="N58" s="55"/>
      <c r="O58" s="14">
        <f t="shared" si="4"/>
        <v>91689287</v>
      </c>
      <c r="P58" s="124"/>
      <c r="Q58" s="130">
        <v>91689287</v>
      </c>
      <c r="R58" s="56">
        <f t="shared" si="2"/>
        <v>-1.4805644699319278E-2</v>
      </c>
      <c r="S58" s="124"/>
    </row>
    <row r="59" spans="1:20">
      <c r="A59" s="20">
        <v>43160</v>
      </c>
      <c r="B59" s="32">
        <f t="shared" si="3"/>
        <v>6466521</v>
      </c>
      <c r="C59" s="31">
        <v>5978909</v>
      </c>
      <c r="D59" s="31">
        <v>487612</v>
      </c>
      <c r="E59" s="138"/>
      <c r="F59" s="138"/>
      <c r="G59" s="138"/>
      <c r="H59" s="138"/>
      <c r="I59" s="127"/>
      <c r="J59" s="127"/>
      <c r="K59" s="196">
        <v>29</v>
      </c>
      <c r="L59" s="197"/>
      <c r="N59" s="55"/>
      <c r="O59" s="14">
        <f t="shared" si="4"/>
        <v>91511184</v>
      </c>
      <c r="P59" s="124"/>
      <c r="Q59" s="130">
        <v>91511184</v>
      </c>
      <c r="R59" s="56">
        <f t="shared" si="2"/>
        <v>-1.6719347771981596E-2</v>
      </c>
      <c r="S59" s="124"/>
    </row>
    <row r="60" spans="1:20">
      <c r="A60" s="20">
        <v>43191</v>
      </c>
      <c r="B60" s="32">
        <f t="shared" si="3"/>
        <v>7476752</v>
      </c>
      <c r="C60" s="31">
        <v>6938041</v>
      </c>
      <c r="D60" s="31">
        <v>538711</v>
      </c>
      <c r="E60" s="138"/>
      <c r="F60" s="138"/>
      <c r="G60" s="138"/>
      <c r="H60" s="138"/>
      <c r="I60" s="127"/>
      <c r="J60" s="127"/>
      <c r="K60" s="196">
        <v>32</v>
      </c>
      <c r="L60" s="197"/>
      <c r="N60" s="55"/>
      <c r="O60" s="14">
        <f t="shared" si="4"/>
        <v>91375813</v>
      </c>
      <c r="P60" s="124"/>
      <c r="Q60" s="130">
        <v>91375813</v>
      </c>
      <c r="R60" s="56">
        <f t="shared" si="2"/>
        <v>-1.8173898782629202E-2</v>
      </c>
      <c r="S60" s="129"/>
      <c r="T60" s="56"/>
    </row>
    <row r="61" spans="1:20">
      <c r="A61" s="20">
        <v>43221</v>
      </c>
      <c r="B61" s="32">
        <f t="shared" si="3"/>
        <v>8980797</v>
      </c>
      <c r="C61" s="31">
        <v>8185413</v>
      </c>
      <c r="D61" s="31">
        <v>795384</v>
      </c>
      <c r="E61" s="138"/>
      <c r="F61" s="138"/>
      <c r="G61" s="138"/>
      <c r="H61" s="138"/>
      <c r="I61" s="127"/>
      <c r="J61" s="127"/>
      <c r="K61" s="196">
        <v>31</v>
      </c>
      <c r="L61" s="197"/>
      <c r="N61" s="55"/>
      <c r="O61" s="14">
        <f t="shared" si="4"/>
        <v>91623394</v>
      </c>
      <c r="P61" s="124"/>
      <c r="Q61" s="130">
        <v>91623394</v>
      </c>
      <c r="R61" s="56">
        <f t="shared" si="2"/>
        <v>-1.5513659929646326E-2</v>
      </c>
      <c r="S61" s="129"/>
      <c r="T61" s="56"/>
    </row>
    <row r="62" spans="1:20">
      <c r="A62" s="20">
        <v>43252</v>
      </c>
      <c r="B62" s="32">
        <f t="shared" si="3"/>
        <v>8345430</v>
      </c>
      <c r="C62" s="31">
        <v>7594964</v>
      </c>
      <c r="D62" s="31">
        <v>750466</v>
      </c>
      <c r="E62" s="138"/>
      <c r="F62" s="138"/>
      <c r="G62" s="138"/>
      <c r="H62" s="138"/>
      <c r="I62" s="127"/>
      <c r="J62" s="127"/>
      <c r="K62" s="196">
        <v>29</v>
      </c>
      <c r="L62" s="197"/>
      <c r="N62" s="55"/>
      <c r="O62" s="14">
        <f t="shared" si="4"/>
        <v>90483094</v>
      </c>
      <c r="P62" s="124"/>
      <c r="Q62" s="130">
        <v>90483094</v>
      </c>
      <c r="R62" s="56">
        <f t="shared" ref="R62:R67" si="5">(O62-$O$15)/$O$15</f>
        <v>-2.7766095956871253E-2</v>
      </c>
      <c r="S62" s="129"/>
      <c r="T62" s="56"/>
    </row>
    <row r="63" spans="1:20">
      <c r="A63" s="20">
        <v>43282</v>
      </c>
      <c r="B63" s="32">
        <f t="shared" si="3"/>
        <v>9163876</v>
      </c>
      <c r="C63" s="31">
        <v>8355701</v>
      </c>
      <c r="D63" s="31">
        <v>808175</v>
      </c>
      <c r="E63" s="138"/>
      <c r="F63" s="138"/>
      <c r="G63" s="138"/>
      <c r="H63" s="138"/>
      <c r="I63" s="127"/>
      <c r="J63" s="127"/>
      <c r="K63" s="196">
        <v>31</v>
      </c>
      <c r="L63" s="197"/>
      <c r="N63" s="55" t="s">
        <v>34</v>
      </c>
      <c r="O63" s="14">
        <f t="shared" si="4"/>
        <v>90186094</v>
      </c>
      <c r="P63" s="124"/>
      <c r="Q63" s="130">
        <v>90186094</v>
      </c>
      <c r="R63" s="56">
        <f t="shared" si="5"/>
        <v>-3.0957338173906949E-2</v>
      </c>
      <c r="S63" s="129"/>
      <c r="T63" s="56"/>
    </row>
    <row r="64" spans="1:20">
      <c r="A64" s="20">
        <v>43313</v>
      </c>
      <c r="B64" s="32">
        <f t="shared" si="3"/>
        <v>9264802</v>
      </c>
      <c r="C64" s="31">
        <v>8444730</v>
      </c>
      <c r="D64" s="31">
        <v>820072</v>
      </c>
      <c r="E64" s="138"/>
      <c r="F64" s="138"/>
      <c r="G64" s="138"/>
      <c r="H64" s="138"/>
      <c r="I64" s="127"/>
      <c r="J64" s="127"/>
      <c r="K64" s="196">
        <v>31</v>
      </c>
      <c r="L64" s="197"/>
      <c r="N64" s="55"/>
      <c r="O64" s="14">
        <f t="shared" si="4"/>
        <v>90323695</v>
      </c>
      <c r="P64" s="124"/>
      <c r="Q64" s="130">
        <v>90323695</v>
      </c>
      <c r="R64" s="56">
        <f t="shared" si="5"/>
        <v>-2.9478825984323349E-2</v>
      </c>
      <c r="S64" s="129"/>
      <c r="T64" s="56"/>
    </row>
    <row r="65" spans="1:20">
      <c r="A65" s="20">
        <v>43344</v>
      </c>
      <c r="B65" s="32">
        <f t="shared" si="3"/>
        <v>8549475</v>
      </c>
      <c r="C65" s="31">
        <v>7770627</v>
      </c>
      <c r="D65" s="31">
        <v>778848</v>
      </c>
      <c r="E65" s="138"/>
      <c r="F65" s="138"/>
      <c r="G65" s="138"/>
      <c r="H65" s="138"/>
      <c r="I65" s="127"/>
      <c r="J65" s="127"/>
      <c r="K65" s="196">
        <v>29</v>
      </c>
      <c r="L65" s="197"/>
      <c r="N65" s="55"/>
      <c r="O65" s="14">
        <f t="shared" si="4"/>
        <v>90175858</v>
      </c>
      <c r="P65" s="124"/>
      <c r="Q65" s="130">
        <v>90175858</v>
      </c>
      <c r="R65" s="56">
        <f t="shared" si="5"/>
        <v>-3.1067323208700138E-2</v>
      </c>
      <c r="S65" s="129"/>
      <c r="T65" s="56"/>
    </row>
    <row r="66" spans="1:20">
      <c r="A66" s="20">
        <v>43374</v>
      </c>
      <c r="B66" s="32">
        <f t="shared" si="3"/>
        <v>8134959</v>
      </c>
      <c r="C66" s="31">
        <v>7499305</v>
      </c>
      <c r="D66" s="31">
        <v>635654</v>
      </c>
      <c r="E66" s="138"/>
      <c r="F66" s="138"/>
      <c r="G66" s="138"/>
      <c r="H66" s="138"/>
      <c r="I66" s="127"/>
      <c r="J66" s="127"/>
      <c r="K66" s="196">
        <v>32</v>
      </c>
      <c r="L66" s="197"/>
      <c r="N66" s="55"/>
      <c r="O66" s="14">
        <f t="shared" si="4"/>
        <v>91088438</v>
      </c>
      <c r="P66" s="124"/>
      <c r="Q66" s="130">
        <v>91088438</v>
      </c>
      <c r="R66" s="56">
        <f t="shared" si="5"/>
        <v>-2.1261721113001703E-2</v>
      </c>
      <c r="S66" s="129"/>
      <c r="T66" s="56"/>
    </row>
    <row r="67" spans="1:20">
      <c r="A67" s="20">
        <v>43405</v>
      </c>
      <c r="B67" s="32">
        <f t="shared" ref="B67:B74" si="6">SUM(C67:D67)</f>
        <v>7301374</v>
      </c>
      <c r="C67" s="31">
        <v>6747706</v>
      </c>
      <c r="D67" s="31">
        <v>553668</v>
      </c>
      <c r="E67" s="138"/>
      <c r="F67" s="138"/>
      <c r="G67" s="138"/>
      <c r="H67" s="138"/>
      <c r="I67" s="127"/>
      <c r="J67" s="127"/>
      <c r="K67" s="196">
        <v>31</v>
      </c>
      <c r="L67" s="197"/>
      <c r="N67" s="55"/>
      <c r="O67" s="14">
        <f t="shared" si="4"/>
        <v>91275557</v>
      </c>
      <c r="P67" s="124"/>
      <c r="Q67" s="130">
        <v>91275557</v>
      </c>
      <c r="R67" s="56">
        <f t="shared" si="5"/>
        <v>-1.925114181195961E-2</v>
      </c>
      <c r="S67" s="129"/>
      <c r="T67" s="56"/>
    </row>
    <row r="68" spans="1:20">
      <c r="A68" s="20">
        <v>43435</v>
      </c>
      <c r="B68" s="32">
        <f t="shared" si="6"/>
        <v>5745762</v>
      </c>
      <c r="C68" s="31">
        <v>5262845</v>
      </c>
      <c r="D68" s="31">
        <v>482917</v>
      </c>
      <c r="E68" s="138"/>
      <c r="F68" s="138"/>
      <c r="G68" s="138"/>
      <c r="H68" s="138"/>
      <c r="I68" s="127"/>
      <c r="J68" s="127"/>
      <c r="K68" s="196">
        <v>28</v>
      </c>
      <c r="L68" s="197"/>
      <c r="N68" s="55"/>
      <c r="O68" s="14">
        <f t="shared" si="4"/>
        <v>90389256</v>
      </c>
      <c r="P68" s="124"/>
      <c r="Q68" s="130">
        <v>90389256</v>
      </c>
      <c r="R68" s="56">
        <f t="shared" ref="R68:R73" si="7">(O68-$O$15)/$O$15</f>
        <v>-2.8774378068528478E-2</v>
      </c>
      <c r="S68" s="129"/>
      <c r="T68" s="56"/>
    </row>
    <row r="69" spans="1:20">
      <c r="A69" s="17">
        <v>43466</v>
      </c>
      <c r="B69" s="24">
        <f t="shared" si="6"/>
        <v>6248667</v>
      </c>
      <c r="C69" s="23">
        <v>5661498</v>
      </c>
      <c r="D69" s="23">
        <v>587169</v>
      </c>
      <c r="E69" s="138"/>
      <c r="F69" s="138"/>
      <c r="G69" s="138"/>
      <c r="H69" s="138"/>
      <c r="I69" s="127"/>
      <c r="J69" s="127"/>
      <c r="K69" s="188">
        <v>33</v>
      </c>
      <c r="L69" s="188">
        <f>SUM(K69:K80)</f>
        <v>367</v>
      </c>
      <c r="N69" s="55"/>
      <c r="O69" s="14">
        <f t="shared" si="4"/>
        <v>90542578</v>
      </c>
      <c r="P69" s="124"/>
      <c r="Q69" s="130">
        <v>90542578</v>
      </c>
      <c r="R69" s="56">
        <f t="shared" si="7"/>
        <v>-2.712694493990778E-2</v>
      </c>
      <c r="S69" s="129"/>
      <c r="T69" s="56"/>
    </row>
    <row r="70" spans="1:20">
      <c r="A70" s="17">
        <v>43497</v>
      </c>
      <c r="B70" s="24">
        <f t="shared" si="6"/>
        <v>5832769</v>
      </c>
      <c r="C70" s="23">
        <v>5343091</v>
      </c>
      <c r="D70" s="23">
        <v>489678</v>
      </c>
      <c r="E70" s="138"/>
      <c r="F70" s="138"/>
      <c r="G70" s="138"/>
      <c r="H70" s="138"/>
      <c r="I70" s="127"/>
      <c r="J70" s="127"/>
      <c r="K70" s="188">
        <v>29</v>
      </c>
      <c r="L70" s="188"/>
      <c r="N70" s="55"/>
      <c r="O70" s="14">
        <f t="shared" si="4"/>
        <v>90062702</v>
      </c>
      <c r="P70" s="124"/>
      <c r="Q70" s="130">
        <v>90062702</v>
      </c>
      <c r="R70" s="56">
        <f t="shared" si="7"/>
        <v>-3.2283175748467452E-2</v>
      </c>
      <c r="S70" s="129"/>
      <c r="T70" s="56"/>
    </row>
    <row r="71" spans="1:20">
      <c r="A71" s="17">
        <v>43525</v>
      </c>
      <c r="B71" s="24">
        <f t="shared" si="6"/>
        <v>6331150</v>
      </c>
      <c r="C71" s="23">
        <v>5789178</v>
      </c>
      <c r="D71" s="23">
        <v>541972</v>
      </c>
      <c r="E71" s="138"/>
      <c r="F71" s="138"/>
      <c r="G71" s="138"/>
      <c r="H71" s="138"/>
      <c r="I71" s="127"/>
      <c r="J71" s="127"/>
      <c r="K71" s="188">
        <v>29</v>
      </c>
      <c r="L71" s="188"/>
      <c r="N71" s="55"/>
      <c r="O71" s="14">
        <f t="shared" si="4"/>
        <v>89253740</v>
      </c>
      <c r="P71" s="124"/>
      <c r="Q71" s="130">
        <v>89253740</v>
      </c>
      <c r="R71" s="56">
        <f t="shared" si="7"/>
        <v>-4.0975410382735562E-2</v>
      </c>
      <c r="S71" s="129"/>
      <c r="T71" s="56"/>
    </row>
    <row r="72" spans="1:20">
      <c r="A72" s="17">
        <v>43556</v>
      </c>
      <c r="B72" s="24">
        <f t="shared" si="6"/>
        <v>7724333</v>
      </c>
      <c r="C72" s="23">
        <v>7067925</v>
      </c>
      <c r="D72" s="23">
        <v>656408</v>
      </c>
      <c r="E72" s="138"/>
      <c r="F72" s="138"/>
      <c r="G72" s="138"/>
      <c r="H72" s="138"/>
      <c r="I72" s="127"/>
      <c r="J72" s="127"/>
      <c r="K72" s="188">
        <v>32</v>
      </c>
      <c r="L72" s="188"/>
      <c r="N72" s="55"/>
      <c r="O72" s="14">
        <f t="shared" si="4"/>
        <v>88747332</v>
      </c>
      <c r="P72" s="124"/>
      <c r="Q72" s="130">
        <v>88747332</v>
      </c>
      <c r="R72" s="56">
        <f t="shared" si="7"/>
        <v>-4.6416725496017087E-2</v>
      </c>
      <c r="S72" s="129"/>
      <c r="T72" s="56"/>
    </row>
    <row r="73" spans="1:20">
      <c r="A73" s="17">
        <v>43586</v>
      </c>
      <c r="B73" s="24">
        <f t="shared" si="6"/>
        <v>7840497</v>
      </c>
      <c r="C73" s="23">
        <v>7155218</v>
      </c>
      <c r="D73" s="23">
        <v>685279</v>
      </c>
      <c r="E73" s="138"/>
      <c r="F73" s="138"/>
      <c r="G73" s="138"/>
      <c r="H73" s="138"/>
      <c r="I73" s="127"/>
      <c r="J73" s="127"/>
      <c r="K73" s="188">
        <v>30</v>
      </c>
      <c r="L73" s="188"/>
      <c r="N73" s="55"/>
      <c r="O73" s="14">
        <f t="shared" ref="O73:O77" si="8">SUM(B73:B84)</f>
        <v>86704720</v>
      </c>
      <c r="P73" s="124"/>
      <c r="Q73" s="130">
        <v>86704720</v>
      </c>
      <c r="R73" s="56">
        <f t="shared" si="7"/>
        <v>-6.836443474660199E-2</v>
      </c>
      <c r="S73" s="129"/>
      <c r="T73" s="56"/>
    </row>
    <row r="74" spans="1:20">
      <c r="A74" s="17">
        <v>43617</v>
      </c>
      <c r="B74" s="24">
        <f t="shared" si="6"/>
        <v>8048430</v>
      </c>
      <c r="C74" s="23">
        <v>7293315</v>
      </c>
      <c r="D74" s="23">
        <v>755115</v>
      </c>
      <c r="E74" s="138"/>
      <c r="F74" s="138"/>
      <c r="G74" s="138"/>
      <c r="H74" s="138"/>
      <c r="I74" s="127"/>
      <c r="J74" s="127"/>
      <c r="K74" s="188">
        <v>29</v>
      </c>
      <c r="L74" s="188"/>
      <c r="N74" s="55"/>
      <c r="O74" s="14">
        <f t="shared" si="8"/>
        <v>86447454</v>
      </c>
      <c r="P74" s="124"/>
      <c r="Q74" s="130">
        <v>86447454</v>
      </c>
      <c r="R74" s="56">
        <f t="shared" ref="R74:R79" si="9">(O74-$O$15)/$O$15</f>
        <v>-7.1128738181645446E-2</v>
      </c>
      <c r="S74" s="129"/>
      <c r="T74" s="56"/>
    </row>
    <row r="75" spans="1:20">
      <c r="A75" s="17">
        <v>43647</v>
      </c>
      <c r="B75" s="24">
        <f>SUM(C75:D75)</f>
        <v>9301477</v>
      </c>
      <c r="C75" s="23">
        <v>8435990</v>
      </c>
      <c r="D75" s="23">
        <v>865487</v>
      </c>
      <c r="E75" s="138"/>
      <c r="F75" s="138"/>
      <c r="G75" s="138"/>
      <c r="H75" s="138"/>
      <c r="I75" s="127"/>
      <c r="J75" s="127"/>
      <c r="K75" s="188">
        <v>32</v>
      </c>
      <c r="L75" s="188"/>
      <c r="N75" s="55" t="s">
        <v>35</v>
      </c>
      <c r="O75" s="14">
        <f t="shared" si="8"/>
        <v>87353244</v>
      </c>
      <c r="P75" s="124"/>
      <c r="Q75" s="130">
        <v>87353244</v>
      </c>
      <c r="R75" s="56">
        <f t="shared" si="9"/>
        <v>-6.1396094115083955E-2</v>
      </c>
      <c r="S75" s="129"/>
      <c r="T75" s="56"/>
    </row>
    <row r="76" spans="1:20">
      <c r="A76" s="17">
        <v>43678</v>
      </c>
      <c r="B76" s="24">
        <f>SUM(C76:D76)</f>
        <v>9116965</v>
      </c>
      <c r="C76" s="23">
        <v>8229577</v>
      </c>
      <c r="D76" s="23">
        <v>887388</v>
      </c>
      <c r="E76" s="138"/>
      <c r="F76" s="138"/>
      <c r="G76" s="138"/>
      <c r="H76" s="138"/>
      <c r="I76" s="127"/>
      <c r="J76" s="127"/>
      <c r="K76" s="188">
        <v>31</v>
      </c>
      <c r="L76" s="188"/>
      <c r="N76" s="71"/>
      <c r="O76" s="14">
        <f t="shared" si="8"/>
        <v>86884899</v>
      </c>
      <c r="P76" s="124"/>
      <c r="Q76" s="130">
        <v>86884899</v>
      </c>
      <c r="R76" s="56">
        <f t="shared" si="9"/>
        <v>-6.6428425213190298E-2</v>
      </c>
      <c r="S76" s="129"/>
      <c r="T76" s="56"/>
    </row>
    <row r="77" spans="1:20">
      <c r="A77" s="17">
        <v>43709</v>
      </c>
      <c r="B77" s="24">
        <f>SUM(C77:D77)</f>
        <v>9462055</v>
      </c>
      <c r="C77" s="23">
        <v>8525446</v>
      </c>
      <c r="D77" s="23">
        <v>936609</v>
      </c>
      <c r="E77" s="138"/>
      <c r="F77" s="138"/>
      <c r="G77" s="138"/>
      <c r="H77" s="138"/>
      <c r="I77" s="127"/>
      <c r="J77" s="127"/>
      <c r="K77" s="188">
        <v>31</v>
      </c>
      <c r="L77" s="188"/>
      <c r="N77" s="71"/>
      <c r="O77" s="14">
        <f t="shared" si="8"/>
        <v>85699386</v>
      </c>
      <c r="P77" s="124"/>
      <c r="Q77" s="130">
        <v>85699386</v>
      </c>
      <c r="R77" s="56">
        <f t="shared" si="9"/>
        <v>-7.9166671457111634E-2</v>
      </c>
      <c r="S77" s="129"/>
      <c r="T77" s="56"/>
    </row>
    <row r="78" spans="1:20">
      <c r="A78" s="17">
        <v>43739</v>
      </c>
      <c r="B78" s="24">
        <f>SUM(C78:D78)</f>
        <v>8322078</v>
      </c>
      <c r="C78" s="87">
        <v>7572072</v>
      </c>
      <c r="D78" s="87">
        <v>750006</v>
      </c>
      <c r="E78" s="138"/>
      <c r="F78" s="138"/>
      <c r="G78" s="138"/>
      <c r="H78" s="138"/>
      <c r="I78" s="127"/>
      <c r="J78" s="127"/>
      <c r="K78" s="188">
        <v>30</v>
      </c>
      <c r="L78" s="188"/>
      <c r="O78" s="14">
        <f t="shared" ref="O78:O109" si="10">SUM(B79:B90)</f>
        <v>84624859</v>
      </c>
      <c r="P78" s="124"/>
      <c r="Q78" s="130">
        <v>84624859</v>
      </c>
      <c r="R78" s="56">
        <f t="shared" si="9"/>
        <v>-9.0712381644804274E-2</v>
      </c>
      <c r="S78" s="129"/>
      <c r="T78" s="56"/>
    </row>
    <row r="79" spans="1:20">
      <c r="A79" s="17">
        <v>43770</v>
      </c>
      <c r="B79" s="24">
        <f>SUM(C79:D79)</f>
        <v>6415073</v>
      </c>
      <c r="C79" s="23">
        <v>5928634</v>
      </c>
      <c r="D79" s="23">
        <v>486439</v>
      </c>
      <c r="E79" s="138"/>
      <c r="F79" s="138"/>
      <c r="G79" s="138"/>
      <c r="H79" s="138"/>
      <c r="I79" s="127"/>
      <c r="J79" s="127"/>
      <c r="K79" s="188">
        <v>30</v>
      </c>
      <c r="L79" s="188"/>
      <c r="O79" s="14">
        <f t="shared" si="10"/>
        <v>84979994</v>
      </c>
      <c r="P79" s="124"/>
      <c r="Q79" s="130">
        <v>84979994</v>
      </c>
      <c r="R79" s="56">
        <f t="shared" si="9"/>
        <v>-8.6896483312322886E-2</v>
      </c>
      <c r="S79" s="129"/>
      <c r="T79" s="56"/>
    </row>
    <row r="80" spans="1:20">
      <c r="A80" s="17">
        <v>43800</v>
      </c>
      <c r="B80" s="24">
        <f t="shared" ref="B80:B85" si="11">SUM(C80:D80)</f>
        <v>5899084</v>
      </c>
      <c r="C80" s="23">
        <v>5413894</v>
      </c>
      <c r="D80" s="23">
        <v>485190</v>
      </c>
      <c r="E80" s="138"/>
      <c r="F80" s="138"/>
      <c r="G80" s="138"/>
      <c r="H80" s="138"/>
      <c r="I80" s="127"/>
      <c r="J80" s="127"/>
      <c r="K80" s="188">
        <v>31</v>
      </c>
      <c r="L80" s="188"/>
      <c r="O80" s="14">
        <f t="shared" si="10"/>
        <v>84854430</v>
      </c>
      <c r="P80" s="124"/>
      <c r="Q80" s="130">
        <v>84854430</v>
      </c>
      <c r="R80" s="56">
        <f t="shared" ref="R80:R87" si="12">(O80-$O$15)/$O$15</f>
        <v>-8.8245658860268583E-2</v>
      </c>
      <c r="S80" s="129"/>
      <c r="T80" s="56"/>
    </row>
    <row r="81" spans="1:20">
      <c r="A81" s="107">
        <v>43831</v>
      </c>
      <c r="B81" s="108">
        <f t="shared" si="11"/>
        <v>5768791</v>
      </c>
      <c r="C81" s="109">
        <v>5285490</v>
      </c>
      <c r="D81" s="109">
        <v>483301</v>
      </c>
      <c r="E81" s="138"/>
      <c r="F81" s="138"/>
      <c r="G81" s="138"/>
      <c r="H81" s="138"/>
      <c r="I81" s="127"/>
      <c r="J81" s="127"/>
      <c r="K81" s="198">
        <v>31</v>
      </c>
      <c r="L81" s="198">
        <f>SUM(K81:K92)</f>
        <v>366</v>
      </c>
      <c r="O81" s="14">
        <f t="shared" si="10"/>
        <v>84786987</v>
      </c>
      <c r="P81" s="124"/>
      <c r="Q81" s="130">
        <v>84786987</v>
      </c>
      <c r="R81" s="56">
        <f t="shared" si="12"/>
        <v>-8.8970328721694636E-2</v>
      </c>
      <c r="S81" s="129"/>
      <c r="T81" s="56"/>
    </row>
    <row r="82" spans="1:20">
      <c r="A82" s="107">
        <v>43862</v>
      </c>
      <c r="B82" s="108">
        <f t="shared" si="11"/>
        <v>5023807</v>
      </c>
      <c r="C82" s="109">
        <v>4555575</v>
      </c>
      <c r="D82" s="109">
        <v>468232</v>
      </c>
      <c r="E82" s="138"/>
      <c r="F82" s="138"/>
      <c r="G82" s="138"/>
      <c r="H82" s="138"/>
      <c r="I82" s="127"/>
      <c r="J82" s="127"/>
      <c r="K82" s="198">
        <v>29</v>
      </c>
      <c r="L82" s="198"/>
      <c r="O82" s="14">
        <f t="shared" si="10"/>
        <v>85189795</v>
      </c>
      <c r="P82" s="14">
        <f t="shared" ref="P82:P113" si="13">SUM(I83:I94)</f>
        <v>48047</v>
      </c>
      <c r="Q82" s="14">
        <f t="shared" ref="Q82:Q87" si="14">O82-P82</f>
        <v>85141748</v>
      </c>
      <c r="R82" s="56">
        <f t="shared" si="12"/>
        <v>-8.4642187661224222E-2</v>
      </c>
      <c r="S82" s="56">
        <f t="shared" ref="S82:S87" si="15">(Q82-$O$15)/$O$15</f>
        <v>-8.5158448990523591E-2</v>
      </c>
      <c r="T82" s="205">
        <f>$O$15</f>
        <v>93067207</v>
      </c>
    </row>
    <row r="83" spans="1:20">
      <c r="A83" s="107">
        <v>43891</v>
      </c>
      <c r="B83" s="108">
        <f t="shared" si="11"/>
        <v>5824742</v>
      </c>
      <c r="C83" s="109">
        <v>5326585</v>
      </c>
      <c r="D83" s="109">
        <v>498157</v>
      </c>
      <c r="E83" s="109">
        <v>552</v>
      </c>
      <c r="F83" s="138"/>
      <c r="G83" s="138"/>
      <c r="H83" s="138"/>
      <c r="I83" s="109">
        <f>SUM(E83:H83)</f>
        <v>552</v>
      </c>
      <c r="J83" s="200">
        <f>I83/(B83+I83)</f>
        <v>9.4759165803477046E-5</v>
      </c>
      <c r="K83" s="198">
        <v>31</v>
      </c>
      <c r="L83" s="198"/>
      <c r="O83" s="14">
        <f t="shared" si="10"/>
        <v>86161740</v>
      </c>
      <c r="P83" s="14">
        <f t="shared" si="13"/>
        <v>97324</v>
      </c>
      <c r="Q83" s="14">
        <f t="shared" si="14"/>
        <v>86064416</v>
      </c>
      <c r="R83" s="56">
        <f t="shared" si="12"/>
        <v>-7.4198713194433788E-2</v>
      </c>
      <c r="S83" s="56">
        <f t="shared" si="15"/>
        <v>-7.5244452108678833E-2</v>
      </c>
      <c r="T83" s="56"/>
    </row>
    <row r="84" spans="1:20">
      <c r="A84" s="107">
        <v>43922</v>
      </c>
      <c r="B84" s="108">
        <f t="shared" si="11"/>
        <v>5681721</v>
      </c>
      <c r="C84" s="109">
        <v>5205503</v>
      </c>
      <c r="D84" s="109">
        <v>476218</v>
      </c>
      <c r="E84" s="109">
        <v>832</v>
      </c>
      <c r="F84" s="138"/>
      <c r="G84" s="138"/>
      <c r="H84" s="138"/>
      <c r="I84" s="109">
        <f t="shared" ref="I84:I92" si="16">SUM(E84:H84)</f>
        <v>832</v>
      </c>
      <c r="J84" s="200">
        <f t="shared" ref="J84:J135" si="17">I84/(B84+I84)</f>
        <v>1.4641306469116963E-4</v>
      </c>
      <c r="K84" s="198">
        <v>30</v>
      </c>
      <c r="L84" s="198"/>
      <c r="O84" s="14">
        <f t="shared" si="10"/>
        <v>87567752</v>
      </c>
      <c r="P84" s="14">
        <f t="shared" si="13"/>
        <v>152319</v>
      </c>
      <c r="Q84" s="14">
        <f t="shared" si="14"/>
        <v>87415433</v>
      </c>
      <c r="R84" s="56">
        <f t="shared" si="12"/>
        <v>-5.9091222110060744E-2</v>
      </c>
      <c r="S84" s="56">
        <f t="shared" si="15"/>
        <v>-6.072787808062189E-2</v>
      </c>
      <c r="T84" s="56"/>
    </row>
    <row r="85" spans="1:20">
      <c r="A85" s="107">
        <v>43952</v>
      </c>
      <c r="B85" s="108">
        <f t="shared" si="11"/>
        <v>7583231</v>
      </c>
      <c r="C85" s="109">
        <v>6856352</v>
      </c>
      <c r="D85" s="109">
        <v>726879</v>
      </c>
      <c r="E85" s="109">
        <v>756</v>
      </c>
      <c r="F85" s="138"/>
      <c r="G85" s="138"/>
      <c r="H85" s="138"/>
      <c r="I85" s="109">
        <f t="shared" si="16"/>
        <v>756</v>
      </c>
      <c r="J85" s="200">
        <f t="shared" si="17"/>
        <v>9.9683715175144679E-5</v>
      </c>
      <c r="K85" s="198">
        <v>30</v>
      </c>
      <c r="L85" s="198"/>
      <c r="O85" s="14">
        <f t="shared" si="10"/>
        <v>88775236</v>
      </c>
      <c r="P85" s="14">
        <f t="shared" si="13"/>
        <v>281265</v>
      </c>
      <c r="Q85" s="14">
        <f t="shared" si="14"/>
        <v>88493971</v>
      </c>
      <c r="R85" s="56">
        <f t="shared" si="12"/>
        <v>-4.6116899156541789E-2</v>
      </c>
      <c r="S85" s="56">
        <f t="shared" si="15"/>
        <v>-4.9139070005614328E-2</v>
      </c>
      <c r="T85" s="56"/>
    </row>
    <row r="86" spans="1:20">
      <c r="A86" s="107">
        <v>43983</v>
      </c>
      <c r="B86" s="108">
        <f t="shared" ref="B86:B96" si="18">SUM(C86:D86)</f>
        <v>8954220</v>
      </c>
      <c r="C86" s="109">
        <v>7984631</v>
      </c>
      <c r="D86" s="109">
        <v>969589</v>
      </c>
      <c r="E86" s="109">
        <v>780</v>
      </c>
      <c r="F86" s="138"/>
      <c r="G86" s="138"/>
      <c r="H86" s="138"/>
      <c r="I86" s="109">
        <f t="shared" si="16"/>
        <v>780</v>
      </c>
      <c r="J86" s="200">
        <f t="shared" si="17"/>
        <v>8.7102177554438865E-5</v>
      </c>
      <c r="K86" s="198">
        <v>32</v>
      </c>
      <c r="L86" s="198"/>
      <c r="N86" s="55" t="s">
        <v>36</v>
      </c>
      <c r="O86" s="14">
        <f t="shared" si="10"/>
        <v>88318175</v>
      </c>
      <c r="P86" s="14">
        <f t="shared" si="13"/>
        <v>391443</v>
      </c>
      <c r="Q86" s="14">
        <f t="shared" si="14"/>
        <v>87926732</v>
      </c>
      <c r="R86" s="56">
        <f t="shared" si="12"/>
        <v>-5.1027984540247352E-2</v>
      </c>
      <c r="S86" s="56">
        <f t="shared" si="15"/>
        <v>-5.5234009547530528E-2</v>
      </c>
      <c r="T86" s="56"/>
    </row>
    <row r="87" spans="1:20">
      <c r="A87" s="107">
        <v>44013</v>
      </c>
      <c r="B87" s="108">
        <f t="shared" si="18"/>
        <v>8833132</v>
      </c>
      <c r="C87" s="109">
        <v>7807372</v>
      </c>
      <c r="D87" s="109">
        <v>1025760</v>
      </c>
      <c r="E87" s="109">
        <v>954</v>
      </c>
      <c r="F87" s="138"/>
      <c r="G87" s="138"/>
      <c r="H87" s="138"/>
      <c r="I87" s="109">
        <f t="shared" si="16"/>
        <v>954</v>
      </c>
      <c r="J87" s="200">
        <f t="shared" si="17"/>
        <v>1.0799079836895408E-4</v>
      </c>
      <c r="K87" s="198">
        <v>30</v>
      </c>
      <c r="L87" s="198"/>
      <c r="O87" s="14">
        <f t="shared" si="10"/>
        <v>88449963</v>
      </c>
      <c r="P87" s="14">
        <f t="shared" si="13"/>
        <v>550622</v>
      </c>
      <c r="Q87" s="14">
        <f t="shared" si="14"/>
        <v>87899341</v>
      </c>
      <c r="R87" s="56">
        <f t="shared" si="12"/>
        <v>-4.961193258974668E-2</v>
      </c>
      <c r="S87" s="56">
        <f t="shared" si="15"/>
        <v>-5.5528323741358222E-2</v>
      </c>
      <c r="T87" s="56"/>
    </row>
    <row r="88" spans="1:20">
      <c r="A88" s="107">
        <v>44044</v>
      </c>
      <c r="B88" s="108">
        <f t="shared" si="18"/>
        <v>7931452</v>
      </c>
      <c r="C88" s="109">
        <v>7101113</v>
      </c>
      <c r="D88" s="109">
        <v>830339</v>
      </c>
      <c r="E88" s="109">
        <v>1462</v>
      </c>
      <c r="F88" s="138"/>
      <c r="G88" s="138"/>
      <c r="H88" s="138"/>
      <c r="I88" s="109">
        <f t="shared" si="16"/>
        <v>1462</v>
      </c>
      <c r="J88" s="200">
        <f t="shared" si="17"/>
        <v>1.8429545561693975E-4</v>
      </c>
      <c r="K88" s="198">
        <v>29</v>
      </c>
      <c r="L88" s="198"/>
      <c r="O88" s="14">
        <f t="shared" si="10"/>
        <v>89334599</v>
      </c>
      <c r="P88" s="14">
        <f t="shared" si="13"/>
        <v>708464</v>
      </c>
      <c r="Q88" s="14">
        <f t="shared" ref="Q88:Q93" si="19">O88-P88</f>
        <v>88626135</v>
      </c>
      <c r="R88" s="56">
        <f t="shared" ref="R88:R93" si="20">(O88-$O$15)/$O$15</f>
        <v>-4.0106586630455132E-2</v>
      </c>
      <c r="S88" s="56">
        <f t="shared" ref="S88:S94" si="21">(Q88-$O$15)/$O$15</f>
        <v>-4.7718977963956737E-2</v>
      </c>
    </row>
    <row r="89" spans="1:20">
      <c r="A89" s="107">
        <v>44075</v>
      </c>
      <c r="B89" s="108">
        <f t="shared" si="18"/>
        <v>9473248</v>
      </c>
      <c r="C89" s="109">
        <v>8546119</v>
      </c>
      <c r="D89" s="109">
        <v>927129</v>
      </c>
      <c r="E89" s="109">
        <v>1419</v>
      </c>
      <c r="F89" s="138"/>
      <c r="G89" s="138"/>
      <c r="H89" s="138"/>
      <c r="I89" s="109">
        <f t="shared" si="16"/>
        <v>1419</v>
      </c>
      <c r="J89" s="200">
        <f t="shared" si="17"/>
        <v>1.4976779658852391E-4</v>
      </c>
      <c r="K89" s="198">
        <v>33</v>
      </c>
      <c r="L89" s="198"/>
      <c r="O89" s="14">
        <f t="shared" si="10"/>
        <v>89608532</v>
      </c>
      <c r="P89" s="14">
        <f t="shared" si="13"/>
        <v>922923</v>
      </c>
      <c r="Q89" s="14">
        <f t="shared" si="19"/>
        <v>88685609</v>
      </c>
      <c r="R89" s="56">
        <f>(O89-$O$15)/$O$15</f>
        <v>-3.716319755894254E-2</v>
      </c>
      <c r="S89" s="56">
        <f t="shared" si="21"/>
        <v>-4.707993439622616E-2</v>
      </c>
    </row>
    <row r="90" spans="1:20">
      <c r="A90" s="107">
        <v>44105</v>
      </c>
      <c r="B90" s="108">
        <f t="shared" si="18"/>
        <v>7236358</v>
      </c>
      <c r="C90" s="109">
        <v>6648694</v>
      </c>
      <c r="D90" s="109">
        <v>587664</v>
      </c>
      <c r="E90" s="109">
        <v>1699</v>
      </c>
      <c r="F90" s="138"/>
      <c r="G90" s="138"/>
      <c r="H90" s="138"/>
      <c r="I90" s="109">
        <f t="shared" si="16"/>
        <v>1699</v>
      </c>
      <c r="J90" s="200">
        <f t="shared" si="17"/>
        <v>2.3473150321971767E-4</v>
      </c>
      <c r="K90" s="198">
        <v>30</v>
      </c>
      <c r="L90" s="198"/>
      <c r="O90" s="14">
        <f t="shared" si="10"/>
        <v>90225077</v>
      </c>
      <c r="P90" s="14">
        <f t="shared" si="13"/>
        <v>1060438</v>
      </c>
      <c r="Q90" s="14">
        <f t="shared" si="19"/>
        <v>89164639</v>
      </c>
      <c r="R90" s="56">
        <f t="shared" si="20"/>
        <v>-3.0538468829305256E-2</v>
      </c>
      <c r="S90" s="56">
        <f t="shared" si="21"/>
        <v>-4.1932793792769561E-2</v>
      </c>
    </row>
    <row r="91" spans="1:20">
      <c r="A91" s="107">
        <v>44136</v>
      </c>
      <c r="B91" s="108">
        <f t="shared" si="18"/>
        <v>6770208</v>
      </c>
      <c r="C91" s="109">
        <v>6244756</v>
      </c>
      <c r="D91" s="109">
        <v>525452</v>
      </c>
      <c r="E91" s="109">
        <v>1498</v>
      </c>
      <c r="F91" s="138"/>
      <c r="G91" s="138"/>
      <c r="H91" s="138"/>
      <c r="I91" s="109">
        <f t="shared" si="16"/>
        <v>1498</v>
      </c>
      <c r="J91" s="200">
        <f t="shared" si="17"/>
        <v>2.2121456542856409E-4</v>
      </c>
      <c r="K91" s="198">
        <v>31</v>
      </c>
      <c r="L91" s="198"/>
      <c r="O91" s="14">
        <f t="shared" si="10"/>
        <v>90922176</v>
      </c>
      <c r="P91" s="14">
        <f t="shared" si="13"/>
        <v>1229018</v>
      </c>
      <c r="Q91" s="14">
        <f t="shared" si="19"/>
        <v>89693158</v>
      </c>
      <c r="R91" s="56">
        <f t="shared" si="20"/>
        <v>-2.3048193548990892E-2</v>
      </c>
      <c r="S91" s="56">
        <f t="shared" si="21"/>
        <v>-3.6253897680629872E-2</v>
      </c>
    </row>
    <row r="92" spans="1:20">
      <c r="A92" s="107">
        <v>44166</v>
      </c>
      <c r="B92" s="108">
        <f t="shared" si="18"/>
        <v>5773520</v>
      </c>
      <c r="C92" s="109">
        <v>5264036</v>
      </c>
      <c r="D92" s="109">
        <v>509484</v>
      </c>
      <c r="E92" s="109">
        <v>7001</v>
      </c>
      <c r="F92" s="138"/>
      <c r="G92" s="138"/>
      <c r="H92" s="138"/>
      <c r="I92" s="109">
        <f t="shared" si="16"/>
        <v>7001</v>
      </c>
      <c r="J92" s="200">
        <f t="shared" si="17"/>
        <v>1.2111365048237002E-3</v>
      </c>
      <c r="K92" s="198">
        <v>30</v>
      </c>
      <c r="L92" s="198"/>
      <c r="O92" s="14">
        <f t="shared" si="10"/>
        <v>91369619</v>
      </c>
      <c r="P92" s="14">
        <f t="shared" si="13"/>
        <v>1350990</v>
      </c>
      <c r="Q92" s="14">
        <f t="shared" si="19"/>
        <v>90018629</v>
      </c>
      <c r="R92" s="56">
        <f t="shared" si="20"/>
        <v>-1.8240452837485495E-2</v>
      </c>
      <c r="S92" s="56">
        <f t="shared" si="21"/>
        <v>-3.2756736752613626E-2</v>
      </c>
    </row>
    <row r="93" spans="1:20">
      <c r="A93" s="16">
        <v>44197</v>
      </c>
      <c r="B93" s="28">
        <f t="shared" si="18"/>
        <v>5701348</v>
      </c>
      <c r="C93" s="27">
        <v>5114633</v>
      </c>
      <c r="D93" s="27">
        <v>586715</v>
      </c>
      <c r="E93" s="27">
        <v>8076</v>
      </c>
      <c r="F93" s="138"/>
      <c r="G93" s="138"/>
      <c r="H93" s="138"/>
      <c r="I93" s="27">
        <f>SUM(E93:H93)</f>
        <v>8076</v>
      </c>
      <c r="J93" s="201">
        <f t="shared" si="17"/>
        <v>1.4145034595433796E-3</v>
      </c>
      <c r="K93" s="190">
        <v>30</v>
      </c>
      <c r="L93" s="190">
        <f>SUM(K93:K104)</f>
        <v>365</v>
      </c>
      <c r="O93" s="14">
        <f t="shared" si="10"/>
        <v>91387901</v>
      </c>
      <c r="P93" s="14">
        <f t="shared" si="13"/>
        <v>1446027</v>
      </c>
      <c r="Q93" s="14">
        <f t="shared" si="19"/>
        <v>89941874</v>
      </c>
      <c r="R93" s="56">
        <f t="shared" si="20"/>
        <v>-1.8044014149903521E-2</v>
      </c>
      <c r="S93" s="56">
        <f t="shared" si="21"/>
        <v>-3.3581463339713201E-2</v>
      </c>
    </row>
    <row r="94" spans="1:20">
      <c r="A94" s="16">
        <v>44228</v>
      </c>
      <c r="B94" s="28">
        <f t="shared" si="18"/>
        <v>5426615</v>
      </c>
      <c r="C94" s="27">
        <v>5003131</v>
      </c>
      <c r="D94" s="27">
        <v>423484</v>
      </c>
      <c r="E94" s="27">
        <v>23018</v>
      </c>
      <c r="F94" s="138"/>
      <c r="G94" s="138"/>
      <c r="H94" s="138"/>
      <c r="I94" s="27">
        <f t="shared" ref="I94:I104" si="22">SUM(E94:H94)</f>
        <v>23018</v>
      </c>
      <c r="J94" s="201">
        <f t="shared" si="17"/>
        <v>4.2237706649236751E-3</v>
      </c>
      <c r="K94" s="190">
        <v>28</v>
      </c>
      <c r="L94" s="190"/>
      <c r="O94" s="14">
        <f t="shared" si="10"/>
        <v>91934658</v>
      </c>
      <c r="P94" s="14">
        <f t="shared" si="13"/>
        <v>1539276</v>
      </c>
      <c r="Q94" s="14">
        <f t="shared" ref="Q94:Q106" si="23">O94-P94</f>
        <v>90395382</v>
      </c>
      <c r="R94" s="56">
        <f t="shared" ref="R94:R107" si="24">(O94-$O$15)/$O$15</f>
        <v>-1.2169152126806599E-2</v>
      </c>
      <c r="S94" s="56">
        <f t="shared" si="21"/>
        <v>-2.8708554668455882E-2</v>
      </c>
    </row>
    <row r="95" spans="1:20">
      <c r="A95" s="16">
        <v>44256</v>
      </c>
      <c r="B95" s="28">
        <f t="shared" si="18"/>
        <v>6796687</v>
      </c>
      <c r="C95" s="27">
        <v>6271855</v>
      </c>
      <c r="D95" s="27">
        <v>524832</v>
      </c>
      <c r="E95" s="27">
        <v>49829</v>
      </c>
      <c r="F95" s="138"/>
      <c r="G95" s="138"/>
      <c r="H95" s="138"/>
      <c r="I95" s="27">
        <f t="shared" si="22"/>
        <v>49829</v>
      </c>
      <c r="J95" s="201">
        <f t="shared" si="17"/>
        <v>7.2780082599675517E-3</v>
      </c>
      <c r="K95" s="190">
        <v>32</v>
      </c>
      <c r="L95" s="190"/>
      <c r="O95" s="14">
        <f t="shared" si="10"/>
        <v>91174346</v>
      </c>
      <c r="P95" s="14">
        <f t="shared" si="13"/>
        <v>1648360</v>
      </c>
      <c r="Q95" s="14">
        <f t="shared" si="23"/>
        <v>89525986</v>
      </c>
      <c r="R95" s="56">
        <f t="shared" si="24"/>
        <v>-2.0338646243031663E-2</v>
      </c>
      <c r="S95" s="56">
        <f t="shared" ref="S95:S107" si="25">(Q95-$O$15)/$O$15</f>
        <v>-3.8050147996812667E-2</v>
      </c>
    </row>
    <row r="96" spans="1:20">
      <c r="A96" s="16">
        <v>44287</v>
      </c>
      <c r="B96" s="28">
        <f t="shared" si="18"/>
        <v>7087733</v>
      </c>
      <c r="C96" s="27">
        <v>6533473</v>
      </c>
      <c r="D96" s="27">
        <v>554260</v>
      </c>
      <c r="E96" s="27">
        <v>55827</v>
      </c>
      <c r="F96" s="138"/>
      <c r="G96" s="138"/>
      <c r="H96" s="138"/>
      <c r="I96" s="27">
        <f t="shared" si="22"/>
        <v>55827</v>
      </c>
      <c r="J96" s="201">
        <f t="shared" si="17"/>
        <v>7.8150110029173124E-3</v>
      </c>
      <c r="K96" s="190">
        <v>30</v>
      </c>
      <c r="L96" s="190"/>
      <c r="O96" s="14">
        <f t="shared" si="10"/>
        <v>90701082</v>
      </c>
      <c r="P96" s="14">
        <f t="shared" si="13"/>
        <v>1810542</v>
      </c>
      <c r="Q96" s="14">
        <f t="shared" si="23"/>
        <v>88890540</v>
      </c>
      <c r="R96" s="158">
        <f t="shared" si="24"/>
        <v>-2.542383161879995E-2</v>
      </c>
      <c r="S96" s="158">
        <f t="shared" si="25"/>
        <v>-4.487796652154824E-2</v>
      </c>
    </row>
    <row r="97" spans="1:19">
      <c r="A97" s="16">
        <v>44317</v>
      </c>
      <c r="B97" s="28">
        <f t="shared" ref="B97:B102" si="26">SUM(C97:D97)</f>
        <v>8790715</v>
      </c>
      <c r="C97" s="27">
        <v>7902561</v>
      </c>
      <c r="D97" s="27">
        <v>888154</v>
      </c>
      <c r="E97" s="27">
        <v>129702</v>
      </c>
      <c r="F97" s="138"/>
      <c r="G97" s="138"/>
      <c r="H97" s="138"/>
      <c r="I97" s="27">
        <f t="shared" si="22"/>
        <v>129702</v>
      </c>
      <c r="J97" s="201">
        <f t="shared" si="17"/>
        <v>1.4539903235465338E-2</v>
      </c>
      <c r="K97" s="190">
        <v>32</v>
      </c>
      <c r="L97" s="190"/>
      <c r="O97" s="14">
        <f t="shared" si="10"/>
        <v>89446511</v>
      </c>
      <c r="P97" s="14">
        <f t="shared" si="13"/>
        <v>1838200</v>
      </c>
      <c r="Q97" s="14">
        <f t="shared" si="23"/>
        <v>87608311</v>
      </c>
      <c r="R97" s="158">
        <f t="shared" si="24"/>
        <v>-3.8904100775260186E-2</v>
      </c>
      <c r="S97" s="158">
        <f t="shared" si="25"/>
        <v>-5.8655418766354515E-2</v>
      </c>
    </row>
    <row r="98" spans="1:19">
      <c r="A98" s="16">
        <v>44348</v>
      </c>
      <c r="B98" s="28">
        <f t="shared" si="26"/>
        <v>8497159</v>
      </c>
      <c r="C98" s="27">
        <v>7685956</v>
      </c>
      <c r="D98" s="27">
        <v>811203</v>
      </c>
      <c r="E98" s="27">
        <v>110958</v>
      </c>
      <c r="F98" s="138"/>
      <c r="G98" s="138"/>
      <c r="H98" s="138"/>
      <c r="I98" s="27">
        <f t="shared" si="22"/>
        <v>110958</v>
      </c>
      <c r="J98" s="201">
        <f t="shared" si="17"/>
        <v>1.2889927030499237E-2</v>
      </c>
      <c r="K98" s="190">
        <v>29</v>
      </c>
      <c r="L98" s="190"/>
      <c r="M98" s="55"/>
      <c r="N98" s="55" t="s">
        <v>37</v>
      </c>
      <c r="O98" s="14">
        <f t="shared" si="10"/>
        <v>89692408</v>
      </c>
      <c r="P98" s="14">
        <f t="shared" si="13"/>
        <v>1912721</v>
      </c>
      <c r="Q98" s="14">
        <f t="shared" si="23"/>
        <v>87779687</v>
      </c>
      <c r="R98" s="158">
        <f t="shared" si="24"/>
        <v>-3.6261956373097134E-2</v>
      </c>
      <c r="S98" s="158">
        <f t="shared" si="25"/>
        <v>-5.6813996792661886E-2</v>
      </c>
    </row>
    <row r="99" spans="1:19">
      <c r="A99" s="16">
        <v>44378</v>
      </c>
      <c r="B99" s="28">
        <f t="shared" si="26"/>
        <v>8964920</v>
      </c>
      <c r="C99" s="27">
        <v>8034975</v>
      </c>
      <c r="D99" s="27">
        <v>929945</v>
      </c>
      <c r="E99" s="27">
        <v>160133</v>
      </c>
      <c r="F99" s="141" t="s">
        <v>38</v>
      </c>
      <c r="G99" s="138"/>
      <c r="H99" s="138"/>
      <c r="I99" s="27">
        <f t="shared" si="22"/>
        <v>160133</v>
      </c>
      <c r="J99" s="201">
        <f t="shared" si="17"/>
        <v>1.7548719990996216E-2</v>
      </c>
      <c r="K99" s="190">
        <v>31</v>
      </c>
      <c r="L99" s="190"/>
      <c r="N99" s="55"/>
      <c r="O99" s="14">
        <f t="shared" si="10"/>
        <v>89386136</v>
      </c>
      <c r="P99" s="14">
        <f t="shared" si="13"/>
        <v>2000567</v>
      </c>
      <c r="Q99" s="14">
        <f t="shared" si="23"/>
        <v>87385569</v>
      </c>
      <c r="R99" s="158">
        <f t="shared" si="24"/>
        <v>-3.9552825518874762E-2</v>
      </c>
      <c r="S99" s="158">
        <f t="shared" si="25"/>
        <v>-6.1048764469744964E-2</v>
      </c>
    </row>
    <row r="100" spans="1:19">
      <c r="A100" s="16">
        <v>44409</v>
      </c>
      <c r="B100" s="28">
        <f t="shared" si="26"/>
        <v>8816088</v>
      </c>
      <c r="C100" s="27">
        <v>7961984</v>
      </c>
      <c r="D100" s="27">
        <v>854104</v>
      </c>
      <c r="E100" s="27">
        <v>147598</v>
      </c>
      <c r="F100" s="27">
        <v>8279</v>
      </c>
      <c r="G100" s="27">
        <v>3427</v>
      </c>
      <c r="H100" s="138"/>
      <c r="I100" s="27">
        <f t="shared" si="22"/>
        <v>159304</v>
      </c>
      <c r="J100" s="201">
        <f t="shared" si="17"/>
        <v>1.7748974083806032E-2</v>
      </c>
      <c r="K100" s="190">
        <v>31</v>
      </c>
      <c r="L100" s="190"/>
      <c r="O100" s="14">
        <f t="shared" si="10"/>
        <v>90058326</v>
      </c>
      <c r="P100" s="14">
        <f t="shared" si="13"/>
        <v>2062316</v>
      </c>
      <c r="Q100" s="14">
        <f t="shared" si="23"/>
        <v>87996010</v>
      </c>
      <c r="R100" s="158">
        <f t="shared" si="24"/>
        <v>-3.2330195532783101E-2</v>
      </c>
      <c r="S100" s="158">
        <f t="shared" si="25"/>
        <v>-5.4489622751867903E-2</v>
      </c>
    </row>
    <row r="101" spans="1:19">
      <c r="A101" s="16">
        <v>44440</v>
      </c>
      <c r="B101" s="28">
        <f t="shared" si="26"/>
        <v>9747181</v>
      </c>
      <c r="C101" s="27">
        <v>8767156</v>
      </c>
      <c r="D101" s="27">
        <v>980025</v>
      </c>
      <c r="E101" s="27">
        <v>180730</v>
      </c>
      <c r="F101" s="27">
        <v>23799</v>
      </c>
      <c r="G101" s="27">
        <v>11349</v>
      </c>
      <c r="H101" s="138"/>
      <c r="I101" s="27">
        <f t="shared" si="22"/>
        <v>215878</v>
      </c>
      <c r="J101" s="201">
        <f t="shared" si="17"/>
        <v>2.1667843179489353E-2</v>
      </c>
      <c r="K101" s="190">
        <v>31</v>
      </c>
      <c r="L101" s="190"/>
      <c r="O101" s="14">
        <f t="shared" si="10"/>
        <v>89931525</v>
      </c>
      <c r="P101" s="14">
        <f t="shared" si="13"/>
        <v>2101112</v>
      </c>
      <c r="Q101" s="14">
        <f t="shared" si="23"/>
        <v>87830413</v>
      </c>
      <c r="R101" s="158">
        <f t="shared" si="24"/>
        <v>-3.369266255083813E-2</v>
      </c>
      <c r="S101" s="158">
        <f t="shared" si="25"/>
        <v>-5.6268949813869457E-2</v>
      </c>
    </row>
    <row r="102" spans="1:19">
      <c r="A102" s="16">
        <v>44470</v>
      </c>
      <c r="B102" s="28">
        <f t="shared" si="26"/>
        <v>7852903</v>
      </c>
      <c r="C102" s="27">
        <v>7165642</v>
      </c>
      <c r="D102" s="27">
        <v>687261</v>
      </c>
      <c r="E102" s="27">
        <v>122185</v>
      </c>
      <c r="F102" s="27">
        <v>9107</v>
      </c>
      <c r="G102" s="27">
        <v>7922</v>
      </c>
      <c r="H102" s="138"/>
      <c r="I102" s="27">
        <f t="shared" si="22"/>
        <v>139214</v>
      </c>
      <c r="J102" s="201">
        <f t="shared" si="17"/>
        <v>1.7418914162542917E-2</v>
      </c>
      <c r="K102" s="190">
        <v>29</v>
      </c>
      <c r="L102" s="190"/>
      <c r="O102" s="14">
        <f t="shared" si="10"/>
        <v>89686998</v>
      </c>
      <c r="P102" s="14">
        <f t="shared" si="13"/>
        <v>2181423</v>
      </c>
      <c r="Q102" s="14">
        <f t="shared" si="23"/>
        <v>87505575</v>
      </c>
      <c r="R102" s="158">
        <f t="shared" si="24"/>
        <v>-3.6320086408094317E-2</v>
      </c>
      <c r="S102" s="158">
        <f t="shared" si="25"/>
        <v>-5.9759309205443333E-2</v>
      </c>
    </row>
    <row r="103" spans="1:19">
      <c r="A103" s="16">
        <v>44501</v>
      </c>
      <c r="B103" s="28">
        <f t="shared" ref="B103:B114" si="27">SUM(C103:D103)</f>
        <v>7467307</v>
      </c>
      <c r="C103" s="27">
        <v>6886375</v>
      </c>
      <c r="D103" s="27">
        <v>580932</v>
      </c>
      <c r="E103" s="27">
        <v>144397</v>
      </c>
      <c r="F103" s="27">
        <v>13911</v>
      </c>
      <c r="G103" s="27">
        <v>11770</v>
      </c>
      <c r="H103" s="138"/>
      <c r="I103" s="27">
        <f t="shared" si="22"/>
        <v>170078</v>
      </c>
      <c r="J103" s="201">
        <f t="shared" si="17"/>
        <v>2.2269140550070475E-2</v>
      </c>
      <c r="K103" s="190">
        <v>32</v>
      </c>
      <c r="L103" s="190"/>
      <c r="O103" s="14">
        <f t="shared" si="10"/>
        <v>90490096</v>
      </c>
      <c r="P103" s="14">
        <f t="shared" si="13"/>
        <v>2144251</v>
      </c>
      <c r="Q103" s="14">
        <f t="shared" si="23"/>
        <v>88345845</v>
      </c>
      <c r="R103" s="158">
        <f t="shared" si="24"/>
        <v>-2.7690860003996898E-2</v>
      </c>
      <c r="S103" s="158">
        <f t="shared" si="25"/>
        <v>-5.0730672512821838E-2</v>
      </c>
    </row>
    <row r="104" spans="1:19">
      <c r="A104" s="16">
        <v>44531</v>
      </c>
      <c r="B104" s="28">
        <f t="shared" si="27"/>
        <v>6220963</v>
      </c>
      <c r="C104" s="27">
        <v>5695341</v>
      </c>
      <c r="D104" s="27">
        <v>525622</v>
      </c>
      <c r="E104" s="27">
        <v>117181</v>
      </c>
      <c r="F104" s="27">
        <v>6562</v>
      </c>
      <c r="G104" s="27">
        <v>5230</v>
      </c>
      <c r="H104" s="138"/>
      <c r="I104" s="27">
        <f t="shared" si="22"/>
        <v>128973</v>
      </c>
      <c r="J104" s="201">
        <f t="shared" si="17"/>
        <v>2.0310913369835537E-2</v>
      </c>
      <c r="K104" s="190">
        <v>30</v>
      </c>
      <c r="L104" s="190"/>
      <c r="O104" s="14">
        <f t="shared" si="10"/>
        <v>90554772</v>
      </c>
      <c r="P104" s="14">
        <f t="shared" si="13"/>
        <v>2180119</v>
      </c>
      <c r="Q104" s="14">
        <f t="shared" si="23"/>
        <v>88374653</v>
      </c>
      <c r="R104" s="158">
        <f t="shared" si="24"/>
        <v>-2.6995921345313392E-2</v>
      </c>
      <c r="S104" s="158">
        <f t="shared" si="25"/>
        <v>-5.0421132762692666E-2</v>
      </c>
    </row>
    <row r="105" spans="1:19">
      <c r="A105" s="18">
        <v>44562</v>
      </c>
      <c r="B105" s="30">
        <f t="shared" si="27"/>
        <v>5719630</v>
      </c>
      <c r="C105" s="29">
        <v>5208384</v>
      </c>
      <c r="D105" s="29">
        <v>511246</v>
      </c>
      <c r="E105" s="29">
        <v>94201</v>
      </c>
      <c r="F105" s="29">
        <v>4908</v>
      </c>
      <c r="G105" s="29">
        <v>4004</v>
      </c>
      <c r="H105" s="138"/>
      <c r="I105" s="29">
        <f>SUM(E105:H105)</f>
        <v>103113</v>
      </c>
      <c r="J105" s="202">
        <f t="shared" si="17"/>
        <v>1.7708664112429485E-2</v>
      </c>
      <c r="K105" s="192">
        <v>29</v>
      </c>
      <c r="L105" s="192">
        <f>SUM(K105:K116)</f>
        <v>365</v>
      </c>
      <c r="O105" s="14">
        <f t="shared" si="10"/>
        <v>90952030</v>
      </c>
      <c r="P105" s="14">
        <f t="shared" si="13"/>
        <v>2230214</v>
      </c>
      <c r="Q105" s="14">
        <f t="shared" si="23"/>
        <v>88721816</v>
      </c>
      <c r="R105" s="158">
        <f t="shared" si="24"/>
        <v>-2.2727414609100712E-2</v>
      </c>
      <c r="S105" s="158">
        <f t="shared" si="25"/>
        <v>-4.6690892958676629E-2</v>
      </c>
    </row>
    <row r="106" spans="1:19">
      <c r="A106" s="18">
        <v>44594</v>
      </c>
      <c r="B106" s="30">
        <f t="shared" si="27"/>
        <v>5973372</v>
      </c>
      <c r="C106" s="29">
        <v>5322732</v>
      </c>
      <c r="D106" s="29">
        <v>650640</v>
      </c>
      <c r="E106" s="29">
        <v>107196</v>
      </c>
      <c r="F106" s="29">
        <v>4891</v>
      </c>
      <c r="G106" s="29">
        <v>4180</v>
      </c>
      <c r="H106" s="138"/>
      <c r="I106" s="29">
        <f t="shared" ref="I106:I116" si="28">SUM(E106:H106)</f>
        <v>116267</v>
      </c>
      <c r="J106" s="202">
        <f t="shared" si="17"/>
        <v>1.9092593173421282E-2</v>
      </c>
      <c r="K106" s="192">
        <v>31</v>
      </c>
      <c r="L106" s="192"/>
      <c r="O106" s="14">
        <f t="shared" si="10"/>
        <v>91245100</v>
      </c>
      <c r="P106" s="14">
        <f t="shared" si="13"/>
        <v>2296022</v>
      </c>
      <c r="Q106" s="14">
        <f t="shared" si="23"/>
        <v>88949078</v>
      </c>
      <c r="R106" s="158">
        <f t="shared" si="24"/>
        <v>-1.9578399940593467E-2</v>
      </c>
      <c r="S106" s="158">
        <f t="shared" si="25"/>
        <v>-4.4248980202016806E-2</v>
      </c>
    </row>
    <row r="107" spans="1:19">
      <c r="A107" s="18">
        <v>44626</v>
      </c>
      <c r="B107" s="30">
        <f t="shared" si="27"/>
        <v>6036375</v>
      </c>
      <c r="C107" s="29">
        <v>5565907</v>
      </c>
      <c r="D107" s="29">
        <v>470468</v>
      </c>
      <c r="E107" s="29">
        <v>145751</v>
      </c>
      <c r="F107" s="29">
        <v>7025</v>
      </c>
      <c r="G107" s="29">
        <v>6137</v>
      </c>
      <c r="H107" s="138"/>
      <c r="I107" s="29">
        <f t="shared" si="28"/>
        <v>158913</v>
      </c>
      <c r="J107" s="202">
        <f t="shared" si="17"/>
        <v>2.5650623506122718E-2</v>
      </c>
      <c r="K107" s="192">
        <v>30</v>
      </c>
      <c r="L107" s="192"/>
      <c r="O107" s="14">
        <f t="shared" si="10"/>
        <v>92037317</v>
      </c>
      <c r="P107" s="14">
        <f t="shared" si="13"/>
        <v>2321129</v>
      </c>
      <c r="Q107" s="14">
        <f t="shared" ref="Q107:Q115" si="29">O107-P107</f>
        <v>89716188</v>
      </c>
      <c r="R107" s="158">
        <f t="shared" si="24"/>
        <v>-1.1066089046811086E-2</v>
      </c>
      <c r="S107" s="158">
        <f t="shared" si="25"/>
        <v>-3.6006442097268485E-2</v>
      </c>
    </row>
    <row r="108" spans="1:19">
      <c r="A108" s="18">
        <v>44652</v>
      </c>
      <c r="B108" s="30">
        <f t="shared" si="27"/>
        <v>6614469</v>
      </c>
      <c r="C108" s="29">
        <v>6094507</v>
      </c>
      <c r="D108" s="29">
        <v>519962</v>
      </c>
      <c r="E108" s="29">
        <v>201510</v>
      </c>
      <c r="F108" s="29">
        <v>8833</v>
      </c>
      <c r="G108" s="29">
        <v>7666</v>
      </c>
      <c r="H108" s="138"/>
      <c r="I108" s="29">
        <f t="shared" si="28"/>
        <v>218009</v>
      </c>
      <c r="J108" s="202">
        <f t="shared" si="17"/>
        <v>3.190775001397736E-2</v>
      </c>
      <c r="K108" s="192">
        <v>30</v>
      </c>
      <c r="L108" s="192"/>
      <c r="O108" s="14">
        <f t="shared" si="10"/>
        <v>92421203</v>
      </c>
      <c r="P108" s="14">
        <f t="shared" si="13"/>
        <v>2231400</v>
      </c>
      <c r="Q108" s="14">
        <f t="shared" si="29"/>
        <v>90189803</v>
      </c>
      <c r="R108" s="158">
        <f t="shared" ref="R108:R117" si="30">(O108-$O$15)/$O$15</f>
        <v>-6.9412634248280387E-3</v>
      </c>
      <c r="S108" s="158">
        <f t="shared" ref="S108:S117" si="31">(Q108-$O$15)/$O$15</f>
        <v>-3.0917485253425518E-2</v>
      </c>
    </row>
    <row r="109" spans="1:19">
      <c r="A109" s="18">
        <v>44682</v>
      </c>
      <c r="B109" s="30">
        <f t="shared" si="27"/>
        <v>7536144</v>
      </c>
      <c r="C109" s="29">
        <v>6935363</v>
      </c>
      <c r="D109" s="29">
        <v>600781</v>
      </c>
      <c r="E109" s="29">
        <v>144961</v>
      </c>
      <c r="F109" s="29">
        <v>6611</v>
      </c>
      <c r="G109" s="29">
        <v>5788</v>
      </c>
      <c r="H109" s="138"/>
      <c r="I109" s="29">
        <f t="shared" si="28"/>
        <v>157360</v>
      </c>
      <c r="J109" s="202">
        <f t="shared" si="17"/>
        <v>2.045361905316485E-2</v>
      </c>
      <c r="K109" s="192">
        <v>31</v>
      </c>
      <c r="L109" s="192"/>
      <c r="O109" s="14">
        <f t="shared" si="10"/>
        <v>93510500</v>
      </c>
      <c r="P109" s="14">
        <f t="shared" si="13"/>
        <v>2267492</v>
      </c>
      <c r="Q109" s="14">
        <f t="shared" si="29"/>
        <v>91243008</v>
      </c>
      <c r="R109" s="158">
        <f t="shared" si="30"/>
        <v>4.7631492798532139E-3</v>
      </c>
      <c r="S109" s="158">
        <f t="shared" si="31"/>
        <v>-1.9600878320115485E-2</v>
      </c>
    </row>
    <row r="110" spans="1:19">
      <c r="A110" s="18">
        <v>44713</v>
      </c>
      <c r="B110" s="30">
        <f t="shared" si="27"/>
        <v>8743056</v>
      </c>
      <c r="C110" s="29">
        <v>7920568</v>
      </c>
      <c r="D110" s="29">
        <v>822488</v>
      </c>
      <c r="E110" s="29">
        <v>171373</v>
      </c>
      <c r="F110" s="29">
        <v>7469</v>
      </c>
      <c r="G110" s="29">
        <v>6637</v>
      </c>
      <c r="H110" s="138"/>
      <c r="I110" s="29">
        <f t="shared" si="28"/>
        <v>185479</v>
      </c>
      <c r="J110" s="202">
        <f t="shared" si="17"/>
        <v>2.0773732756829647E-2</v>
      </c>
      <c r="K110" s="192">
        <v>31</v>
      </c>
      <c r="L110" s="192"/>
      <c r="N110" s="55" t="s">
        <v>39</v>
      </c>
      <c r="O110" s="14">
        <f t="shared" ref="O110:O141" si="32">SUM(B111:B122)</f>
        <v>93932338</v>
      </c>
      <c r="P110" s="14">
        <f t="shared" si="13"/>
        <v>2325806</v>
      </c>
      <c r="Q110" s="14">
        <f t="shared" si="29"/>
        <v>91606532</v>
      </c>
      <c r="R110" s="158">
        <f t="shared" si="30"/>
        <v>9.2957662305262912E-3</v>
      </c>
      <c r="S110" s="158">
        <f t="shared" si="31"/>
        <v>-1.569484082615695E-2</v>
      </c>
    </row>
    <row r="111" spans="1:19">
      <c r="A111" s="18">
        <v>44743</v>
      </c>
      <c r="B111" s="30">
        <f t="shared" si="27"/>
        <v>8658648</v>
      </c>
      <c r="C111" s="29">
        <v>7791566</v>
      </c>
      <c r="D111" s="29">
        <v>867082</v>
      </c>
      <c r="E111" s="29">
        <v>230422</v>
      </c>
      <c r="F111" s="29">
        <v>9293</v>
      </c>
      <c r="G111" s="29">
        <v>8264</v>
      </c>
      <c r="H111" s="138"/>
      <c r="I111" s="29">
        <f t="shared" si="28"/>
        <v>247979</v>
      </c>
      <c r="J111" s="202">
        <f t="shared" si="17"/>
        <v>2.7842077590091063E-2</v>
      </c>
      <c r="K111" s="192">
        <v>29</v>
      </c>
      <c r="L111" s="192"/>
      <c r="O111" s="14">
        <f t="shared" si="32"/>
        <v>93669668</v>
      </c>
      <c r="P111" s="14">
        <f t="shared" si="13"/>
        <v>2356746</v>
      </c>
      <c r="Q111" s="14">
        <f t="shared" si="29"/>
        <v>91312922</v>
      </c>
      <c r="R111" s="158">
        <f t="shared" si="30"/>
        <v>6.4733972300253942E-3</v>
      </c>
      <c r="S111" s="158">
        <f t="shared" si="31"/>
        <v>-1.8849657753240621E-2</v>
      </c>
    </row>
    <row r="112" spans="1:19">
      <c r="A112" s="18">
        <v>44774</v>
      </c>
      <c r="B112" s="30">
        <f t="shared" si="27"/>
        <v>9488278</v>
      </c>
      <c r="C112" s="29">
        <v>8545585</v>
      </c>
      <c r="D112" s="29">
        <v>942693</v>
      </c>
      <c r="E112" s="29">
        <v>203653</v>
      </c>
      <c r="F112" s="29">
        <v>8863</v>
      </c>
      <c r="G112" s="29">
        <v>8537</v>
      </c>
      <c r="H112" s="138"/>
      <c r="I112" s="29">
        <f t="shared" si="28"/>
        <v>221053</v>
      </c>
      <c r="J112" s="202">
        <f t="shared" si="17"/>
        <v>2.2767068091509086E-2</v>
      </c>
      <c r="K112" s="192">
        <v>32</v>
      </c>
      <c r="L112" s="192"/>
      <c r="O112" s="14">
        <f t="shared" si="32"/>
        <v>94202442</v>
      </c>
      <c r="P112" s="14">
        <f t="shared" si="13"/>
        <v>2421335</v>
      </c>
      <c r="Q112" s="14">
        <f t="shared" si="29"/>
        <v>91781107</v>
      </c>
      <c r="R112" s="158">
        <f t="shared" si="30"/>
        <v>1.2198012990762687E-2</v>
      </c>
      <c r="S112" s="158">
        <f t="shared" si="31"/>
        <v>-1.3819045842860632E-2</v>
      </c>
    </row>
    <row r="113" spans="1:19">
      <c r="A113" s="18">
        <v>44805</v>
      </c>
      <c r="B113" s="30">
        <f t="shared" si="27"/>
        <v>9620380</v>
      </c>
      <c r="C113" s="29">
        <v>8662568</v>
      </c>
      <c r="D113" s="29">
        <v>957812</v>
      </c>
      <c r="E113" s="29">
        <v>233094</v>
      </c>
      <c r="F113" s="29">
        <v>9819</v>
      </c>
      <c r="G113" s="29">
        <v>11761</v>
      </c>
      <c r="H113" s="138"/>
      <c r="I113" s="29">
        <f t="shared" si="28"/>
        <v>254674</v>
      </c>
      <c r="J113" s="202">
        <f t="shared" si="17"/>
        <v>2.5789631125055112E-2</v>
      </c>
      <c r="K113" s="192">
        <v>31</v>
      </c>
      <c r="L113" s="192"/>
      <c r="O113" s="14">
        <f t="shared" si="32"/>
        <v>93817045</v>
      </c>
      <c r="P113" s="14">
        <f t="shared" si="13"/>
        <v>2377991</v>
      </c>
      <c r="Q113" s="14">
        <f>O113-P113</f>
        <v>91439054</v>
      </c>
      <c r="R113" s="158">
        <f t="shared" si="30"/>
        <v>8.0569517896889285E-3</v>
      </c>
      <c r="S113" s="158">
        <f t="shared" si="31"/>
        <v>-1.7494379088866394E-2</v>
      </c>
    </row>
    <row r="114" spans="1:19">
      <c r="A114" s="18">
        <v>44835</v>
      </c>
      <c r="B114" s="30">
        <f t="shared" si="27"/>
        <v>7608376</v>
      </c>
      <c r="C114" s="29">
        <v>6951292</v>
      </c>
      <c r="D114" s="29">
        <v>657084</v>
      </c>
      <c r="E114" s="29">
        <v>200012</v>
      </c>
      <c r="F114" s="29">
        <v>8625</v>
      </c>
      <c r="G114" s="29">
        <v>10888</v>
      </c>
      <c r="H114" s="138"/>
      <c r="I114" s="29">
        <f t="shared" si="28"/>
        <v>219525</v>
      </c>
      <c r="J114" s="202">
        <f t="shared" si="17"/>
        <v>2.8043916242681148E-2</v>
      </c>
      <c r="K114" s="192">
        <v>28</v>
      </c>
      <c r="L114" s="192"/>
      <c r="O114" s="14">
        <f t="shared" si="32"/>
        <v>95115663</v>
      </c>
      <c r="P114" s="14">
        <f t="shared" ref="P114:P144" si="33">SUM(I115:I126)</f>
        <v>2363323</v>
      </c>
      <c r="Q114" s="14">
        <f t="shared" si="29"/>
        <v>92752340</v>
      </c>
      <c r="R114" s="158">
        <f t="shared" si="30"/>
        <v>2.2010502582289808E-2</v>
      </c>
      <c r="S114" s="158">
        <f t="shared" si="31"/>
        <v>-3.3832217614524524E-3</v>
      </c>
    </row>
    <row r="115" spans="1:19">
      <c r="A115" s="18">
        <v>44866</v>
      </c>
      <c r="B115" s="30">
        <f t="shared" ref="B115:B120" si="34">SUM(C115:D115)</f>
        <v>8270405</v>
      </c>
      <c r="C115" s="29">
        <v>7615827</v>
      </c>
      <c r="D115" s="29">
        <v>654578</v>
      </c>
      <c r="E115" s="29">
        <v>121174</v>
      </c>
      <c r="F115" s="29">
        <v>5168</v>
      </c>
      <c r="G115" s="29">
        <v>6564</v>
      </c>
      <c r="H115" s="138"/>
      <c r="I115" s="29">
        <f t="shared" si="28"/>
        <v>132906</v>
      </c>
      <c r="J115" s="202">
        <f t="shared" si="17"/>
        <v>1.5815908753109339E-2</v>
      </c>
      <c r="K115" s="192">
        <v>33</v>
      </c>
      <c r="L115" s="192"/>
      <c r="O115" s="14">
        <f t="shared" si="32"/>
        <v>94437900</v>
      </c>
      <c r="P115" s="14">
        <f t="shared" si="33"/>
        <v>2449275</v>
      </c>
      <c r="Q115" s="14">
        <f t="shared" si="29"/>
        <v>91988625</v>
      </c>
      <c r="R115" s="158">
        <f t="shared" si="30"/>
        <v>1.4727991138704743E-2</v>
      </c>
      <c r="S115" s="158">
        <f t="shared" si="31"/>
        <v>-1.1589280851632305E-2</v>
      </c>
    </row>
    <row r="116" spans="1:19">
      <c r="A116" s="18">
        <v>44896</v>
      </c>
      <c r="B116" s="30">
        <f t="shared" si="34"/>
        <v>6285639</v>
      </c>
      <c r="C116" s="29">
        <v>5679015</v>
      </c>
      <c r="D116" s="29">
        <v>606624</v>
      </c>
      <c r="E116" s="29">
        <v>149807</v>
      </c>
      <c r="F116" s="29">
        <v>6724</v>
      </c>
      <c r="G116" s="29">
        <v>8310</v>
      </c>
      <c r="H116" s="138"/>
      <c r="I116" s="29">
        <f t="shared" si="28"/>
        <v>164841</v>
      </c>
      <c r="J116" s="202">
        <f t="shared" si="17"/>
        <v>2.5554842430330765E-2</v>
      </c>
      <c r="K116" s="192">
        <v>30</v>
      </c>
      <c r="L116" s="192"/>
      <c r="O116" s="14">
        <f t="shared" si="32"/>
        <v>94622317</v>
      </c>
      <c r="P116" s="14">
        <f t="shared" si="33"/>
        <v>2427712</v>
      </c>
      <c r="Q116" s="14">
        <f>O116-P116</f>
        <v>92194605</v>
      </c>
      <c r="R116" s="158">
        <f t="shared" si="30"/>
        <v>1.6709537657018117E-2</v>
      </c>
      <c r="S116" s="158">
        <f t="shared" si="31"/>
        <v>-9.3760415524235079E-3</v>
      </c>
    </row>
    <row r="117" spans="1:19">
      <c r="A117" s="171">
        <v>44927</v>
      </c>
      <c r="B117" s="172">
        <f t="shared" si="34"/>
        <v>6116888</v>
      </c>
      <c r="C117" s="173">
        <v>5557504</v>
      </c>
      <c r="D117" s="173">
        <v>559384</v>
      </c>
      <c r="E117" s="173">
        <v>139675</v>
      </c>
      <c r="F117" s="173">
        <v>6044</v>
      </c>
      <c r="G117" s="173">
        <v>7489</v>
      </c>
      <c r="H117" s="138"/>
      <c r="I117" s="173">
        <f>SUM(E117:H117)</f>
        <v>153208</v>
      </c>
      <c r="J117" s="203">
        <f t="shared" si="17"/>
        <v>2.4434713599281413E-2</v>
      </c>
      <c r="K117" s="199">
        <v>31</v>
      </c>
      <c r="L117" s="199">
        <f>SUM(K117:K128)</f>
        <v>364</v>
      </c>
      <c r="O117" s="14">
        <f t="shared" si="32"/>
        <v>95197696</v>
      </c>
      <c r="P117" s="14">
        <f t="shared" si="33"/>
        <v>2466202</v>
      </c>
      <c r="Q117" s="14">
        <f>O117-P117</f>
        <v>92731494</v>
      </c>
      <c r="R117" s="158">
        <f t="shared" si="30"/>
        <v>2.289194087451233E-2</v>
      </c>
      <c r="S117" s="158">
        <f t="shared" si="31"/>
        <v>-3.6072104323491734E-3</v>
      </c>
    </row>
    <row r="118" spans="1:19">
      <c r="A118" s="171">
        <v>44958</v>
      </c>
      <c r="B118" s="172">
        <f t="shared" si="34"/>
        <v>6266442</v>
      </c>
      <c r="C118" s="173">
        <v>5719614</v>
      </c>
      <c r="D118" s="173">
        <v>546828</v>
      </c>
      <c r="E118" s="173">
        <v>166577</v>
      </c>
      <c r="F118" s="173">
        <v>6916</v>
      </c>
      <c r="G118" s="173">
        <v>8582</v>
      </c>
      <c r="H118" s="138"/>
      <c r="I118" s="173">
        <f t="shared" ref="I118:I128" si="35">SUM(E118:H118)</f>
        <v>182075</v>
      </c>
      <c r="J118" s="203">
        <f t="shared" si="17"/>
        <v>2.8235174071805966E-2</v>
      </c>
      <c r="K118" s="199">
        <v>29</v>
      </c>
      <c r="L118" s="199"/>
      <c r="O118" s="14">
        <f t="shared" si="32"/>
        <v>95585834</v>
      </c>
      <c r="P118" s="14">
        <f t="shared" si="33"/>
        <v>2417364</v>
      </c>
      <c r="Q118" s="14">
        <f>O118-P118</f>
        <v>93168470</v>
      </c>
      <c r="R118" s="158">
        <f t="shared" ref="R118" si="36">(O118-$O$15)/$O$15</f>
        <v>2.7062453910323105E-2</v>
      </c>
      <c r="S118" s="158">
        <f t="shared" ref="S118" si="37">(Q118-$O$15)/$O$15</f>
        <v>1.0880631670831167E-3</v>
      </c>
    </row>
    <row r="119" spans="1:19">
      <c r="A119" s="171">
        <v>44986</v>
      </c>
      <c r="B119" s="172">
        <f t="shared" si="34"/>
        <v>6828592</v>
      </c>
      <c r="C119" s="173">
        <v>6264924</v>
      </c>
      <c r="D119" s="173">
        <v>563668</v>
      </c>
      <c r="E119" s="173">
        <v>166701</v>
      </c>
      <c r="F119" s="173">
        <v>6502</v>
      </c>
      <c r="G119" s="173">
        <v>8075</v>
      </c>
      <c r="H119" s="173">
        <v>2742</v>
      </c>
      <c r="I119" s="173">
        <f t="shared" si="35"/>
        <v>184020</v>
      </c>
      <c r="J119" s="203">
        <f t="shared" si="17"/>
        <v>2.624129211768739E-2</v>
      </c>
      <c r="K119" s="199">
        <v>30</v>
      </c>
      <c r="L119" s="199"/>
      <c r="O119" s="14">
        <f t="shared" si="32"/>
        <v>95368572</v>
      </c>
      <c r="P119" s="14">
        <f t="shared" si="33"/>
        <v>2380465</v>
      </c>
      <c r="Q119" s="14">
        <f t="shared" ref="Q119:Q120" si="38">O119-P119</f>
        <v>92988107</v>
      </c>
      <c r="R119" s="158">
        <f t="shared" ref="R119:R120" si="39">(O119-$O$15)/$O$15</f>
        <v>2.4727990386560112E-2</v>
      </c>
      <c r="S119" s="158">
        <f t="shared" ref="S119:S120" si="40">(Q119-$O$15)/$O$15</f>
        <v>-8.4992343221388387E-4</v>
      </c>
    </row>
    <row r="120" spans="1:19">
      <c r="A120" s="171">
        <v>45017</v>
      </c>
      <c r="B120" s="172">
        <f t="shared" si="34"/>
        <v>6998355</v>
      </c>
      <c r="C120" s="173">
        <v>6404908</v>
      </c>
      <c r="D120" s="173">
        <v>593447</v>
      </c>
      <c r="E120" s="173">
        <v>117085</v>
      </c>
      <c r="F120" s="173">
        <v>4635</v>
      </c>
      <c r="G120" s="173">
        <v>5779</v>
      </c>
      <c r="H120" s="173">
        <v>781</v>
      </c>
      <c r="I120" s="173">
        <f t="shared" si="35"/>
        <v>128280</v>
      </c>
      <c r="J120" s="203">
        <f t="shared" si="17"/>
        <v>1.8000079981646318E-2</v>
      </c>
      <c r="K120" s="199">
        <v>29</v>
      </c>
      <c r="L120" s="199"/>
      <c r="O120" s="14">
        <f t="shared" si="32"/>
        <v>97412202</v>
      </c>
      <c r="P120" s="14">
        <f t="shared" si="33"/>
        <v>2424661</v>
      </c>
      <c r="Q120" s="14">
        <f t="shared" si="38"/>
        <v>94987541</v>
      </c>
      <c r="R120" s="158">
        <f t="shared" si="39"/>
        <v>4.668663796905391E-2</v>
      </c>
      <c r="S120" s="158">
        <f t="shared" si="40"/>
        <v>2.0633841520569109E-2</v>
      </c>
    </row>
    <row r="121" spans="1:19">
      <c r="A121" s="171">
        <v>45047</v>
      </c>
      <c r="B121" s="172">
        <f t="shared" ref="B121:B126" si="41">SUM(C121:D121)</f>
        <v>8625441</v>
      </c>
      <c r="C121" s="173">
        <v>7850584</v>
      </c>
      <c r="D121" s="173">
        <v>774857</v>
      </c>
      <c r="E121" s="173">
        <v>177122</v>
      </c>
      <c r="F121" s="173">
        <v>6807</v>
      </c>
      <c r="G121" s="173">
        <v>8365</v>
      </c>
      <c r="H121" s="173">
        <v>1158</v>
      </c>
      <c r="I121" s="173">
        <f t="shared" si="35"/>
        <v>193452</v>
      </c>
      <c r="J121" s="203">
        <f t="shared" si="17"/>
        <v>2.1936086536031223E-2</v>
      </c>
      <c r="K121" s="199">
        <v>32</v>
      </c>
      <c r="L121" s="199"/>
      <c r="O121" s="14">
        <f t="shared" si="32"/>
        <v>97207952</v>
      </c>
      <c r="P121" s="14">
        <f t="shared" si="33"/>
        <v>2393764</v>
      </c>
      <c r="Q121" s="14">
        <f t="shared" ref="Q121:Q131" si="42">O121-P121</f>
        <v>94814188</v>
      </c>
      <c r="R121" s="158">
        <f t="shared" ref="R121:R131" si="43">(O121-$O$15)/$O$15</f>
        <v>4.4491987387136264E-2</v>
      </c>
      <c r="S121" s="158">
        <f t="shared" ref="S121:S131" si="44">(Q121-$O$15)/$O$15</f>
        <v>1.8771176833532782E-2</v>
      </c>
    </row>
    <row r="122" spans="1:19">
      <c r="A122" s="171">
        <v>45078</v>
      </c>
      <c r="B122" s="172">
        <f t="shared" si="41"/>
        <v>9164894</v>
      </c>
      <c r="C122" s="173">
        <v>8244935</v>
      </c>
      <c r="D122" s="173">
        <v>919959</v>
      </c>
      <c r="E122" s="173">
        <v>224897</v>
      </c>
      <c r="F122" s="173">
        <v>7772</v>
      </c>
      <c r="G122" s="173">
        <v>9772</v>
      </c>
      <c r="H122" s="173">
        <v>1352</v>
      </c>
      <c r="I122" s="173">
        <f t="shared" si="35"/>
        <v>243793</v>
      </c>
      <c r="J122" s="203">
        <f t="shared" si="17"/>
        <v>2.5911479465732041E-2</v>
      </c>
      <c r="K122" s="199">
        <v>31</v>
      </c>
      <c r="L122" s="199"/>
      <c r="N122" s="55" t="s">
        <v>40</v>
      </c>
      <c r="O122" s="14">
        <f t="shared" si="32"/>
        <v>96709341</v>
      </c>
      <c r="P122" s="14">
        <f t="shared" si="33"/>
        <v>2334777</v>
      </c>
      <c r="Q122" s="14">
        <f t="shared" si="42"/>
        <v>94374564</v>
      </c>
      <c r="R122" s="158">
        <f t="shared" si="43"/>
        <v>3.9134450440744394E-2</v>
      </c>
      <c r="S122" s="158">
        <f t="shared" si="44"/>
        <v>1.4047450677229413E-2</v>
      </c>
    </row>
    <row r="123" spans="1:19">
      <c r="A123" s="171">
        <v>45108</v>
      </c>
      <c r="B123" s="172">
        <f t="shared" si="41"/>
        <v>8395978</v>
      </c>
      <c r="C123" s="173">
        <v>7541343</v>
      </c>
      <c r="D123" s="173">
        <v>854635</v>
      </c>
      <c r="E123" s="173">
        <v>255467</v>
      </c>
      <c r="F123" s="173">
        <v>9081</v>
      </c>
      <c r="G123" s="173">
        <v>12814</v>
      </c>
      <c r="H123" s="173">
        <v>1557</v>
      </c>
      <c r="I123" s="173">
        <f t="shared" si="35"/>
        <v>278919</v>
      </c>
      <c r="J123" s="203">
        <f t="shared" si="17"/>
        <v>3.215242786167951E-2</v>
      </c>
      <c r="K123" s="199">
        <v>28</v>
      </c>
      <c r="L123" s="199"/>
      <c r="O123" s="14">
        <f t="shared" si="32"/>
        <v>98664166</v>
      </c>
      <c r="P123" s="14">
        <f t="shared" si="33"/>
        <v>2349779</v>
      </c>
      <c r="Q123" s="14">
        <f t="shared" si="42"/>
        <v>96314387</v>
      </c>
      <c r="R123" s="158">
        <f t="shared" si="43"/>
        <v>6.0138895110497942E-2</v>
      </c>
      <c r="S123" s="158">
        <f t="shared" si="44"/>
        <v>3.4890700007791146E-2</v>
      </c>
    </row>
    <row r="124" spans="1:19">
      <c r="A124" s="171">
        <v>45139</v>
      </c>
      <c r="B124" s="172">
        <f t="shared" si="41"/>
        <v>10021052</v>
      </c>
      <c r="C124" s="173">
        <v>8997097</v>
      </c>
      <c r="D124" s="173">
        <v>1023955</v>
      </c>
      <c r="E124" s="173">
        <v>260667</v>
      </c>
      <c r="F124" s="173">
        <v>8733</v>
      </c>
      <c r="G124" s="173">
        <v>14748</v>
      </c>
      <c r="H124" s="173">
        <v>1494</v>
      </c>
      <c r="I124" s="173">
        <f t="shared" si="35"/>
        <v>285642</v>
      </c>
      <c r="J124" s="203">
        <f t="shared" si="17"/>
        <v>2.7714221456463149E-2</v>
      </c>
      <c r="K124" s="199">
        <v>33</v>
      </c>
      <c r="L124" s="199"/>
      <c r="O124" s="14">
        <f t="shared" si="32"/>
        <v>98443491</v>
      </c>
      <c r="P124" s="14">
        <f t="shared" si="33"/>
        <v>2333224</v>
      </c>
      <c r="Q124" s="14">
        <f t="shared" si="42"/>
        <v>96110267</v>
      </c>
      <c r="R124" s="158">
        <f t="shared" si="43"/>
        <v>5.7767759163547261E-2</v>
      </c>
      <c r="S124" s="158">
        <f t="shared" si="44"/>
        <v>3.2697446265901153E-2</v>
      </c>
    </row>
    <row r="125" spans="1:19">
      <c r="A125" s="171">
        <v>45170</v>
      </c>
      <c r="B125" s="172">
        <f t="shared" si="41"/>
        <v>9234983</v>
      </c>
      <c r="C125" s="173">
        <v>8309498</v>
      </c>
      <c r="D125" s="173">
        <v>925485</v>
      </c>
      <c r="E125" s="173">
        <v>193050</v>
      </c>
      <c r="F125" s="173">
        <v>6417</v>
      </c>
      <c r="G125" s="173">
        <v>10761</v>
      </c>
      <c r="H125" s="173">
        <v>1102</v>
      </c>
      <c r="I125" s="173">
        <f t="shared" si="35"/>
        <v>211330</v>
      </c>
      <c r="J125" s="203">
        <f t="shared" si="17"/>
        <v>2.2371691473699846E-2</v>
      </c>
      <c r="K125" s="199">
        <v>30</v>
      </c>
      <c r="L125" s="199"/>
      <c r="O125" s="14">
        <f t="shared" si="32"/>
        <v>99413865</v>
      </c>
      <c r="P125" s="14">
        <f t="shared" si="33"/>
        <v>2372711</v>
      </c>
      <c r="Q125" s="14">
        <f t="shared" si="42"/>
        <v>97041154</v>
      </c>
      <c r="R125" s="158">
        <f t="shared" si="43"/>
        <v>6.8194353355849613E-2</v>
      </c>
      <c r="S125" s="158">
        <f t="shared" si="44"/>
        <v>4.2699755672263806E-2</v>
      </c>
    </row>
    <row r="126" spans="1:19">
      <c r="A126" s="171">
        <v>45200</v>
      </c>
      <c r="B126" s="172">
        <f t="shared" si="41"/>
        <v>8906994</v>
      </c>
      <c r="C126" s="173">
        <v>8107730</v>
      </c>
      <c r="D126" s="173">
        <v>799264</v>
      </c>
      <c r="E126" s="173">
        <v>187049</v>
      </c>
      <c r="F126" s="173">
        <v>6214</v>
      </c>
      <c r="G126" s="173">
        <v>10597</v>
      </c>
      <c r="H126" s="173">
        <v>997</v>
      </c>
      <c r="I126" s="173">
        <f t="shared" si="35"/>
        <v>204857</v>
      </c>
      <c r="J126" s="203">
        <f t="shared" si="17"/>
        <v>2.2482479136236973E-2</v>
      </c>
      <c r="K126" s="199">
        <v>31</v>
      </c>
      <c r="L126" s="199"/>
      <c r="O126" s="14">
        <f t="shared" si="32"/>
        <v>99357598</v>
      </c>
      <c r="P126" s="14">
        <f t="shared" si="33"/>
        <v>2419130</v>
      </c>
      <c r="Q126" s="14">
        <f t="shared" si="42"/>
        <v>96938468</v>
      </c>
      <c r="R126" s="158">
        <f t="shared" si="43"/>
        <v>6.7589768757109037E-2</v>
      </c>
      <c r="S126" s="158">
        <f t="shared" si="44"/>
        <v>4.1596402479339475E-2</v>
      </c>
    </row>
    <row r="127" spans="1:19">
      <c r="A127" s="171">
        <v>45231</v>
      </c>
      <c r="B127" s="172">
        <f t="shared" ref="B127:B132" si="45">SUM(C127:D127)</f>
        <v>7592642</v>
      </c>
      <c r="C127" s="173">
        <v>6926813</v>
      </c>
      <c r="D127" s="173">
        <v>665829</v>
      </c>
      <c r="E127" s="173">
        <v>199647</v>
      </c>
      <c r="F127" s="173">
        <v>6841</v>
      </c>
      <c r="G127" s="173">
        <v>11363</v>
      </c>
      <c r="H127" s="173">
        <v>1007</v>
      </c>
      <c r="I127" s="173">
        <f t="shared" si="35"/>
        <v>218858</v>
      </c>
      <c r="J127" s="203">
        <f t="shared" si="17"/>
        <v>2.8017410228509249E-2</v>
      </c>
      <c r="K127" s="199">
        <v>31</v>
      </c>
      <c r="L127" s="199"/>
      <c r="O127" s="14">
        <f t="shared" si="32"/>
        <v>100029481</v>
      </c>
      <c r="P127" s="14">
        <f t="shared" si="33"/>
        <v>2376183</v>
      </c>
      <c r="Q127" s="14">
        <f t="shared" si="42"/>
        <v>97653298</v>
      </c>
      <c r="R127" s="158">
        <f t="shared" si="43"/>
        <v>7.4809100051750774E-2</v>
      </c>
      <c r="S127" s="158">
        <f t="shared" si="44"/>
        <v>4.9277195994503198E-2</v>
      </c>
    </row>
    <row r="128" spans="1:19">
      <c r="A128" s="171">
        <v>45262</v>
      </c>
      <c r="B128" s="172">
        <f t="shared" si="45"/>
        <v>6470056</v>
      </c>
      <c r="C128" s="173">
        <v>5889228</v>
      </c>
      <c r="D128" s="173">
        <v>580828</v>
      </c>
      <c r="E128" s="173">
        <v>129813</v>
      </c>
      <c r="F128" s="173">
        <v>4941</v>
      </c>
      <c r="G128" s="173">
        <v>7827</v>
      </c>
      <c r="H128" s="173">
        <v>697</v>
      </c>
      <c r="I128" s="173">
        <f t="shared" si="35"/>
        <v>143278</v>
      </c>
      <c r="J128" s="203">
        <f t="shared" si="17"/>
        <v>2.1665017977316736E-2</v>
      </c>
      <c r="K128" s="199">
        <v>29</v>
      </c>
      <c r="L128" s="199"/>
      <c r="O128" s="14">
        <f t="shared" si="32"/>
        <v>100802371</v>
      </c>
      <c r="P128" s="14">
        <f t="shared" si="33"/>
        <v>2434874</v>
      </c>
      <c r="Q128" s="14">
        <f t="shared" si="42"/>
        <v>98367497</v>
      </c>
      <c r="R128" s="158">
        <f t="shared" si="43"/>
        <v>8.3113743813113469E-2</v>
      </c>
      <c r="S128" s="158">
        <f t="shared" si="44"/>
        <v>5.6951209463071133E-2</v>
      </c>
    </row>
    <row r="129" spans="1:19">
      <c r="A129" s="16">
        <v>45293</v>
      </c>
      <c r="B129" s="28">
        <f t="shared" si="45"/>
        <v>6692267</v>
      </c>
      <c r="C129" s="27">
        <v>6074615</v>
      </c>
      <c r="D129" s="27">
        <v>617652</v>
      </c>
      <c r="E129" s="27">
        <v>174410</v>
      </c>
      <c r="F129" s="27">
        <v>6432</v>
      </c>
      <c r="G129" s="27">
        <v>9963</v>
      </c>
      <c r="H129" s="27">
        <v>893</v>
      </c>
      <c r="I129" s="27">
        <f>SUM(E129:H129)</f>
        <v>191698</v>
      </c>
      <c r="J129" s="201">
        <f t="shared" si="17"/>
        <v>2.7847032923613062E-2</v>
      </c>
      <c r="K129" s="190">
        <v>32</v>
      </c>
      <c r="L129" s="190">
        <f>SUM(K129:K140)</f>
        <v>367</v>
      </c>
      <c r="O129" s="14">
        <f t="shared" si="32"/>
        <v>100581586</v>
      </c>
      <c r="P129" s="14">
        <f t="shared" si="33"/>
        <v>2433774</v>
      </c>
      <c r="Q129" s="14">
        <f t="shared" si="42"/>
        <v>98147812</v>
      </c>
      <c r="R129" s="158">
        <f t="shared" si="43"/>
        <v>8.0741425924600915E-2</v>
      </c>
      <c r="S129" s="158">
        <f t="shared" si="44"/>
        <v>5.4590710990177239E-2</v>
      </c>
    </row>
    <row r="130" spans="1:19">
      <c r="A130" s="16">
        <v>45325</v>
      </c>
      <c r="B130" s="28">
        <f t="shared" si="45"/>
        <v>6654580</v>
      </c>
      <c r="C130" s="27">
        <v>6050388</v>
      </c>
      <c r="D130" s="27">
        <v>604192</v>
      </c>
      <c r="E130" s="27">
        <v>121311</v>
      </c>
      <c r="F130" s="27">
        <v>4299</v>
      </c>
      <c r="G130" s="27">
        <v>6964</v>
      </c>
      <c r="H130" s="27">
        <v>663</v>
      </c>
      <c r="I130" s="27">
        <f t="shared" ref="I130:I136" si="46">SUM(E130:H130)</f>
        <v>133237</v>
      </c>
      <c r="J130" s="201">
        <f t="shared" si="17"/>
        <v>1.9628843853627755E-2</v>
      </c>
      <c r="K130" s="190">
        <v>30</v>
      </c>
      <c r="L130" s="190"/>
      <c r="O130" s="14">
        <f t="shared" si="32"/>
        <v>101060258</v>
      </c>
      <c r="P130" s="14">
        <f t="shared" si="33"/>
        <v>2488095</v>
      </c>
      <c r="Q130" s="14">
        <f t="shared" si="42"/>
        <v>98572163</v>
      </c>
      <c r="R130" s="158">
        <f t="shared" si="43"/>
        <v>8.5884719845519805E-2</v>
      </c>
      <c r="S130" s="158">
        <f t="shared" si="44"/>
        <v>5.9150329933077284E-2</v>
      </c>
    </row>
    <row r="131" spans="1:19">
      <c r="A131" s="16">
        <v>45357</v>
      </c>
      <c r="B131" s="28">
        <f t="shared" si="45"/>
        <v>6611330</v>
      </c>
      <c r="C131" s="27">
        <v>5992082</v>
      </c>
      <c r="D131" s="27">
        <v>619248</v>
      </c>
      <c r="E131" s="27">
        <v>134186</v>
      </c>
      <c r="F131" s="27">
        <v>4480</v>
      </c>
      <c r="G131" s="27">
        <v>7675</v>
      </c>
      <c r="H131" s="27">
        <v>780</v>
      </c>
      <c r="I131" s="27">
        <f t="shared" si="46"/>
        <v>147121</v>
      </c>
      <c r="J131" s="201">
        <f t="shared" si="17"/>
        <v>2.1768449604798495E-2</v>
      </c>
      <c r="K131" s="190">
        <v>28</v>
      </c>
      <c r="L131" s="190"/>
      <c r="O131" s="14">
        <f t="shared" si="32"/>
        <v>101471382</v>
      </c>
      <c r="P131" s="14">
        <f t="shared" si="33"/>
        <v>2545842</v>
      </c>
      <c r="Q131" s="14">
        <f t="shared" si="42"/>
        <v>98925540</v>
      </c>
      <c r="R131" s="158">
        <f t="shared" si="43"/>
        <v>9.0302215688067233E-2</v>
      </c>
      <c r="S131" s="158">
        <f t="shared" si="44"/>
        <v>6.2947338690415411E-2</v>
      </c>
    </row>
    <row r="132" spans="1:19">
      <c r="A132" s="16">
        <v>45389</v>
      </c>
      <c r="B132" s="28">
        <f t="shared" si="45"/>
        <v>9041985</v>
      </c>
      <c r="C132" s="27">
        <v>8201433</v>
      </c>
      <c r="D132" s="27">
        <v>840552</v>
      </c>
      <c r="E132" s="27">
        <v>158138</v>
      </c>
      <c r="F132" s="27">
        <v>4962</v>
      </c>
      <c r="G132" s="27">
        <v>8465</v>
      </c>
      <c r="H132" s="27">
        <v>911</v>
      </c>
      <c r="I132" s="27">
        <f t="shared" si="46"/>
        <v>172476</v>
      </c>
      <c r="J132" s="201">
        <f t="shared" si="17"/>
        <v>1.8717969504673145E-2</v>
      </c>
      <c r="K132" s="190">
        <v>33</v>
      </c>
      <c r="L132" s="190"/>
      <c r="O132" s="14">
        <f t="shared" si="32"/>
        <v>101180417</v>
      </c>
      <c r="P132" s="14">
        <f t="shared" si="33"/>
        <v>2606245</v>
      </c>
      <c r="Q132" s="14">
        <f t="shared" ref="Q132" si="47">O132-P132</f>
        <v>98574172</v>
      </c>
      <c r="R132" s="158">
        <f t="shared" ref="R132" si="48">(O132-$O$15)/$O$15</f>
        <v>8.7175819083084763E-2</v>
      </c>
      <c r="S132" s="158">
        <f t="shared" ref="S132" si="49">(Q132-$O$15)/$O$15</f>
        <v>5.9171916483966261E-2</v>
      </c>
    </row>
    <row r="133" spans="1:19">
      <c r="A133" s="16">
        <v>45419</v>
      </c>
      <c r="B133" s="28">
        <v>8421191</v>
      </c>
      <c r="C133" s="27">
        <v>7651250</v>
      </c>
      <c r="D133" s="27">
        <v>769941</v>
      </c>
      <c r="E133" s="27">
        <v>148658</v>
      </c>
      <c r="F133" s="27">
        <v>4817</v>
      </c>
      <c r="G133" s="27">
        <v>8203</v>
      </c>
      <c r="H133" s="27">
        <v>877</v>
      </c>
      <c r="I133" s="27">
        <f t="shared" si="46"/>
        <v>162555</v>
      </c>
      <c r="J133" s="201">
        <f t="shared" si="17"/>
        <v>1.8937536129330947E-2</v>
      </c>
      <c r="K133" s="190">
        <v>30</v>
      </c>
      <c r="L133" s="190"/>
      <c r="O133" s="14">
        <f t="shared" si="32"/>
        <v>102046244</v>
      </c>
      <c r="P133" s="14">
        <f t="shared" si="33"/>
        <v>2665036</v>
      </c>
      <c r="Q133" s="14">
        <f t="shared" ref="Q133" si="50">O133-P133</f>
        <v>99381208</v>
      </c>
      <c r="R133" s="158">
        <f t="shared" ref="R133" si="51">(O133-$O$15)/$O$15</f>
        <v>9.647906378022067E-2</v>
      </c>
      <c r="S133" s="158">
        <f t="shared" ref="S133" si="52">(Q133-$O$15)/$O$15</f>
        <v>6.7843456395978441E-2</v>
      </c>
    </row>
    <row r="134" spans="1:19">
      <c r="A134" s="16">
        <v>45450</v>
      </c>
      <c r="B134" s="28">
        <v>8666283</v>
      </c>
      <c r="C134" s="27">
        <v>7785448</v>
      </c>
      <c r="D134" s="27">
        <v>880835</v>
      </c>
      <c r="E134" s="27">
        <v>169781</v>
      </c>
      <c r="F134" s="27">
        <v>5346</v>
      </c>
      <c r="G134" s="27">
        <v>8682</v>
      </c>
      <c r="H134" s="27">
        <v>997</v>
      </c>
      <c r="I134" s="27">
        <f t="shared" si="46"/>
        <v>184806</v>
      </c>
      <c r="J134" s="201">
        <f t="shared" si="17"/>
        <v>2.0879464662483905E-2</v>
      </c>
      <c r="K134" s="190">
        <v>29</v>
      </c>
      <c r="L134" s="190"/>
      <c r="N134" s="55" t="s">
        <v>41</v>
      </c>
      <c r="O134" s="14">
        <f t="shared" si="32"/>
        <v>103383996</v>
      </c>
      <c r="P134" s="14">
        <f t="shared" si="33"/>
        <v>2717156</v>
      </c>
      <c r="Q134" s="14">
        <f t="shared" ref="Q134" si="53">O134-P134</f>
        <v>100666840</v>
      </c>
      <c r="R134" s="158">
        <f t="shared" ref="R134" si="54">(O134-$O$15)/$O$15</f>
        <v>0.11085310640083999</v>
      </c>
      <c r="S134" s="158">
        <f t="shared" ref="S134" si="55">(Q134-$O$15)/$O$15</f>
        <v>8.1657473614739504E-2</v>
      </c>
    </row>
    <row r="135" spans="1:19">
      <c r="A135" s="16">
        <v>45480</v>
      </c>
      <c r="B135" s="28">
        <v>10350803</v>
      </c>
      <c r="C135" s="27">
        <v>9286536</v>
      </c>
      <c r="D135" s="27">
        <v>1064267</v>
      </c>
      <c r="E135" s="27">
        <v>271216</v>
      </c>
      <c r="F135" s="27">
        <v>8017</v>
      </c>
      <c r="G135" s="27">
        <v>13210</v>
      </c>
      <c r="H135" s="27">
        <v>1478</v>
      </c>
      <c r="I135" s="27">
        <f t="shared" si="46"/>
        <v>293921</v>
      </c>
      <c r="J135" s="201">
        <f t="shared" si="17"/>
        <v>2.7611894869232871E-2</v>
      </c>
      <c r="K135" s="190">
        <v>32</v>
      </c>
      <c r="L135" s="190"/>
      <c r="O135" s="14">
        <f t="shared" si="32"/>
        <v>103225651</v>
      </c>
      <c r="P135" s="14">
        <f t="shared" si="33"/>
        <v>2679633</v>
      </c>
      <c r="Q135" s="14">
        <f t="shared" ref="Q135:Q136" si="56">O135-P135</f>
        <v>100546018</v>
      </c>
      <c r="R135" s="158">
        <f t="shared" ref="R135:R136" si="57">(O135-$O$15)/$O$15</f>
        <v>0.10915170152253521</v>
      </c>
      <c r="S135" s="158">
        <f t="shared" ref="S135:S136" si="58">(Q135-$O$15)/$O$15</f>
        <v>8.0359250493033496E-2</v>
      </c>
    </row>
    <row r="136" spans="1:19">
      <c r="A136" s="16">
        <v>45505</v>
      </c>
      <c r="B136" s="28">
        <v>9800377</v>
      </c>
      <c r="C136" s="27">
        <v>8775254</v>
      </c>
      <c r="D136" s="27">
        <v>1025123</v>
      </c>
      <c r="E136" s="27">
        <v>247484</v>
      </c>
      <c r="F136" s="27">
        <v>7185</v>
      </c>
      <c r="G136" s="27">
        <v>13032</v>
      </c>
      <c r="H136" s="27">
        <v>1386</v>
      </c>
      <c r="I136" s="27">
        <f t="shared" si="46"/>
        <v>269087</v>
      </c>
      <c r="J136" s="201">
        <f t="shared" ref="J136" si="59">I136/(B136+I136)</f>
        <v>2.6723070860574107E-2</v>
      </c>
      <c r="K136" s="190">
        <v>31</v>
      </c>
      <c r="L136" s="190"/>
      <c r="O136" s="14">
        <f t="shared" si="32"/>
        <v>103479701</v>
      </c>
      <c r="P136" s="14">
        <f t="shared" si="33"/>
        <v>2623282</v>
      </c>
      <c r="Q136" s="14">
        <f t="shared" si="56"/>
        <v>100856419</v>
      </c>
      <c r="R136" s="158">
        <f t="shared" si="57"/>
        <v>0.11188144928427905</v>
      </c>
      <c r="S136" s="158">
        <f t="shared" si="58"/>
        <v>8.3694485427074222E-2</v>
      </c>
    </row>
    <row r="137" spans="1:19">
      <c r="A137" s="16">
        <v>45536</v>
      </c>
      <c r="B137" s="28">
        <v>10205357</v>
      </c>
      <c r="C137" s="27">
        <v>9147972</v>
      </c>
      <c r="D137" s="27">
        <v>1057385</v>
      </c>
      <c r="E137" s="27">
        <v>229493</v>
      </c>
      <c r="F137" s="27">
        <v>7308</v>
      </c>
      <c r="G137" s="27">
        <v>12763</v>
      </c>
      <c r="H137" s="27">
        <v>1253</v>
      </c>
      <c r="I137" s="27">
        <f t="shared" ref="I137" si="60">SUM(E137:H137)</f>
        <v>250817</v>
      </c>
      <c r="J137" s="201">
        <f t="shared" ref="J137" si="61">I137/(B137+I137)</f>
        <v>2.3987454684667644E-2</v>
      </c>
      <c r="K137" s="190">
        <v>31</v>
      </c>
      <c r="L137" s="190"/>
      <c r="O137" s="14">
        <f t="shared" si="32"/>
        <v>104605753</v>
      </c>
      <c r="P137" s="14">
        <f t="shared" si="33"/>
        <v>2667096</v>
      </c>
      <c r="Q137" s="14">
        <f t="shared" ref="Q137" si="62">O137-P137</f>
        <v>101938657</v>
      </c>
      <c r="R137" s="158">
        <f t="shared" ref="R137" si="63">(O137-$O$15)/$O$15</f>
        <v>0.12398079164447258</v>
      </c>
      <c r="S137" s="158">
        <f t="shared" ref="S137" si="64">(Q137-$O$15)/$O$15</f>
        <v>9.5323049718253602E-2</v>
      </c>
    </row>
    <row r="138" spans="1:19">
      <c r="A138" s="16">
        <v>45566</v>
      </c>
      <c r="B138" s="28">
        <v>8850727</v>
      </c>
      <c r="C138" s="27">
        <v>8015202</v>
      </c>
      <c r="D138" s="27">
        <v>835525</v>
      </c>
      <c r="E138" s="27">
        <v>228267</v>
      </c>
      <c r="F138" s="27">
        <v>8164</v>
      </c>
      <c r="G138" s="27">
        <v>13658</v>
      </c>
      <c r="H138" s="27">
        <v>1187</v>
      </c>
      <c r="I138" s="27">
        <f t="shared" ref="I138" si="65">SUM(E138:H138)</f>
        <v>251276</v>
      </c>
      <c r="J138" s="201">
        <f t="shared" ref="J138" si="66">I138/(B138+I138)</f>
        <v>2.7606670751481845E-2</v>
      </c>
      <c r="K138" s="190">
        <v>30</v>
      </c>
      <c r="L138" s="190"/>
      <c r="O138" s="14">
        <f t="shared" si="32"/>
        <v>105551131</v>
      </c>
      <c r="P138" s="14">
        <f t="shared" si="33"/>
        <v>2649958</v>
      </c>
      <c r="Q138" s="14">
        <f t="shared" ref="Q138" si="67">O138-P138</f>
        <v>102901173</v>
      </c>
      <c r="R138" s="158">
        <f t="shared" ref="R138" si="68">(O138-$O$15)/$O$15</f>
        <v>0.13413880573422601</v>
      </c>
      <c r="S138" s="158">
        <f t="shared" ref="S138" si="69">(Q138-$O$15)/$O$15</f>
        <v>0.10566521030334562</v>
      </c>
    </row>
    <row r="139" spans="1:19">
      <c r="A139" s="16">
        <v>45597</v>
      </c>
      <c r="B139" s="28">
        <v>8264525</v>
      </c>
      <c r="C139" s="27">
        <v>7567797</v>
      </c>
      <c r="D139" s="27">
        <v>696728</v>
      </c>
      <c r="E139" s="27">
        <v>159696</v>
      </c>
      <c r="F139" s="27">
        <v>5892</v>
      </c>
      <c r="G139" s="27">
        <v>9501</v>
      </c>
      <c r="H139" s="27">
        <v>822</v>
      </c>
      <c r="I139" s="27">
        <f t="shared" ref="I139:I140" si="70">SUM(E139:H139)</f>
        <v>175911</v>
      </c>
      <c r="J139" s="201">
        <f t="shared" ref="J139" si="71">I139/(B139+I139)</f>
        <v>2.0841458900938293E-2</v>
      </c>
      <c r="K139" s="190">
        <v>30</v>
      </c>
      <c r="L139" s="190"/>
      <c r="O139" s="14">
        <f t="shared" si="32"/>
        <v>105265370</v>
      </c>
      <c r="P139" s="14">
        <f t="shared" si="33"/>
        <v>2675422</v>
      </c>
      <c r="Q139" s="14">
        <f t="shared" ref="Q139" si="72">O139-P139</f>
        <v>102589948</v>
      </c>
      <c r="R139" s="158">
        <f t="shared" ref="R139" si="73">(O139-$O$15)/$O$15</f>
        <v>0.13106832571004307</v>
      </c>
      <c r="S139" s="158">
        <f t="shared" ref="S139" si="74">(Q139-$O$15)/$O$15</f>
        <v>0.1023211215525142</v>
      </c>
    </row>
    <row r="140" spans="1:19">
      <c r="A140" s="16">
        <v>45627</v>
      </c>
      <c r="B140" s="28">
        <v>7242946</v>
      </c>
      <c r="C140" s="27">
        <v>6608002</v>
      </c>
      <c r="D140" s="27">
        <v>634944</v>
      </c>
      <c r="E140" s="27">
        <v>183992</v>
      </c>
      <c r="F140" s="27">
        <v>6211</v>
      </c>
      <c r="G140" s="27">
        <v>10830</v>
      </c>
      <c r="H140" s="27">
        <v>936</v>
      </c>
      <c r="I140" s="27">
        <f t="shared" si="70"/>
        <v>201969</v>
      </c>
      <c r="J140" s="201">
        <f t="shared" ref="J140" si="75">I140/(B140+I140)</f>
        <v>2.7128449418159912E-2</v>
      </c>
      <c r="K140" s="190">
        <v>31</v>
      </c>
      <c r="L140" s="190"/>
      <c r="O140" s="14">
        <f t="shared" si="32"/>
        <v>106068432</v>
      </c>
      <c r="P140" s="14">
        <f t="shared" si="33"/>
        <v>2658381</v>
      </c>
      <c r="Q140" s="14">
        <f t="shared" ref="Q140" si="76">O140-P140</f>
        <v>103410051</v>
      </c>
      <c r="R140" s="158">
        <f t="shared" ref="R140" si="77">(O140-$O$15)/$O$15</f>
        <v>0.13969716529690204</v>
      </c>
      <c r="S140" s="158">
        <f t="shared" ref="S140" si="78">(Q140-$O$15)/$O$15</f>
        <v>0.11113306537715266</v>
      </c>
    </row>
    <row r="141" spans="1:19">
      <c r="A141" s="18">
        <v>45658</v>
      </c>
      <c r="B141" s="30">
        <v>6471482</v>
      </c>
      <c r="C141" s="29">
        <v>5891149</v>
      </c>
      <c r="D141" s="29">
        <v>580333</v>
      </c>
      <c r="E141" s="29">
        <v>172194</v>
      </c>
      <c r="F141" s="29">
        <v>6850</v>
      </c>
      <c r="G141" s="29">
        <v>10647</v>
      </c>
      <c r="H141" s="29">
        <v>907</v>
      </c>
      <c r="I141" s="29">
        <f t="shared" ref="I141" si="79">SUM(E141:H141)</f>
        <v>190598</v>
      </c>
      <c r="J141" s="202">
        <f t="shared" ref="J141" si="80">I141/(B141+I141)</f>
        <v>2.8609383255679906E-2</v>
      </c>
      <c r="K141" s="192">
        <v>29</v>
      </c>
      <c r="L141" s="192">
        <f>SUM(K141:K152)</f>
        <v>365</v>
      </c>
      <c r="O141" s="14">
        <f t="shared" si="32"/>
        <v>106905493</v>
      </c>
      <c r="P141" s="14">
        <f t="shared" si="33"/>
        <v>2696025</v>
      </c>
      <c r="Q141" s="14">
        <f t="shared" ref="Q141" si="81">O141-P141</f>
        <v>104209468</v>
      </c>
      <c r="R141" s="158">
        <f t="shared" ref="R141" si="82">(O141-$O$15)/$O$15</f>
        <v>0.14869132153068695</v>
      </c>
      <c r="S141" s="158">
        <f t="shared" ref="S141" si="83">(Q141-$O$15)/$O$15</f>
        <v>0.11972273971862075</v>
      </c>
    </row>
    <row r="142" spans="1:19">
      <c r="A142" s="18">
        <v>45689</v>
      </c>
      <c r="B142" s="30">
        <v>7133252</v>
      </c>
      <c r="C142" s="29">
        <v>6454800</v>
      </c>
      <c r="D142" s="29">
        <v>678452</v>
      </c>
      <c r="E142" s="29">
        <v>170083</v>
      </c>
      <c r="F142" s="29">
        <v>5821</v>
      </c>
      <c r="G142" s="29">
        <v>10743</v>
      </c>
      <c r="H142" s="29">
        <v>911</v>
      </c>
      <c r="I142" s="29">
        <f t="shared" ref="I142:I143" si="84">SUM(E142:H142)</f>
        <v>187558</v>
      </c>
      <c r="J142" s="202">
        <f t="shared" ref="J142:J143" si="85">I142/(B142+I142)</f>
        <v>2.5619842613044185E-2</v>
      </c>
      <c r="K142" s="192">
        <v>31</v>
      </c>
      <c r="L142" s="192"/>
      <c r="O142" s="14">
        <f t="shared" ref="O142:O144" si="86">SUM(B143:B154)</f>
        <v>106826175</v>
      </c>
      <c r="P142" s="14">
        <f t="shared" si="33"/>
        <v>2690637</v>
      </c>
      <c r="Q142" s="14">
        <f t="shared" ref="Q142:Q143" si="87">O142-P142</f>
        <v>104135538</v>
      </c>
      <c r="R142" s="158">
        <f t="shared" ref="R142:R143" si="88">(O142-$O$15)/$O$15</f>
        <v>0.14783905570519593</v>
      </c>
      <c r="S142" s="158">
        <f t="shared" ref="S142:S143" si="89">(Q142-$O$15)/$O$15</f>
        <v>0.11892836753981453</v>
      </c>
    </row>
    <row r="143" spans="1:19">
      <c r="A143" s="18">
        <v>45717</v>
      </c>
      <c r="B143" s="30">
        <v>7022454</v>
      </c>
      <c r="C143" s="29">
        <v>6384446</v>
      </c>
      <c r="D143" s="29">
        <v>638008</v>
      </c>
      <c r="E143" s="29">
        <v>186259</v>
      </c>
      <c r="F143" s="29">
        <v>6551</v>
      </c>
      <c r="G143" s="29">
        <v>11065</v>
      </c>
      <c r="H143" s="29">
        <v>993</v>
      </c>
      <c r="I143" s="29">
        <f t="shared" si="84"/>
        <v>204868</v>
      </c>
      <c r="J143" s="202">
        <f t="shared" si="85"/>
        <v>2.8346322469097129E-2</v>
      </c>
      <c r="K143" s="192">
        <v>28</v>
      </c>
      <c r="L143" s="192"/>
      <c r="O143" s="14">
        <f t="shared" si="86"/>
        <v>108273733</v>
      </c>
      <c r="P143" s="14">
        <f t="shared" si="33"/>
        <v>2719163</v>
      </c>
      <c r="Q143" s="14">
        <f t="shared" si="87"/>
        <v>105554570</v>
      </c>
      <c r="R143" s="158">
        <f t="shared" si="88"/>
        <v>0.1633929553725621</v>
      </c>
      <c r="S143" s="158">
        <f t="shared" si="89"/>
        <v>0.13417575752541924</v>
      </c>
    </row>
    <row r="144" spans="1:19">
      <c r="A144" s="18">
        <v>45748</v>
      </c>
      <c r="B144" s="30">
        <v>8751020</v>
      </c>
      <c r="C144" s="29">
        <v>7976372</v>
      </c>
      <c r="D144" s="29">
        <v>774648</v>
      </c>
      <c r="E144" s="29">
        <v>210888</v>
      </c>
      <c r="F144" s="29">
        <v>7707</v>
      </c>
      <c r="G144" s="29">
        <v>13077</v>
      </c>
      <c r="H144" s="29">
        <v>1207</v>
      </c>
      <c r="I144" s="29">
        <f t="shared" ref="I144" si="90">SUM(E144:H144)</f>
        <v>232879</v>
      </c>
      <c r="J144" s="202">
        <f t="shared" ref="J144" si="91">I144/(B144+I144)</f>
        <v>2.5921818577880271E-2</v>
      </c>
      <c r="K144" s="192">
        <v>33</v>
      </c>
      <c r="L144" s="192"/>
      <c r="O144" s="14">
        <f t="shared" si="86"/>
        <v>109240359</v>
      </c>
      <c r="P144" s="14">
        <f t="shared" si="33"/>
        <v>2714781</v>
      </c>
      <c r="Q144" s="14">
        <f t="shared" ref="Q144" si="92">O144-P144</f>
        <v>106525578</v>
      </c>
      <c r="R144" s="158">
        <f t="shared" ref="R144" si="93">(O144-$O$15)/$O$15</f>
        <v>0.17377927759237471</v>
      </c>
      <c r="S144" s="158">
        <f t="shared" ref="S144" si="94">(Q144-$O$15)/$O$15</f>
        <v>0.14460916399908724</v>
      </c>
    </row>
    <row r="145" spans="1:19">
      <c r="A145" s="18">
        <v>45778</v>
      </c>
      <c r="B145" s="30">
        <v>9287018</v>
      </c>
      <c r="C145" s="29">
        <v>8416897</v>
      </c>
      <c r="D145" s="29">
        <v>870121</v>
      </c>
      <c r="E145" s="29">
        <v>201460</v>
      </c>
      <c r="F145" s="29">
        <v>6772</v>
      </c>
      <c r="G145" s="29">
        <v>11948</v>
      </c>
      <c r="H145" s="29">
        <v>1166</v>
      </c>
      <c r="I145" s="29">
        <f t="shared" ref="I145" si="95">SUM(E145:H145)</f>
        <v>221346</v>
      </c>
      <c r="J145" s="202">
        <f t="shared" ref="J145" si="96">I145/(B145+I145)</f>
        <v>2.3279083552123162E-2</v>
      </c>
      <c r="K145" s="192">
        <v>30</v>
      </c>
      <c r="L145" s="192"/>
      <c r="O145" s="14"/>
      <c r="P145" s="14"/>
      <c r="Q145" s="14"/>
      <c r="R145" s="158"/>
      <c r="S145" s="158"/>
    </row>
    <row r="146" spans="1:19">
      <c r="A146" s="18">
        <v>45809</v>
      </c>
      <c r="B146" s="30">
        <v>10004035</v>
      </c>
      <c r="C146" s="29">
        <v>9043026</v>
      </c>
      <c r="D146" s="29">
        <v>961009</v>
      </c>
      <c r="E146" s="29">
        <v>215889</v>
      </c>
      <c r="F146" s="29">
        <v>7092</v>
      </c>
      <c r="G146" s="29">
        <v>12710</v>
      </c>
      <c r="H146" s="29">
        <v>1235</v>
      </c>
      <c r="I146" s="29">
        <f t="shared" ref="I146" si="97">SUM(E146:H146)</f>
        <v>236926</v>
      </c>
      <c r="J146" s="202">
        <f t="shared" ref="J146" si="98">I146/(B146+I146)</f>
        <v>2.3135133509443108E-2</v>
      </c>
      <c r="K146" s="192">
        <v>31</v>
      </c>
      <c r="L146" s="192"/>
      <c r="N146" s="55" t="s">
        <v>42</v>
      </c>
      <c r="O146" s="14"/>
      <c r="P146" s="14"/>
      <c r="Q146" s="14"/>
      <c r="R146" s="158"/>
      <c r="S146" s="158"/>
    </row>
    <row r="147" spans="1:19">
      <c r="A147" s="18">
        <v>45839</v>
      </c>
      <c r="B147" s="30">
        <v>10192458</v>
      </c>
      <c r="C147" s="29">
        <v>9212610</v>
      </c>
      <c r="D147" s="29">
        <v>979848</v>
      </c>
      <c r="E147" s="29">
        <v>235104</v>
      </c>
      <c r="F147" s="29">
        <f>2294+2157+26+1961</f>
        <v>6438</v>
      </c>
      <c r="G147" s="29">
        <f>3110+3141+4084+3139</f>
        <v>13474</v>
      </c>
      <c r="H147" s="29">
        <f>751+631</f>
        <v>1382</v>
      </c>
      <c r="I147" s="29">
        <f t="shared" ref="I147" si="99">SUM(E147:H147)</f>
        <v>256398</v>
      </c>
      <c r="J147" s="202">
        <f t="shared" ref="J147" si="100">I147/(B147+I147)</f>
        <v>2.4538380086776963E-2</v>
      </c>
      <c r="K147" s="192">
        <v>30</v>
      </c>
      <c r="L147" s="192"/>
      <c r="O147" s="14"/>
      <c r="P147" s="14"/>
      <c r="Q147" s="14"/>
      <c r="R147" s="158"/>
      <c r="S147" s="158"/>
    </row>
    <row r="148" spans="1:19">
      <c r="A148" s="18">
        <v>45870</v>
      </c>
      <c r="B148" s="30">
        <v>10054427</v>
      </c>
      <c r="C148" s="29">
        <v>9107780</v>
      </c>
      <c r="D148" s="29">
        <v>946647</v>
      </c>
      <c r="E148" s="29">
        <v>194526</v>
      </c>
      <c r="F148" s="29">
        <v>6293</v>
      </c>
      <c r="G148" s="29">
        <v>10745</v>
      </c>
      <c r="H148" s="29">
        <v>1172</v>
      </c>
      <c r="I148" s="29">
        <f t="shared" ref="I148" si="101">SUM(E148:H148)</f>
        <v>212736</v>
      </c>
      <c r="J148" s="202">
        <f t="shared" ref="J148" si="102">I148/(B148+I148)</f>
        <v>2.0720037268328165E-2</v>
      </c>
      <c r="K148" s="192">
        <v>30</v>
      </c>
      <c r="L148" s="192"/>
      <c r="O148" s="14"/>
      <c r="P148" s="14"/>
      <c r="Q148" s="14"/>
      <c r="R148" s="158"/>
      <c r="S148" s="158"/>
    </row>
    <row r="149" spans="1:19">
      <c r="A149" s="18">
        <v>45901</v>
      </c>
      <c r="B149" s="30">
        <v>11331409</v>
      </c>
      <c r="C149" s="29">
        <v>10251603</v>
      </c>
      <c r="D149" s="29">
        <v>1079806</v>
      </c>
      <c r="E149" s="29">
        <v>268734</v>
      </c>
      <c r="F149" s="29">
        <v>8767</v>
      </c>
      <c r="G149" s="29">
        <v>15720</v>
      </c>
      <c r="H149" s="29">
        <v>1410</v>
      </c>
      <c r="I149" s="29">
        <f t="shared" ref="I149:I150" si="103">SUM(E149:H149)</f>
        <v>294631</v>
      </c>
      <c r="J149" s="202">
        <f t="shared" ref="J149" si="104">I149/(B149+I149)</f>
        <v>2.534233496530203E-2</v>
      </c>
      <c r="K149" s="192">
        <v>32</v>
      </c>
      <c r="L149" s="192"/>
      <c r="O149" s="14"/>
      <c r="P149" s="14"/>
      <c r="Q149" s="14"/>
      <c r="R149" s="158"/>
      <c r="S149" s="158"/>
    </row>
    <row r="150" spans="1:19">
      <c r="A150" s="18">
        <v>45931</v>
      </c>
      <c r="B150" s="30">
        <v>9796105</v>
      </c>
      <c r="C150" s="29">
        <v>8910603</v>
      </c>
      <c r="D150" s="29">
        <v>885502</v>
      </c>
      <c r="E150" s="29">
        <v>213881</v>
      </c>
      <c r="F150" s="29">
        <v>6593</v>
      </c>
      <c r="G150" s="29">
        <v>12570</v>
      </c>
      <c r="H150" s="29">
        <v>1094</v>
      </c>
      <c r="I150" s="29">
        <f t="shared" si="103"/>
        <v>234138</v>
      </c>
      <c r="J150" s="202">
        <f t="shared" ref="J150:J151" si="105">I150/(B150+I150)</f>
        <v>2.3343203150711304E-2</v>
      </c>
      <c r="K150" s="192">
        <v>30</v>
      </c>
      <c r="L150" s="192"/>
      <c r="O150" s="14"/>
      <c r="P150" s="14"/>
      <c r="Q150" s="14"/>
      <c r="R150" s="158"/>
      <c r="S150" s="158"/>
    </row>
    <row r="151" spans="1:19">
      <c r="A151" s="18">
        <v>45962</v>
      </c>
      <c r="B151" s="30">
        <v>7978764</v>
      </c>
      <c r="C151" s="29">
        <v>7332604</v>
      </c>
      <c r="D151" s="29">
        <v>646160</v>
      </c>
      <c r="E151" s="29">
        <v>183033</v>
      </c>
      <c r="F151" s="29">
        <v>6649</v>
      </c>
      <c r="G151" s="29">
        <v>10753</v>
      </c>
      <c r="H151" s="29">
        <v>940</v>
      </c>
      <c r="I151" s="29">
        <f t="shared" ref="I151" si="106">SUM(E151:H151)</f>
        <v>201375</v>
      </c>
      <c r="J151" s="202">
        <f t="shared" si="105"/>
        <v>2.4617552342325724E-2</v>
      </c>
      <c r="K151" s="192">
        <v>29</v>
      </c>
      <c r="L151" s="192"/>
      <c r="O151" s="14"/>
      <c r="P151" s="14"/>
      <c r="Q151" s="14"/>
      <c r="R151" s="158"/>
      <c r="S151" s="158"/>
    </row>
    <row r="152" spans="1:19">
      <c r="A152" s="18">
        <v>45992</v>
      </c>
      <c r="B152" s="30">
        <v>8046008</v>
      </c>
      <c r="C152" s="29">
        <v>7419273</v>
      </c>
      <c r="D152" s="29">
        <v>626735</v>
      </c>
      <c r="E152" s="29">
        <v>166831</v>
      </c>
      <c r="F152" s="29">
        <v>6518</v>
      </c>
      <c r="G152" s="29">
        <v>10697</v>
      </c>
      <c r="H152" s="29">
        <v>882</v>
      </c>
      <c r="I152" s="29">
        <f t="shared" ref="I152:I156" si="107">SUM(E152:H152)</f>
        <v>184928</v>
      </c>
      <c r="J152" s="202">
        <f t="shared" ref="J152:J156" si="108">I152/(B152+I152)</f>
        <v>2.2467432622486676E-2</v>
      </c>
      <c r="K152" s="192">
        <v>32</v>
      </c>
      <c r="L152" s="192"/>
      <c r="O152" s="14"/>
      <c r="P152" s="14"/>
      <c r="Q152" s="14"/>
      <c r="R152" s="158"/>
      <c r="S152" s="158"/>
    </row>
    <row r="153" spans="1:19">
      <c r="A153" s="171">
        <v>46023</v>
      </c>
      <c r="B153" s="172">
        <v>7308543</v>
      </c>
      <c r="C153" s="173">
        <v>6687976</v>
      </c>
      <c r="D153" s="173">
        <v>620567</v>
      </c>
      <c r="E153" s="173">
        <v>206435</v>
      </c>
      <c r="F153" s="173">
        <f>2160+2093+2028+1626</f>
        <v>7907</v>
      </c>
      <c r="G153" s="173">
        <f>3207+3155+3554+2935</f>
        <v>12851</v>
      </c>
      <c r="H153" s="173">
        <f>522+527</f>
        <v>1049</v>
      </c>
      <c r="I153" s="173">
        <f t="shared" si="107"/>
        <v>228242</v>
      </c>
      <c r="J153" s="203">
        <f t="shared" si="108"/>
        <v>3.028373504086955E-2</v>
      </c>
      <c r="K153" s="199">
        <v>31</v>
      </c>
      <c r="L153" s="199">
        <f>SUM(K153:K156)</f>
        <v>121</v>
      </c>
      <c r="O153" s="14"/>
      <c r="P153" s="14"/>
      <c r="Q153" s="14"/>
      <c r="R153" s="158"/>
      <c r="S153" s="158"/>
    </row>
    <row r="154" spans="1:19">
      <c r="A154" s="171">
        <v>46054</v>
      </c>
      <c r="B154" s="172">
        <v>7053934</v>
      </c>
      <c r="C154" s="173">
        <v>6494612</v>
      </c>
      <c r="D154" s="173">
        <v>559322</v>
      </c>
      <c r="E154" s="173">
        <v>165194</v>
      </c>
      <c r="F154" s="173">
        <v>6124</v>
      </c>
      <c r="G154" s="173">
        <v>9986</v>
      </c>
      <c r="H154" s="173">
        <v>866</v>
      </c>
      <c r="I154" s="173">
        <f t="shared" si="107"/>
        <v>182170</v>
      </c>
      <c r="J154" s="203">
        <f t="shared" si="108"/>
        <v>2.5175149500338858E-2</v>
      </c>
      <c r="K154" s="199">
        <v>28</v>
      </c>
      <c r="L154" s="199"/>
      <c r="O154" s="14"/>
      <c r="P154" s="14"/>
      <c r="Q154" s="14"/>
      <c r="R154" s="158"/>
      <c r="S154" s="158"/>
    </row>
    <row r="155" spans="1:19">
      <c r="A155" s="171">
        <v>46082</v>
      </c>
      <c r="B155" s="172">
        <v>8470012</v>
      </c>
      <c r="C155" s="173">
        <v>7779166</v>
      </c>
      <c r="D155" s="173">
        <v>690846</v>
      </c>
      <c r="E155" s="173">
        <v>214489</v>
      </c>
      <c r="F155" s="173">
        <v>6344</v>
      </c>
      <c r="G155" s="173">
        <v>11531</v>
      </c>
      <c r="H155" s="173">
        <v>1030</v>
      </c>
      <c r="I155" s="173">
        <f t="shared" si="107"/>
        <v>233394</v>
      </c>
      <c r="J155" s="203">
        <f t="shared" si="108"/>
        <v>2.6816398085990702E-2</v>
      </c>
      <c r="K155" s="199">
        <v>31</v>
      </c>
      <c r="L155" s="199"/>
      <c r="O155" s="14"/>
      <c r="P155" s="14"/>
      <c r="Q155" s="14"/>
      <c r="R155" s="158"/>
      <c r="S155" s="158"/>
    </row>
    <row r="156" spans="1:19">
      <c r="A156" s="171">
        <v>46113</v>
      </c>
      <c r="B156" s="172">
        <v>9717646</v>
      </c>
      <c r="C156" s="173">
        <v>8924167</v>
      </c>
      <c r="D156" s="173">
        <v>793479</v>
      </c>
      <c r="E156" s="173">
        <v>210768</v>
      </c>
      <c r="F156" s="173">
        <v>6276</v>
      </c>
      <c r="G156" s="173">
        <v>10432</v>
      </c>
      <c r="H156" s="173">
        <v>1021</v>
      </c>
      <c r="I156" s="173">
        <f t="shared" si="107"/>
        <v>228497</v>
      </c>
      <c r="J156" s="203">
        <f t="shared" si="108"/>
        <v>2.2973427991131837E-2</v>
      </c>
      <c r="K156" s="199">
        <v>31</v>
      </c>
      <c r="L156" s="199"/>
      <c r="O156" s="14"/>
      <c r="P156" s="14"/>
      <c r="Q156" s="14"/>
      <c r="R156" s="158"/>
      <c r="S156" s="158"/>
    </row>
  </sheetData>
  <mergeCells count="1">
    <mergeCell ref="E1:I1"/>
  </mergeCells>
  <phoneticPr fontId="5" type="noConversion"/>
  <conditionalFormatting sqref="I3:J82 I157:J1048576">
    <cfRule type="cellIs" dxfId="0" priority="5" operator="less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161"/>
  <sheetViews>
    <sheetView tabSelected="1" zoomScale="114" zoomScaleNormal="100" workbookViewId="0">
      <pane xSplit="1" ySplit="3" topLeftCell="AD142" activePane="bottomRight" state="frozen"/>
      <selection pane="topRight" activeCell="B1" sqref="B1"/>
      <selection pane="bottomLeft" activeCell="A4" sqref="A4"/>
      <selection pane="bottomRight" activeCell="AN146" sqref="AN146"/>
    </sheetView>
  </sheetViews>
  <sheetFormatPr baseColWidth="10" defaultColWidth="8.85546875" defaultRowHeight="23.25" customHeight="1"/>
  <cols>
    <col min="1" max="1" width="26.42578125" style="4" customWidth="1"/>
    <col min="2" max="2" width="15.28515625" style="4" customWidth="1"/>
    <col min="3" max="3" width="12.28515625" style="4" customWidth="1"/>
    <col min="4" max="5" width="8.7109375" style="4" bestFit="1" customWidth="1"/>
    <col min="6" max="6" width="9.5703125" style="4" bestFit="1" customWidth="1"/>
    <col min="7" max="8" width="9.5703125" style="4" customWidth="1"/>
    <col min="9" max="9" width="9.7109375" style="4" customWidth="1"/>
    <col min="10" max="10" width="8.7109375" style="4" bestFit="1" customWidth="1"/>
    <col min="11" max="11" width="7.42578125" style="4" bestFit="1" customWidth="1"/>
    <col min="12" max="12" width="9.28515625" style="4" customWidth="1"/>
    <col min="13" max="13" width="4.140625" style="4" hidden="1" customWidth="1"/>
    <col min="14" max="14" width="8.5703125" style="4" customWidth="1"/>
    <col min="15" max="15" width="10.140625" style="4" customWidth="1"/>
    <col min="16" max="16" width="9.7109375" style="4" bestFit="1" customWidth="1"/>
    <col min="17" max="17" width="7.42578125" style="4" bestFit="1" customWidth="1"/>
    <col min="18" max="19" width="7.42578125" style="4" customWidth="1"/>
    <col min="20" max="20" width="7" style="4" bestFit="1" customWidth="1"/>
    <col min="21" max="21" width="7.85546875" style="4" customWidth="1"/>
    <col min="22" max="22" width="7.85546875" style="209" customWidth="1"/>
    <col min="23" max="23" width="8.7109375" style="4" bestFit="1" customWidth="1"/>
    <col min="24" max="24" width="9" style="4" customWidth="1"/>
    <col min="25" max="25" width="11.140625" style="4" customWidth="1"/>
    <col min="26" max="27" width="11.28515625" style="4" customWidth="1"/>
    <col min="28" max="28" width="9.7109375" style="4" customWidth="1"/>
    <col min="29" max="29" width="2.5703125" style="4" customWidth="1"/>
    <col min="30" max="32" width="8.85546875" style="4"/>
    <col min="33" max="33" width="7.5703125" style="4" bestFit="1" customWidth="1"/>
    <col min="34" max="36" width="10.140625" style="4" customWidth="1"/>
    <col min="37" max="37" width="2.5703125" style="4" customWidth="1"/>
    <col min="38" max="38" width="10.140625" style="4" customWidth="1"/>
    <col min="39" max="39" width="9.28515625" style="4" customWidth="1"/>
    <col min="40" max="40" width="10.140625" style="4" bestFit="1" customWidth="1"/>
    <col min="41" max="41" width="9.28515625" style="4" customWidth="1"/>
    <col min="42" max="42" width="10.42578125" style="4" bestFit="1" customWidth="1"/>
    <col min="43" max="16384" width="8.85546875" style="4"/>
  </cols>
  <sheetData>
    <row r="1" spans="1:38" ht="29">
      <c r="A1" s="15" t="s">
        <v>43</v>
      </c>
    </row>
    <row r="2" spans="1:38" ht="18.5" customHeight="1" thickBot="1">
      <c r="A2" s="5" t="s">
        <v>44</v>
      </c>
    </row>
    <row r="3" spans="1:38" ht="65" thickBot="1">
      <c r="A3" s="222" t="s">
        <v>45</v>
      </c>
      <c r="B3" s="222" t="s">
        <v>46</v>
      </c>
      <c r="C3" s="223" t="s">
        <v>47</v>
      </c>
      <c r="D3" s="223" t="s">
        <v>48</v>
      </c>
      <c r="E3" s="223" t="s">
        <v>49</v>
      </c>
      <c r="F3" s="223" t="s">
        <v>50</v>
      </c>
      <c r="G3" s="223" t="s">
        <v>51</v>
      </c>
      <c r="H3" s="223" t="s">
        <v>52</v>
      </c>
      <c r="I3" s="224" t="s">
        <v>53</v>
      </c>
      <c r="J3" s="225" t="s">
        <v>54</v>
      </c>
      <c r="K3" s="225" t="s">
        <v>55</v>
      </c>
      <c r="L3" s="225" t="s">
        <v>56</v>
      </c>
      <c r="M3" s="225" t="s">
        <v>57</v>
      </c>
      <c r="N3" s="226" t="s">
        <v>58</v>
      </c>
      <c r="O3" s="227" t="s">
        <v>59</v>
      </c>
      <c r="P3" s="227" t="s">
        <v>60</v>
      </c>
      <c r="Q3" s="227" t="s">
        <v>61</v>
      </c>
      <c r="R3" s="227" t="s">
        <v>251</v>
      </c>
      <c r="S3" s="227" t="s">
        <v>252</v>
      </c>
      <c r="T3" s="223" t="s">
        <v>62</v>
      </c>
      <c r="U3" s="228" t="s">
        <v>63</v>
      </c>
      <c r="V3" s="228" t="s">
        <v>64</v>
      </c>
      <c r="W3" s="228" t="s">
        <v>65</v>
      </c>
      <c r="X3" s="228" t="s">
        <v>66</v>
      </c>
      <c r="Y3" s="229" t="s">
        <v>67</v>
      </c>
      <c r="Z3" s="229" t="s">
        <v>68</v>
      </c>
      <c r="AA3" s="229" t="s">
        <v>69</v>
      </c>
      <c r="AB3" s="221" t="s">
        <v>70</v>
      </c>
      <c r="AD3" s="228" t="s">
        <v>71</v>
      </c>
      <c r="AE3" s="249" t="s">
        <v>72</v>
      </c>
      <c r="AF3" s="250" t="s">
        <v>73</v>
      </c>
      <c r="AG3" s="250" t="s">
        <v>74</v>
      </c>
      <c r="AH3" s="251" t="s">
        <v>75</v>
      </c>
      <c r="AI3" s="251" t="s">
        <v>76</v>
      </c>
      <c r="AJ3" s="272" t="s">
        <v>253</v>
      </c>
      <c r="AL3" s="272" t="s">
        <v>254</v>
      </c>
    </row>
    <row r="4" spans="1:38" ht="26" customHeight="1">
      <c r="A4" s="35">
        <v>41640</v>
      </c>
      <c r="B4" s="36">
        <f>'CLP Tariff'!B9</f>
        <v>5938547</v>
      </c>
      <c r="C4" s="36">
        <f t="shared" ref="C4:C35" si="0">B4-SUM(D4:Y4)</f>
        <v>3924710</v>
      </c>
      <c r="D4" s="36">
        <v>190811</v>
      </c>
      <c r="E4" s="36">
        <v>41274</v>
      </c>
      <c r="F4" s="36">
        <v>0</v>
      </c>
      <c r="G4" s="36">
        <v>0</v>
      </c>
      <c r="H4" s="36">
        <v>0</v>
      </c>
      <c r="I4" s="36">
        <v>500427</v>
      </c>
      <c r="J4" s="36">
        <v>205345</v>
      </c>
      <c r="K4" s="125">
        <v>44678</v>
      </c>
      <c r="L4" s="36">
        <v>0</v>
      </c>
      <c r="M4" s="36">
        <v>0</v>
      </c>
      <c r="N4" s="36">
        <v>48446</v>
      </c>
      <c r="O4" s="36">
        <v>59654</v>
      </c>
      <c r="P4" s="36">
        <v>0</v>
      </c>
      <c r="Q4" s="36">
        <v>0</v>
      </c>
      <c r="R4" s="36"/>
      <c r="S4" s="36"/>
      <c r="T4" s="36">
        <v>0</v>
      </c>
      <c r="U4" s="36">
        <v>0</v>
      </c>
      <c r="V4" s="210"/>
      <c r="W4" s="36">
        <v>0</v>
      </c>
      <c r="X4" s="36">
        <v>361571</v>
      </c>
      <c r="Y4" s="36">
        <f>'CLP Tariff'!D9</f>
        <v>561631</v>
      </c>
      <c r="Z4" s="111">
        <f>'Commercial &amp; Quarter'!K72</f>
        <v>229909</v>
      </c>
      <c r="AA4" s="112">
        <f>Y4-Z4</f>
        <v>331722</v>
      </c>
      <c r="AB4" s="248">
        <f t="shared" ref="AB4:AB35" si="1">I4+N4</f>
        <v>548873</v>
      </c>
      <c r="AD4" s="36">
        <v>0</v>
      </c>
      <c r="AE4" s="36">
        <v>0</v>
      </c>
      <c r="AF4" s="36">
        <v>0</v>
      </c>
      <c r="AG4" s="36">
        <v>0</v>
      </c>
      <c r="AH4" s="36"/>
      <c r="AI4" s="36"/>
      <c r="AJ4" s="36"/>
      <c r="AL4" s="36"/>
    </row>
    <row r="5" spans="1:38" ht="23" customHeight="1">
      <c r="A5" s="35">
        <v>41671</v>
      </c>
      <c r="B5" s="36">
        <f>'CLP Tariff'!B10</f>
        <v>5888877</v>
      </c>
      <c r="C5" s="37">
        <f t="shared" si="0"/>
        <v>3565612</v>
      </c>
      <c r="D5" s="36">
        <v>252064</v>
      </c>
      <c r="E5" s="37">
        <v>28315</v>
      </c>
      <c r="F5" s="36">
        <v>0</v>
      </c>
      <c r="G5" s="36">
        <v>0</v>
      </c>
      <c r="H5" s="36">
        <v>0</v>
      </c>
      <c r="I5" s="37">
        <v>502155</v>
      </c>
      <c r="J5" s="37">
        <v>290449</v>
      </c>
      <c r="K5" s="126">
        <v>56447</v>
      </c>
      <c r="L5" s="37">
        <v>0</v>
      </c>
      <c r="M5" s="36">
        <v>0</v>
      </c>
      <c r="N5" s="37">
        <v>47613</v>
      </c>
      <c r="O5" s="37">
        <v>47313</v>
      </c>
      <c r="P5" s="36">
        <v>0</v>
      </c>
      <c r="Q5" s="36">
        <v>0</v>
      </c>
      <c r="R5" s="36"/>
      <c r="S5" s="36"/>
      <c r="T5" s="36">
        <v>0</v>
      </c>
      <c r="U5" s="36">
        <v>0</v>
      </c>
      <c r="V5" s="210"/>
      <c r="W5" s="36">
        <v>0</v>
      </c>
      <c r="X5" s="37">
        <v>504993</v>
      </c>
      <c r="Y5" s="37">
        <f>'CLP Tariff'!D10</f>
        <v>593916</v>
      </c>
      <c r="Z5" s="81">
        <f>'Commercial &amp; Quarter'!L72</f>
        <v>220164</v>
      </c>
      <c r="AA5" s="61">
        <f t="shared" ref="AA5:AA68" si="2">Y5-Z5</f>
        <v>373752</v>
      </c>
      <c r="AB5" s="37">
        <f t="shared" si="1"/>
        <v>549768</v>
      </c>
      <c r="AD5" s="36">
        <v>0</v>
      </c>
      <c r="AE5" s="36">
        <v>0</v>
      </c>
      <c r="AF5" s="36">
        <v>0</v>
      </c>
      <c r="AG5" s="36">
        <v>0</v>
      </c>
      <c r="AH5" s="37"/>
      <c r="AI5" s="37"/>
      <c r="AJ5" s="37"/>
      <c r="AL5" s="37"/>
    </row>
    <row r="6" spans="1:38" ht="23" customHeight="1">
      <c r="A6" s="35">
        <v>41699</v>
      </c>
      <c r="B6" s="36">
        <f>'CLP Tariff'!B11</f>
        <v>6018786</v>
      </c>
      <c r="C6" s="37">
        <f t="shared" si="0"/>
        <v>3680694</v>
      </c>
      <c r="D6" s="36">
        <v>185065</v>
      </c>
      <c r="E6" s="37">
        <v>40257</v>
      </c>
      <c r="F6" s="36">
        <v>0</v>
      </c>
      <c r="G6" s="36">
        <v>0</v>
      </c>
      <c r="H6" s="36">
        <v>0</v>
      </c>
      <c r="I6" s="37">
        <v>754593</v>
      </c>
      <c r="J6" s="37">
        <v>182485</v>
      </c>
      <c r="K6" s="126">
        <v>34491</v>
      </c>
      <c r="L6" s="37">
        <v>0</v>
      </c>
      <c r="M6" s="36">
        <v>0</v>
      </c>
      <c r="N6" s="37">
        <v>46854</v>
      </c>
      <c r="O6" s="37">
        <v>43566</v>
      </c>
      <c r="P6" s="36">
        <v>0</v>
      </c>
      <c r="Q6" s="36">
        <v>0</v>
      </c>
      <c r="R6" s="36"/>
      <c r="S6" s="36"/>
      <c r="T6" s="36">
        <v>0</v>
      </c>
      <c r="U6" s="36">
        <v>0</v>
      </c>
      <c r="V6" s="210"/>
      <c r="W6" s="36">
        <v>0</v>
      </c>
      <c r="X6" s="37">
        <v>511265</v>
      </c>
      <c r="Y6" s="37">
        <f>'CLP Tariff'!D11</f>
        <v>539516</v>
      </c>
      <c r="Z6" s="81">
        <f>'Commercial &amp; Quarter'!M72</f>
        <v>247766</v>
      </c>
      <c r="AA6" s="61">
        <f t="shared" si="2"/>
        <v>291750</v>
      </c>
      <c r="AB6" s="37">
        <f t="shared" si="1"/>
        <v>801447</v>
      </c>
      <c r="AD6" s="36">
        <v>0</v>
      </c>
      <c r="AE6" s="36">
        <v>0</v>
      </c>
      <c r="AF6" s="36">
        <v>0</v>
      </c>
      <c r="AG6" s="36">
        <v>0</v>
      </c>
      <c r="AH6" s="37"/>
      <c r="AI6" s="37"/>
      <c r="AJ6" s="37"/>
      <c r="AL6" s="37"/>
    </row>
    <row r="7" spans="1:38" ht="22.25" customHeight="1">
      <c r="A7" s="35">
        <v>41730</v>
      </c>
      <c r="B7" s="36">
        <f>'CLP Tariff'!B12</f>
        <v>7488350</v>
      </c>
      <c r="C7" s="37">
        <f t="shared" si="0"/>
        <v>4459315</v>
      </c>
      <c r="D7" s="36">
        <v>203049</v>
      </c>
      <c r="E7" s="37">
        <v>56946</v>
      </c>
      <c r="F7" s="36">
        <v>0</v>
      </c>
      <c r="G7" s="36">
        <v>0</v>
      </c>
      <c r="H7" s="36">
        <v>0</v>
      </c>
      <c r="I7" s="37">
        <v>1100944</v>
      </c>
      <c r="J7" s="37">
        <v>213938</v>
      </c>
      <c r="K7" s="126">
        <v>46284</v>
      </c>
      <c r="L7" s="37">
        <v>0</v>
      </c>
      <c r="M7" s="36">
        <v>0</v>
      </c>
      <c r="N7" s="37">
        <v>141417</v>
      </c>
      <c r="O7" s="37">
        <v>73814</v>
      </c>
      <c r="P7" s="36">
        <v>0</v>
      </c>
      <c r="Q7" s="36">
        <v>0</v>
      </c>
      <c r="R7" s="36"/>
      <c r="S7" s="36"/>
      <c r="T7" s="36">
        <v>0</v>
      </c>
      <c r="U7" s="36">
        <v>0</v>
      </c>
      <c r="V7" s="210"/>
      <c r="W7" s="36">
        <v>0</v>
      </c>
      <c r="X7" s="37">
        <v>612777</v>
      </c>
      <c r="Y7" s="37">
        <f>'CLP Tariff'!D12</f>
        <v>579866</v>
      </c>
      <c r="Z7" s="81">
        <f>'Commercial &amp; Quarter'!N72</f>
        <v>295835</v>
      </c>
      <c r="AA7" s="61">
        <f t="shared" si="2"/>
        <v>284031</v>
      </c>
      <c r="AB7" s="37">
        <f t="shared" si="1"/>
        <v>1242361</v>
      </c>
      <c r="AD7" s="36">
        <v>0</v>
      </c>
      <c r="AE7" s="36">
        <v>0</v>
      </c>
      <c r="AF7" s="36">
        <v>0</v>
      </c>
      <c r="AG7" s="36">
        <v>0</v>
      </c>
      <c r="AH7" s="37"/>
      <c r="AI7" s="37"/>
      <c r="AJ7" s="37"/>
      <c r="AL7" s="37"/>
    </row>
    <row r="8" spans="1:38" ht="23.5" customHeight="1">
      <c r="A8" s="35">
        <v>41760</v>
      </c>
      <c r="B8" s="36">
        <f>'CLP Tariff'!B13</f>
        <v>7986119</v>
      </c>
      <c r="C8" s="37">
        <f t="shared" si="0"/>
        <v>3816523</v>
      </c>
      <c r="D8" s="36">
        <v>345876</v>
      </c>
      <c r="E8" s="37">
        <v>89452</v>
      </c>
      <c r="F8" s="36">
        <v>0</v>
      </c>
      <c r="G8" s="36">
        <v>0</v>
      </c>
      <c r="H8" s="36">
        <v>0</v>
      </c>
      <c r="I8" s="37">
        <v>1749797</v>
      </c>
      <c r="J8" s="37">
        <v>224043</v>
      </c>
      <c r="K8" s="126">
        <v>103456</v>
      </c>
      <c r="L8" s="37">
        <v>0</v>
      </c>
      <c r="M8" s="36">
        <v>0</v>
      </c>
      <c r="N8" s="37">
        <v>170062</v>
      </c>
      <c r="O8" s="37">
        <v>82044</v>
      </c>
      <c r="P8" s="36">
        <v>0</v>
      </c>
      <c r="Q8" s="36">
        <v>0</v>
      </c>
      <c r="R8" s="36"/>
      <c r="S8" s="36"/>
      <c r="T8" s="36">
        <v>0</v>
      </c>
      <c r="U8" s="36">
        <v>0</v>
      </c>
      <c r="V8" s="210"/>
      <c r="W8" s="36">
        <v>0</v>
      </c>
      <c r="X8" s="37">
        <v>692230</v>
      </c>
      <c r="Y8" s="37">
        <f>'CLP Tariff'!D13</f>
        <v>712636</v>
      </c>
      <c r="Z8" s="81">
        <f>'Commercial &amp; Quarter'!O72</f>
        <v>281303</v>
      </c>
      <c r="AA8" s="61">
        <f t="shared" si="2"/>
        <v>431333</v>
      </c>
      <c r="AB8" s="37">
        <f t="shared" si="1"/>
        <v>1919859</v>
      </c>
      <c r="AD8" s="36">
        <v>0</v>
      </c>
      <c r="AE8" s="36">
        <v>0</v>
      </c>
      <c r="AF8" s="36">
        <v>0</v>
      </c>
      <c r="AG8" s="36">
        <v>0</v>
      </c>
      <c r="AH8" s="37"/>
      <c r="AI8" s="37"/>
      <c r="AJ8" s="37"/>
      <c r="AL8" s="37"/>
    </row>
    <row r="9" spans="1:38" ht="25.25" customHeight="1">
      <c r="A9" s="35">
        <v>41791</v>
      </c>
      <c r="B9" s="36">
        <f>'CLP Tariff'!B14</f>
        <v>8876152</v>
      </c>
      <c r="C9" s="37">
        <f t="shared" si="0"/>
        <v>4173507</v>
      </c>
      <c r="D9" s="36">
        <v>250379</v>
      </c>
      <c r="E9" s="37">
        <v>92936</v>
      </c>
      <c r="F9" s="36">
        <v>0</v>
      </c>
      <c r="G9" s="36">
        <v>0</v>
      </c>
      <c r="H9" s="36">
        <v>0</v>
      </c>
      <c r="I9" s="37">
        <v>2204099</v>
      </c>
      <c r="J9" s="37">
        <v>250703</v>
      </c>
      <c r="K9" s="126">
        <v>71494</v>
      </c>
      <c r="L9" s="37">
        <v>0</v>
      </c>
      <c r="M9" s="36">
        <v>0</v>
      </c>
      <c r="N9" s="37">
        <v>273139</v>
      </c>
      <c r="O9" s="37">
        <v>97780</v>
      </c>
      <c r="P9" s="36">
        <v>0</v>
      </c>
      <c r="Q9" s="36">
        <v>0</v>
      </c>
      <c r="R9" s="36"/>
      <c r="S9" s="36"/>
      <c r="T9" s="36">
        <v>0</v>
      </c>
      <c r="U9" s="36">
        <v>0</v>
      </c>
      <c r="V9" s="210"/>
      <c r="W9" s="36">
        <v>0</v>
      </c>
      <c r="X9" s="37">
        <v>574711</v>
      </c>
      <c r="Y9" s="37">
        <f>'CLP Tariff'!D14</f>
        <v>887404</v>
      </c>
      <c r="Z9" s="81">
        <f>'Commercial &amp; Quarter'!P72</f>
        <v>266840</v>
      </c>
      <c r="AA9" s="61">
        <f t="shared" si="2"/>
        <v>620564</v>
      </c>
      <c r="AB9" s="37">
        <f t="shared" si="1"/>
        <v>2477238</v>
      </c>
      <c r="AD9" s="36">
        <v>0</v>
      </c>
      <c r="AE9" s="36">
        <v>0</v>
      </c>
      <c r="AF9" s="36">
        <v>0</v>
      </c>
      <c r="AG9" s="36">
        <v>0</v>
      </c>
      <c r="AH9" s="37"/>
      <c r="AI9" s="37"/>
      <c r="AJ9" s="37"/>
      <c r="AL9" s="37"/>
    </row>
    <row r="10" spans="1:38" ht="23.25" customHeight="1">
      <c r="A10" s="35">
        <v>41821</v>
      </c>
      <c r="B10" s="36">
        <f>'CLP Tariff'!B15</f>
        <v>9340526</v>
      </c>
      <c r="C10" s="36">
        <f t="shared" si="0"/>
        <v>4361073</v>
      </c>
      <c r="D10" s="36">
        <v>221804</v>
      </c>
      <c r="E10" s="36">
        <v>97729</v>
      </c>
      <c r="F10" s="36">
        <v>0</v>
      </c>
      <c r="G10" s="36">
        <v>0</v>
      </c>
      <c r="H10" s="36">
        <v>0</v>
      </c>
      <c r="I10" s="36">
        <v>2443732</v>
      </c>
      <c r="J10" s="36">
        <v>225313</v>
      </c>
      <c r="K10" s="125">
        <v>48903</v>
      </c>
      <c r="L10" s="36">
        <v>0</v>
      </c>
      <c r="M10" s="36">
        <v>0</v>
      </c>
      <c r="N10" s="36">
        <v>246402</v>
      </c>
      <c r="O10" s="36">
        <v>109439</v>
      </c>
      <c r="P10" s="36">
        <v>0</v>
      </c>
      <c r="Q10" s="36">
        <v>0</v>
      </c>
      <c r="R10" s="36"/>
      <c r="S10" s="36"/>
      <c r="T10" s="36">
        <v>0</v>
      </c>
      <c r="U10" s="36">
        <v>0</v>
      </c>
      <c r="V10" s="210"/>
      <c r="W10" s="36">
        <v>0</v>
      </c>
      <c r="X10" s="38">
        <v>687729</v>
      </c>
      <c r="Y10" s="37">
        <f>'CLP Tariff'!D15</f>
        <v>898402</v>
      </c>
      <c r="Z10" s="81">
        <f>'Commercial &amp; Quarter'!Q72</f>
        <v>274134</v>
      </c>
      <c r="AA10" s="61">
        <f t="shared" si="2"/>
        <v>624268</v>
      </c>
      <c r="AB10" s="37">
        <f t="shared" si="1"/>
        <v>2690134</v>
      </c>
      <c r="AD10" s="36">
        <v>0</v>
      </c>
      <c r="AE10" s="36">
        <v>0</v>
      </c>
      <c r="AF10" s="36">
        <v>0</v>
      </c>
      <c r="AG10" s="36">
        <v>0</v>
      </c>
      <c r="AH10" s="36"/>
      <c r="AI10" s="36"/>
      <c r="AJ10" s="36"/>
      <c r="AL10" s="36"/>
    </row>
    <row r="11" spans="1:38" ht="23.25" customHeight="1">
      <c r="A11" s="39">
        <v>41852</v>
      </c>
      <c r="B11" s="37">
        <f>'CLP Tariff'!B16</f>
        <v>8583907</v>
      </c>
      <c r="C11" s="37">
        <f t="shared" si="0"/>
        <v>3673176</v>
      </c>
      <c r="D11" s="36">
        <v>228122</v>
      </c>
      <c r="E11" s="37">
        <v>146934</v>
      </c>
      <c r="F11" s="36">
        <v>0</v>
      </c>
      <c r="G11" s="36">
        <v>0</v>
      </c>
      <c r="H11" s="36">
        <v>0</v>
      </c>
      <c r="I11" s="37">
        <v>2460070</v>
      </c>
      <c r="J11" s="37">
        <v>232978</v>
      </c>
      <c r="K11" s="126">
        <v>53454</v>
      </c>
      <c r="L11" s="37">
        <v>0</v>
      </c>
      <c r="M11" s="36">
        <v>0</v>
      </c>
      <c r="N11" s="37">
        <v>275655</v>
      </c>
      <c r="O11" s="40">
        <v>99316</v>
      </c>
      <c r="P11" s="36">
        <v>0</v>
      </c>
      <c r="Q11" s="36">
        <v>0</v>
      </c>
      <c r="R11" s="36"/>
      <c r="S11" s="36"/>
      <c r="T11" s="36">
        <v>0</v>
      </c>
      <c r="U11" s="36">
        <v>0</v>
      </c>
      <c r="V11" s="210"/>
      <c r="W11" s="36">
        <v>0</v>
      </c>
      <c r="X11" s="40">
        <v>624042</v>
      </c>
      <c r="Y11" s="37">
        <f>'CLP Tariff'!D16</f>
        <v>790160</v>
      </c>
      <c r="Z11" s="81">
        <f>'Commercial &amp; Quarter'!R72</f>
        <v>264880</v>
      </c>
      <c r="AA11" s="61">
        <f t="shared" si="2"/>
        <v>525280</v>
      </c>
      <c r="AB11" s="37">
        <f t="shared" si="1"/>
        <v>2735725</v>
      </c>
      <c r="AD11" s="36">
        <v>0</v>
      </c>
      <c r="AE11" s="36">
        <v>0</v>
      </c>
      <c r="AF11" s="36">
        <v>0</v>
      </c>
      <c r="AG11" s="36">
        <v>0</v>
      </c>
      <c r="AH11" s="40"/>
      <c r="AI11" s="40"/>
      <c r="AJ11" s="40"/>
      <c r="AL11" s="40"/>
    </row>
    <row r="12" spans="1:38" ht="23.25" customHeight="1">
      <c r="A12" s="39">
        <v>41883</v>
      </c>
      <c r="B12" s="37">
        <f>'CLP Tariff'!B17</f>
        <v>10023872</v>
      </c>
      <c r="C12" s="37">
        <f t="shared" si="0"/>
        <v>4469625</v>
      </c>
      <c r="D12" s="36">
        <v>276014</v>
      </c>
      <c r="E12" s="37">
        <v>132812</v>
      </c>
      <c r="F12" s="36">
        <v>0</v>
      </c>
      <c r="G12" s="36">
        <v>0</v>
      </c>
      <c r="H12" s="36">
        <v>0</v>
      </c>
      <c r="I12" s="37">
        <v>2515785</v>
      </c>
      <c r="J12" s="37">
        <v>269881</v>
      </c>
      <c r="K12" s="126">
        <v>79871</v>
      </c>
      <c r="L12" s="37">
        <v>0</v>
      </c>
      <c r="M12" s="36">
        <v>0</v>
      </c>
      <c r="N12" s="37">
        <v>307475</v>
      </c>
      <c r="O12" s="40">
        <v>89352</v>
      </c>
      <c r="P12" s="36">
        <v>0</v>
      </c>
      <c r="Q12" s="36">
        <v>0</v>
      </c>
      <c r="R12" s="36"/>
      <c r="S12" s="36"/>
      <c r="T12" s="36">
        <v>0</v>
      </c>
      <c r="U12" s="36">
        <v>0</v>
      </c>
      <c r="V12" s="210"/>
      <c r="W12" s="36">
        <v>0</v>
      </c>
      <c r="X12" s="40">
        <v>956639</v>
      </c>
      <c r="Y12" s="37">
        <f>'CLP Tariff'!D17</f>
        <v>926418</v>
      </c>
      <c r="Z12" s="81">
        <f>'Commercial &amp; Quarter'!S72</f>
        <v>311968</v>
      </c>
      <c r="AA12" s="61">
        <f t="shared" si="2"/>
        <v>614450</v>
      </c>
      <c r="AB12" s="37">
        <f t="shared" si="1"/>
        <v>2823260</v>
      </c>
      <c r="AD12" s="36">
        <v>0</v>
      </c>
      <c r="AE12" s="36">
        <v>0</v>
      </c>
      <c r="AF12" s="36">
        <v>0</v>
      </c>
      <c r="AG12" s="36">
        <v>0</v>
      </c>
      <c r="AH12" s="40"/>
      <c r="AI12" s="40"/>
      <c r="AJ12" s="40"/>
      <c r="AL12" s="40"/>
    </row>
    <row r="13" spans="1:38" ht="23.25" customHeight="1">
      <c r="A13" s="39">
        <v>41913</v>
      </c>
      <c r="B13" s="37">
        <f>'CLP Tariff'!B18</f>
        <v>8035429</v>
      </c>
      <c r="C13" s="37">
        <f t="shared" si="0"/>
        <v>4049333</v>
      </c>
      <c r="D13" s="36">
        <v>203926</v>
      </c>
      <c r="E13" s="37">
        <v>145929</v>
      </c>
      <c r="F13" s="36">
        <v>0</v>
      </c>
      <c r="G13" s="36">
        <v>0</v>
      </c>
      <c r="H13" s="36">
        <v>0</v>
      </c>
      <c r="I13" s="37">
        <v>1763222</v>
      </c>
      <c r="J13" s="37">
        <v>248622</v>
      </c>
      <c r="K13" s="126">
        <v>39903</v>
      </c>
      <c r="L13" s="37">
        <v>0</v>
      </c>
      <c r="M13" s="36">
        <v>0</v>
      </c>
      <c r="N13" s="37">
        <v>153059</v>
      </c>
      <c r="O13" s="40">
        <v>89097</v>
      </c>
      <c r="P13" s="36">
        <v>0</v>
      </c>
      <c r="Q13" s="36">
        <v>0</v>
      </c>
      <c r="R13" s="36"/>
      <c r="S13" s="36"/>
      <c r="T13" s="36">
        <v>0</v>
      </c>
      <c r="U13" s="36">
        <v>0</v>
      </c>
      <c r="V13" s="210"/>
      <c r="W13" s="36">
        <v>0</v>
      </c>
      <c r="X13" s="40">
        <v>708839</v>
      </c>
      <c r="Y13" s="37">
        <f>'CLP Tariff'!D18</f>
        <v>633499</v>
      </c>
      <c r="Z13" s="81">
        <f>'Commercial &amp; Quarter'!T72</f>
        <v>297097</v>
      </c>
      <c r="AA13" s="61">
        <f t="shared" si="2"/>
        <v>336402</v>
      </c>
      <c r="AB13" s="37">
        <f t="shared" si="1"/>
        <v>1916281</v>
      </c>
      <c r="AD13" s="36">
        <v>0</v>
      </c>
      <c r="AE13" s="36">
        <v>0</v>
      </c>
      <c r="AF13" s="36">
        <v>0</v>
      </c>
      <c r="AG13" s="36">
        <v>0</v>
      </c>
      <c r="AH13" s="40"/>
      <c r="AI13" s="40"/>
      <c r="AJ13" s="40"/>
      <c r="AL13" s="40"/>
    </row>
    <row r="14" spans="1:38" ht="23.25" customHeight="1">
      <c r="A14" s="39">
        <v>41944</v>
      </c>
      <c r="B14" s="37">
        <f>'CLP Tariff'!B19</f>
        <v>6858052</v>
      </c>
      <c r="C14" s="37">
        <f t="shared" si="0"/>
        <v>3872340</v>
      </c>
      <c r="D14" s="36">
        <v>214292</v>
      </c>
      <c r="E14" s="37">
        <v>95091</v>
      </c>
      <c r="F14" s="36">
        <v>0</v>
      </c>
      <c r="G14" s="36">
        <v>0</v>
      </c>
      <c r="H14" s="36">
        <v>0</v>
      </c>
      <c r="I14" s="37">
        <v>1119362</v>
      </c>
      <c r="J14" s="37">
        <v>267023</v>
      </c>
      <c r="K14" s="126">
        <v>50426</v>
      </c>
      <c r="L14" s="37">
        <v>0</v>
      </c>
      <c r="M14" s="36">
        <v>0</v>
      </c>
      <c r="N14" s="37">
        <v>153510</v>
      </c>
      <c r="O14" s="40">
        <v>76299</v>
      </c>
      <c r="P14" s="36">
        <v>0</v>
      </c>
      <c r="Q14" s="36">
        <v>0</v>
      </c>
      <c r="R14" s="36"/>
      <c r="S14" s="36"/>
      <c r="T14" s="36">
        <v>0</v>
      </c>
      <c r="U14" s="36">
        <v>0</v>
      </c>
      <c r="V14" s="210"/>
      <c r="W14" s="36">
        <v>0</v>
      </c>
      <c r="X14" s="40">
        <v>532301</v>
      </c>
      <c r="Y14" s="37">
        <f>'CLP Tariff'!D19</f>
        <v>477408</v>
      </c>
      <c r="Z14" s="81">
        <f>'Commercial &amp; Quarter'!U72</f>
        <v>276436</v>
      </c>
      <c r="AA14" s="61">
        <f t="shared" si="2"/>
        <v>200972</v>
      </c>
      <c r="AB14" s="37">
        <f t="shared" si="1"/>
        <v>1272872</v>
      </c>
      <c r="AD14" s="36">
        <v>0</v>
      </c>
      <c r="AE14" s="36">
        <v>0</v>
      </c>
      <c r="AF14" s="36">
        <v>0</v>
      </c>
      <c r="AG14" s="36">
        <v>0</v>
      </c>
      <c r="AH14" s="40"/>
      <c r="AI14" s="40"/>
      <c r="AJ14" s="40"/>
      <c r="AL14" s="40"/>
    </row>
    <row r="15" spans="1:38" ht="23.25" customHeight="1">
      <c r="A15" s="39">
        <v>41974</v>
      </c>
      <c r="B15" s="37">
        <f>'CLP Tariff'!B20</f>
        <v>6405579</v>
      </c>
      <c r="C15" s="37">
        <f t="shared" si="0"/>
        <v>3982954</v>
      </c>
      <c r="D15" s="36">
        <v>253212</v>
      </c>
      <c r="E15" s="37">
        <v>117318</v>
      </c>
      <c r="F15" s="36">
        <v>0</v>
      </c>
      <c r="G15" s="36">
        <v>0</v>
      </c>
      <c r="H15" s="36">
        <v>0</v>
      </c>
      <c r="I15" s="37">
        <v>548769</v>
      </c>
      <c r="J15" s="37">
        <v>246466</v>
      </c>
      <c r="K15" s="126">
        <v>71670</v>
      </c>
      <c r="L15" s="37">
        <v>0</v>
      </c>
      <c r="M15" s="36">
        <v>0</v>
      </c>
      <c r="N15" s="37">
        <v>67209</v>
      </c>
      <c r="O15" s="40">
        <v>55450</v>
      </c>
      <c r="P15" s="36">
        <v>0</v>
      </c>
      <c r="Q15" s="36">
        <v>0</v>
      </c>
      <c r="R15" s="36"/>
      <c r="S15" s="36"/>
      <c r="T15" s="36">
        <v>0</v>
      </c>
      <c r="U15" s="36">
        <v>0</v>
      </c>
      <c r="V15" s="210"/>
      <c r="W15" s="36">
        <v>0</v>
      </c>
      <c r="X15" s="40">
        <v>483170</v>
      </c>
      <c r="Y15" s="37">
        <f>'CLP Tariff'!D20</f>
        <v>579361</v>
      </c>
      <c r="Z15" s="81">
        <f>'Commercial &amp; Quarter'!V72</f>
        <v>281511</v>
      </c>
      <c r="AA15" s="61">
        <f t="shared" si="2"/>
        <v>297850</v>
      </c>
      <c r="AB15" s="37">
        <f t="shared" si="1"/>
        <v>615978</v>
      </c>
      <c r="AD15" s="36">
        <v>0</v>
      </c>
      <c r="AE15" s="36">
        <v>0</v>
      </c>
      <c r="AF15" s="36">
        <v>0</v>
      </c>
      <c r="AG15" s="36">
        <v>0</v>
      </c>
      <c r="AH15" s="40"/>
      <c r="AI15" s="40"/>
      <c r="AJ15" s="40"/>
      <c r="AL15" s="40"/>
    </row>
    <row r="16" spans="1:38" ht="23.25" customHeight="1">
      <c r="A16" s="44">
        <v>42005</v>
      </c>
      <c r="B16" s="45">
        <f>'CLP Tariff'!B21</f>
        <v>6037637</v>
      </c>
      <c r="C16" s="45">
        <f t="shared" si="0"/>
        <v>3908677</v>
      </c>
      <c r="D16" s="45">
        <v>195665</v>
      </c>
      <c r="E16" s="45">
        <v>99565</v>
      </c>
      <c r="F16" s="45">
        <v>0</v>
      </c>
      <c r="G16" s="45">
        <v>0</v>
      </c>
      <c r="H16" s="45">
        <v>0</v>
      </c>
      <c r="I16" s="45">
        <v>544141</v>
      </c>
      <c r="J16" s="45">
        <v>233787</v>
      </c>
      <c r="K16" s="126">
        <v>42271</v>
      </c>
      <c r="L16" s="45">
        <v>0</v>
      </c>
      <c r="M16" s="46">
        <v>0</v>
      </c>
      <c r="N16" s="45">
        <v>40400</v>
      </c>
      <c r="O16" s="46">
        <v>48517</v>
      </c>
      <c r="P16" s="46">
        <v>0</v>
      </c>
      <c r="Q16" s="46">
        <v>0</v>
      </c>
      <c r="R16" s="46"/>
      <c r="S16" s="46"/>
      <c r="T16" s="46">
        <v>0</v>
      </c>
      <c r="U16" s="46">
        <v>0</v>
      </c>
      <c r="V16" s="211"/>
      <c r="W16" s="46">
        <v>0</v>
      </c>
      <c r="X16" s="46">
        <v>377084</v>
      </c>
      <c r="Y16" s="45">
        <f>'CLP Tariff'!D21</f>
        <v>547530</v>
      </c>
      <c r="Z16" s="82">
        <f>'Commercial &amp; Quarter'!W72</f>
        <v>262207</v>
      </c>
      <c r="AA16" s="62">
        <f t="shared" si="2"/>
        <v>285323</v>
      </c>
      <c r="AB16" s="45">
        <f t="shared" si="1"/>
        <v>584541</v>
      </c>
      <c r="AD16" s="46">
        <v>0</v>
      </c>
      <c r="AE16" s="46">
        <v>0</v>
      </c>
      <c r="AF16" s="46">
        <v>0</v>
      </c>
      <c r="AG16" s="46">
        <v>0</v>
      </c>
      <c r="AH16" s="46"/>
      <c r="AI16" s="46"/>
      <c r="AJ16" s="46"/>
      <c r="AL16" s="46"/>
    </row>
    <row r="17" spans="1:38" ht="23.25" customHeight="1">
      <c r="A17" s="44">
        <v>42036</v>
      </c>
      <c r="B17" s="45">
        <f>'CLP Tariff'!B22</f>
        <v>5695515</v>
      </c>
      <c r="C17" s="45">
        <f t="shared" si="0"/>
        <v>3489436</v>
      </c>
      <c r="D17" s="45">
        <v>224244</v>
      </c>
      <c r="E17" s="45">
        <v>114195</v>
      </c>
      <c r="F17" s="45">
        <v>0</v>
      </c>
      <c r="G17" s="45">
        <v>0</v>
      </c>
      <c r="H17" s="45">
        <v>0</v>
      </c>
      <c r="I17" s="45">
        <v>515349</v>
      </c>
      <c r="J17" s="45">
        <v>235819</v>
      </c>
      <c r="K17" s="126">
        <v>56423</v>
      </c>
      <c r="L17" s="45">
        <v>0</v>
      </c>
      <c r="M17" s="46">
        <v>0</v>
      </c>
      <c r="N17" s="45">
        <v>52158</v>
      </c>
      <c r="O17" s="46">
        <v>49783</v>
      </c>
      <c r="P17" s="46">
        <v>0</v>
      </c>
      <c r="Q17" s="46">
        <v>0</v>
      </c>
      <c r="R17" s="46"/>
      <c r="S17" s="46"/>
      <c r="T17" s="46">
        <v>0</v>
      </c>
      <c r="U17" s="46">
        <v>0</v>
      </c>
      <c r="V17" s="211"/>
      <c r="W17" s="46">
        <v>0</v>
      </c>
      <c r="X17" s="46">
        <v>470725</v>
      </c>
      <c r="Y17" s="45">
        <f>'CLP Tariff'!D22</f>
        <v>487383</v>
      </c>
      <c r="Z17" s="82">
        <f>'Commercial &amp; Quarter'!X72</f>
        <v>247789</v>
      </c>
      <c r="AA17" s="62">
        <f t="shared" si="2"/>
        <v>239594</v>
      </c>
      <c r="AB17" s="45">
        <f t="shared" si="1"/>
        <v>567507</v>
      </c>
      <c r="AD17" s="46">
        <v>0</v>
      </c>
      <c r="AE17" s="46">
        <v>0</v>
      </c>
      <c r="AF17" s="46">
        <v>0</v>
      </c>
      <c r="AG17" s="46">
        <v>0</v>
      </c>
      <c r="AH17" s="46"/>
      <c r="AI17" s="46"/>
      <c r="AJ17" s="46"/>
      <c r="AL17" s="46"/>
    </row>
    <row r="18" spans="1:38" ht="23.25" customHeight="1">
      <c r="A18" s="44">
        <v>42064</v>
      </c>
      <c r="B18" s="45">
        <f>'CLP Tariff'!B23</f>
        <v>6808373</v>
      </c>
      <c r="C18" s="45">
        <f t="shared" si="0"/>
        <v>4118527</v>
      </c>
      <c r="D18" s="45">
        <v>218508</v>
      </c>
      <c r="E18" s="45">
        <v>125033</v>
      </c>
      <c r="F18" s="45">
        <v>0</v>
      </c>
      <c r="G18" s="45">
        <v>0</v>
      </c>
      <c r="H18" s="45">
        <v>0</v>
      </c>
      <c r="I18" s="45">
        <v>822631</v>
      </c>
      <c r="J18" s="45">
        <v>265435</v>
      </c>
      <c r="K18" s="126">
        <v>53193</v>
      </c>
      <c r="L18" s="45">
        <v>0</v>
      </c>
      <c r="M18" s="46">
        <v>0</v>
      </c>
      <c r="N18" s="45">
        <v>66141</v>
      </c>
      <c r="O18" s="46">
        <v>74567</v>
      </c>
      <c r="P18" s="46">
        <v>0</v>
      </c>
      <c r="Q18" s="46">
        <v>0</v>
      </c>
      <c r="R18" s="46"/>
      <c r="S18" s="46"/>
      <c r="T18" s="46">
        <v>0</v>
      </c>
      <c r="U18" s="46">
        <v>0</v>
      </c>
      <c r="V18" s="211"/>
      <c r="W18" s="46">
        <v>0</v>
      </c>
      <c r="X18" s="46">
        <v>503575</v>
      </c>
      <c r="Y18" s="45">
        <f>'CLP Tariff'!D23</f>
        <v>560763</v>
      </c>
      <c r="Z18" s="82">
        <f>'Commercial &amp; Quarter'!Y72</f>
        <v>302505</v>
      </c>
      <c r="AA18" s="62">
        <f t="shared" si="2"/>
        <v>258258</v>
      </c>
      <c r="AB18" s="45">
        <f t="shared" si="1"/>
        <v>888772</v>
      </c>
      <c r="AD18" s="46">
        <v>0</v>
      </c>
      <c r="AE18" s="46">
        <v>0</v>
      </c>
      <c r="AF18" s="46">
        <v>0</v>
      </c>
      <c r="AG18" s="46">
        <v>0</v>
      </c>
      <c r="AH18" s="46"/>
      <c r="AI18" s="46"/>
      <c r="AJ18" s="46"/>
      <c r="AL18" s="46"/>
    </row>
    <row r="19" spans="1:38" ht="23.25" customHeight="1">
      <c r="A19" s="44">
        <v>42095</v>
      </c>
      <c r="B19" s="45">
        <f>'CLP Tariff'!B24</f>
        <v>7375395</v>
      </c>
      <c r="C19" s="45">
        <f t="shared" si="0"/>
        <v>4123782</v>
      </c>
      <c r="D19" s="45">
        <v>205482</v>
      </c>
      <c r="E19" s="45">
        <v>172615</v>
      </c>
      <c r="F19" s="45">
        <v>0</v>
      </c>
      <c r="G19" s="45">
        <v>0</v>
      </c>
      <c r="H19" s="45">
        <v>0</v>
      </c>
      <c r="I19" s="45">
        <v>1230463</v>
      </c>
      <c r="J19" s="45">
        <v>237697</v>
      </c>
      <c r="K19" s="126">
        <v>54391</v>
      </c>
      <c r="L19" s="45">
        <v>0</v>
      </c>
      <c r="M19" s="46">
        <v>0</v>
      </c>
      <c r="N19" s="45">
        <v>110064</v>
      </c>
      <c r="O19" s="45">
        <v>97242</v>
      </c>
      <c r="P19" s="46">
        <v>0</v>
      </c>
      <c r="Q19" s="46">
        <v>0</v>
      </c>
      <c r="R19" s="46"/>
      <c r="S19" s="46"/>
      <c r="T19" s="46">
        <v>0</v>
      </c>
      <c r="U19" s="46">
        <v>0</v>
      </c>
      <c r="V19" s="211"/>
      <c r="W19" s="46">
        <v>0</v>
      </c>
      <c r="X19" s="46">
        <v>593115</v>
      </c>
      <c r="Y19" s="45">
        <f>'CLP Tariff'!D24</f>
        <v>550544</v>
      </c>
      <c r="Z19" s="82">
        <f>'Commercial &amp; Quarter'!Z72</f>
        <v>303017</v>
      </c>
      <c r="AA19" s="62">
        <f t="shared" si="2"/>
        <v>247527</v>
      </c>
      <c r="AB19" s="45">
        <f t="shared" si="1"/>
        <v>1340527</v>
      </c>
      <c r="AD19" s="46">
        <v>0</v>
      </c>
      <c r="AE19" s="46">
        <v>0</v>
      </c>
      <c r="AF19" s="46">
        <v>0</v>
      </c>
      <c r="AG19" s="46">
        <v>0</v>
      </c>
      <c r="AH19" s="45"/>
      <c r="AI19" s="45"/>
      <c r="AJ19" s="45"/>
      <c r="AL19" s="45"/>
    </row>
    <row r="20" spans="1:38" ht="23.25" customHeight="1">
      <c r="A20" s="44">
        <v>42125</v>
      </c>
      <c r="B20" s="45">
        <f>'CLP Tariff'!B25</f>
        <v>8190535</v>
      </c>
      <c r="C20" s="45">
        <f t="shared" si="0"/>
        <v>3697825</v>
      </c>
      <c r="D20" s="45">
        <v>220809</v>
      </c>
      <c r="E20" s="45">
        <v>203655</v>
      </c>
      <c r="F20" s="45">
        <v>0</v>
      </c>
      <c r="G20" s="45">
        <v>0</v>
      </c>
      <c r="H20" s="45">
        <v>0</v>
      </c>
      <c r="I20" s="45">
        <v>2094261</v>
      </c>
      <c r="J20" s="45">
        <v>212132</v>
      </c>
      <c r="K20" s="126">
        <v>49088</v>
      </c>
      <c r="L20" s="45">
        <v>0</v>
      </c>
      <c r="M20" s="46">
        <v>0</v>
      </c>
      <c r="N20" s="45">
        <v>186711</v>
      </c>
      <c r="O20" s="45">
        <v>72445</v>
      </c>
      <c r="P20" s="46">
        <v>0</v>
      </c>
      <c r="Q20" s="46">
        <v>0</v>
      </c>
      <c r="R20" s="46"/>
      <c r="S20" s="46"/>
      <c r="T20" s="46">
        <v>0</v>
      </c>
      <c r="U20" s="46">
        <v>0</v>
      </c>
      <c r="V20" s="211"/>
      <c r="W20" s="46">
        <v>0</v>
      </c>
      <c r="X20" s="46">
        <v>777496</v>
      </c>
      <c r="Y20" s="45">
        <f>'CLP Tariff'!D25</f>
        <v>676113</v>
      </c>
      <c r="Z20" s="82">
        <f>'Commercial &amp; Quarter'!AA72</f>
        <v>293556</v>
      </c>
      <c r="AA20" s="62">
        <f t="shared" si="2"/>
        <v>382557</v>
      </c>
      <c r="AB20" s="45">
        <f t="shared" si="1"/>
        <v>2280972</v>
      </c>
      <c r="AD20" s="46">
        <v>0</v>
      </c>
      <c r="AE20" s="46">
        <v>0</v>
      </c>
      <c r="AF20" s="46">
        <v>0</v>
      </c>
      <c r="AG20" s="46">
        <v>0</v>
      </c>
      <c r="AH20" s="45"/>
      <c r="AI20" s="45"/>
      <c r="AJ20" s="45"/>
      <c r="AL20" s="45"/>
    </row>
    <row r="21" spans="1:38" ht="23.25" customHeight="1">
      <c r="A21" s="44">
        <v>42156</v>
      </c>
      <c r="B21" s="45">
        <f>'CLP Tariff'!B26</f>
        <v>9712387</v>
      </c>
      <c r="C21" s="45">
        <f t="shared" si="0"/>
        <v>4414578</v>
      </c>
      <c r="D21" s="45">
        <v>239524</v>
      </c>
      <c r="E21" s="45">
        <v>194738</v>
      </c>
      <c r="F21" s="45">
        <v>0</v>
      </c>
      <c r="G21" s="45">
        <v>0</v>
      </c>
      <c r="H21" s="45">
        <v>0</v>
      </c>
      <c r="I21" s="45">
        <v>2544609</v>
      </c>
      <c r="J21" s="45">
        <v>280980</v>
      </c>
      <c r="K21" s="126">
        <v>129946</v>
      </c>
      <c r="L21" s="45">
        <v>0</v>
      </c>
      <c r="M21" s="46">
        <v>0</v>
      </c>
      <c r="N21" s="45">
        <v>255852</v>
      </c>
      <c r="O21" s="45">
        <v>111119</v>
      </c>
      <c r="P21" s="46">
        <v>0</v>
      </c>
      <c r="Q21" s="46">
        <v>0</v>
      </c>
      <c r="R21" s="46"/>
      <c r="S21" s="46"/>
      <c r="T21" s="46">
        <v>0</v>
      </c>
      <c r="U21" s="46">
        <v>0</v>
      </c>
      <c r="V21" s="211"/>
      <c r="W21" s="46">
        <v>0</v>
      </c>
      <c r="X21" s="46">
        <v>589036</v>
      </c>
      <c r="Y21" s="45">
        <f>'CLP Tariff'!D26</f>
        <v>952005</v>
      </c>
      <c r="Z21" s="82">
        <f>'Commercial &amp; Quarter'!AB72</f>
        <v>302993</v>
      </c>
      <c r="AA21" s="62">
        <f t="shared" si="2"/>
        <v>649012</v>
      </c>
      <c r="AB21" s="45">
        <f t="shared" si="1"/>
        <v>2800461</v>
      </c>
      <c r="AD21" s="46">
        <v>0</v>
      </c>
      <c r="AE21" s="46">
        <v>0</v>
      </c>
      <c r="AF21" s="46">
        <v>0</v>
      </c>
      <c r="AG21" s="46">
        <v>0</v>
      </c>
      <c r="AH21" s="45"/>
      <c r="AI21" s="45"/>
      <c r="AJ21" s="45"/>
      <c r="AL21" s="45"/>
    </row>
    <row r="22" spans="1:38" ht="23.25" customHeight="1">
      <c r="A22" s="44">
        <v>42186</v>
      </c>
      <c r="B22" s="45">
        <f>'CLP Tariff'!B27</f>
        <v>8834027</v>
      </c>
      <c r="C22" s="45">
        <f t="shared" si="0"/>
        <v>3840527</v>
      </c>
      <c r="D22" s="45">
        <v>216309</v>
      </c>
      <c r="E22" s="45">
        <v>224950</v>
      </c>
      <c r="F22" s="45">
        <v>0</v>
      </c>
      <c r="G22" s="45">
        <v>0</v>
      </c>
      <c r="H22" s="45">
        <v>0</v>
      </c>
      <c r="I22" s="46">
        <v>2507656</v>
      </c>
      <c r="J22" s="45">
        <v>217810</v>
      </c>
      <c r="K22" s="126">
        <v>77610</v>
      </c>
      <c r="L22" s="45">
        <v>25769</v>
      </c>
      <c r="M22" s="46">
        <v>0</v>
      </c>
      <c r="N22" s="46">
        <v>212246</v>
      </c>
      <c r="O22" s="45">
        <v>90399</v>
      </c>
      <c r="P22" s="46">
        <v>0</v>
      </c>
      <c r="Q22" s="46">
        <v>0</v>
      </c>
      <c r="R22" s="46"/>
      <c r="S22" s="46"/>
      <c r="T22" s="46">
        <v>0</v>
      </c>
      <c r="U22" s="46">
        <v>0</v>
      </c>
      <c r="V22" s="211"/>
      <c r="W22" s="46">
        <v>0</v>
      </c>
      <c r="X22" s="46">
        <v>636984</v>
      </c>
      <c r="Y22" s="45">
        <f>'CLP Tariff'!D27</f>
        <v>783767</v>
      </c>
      <c r="Z22" s="82">
        <f>'Commercial &amp; Quarter'!AC72</f>
        <v>277550</v>
      </c>
      <c r="AA22" s="62">
        <f t="shared" si="2"/>
        <v>506217</v>
      </c>
      <c r="AB22" s="45">
        <f t="shared" si="1"/>
        <v>2719902</v>
      </c>
      <c r="AD22" s="46">
        <v>0</v>
      </c>
      <c r="AE22" s="46">
        <v>0</v>
      </c>
      <c r="AF22" s="46">
        <v>0</v>
      </c>
      <c r="AG22" s="46">
        <v>0</v>
      </c>
      <c r="AH22" s="45"/>
      <c r="AI22" s="45"/>
      <c r="AJ22" s="45"/>
      <c r="AL22" s="45"/>
    </row>
    <row r="23" spans="1:38" ht="23.25" customHeight="1">
      <c r="A23" s="44">
        <v>42217</v>
      </c>
      <c r="B23" s="45">
        <f>'CLP Tariff'!B28</f>
        <v>8681882</v>
      </c>
      <c r="C23" s="45">
        <f t="shared" si="0"/>
        <v>3336768</v>
      </c>
      <c r="D23" s="45">
        <v>260880</v>
      </c>
      <c r="E23" s="45">
        <v>198008</v>
      </c>
      <c r="F23" s="45">
        <v>0</v>
      </c>
      <c r="G23" s="45">
        <v>0</v>
      </c>
      <c r="H23" s="45">
        <v>0</v>
      </c>
      <c r="I23" s="46">
        <v>2564183</v>
      </c>
      <c r="J23" s="45">
        <v>268478</v>
      </c>
      <c r="K23" s="126">
        <v>71460</v>
      </c>
      <c r="L23" s="45">
        <v>134760</v>
      </c>
      <c r="M23" s="46">
        <v>0</v>
      </c>
      <c r="N23" s="46">
        <v>252328</v>
      </c>
      <c r="O23" s="45">
        <v>107250</v>
      </c>
      <c r="P23" s="46">
        <v>0</v>
      </c>
      <c r="Q23" s="46">
        <v>0</v>
      </c>
      <c r="R23" s="46"/>
      <c r="S23" s="46"/>
      <c r="T23" s="46">
        <v>0</v>
      </c>
      <c r="U23" s="46">
        <v>0</v>
      </c>
      <c r="V23" s="211"/>
      <c r="W23" s="46">
        <v>0</v>
      </c>
      <c r="X23" s="46">
        <v>680006</v>
      </c>
      <c r="Y23" s="45">
        <f>'CLP Tariff'!D28</f>
        <v>807761</v>
      </c>
      <c r="Z23" s="82">
        <f>'Commercial &amp; Quarter'!AD72</f>
        <v>278196</v>
      </c>
      <c r="AA23" s="62">
        <f t="shared" si="2"/>
        <v>529565</v>
      </c>
      <c r="AB23" s="45">
        <f t="shared" si="1"/>
        <v>2816511</v>
      </c>
      <c r="AD23" s="46">
        <v>0</v>
      </c>
      <c r="AE23" s="46">
        <v>0</v>
      </c>
      <c r="AF23" s="46">
        <v>0</v>
      </c>
      <c r="AG23" s="46">
        <v>0</v>
      </c>
      <c r="AH23" s="45"/>
      <c r="AI23" s="45"/>
      <c r="AJ23" s="45"/>
      <c r="AL23" s="45"/>
    </row>
    <row r="24" spans="1:38" ht="23.25" customHeight="1">
      <c r="A24" s="44">
        <v>42248</v>
      </c>
      <c r="B24" s="45">
        <f>'CLP Tariff'!B29</f>
        <v>9954396</v>
      </c>
      <c r="C24" s="45">
        <f t="shared" si="0"/>
        <v>4633259</v>
      </c>
      <c r="D24" s="45">
        <v>234187</v>
      </c>
      <c r="E24" s="45">
        <v>228598</v>
      </c>
      <c r="F24" s="45">
        <v>0</v>
      </c>
      <c r="G24" s="45">
        <v>0</v>
      </c>
      <c r="H24" s="45">
        <v>0</v>
      </c>
      <c r="I24" s="46">
        <v>2359914</v>
      </c>
      <c r="J24" s="45">
        <v>263450</v>
      </c>
      <c r="K24" s="126">
        <v>56020</v>
      </c>
      <c r="L24" s="45">
        <v>135352</v>
      </c>
      <c r="M24" s="46">
        <v>0</v>
      </c>
      <c r="N24" s="46">
        <v>222957</v>
      </c>
      <c r="O24" s="45">
        <v>84622</v>
      </c>
      <c r="P24" s="46">
        <v>0</v>
      </c>
      <c r="Q24" s="46">
        <v>0</v>
      </c>
      <c r="R24" s="46"/>
      <c r="S24" s="46"/>
      <c r="T24" s="46">
        <v>0</v>
      </c>
      <c r="U24" s="46">
        <v>0</v>
      </c>
      <c r="V24" s="211"/>
      <c r="W24" s="46">
        <v>0</v>
      </c>
      <c r="X24" s="46">
        <v>887878</v>
      </c>
      <c r="Y24" s="45">
        <f>'CLP Tariff'!D29</f>
        <v>848159</v>
      </c>
      <c r="Z24" s="82">
        <f>'Commercial &amp; Quarter'!AE72</f>
        <v>338617</v>
      </c>
      <c r="AA24" s="62">
        <f t="shared" si="2"/>
        <v>509542</v>
      </c>
      <c r="AB24" s="45">
        <f t="shared" si="1"/>
        <v>2582871</v>
      </c>
      <c r="AD24" s="46">
        <v>0</v>
      </c>
      <c r="AE24" s="46">
        <v>0</v>
      </c>
      <c r="AF24" s="46">
        <v>0</v>
      </c>
      <c r="AG24" s="46">
        <v>0</v>
      </c>
      <c r="AH24" s="45"/>
      <c r="AI24" s="45"/>
      <c r="AJ24" s="45"/>
      <c r="AL24" s="45"/>
    </row>
    <row r="25" spans="1:38" ht="23.25" customHeight="1">
      <c r="A25" s="44">
        <v>42278</v>
      </c>
      <c r="B25" s="45">
        <f>'CLP Tariff'!B30</f>
        <v>8352722</v>
      </c>
      <c r="C25" s="45">
        <f t="shared" si="0"/>
        <v>4009560</v>
      </c>
      <c r="D25" s="45">
        <v>212948</v>
      </c>
      <c r="E25" s="45">
        <v>252642</v>
      </c>
      <c r="F25" s="45">
        <v>0</v>
      </c>
      <c r="G25" s="45">
        <v>0</v>
      </c>
      <c r="H25" s="45">
        <v>0</v>
      </c>
      <c r="I25" s="46">
        <v>1873529</v>
      </c>
      <c r="J25" s="45">
        <v>247453</v>
      </c>
      <c r="K25" s="126">
        <v>52867</v>
      </c>
      <c r="L25" s="45">
        <v>131511</v>
      </c>
      <c r="M25" s="46">
        <v>0</v>
      </c>
      <c r="N25" s="46">
        <v>179183</v>
      </c>
      <c r="O25" s="45">
        <v>77686</v>
      </c>
      <c r="P25" s="46">
        <v>0</v>
      </c>
      <c r="Q25" s="46">
        <v>0</v>
      </c>
      <c r="R25" s="46"/>
      <c r="S25" s="46"/>
      <c r="T25" s="46">
        <v>0</v>
      </c>
      <c r="U25" s="46">
        <v>0</v>
      </c>
      <c r="V25" s="211"/>
      <c r="W25" s="46">
        <v>0</v>
      </c>
      <c r="X25" s="46">
        <v>705699</v>
      </c>
      <c r="Y25" s="45">
        <f>'CLP Tariff'!D30</f>
        <v>609644</v>
      </c>
      <c r="Z25" s="82">
        <f>'Commercial &amp; Quarter'!AF72</f>
        <v>309456</v>
      </c>
      <c r="AA25" s="62">
        <f t="shared" si="2"/>
        <v>300188</v>
      </c>
      <c r="AB25" s="45">
        <f t="shared" si="1"/>
        <v>2052712</v>
      </c>
      <c r="AD25" s="46">
        <v>0</v>
      </c>
      <c r="AE25" s="46">
        <v>0</v>
      </c>
      <c r="AF25" s="46">
        <v>0</v>
      </c>
      <c r="AG25" s="46">
        <v>0</v>
      </c>
      <c r="AH25" s="45"/>
      <c r="AI25" s="45"/>
      <c r="AJ25" s="45"/>
      <c r="AL25" s="45"/>
    </row>
    <row r="26" spans="1:38" ht="23.25" customHeight="1">
      <c r="A26" s="44">
        <v>42309</v>
      </c>
      <c r="B26" s="45">
        <f>'CLP Tariff'!B31</f>
        <v>8050995</v>
      </c>
      <c r="C26" s="45">
        <f t="shared" si="0"/>
        <v>4200888</v>
      </c>
      <c r="D26" s="45">
        <v>229804</v>
      </c>
      <c r="E26" s="45">
        <v>304409</v>
      </c>
      <c r="F26" s="45">
        <v>0</v>
      </c>
      <c r="G26" s="45">
        <v>0</v>
      </c>
      <c r="H26" s="45">
        <v>0</v>
      </c>
      <c r="I26" s="46">
        <v>1464223</v>
      </c>
      <c r="J26" s="45">
        <v>278579</v>
      </c>
      <c r="K26" s="126">
        <v>45990</v>
      </c>
      <c r="L26" s="45">
        <v>146949</v>
      </c>
      <c r="M26" s="46">
        <v>0</v>
      </c>
      <c r="N26" s="46">
        <v>173483</v>
      </c>
      <c r="O26" s="45">
        <v>65641</v>
      </c>
      <c r="P26" s="46">
        <v>0</v>
      </c>
      <c r="Q26" s="46">
        <v>0</v>
      </c>
      <c r="R26" s="46"/>
      <c r="S26" s="46"/>
      <c r="T26" s="46">
        <v>0</v>
      </c>
      <c r="U26" s="46">
        <v>0</v>
      </c>
      <c r="V26" s="211"/>
      <c r="W26" s="46">
        <v>0</v>
      </c>
      <c r="X26" s="46">
        <v>587552</v>
      </c>
      <c r="Y26" s="45">
        <f>'CLP Tariff'!D31</f>
        <v>553477</v>
      </c>
      <c r="Z26" s="82">
        <f>'Commercial &amp; Quarter'!AG72</f>
        <v>318937</v>
      </c>
      <c r="AA26" s="62">
        <f t="shared" si="2"/>
        <v>234540</v>
      </c>
      <c r="AB26" s="45">
        <f t="shared" si="1"/>
        <v>1637706</v>
      </c>
      <c r="AD26" s="46">
        <v>0</v>
      </c>
      <c r="AE26" s="46">
        <v>0</v>
      </c>
      <c r="AF26" s="46">
        <v>0</v>
      </c>
      <c r="AG26" s="46">
        <v>0</v>
      </c>
      <c r="AH26" s="45"/>
      <c r="AI26" s="45"/>
      <c r="AJ26" s="45"/>
      <c r="AL26" s="45"/>
    </row>
    <row r="27" spans="1:38" ht="23.25" customHeight="1">
      <c r="A27" s="44">
        <v>42339</v>
      </c>
      <c r="B27" s="45">
        <f>'CLP Tariff'!B32</f>
        <v>6493453</v>
      </c>
      <c r="C27" s="45">
        <f t="shared" si="0"/>
        <v>3614603</v>
      </c>
      <c r="D27" s="45">
        <v>290741</v>
      </c>
      <c r="E27" s="45">
        <v>333130</v>
      </c>
      <c r="F27" s="45">
        <v>0</v>
      </c>
      <c r="G27" s="45">
        <v>0</v>
      </c>
      <c r="H27" s="45">
        <v>0</v>
      </c>
      <c r="I27" s="46">
        <v>690904</v>
      </c>
      <c r="J27" s="45">
        <v>285264</v>
      </c>
      <c r="K27" s="126">
        <v>65483</v>
      </c>
      <c r="L27" s="45">
        <v>103943</v>
      </c>
      <c r="M27" s="46">
        <v>0</v>
      </c>
      <c r="N27" s="46">
        <v>90243</v>
      </c>
      <c r="O27" s="45">
        <v>79484</v>
      </c>
      <c r="P27" s="46">
        <v>0</v>
      </c>
      <c r="Q27" s="46">
        <v>0</v>
      </c>
      <c r="R27" s="46"/>
      <c r="S27" s="46"/>
      <c r="T27" s="46">
        <v>0</v>
      </c>
      <c r="U27" s="46">
        <v>0</v>
      </c>
      <c r="V27" s="211"/>
      <c r="W27" s="46">
        <v>0</v>
      </c>
      <c r="X27" s="46">
        <v>453971</v>
      </c>
      <c r="Y27" s="45">
        <f>'CLP Tariff'!D32</f>
        <v>485687</v>
      </c>
      <c r="Z27" s="82">
        <f>'Commercial &amp; Quarter'!AH72</f>
        <v>282739</v>
      </c>
      <c r="AA27" s="62">
        <f t="shared" si="2"/>
        <v>202948</v>
      </c>
      <c r="AB27" s="45">
        <f t="shared" si="1"/>
        <v>781147</v>
      </c>
      <c r="AD27" s="46">
        <v>0</v>
      </c>
      <c r="AE27" s="46">
        <v>0</v>
      </c>
      <c r="AF27" s="46">
        <v>0</v>
      </c>
      <c r="AG27" s="46">
        <v>0</v>
      </c>
      <c r="AH27" s="45"/>
      <c r="AI27" s="45"/>
      <c r="AJ27" s="45"/>
      <c r="AL27" s="45"/>
    </row>
    <row r="28" spans="1:38" ht="23.25" customHeight="1">
      <c r="A28" s="50">
        <v>42370</v>
      </c>
      <c r="B28" s="6">
        <f>'CLP Tariff'!B33</f>
        <v>6245223</v>
      </c>
      <c r="C28" s="6">
        <f t="shared" si="0"/>
        <v>3831763</v>
      </c>
      <c r="D28" s="6">
        <v>139048</v>
      </c>
      <c r="E28" s="6">
        <v>277210</v>
      </c>
      <c r="F28" s="6">
        <v>0</v>
      </c>
      <c r="G28" s="6">
        <v>0</v>
      </c>
      <c r="H28" s="6">
        <v>0</v>
      </c>
      <c r="I28" s="6">
        <v>516685</v>
      </c>
      <c r="J28" s="6">
        <v>242251</v>
      </c>
      <c r="K28" s="126">
        <v>42075</v>
      </c>
      <c r="L28" s="6">
        <v>122690</v>
      </c>
      <c r="M28" s="6">
        <v>0</v>
      </c>
      <c r="N28" s="6">
        <v>50559</v>
      </c>
      <c r="O28" s="6">
        <v>78005</v>
      </c>
      <c r="P28" s="6">
        <v>0</v>
      </c>
      <c r="Q28" s="6">
        <v>0</v>
      </c>
      <c r="R28" s="6"/>
      <c r="S28" s="6"/>
      <c r="T28" s="6">
        <v>0</v>
      </c>
      <c r="U28" s="6">
        <v>0</v>
      </c>
      <c r="V28" s="212"/>
      <c r="W28" s="6">
        <v>0</v>
      </c>
      <c r="X28" s="12">
        <v>377458</v>
      </c>
      <c r="Y28" s="6">
        <f>'CLP Tariff'!D33</f>
        <v>567479</v>
      </c>
      <c r="Z28" s="83">
        <f>'Commercial &amp; Quarter'!AI72</f>
        <v>259474</v>
      </c>
      <c r="AA28" s="63">
        <f t="shared" si="2"/>
        <v>308005</v>
      </c>
      <c r="AB28" s="6">
        <f t="shared" si="1"/>
        <v>567244</v>
      </c>
      <c r="AD28" s="6">
        <v>0</v>
      </c>
      <c r="AE28" s="6">
        <v>0</v>
      </c>
      <c r="AF28" s="6">
        <v>0</v>
      </c>
      <c r="AG28" s="6">
        <v>0</v>
      </c>
      <c r="AH28" s="6"/>
      <c r="AI28" s="6"/>
      <c r="AJ28" s="6"/>
      <c r="AL28" s="6"/>
    </row>
    <row r="29" spans="1:38" ht="23.25" customHeight="1">
      <c r="A29" s="50">
        <v>42401</v>
      </c>
      <c r="B29" s="6">
        <f>'CLP Tariff'!B34</f>
        <v>6466884</v>
      </c>
      <c r="C29" s="6">
        <f t="shared" si="0"/>
        <v>3779412</v>
      </c>
      <c r="D29" s="6">
        <v>298078</v>
      </c>
      <c r="E29" s="6">
        <v>343984</v>
      </c>
      <c r="F29" s="6">
        <v>0</v>
      </c>
      <c r="G29" s="6">
        <v>0</v>
      </c>
      <c r="H29" s="6">
        <v>0</v>
      </c>
      <c r="I29" s="6">
        <v>406263</v>
      </c>
      <c r="J29" s="6">
        <v>294647</v>
      </c>
      <c r="K29" s="126">
        <v>45944</v>
      </c>
      <c r="L29" s="6">
        <v>117026</v>
      </c>
      <c r="M29" s="6">
        <v>0</v>
      </c>
      <c r="N29" s="6">
        <v>48852</v>
      </c>
      <c r="O29" s="6">
        <v>37408</v>
      </c>
      <c r="P29" s="6">
        <v>0</v>
      </c>
      <c r="Q29" s="6">
        <v>0</v>
      </c>
      <c r="R29" s="6"/>
      <c r="S29" s="6"/>
      <c r="T29" s="6">
        <v>0</v>
      </c>
      <c r="U29" s="6">
        <v>0</v>
      </c>
      <c r="V29" s="212"/>
      <c r="W29" s="6">
        <v>0</v>
      </c>
      <c r="X29" s="12">
        <v>487805</v>
      </c>
      <c r="Y29" s="6">
        <f>'CLP Tariff'!D34</f>
        <v>607465</v>
      </c>
      <c r="Z29" s="83">
        <f>'Commercial &amp; Quarter'!AJ72</f>
        <v>272882</v>
      </c>
      <c r="AA29" s="63">
        <f t="shared" si="2"/>
        <v>334583</v>
      </c>
      <c r="AB29" s="6">
        <f t="shared" si="1"/>
        <v>455115</v>
      </c>
      <c r="AD29" s="6">
        <v>0</v>
      </c>
      <c r="AE29" s="6">
        <v>0</v>
      </c>
      <c r="AF29" s="6">
        <v>0</v>
      </c>
      <c r="AG29" s="6">
        <v>0</v>
      </c>
      <c r="AH29" s="6"/>
      <c r="AI29" s="6"/>
      <c r="AJ29" s="6"/>
      <c r="AL29" s="6"/>
    </row>
    <row r="30" spans="1:38" ht="23.25" customHeight="1">
      <c r="A30" s="50">
        <v>42430</v>
      </c>
      <c r="B30" s="6">
        <f>'CLP Tariff'!B35</f>
        <v>6613470</v>
      </c>
      <c r="C30" s="6">
        <f t="shared" si="0"/>
        <v>3972874</v>
      </c>
      <c r="D30" s="6">
        <v>204423</v>
      </c>
      <c r="E30" s="6">
        <v>276509</v>
      </c>
      <c r="F30" s="6">
        <v>0</v>
      </c>
      <c r="G30" s="6">
        <v>0</v>
      </c>
      <c r="H30" s="6">
        <v>0</v>
      </c>
      <c r="I30" s="6">
        <v>553500</v>
      </c>
      <c r="J30" s="6">
        <v>237417</v>
      </c>
      <c r="K30" s="126">
        <v>58069</v>
      </c>
      <c r="L30" s="6">
        <v>81220</v>
      </c>
      <c r="M30" s="6">
        <v>0</v>
      </c>
      <c r="N30" s="6">
        <v>57570</v>
      </c>
      <c r="O30" s="6">
        <v>60129</v>
      </c>
      <c r="P30" s="6">
        <v>0</v>
      </c>
      <c r="Q30" s="6">
        <v>0</v>
      </c>
      <c r="R30" s="6"/>
      <c r="S30" s="6"/>
      <c r="T30" s="6">
        <v>0</v>
      </c>
      <c r="U30" s="6">
        <v>0</v>
      </c>
      <c r="V30" s="212"/>
      <c r="W30" s="6">
        <v>0</v>
      </c>
      <c r="X30" s="12">
        <v>547267</v>
      </c>
      <c r="Y30" s="6">
        <f>'CLP Tariff'!D35</f>
        <v>564492</v>
      </c>
      <c r="Z30" s="83">
        <f>'Commercial &amp; Quarter'!AK72</f>
        <v>289377</v>
      </c>
      <c r="AA30" s="63">
        <f t="shared" si="2"/>
        <v>275115</v>
      </c>
      <c r="AB30" s="6">
        <f t="shared" si="1"/>
        <v>611070</v>
      </c>
      <c r="AD30" s="6">
        <v>0</v>
      </c>
      <c r="AE30" s="6">
        <v>0</v>
      </c>
      <c r="AF30" s="6">
        <v>0</v>
      </c>
      <c r="AG30" s="6">
        <v>0</v>
      </c>
      <c r="AH30" s="6"/>
      <c r="AI30" s="6"/>
      <c r="AJ30" s="6"/>
      <c r="AL30" s="6"/>
    </row>
    <row r="31" spans="1:38" ht="23.25" customHeight="1">
      <c r="A31" s="50">
        <v>42461</v>
      </c>
      <c r="B31" s="6">
        <f>'CLP Tariff'!B36</f>
        <v>7584721</v>
      </c>
      <c r="C31" s="6">
        <f t="shared" si="0"/>
        <v>4018970</v>
      </c>
      <c r="D31" s="6">
        <v>215813</v>
      </c>
      <c r="E31" s="6">
        <v>296537</v>
      </c>
      <c r="F31" s="6">
        <v>0</v>
      </c>
      <c r="G31" s="6">
        <v>0</v>
      </c>
      <c r="H31" s="6">
        <v>0</v>
      </c>
      <c r="I31" s="6">
        <v>1283919</v>
      </c>
      <c r="J31" s="6">
        <v>271059</v>
      </c>
      <c r="K31" s="126">
        <v>49082</v>
      </c>
      <c r="L31" s="6">
        <v>118821</v>
      </c>
      <c r="M31" s="6">
        <v>0</v>
      </c>
      <c r="N31" s="6">
        <v>135895</v>
      </c>
      <c r="O31" s="6">
        <v>63059</v>
      </c>
      <c r="P31" s="6">
        <v>0</v>
      </c>
      <c r="Q31" s="6">
        <v>0</v>
      </c>
      <c r="R31" s="6"/>
      <c r="S31" s="6"/>
      <c r="T31" s="6">
        <v>0</v>
      </c>
      <c r="U31" s="6">
        <v>0</v>
      </c>
      <c r="V31" s="212"/>
      <c r="W31" s="6">
        <v>0</v>
      </c>
      <c r="X31" s="12">
        <v>558826</v>
      </c>
      <c r="Y31" s="6">
        <f>'CLP Tariff'!D36</f>
        <v>572740</v>
      </c>
      <c r="Z31" s="83">
        <f>'Commercial &amp; Quarter'!AL72</f>
        <v>308674</v>
      </c>
      <c r="AA31" s="63">
        <f t="shared" si="2"/>
        <v>264066</v>
      </c>
      <c r="AB31" s="6">
        <f t="shared" si="1"/>
        <v>1419814</v>
      </c>
      <c r="AD31" s="6">
        <v>0</v>
      </c>
      <c r="AE31" s="6">
        <v>0</v>
      </c>
      <c r="AF31" s="6">
        <v>0</v>
      </c>
      <c r="AG31" s="6">
        <v>0</v>
      </c>
      <c r="AH31" s="6"/>
      <c r="AI31" s="6"/>
      <c r="AJ31" s="6"/>
      <c r="AL31" s="6"/>
    </row>
    <row r="32" spans="1:38" ht="23.25" customHeight="1">
      <c r="A32" s="50">
        <v>42491</v>
      </c>
      <c r="B32" s="6">
        <f>'CLP Tariff'!B37</f>
        <v>8730352</v>
      </c>
      <c r="C32" s="6">
        <f t="shared" si="0"/>
        <v>3773707</v>
      </c>
      <c r="D32" s="6">
        <v>263078</v>
      </c>
      <c r="E32" s="6">
        <v>405553</v>
      </c>
      <c r="F32" s="6">
        <v>0</v>
      </c>
      <c r="G32" s="6">
        <v>0</v>
      </c>
      <c r="H32" s="6">
        <v>0</v>
      </c>
      <c r="I32" s="6">
        <v>1964154</v>
      </c>
      <c r="J32" s="6">
        <v>277527</v>
      </c>
      <c r="K32" s="126">
        <v>71026</v>
      </c>
      <c r="L32" s="6">
        <v>204440</v>
      </c>
      <c r="M32" s="6">
        <v>0</v>
      </c>
      <c r="N32" s="6">
        <v>241532</v>
      </c>
      <c r="O32" s="6">
        <v>102506</v>
      </c>
      <c r="P32" s="6">
        <v>0</v>
      </c>
      <c r="Q32" s="6">
        <v>0</v>
      </c>
      <c r="R32" s="6"/>
      <c r="S32" s="6"/>
      <c r="T32" s="6">
        <v>0</v>
      </c>
      <c r="U32" s="6">
        <v>0</v>
      </c>
      <c r="V32" s="212"/>
      <c r="W32" s="6">
        <v>0</v>
      </c>
      <c r="X32" s="12">
        <v>728971</v>
      </c>
      <c r="Y32" s="6">
        <f>'CLP Tariff'!D37</f>
        <v>697858</v>
      </c>
      <c r="Z32" s="83">
        <f>'Commercial &amp; Quarter'!AM72</f>
        <v>320173</v>
      </c>
      <c r="AA32" s="63">
        <f t="shared" si="2"/>
        <v>377685</v>
      </c>
      <c r="AB32" s="6">
        <f t="shared" si="1"/>
        <v>2205686</v>
      </c>
      <c r="AD32" s="6">
        <v>0</v>
      </c>
      <c r="AE32" s="6">
        <v>0</v>
      </c>
      <c r="AF32" s="6">
        <v>0</v>
      </c>
      <c r="AG32" s="6">
        <v>0</v>
      </c>
      <c r="AH32" s="6"/>
      <c r="AI32" s="6"/>
      <c r="AJ32" s="6"/>
      <c r="AL32" s="6"/>
    </row>
    <row r="33" spans="1:38" ht="23.25" customHeight="1">
      <c r="A33" s="50">
        <v>42522</v>
      </c>
      <c r="B33" s="6">
        <f>'CLP Tariff'!B38</f>
        <v>9791945</v>
      </c>
      <c r="C33" s="6">
        <f t="shared" si="0"/>
        <v>4046518</v>
      </c>
      <c r="D33" s="6">
        <v>274465</v>
      </c>
      <c r="E33" s="6">
        <v>503779</v>
      </c>
      <c r="F33" s="6">
        <v>0</v>
      </c>
      <c r="G33" s="6">
        <v>0</v>
      </c>
      <c r="H33" s="6">
        <v>0</v>
      </c>
      <c r="I33" s="6">
        <v>2672172</v>
      </c>
      <c r="J33" s="6">
        <v>247180</v>
      </c>
      <c r="K33" s="126">
        <v>48151</v>
      </c>
      <c r="L33" s="6">
        <v>162606</v>
      </c>
      <c r="M33" s="6">
        <v>0</v>
      </c>
      <c r="N33" s="6">
        <v>204368</v>
      </c>
      <c r="O33" s="6">
        <v>87014</v>
      </c>
      <c r="P33" s="6">
        <v>0</v>
      </c>
      <c r="Q33" s="6">
        <v>0</v>
      </c>
      <c r="R33" s="6"/>
      <c r="S33" s="6"/>
      <c r="T33" s="6">
        <v>0</v>
      </c>
      <c r="U33" s="6">
        <v>0</v>
      </c>
      <c r="V33" s="212"/>
      <c r="W33" s="6">
        <v>0</v>
      </c>
      <c r="X33" s="12">
        <v>649314</v>
      </c>
      <c r="Y33" s="6">
        <f>'CLP Tariff'!D38</f>
        <v>896378</v>
      </c>
      <c r="Z33" s="83">
        <f>'Commercial &amp; Quarter'!AN72</f>
        <v>301989</v>
      </c>
      <c r="AA33" s="63">
        <f t="shared" si="2"/>
        <v>594389</v>
      </c>
      <c r="AB33" s="6">
        <f t="shared" si="1"/>
        <v>2876540</v>
      </c>
      <c r="AD33" s="6">
        <v>0</v>
      </c>
      <c r="AE33" s="6">
        <v>0</v>
      </c>
      <c r="AF33" s="6">
        <v>0</v>
      </c>
      <c r="AG33" s="6">
        <v>0</v>
      </c>
      <c r="AH33" s="6"/>
      <c r="AI33" s="6"/>
      <c r="AJ33" s="6"/>
      <c r="AL33" s="6"/>
    </row>
    <row r="34" spans="1:38" ht="23.25" customHeight="1">
      <c r="A34" s="50">
        <v>42552</v>
      </c>
      <c r="B34" s="6">
        <f>'CLP Tariff'!B39</f>
        <v>9168714</v>
      </c>
      <c r="C34" s="6">
        <f t="shared" si="0"/>
        <v>3655670</v>
      </c>
      <c r="D34" s="6">
        <v>171816</v>
      </c>
      <c r="E34" s="6">
        <v>346896</v>
      </c>
      <c r="F34" s="6">
        <v>0</v>
      </c>
      <c r="G34" s="6">
        <v>0</v>
      </c>
      <c r="H34" s="6">
        <v>0</v>
      </c>
      <c r="I34" s="6">
        <v>2679758</v>
      </c>
      <c r="J34" s="6">
        <v>241218</v>
      </c>
      <c r="K34" s="126">
        <v>56433</v>
      </c>
      <c r="L34" s="6">
        <v>183048</v>
      </c>
      <c r="M34" s="6">
        <v>0</v>
      </c>
      <c r="N34" s="6">
        <v>231512</v>
      </c>
      <c r="O34" s="6">
        <v>89776</v>
      </c>
      <c r="P34" s="6">
        <v>0</v>
      </c>
      <c r="Q34" s="6">
        <v>0</v>
      </c>
      <c r="R34" s="6"/>
      <c r="S34" s="6"/>
      <c r="T34" s="6">
        <v>0</v>
      </c>
      <c r="U34" s="6">
        <v>0</v>
      </c>
      <c r="V34" s="212"/>
      <c r="W34" s="6">
        <v>0</v>
      </c>
      <c r="X34" s="12">
        <v>701641</v>
      </c>
      <c r="Y34" s="6">
        <f>'CLP Tariff'!D39</f>
        <v>810946</v>
      </c>
      <c r="Z34" s="83">
        <f>'Commercial &amp; Quarter'!AO72</f>
        <v>285596</v>
      </c>
      <c r="AA34" s="63">
        <f t="shared" si="2"/>
        <v>525350</v>
      </c>
      <c r="AB34" s="6">
        <f t="shared" si="1"/>
        <v>2911270</v>
      </c>
      <c r="AD34" s="6">
        <v>0</v>
      </c>
      <c r="AE34" s="6">
        <v>0</v>
      </c>
      <c r="AF34" s="6">
        <v>0</v>
      </c>
      <c r="AG34" s="6">
        <v>0</v>
      </c>
      <c r="AH34" s="6"/>
      <c r="AI34" s="6"/>
      <c r="AJ34" s="6"/>
      <c r="AL34" s="6"/>
    </row>
    <row r="35" spans="1:38" ht="23.25" customHeight="1">
      <c r="A35" s="50">
        <v>42583</v>
      </c>
      <c r="B35" s="6">
        <f>'CLP Tariff'!B40</f>
        <v>9494610</v>
      </c>
      <c r="C35" s="6">
        <f t="shared" si="0"/>
        <v>3873088</v>
      </c>
      <c r="D35" s="6">
        <v>267163</v>
      </c>
      <c r="E35" s="6">
        <v>515939</v>
      </c>
      <c r="F35" s="6">
        <v>0</v>
      </c>
      <c r="G35" s="6">
        <v>0</v>
      </c>
      <c r="H35" s="6">
        <v>0</v>
      </c>
      <c r="I35" s="6">
        <v>2450437</v>
      </c>
      <c r="J35" s="6">
        <v>296189</v>
      </c>
      <c r="K35" s="126">
        <v>70401</v>
      </c>
      <c r="L35" s="6">
        <v>187636</v>
      </c>
      <c r="M35" s="6">
        <v>0</v>
      </c>
      <c r="N35" s="6">
        <v>253271</v>
      </c>
      <c r="O35" s="12">
        <v>98211</v>
      </c>
      <c r="P35" s="6">
        <v>0</v>
      </c>
      <c r="Q35" s="6">
        <v>0</v>
      </c>
      <c r="R35" s="6"/>
      <c r="S35" s="6"/>
      <c r="T35" s="6">
        <v>0</v>
      </c>
      <c r="U35" s="6">
        <v>0</v>
      </c>
      <c r="V35" s="212"/>
      <c r="W35" s="6">
        <v>0</v>
      </c>
      <c r="X35" s="12">
        <v>706214</v>
      </c>
      <c r="Y35" s="6">
        <f>'CLP Tariff'!D40</f>
        <v>776061</v>
      </c>
      <c r="Z35" s="83">
        <f>'Commercial &amp; Quarter'!AP72</f>
        <v>313559</v>
      </c>
      <c r="AA35" s="63">
        <f t="shared" si="2"/>
        <v>462502</v>
      </c>
      <c r="AB35" s="6">
        <f t="shared" si="1"/>
        <v>2703708</v>
      </c>
      <c r="AD35" s="6">
        <v>0</v>
      </c>
      <c r="AE35" s="6">
        <v>0</v>
      </c>
      <c r="AF35" s="6">
        <v>0</v>
      </c>
      <c r="AG35" s="6">
        <v>0</v>
      </c>
      <c r="AH35" s="12"/>
      <c r="AI35" s="12"/>
      <c r="AJ35" s="12"/>
      <c r="AL35" s="12"/>
    </row>
    <row r="36" spans="1:38" ht="23.25" customHeight="1">
      <c r="A36" s="50">
        <v>42614</v>
      </c>
      <c r="B36" s="6">
        <f>'CLP Tariff'!B41</f>
        <v>9481784</v>
      </c>
      <c r="C36" s="6">
        <f t="shared" ref="C36:C67" si="3">B36-SUM(D36:Y36)</f>
        <v>4228883</v>
      </c>
      <c r="D36" s="6">
        <v>247221</v>
      </c>
      <c r="E36" s="6">
        <v>400844</v>
      </c>
      <c r="F36" s="6">
        <v>0</v>
      </c>
      <c r="G36" s="6">
        <v>0</v>
      </c>
      <c r="H36" s="6">
        <v>0</v>
      </c>
      <c r="I36" s="6">
        <v>2315953</v>
      </c>
      <c r="J36" s="6">
        <v>260266</v>
      </c>
      <c r="K36" s="126">
        <v>58317</v>
      </c>
      <c r="L36" s="6">
        <v>155062</v>
      </c>
      <c r="M36" s="6">
        <v>0</v>
      </c>
      <c r="N36" s="6">
        <v>205585</v>
      </c>
      <c r="O36" s="12">
        <v>86794</v>
      </c>
      <c r="P36" s="6">
        <v>0</v>
      </c>
      <c r="Q36" s="6">
        <v>0</v>
      </c>
      <c r="R36" s="6"/>
      <c r="S36" s="6"/>
      <c r="T36" s="6">
        <v>0</v>
      </c>
      <c r="U36" s="6">
        <v>0</v>
      </c>
      <c r="V36" s="212"/>
      <c r="W36" s="6">
        <v>0</v>
      </c>
      <c r="X36" s="12">
        <v>809354</v>
      </c>
      <c r="Y36" s="6">
        <f>'CLP Tariff'!D41</f>
        <v>713505</v>
      </c>
      <c r="Z36" s="83">
        <f>'Commercial &amp; Quarter'!AQ72</f>
        <v>333329</v>
      </c>
      <c r="AA36" s="63">
        <f t="shared" si="2"/>
        <v>380176</v>
      </c>
      <c r="AB36" s="6">
        <f t="shared" ref="AB36:AB67" si="4">I36+N36</f>
        <v>2521538</v>
      </c>
      <c r="AD36" s="6">
        <v>0</v>
      </c>
      <c r="AE36" s="6">
        <v>0</v>
      </c>
      <c r="AF36" s="6">
        <v>0</v>
      </c>
      <c r="AG36" s="6">
        <v>0</v>
      </c>
      <c r="AH36" s="12"/>
      <c r="AI36" s="12"/>
      <c r="AJ36" s="12"/>
      <c r="AL36" s="12"/>
    </row>
    <row r="37" spans="1:38" ht="23.25" customHeight="1">
      <c r="A37" s="50">
        <v>42644</v>
      </c>
      <c r="B37" s="6">
        <f>'CLP Tariff'!B42</f>
        <v>8039061</v>
      </c>
      <c r="C37" s="6">
        <f t="shared" si="3"/>
        <v>3320287</v>
      </c>
      <c r="D37" s="6">
        <v>244358</v>
      </c>
      <c r="E37" s="6">
        <v>301842</v>
      </c>
      <c r="F37" s="6">
        <v>0</v>
      </c>
      <c r="G37" s="6">
        <v>0</v>
      </c>
      <c r="H37" s="6">
        <v>0</v>
      </c>
      <c r="I37" s="6">
        <v>2065366</v>
      </c>
      <c r="J37" s="6">
        <v>252484</v>
      </c>
      <c r="K37" s="126">
        <v>59236</v>
      </c>
      <c r="L37" s="6">
        <v>143725</v>
      </c>
      <c r="M37" s="6">
        <v>0</v>
      </c>
      <c r="N37" s="6">
        <v>191013</v>
      </c>
      <c r="O37" s="12">
        <v>67897</v>
      </c>
      <c r="P37" s="6">
        <v>0</v>
      </c>
      <c r="Q37" s="6">
        <v>0</v>
      </c>
      <c r="R37" s="6"/>
      <c r="S37" s="6"/>
      <c r="T37" s="6">
        <v>0</v>
      </c>
      <c r="U37" s="6">
        <v>0</v>
      </c>
      <c r="V37" s="212"/>
      <c r="W37" s="6">
        <v>0</v>
      </c>
      <c r="X37" s="12">
        <v>828064</v>
      </c>
      <c r="Y37" s="6">
        <f>'CLP Tariff'!D42</f>
        <v>564789</v>
      </c>
      <c r="Z37" s="83">
        <f>'Commercial &amp; Quarter'!AR72</f>
        <v>295061</v>
      </c>
      <c r="AA37" s="63">
        <f t="shared" si="2"/>
        <v>269728</v>
      </c>
      <c r="AB37" s="6">
        <f t="shared" si="4"/>
        <v>2256379</v>
      </c>
      <c r="AD37" s="6">
        <v>0</v>
      </c>
      <c r="AE37" s="6">
        <v>0</v>
      </c>
      <c r="AF37" s="6">
        <v>0</v>
      </c>
      <c r="AG37" s="6">
        <v>0</v>
      </c>
      <c r="AH37" s="12"/>
      <c r="AI37" s="12"/>
      <c r="AJ37" s="12"/>
      <c r="AL37" s="12"/>
    </row>
    <row r="38" spans="1:38" ht="23.25" customHeight="1">
      <c r="A38" s="50">
        <v>42675</v>
      </c>
      <c r="B38" s="6">
        <f>'CLP Tariff'!B43</f>
        <v>8258064</v>
      </c>
      <c r="C38" s="6">
        <f t="shared" si="3"/>
        <v>4405647</v>
      </c>
      <c r="D38" s="6">
        <v>269652</v>
      </c>
      <c r="E38" s="6">
        <v>561953</v>
      </c>
      <c r="F38" s="6">
        <v>0</v>
      </c>
      <c r="G38" s="6">
        <v>0</v>
      </c>
      <c r="H38" s="6">
        <v>0</v>
      </c>
      <c r="I38" s="6">
        <v>1190430</v>
      </c>
      <c r="J38" s="6">
        <v>309914</v>
      </c>
      <c r="K38" s="126">
        <v>74983</v>
      </c>
      <c r="L38" s="6">
        <v>137244</v>
      </c>
      <c r="M38" s="6">
        <v>0</v>
      </c>
      <c r="N38" s="6">
        <v>161352</v>
      </c>
      <c r="O38" s="12">
        <v>68587</v>
      </c>
      <c r="P38" s="6">
        <v>0</v>
      </c>
      <c r="Q38" s="6">
        <v>0</v>
      </c>
      <c r="R38" s="6"/>
      <c r="S38" s="6"/>
      <c r="T38" s="6">
        <v>0</v>
      </c>
      <c r="U38" s="6">
        <v>0</v>
      </c>
      <c r="V38" s="212"/>
      <c r="W38" s="6">
        <v>0</v>
      </c>
      <c r="X38" s="12">
        <v>531267</v>
      </c>
      <c r="Y38" s="6">
        <f>'CLP Tariff'!D43</f>
        <v>547035</v>
      </c>
      <c r="Z38" s="83">
        <f>'Commercial &amp; Quarter'!AS72</f>
        <v>351124</v>
      </c>
      <c r="AA38" s="63">
        <f t="shared" si="2"/>
        <v>195911</v>
      </c>
      <c r="AB38" s="6">
        <f t="shared" si="4"/>
        <v>1351782</v>
      </c>
      <c r="AD38" s="6">
        <v>0</v>
      </c>
      <c r="AE38" s="6">
        <v>0</v>
      </c>
      <c r="AF38" s="6">
        <v>0</v>
      </c>
      <c r="AG38" s="6">
        <v>0</v>
      </c>
      <c r="AH38" s="12"/>
      <c r="AI38" s="12"/>
      <c r="AJ38" s="12"/>
      <c r="AL38" s="12"/>
    </row>
    <row r="39" spans="1:38" ht="23.25" customHeight="1">
      <c r="A39" s="50">
        <v>42705</v>
      </c>
      <c r="B39" s="6">
        <f>'CLP Tariff'!B44</f>
        <v>6468025</v>
      </c>
      <c r="C39" s="6">
        <f t="shared" si="3"/>
        <v>3593398</v>
      </c>
      <c r="D39" s="6">
        <v>239740</v>
      </c>
      <c r="E39" s="6">
        <v>398980</v>
      </c>
      <c r="F39" s="6">
        <v>0</v>
      </c>
      <c r="G39" s="6">
        <v>0</v>
      </c>
      <c r="H39" s="6">
        <v>0</v>
      </c>
      <c r="I39" s="6">
        <v>761395</v>
      </c>
      <c r="J39" s="6">
        <v>261691</v>
      </c>
      <c r="K39" s="126">
        <v>59003</v>
      </c>
      <c r="L39" s="6">
        <v>108647</v>
      </c>
      <c r="M39" s="6">
        <v>0</v>
      </c>
      <c r="N39" s="6">
        <v>86111</v>
      </c>
      <c r="O39" s="12">
        <v>51534</v>
      </c>
      <c r="P39" s="6">
        <v>0</v>
      </c>
      <c r="Q39" s="6">
        <v>0</v>
      </c>
      <c r="R39" s="6"/>
      <c r="S39" s="6"/>
      <c r="T39" s="6">
        <v>0</v>
      </c>
      <c r="U39" s="6">
        <v>0</v>
      </c>
      <c r="V39" s="212"/>
      <c r="W39" s="6">
        <v>0</v>
      </c>
      <c r="X39" s="12">
        <v>463216</v>
      </c>
      <c r="Y39" s="6">
        <f>'CLP Tariff'!D44</f>
        <v>444310</v>
      </c>
      <c r="Z39" s="83">
        <f>'Commercial &amp; Quarter'!AT72</f>
        <v>303998</v>
      </c>
      <c r="AA39" s="63">
        <f t="shared" si="2"/>
        <v>140312</v>
      </c>
      <c r="AB39" s="6">
        <f t="shared" si="4"/>
        <v>847506</v>
      </c>
      <c r="AD39" s="6">
        <v>0</v>
      </c>
      <c r="AE39" s="6">
        <v>0</v>
      </c>
      <c r="AF39" s="6">
        <v>0</v>
      </c>
      <c r="AG39" s="6">
        <v>0</v>
      </c>
      <c r="AH39" s="12"/>
      <c r="AI39" s="12"/>
      <c r="AJ39" s="12"/>
      <c r="AL39" s="12"/>
    </row>
    <row r="40" spans="1:38" ht="23.25" customHeight="1">
      <c r="A40" s="47">
        <v>42736</v>
      </c>
      <c r="B40" s="48">
        <f>'CLP Tariff'!B45</f>
        <v>5525573</v>
      </c>
      <c r="C40" s="48">
        <f t="shared" si="3"/>
        <v>3099589</v>
      </c>
      <c r="D40" s="48">
        <v>214435</v>
      </c>
      <c r="E40" s="48">
        <v>370050</v>
      </c>
      <c r="F40" s="48">
        <v>0</v>
      </c>
      <c r="G40" s="48">
        <v>0</v>
      </c>
      <c r="H40" s="48">
        <v>0</v>
      </c>
      <c r="I40" s="48">
        <v>618875</v>
      </c>
      <c r="J40" s="48">
        <v>233523</v>
      </c>
      <c r="K40" s="126">
        <v>46449</v>
      </c>
      <c r="L40" s="48">
        <v>99324</v>
      </c>
      <c r="M40" s="49">
        <v>0</v>
      </c>
      <c r="N40" s="48">
        <v>55694</v>
      </c>
      <c r="O40" s="49">
        <v>41576</v>
      </c>
      <c r="P40" s="49">
        <v>0</v>
      </c>
      <c r="Q40" s="49">
        <v>0</v>
      </c>
      <c r="R40" s="49"/>
      <c r="S40" s="49"/>
      <c r="T40" s="49">
        <v>0</v>
      </c>
      <c r="U40" s="49">
        <v>0</v>
      </c>
      <c r="V40" s="213"/>
      <c r="W40" s="49">
        <v>0</v>
      </c>
      <c r="X40" s="49">
        <v>337896</v>
      </c>
      <c r="Y40" s="48">
        <f>'CLP Tariff'!D45</f>
        <v>408162</v>
      </c>
      <c r="Z40" s="84">
        <f>'Commercial &amp; Quarter'!AU72</f>
        <v>243772</v>
      </c>
      <c r="AA40" s="64">
        <f t="shared" si="2"/>
        <v>164390</v>
      </c>
      <c r="AB40" s="48">
        <f t="shared" si="4"/>
        <v>674569</v>
      </c>
      <c r="AD40" s="49">
        <v>0</v>
      </c>
      <c r="AE40" s="49">
        <v>0</v>
      </c>
      <c r="AF40" s="49">
        <v>0</v>
      </c>
      <c r="AG40" s="49">
        <v>0</v>
      </c>
      <c r="AH40" s="49"/>
      <c r="AI40" s="49"/>
      <c r="AJ40" s="49"/>
      <c r="AL40" s="49"/>
    </row>
    <row r="41" spans="1:38" ht="23.25" customHeight="1">
      <c r="A41" s="47">
        <v>42767</v>
      </c>
      <c r="B41" s="48">
        <f>'CLP Tariff'!B46</f>
        <v>6826525</v>
      </c>
      <c r="C41" s="48">
        <f t="shared" si="3"/>
        <v>4036987</v>
      </c>
      <c r="D41" s="48">
        <v>254971</v>
      </c>
      <c r="E41" s="48">
        <v>430923</v>
      </c>
      <c r="F41" s="48">
        <v>0</v>
      </c>
      <c r="G41" s="48">
        <v>0</v>
      </c>
      <c r="H41" s="48">
        <v>0</v>
      </c>
      <c r="I41" s="48">
        <v>526051</v>
      </c>
      <c r="J41" s="48">
        <v>277051</v>
      </c>
      <c r="K41" s="165">
        <v>57162</v>
      </c>
      <c r="L41" s="48">
        <v>104695</v>
      </c>
      <c r="M41" s="49">
        <v>0</v>
      </c>
      <c r="N41" s="48">
        <v>58566</v>
      </c>
      <c r="O41" s="49">
        <v>46491</v>
      </c>
      <c r="P41" s="49">
        <v>0</v>
      </c>
      <c r="Q41" s="49">
        <v>0</v>
      </c>
      <c r="R41" s="49"/>
      <c r="S41" s="49"/>
      <c r="T41" s="49">
        <v>0</v>
      </c>
      <c r="U41" s="49">
        <v>0</v>
      </c>
      <c r="V41" s="213"/>
      <c r="W41" s="49">
        <v>0</v>
      </c>
      <c r="X41" s="49">
        <v>498147</v>
      </c>
      <c r="Y41" s="48">
        <f>'CLP Tariff'!D46</f>
        <v>535481</v>
      </c>
      <c r="Z41" s="84">
        <f>'Commercial &amp; Quarter'!AV72</f>
        <v>308838</v>
      </c>
      <c r="AA41" s="64">
        <f t="shared" si="2"/>
        <v>226643</v>
      </c>
      <c r="AB41" s="48">
        <f t="shared" si="4"/>
        <v>584617</v>
      </c>
      <c r="AD41" s="49">
        <v>0</v>
      </c>
      <c r="AE41" s="49">
        <v>0</v>
      </c>
      <c r="AF41" s="49">
        <v>0</v>
      </c>
      <c r="AG41" s="49">
        <v>0</v>
      </c>
      <c r="AH41" s="49"/>
      <c r="AI41" s="49"/>
      <c r="AJ41" s="49"/>
      <c r="AL41" s="49"/>
    </row>
    <row r="42" spans="1:38" ht="23.25" customHeight="1">
      <c r="A42" s="47">
        <v>42795</v>
      </c>
      <c r="B42" s="48">
        <f>'CLP Tariff'!B47</f>
        <v>6883831</v>
      </c>
      <c r="C42" s="48">
        <f t="shared" si="3"/>
        <v>3870515</v>
      </c>
      <c r="D42" s="48">
        <v>248895</v>
      </c>
      <c r="E42" s="48">
        <v>445814</v>
      </c>
      <c r="F42" s="48">
        <v>0</v>
      </c>
      <c r="G42" s="48">
        <v>0</v>
      </c>
      <c r="H42" s="48">
        <v>0</v>
      </c>
      <c r="I42" s="48">
        <v>740508</v>
      </c>
      <c r="J42" s="48">
        <v>295298</v>
      </c>
      <c r="K42" s="165">
        <v>58107</v>
      </c>
      <c r="L42" s="48">
        <v>92166</v>
      </c>
      <c r="M42" s="49">
        <v>0</v>
      </c>
      <c r="N42" s="48">
        <v>72031</v>
      </c>
      <c r="O42" s="49">
        <v>46835</v>
      </c>
      <c r="P42" s="49">
        <v>0</v>
      </c>
      <c r="Q42" s="49">
        <v>0</v>
      </c>
      <c r="R42" s="49"/>
      <c r="S42" s="49"/>
      <c r="T42" s="49">
        <v>0</v>
      </c>
      <c r="U42" s="49">
        <v>0</v>
      </c>
      <c r="V42" s="213"/>
      <c r="W42" s="49">
        <v>0</v>
      </c>
      <c r="X42" s="49">
        <v>500980</v>
      </c>
      <c r="Y42" s="48">
        <f>'CLP Tariff'!D47</f>
        <v>512682</v>
      </c>
      <c r="Z42" s="84">
        <f>'Commercial &amp; Quarter'!AW72</f>
        <v>317794</v>
      </c>
      <c r="AA42" s="64">
        <f t="shared" si="2"/>
        <v>194888</v>
      </c>
      <c r="AB42" s="48">
        <f t="shared" si="4"/>
        <v>812539</v>
      </c>
      <c r="AD42" s="49">
        <v>0</v>
      </c>
      <c r="AE42" s="49">
        <v>0</v>
      </c>
      <c r="AF42" s="49">
        <v>0</v>
      </c>
      <c r="AG42" s="49">
        <v>0</v>
      </c>
      <c r="AH42" s="49"/>
      <c r="AI42" s="49"/>
      <c r="AJ42" s="49"/>
      <c r="AL42" s="49"/>
    </row>
    <row r="43" spans="1:38" ht="23.25" customHeight="1">
      <c r="A43" s="47">
        <v>42826</v>
      </c>
      <c r="B43" s="48">
        <f>'CLP Tariff'!B48</f>
        <v>6688335</v>
      </c>
      <c r="C43" s="48">
        <f t="shared" si="3"/>
        <v>3328654</v>
      </c>
      <c r="D43" s="48">
        <v>212465</v>
      </c>
      <c r="E43" s="48">
        <v>375876</v>
      </c>
      <c r="F43" s="48">
        <v>0</v>
      </c>
      <c r="G43" s="48">
        <v>0</v>
      </c>
      <c r="H43" s="48">
        <v>0</v>
      </c>
      <c r="I43" s="48">
        <v>1194038</v>
      </c>
      <c r="J43" s="48">
        <v>235542</v>
      </c>
      <c r="K43" s="165">
        <v>49717</v>
      </c>
      <c r="L43" s="48">
        <v>105608</v>
      </c>
      <c r="M43" s="49">
        <v>0</v>
      </c>
      <c r="N43" s="48">
        <v>123848</v>
      </c>
      <c r="O43" s="48">
        <v>51501</v>
      </c>
      <c r="P43" s="49">
        <v>0</v>
      </c>
      <c r="Q43" s="49">
        <v>0</v>
      </c>
      <c r="R43" s="49"/>
      <c r="S43" s="49"/>
      <c r="T43" s="49">
        <v>0</v>
      </c>
      <c r="U43" s="49">
        <v>0</v>
      </c>
      <c r="V43" s="213"/>
      <c r="W43" s="49">
        <v>0</v>
      </c>
      <c r="X43" s="49">
        <v>556388</v>
      </c>
      <c r="Y43" s="48">
        <f>'CLP Tariff'!D48</f>
        <v>454698</v>
      </c>
      <c r="Z43" s="84">
        <f>'Commercial &amp; Quarter'!AX72</f>
        <v>278250</v>
      </c>
      <c r="AA43" s="64">
        <f t="shared" si="2"/>
        <v>176448</v>
      </c>
      <c r="AB43" s="48">
        <f t="shared" si="4"/>
        <v>1317886</v>
      </c>
      <c r="AD43" s="49">
        <v>0</v>
      </c>
      <c r="AE43" s="49">
        <v>0</v>
      </c>
      <c r="AF43" s="49">
        <v>0</v>
      </c>
      <c r="AG43" s="49">
        <v>0</v>
      </c>
      <c r="AH43" s="48"/>
      <c r="AI43" s="48"/>
      <c r="AJ43" s="48"/>
      <c r="AL43" s="48"/>
    </row>
    <row r="44" spans="1:38" ht="23.25" customHeight="1">
      <c r="A44" s="47">
        <v>42856</v>
      </c>
      <c r="B44" s="48">
        <f>'CLP Tariff'!B49</f>
        <v>8137565</v>
      </c>
      <c r="C44" s="48">
        <f t="shared" si="3"/>
        <v>3720289</v>
      </c>
      <c r="D44" s="48">
        <v>252700</v>
      </c>
      <c r="E44" s="48">
        <v>428220</v>
      </c>
      <c r="F44" s="48">
        <v>0</v>
      </c>
      <c r="G44" s="48">
        <v>0</v>
      </c>
      <c r="H44" s="48">
        <v>0</v>
      </c>
      <c r="I44" s="48">
        <v>1738362</v>
      </c>
      <c r="J44" s="48">
        <v>282988</v>
      </c>
      <c r="K44" s="165">
        <v>64509</v>
      </c>
      <c r="L44" s="48">
        <v>160553</v>
      </c>
      <c r="M44" s="49">
        <v>0</v>
      </c>
      <c r="N44" s="48">
        <v>193845</v>
      </c>
      <c r="O44" s="48">
        <v>68219</v>
      </c>
      <c r="P44" s="49">
        <v>0</v>
      </c>
      <c r="Q44" s="49">
        <v>0</v>
      </c>
      <c r="R44" s="49"/>
      <c r="S44" s="49"/>
      <c r="T44" s="49">
        <v>0</v>
      </c>
      <c r="U44" s="49">
        <v>0</v>
      </c>
      <c r="V44" s="213"/>
      <c r="W44" s="49">
        <v>0</v>
      </c>
      <c r="X44" s="49">
        <v>660533</v>
      </c>
      <c r="Y44" s="48">
        <f>'CLP Tariff'!D49</f>
        <v>567347</v>
      </c>
      <c r="Z44" s="84">
        <f>'Commercial &amp; Quarter'!AY72</f>
        <v>318068</v>
      </c>
      <c r="AA44" s="64">
        <f t="shared" si="2"/>
        <v>249279</v>
      </c>
      <c r="AB44" s="48">
        <f t="shared" si="4"/>
        <v>1932207</v>
      </c>
      <c r="AD44" s="49">
        <v>0</v>
      </c>
      <c r="AE44" s="49">
        <v>0</v>
      </c>
      <c r="AF44" s="49">
        <v>0</v>
      </c>
      <c r="AG44" s="49">
        <v>0</v>
      </c>
      <c r="AH44" s="48"/>
      <c r="AI44" s="48"/>
      <c r="AJ44" s="48"/>
      <c r="AL44" s="48"/>
    </row>
    <row r="45" spans="1:38" ht="23.25" customHeight="1">
      <c r="A45" s="47">
        <v>42887</v>
      </c>
      <c r="B45" s="48">
        <f>'CLP Tariff'!B50</f>
        <v>9514271</v>
      </c>
      <c r="C45" s="48">
        <f t="shared" si="3"/>
        <v>4066105</v>
      </c>
      <c r="D45" s="48">
        <v>258022</v>
      </c>
      <c r="E45" s="48">
        <v>446908</v>
      </c>
      <c r="F45" s="48">
        <v>0</v>
      </c>
      <c r="G45" s="48">
        <v>0</v>
      </c>
      <c r="H45" s="48">
        <v>0</v>
      </c>
      <c r="I45" s="48">
        <v>2500352</v>
      </c>
      <c r="J45" s="48">
        <v>267111</v>
      </c>
      <c r="K45" s="165">
        <v>70932</v>
      </c>
      <c r="L45" s="48">
        <v>204894</v>
      </c>
      <c r="M45" s="49">
        <v>0</v>
      </c>
      <c r="N45" s="48">
        <v>240351</v>
      </c>
      <c r="O45" s="48">
        <v>86736</v>
      </c>
      <c r="P45" s="49">
        <v>0</v>
      </c>
      <c r="Q45" s="49">
        <v>0</v>
      </c>
      <c r="R45" s="49"/>
      <c r="S45" s="49"/>
      <c r="T45" s="49">
        <v>0</v>
      </c>
      <c r="U45" s="49">
        <v>0</v>
      </c>
      <c r="V45" s="213"/>
      <c r="W45" s="49">
        <v>0</v>
      </c>
      <c r="X45" s="49">
        <v>611695</v>
      </c>
      <c r="Y45" s="48">
        <f>'CLP Tariff'!D50</f>
        <v>761165</v>
      </c>
      <c r="Z45" s="84">
        <f>'Commercial &amp; Quarter'!AZ72</f>
        <v>307686</v>
      </c>
      <c r="AA45" s="64">
        <f t="shared" si="2"/>
        <v>453479</v>
      </c>
      <c r="AB45" s="48">
        <f t="shared" si="4"/>
        <v>2740703</v>
      </c>
      <c r="AD45" s="49">
        <v>0</v>
      </c>
      <c r="AE45" s="49">
        <v>0</v>
      </c>
      <c r="AF45" s="49">
        <v>0</v>
      </c>
      <c r="AG45" s="49">
        <v>0</v>
      </c>
      <c r="AH45" s="48"/>
      <c r="AI45" s="48"/>
      <c r="AJ45" s="48"/>
      <c r="AL45" s="48"/>
    </row>
    <row r="46" spans="1:38" ht="23.25" customHeight="1">
      <c r="A46" s="47">
        <v>42917</v>
      </c>
      <c r="B46" s="48">
        <f>'CLP Tariff'!B51</f>
        <v>8243086</v>
      </c>
      <c r="C46" s="48">
        <f t="shared" si="3"/>
        <v>3001369</v>
      </c>
      <c r="D46" s="48">
        <v>231436</v>
      </c>
      <c r="E46" s="48">
        <v>384666</v>
      </c>
      <c r="F46" s="48">
        <v>0</v>
      </c>
      <c r="G46" s="48">
        <v>0</v>
      </c>
      <c r="H46" s="48">
        <v>0</v>
      </c>
      <c r="I46" s="48">
        <v>2544886</v>
      </c>
      <c r="J46" s="48">
        <v>241317</v>
      </c>
      <c r="K46" s="165">
        <v>62499</v>
      </c>
      <c r="L46" s="48">
        <v>192870</v>
      </c>
      <c r="M46" s="49">
        <v>0</v>
      </c>
      <c r="N46" s="60">
        <v>223983</v>
      </c>
      <c r="O46" s="48">
        <v>82519</v>
      </c>
      <c r="P46" s="49">
        <v>0</v>
      </c>
      <c r="Q46" s="49">
        <v>0</v>
      </c>
      <c r="R46" s="49"/>
      <c r="S46" s="49"/>
      <c r="T46" s="49">
        <v>0</v>
      </c>
      <c r="U46" s="49">
        <v>0</v>
      </c>
      <c r="V46" s="213"/>
      <c r="W46" s="49">
        <v>0</v>
      </c>
      <c r="X46" s="48">
        <v>700584</v>
      </c>
      <c r="Y46" s="48">
        <f>'CLP Tariff'!D51</f>
        <v>576957</v>
      </c>
      <c r="Z46" s="84">
        <f>'Commercial &amp; Quarter'!BA72</f>
        <v>212800</v>
      </c>
      <c r="AA46" s="64">
        <f t="shared" si="2"/>
        <v>364157</v>
      </c>
      <c r="AB46" s="48">
        <f t="shared" si="4"/>
        <v>2768869</v>
      </c>
      <c r="AD46" s="49">
        <v>0</v>
      </c>
      <c r="AE46" s="49">
        <v>0</v>
      </c>
      <c r="AF46" s="49">
        <v>0</v>
      </c>
      <c r="AG46" s="49">
        <v>0</v>
      </c>
      <c r="AH46" s="48"/>
      <c r="AI46" s="48"/>
      <c r="AJ46" s="48"/>
      <c r="AL46" s="48"/>
    </row>
    <row r="47" spans="1:38" ht="23.25" customHeight="1">
      <c r="A47" s="47">
        <v>42948</v>
      </c>
      <c r="B47" s="48">
        <f>'CLP Tariff'!B52</f>
        <v>9842261</v>
      </c>
      <c r="C47" s="48">
        <f t="shared" si="3"/>
        <v>4031396</v>
      </c>
      <c r="D47" s="48">
        <v>275532</v>
      </c>
      <c r="E47" s="48">
        <v>493213</v>
      </c>
      <c r="F47" s="48">
        <v>0</v>
      </c>
      <c r="G47" s="48">
        <v>0</v>
      </c>
      <c r="H47" s="48">
        <v>0</v>
      </c>
      <c r="I47" s="48">
        <v>2551418</v>
      </c>
      <c r="J47" s="48">
        <v>296187</v>
      </c>
      <c r="K47" s="165">
        <v>74921</v>
      </c>
      <c r="L47" s="48">
        <v>248922</v>
      </c>
      <c r="M47" s="49">
        <v>0</v>
      </c>
      <c r="N47" s="48">
        <v>278456</v>
      </c>
      <c r="O47" s="48">
        <v>82128</v>
      </c>
      <c r="P47" s="49">
        <v>0</v>
      </c>
      <c r="Q47" s="49">
        <v>0</v>
      </c>
      <c r="R47" s="49"/>
      <c r="S47" s="49"/>
      <c r="T47" s="49">
        <v>0</v>
      </c>
      <c r="U47" s="49">
        <v>0</v>
      </c>
      <c r="V47" s="213"/>
      <c r="W47" s="49">
        <v>0</v>
      </c>
      <c r="X47" s="48">
        <v>722301</v>
      </c>
      <c r="Y47" s="48">
        <f>'CLP Tariff'!D52</f>
        <v>787787</v>
      </c>
      <c r="Z47" s="84">
        <f>'Commercial &amp; Quarter'!BB72</f>
        <v>241411</v>
      </c>
      <c r="AA47" s="64">
        <f t="shared" si="2"/>
        <v>546376</v>
      </c>
      <c r="AB47" s="48">
        <f t="shared" si="4"/>
        <v>2829874</v>
      </c>
      <c r="AD47" s="49">
        <v>0</v>
      </c>
      <c r="AE47" s="49">
        <v>0</v>
      </c>
      <c r="AF47" s="49">
        <v>0</v>
      </c>
      <c r="AG47" s="49">
        <v>0</v>
      </c>
      <c r="AH47" s="48"/>
      <c r="AI47" s="48"/>
      <c r="AJ47" s="48"/>
      <c r="AL47" s="48"/>
    </row>
    <row r="48" spans="1:38" ht="23.25" customHeight="1">
      <c r="A48" s="47">
        <v>42979</v>
      </c>
      <c r="B48" s="48">
        <f>'CLP Tariff'!B53</f>
        <v>9512976</v>
      </c>
      <c r="C48" s="48">
        <f t="shared" si="3"/>
        <v>3773479</v>
      </c>
      <c r="D48" s="48">
        <v>258590</v>
      </c>
      <c r="E48" s="48">
        <v>442915</v>
      </c>
      <c r="F48" s="48">
        <v>0</v>
      </c>
      <c r="G48" s="48">
        <v>0</v>
      </c>
      <c r="H48" s="48">
        <v>0</v>
      </c>
      <c r="I48" s="48">
        <v>2600804</v>
      </c>
      <c r="J48" s="48">
        <v>288653</v>
      </c>
      <c r="K48" s="165">
        <v>60546</v>
      </c>
      <c r="L48" s="48">
        <v>207848</v>
      </c>
      <c r="M48" s="49">
        <v>0</v>
      </c>
      <c r="N48" s="48">
        <v>265391</v>
      </c>
      <c r="O48" s="48">
        <v>71953</v>
      </c>
      <c r="P48" s="49">
        <v>0</v>
      </c>
      <c r="Q48" s="49">
        <v>0</v>
      </c>
      <c r="R48" s="49"/>
      <c r="S48" s="49"/>
      <c r="T48" s="49">
        <v>0</v>
      </c>
      <c r="U48" s="49">
        <v>0</v>
      </c>
      <c r="V48" s="213"/>
      <c r="W48" s="49">
        <v>0</v>
      </c>
      <c r="X48" s="48">
        <v>787739</v>
      </c>
      <c r="Y48" s="48">
        <f>'CLP Tariff'!D53</f>
        <v>755058</v>
      </c>
      <c r="Z48" s="84">
        <f>'Commercial &amp; Quarter'!BC72</f>
        <v>247909</v>
      </c>
      <c r="AA48" s="64">
        <f t="shared" si="2"/>
        <v>507149</v>
      </c>
      <c r="AB48" s="48">
        <f t="shared" si="4"/>
        <v>2866195</v>
      </c>
      <c r="AD48" s="49">
        <v>0</v>
      </c>
      <c r="AE48" s="49">
        <v>0</v>
      </c>
      <c r="AF48" s="49">
        <v>0</v>
      </c>
      <c r="AG48" s="49">
        <v>0</v>
      </c>
      <c r="AH48" s="48"/>
      <c r="AI48" s="48"/>
      <c r="AJ48" s="48"/>
      <c r="AL48" s="48"/>
    </row>
    <row r="49" spans="1:38" ht="23.25" customHeight="1">
      <c r="A49" s="47">
        <v>43009</v>
      </c>
      <c r="B49" s="48">
        <f>'CLP Tariff'!B54</f>
        <v>8514444</v>
      </c>
      <c r="C49" s="48">
        <f t="shared" si="3"/>
        <v>3744126</v>
      </c>
      <c r="D49" s="48">
        <v>270654</v>
      </c>
      <c r="E49" s="48">
        <v>452584</v>
      </c>
      <c r="F49" s="48">
        <v>0</v>
      </c>
      <c r="G49" s="48">
        <v>0</v>
      </c>
      <c r="H49" s="48">
        <v>0</v>
      </c>
      <c r="I49" s="48">
        <v>1841190</v>
      </c>
      <c r="J49" s="48">
        <v>292092</v>
      </c>
      <c r="K49" s="165">
        <v>63022</v>
      </c>
      <c r="L49" s="48">
        <v>183095</v>
      </c>
      <c r="M49" s="49">
        <v>0</v>
      </c>
      <c r="N49" s="48">
        <v>217543</v>
      </c>
      <c r="O49" s="48">
        <v>42173</v>
      </c>
      <c r="P49" s="49">
        <v>0</v>
      </c>
      <c r="Q49" s="49">
        <v>0</v>
      </c>
      <c r="R49" s="49"/>
      <c r="S49" s="49"/>
      <c r="T49" s="49">
        <v>0</v>
      </c>
      <c r="U49" s="49">
        <v>0</v>
      </c>
      <c r="V49" s="213"/>
      <c r="W49" s="49">
        <v>0</v>
      </c>
      <c r="X49" s="48">
        <v>803446</v>
      </c>
      <c r="Y49" s="48">
        <f>'CLP Tariff'!D54</f>
        <v>604519</v>
      </c>
      <c r="Z49" s="84">
        <f>'Commercial &amp; Quarter'!BD72</f>
        <v>246432</v>
      </c>
      <c r="AA49" s="64">
        <f t="shared" si="2"/>
        <v>358087</v>
      </c>
      <c r="AB49" s="48">
        <f t="shared" si="4"/>
        <v>2058733</v>
      </c>
      <c r="AD49" s="49">
        <v>0</v>
      </c>
      <c r="AE49" s="49">
        <v>0</v>
      </c>
      <c r="AF49" s="49">
        <v>0</v>
      </c>
      <c r="AG49" s="49">
        <v>0</v>
      </c>
      <c r="AH49" s="48"/>
      <c r="AI49" s="48"/>
      <c r="AJ49" s="48"/>
      <c r="AL49" s="48"/>
    </row>
    <row r="50" spans="1:38" ht="23.25" customHeight="1">
      <c r="A50" s="47">
        <v>43040</v>
      </c>
      <c r="B50" s="48">
        <f>'CLP Tariff'!B55</f>
        <v>7261986</v>
      </c>
      <c r="C50" s="48">
        <f t="shared" si="3"/>
        <v>3933330</v>
      </c>
      <c r="D50" s="48">
        <v>249042</v>
      </c>
      <c r="E50" s="48">
        <v>421911</v>
      </c>
      <c r="F50" s="48">
        <v>0</v>
      </c>
      <c r="G50" s="48">
        <v>0</v>
      </c>
      <c r="H50" s="48">
        <v>0</v>
      </c>
      <c r="I50" s="48">
        <v>1084163</v>
      </c>
      <c r="J50" s="48">
        <v>284103</v>
      </c>
      <c r="K50" s="165">
        <v>55715</v>
      </c>
      <c r="L50" s="48">
        <v>122475</v>
      </c>
      <c r="M50" s="49">
        <v>0</v>
      </c>
      <c r="N50" s="48">
        <v>126984</v>
      </c>
      <c r="O50" s="48">
        <v>29219</v>
      </c>
      <c r="P50" s="49">
        <v>0</v>
      </c>
      <c r="Q50" s="49">
        <v>0</v>
      </c>
      <c r="R50" s="49"/>
      <c r="S50" s="49"/>
      <c r="T50" s="49">
        <v>0</v>
      </c>
      <c r="U50" s="49">
        <v>0</v>
      </c>
      <c r="V50" s="213"/>
      <c r="W50" s="49">
        <v>0</v>
      </c>
      <c r="X50" s="48">
        <v>512053</v>
      </c>
      <c r="Y50" s="48">
        <f>'CLP Tariff'!D55</f>
        <v>442991</v>
      </c>
      <c r="Z50" s="84">
        <f>'Commercial &amp; Quarter'!BE72</f>
        <v>271273</v>
      </c>
      <c r="AA50" s="64">
        <f t="shared" si="2"/>
        <v>171718</v>
      </c>
      <c r="AB50" s="48">
        <f t="shared" si="4"/>
        <v>1211147</v>
      </c>
      <c r="AD50" s="49">
        <v>0</v>
      </c>
      <c r="AE50" s="49">
        <v>0</v>
      </c>
      <c r="AF50" s="49">
        <v>0</v>
      </c>
      <c r="AG50" s="49">
        <v>0</v>
      </c>
      <c r="AH50" s="48"/>
      <c r="AI50" s="48"/>
      <c r="AJ50" s="48"/>
      <c r="AL50" s="48"/>
    </row>
    <row r="51" spans="1:38" ht="23.25" customHeight="1">
      <c r="A51" s="47">
        <v>43070</v>
      </c>
      <c r="B51" s="48">
        <f>'CLP Tariff'!B56</f>
        <v>5970850</v>
      </c>
      <c r="C51" s="48">
        <f t="shared" si="3"/>
        <v>3266116</v>
      </c>
      <c r="D51" s="48">
        <v>230252</v>
      </c>
      <c r="E51" s="48">
        <v>430229</v>
      </c>
      <c r="F51" s="48">
        <v>0</v>
      </c>
      <c r="G51" s="48">
        <v>0</v>
      </c>
      <c r="H51" s="48">
        <v>0</v>
      </c>
      <c r="I51" s="48">
        <v>611381</v>
      </c>
      <c r="J51" s="48">
        <v>273022</v>
      </c>
      <c r="K51" s="165">
        <v>56181</v>
      </c>
      <c r="L51" s="48">
        <v>119923</v>
      </c>
      <c r="M51" s="49">
        <v>0</v>
      </c>
      <c r="N51" s="48">
        <v>73274</v>
      </c>
      <c r="O51" s="48">
        <v>29061</v>
      </c>
      <c r="P51" s="49">
        <v>0</v>
      </c>
      <c r="Q51" s="49">
        <v>0</v>
      </c>
      <c r="R51" s="49"/>
      <c r="S51" s="49"/>
      <c r="T51" s="49">
        <v>0</v>
      </c>
      <c r="U51" s="49">
        <v>0</v>
      </c>
      <c r="V51" s="213"/>
      <c r="W51" s="49">
        <v>0</v>
      </c>
      <c r="X51" s="48">
        <v>469420</v>
      </c>
      <c r="Y51" s="48">
        <f>'CLP Tariff'!D56</f>
        <v>411991</v>
      </c>
      <c r="Z51" s="84">
        <f>'Commercial &amp; Quarter'!BF72</f>
        <v>234655</v>
      </c>
      <c r="AA51" s="64">
        <f t="shared" si="2"/>
        <v>177336</v>
      </c>
      <c r="AB51" s="48">
        <f t="shared" si="4"/>
        <v>684655</v>
      </c>
      <c r="AD51" s="49">
        <v>0</v>
      </c>
      <c r="AE51" s="49">
        <v>0</v>
      </c>
      <c r="AF51" s="49">
        <v>0</v>
      </c>
      <c r="AG51" s="49">
        <v>0</v>
      </c>
      <c r="AH51" s="48"/>
      <c r="AI51" s="48"/>
      <c r="AJ51" s="48"/>
      <c r="AL51" s="48"/>
    </row>
    <row r="52" spans="1:38" ht="23.25" customHeight="1">
      <c r="A52" s="41">
        <v>43101</v>
      </c>
      <c r="B52" s="42">
        <f>'CLP Tariff'!B57</f>
        <v>6340475</v>
      </c>
      <c r="C52" s="42">
        <f t="shared" si="3"/>
        <v>3715383</v>
      </c>
      <c r="D52" s="42">
        <v>255100</v>
      </c>
      <c r="E52" s="42">
        <v>462317</v>
      </c>
      <c r="F52" s="42">
        <v>0</v>
      </c>
      <c r="G52" s="42">
        <v>0</v>
      </c>
      <c r="H52" s="42">
        <v>0</v>
      </c>
      <c r="I52" s="43">
        <v>511044</v>
      </c>
      <c r="J52" s="42">
        <v>277806</v>
      </c>
      <c r="K52" s="145">
        <v>57343</v>
      </c>
      <c r="L52" s="42">
        <v>115237</v>
      </c>
      <c r="M52" s="42">
        <v>0</v>
      </c>
      <c r="N52" s="43">
        <v>61658</v>
      </c>
      <c r="O52" s="42">
        <v>26266</v>
      </c>
      <c r="P52" s="42">
        <v>0</v>
      </c>
      <c r="Q52" s="42">
        <v>0</v>
      </c>
      <c r="R52" s="65"/>
      <c r="S52" s="65"/>
      <c r="T52" s="65">
        <v>0</v>
      </c>
      <c r="U52" s="42">
        <v>0</v>
      </c>
      <c r="V52" s="214"/>
      <c r="W52" s="42">
        <v>0</v>
      </c>
      <c r="X52" s="42">
        <v>326074</v>
      </c>
      <c r="Y52" s="42">
        <f>'CLP Tariff'!D57</f>
        <v>532247</v>
      </c>
      <c r="Z52" s="85">
        <f>'Commercial &amp; Quarter'!BG72</f>
        <v>267046</v>
      </c>
      <c r="AA52" s="65">
        <f t="shared" si="2"/>
        <v>265201</v>
      </c>
      <c r="AB52" s="42">
        <f t="shared" si="4"/>
        <v>572702</v>
      </c>
      <c r="AD52" s="42">
        <v>0</v>
      </c>
      <c r="AE52" s="42">
        <v>0</v>
      </c>
      <c r="AF52" s="42">
        <v>0</v>
      </c>
      <c r="AG52" s="42">
        <v>0</v>
      </c>
      <c r="AH52" s="42"/>
      <c r="AI52" s="42"/>
      <c r="AJ52" s="42"/>
      <c r="AL52" s="42"/>
    </row>
    <row r="53" spans="1:38" ht="23.25" customHeight="1">
      <c r="A53" s="41">
        <v>43132</v>
      </c>
      <c r="B53" s="42">
        <f>'CLP Tariff'!B58</f>
        <v>6010872</v>
      </c>
      <c r="C53" s="42">
        <f t="shared" si="3"/>
        <v>3437800</v>
      </c>
      <c r="D53" s="42">
        <v>218539</v>
      </c>
      <c r="E53" s="42">
        <v>418582</v>
      </c>
      <c r="F53" s="42">
        <v>0</v>
      </c>
      <c r="G53" s="42">
        <v>0</v>
      </c>
      <c r="H53" s="42">
        <v>0</v>
      </c>
      <c r="I53" s="43">
        <v>439104</v>
      </c>
      <c r="J53" s="42">
        <v>229353</v>
      </c>
      <c r="K53" s="145">
        <v>59346</v>
      </c>
      <c r="L53" s="42">
        <v>112008</v>
      </c>
      <c r="M53" s="42">
        <v>0</v>
      </c>
      <c r="N53" s="43">
        <v>44948</v>
      </c>
      <c r="O53" s="42">
        <v>24999</v>
      </c>
      <c r="P53" s="42">
        <v>0</v>
      </c>
      <c r="Q53" s="42">
        <v>0</v>
      </c>
      <c r="R53" s="65"/>
      <c r="S53" s="65"/>
      <c r="T53" s="65">
        <v>0</v>
      </c>
      <c r="U53" s="42">
        <v>0</v>
      </c>
      <c r="V53" s="214"/>
      <c r="W53" s="42">
        <v>0</v>
      </c>
      <c r="X53" s="42">
        <f>39175+19167+27335+42962+31361+34378+71998+56393+57513+56454</f>
        <v>436736</v>
      </c>
      <c r="Y53" s="42">
        <f>'CLP Tariff'!D58</f>
        <v>589457</v>
      </c>
      <c r="Z53" s="85">
        <f>'Commercial &amp; Quarter'!BH72</f>
        <v>272614</v>
      </c>
      <c r="AA53" s="65">
        <f t="shared" si="2"/>
        <v>316843</v>
      </c>
      <c r="AB53" s="42">
        <f t="shared" si="4"/>
        <v>484052</v>
      </c>
      <c r="AD53" s="65">
        <f>22730+60523+309</f>
        <v>83562</v>
      </c>
      <c r="AE53" s="42">
        <v>0</v>
      </c>
      <c r="AF53" s="42">
        <v>0</v>
      </c>
      <c r="AG53" s="42">
        <v>0</v>
      </c>
      <c r="AH53" s="42"/>
      <c r="AI53" s="42"/>
      <c r="AJ53" s="42"/>
      <c r="AL53" s="42"/>
    </row>
    <row r="54" spans="1:38" ht="23.25" customHeight="1">
      <c r="A54" s="41">
        <v>43160</v>
      </c>
      <c r="B54" s="42">
        <f>'CLP Tariff'!B59</f>
        <v>6466521</v>
      </c>
      <c r="C54" s="42">
        <f t="shared" si="3"/>
        <v>3450924</v>
      </c>
      <c r="D54" s="42">
        <v>266749</v>
      </c>
      <c r="E54" s="42">
        <v>428068</v>
      </c>
      <c r="F54" s="42">
        <v>0</v>
      </c>
      <c r="G54" s="42">
        <v>0</v>
      </c>
      <c r="H54" s="42">
        <v>0</v>
      </c>
      <c r="I54" s="43">
        <v>808368</v>
      </c>
      <c r="J54" s="42">
        <v>298704</v>
      </c>
      <c r="K54" s="145">
        <v>42758</v>
      </c>
      <c r="L54" s="42">
        <v>101870</v>
      </c>
      <c r="M54" s="42">
        <v>0</v>
      </c>
      <c r="N54" s="43">
        <v>87607</v>
      </c>
      <c r="O54" s="42">
        <v>22757</v>
      </c>
      <c r="P54" s="42">
        <v>0</v>
      </c>
      <c r="Q54" s="42">
        <v>0</v>
      </c>
      <c r="R54" s="65"/>
      <c r="S54" s="65"/>
      <c r="T54" s="65">
        <v>0</v>
      </c>
      <c r="U54" s="42">
        <v>0</v>
      </c>
      <c r="V54" s="214"/>
      <c r="W54" s="42">
        <v>0</v>
      </c>
      <c r="X54" s="42">
        <f>35899+25987+31159+37865+36028+45002+87843+49897+61264+60160</f>
        <v>471104</v>
      </c>
      <c r="Y54" s="42">
        <f>'CLP Tariff'!D59</f>
        <v>487612</v>
      </c>
      <c r="Z54" s="85">
        <f>'Commercial &amp; Quarter'!BI72</f>
        <v>306197</v>
      </c>
      <c r="AA54" s="65">
        <f t="shared" si="2"/>
        <v>181415</v>
      </c>
      <c r="AB54" s="42">
        <f t="shared" si="4"/>
        <v>895975</v>
      </c>
      <c r="AD54" s="65">
        <f>20554+262+49529</f>
        <v>70345</v>
      </c>
      <c r="AE54" s="42">
        <v>0</v>
      </c>
      <c r="AF54" s="42">
        <v>0</v>
      </c>
      <c r="AG54" s="42">
        <v>0</v>
      </c>
      <c r="AH54" s="42"/>
      <c r="AI54" s="42"/>
      <c r="AJ54" s="42"/>
      <c r="AL54" s="42"/>
    </row>
    <row r="55" spans="1:38" ht="23.25" customHeight="1">
      <c r="A55" s="41">
        <v>43191</v>
      </c>
      <c r="B55" s="42">
        <f>'CLP Tariff'!B60</f>
        <v>7476752</v>
      </c>
      <c r="C55" s="42">
        <f t="shared" si="3"/>
        <v>3890381</v>
      </c>
      <c r="D55" s="42">
        <v>238376</v>
      </c>
      <c r="E55" s="42">
        <v>450705</v>
      </c>
      <c r="F55" s="42">
        <v>0</v>
      </c>
      <c r="G55" s="42">
        <v>0</v>
      </c>
      <c r="H55" s="42">
        <v>0</v>
      </c>
      <c r="I55" s="42">
        <v>1208521</v>
      </c>
      <c r="J55" s="42">
        <v>275522</v>
      </c>
      <c r="K55" s="145">
        <v>52528</v>
      </c>
      <c r="L55" s="42">
        <v>124604</v>
      </c>
      <c r="M55" s="42">
        <v>0</v>
      </c>
      <c r="N55" s="42">
        <v>137799</v>
      </c>
      <c r="O55" s="42">
        <v>21167</v>
      </c>
      <c r="P55" s="42">
        <v>0</v>
      </c>
      <c r="Q55" s="42">
        <v>0</v>
      </c>
      <c r="R55" s="65"/>
      <c r="S55" s="65"/>
      <c r="T55" s="65">
        <v>0</v>
      </c>
      <c r="U55" s="42">
        <v>0</v>
      </c>
      <c r="V55" s="214"/>
      <c r="W55" s="42">
        <v>0</v>
      </c>
      <c r="X55" s="42">
        <f>51471+24852+45387+51205+42368+54226+83687+63378+60741+61123</f>
        <v>538438</v>
      </c>
      <c r="Y55" s="42">
        <f>'CLP Tariff'!D60</f>
        <v>538711</v>
      </c>
      <c r="Z55" s="85">
        <f>'Commercial &amp; Quarter'!BJ72</f>
        <v>333892</v>
      </c>
      <c r="AA55" s="65">
        <f t="shared" si="2"/>
        <v>204819</v>
      </c>
      <c r="AB55" s="42">
        <f t="shared" si="4"/>
        <v>1346320</v>
      </c>
      <c r="AD55" s="65">
        <f>54177+25995+312</f>
        <v>80484</v>
      </c>
      <c r="AE55" s="42">
        <v>0</v>
      </c>
      <c r="AF55" s="42">
        <v>0</v>
      </c>
      <c r="AG55" s="42">
        <v>0</v>
      </c>
      <c r="AH55" s="42"/>
      <c r="AI55" s="42"/>
      <c r="AJ55" s="42"/>
      <c r="AL55" s="42"/>
    </row>
    <row r="56" spans="1:38" ht="23.25" customHeight="1">
      <c r="A56" s="41">
        <v>43221</v>
      </c>
      <c r="B56" s="42">
        <f>'CLP Tariff'!B61</f>
        <v>8980797</v>
      </c>
      <c r="C56" s="42">
        <f t="shared" si="3"/>
        <v>3663428</v>
      </c>
      <c r="D56" s="42">
        <v>275700</v>
      </c>
      <c r="E56" s="42">
        <v>506370</v>
      </c>
      <c r="F56" s="42">
        <v>0</v>
      </c>
      <c r="G56" s="42">
        <v>0</v>
      </c>
      <c r="H56" s="42">
        <v>0</v>
      </c>
      <c r="I56" s="42">
        <v>2176575</v>
      </c>
      <c r="J56" s="42">
        <v>304399</v>
      </c>
      <c r="K56" s="145">
        <v>60569</v>
      </c>
      <c r="L56" s="42">
        <v>183261</v>
      </c>
      <c r="M56" s="42">
        <v>0</v>
      </c>
      <c r="N56" s="42">
        <v>224034</v>
      </c>
      <c r="O56" s="42">
        <v>35915</v>
      </c>
      <c r="P56" s="42">
        <v>0</v>
      </c>
      <c r="Q56" s="42">
        <v>16340</v>
      </c>
      <c r="R56" s="65"/>
      <c r="S56" s="65"/>
      <c r="T56" s="65">
        <v>0</v>
      </c>
      <c r="U56" s="42">
        <v>0</v>
      </c>
      <c r="V56" s="214"/>
      <c r="W56" s="42">
        <v>0</v>
      </c>
      <c r="X56" s="42">
        <f>74617+27953+45417+70156+78126+60601+119701+79398+92019+90834</f>
        <v>738822</v>
      </c>
      <c r="Y56" s="42">
        <f>'CLP Tariff'!D61</f>
        <v>795384</v>
      </c>
      <c r="Z56" s="85">
        <f>'Commercial &amp; Quarter'!BK72</f>
        <v>342020</v>
      </c>
      <c r="AA56" s="65">
        <f t="shared" si="2"/>
        <v>453364</v>
      </c>
      <c r="AB56" s="42">
        <f t="shared" si="4"/>
        <v>2400609</v>
      </c>
      <c r="AD56" s="65">
        <f>81706+293+34362</f>
        <v>116361</v>
      </c>
      <c r="AE56" s="42">
        <v>0</v>
      </c>
      <c r="AF56" s="42">
        <v>0</v>
      </c>
      <c r="AG56" s="42">
        <v>0</v>
      </c>
      <c r="AH56" s="42"/>
      <c r="AI56" s="42"/>
      <c r="AJ56" s="42"/>
      <c r="AL56" s="42"/>
    </row>
    <row r="57" spans="1:38" ht="23.25" customHeight="1">
      <c r="A57" s="41">
        <v>43252</v>
      </c>
      <c r="B57" s="42">
        <f>'CLP Tariff'!B62</f>
        <v>8345430</v>
      </c>
      <c r="C57" s="42">
        <f t="shared" si="3"/>
        <v>3243600</v>
      </c>
      <c r="D57" s="42">
        <v>230102</v>
      </c>
      <c r="E57" s="43">
        <v>463971</v>
      </c>
      <c r="F57" s="42">
        <v>0</v>
      </c>
      <c r="G57" s="42">
        <v>0</v>
      </c>
      <c r="H57" s="42">
        <v>0</v>
      </c>
      <c r="I57" s="43">
        <v>2314940</v>
      </c>
      <c r="J57" s="43">
        <v>265718</v>
      </c>
      <c r="K57" s="43">
        <v>74569</v>
      </c>
      <c r="L57" s="43">
        <v>191322</v>
      </c>
      <c r="M57" s="42">
        <v>0</v>
      </c>
      <c r="N57" s="43">
        <v>226980</v>
      </c>
      <c r="O57" s="43">
        <v>23888</v>
      </c>
      <c r="P57" s="42">
        <v>0</v>
      </c>
      <c r="Q57" s="42">
        <v>8379</v>
      </c>
      <c r="R57" s="65"/>
      <c r="S57" s="65"/>
      <c r="T57" s="65">
        <v>0</v>
      </c>
      <c r="U57" s="42">
        <v>0</v>
      </c>
      <c r="V57" s="214"/>
      <c r="W57" s="42">
        <v>0</v>
      </c>
      <c r="X57" s="43">
        <v>551495</v>
      </c>
      <c r="Y57" s="42">
        <f>'CLP Tariff'!D62</f>
        <v>750466</v>
      </c>
      <c r="Z57" s="85">
        <f>'Commercial &amp; Quarter'!BL72</f>
        <v>296584</v>
      </c>
      <c r="AA57" s="65">
        <f t="shared" si="2"/>
        <v>453882</v>
      </c>
      <c r="AB57" s="42">
        <f t="shared" si="4"/>
        <v>2541920</v>
      </c>
      <c r="AD57" s="65">
        <f>64166+32697+294</f>
        <v>97157</v>
      </c>
      <c r="AE57" s="42">
        <v>0</v>
      </c>
      <c r="AF57" s="42">
        <v>0</v>
      </c>
      <c r="AG57" s="42">
        <v>0</v>
      </c>
      <c r="AH57" s="43"/>
      <c r="AI57" s="43"/>
      <c r="AJ57" s="43"/>
      <c r="AL57" s="43"/>
    </row>
    <row r="58" spans="1:38" ht="23.25" customHeight="1">
      <c r="A58" s="41">
        <v>43282</v>
      </c>
      <c r="B58" s="43">
        <f>'CLP Tariff'!B63</f>
        <v>9163876</v>
      </c>
      <c r="C58" s="43">
        <f t="shared" si="3"/>
        <v>3596301</v>
      </c>
      <c r="D58" s="43">
        <v>269714</v>
      </c>
      <c r="E58" s="43">
        <v>448922</v>
      </c>
      <c r="F58" s="42">
        <v>0</v>
      </c>
      <c r="G58" s="42">
        <v>0</v>
      </c>
      <c r="H58" s="42">
        <v>0</v>
      </c>
      <c r="I58" s="43">
        <v>2556472</v>
      </c>
      <c r="J58" s="43">
        <v>246603</v>
      </c>
      <c r="K58" s="43">
        <v>84978</v>
      </c>
      <c r="L58" s="43">
        <v>217407</v>
      </c>
      <c r="M58" s="42">
        <v>0</v>
      </c>
      <c r="N58" s="43">
        <v>246683</v>
      </c>
      <c r="O58" s="43">
        <v>37883</v>
      </c>
      <c r="P58" s="42">
        <v>0</v>
      </c>
      <c r="Q58" s="42">
        <v>12527</v>
      </c>
      <c r="R58" s="65"/>
      <c r="S58" s="65"/>
      <c r="T58" s="65">
        <v>0</v>
      </c>
      <c r="U58" s="42">
        <v>0</v>
      </c>
      <c r="V58" s="214"/>
      <c r="W58" s="42">
        <v>0</v>
      </c>
      <c r="X58" s="43">
        <v>638211</v>
      </c>
      <c r="Y58" s="42">
        <f>'CLP Tariff'!D63</f>
        <v>808175</v>
      </c>
      <c r="Z58" s="85">
        <f>'Commercial &amp; Quarter'!BM72</f>
        <v>301748</v>
      </c>
      <c r="AA58" s="65">
        <f t="shared" si="2"/>
        <v>506427</v>
      </c>
      <c r="AB58" s="42">
        <f t="shared" si="4"/>
        <v>2803155</v>
      </c>
      <c r="AD58" s="65">
        <f>43931+26372+275</f>
        <v>70578</v>
      </c>
      <c r="AE58" s="42">
        <v>0</v>
      </c>
      <c r="AF58" s="42">
        <v>0</v>
      </c>
      <c r="AG58" s="42">
        <v>0</v>
      </c>
      <c r="AH58" s="43"/>
      <c r="AI58" s="43"/>
      <c r="AJ58" s="43"/>
      <c r="AL58" s="43"/>
    </row>
    <row r="59" spans="1:38" ht="23.25" customHeight="1">
      <c r="A59" s="41">
        <v>43313</v>
      </c>
      <c r="B59" s="43">
        <f>'CLP Tariff'!B64</f>
        <v>9264802</v>
      </c>
      <c r="C59" s="43">
        <f t="shared" si="3"/>
        <v>3681107</v>
      </c>
      <c r="D59" s="43">
        <v>221923</v>
      </c>
      <c r="E59" s="43">
        <v>513076</v>
      </c>
      <c r="F59" s="42">
        <v>0</v>
      </c>
      <c r="G59" s="42">
        <v>0</v>
      </c>
      <c r="H59" s="42">
        <v>0</v>
      </c>
      <c r="I59" s="43">
        <v>2576284</v>
      </c>
      <c r="J59" s="43">
        <v>280930</v>
      </c>
      <c r="K59" s="43">
        <v>84295</v>
      </c>
      <c r="L59" s="43">
        <v>181347</v>
      </c>
      <c r="M59" s="42">
        <v>0</v>
      </c>
      <c r="N59" s="43">
        <v>248971</v>
      </c>
      <c r="O59" s="43">
        <v>36067</v>
      </c>
      <c r="P59" s="42">
        <v>0</v>
      </c>
      <c r="Q59" s="42">
        <v>8409</v>
      </c>
      <c r="R59" s="65"/>
      <c r="S59" s="65"/>
      <c r="T59" s="65">
        <v>0</v>
      </c>
      <c r="U59" s="42">
        <v>0</v>
      </c>
      <c r="V59" s="214"/>
      <c r="W59" s="42">
        <v>0</v>
      </c>
      <c r="X59" s="43">
        <v>612321</v>
      </c>
      <c r="Y59" s="42">
        <f>'CLP Tariff'!D64</f>
        <v>820072</v>
      </c>
      <c r="Z59" s="85">
        <f>'Commercial &amp; Quarter'!BN72</f>
        <v>314766</v>
      </c>
      <c r="AA59" s="65">
        <f t="shared" si="2"/>
        <v>505306</v>
      </c>
      <c r="AB59" s="42">
        <f t="shared" si="4"/>
        <v>2825255</v>
      </c>
      <c r="AD59" s="65">
        <f>53476+31531+334</f>
        <v>85341</v>
      </c>
      <c r="AE59" s="42">
        <v>0</v>
      </c>
      <c r="AF59" s="42">
        <v>0</v>
      </c>
      <c r="AG59" s="42">
        <v>0</v>
      </c>
      <c r="AH59" s="43"/>
      <c r="AI59" s="43"/>
      <c r="AJ59" s="43"/>
      <c r="AL59" s="43"/>
    </row>
    <row r="60" spans="1:38" ht="23.25" customHeight="1">
      <c r="A60" s="41">
        <v>43344</v>
      </c>
      <c r="B60" s="43">
        <f>'CLP Tariff'!B65</f>
        <v>8549475</v>
      </c>
      <c r="C60" s="43">
        <f t="shared" si="3"/>
        <v>3388624</v>
      </c>
      <c r="D60" s="43">
        <v>222460</v>
      </c>
      <c r="E60" s="43">
        <v>448695</v>
      </c>
      <c r="F60" s="42">
        <v>0</v>
      </c>
      <c r="G60" s="42">
        <v>0</v>
      </c>
      <c r="H60" s="42">
        <v>0</v>
      </c>
      <c r="I60" s="43">
        <v>2177118</v>
      </c>
      <c r="J60" s="43">
        <v>269617</v>
      </c>
      <c r="K60" s="43">
        <v>68024</v>
      </c>
      <c r="L60" s="43">
        <v>147015</v>
      </c>
      <c r="M60" s="42">
        <v>0</v>
      </c>
      <c r="N60" s="43">
        <v>204451</v>
      </c>
      <c r="O60" s="43">
        <v>23465</v>
      </c>
      <c r="P60" s="42">
        <v>0</v>
      </c>
      <c r="Q60" s="42">
        <v>16958</v>
      </c>
      <c r="R60" s="65"/>
      <c r="S60" s="65"/>
      <c r="T60" s="65">
        <v>0</v>
      </c>
      <c r="U60" s="42">
        <v>0</v>
      </c>
      <c r="V60" s="214"/>
      <c r="W60" s="42">
        <v>0</v>
      </c>
      <c r="X60" s="43">
        <v>804200</v>
      </c>
      <c r="Y60" s="42">
        <f>'CLP Tariff'!D65</f>
        <v>778848</v>
      </c>
      <c r="Z60" s="85">
        <f>'Commercial &amp; Quarter'!BO72</f>
        <v>322443</v>
      </c>
      <c r="AA60" s="65">
        <f t="shared" si="2"/>
        <v>456405</v>
      </c>
      <c r="AB60" s="42">
        <f t="shared" si="4"/>
        <v>2381569</v>
      </c>
      <c r="AD60" s="65">
        <f>67523+283+29439</f>
        <v>97245</v>
      </c>
      <c r="AE60" s="42">
        <v>0</v>
      </c>
      <c r="AF60" s="42">
        <v>0</v>
      </c>
      <c r="AG60" s="42">
        <v>0</v>
      </c>
      <c r="AH60" s="43"/>
      <c r="AI60" s="43"/>
      <c r="AJ60" s="43"/>
      <c r="AL60" s="43"/>
    </row>
    <row r="61" spans="1:38" s="86" customFormat="1" ht="23.25" customHeight="1">
      <c r="A61" s="102">
        <v>43374</v>
      </c>
      <c r="B61" s="43">
        <f>'CLP Tariff'!B66</f>
        <v>8134959</v>
      </c>
      <c r="C61" s="43">
        <f t="shared" si="3"/>
        <v>3908089</v>
      </c>
      <c r="D61" s="43">
        <v>246334</v>
      </c>
      <c r="E61" s="43">
        <v>488440</v>
      </c>
      <c r="F61" s="42">
        <v>0</v>
      </c>
      <c r="G61" s="42">
        <v>0</v>
      </c>
      <c r="H61" s="42">
        <v>0</v>
      </c>
      <c r="I61" s="43">
        <v>1485329</v>
      </c>
      <c r="J61" s="43">
        <v>305093</v>
      </c>
      <c r="K61" s="43">
        <v>67677</v>
      </c>
      <c r="L61" s="43">
        <v>138871</v>
      </c>
      <c r="M61" s="42">
        <v>0</v>
      </c>
      <c r="N61" s="43">
        <v>167478</v>
      </c>
      <c r="O61" s="43">
        <v>22031</v>
      </c>
      <c r="P61" s="42">
        <v>0</v>
      </c>
      <c r="Q61" s="42">
        <v>85312</v>
      </c>
      <c r="R61" s="65"/>
      <c r="S61" s="65"/>
      <c r="T61" s="65">
        <v>0</v>
      </c>
      <c r="U61" s="42">
        <v>0</v>
      </c>
      <c r="V61" s="214"/>
      <c r="W61" s="42">
        <v>0</v>
      </c>
      <c r="X61" s="43">
        <v>584651</v>
      </c>
      <c r="Y61" s="43">
        <f>'CLP Tariff'!D66</f>
        <v>635654</v>
      </c>
      <c r="Z61" s="103">
        <f>'Commercial &amp; Quarter'!BP72</f>
        <v>351483</v>
      </c>
      <c r="AA61" s="104">
        <f t="shared" si="2"/>
        <v>284171</v>
      </c>
      <c r="AB61" s="43">
        <f t="shared" si="4"/>
        <v>1652807</v>
      </c>
      <c r="AD61" s="65">
        <f>332+35133+76998</f>
        <v>112463</v>
      </c>
      <c r="AE61" s="42">
        <v>0</v>
      </c>
      <c r="AF61" s="42">
        <v>0</v>
      </c>
      <c r="AG61" s="42">
        <v>0</v>
      </c>
      <c r="AH61" s="43"/>
      <c r="AI61" s="43"/>
      <c r="AJ61" s="43"/>
      <c r="AL61" s="43"/>
    </row>
    <row r="62" spans="1:38" ht="23.25" customHeight="1">
      <c r="A62" s="41">
        <v>43405</v>
      </c>
      <c r="B62" s="43">
        <f>'CLP Tariff'!B67</f>
        <v>7301374</v>
      </c>
      <c r="C62" s="43">
        <f t="shared" si="3"/>
        <v>3828466</v>
      </c>
      <c r="D62" s="42">
        <v>218939</v>
      </c>
      <c r="E62" s="42">
        <v>407239</v>
      </c>
      <c r="F62" s="42">
        <v>0</v>
      </c>
      <c r="G62" s="42">
        <v>0</v>
      </c>
      <c r="H62" s="42">
        <v>0</v>
      </c>
      <c r="I62" s="42">
        <v>1134112</v>
      </c>
      <c r="J62" s="42">
        <v>287286</v>
      </c>
      <c r="K62" s="42">
        <v>57308</v>
      </c>
      <c r="L62" s="42">
        <v>113093</v>
      </c>
      <c r="M62" s="42">
        <v>0</v>
      </c>
      <c r="N62" s="42">
        <v>126558</v>
      </c>
      <c r="O62" s="43">
        <v>26144</v>
      </c>
      <c r="P62" s="42">
        <v>0</v>
      </c>
      <c r="Q62" s="42">
        <v>62066</v>
      </c>
      <c r="R62" s="65"/>
      <c r="S62" s="65"/>
      <c r="T62" s="65">
        <v>0</v>
      </c>
      <c r="U62" s="42">
        <v>0</v>
      </c>
      <c r="V62" s="214"/>
      <c r="W62" s="42">
        <v>0</v>
      </c>
      <c r="X62" s="43">
        <v>486495</v>
      </c>
      <c r="Y62" s="42">
        <f>'CLP Tariff'!D67</f>
        <v>553668</v>
      </c>
      <c r="Z62" s="85">
        <f>'Commercial &amp; Quarter'!BQ72</f>
        <v>356420</v>
      </c>
      <c r="AA62" s="65">
        <f t="shared" si="2"/>
        <v>197248</v>
      </c>
      <c r="AB62" s="42">
        <f t="shared" si="4"/>
        <v>1260670</v>
      </c>
      <c r="AD62" s="65">
        <f>26747+51867+285</f>
        <v>78899</v>
      </c>
      <c r="AE62" s="42">
        <v>0</v>
      </c>
      <c r="AF62" s="42">
        <v>0</v>
      </c>
      <c r="AG62" s="42">
        <v>0</v>
      </c>
      <c r="AH62" s="43"/>
      <c r="AI62" s="43"/>
      <c r="AJ62" s="43"/>
      <c r="AL62" s="43"/>
    </row>
    <row r="63" spans="1:38" ht="23.25" customHeight="1">
      <c r="A63" s="41">
        <v>43435</v>
      </c>
      <c r="B63" s="43">
        <f>'CLP Tariff'!B68</f>
        <v>5745762</v>
      </c>
      <c r="C63" s="43">
        <f t="shared" si="3"/>
        <v>3003100</v>
      </c>
      <c r="D63" s="42">
        <v>208027</v>
      </c>
      <c r="E63" s="42">
        <v>405643</v>
      </c>
      <c r="F63" s="42">
        <v>0</v>
      </c>
      <c r="G63" s="42">
        <v>0</v>
      </c>
      <c r="H63" s="42">
        <v>0</v>
      </c>
      <c r="I63" s="42">
        <v>682534</v>
      </c>
      <c r="J63" s="42">
        <v>253715</v>
      </c>
      <c r="K63" s="42">
        <v>49747</v>
      </c>
      <c r="L63" s="42">
        <v>97643</v>
      </c>
      <c r="M63" s="42">
        <v>0</v>
      </c>
      <c r="N63" s="42">
        <v>75003</v>
      </c>
      <c r="O63" s="43">
        <v>14837</v>
      </c>
      <c r="P63" s="42">
        <v>0</v>
      </c>
      <c r="Q63" s="42">
        <v>56360</v>
      </c>
      <c r="R63" s="65"/>
      <c r="S63" s="65"/>
      <c r="T63" s="65">
        <v>0</v>
      </c>
      <c r="U63" s="42">
        <v>0</v>
      </c>
      <c r="V63" s="214"/>
      <c r="W63" s="42">
        <v>0</v>
      </c>
      <c r="X63" s="43">
        <v>416236</v>
      </c>
      <c r="Y63" s="42">
        <f>'CLP Tariff'!D68</f>
        <v>482917</v>
      </c>
      <c r="Z63" s="85">
        <f>'Commercial &amp; Quarter'!BR72</f>
        <v>321018</v>
      </c>
      <c r="AA63" s="65">
        <f t="shared" si="2"/>
        <v>161899</v>
      </c>
      <c r="AB63" s="42">
        <f t="shared" si="4"/>
        <v>757537</v>
      </c>
      <c r="AD63" s="65">
        <f>46715+23783+273</f>
        <v>70771</v>
      </c>
      <c r="AE63" s="42">
        <v>0</v>
      </c>
      <c r="AF63" s="42">
        <v>0</v>
      </c>
      <c r="AG63" s="42">
        <v>0</v>
      </c>
      <c r="AH63" s="43"/>
      <c r="AI63" s="43"/>
      <c r="AJ63" s="43"/>
      <c r="AL63" s="43"/>
    </row>
    <row r="64" spans="1:38" ht="23.25" customHeight="1">
      <c r="A64" s="50">
        <v>43466</v>
      </c>
      <c r="B64" s="12">
        <f>'CLP Tariff'!B69</f>
        <v>6248667</v>
      </c>
      <c r="C64" s="12">
        <f t="shared" si="3"/>
        <v>3629709</v>
      </c>
      <c r="D64" s="6">
        <v>222775</v>
      </c>
      <c r="E64" s="6">
        <v>421202</v>
      </c>
      <c r="F64" s="6">
        <v>0</v>
      </c>
      <c r="G64" s="6">
        <v>0</v>
      </c>
      <c r="H64" s="6">
        <v>0</v>
      </c>
      <c r="I64" s="6">
        <v>484198</v>
      </c>
      <c r="J64" s="6">
        <v>263925</v>
      </c>
      <c r="K64" s="6">
        <v>55886</v>
      </c>
      <c r="L64" s="6">
        <v>105554</v>
      </c>
      <c r="M64" s="12">
        <v>0</v>
      </c>
      <c r="N64" s="6">
        <v>60895</v>
      </c>
      <c r="O64" s="12">
        <v>21572</v>
      </c>
      <c r="P64" s="12">
        <v>0</v>
      </c>
      <c r="Q64" s="12">
        <v>53837</v>
      </c>
      <c r="R64" s="105"/>
      <c r="S64" s="105"/>
      <c r="T64" s="63">
        <v>0</v>
      </c>
      <c r="U64" s="63">
        <v>0</v>
      </c>
      <c r="V64" s="215"/>
      <c r="W64" s="12">
        <v>0</v>
      </c>
      <c r="X64" s="12">
        <v>341945</v>
      </c>
      <c r="Y64" s="6">
        <f>'CLP Tariff'!D69</f>
        <v>587169</v>
      </c>
      <c r="Z64" s="83">
        <f>'Commercial &amp; Quarter'!BS72</f>
        <v>326358</v>
      </c>
      <c r="AA64" s="63">
        <f t="shared" si="2"/>
        <v>260811</v>
      </c>
      <c r="AB64" s="6">
        <f t="shared" si="4"/>
        <v>545093</v>
      </c>
      <c r="AD64" s="63">
        <f>302+19174+31924</f>
        <v>51400</v>
      </c>
      <c r="AE64" s="6">
        <v>0</v>
      </c>
      <c r="AF64" s="6">
        <v>0</v>
      </c>
      <c r="AG64" s="6">
        <v>0</v>
      </c>
      <c r="AH64" s="12"/>
      <c r="AI64" s="12"/>
      <c r="AJ64" s="12"/>
      <c r="AL64" s="12"/>
    </row>
    <row r="65" spans="1:38" ht="23.25" customHeight="1">
      <c r="A65" s="50">
        <v>43497</v>
      </c>
      <c r="B65" s="12">
        <f>'CLP Tariff'!B70</f>
        <v>5832769</v>
      </c>
      <c r="C65" s="12">
        <f t="shared" si="3"/>
        <v>3264996</v>
      </c>
      <c r="D65" s="6">
        <v>209124</v>
      </c>
      <c r="E65" s="6">
        <v>395384</v>
      </c>
      <c r="F65" s="6">
        <v>0</v>
      </c>
      <c r="G65" s="6">
        <v>0</v>
      </c>
      <c r="H65" s="6">
        <v>0</v>
      </c>
      <c r="I65" s="6">
        <v>597453</v>
      </c>
      <c r="J65" s="6">
        <v>254927</v>
      </c>
      <c r="K65" s="6">
        <v>43422</v>
      </c>
      <c r="L65" s="6">
        <v>87204</v>
      </c>
      <c r="M65" s="12">
        <v>0</v>
      </c>
      <c r="N65" s="6">
        <v>60345</v>
      </c>
      <c r="O65" s="12">
        <v>16313</v>
      </c>
      <c r="P65" s="12">
        <v>0</v>
      </c>
      <c r="Q65" s="12">
        <v>50658</v>
      </c>
      <c r="R65" s="105"/>
      <c r="S65" s="105"/>
      <c r="T65" s="63">
        <v>0</v>
      </c>
      <c r="U65" s="63">
        <v>0</v>
      </c>
      <c r="V65" s="215"/>
      <c r="W65" s="12">
        <v>0</v>
      </c>
      <c r="X65" s="12">
        <v>363265</v>
      </c>
      <c r="Y65" s="6">
        <f>'CLP Tariff'!D70</f>
        <v>489678</v>
      </c>
      <c r="Z65" s="83">
        <f>'Commercial &amp; Quarter'!BT72</f>
        <v>301948</v>
      </c>
      <c r="AA65" s="63">
        <f t="shared" si="2"/>
        <v>187730</v>
      </c>
      <c r="AB65" s="6">
        <f t="shared" si="4"/>
        <v>657798</v>
      </c>
      <c r="AD65" s="63">
        <f>45113+22969+321</f>
        <v>68403</v>
      </c>
      <c r="AE65" s="6">
        <v>0</v>
      </c>
      <c r="AF65" s="6">
        <v>0</v>
      </c>
      <c r="AG65" s="6">
        <v>0</v>
      </c>
      <c r="AH65" s="12"/>
      <c r="AI65" s="12"/>
      <c r="AJ65" s="12"/>
      <c r="AL65" s="12"/>
    </row>
    <row r="66" spans="1:38" ht="23.25" customHeight="1">
      <c r="A66" s="50">
        <v>43525</v>
      </c>
      <c r="B66" s="12">
        <f>'CLP Tariff'!B71</f>
        <v>6331150</v>
      </c>
      <c r="C66" s="12">
        <f t="shared" si="3"/>
        <v>3345129</v>
      </c>
      <c r="D66" s="6">
        <v>207872</v>
      </c>
      <c r="E66" s="6">
        <v>391830</v>
      </c>
      <c r="F66" s="6">
        <v>0</v>
      </c>
      <c r="G66" s="6">
        <v>0</v>
      </c>
      <c r="H66" s="6">
        <v>0</v>
      </c>
      <c r="I66" s="6">
        <v>793174</v>
      </c>
      <c r="J66" s="6">
        <v>242810</v>
      </c>
      <c r="K66" s="6">
        <v>51330</v>
      </c>
      <c r="L66" s="6">
        <v>107277</v>
      </c>
      <c r="M66" s="12">
        <v>0</v>
      </c>
      <c r="N66" s="12">
        <v>90434</v>
      </c>
      <c r="O66" s="12">
        <v>27877</v>
      </c>
      <c r="P66" s="12">
        <v>0</v>
      </c>
      <c r="Q66" s="12">
        <v>51807</v>
      </c>
      <c r="R66" s="105"/>
      <c r="S66" s="105"/>
      <c r="T66" s="63">
        <v>0</v>
      </c>
      <c r="U66" s="63">
        <v>0</v>
      </c>
      <c r="V66" s="215"/>
      <c r="W66" s="12">
        <v>0</v>
      </c>
      <c r="X66" s="12">
        <v>479638</v>
      </c>
      <c r="Y66" s="6">
        <f>'CLP Tariff'!D71</f>
        <v>541972</v>
      </c>
      <c r="Z66" s="83">
        <f>'Commercial &amp; Quarter'!BU72</f>
        <v>329756</v>
      </c>
      <c r="AA66" s="63">
        <f t="shared" si="2"/>
        <v>212216</v>
      </c>
      <c r="AB66" s="6">
        <f t="shared" si="4"/>
        <v>883608</v>
      </c>
      <c r="AD66" s="63">
        <f>48530+21725+264</f>
        <v>70519</v>
      </c>
      <c r="AE66" s="6">
        <v>0</v>
      </c>
      <c r="AF66" s="6">
        <v>0</v>
      </c>
      <c r="AG66" s="6">
        <v>0</v>
      </c>
      <c r="AH66" s="12"/>
      <c r="AI66" s="12"/>
      <c r="AJ66" s="12"/>
      <c r="AL66" s="12"/>
    </row>
    <row r="67" spans="1:38" ht="23.25" customHeight="1">
      <c r="A67" s="50">
        <v>43556</v>
      </c>
      <c r="B67" s="12">
        <f>'CLP Tariff'!B72</f>
        <v>7724333</v>
      </c>
      <c r="C67" s="12">
        <f t="shared" si="3"/>
        <v>3897277</v>
      </c>
      <c r="D67" s="6">
        <v>239709</v>
      </c>
      <c r="E67" s="6">
        <v>416769</v>
      </c>
      <c r="F67" s="6">
        <v>0</v>
      </c>
      <c r="G67" s="6">
        <v>0</v>
      </c>
      <c r="H67" s="6">
        <v>0</v>
      </c>
      <c r="I67" s="6">
        <v>1267906</v>
      </c>
      <c r="J67" s="6">
        <v>261684</v>
      </c>
      <c r="K67" s="6">
        <v>54547</v>
      </c>
      <c r="L67" s="6">
        <v>131475</v>
      </c>
      <c r="M67" s="12">
        <v>0</v>
      </c>
      <c r="N67" s="6">
        <v>128377</v>
      </c>
      <c r="O67" s="6">
        <v>50411</v>
      </c>
      <c r="P67" s="12">
        <v>0</v>
      </c>
      <c r="Q67" s="6">
        <v>74731</v>
      </c>
      <c r="R67" s="63"/>
      <c r="S67" s="63"/>
      <c r="T67" s="63">
        <v>0</v>
      </c>
      <c r="U67" s="63">
        <v>0</v>
      </c>
      <c r="V67" s="215"/>
      <c r="W67" s="12">
        <v>0</v>
      </c>
      <c r="X67" s="12">
        <v>545039</v>
      </c>
      <c r="Y67" s="6">
        <f>'CLP Tariff'!D72</f>
        <v>656408</v>
      </c>
      <c r="Z67" s="83">
        <f>'Commercial &amp; Quarter'!BV72</f>
        <v>354868</v>
      </c>
      <c r="AA67" s="63">
        <f t="shared" si="2"/>
        <v>301540</v>
      </c>
      <c r="AB67" s="6">
        <f t="shared" si="4"/>
        <v>1396283</v>
      </c>
      <c r="AD67" s="63">
        <f>61713+29341+321</f>
        <v>91375</v>
      </c>
      <c r="AE67" s="6">
        <v>0</v>
      </c>
      <c r="AF67" s="6">
        <v>0</v>
      </c>
      <c r="AG67" s="6">
        <v>0</v>
      </c>
      <c r="AH67" s="6"/>
      <c r="AI67" s="6"/>
      <c r="AJ67" s="6"/>
      <c r="AL67" s="6"/>
    </row>
    <row r="68" spans="1:38" ht="23.25" customHeight="1">
      <c r="A68" s="50">
        <v>43586</v>
      </c>
      <c r="B68" s="12">
        <f>'CLP Tariff'!B73</f>
        <v>7840497</v>
      </c>
      <c r="C68" s="12">
        <f t="shared" ref="C68:C99" si="5">B68-SUM(D68:Y68)</f>
        <v>3553410</v>
      </c>
      <c r="D68" s="6">
        <v>223486</v>
      </c>
      <c r="E68" s="6">
        <v>408004</v>
      </c>
      <c r="F68" s="6">
        <v>0</v>
      </c>
      <c r="G68" s="6">
        <v>0</v>
      </c>
      <c r="H68" s="6">
        <v>0</v>
      </c>
      <c r="I68" s="6">
        <v>1567740</v>
      </c>
      <c r="J68" s="6">
        <v>252730</v>
      </c>
      <c r="K68" s="6">
        <v>60316</v>
      </c>
      <c r="L68" s="6">
        <v>146843</v>
      </c>
      <c r="M68" s="12">
        <v>0</v>
      </c>
      <c r="N68" s="6">
        <v>168006</v>
      </c>
      <c r="O68" s="6">
        <v>48567</v>
      </c>
      <c r="P68" s="12">
        <v>0</v>
      </c>
      <c r="Q68" s="6">
        <v>75552</v>
      </c>
      <c r="R68" s="63"/>
      <c r="S68" s="63"/>
      <c r="T68" s="63">
        <v>0</v>
      </c>
      <c r="U68" s="63">
        <v>0</v>
      </c>
      <c r="V68" s="215"/>
      <c r="W68" s="12">
        <v>0</v>
      </c>
      <c r="X68" s="12">
        <v>650564</v>
      </c>
      <c r="Y68" s="6">
        <f>'CLP Tariff'!D73</f>
        <v>685279</v>
      </c>
      <c r="Z68" s="83">
        <f>'Commercial &amp; Quarter'!BW72</f>
        <v>332260</v>
      </c>
      <c r="AA68" s="63">
        <f t="shared" si="2"/>
        <v>353019</v>
      </c>
      <c r="AB68" s="6">
        <f t="shared" ref="AB68:AB99" si="6">I68+N68</f>
        <v>1735746</v>
      </c>
      <c r="AD68" s="63">
        <f>287+31209+71467</f>
        <v>102963</v>
      </c>
      <c r="AE68" s="6">
        <v>0</v>
      </c>
      <c r="AF68" s="6">
        <v>0</v>
      </c>
      <c r="AG68" s="6">
        <v>0</v>
      </c>
      <c r="AH68" s="6"/>
      <c r="AI68" s="6"/>
      <c r="AJ68" s="6"/>
      <c r="AL68" s="6"/>
    </row>
    <row r="69" spans="1:38" ht="23.25" customHeight="1">
      <c r="A69" s="50">
        <v>43617</v>
      </c>
      <c r="B69" s="12">
        <f>'CLP Tariff'!B74</f>
        <v>8048430</v>
      </c>
      <c r="C69" s="12">
        <f t="shared" si="5"/>
        <v>3274264</v>
      </c>
      <c r="D69" s="6">
        <v>215214</v>
      </c>
      <c r="E69" s="6">
        <v>385131</v>
      </c>
      <c r="F69" s="6">
        <v>0</v>
      </c>
      <c r="G69" s="6">
        <v>0</v>
      </c>
      <c r="H69" s="6">
        <v>0</v>
      </c>
      <c r="I69" s="6">
        <v>2054826</v>
      </c>
      <c r="J69" s="6">
        <v>226595</v>
      </c>
      <c r="K69" s="6">
        <v>65999</v>
      </c>
      <c r="L69" s="6">
        <v>175675</v>
      </c>
      <c r="M69" s="12">
        <v>0</v>
      </c>
      <c r="N69" s="6">
        <v>204845</v>
      </c>
      <c r="O69" s="6">
        <v>60310</v>
      </c>
      <c r="P69" s="12">
        <v>0</v>
      </c>
      <c r="Q69" s="6">
        <v>75530</v>
      </c>
      <c r="R69" s="63"/>
      <c r="S69" s="63"/>
      <c r="T69" s="63">
        <v>0</v>
      </c>
      <c r="U69" s="63">
        <v>0</v>
      </c>
      <c r="V69" s="215"/>
      <c r="W69" s="12">
        <v>0</v>
      </c>
      <c r="X69" s="12">
        <v>554926</v>
      </c>
      <c r="Y69" s="6">
        <f>'CLP Tariff'!D74</f>
        <v>755115</v>
      </c>
      <c r="Z69" s="83">
        <f>'Commercial &amp; Quarter'!BX72</f>
        <v>242424</v>
      </c>
      <c r="AA69" s="63">
        <f>Y69-Z69</f>
        <v>512691</v>
      </c>
      <c r="AB69" s="6">
        <f t="shared" si="6"/>
        <v>2259671</v>
      </c>
      <c r="AD69" s="63">
        <f>31571+322+58996</f>
        <v>90889</v>
      </c>
      <c r="AE69" s="6">
        <v>0</v>
      </c>
      <c r="AF69" s="6">
        <v>0</v>
      </c>
      <c r="AG69" s="6">
        <v>0</v>
      </c>
      <c r="AH69" s="6"/>
      <c r="AI69" s="6"/>
      <c r="AJ69" s="6"/>
      <c r="AL69" s="6"/>
    </row>
    <row r="70" spans="1:38" ht="23.25" customHeight="1">
      <c r="A70" s="50">
        <v>43647</v>
      </c>
      <c r="B70" s="12">
        <f>'CLP Tariff'!B75</f>
        <v>9301477</v>
      </c>
      <c r="C70" s="12">
        <f t="shared" si="5"/>
        <v>3802878</v>
      </c>
      <c r="D70" s="6">
        <v>252456</v>
      </c>
      <c r="E70" s="6">
        <v>452014</v>
      </c>
      <c r="F70" s="6">
        <v>0</v>
      </c>
      <c r="G70" s="6">
        <v>0</v>
      </c>
      <c r="H70" s="6">
        <v>0</v>
      </c>
      <c r="I70" s="6">
        <v>2356091</v>
      </c>
      <c r="J70" s="6">
        <v>265538</v>
      </c>
      <c r="K70" s="6">
        <v>83679</v>
      </c>
      <c r="L70" s="6">
        <v>215366</v>
      </c>
      <c r="M70" s="12">
        <v>0</v>
      </c>
      <c r="N70" s="6">
        <v>249610</v>
      </c>
      <c r="O70" s="6">
        <v>71160</v>
      </c>
      <c r="P70" s="12">
        <v>0</v>
      </c>
      <c r="Q70" s="6">
        <v>101005</v>
      </c>
      <c r="R70" s="63"/>
      <c r="S70" s="63"/>
      <c r="T70" s="63">
        <v>0</v>
      </c>
      <c r="U70" s="63">
        <v>0</v>
      </c>
      <c r="V70" s="215"/>
      <c r="W70" s="12">
        <v>0</v>
      </c>
      <c r="X70" s="12">
        <v>586193</v>
      </c>
      <c r="Y70" s="6">
        <f>'CLP Tariff'!D75</f>
        <v>865487</v>
      </c>
      <c r="Z70" s="83">
        <f>'Commercial &amp; Quarter'!BY72</f>
        <v>260859</v>
      </c>
      <c r="AA70" s="63">
        <f>Y70-Z70</f>
        <v>604628</v>
      </c>
      <c r="AB70" s="6">
        <f t="shared" si="6"/>
        <v>2605701</v>
      </c>
      <c r="AD70" s="63">
        <f>48436+26271+288</f>
        <v>74995</v>
      </c>
      <c r="AE70" s="6">
        <v>0</v>
      </c>
      <c r="AF70" s="6">
        <v>0</v>
      </c>
      <c r="AG70" s="6">
        <v>0</v>
      </c>
      <c r="AH70" s="6"/>
      <c r="AI70" s="6"/>
      <c r="AJ70" s="6"/>
      <c r="AL70" s="6"/>
    </row>
    <row r="71" spans="1:38" ht="23.25" customHeight="1">
      <c r="A71" s="50">
        <v>43678</v>
      </c>
      <c r="B71" s="12">
        <f>'CLP Tariff'!B76</f>
        <v>9116965</v>
      </c>
      <c r="C71" s="12">
        <f t="shared" si="5"/>
        <v>3220290</v>
      </c>
      <c r="D71" s="6">
        <v>242645</v>
      </c>
      <c r="E71" s="6">
        <v>422221</v>
      </c>
      <c r="F71" s="6">
        <v>0</v>
      </c>
      <c r="G71" s="6">
        <v>424725</v>
      </c>
      <c r="H71" s="6">
        <v>0</v>
      </c>
      <c r="I71" s="6">
        <v>2390328</v>
      </c>
      <c r="J71" s="6">
        <v>252699</v>
      </c>
      <c r="K71" s="6">
        <v>74912</v>
      </c>
      <c r="L71" s="6">
        <v>170764</v>
      </c>
      <c r="M71" s="12">
        <v>0</v>
      </c>
      <c r="N71" s="6">
        <v>227597</v>
      </c>
      <c r="O71" s="6">
        <v>54203</v>
      </c>
      <c r="P71" s="12">
        <v>0</v>
      </c>
      <c r="Q71" s="6">
        <v>94217</v>
      </c>
      <c r="R71" s="63"/>
      <c r="S71" s="63"/>
      <c r="T71" s="63">
        <v>0</v>
      </c>
      <c r="U71" s="63">
        <v>0</v>
      </c>
      <c r="V71" s="215"/>
      <c r="W71" s="12">
        <v>0</v>
      </c>
      <c r="X71" s="12">
        <v>654976</v>
      </c>
      <c r="Y71" s="6">
        <f>'CLP Tariff'!D76</f>
        <v>887388</v>
      </c>
      <c r="Z71" s="83">
        <f>'Commercial &amp; Quarter'!BZ72</f>
        <v>258945</v>
      </c>
      <c r="AA71" s="63">
        <f>Y71-Z71</f>
        <v>628443</v>
      </c>
      <c r="AB71" s="6">
        <f t="shared" si="6"/>
        <v>2617925</v>
      </c>
      <c r="AD71" s="63">
        <f>41473+25885+295</f>
        <v>67653</v>
      </c>
      <c r="AE71" s="6">
        <v>0</v>
      </c>
      <c r="AF71" s="6">
        <v>0</v>
      </c>
      <c r="AG71" s="6">
        <v>0</v>
      </c>
      <c r="AH71" s="6"/>
      <c r="AI71" s="6"/>
      <c r="AJ71" s="6"/>
      <c r="AL71" s="6"/>
    </row>
    <row r="72" spans="1:38" ht="23.25" customHeight="1">
      <c r="A72" s="50">
        <v>43709</v>
      </c>
      <c r="B72" s="12">
        <f>'CLP Tariff'!B77</f>
        <v>9462055</v>
      </c>
      <c r="C72" s="12">
        <f t="shared" si="5"/>
        <v>3755080.2176897898</v>
      </c>
      <c r="D72" s="6">
        <v>230045</v>
      </c>
      <c r="E72" s="6">
        <v>402702</v>
      </c>
      <c r="F72" s="6">
        <v>0</v>
      </c>
      <c r="G72" s="6">
        <v>100551</v>
      </c>
      <c r="H72" s="6">
        <v>59436</v>
      </c>
      <c r="I72" s="6">
        <v>2310802.7823102097</v>
      </c>
      <c r="J72" s="6">
        <v>249415</v>
      </c>
      <c r="K72" s="6">
        <v>75384</v>
      </c>
      <c r="L72" s="6">
        <v>160706</v>
      </c>
      <c r="M72" s="12">
        <v>0</v>
      </c>
      <c r="N72" s="6">
        <v>225882</v>
      </c>
      <c r="O72" s="6">
        <v>44385</v>
      </c>
      <c r="P72" s="12">
        <v>0</v>
      </c>
      <c r="Q72" s="6">
        <v>83764</v>
      </c>
      <c r="R72" s="63"/>
      <c r="S72" s="63"/>
      <c r="T72" s="63">
        <v>0</v>
      </c>
      <c r="U72" s="63">
        <v>0</v>
      </c>
      <c r="V72" s="215"/>
      <c r="W72" s="12">
        <v>0</v>
      </c>
      <c r="X72" s="12">
        <v>827293</v>
      </c>
      <c r="Y72" s="6">
        <f>'CLP Tariff'!D77</f>
        <v>936609</v>
      </c>
      <c r="Z72" s="83">
        <f>'Commercial &amp; Quarter'!CA72</f>
        <v>377836</v>
      </c>
      <c r="AA72" s="63">
        <f t="shared" ref="AA72:AA77" si="7">Y72-Z72</f>
        <v>558773</v>
      </c>
      <c r="AB72" s="6">
        <f t="shared" si="6"/>
        <v>2536684.7823102097</v>
      </c>
      <c r="AD72" s="63">
        <f>83640+31252+275</f>
        <v>115167</v>
      </c>
      <c r="AE72" s="6">
        <v>0</v>
      </c>
      <c r="AF72" s="6">
        <v>0</v>
      </c>
      <c r="AG72" s="6">
        <v>0</v>
      </c>
      <c r="AH72" s="6"/>
      <c r="AI72" s="6"/>
      <c r="AJ72" s="6"/>
      <c r="AL72" s="6"/>
    </row>
    <row r="73" spans="1:38" ht="23.25" customHeight="1">
      <c r="A73" s="50">
        <v>43739</v>
      </c>
      <c r="B73" s="12">
        <f>'CLP Tariff'!B78</f>
        <v>8322078</v>
      </c>
      <c r="C73" s="12">
        <f t="shared" si="5"/>
        <v>3512233.2047068635</v>
      </c>
      <c r="D73" s="12">
        <v>253825</v>
      </c>
      <c r="E73" s="12">
        <v>442513</v>
      </c>
      <c r="F73" s="6">
        <v>0</v>
      </c>
      <c r="G73" s="12">
        <v>113044</v>
      </c>
      <c r="H73" s="12">
        <v>55451</v>
      </c>
      <c r="I73" s="12">
        <v>1831017.7952931365</v>
      </c>
      <c r="J73" s="12">
        <v>275324</v>
      </c>
      <c r="K73" s="12">
        <v>63423</v>
      </c>
      <c r="L73" s="12">
        <v>128778</v>
      </c>
      <c r="M73" s="12">
        <v>0</v>
      </c>
      <c r="N73" s="12">
        <v>187955</v>
      </c>
      <c r="O73" s="12">
        <v>49676</v>
      </c>
      <c r="P73" s="12">
        <v>0</v>
      </c>
      <c r="Q73" s="12">
        <v>85459</v>
      </c>
      <c r="R73" s="105"/>
      <c r="S73" s="105"/>
      <c r="T73" s="63">
        <v>0</v>
      </c>
      <c r="U73" s="63">
        <v>0</v>
      </c>
      <c r="V73" s="215"/>
      <c r="W73" s="12">
        <v>0</v>
      </c>
      <c r="X73" s="12">
        <v>573373</v>
      </c>
      <c r="Y73" s="12">
        <f>'CLP Tariff'!D78</f>
        <v>750006</v>
      </c>
      <c r="Z73" s="83">
        <f>'Commercial &amp; Quarter'!CB72</f>
        <v>348709</v>
      </c>
      <c r="AA73" s="105">
        <f t="shared" si="7"/>
        <v>401297</v>
      </c>
      <c r="AB73" s="12">
        <f t="shared" si="6"/>
        <v>2018972.7952931365</v>
      </c>
      <c r="AD73" s="63">
        <f>104966+39415+323</f>
        <v>144704</v>
      </c>
      <c r="AE73" s="6">
        <v>0</v>
      </c>
      <c r="AF73" s="6">
        <v>0</v>
      </c>
      <c r="AG73" s="6">
        <v>0</v>
      </c>
      <c r="AH73" s="12"/>
      <c r="AI73" s="12"/>
      <c r="AJ73" s="12"/>
      <c r="AL73" s="12"/>
    </row>
    <row r="74" spans="1:38" ht="23.25" customHeight="1">
      <c r="A74" s="50">
        <v>43770</v>
      </c>
      <c r="B74" s="12">
        <f>'CLP Tariff'!B79</f>
        <v>6415073</v>
      </c>
      <c r="C74" s="12">
        <f t="shared" si="5"/>
        <v>3281818.682502469</v>
      </c>
      <c r="D74" s="12">
        <v>216193</v>
      </c>
      <c r="E74" s="12">
        <v>367280</v>
      </c>
      <c r="F74" s="6">
        <v>0</v>
      </c>
      <c r="G74" s="12">
        <v>91082</v>
      </c>
      <c r="H74" s="12">
        <v>59722</v>
      </c>
      <c r="I74" s="12">
        <v>910263.31749753107</v>
      </c>
      <c r="J74" s="12">
        <v>218913</v>
      </c>
      <c r="K74" s="12">
        <v>48453</v>
      </c>
      <c r="L74" s="12">
        <v>98766</v>
      </c>
      <c r="M74" s="12">
        <v>0</v>
      </c>
      <c r="N74" s="12">
        <v>102398</v>
      </c>
      <c r="O74" s="12">
        <v>38563</v>
      </c>
      <c r="P74" s="12">
        <v>0</v>
      </c>
      <c r="Q74" s="12">
        <v>44065</v>
      </c>
      <c r="R74" s="105"/>
      <c r="S74" s="105"/>
      <c r="T74" s="63">
        <v>0</v>
      </c>
      <c r="U74" s="63">
        <v>0</v>
      </c>
      <c r="V74" s="215"/>
      <c r="W74" s="12">
        <v>0</v>
      </c>
      <c r="X74" s="12">
        <v>451117</v>
      </c>
      <c r="Y74" s="12">
        <f>'CLP Tariff'!D79</f>
        <v>486439</v>
      </c>
      <c r="Z74" s="83">
        <f>'Commercial &amp; Quarter'!CC72</f>
        <v>283909</v>
      </c>
      <c r="AA74" s="105">
        <f t="shared" si="7"/>
        <v>202530</v>
      </c>
      <c r="AB74" s="12">
        <f t="shared" si="6"/>
        <v>1012661.3174975311</v>
      </c>
      <c r="AD74" s="63">
        <f>54732+27503+296</f>
        <v>82531</v>
      </c>
      <c r="AE74" s="6">
        <v>0</v>
      </c>
      <c r="AF74" s="6">
        <v>0</v>
      </c>
      <c r="AG74" s="6">
        <v>0</v>
      </c>
      <c r="AH74" s="12"/>
      <c r="AI74" s="12"/>
      <c r="AJ74" s="12"/>
      <c r="AL74" s="12"/>
    </row>
    <row r="75" spans="1:38" ht="23.25" customHeight="1">
      <c r="A75" s="50">
        <v>43800</v>
      </c>
      <c r="B75" s="12">
        <f>'CLP Tariff'!B80</f>
        <v>5899084</v>
      </c>
      <c r="C75" s="12">
        <f t="shared" si="5"/>
        <v>3254720.8653302449</v>
      </c>
      <c r="D75" s="12">
        <v>229842</v>
      </c>
      <c r="E75" s="12">
        <v>390890</v>
      </c>
      <c r="F75" s="6">
        <v>0</v>
      </c>
      <c r="G75" s="12">
        <v>105592</v>
      </c>
      <c r="H75" s="12">
        <v>59707</v>
      </c>
      <c r="I75" s="12">
        <v>538670.13466975512</v>
      </c>
      <c r="J75" s="12">
        <v>232536</v>
      </c>
      <c r="K75" s="12">
        <v>46020</v>
      </c>
      <c r="L75" s="12">
        <v>77558</v>
      </c>
      <c r="M75" s="12">
        <v>0</v>
      </c>
      <c r="N75" s="12">
        <v>73091</v>
      </c>
      <c r="O75" s="12">
        <v>40146</v>
      </c>
      <c r="P75" s="12">
        <v>0</v>
      </c>
      <c r="Q75" s="12">
        <v>39890</v>
      </c>
      <c r="R75" s="105"/>
      <c r="S75" s="105"/>
      <c r="T75" s="63">
        <v>0</v>
      </c>
      <c r="U75" s="63">
        <v>0</v>
      </c>
      <c r="V75" s="215"/>
      <c r="W75" s="12">
        <v>0</v>
      </c>
      <c r="X75" s="12">
        <v>325231</v>
      </c>
      <c r="Y75" s="12">
        <f>'CLP Tariff'!D80</f>
        <v>485190</v>
      </c>
      <c r="Z75" s="83">
        <f>'Commercial &amp; Quarter'!CD72</f>
        <v>280873</v>
      </c>
      <c r="AA75" s="105">
        <f t="shared" si="7"/>
        <v>204317</v>
      </c>
      <c r="AB75" s="12">
        <f t="shared" si="6"/>
        <v>611761.13466975512</v>
      </c>
      <c r="AD75" s="63">
        <f>27950+19867+304</f>
        <v>48121</v>
      </c>
      <c r="AE75" s="6">
        <v>0</v>
      </c>
      <c r="AF75" s="6">
        <v>0</v>
      </c>
      <c r="AG75" s="6">
        <v>0</v>
      </c>
      <c r="AH75" s="12"/>
      <c r="AI75" s="12"/>
      <c r="AJ75" s="12"/>
      <c r="AL75" s="12"/>
    </row>
    <row r="76" spans="1:38" ht="23.25" customHeight="1">
      <c r="A76" s="44">
        <v>43831</v>
      </c>
      <c r="B76" s="46">
        <f>'CLP Tariff'!B81</f>
        <v>5768791</v>
      </c>
      <c r="C76" s="46">
        <f t="shared" si="5"/>
        <v>3078548.9208848905</v>
      </c>
      <c r="D76" s="46">
        <v>236757</v>
      </c>
      <c r="E76" s="46">
        <v>414212</v>
      </c>
      <c r="F76" s="46">
        <v>0</v>
      </c>
      <c r="G76" s="46">
        <v>135848</v>
      </c>
      <c r="H76" s="46">
        <v>74925</v>
      </c>
      <c r="I76" s="46">
        <v>514211.0791151094</v>
      </c>
      <c r="J76" s="46">
        <v>258161</v>
      </c>
      <c r="K76" s="46">
        <v>45705</v>
      </c>
      <c r="L76" s="46">
        <v>85583</v>
      </c>
      <c r="M76" s="46">
        <v>0</v>
      </c>
      <c r="N76" s="46">
        <v>64772</v>
      </c>
      <c r="O76" s="46">
        <v>41213</v>
      </c>
      <c r="P76" s="46">
        <v>0</v>
      </c>
      <c r="Q76" s="46">
        <v>31253</v>
      </c>
      <c r="R76" s="46"/>
      <c r="S76" s="46"/>
      <c r="T76" s="46">
        <v>0</v>
      </c>
      <c r="U76" s="46">
        <v>0</v>
      </c>
      <c r="V76" s="211"/>
      <c r="W76" s="46">
        <v>0</v>
      </c>
      <c r="X76" s="46">
        <v>304301</v>
      </c>
      <c r="Y76" s="46">
        <f>'CLP Tariff'!D81</f>
        <v>483301</v>
      </c>
      <c r="Z76" s="82">
        <f>'Commercial &amp; Quarter'!CE72</f>
        <v>262219</v>
      </c>
      <c r="AA76" s="110">
        <f t="shared" si="7"/>
        <v>221082</v>
      </c>
      <c r="AB76" s="46">
        <f t="shared" si="6"/>
        <v>578983.0791151094</v>
      </c>
      <c r="AD76" s="46">
        <f>16801+283+19521</f>
        <v>36605</v>
      </c>
      <c r="AE76" s="46">
        <v>0</v>
      </c>
      <c r="AF76" s="46">
        <v>0</v>
      </c>
      <c r="AG76" s="46">
        <v>0</v>
      </c>
      <c r="AH76" s="46"/>
      <c r="AI76" s="46"/>
      <c r="AJ76" s="46"/>
      <c r="AL76" s="46"/>
    </row>
    <row r="77" spans="1:38" ht="23.25" customHeight="1">
      <c r="A77" s="44">
        <v>43862</v>
      </c>
      <c r="B77" s="46">
        <f>'CLP Tariff'!B82</f>
        <v>5023807</v>
      </c>
      <c r="C77" s="46">
        <f t="shared" si="5"/>
        <v>2865741.7614958114</v>
      </c>
      <c r="D77" s="46">
        <v>157931</v>
      </c>
      <c r="E77" s="46">
        <v>298508</v>
      </c>
      <c r="F77" s="46">
        <v>0</v>
      </c>
      <c r="G77" s="46">
        <v>92910</v>
      </c>
      <c r="H77" s="46">
        <v>51118</v>
      </c>
      <c r="I77" s="46">
        <v>421075.23850418872</v>
      </c>
      <c r="J77" s="46">
        <v>164814</v>
      </c>
      <c r="K77" s="46">
        <v>38096</v>
      </c>
      <c r="L77" s="46">
        <v>58743</v>
      </c>
      <c r="M77" s="46">
        <v>0</v>
      </c>
      <c r="N77" s="46">
        <v>50512</v>
      </c>
      <c r="O77" s="46">
        <v>40527</v>
      </c>
      <c r="P77" s="46">
        <v>0</v>
      </c>
      <c r="Q77" s="46">
        <v>10207</v>
      </c>
      <c r="R77" s="46"/>
      <c r="S77" s="46"/>
      <c r="T77" s="46">
        <v>0</v>
      </c>
      <c r="U77" s="46">
        <v>0</v>
      </c>
      <c r="V77" s="211"/>
      <c r="W77" s="46">
        <v>0</v>
      </c>
      <c r="X77" s="46">
        <v>305392</v>
      </c>
      <c r="Y77" s="46">
        <f>'CLP Tariff'!D82</f>
        <v>468232</v>
      </c>
      <c r="Z77" s="82">
        <f>'Commercial &amp; Quarter'!CF72</f>
        <v>208348</v>
      </c>
      <c r="AA77" s="110">
        <f t="shared" si="7"/>
        <v>259884</v>
      </c>
      <c r="AB77" s="46">
        <f t="shared" si="6"/>
        <v>471587.23850418872</v>
      </c>
      <c r="AD77" s="46">
        <f>19698+22887+332</f>
        <v>42917</v>
      </c>
      <c r="AE77" s="46">
        <v>0</v>
      </c>
      <c r="AF77" s="46">
        <v>0</v>
      </c>
      <c r="AG77" s="46">
        <v>0</v>
      </c>
      <c r="AH77" s="46"/>
      <c r="AI77" s="46"/>
      <c r="AJ77" s="46"/>
      <c r="AL77" s="46"/>
    </row>
    <row r="78" spans="1:38" ht="23.25" customHeight="1">
      <c r="A78" s="44">
        <v>43891</v>
      </c>
      <c r="B78" s="46">
        <f>'CLP Tariff'!B83</f>
        <v>5824742</v>
      </c>
      <c r="C78" s="46">
        <f t="shared" si="5"/>
        <v>3080473.757548288</v>
      </c>
      <c r="D78" s="46">
        <v>230277</v>
      </c>
      <c r="E78" s="46">
        <v>366209</v>
      </c>
      <c r="F78" s="46">
        <v>0</v>
      </c>
      <c r="G78" s="46">
        <v>127209</v>
      </c>
      <c r="H78" s="46">
        <v>78486</v>
      </c>
      <c r="I78" s="46">
        <v>672076.24245171191</v>
      </c>
      <c r="J78" s="46">
        <v>226846</v>
      </c>
      <c r="K78" s="46">
        <v>40647</v>
      </c>
      <c r="L78" s="46">
        <v>51768</v>
      </c>
      <c r="M78" s="46">
        <v>0</v>
      </c>
      <c r="N78" s="46">
        <v>62594</v>
      </c>
      <c r="O78" s="46">
        <v>53768</v>
      </c>
      <c r="P78" s="46">
        <v>0</v>
      </c>
      <c r="Q78" s="46">
        <v>26680</v>
      </c>
      <c r="R78" s="46"/>
      <c r="S78" s="46"/>
      <c r="T78" s="46">
        <v>0</v>
      </c>
      <c r="U78" s="46">
        <v>0</v>
      </c>
      <c r="V78" s="211"/>
      <c r="W78" s="46">
        <v>0</v>
      </c>
      <c r="X78" s="46">
        <v>309551</v>
      </c>
      <c r="Y78" s="46">
        <f>'CLP Tariff'!D83</f>
        <v>498157</v>
      </c>
      <c r="Z78" s="82">
        <f>'Commercial &amp; Quarter'!CG72</f>
        <v>261289</v>
      </c>
      <c r="AA78" s="110">
        <f t="shared" ref="AA78:AA90" si="8">Y78-Z78</f>
        <v>236868</v>
      </c>
      <c r="AB78" s="46">
        <f t="shared" si="6"/>
        <v>734670.24245171191</v>
      </c>
      <c r="AD78" s="46">
        <f>16802+19522+284</f>
        <v>36608</v>
      </c>
      <c r="AE78" s="46">
        <v>0</v>
      </c>
      <c r="AF78" s="46">
        <v>0</v>
      </c>
      <c r="AG78" s="46">
        <v>0</v>
      </c>
      <c r="AH78" s="46"/>
      <c r="AI78" s="46"/>
      <c r="AJ78" s="46"/>
      <c r="AL78" s="46"/>
    </row>
    <row r="79" spans="1:38" ht="23.25" customHeight="1">
      <c r="A79" s="44">
        <v>43922</v>
      </c>
      <c r="B79" s="46">
        <f>'CLP Tariff'!B84</f>
        <v>5681721</v>
      </c>
      <c r="C79" s="46">
        <f t="shared" si="5"/>
        <v>2963980.07</v>
      </c>
      <c r="D79" s="46">
        <v>186270</v>
      </c>
      <c r="E79" s="46">
        <v>350090</v>
      </c>
      <c r="F79" s="46">
        <v>0</v>
      </c>
      <c r="G79" s="46">
        <v>107135.8</v>
      </c>
      <c r="H79" s="46">
        <v>90793</v>
      </c>
      <c r="I79" s="46">
        <v>719292.13</v>
      </c>
      <c r="J79" s="46">
        <v>201132</v>
      </c>
      <c r="K79" s="46">
        <v>48025</v>
      </c>
      <c r="L79" s="46">
        <v>62887</v>
      </c>
      <c r="M79" s="46">
        <v>0</v>
      </c>
      <c r="N79" s="46">
        <v>78033</v>
      </c>
      <c r="O79" s="46">
        <v>36680</v>
      </c>
      <c r="P79" s="46">
        <v>0</v>
      </c>
      <c r="Q79" s="46">
        <v>33324</v>
      </c>
      <c r="R79" s="46"/>
      <c r="S79" s="46"/>
      <c r="T79" s="46">
        <v>0</v>
      </c>
      <c r="U79" s="46">
        <v>0</v>
      </c>
      <c r="V79" s="211"/>
      <c r="W79" s="46">
        <v>0</v>
      </c>
      <c r="X79" s="46">
        <v>327861</v>
      </c>
      <c r="Y79" s="46">
        <f>'CLP Tariff'!D84</f>
        <v>476218</v>
      </c>
      <c r="Z79" s="82">
        <f>'Commercial &amp; Quarter'!CH72</f>
        <v>231032</v>
      </c>
      <c r="AA79" s="110">
        <f t="shared" si="8"/>
        <v>245186</v>
      </c>
      <c r="AB79" s="46">
        <f t="shared" si="6"/>
        <v>797325.13</v>
      </c>
      <c r="AD79" s="46">
        <f>17381+20195+293</f>
        <v>37869</v>
      </c>
      <c r="AE79" s="46">
        <v>0</v>
      </c>
      <c r="AF79" s="46">
        <v>0</v>
      </c>
      <c r="AG79" s="46">
        <v>0</v>
      </c>
      <c r="AH79" s="46"/>
      <c r="AI79" s="46"/>
      <c r="AJ79" s="46"/>
      <c r="AL79" s="46"/>
    </row>
    <row r="80" spans="1:38" ht="23.25" customHeight="1">
      <c r="A80" s="44">
        <v>43952</v>
      </c>
      <c r="B80" s="46">
        <f>'CLP Tariff'!B85</f>
        <v>7583231</v>
      </c>
      <c r="C80" s="46">
        <f t="shared" si="5"/>
        <v>3071782.2187033091</v>
      </c>
      <c r="D80" s="46">
        <v>208650</v>
      </c>
      <c r="E80" s="46">
        <v>384452</v>
      </c>
      <c r="F80" s="46">
        <v>0</v>
      </c>
      <c r="G80" s="46">
        <v>99522</v>
      </c>
      <c r="H80" s="46">
        <v>97251</v>
      </c>
      <c r="I80" s="46">
        <v>1805652.7812966905</v>
      </c>
      <c r="J80" s="46">
        <v>223924</v>
      </c>
      <c r="K80" s="46">
        <v>62443</v>
      </c>
      <c r="L80" s="46">
        <v>84897</v>
      </c>
      <c r="M80" s="46">
        <v>0</v>
      </c>
      <c r="N80" s="46">
        <v>186627</v>
      </c>
      <c r="O80" s="46">
        <v>63932</v>
      </c>
      <c r="P80" s="46">
        <v>0</v>
      </c>
      <c r="Q80" s="46">
        <v>76640</v>
      </c>
      <c r="R80" s="46"/>
      <c r="S80" s="46"/>
      <c r="T80" s="46">
        <v>0</v>
      </c>
      <c r="U80" s="46">
        <v>0</v>
      </c>
      <c r="V80" s="211"/>
      <c r="W80" s="46">
        <v>0</v>
      </c>
      <c r="X80" s="46">
        <v>490579</v>
      </c>
      <c r="Y80" s="46">
        <f>'CLP Tariff'!D85</f>
        <v>726879</v>
      </c>
      <c r="Z80" s="82">
        <f>'Commercial &amp; Quarter'!CI72</f>
        <v>260510</v>
      </c>
      <c r="AA80" s="110">
        <f t="shared" si="8"/>
        <v>466369</v>
      </c>
      <c r="AB80" s="46">
        <f t="shared" si="6"/>
        <v>1992279.7812966905</v>
      </c>
      <c r="AD80" s="46">
        <f>72311+118528+1191</f>
        <v>192030</v>
      </c>
      <c r="AE80" s="46">
        <v>0</v>
      </c>
      <c r="AF80" s="46">
        <v>0</v>
      </c>
      <c r="AG80" s="46">
        <v>0</v>
      </c>
      <c r="AH80" s="46"/>
      <c r="AI80" s="46"/>
      <c r="AJ80" s="46"/>
      <c r="AL80" s="46"/>
    </row>
    <row r="81" spans="1:38" ht="23.25" customHeight="1">
      <c r="A81" s="44">
        <v>43983</v>
      </c>
      <c r="B81" s="46">
        <f>'CLP Tariff'!B86</f>
        <v>8954220</v>
      </c>
      <c r="C81" s="46">
        <f t="shared" si="5"/>
        <v>3648771.1997098904</v>
      </c>
      <c r="D81" s="46">
        <v>228347</v>
      </c>
      <c r="E81" s="46">
        <v>396101</v>
      </c>
      <c r="F81" s="46">
        <v>0</v>
      </c>
      <c r="G81" s="46">
        <v>109687</v>
      </c>
      <c r="H81" s="46">
        <v>115327</v>
      </c>
      <c r="I81" s="46">
        <v>2206132.8002901101</v>
      </c>
      <c r="J81" s="46">
        <v>240416</v>
      </c>
      <c r="K81" s="46">
        <v>78338</v>
      </c>
      <c r="L81" s="46">
        <v>119344</v>
      </c>
      <c r="M81" s="46">
        <v>0</v>
      </c>
      <c r="N81" s="46">
        <v>225215</v>
      </c>
      <c r="O81" s="46">
        <v>67302</v>
      </c>
      <c r="P81" s="46">
        <v>0</v>
      </c>
      <c r="Q81" s="46">
        <v>93585</v>
      </c>
      <c r="R81" s="46"/>
      <c r="S81" s="46"/>
      <c r="T81" s="46">
        <v>0</v>
      </c>
      <c r="U81" s="46">
        <v>0</v>
      </c>
      <c r="V81" s="211"/>
      <c r="W81" s="46">
        <v>0</v>
      </c>
      <c r="X81" s="46">
        <v>456065</v>
      </c>
      <c r="Y81" s="46">
        <f>'CLP Tariff'!D86</f>
        <v>969589</v>
      </c>
      <c r="Z81" s="82">
        <f>'Commercial &amp; Quarter'!CJ72</f>
        <v>291027</v>
      </c>
      <c r="AA81" s="110">
        <f t="shared" si="8"/>
        <v>678562</v>
      </c>
      <c r="AB81" s="46">
        <f t="shared" si="6"/>
        <v>2431347.8002901101</v>
      </c>
      <c r="AD81" s="46">
        <f>42159+26024+314</f>
        <v>68497</v>
      </c>
      <c r="AE81" s="46">
        <v>0</v>
      </c>
      <c r="AF81" s="46">
        <v>0</v>
      </c>
      <c r="AG81" s="46">
        <v>0</v>
      </c>
      <c r="AH81" s="46"/>
      <c r="AI81" s="46"/>
      <c r="AJ81" s="46"/>
      <c r="AL81" s="46"/>
    </row>
    <row r="82" spans="1:38" ht="23.25" customHeight="1">
      <c r="A82" s="44">
        <v>44013</v>
      </c>
      <c r="B82" s="46">
        <f>'CLP Tariff'!B87</f>
        <v>8833132</v>
      </c>
      <c r="C82" s="46">
        <f t="shared" si="5"/>
        <v>3490262.4499999993</v>
      </c>
      <c r="D82" s="46">
        <v>228257</v>
      </c>
      <c r="E82" s="46">
        <v>404540</v>
      </c>
      <c r="F82" s="46">
        <v>0</v>
      </c>
      <c r="G82" s="46">
        <v>110641</v>
      </c>
      <c r="H82" s="46">
        <v>120796</v>
      </c>
      <c r="I82" s="46">
        <v>2154407.5500000003</v>
      </c>
      <c r="J82" s="46">
        <v>231715</v>
      </c>
      <c r="K82" s="46">
        <v>83182</v>
      </c>
      <c r="L82" s="46">
        <v>140263</v>
      </c>
      <c r="M82" s="46">
        <v>0</v>
      </c>
      <c r="N82" s="46">
        <v>242508</v>
      </c>
      <c r="O82" s="46">
        <v>88475</v>
      </c>
      <c r="P82" s="46">
        <v>0</v>
      </c>
      <c r="Q82" s="46">
        <v>47947</v>
      </c>
      <c r="R82" s="46"/>
      <c r="S82" s="46"/>
      <c r="T82" s="46">
        <v>0</v>
      </c>
      <c r="U82" s="46">
        <v>0</v>
      </c>
      <c r="V82" s="211"/>
      <c r="W82" s="46">
        <v>0</v>
      </c>
      <c r="X82" s="46">
        <v>464378</v>
      </c>
      <c r="Y82" s="46">
        <f>'CLP Tariff'!D87</f>
        <v>1025760</v>
      </c>
      <c r="Z82" s="82">
        <f>'Commercial &amp; Quarter'!CK72</f>
        <v>265659</v>
      </c>
      <c r="AA82" s="110">
        <f t="shared" si="8"/>
        <v>760101</v>
      </c>
      <c r="AB82" s="46">
        <f t="shared" si="6"/>
        <v>2396915.5500000003</v>
      </c>
      <c r="AD82" s="46">
        <f>38207+23584+285</f>
        <v>62076</v>
      </c>
      <c r="AE82" s="46">
        <v>0</v>
      </c>
      <c r="AF82" s="46">
        <v>0</v>
      </c>
      <c r="AG82" s="46">
        <v>0</v>
      </c>
      <c r="AH82" s="46"/>
      <c r="AI82" s="46"/>
      <c r="AJ82" s="46"/>
      <c r="AL82" s="46"/>
    </row>
    <row r="83" spans="1:38" ht="23.25" customHeight="1">
      <c r="A83" s="44">
        <v>44044</v>
      </c>
      <c r="B83" s="46">
        <f>'CLP Tariff'!B88</f>
        <v>7931452</v>
      </c>
      <c r="C83" s="46">
        <f t="shared" si="5"/>
        <v>2706435.5334795807</v>
      </c>
      <c r="D83" s="46">
        <v>197866</v>
      </c>
      <c r="E83" s="46">
        <v>348726</v>
      </c>
      <c r="F83" s="46">
        <v>0</v>
      </c>
      <c r="G83" s="46">
        <v>107732</v>
      </c>
      <c r="H83" s="46">
        <v>136811</v>
      </c>
      <c r="I83" s="46">
        <v>2394486.4665204198</v>
      </c>
      <c r="J83" s="46">
        <v>200857</v>
      </c>
      <c r="K83" s="46">
        <v>76791</v>
      </c>
      <c r="L83" s="46">
        <v>121644</v>
      </c>
      <c r="M83" s="46">
        <v>0</v>
      </c>
      <c r="N83" s="46">
        <v>229261</v>
      </c>
      <c r="O83" s="46">
        <v>53605</v>
      </c>
      <c r="P83" s="46">
        <v>0</v>
      </c>
      <c r="Q83" s="46">
        <v>45846</v>
      </c>
      <c r="R83" s="46"/>
      <c r="S83" s="46"/>
      <c r="T83" s="46">
        <v>0</v>
      </c>
      <c r="U83" s="46">
        <v>0</v>
      </c>
      <c r="V83" s="211"/>
      <c r="W83" s="46">
        <v>0</v>
      </c>
      <c r="X83" s="46">
        <v>481052</v>
      </c>
      <c r="Y83" s="46">
        <f>'CLP Tariff'!D88</f>
        <v>830339</v>
      </c>
      <c r="Z83" s="82">
        <f>'Commercial &amp; Quarter'!CL72</f>
        <v>232096</v>
      </c>
      <c r="AA83" s="110">
        <f t="shared" si="8"/>
        <v>598243</v>
      </c>
      <c r="AB83" s="46">
        <f t="shared" si="6"/>
        <v>2623747.4665204198</v>
      </c>
      <c r="AD83" s="46">
        <f>43477+26837+325</f>
        <v>70639</v>
      </c>
      <c r="AE83" s="46">
        <v>0</v>
      </c>
      <c r="AF83" s="46">
        <v>0</v>
      </c>
      <c r="AG83" s="46">
        <v>0</v>
      </c>
      <c r="AH83" s="46"/>
      <c r="AI83" s="46"/>
      <c r="AJ83" s="46"/>
      <c r="AL83" s="46"/>
    </row>
    <row r="84" spans="1:38" ht="23.25" customHeight="1">
      <c r="A84" s="44">
        <v>44075</v>
      </c>
      <c r="B84" s="46">
        <f>'CLP Tariff'!B89</f>
        <v>9473248</v>
      </c>
      <c r="C84" s="46">
        <f t="shared" si="5"/>
        <v>4067167.6021305993</v>
      </c>
      <c r="D84" s="46">
        <v>227234</v>
      </c>
      <c r="E84" s="46">
        <v>401301</v>
      </c>
      <c r="F84" s="46">
        <v>0</v>
      </c>
      <c r="G84" s="46">
        <v>105161</v>
      </c>
      <c r="H84" s="46">
        <v>145991</v>
      </c>
      <c r="I84" s="46">
        <v>2048304.3978694009</v>
      </c>
      <c r="J84" s="46">
        <v>250434</v>
      </c>
      <c r="K84" s="46">
        <v>74921</v>
      </c>
      <c r="L84" s="46">
        <v>130572</v>
      </c>
      <c r="M84" s="46">
        <v>0</v>
      </c>
      <c r="N84" s="46">
        <v>227888</v>
      </c>
      <c r="O84" s="46">
        <v>53030</v>
      </c>
      <c r="P84" s="46">
        <v>0</v>
      </c>
      <c r="Q84" s="46">
        <v>67681</v>
      </c>
      <c r="R84" s="46"/>
      <c r="S84" s="46"/>
      <c r="T84" s="46">
        <v>0</v>
      </c>
      <c r="U84" s="46">
        <v>0</v>
      </c>
      <c r="V84" s="211"/>
      <c r="W84" s="46">
        <v>290330</v>
      </c>
      <c r="X84" s="46">
        <v>456104</v>
      </c>
      <c r="Y84" s="46">
        <f>'CLP Tariff'!D89</f>
        <v>927129</v>
      </c>
      <c r="Z84" s="82">
        <f>'Commercial &amp; Quarter'!CM72</f>
        <v>303922</v>
      </c>
      <c r="AA84" s="110">
        <f t="shared" si="8"/>
        <v>623207</v>
      </c>
      <c r="AB84" s="46">
        <f t="shared" si="6"/>
        <v>2276192.3978694007</v>
      </c>
      <c r="AD84" s="46">
        <f>150139+77193+879</f>
        <v>228211</v>
      </c>
      <c r="AE84" s="46">
        <v>0</v>
      </c>
      <c r="AF84" s="46">
        <v>0</v>
      </c>
      <c r="AG84" s="46">
        <v>0</v>
      </c>
      <c r="AH84" s="46"/>
      <c r="AI84" s="46"/>
      <c r="AJ84" s="46"/>
      <c r="AL84" s="46"/>
    </row>
    <row r="85" spans="1:38" ht="23.25" customHeight="1">
      <c r="A85" s="44">
        <v>44105</v>
      </c>
      <c r="B85" s="46">
        <f>'CLP Tariff'!B90</f>
        <v>7236358</v>
      </c>
      <c r="C85" s="46">
        <f t="shared" si="5"/>
        <v>3329580.0449933996</v>
      </c>
      <c r="D85" s="46">
        <v>211299</v>
      </c>
      <c r="E85" s="46">
        <v>373141</v>
      </c>
      <c r="F85" s="46">
        <v>0</v>
      </c>
      <c r="G85" s="46">
        <v>104277.6</v>
      </c>
      <c r="H85" s="46">
        <v>145355</v>
      </c>
      <c r="I85" s="46">
        <v>1335753.3550066003</v>
      </c>
      <c r="J85" s="46">
        <v>232357</v>
      </c>
      <c r="K85" s="46">
        <v>54482</v>
      </c>
      <c r="L85" s="46">
        <v>100678</v>
      </c>
      <c r="M85" s="46">
        <v>0</v>
      </c>
      <c r="N85" s="46">
        <v>152364</v>
      </c>
      <c r="O85" s="46">
        <v>47889</v>
      </c>
      <c r="P85" s="46">
        <v>0</v>
      </c>
      <c r="Q85" s="46">
        <v>59602</v>
      </c>
      <c r="R85" s="46"/>
      <c r="S85" s="46"/>
      <c r="T85" s="46">
        <v>0</v>
      </c>
      <c r="U85" s="46">
        <v>0</v>
      </c>
      <c r="V85" s="211"/>
      <c r="W85" s="46">
        <v>89769</v>
      </c>
      <c r="X85" s="46">
        <v>412147</v>
      </c>
      <c r="Y85" s="46">
        <f>'CLP Tariff'!D90</f>
        <v>587664</v>
      </c>
      <c r="Z85" s="82">
        <v>267278</v>
      </c>
      <c r="AA85" s="110">
        <f t="shared" si="8"/>
        <v>320386</v>
      </c>
      <c r="AB85" s="46">
        <f t="shared" si="6"/>
        <v>1488117.3550066003</v>
      </c>
      <c r="AD85" s="46">
        <f>63355+26899+286</f>
        <v>90540</v>
      </c>
      <c r="AE85" s="46">
        <v>0</v>
      </c>
      <c r="AF85" s="46">
        <v>0</v>
      </c>
      <c r="AG85" s="46">
        <v>0</v>
      </c>
      <c r="AH85" s="46"/>
      <c r="AI85" s="46"/>
      <c r="AJ85" s="46"/>
      <c r="AL85" s="46"/>
    </row>
    <row r="86" spans="1:38" ht="23.25" customHeight="1">
      <c r="A86" s="44">
        <v>44136</v>
      </c>
      <c r="B86" s="46">
        <f>'CLP Tariff'!B91</f>
        <v>6770208</v>
      </c>
      <c r="C86" s="46">
        <f t="shared" si="5"/>
        <v>3423239.6140418001</v>
      </c>
      <c r="D86" s="46">
        <v>227410</v>
      </c>
      <c r="E86" s="46">
        <v>396796</v>
      </c>
      <c r="F86" s="46">
        <v>0</v>
      </c>
      <c r="G86" s="46">
        <v>108587</v>
      </c>
      <c r="H86" s="46">
        <v>177222</v>
      </c>
      <c r="I86" s="46">
        <v>915177.38595819974</v>
      </c>
      <c r="J86" s="46">
        <v>234747</v>
      </c>
      <c r="K86" s="46">
        <v>51126</v>
      </c>
      <c r="L86" s="46">
        <v>81285</v>
      </c>
      <c r="M86" s="46">
        <v>0</v>
      </c>
      <c r="N86" s="46">
        <v>98770</v>
      </c>
      <c r="O86" s="46">
        <v>37909</v>
      </c>
      <c r="P86" s="46">
        <v>0</v>
      </c>
      <c r="Q86" s="46">
        <v>53349</v>
      </c>
      <c r="R86" s="46"/>
      <c r="S86" s="46"/>
      <c r="T86" s="46">
        <v>0</v>
      </c>
      <c r="U86" s="46">
        <v>0</v>
      </c>
      <c r="V86" s="211"/>
      <c r="W86" s="46">
        <v>74036</v>
      </c>
      <c r="X86" s="46">
        <v>365102</v>
      </c>
      <c r="Y86" s="46">
        <f>'CLP Tariff'!D91</f>
        <v>525452</v>
      </c>
      <c r="Z86" s="82">
        <v>293224</v>
      </c>
      <c r="AA86" s="110">
        <f t="shared" si="8"/>
        <v>232228</v>
      </c>
      <c r="AB86" s="46">
        <f t="shared" si="6"/>
        <v>1013947.3859581997</v>
      </c>
      <c r="AD86" s="46">
        <f>22443+268+46012</f>
        <v>68723</v>
      </c>
      <c r="AE86" s="46">
        <v>0</v>
      </c>
      <c r="AF86" s="46">
        <v>0</v>
      </c>
      <c r="AG86" s="46">
        <v>0</v>
      </c>
      <c r="AH86" s="46"/>
      <c r="AI86" s="46"/>
      <c r="AJ86" s="46"/>
      <c r="AL86" s="46"/>
    </row>
    <row r="87" spans="1:38" ht="23.25" customHeight="1">
      <c r="A87" s="44">
        <v>44166</v>
      </c>
      <c r="B87" s="46">
        <f>'CLP Tariff'!B92</f>
        <v>5773520</v>
      </c>
      <c r="C87" s="46">
        <f t="shared" si="5"/>
        <v>3075672.1964862002</v>
      </c>
      <c r="D87" s="46">
        <v>200695</v>
      </c>
      <c r="E87" s="46">
        <v>380382</v>
      </c>
      <c r="F87" s="46">
        <v>0</v>
      </c>
      <c r="G87" s="46">
        <v>97232</v>
      </c>
      <c r="H87" s="46">
        <v>152820</v>
      </c>
      <c r="I87" s="46">
        <v>506804.80351379991</v>
      </c>
      <c r="J87" s="46">
        <v>232272</v>
      </c>
      <c r="K87" s="46">
        <v>47403</v>
      </c>
      <c r="L87" s="46">
        <v>48764</v>
      </c>
      <c r="M87" s="46">
        <v>0</v>
      </c>
      <c r="N87" s="46">
        <v>50904</v>
      </c>
      <c r="O87" s="46">
        <v>62080</v>
      </c>
      <c r="P87" s="46">
        <v>0</v>
      </c>
      <c r="Q87" s="46">
        <v>34551</v>
      </c>
      <c r="R87" s="46"/>
      <c r="S87" s="46"/>
      <c r="T87" s="46">
        <v>0</v>
      </c>
      <c r="U87" s="46">
        <v>0</v>
      </c>
      <c r="V87" s="211"/>
      <c r="W87" s="46">
        <v>70802</v>
      </c>
      <c r="X87" s="46">
        <v>303654</v>
      </c>
      <c r="Y87" s="46">
        <f>'CLP Tariff'!D92</f>
        <v>509484</v>
      </c>
      <c r="Z87" s="82">
        <v>259382</v>
      </c>
      <c r="AA87" s="110">
        <f t="shared" si="8"/>
        <v>250102</v>
      </c>
      <c r="AB87" s="46">
        <f t="shared" si="6"/>
        <v>557708.80351379991</v>
      </c>
      <c r="AD87" s="46">
        <f>18798+268+40311</f>
        <v>59377</v>
      </c>
      <c r="AE87" s="46">
        <v>0</v>
      </c>
      <c r="AF87" s="46">
        <v>0</v>
      </c>
      <c r="AG87" s="46">
        <v>0</v>
      </c>
      <c r="AH87" s="46"/>
      <c r="AI87" s="46"/>
      <c r="AJ87" s="46"/>
      <c r="AL87" s="46"/>
    </row>
    <row r="88" spans="1:38" ht="23.25" customHeight="1">
      <c r="A88" s="119">
        <v>44197</v>
      </c>
      <c r="B88" s="120">
        <f>'CLP Tariff'!B93</f>
        <v>5701348</v>
      </c>
      <c r="C88" s="120">
        <f t="shared" si="5"/>
        <v>3020329.7757377997</v>
      </c>
      <c r="D88" s="120">
        <v>206965</v>
      </c>
      <c r="E88" s="120">
        <v>382076</v>
      </c>
      <c r="F88" s="120">
        <v>0</v>
      </c>
      <c r="G88" s="120">
        <v>147415</v>
      </c>
      <c r="H88" s="120">
        <v>147739</v>
      </c>
      <c r="I88" s="120">
        <v>393066.2242622</v>
      </c>
      <c r="J88" s="120">
        <v>223334</v>
      </c>
      <c r="K88" s="120">
        <v>44857</v>
      </c>
      <c r="L88" s="120">
        <v>48817</v>
      </c>
      <c r="M88" s="120">
        <v>0</v>
      </c>
      <c r="N88" s="120">
        <v>47672</v>
      </c>
      <c r="O88" s="120">
        <v>30752</v>
      </c>
      <c r="P88" s="120">
        <v>0</v>
      </c>
      <c r="Q88" s="120">
        <v>16074</v>
      </c>
      <c r="R88" s="120"/>
      <c r="S88" s="120"/>
      <c r="T88" s="120">
        <v>0</v>
      </c>
      <c r="U88" s="120">
        <v>0</v>
      </c>
      <c r="V88" s="216"/>
      <c r="W88" s="120">
        <v>79942</v>
      </c>
      <c r="X88" s="120">
        <v>325594</v>
      </c>
      <c r="Y88" s="120">
        <f>'CLP Tariff'!D93</f>
        <v>586715</v>
      </c>
      <c r="Z88" s="121">
        <v>249052</v>
      </c>
      <c r="AA88" s="122">
        <f t="shared" si="8"/>
        <v>337663</v>
      </c>
      <c r="AB88" s="120">
        <f t="shared" si="6"/>
        <v>440738.2242622</v>
      </c>
      <c r="AD88" s="120">
        <f>44855+17399+268</f>
        <v>62522</v>
      </c>
      <c r="AE88" s="120">
        <v>0</v>
      </c>
      <c r="AF88" s="120">
        <v>0</v>
      </c>
      <c r="AG88" s="120">
        <v>0</v>
      </c>
      <c r="AH88" s="120"/>
      <c r="AI88" s="120"/>
      <c r="AJ88" s="120"/>
      <c r="AL88" s="120"/>
    </row>
    <row r="89" spans="1:38" ht="23" customHeight="1">
      <c r="A89" s="119">
        <v>44228</v>
      </c>
      <c r="B89" s="120">
        <f>'CLP Tariff'!B94</f>
        <v>5426615</v>
      </c>
      <c r="C89" s="120">
        <f t="shared" si="5"/>
        <v>2958403.0367956003</v>
      </c>
      <c r="D89" s="120">
        <v>170515</v>
      </c>
      <c r="E89" s="120">
        <v>321055</v>
      </c>
      <c r="F89" s="120">
        <v>0</v>
      </c>
      <c r="G89" s="120">
        <v>102737</v>
      </c>
      <c r="H89" s="120">
        <v>161735</v>
      </c>
      <c r="I89" s="120">
        <v>528780.96320439992</v>
      </c>
      <c r="J89" s="120">
        <v>197886</v>
      </c>
      <c r="K89" s="120">
        <v>40970</v>
      </c>
      <c r="L89" s="120">
        <v>42444</v>
      </c>
      <c r="M89" s="120">
        <v>0</v>
      </c>
      <c r="N89" s="120">
        <v>52226</v>
      </c>
      <c r="O89" s="120">
        <v>26966</v>
      </c>
      <c r="P89" s="120">
        <v>0</v>
      </c>
      <c r="Q89" s="120">
        <v>14515</v>
      </c>
      <c r="R89" s="120"/>
      <c r="S89" s="120"/>
      <c r="T89" s="120">
        <v>0</v>
      </c>
      <c r="U89" s="120">
        <v>0</v>
      </c>
      <c r="V89" s="216"/>
      <c r="W89" s="120">
        <v>65365</v>
      </c>
      <c r="X89" s="120">
        <v>319533</v>
      </c>
      <c r="Y89" s="120">
        <f>'CLP Tariff'!D94</f>
        <v>423484</v>
      </c>
      <c r="Z89" s="121">
        <v>237507</v>
      </c>
      <c r="AA89" s="122">
        <f t="shared" si="8"/>
        <v>185977</v>
      </c>
      <c r="AB89" s="120">
        <f t="shared" si="6"/>
        <v>581006.96320439992</v>
      </c>
      <c r="AD89" s="120">
        <f>44855+17399+268</f>
        <v>62522</v>
      </c>
      <c r="AE89" s="120">
        <v>0</v>
      </c>
      <c r="AF89" s="120">
        <v>0</v>
      </c>
      <c r="AG89" s="120">
        <v>0</v>
      </c>
      <c r="AH89" s="120"/>
      <c r="AI89" s="120"/>
      <c r="AJ89" s="120"/>
      <c r="AL89" s="120"/>
    </row>
    <row r="90" spans="1:38" ht="23.25" customHeight="1">
      <c r="A90" s="119">
        <v>44256</v>
      </c>
      <c r="B90" s="120">
        <f>'CLP Tariff'!B95</f>
        <v>6796687</v>
      </c>
      <c r="C90" s="120">
        <f t="shared" si="5"/>
        <v>3625896.4016302</v>
      </c>
      <c r="D90" s="120">
        <v>213068</v>
      </c>
      <c r="E90" s="120">
        <v>392798</v>
      </c>
      <c r="F90" s="120">
        <v>0</v>
      </c>
      <c r="G90" s="120">
        <v>119602</v>
      </c>
      <c r="H90" s="120">
        <v>177452</v>
      </c>
      <c r="I90" s="120">
        <v>785188.59836980002</v>
      </c>
      <c r="J90" s="120">
        <v>242322</v>
      </c>
      <c r="K90" s="120">
        <v>52128</v>
      </c>
      <c r="L90" s="120">
        <v>54444</v>
      </c>
      <c r="M90" s="120">
        <v>0</v>
      </c>
      <c r="N90" s="120">
        <v>77337</v>
      </c>
      <c r="O90" s="120">
        <v>34524</v>
      </c>
      <c r="P90" s="120">
        <v>0</v>
      </c>
      <c r="Q90" s="120">
        <v>57884</v>
      </c>
      <c r="R90" s="120"/>
      <c r="S90" s="120"/>
      <c r="T90" s="120">
        <v>0</v>
      </c>
      <c r="U90" s="120">
        <v>0</v>
      </c>
      <c r="V90" s="216"/>
      <c r="W90" s="120">
        <v>81956</v>
      </c>
      <c r="X90" s="120">
        <v>357255</v>
      </c>
      <c r="Y90" s="120">
        <f>'CLP Tariff'!D95</f>
        <v>524832</v>
      </c>
      <c r="Z90" s="121">
        <v>288377</v>
      </c>
      <c r="AA90" s="122">
        <f t="shared" si="8"/>
        <v>236455</v>
      </c>
      <c r="AB90" s="120">
        <f t="shared" si="6"/>
        <v>862525.59836980002</v>
      </c>
      <c r="AD90" s="120">
        <f>40269+18910+249</f>
        <v>59428</v>
      </c>
      <c r="AE90" s="120">
        <v>0</v>
      </c>
      <c r="AF90" s="120">
        <v>0</v>
      </c>
      <c r="AG90" s="120">
        <v>0</v>
      </c>
      <c r="AH90" s="120"/>
      <c r="AI90" s="120"/>
      <c r="AJ90" s="120"/>
      <c r="AL90" s="120"/>
    </row>
    <row r="91" spans="1:38" ht="23.25" customHeight="1">
      <c r="A91" s="119">
        <v>44287</v>
      </c>
      <c r="B91" s="120">
        <f>'CLP Tariff'!B96</f>
        <v>7087733</v>
      </c>
      <c r="C91" s="120">
        <f t="shared" si="5"/>
        <v>3510739.3847514</v>
      </c>
      <c r="D91" s="120">
        <v>201013</v>
      </c>
      <c r="E91" s="120">
        <v>384122</v>
      </c>
      <c r="F91" s="120">
        <v>0</v>
      </c>
      <c r="G91" s="120">
        <v>106950</v>
      </c>
      <c r="H91" s="120">
        <v>160888</v>
      </c>
      <c r="I91" s="120">
        <v>1050938.6152485998</v>
      </c>
      <c r="J91" s="120">
        <v>233551</v>
      </c>
      <c r="K91" s="120">
        <v>52762</v>
      </c>
      <c r="L91" s="120">
        <v>53047</v>
      </c>
      <c r="M91" s="120">
        <v>0</v>
      </c>
      <c r="N91" s="120">
        <v>122683</v>
      </c>
      <c r="O91" s="120">
        <v>44705</v>
      </c>
      <c r="P91" s="120">
        <v>3251</v>
      </c>
      <c r="Q91" s="120">
        <v>67675</v>
      </c>
      <c r="R91" s="120"/>
      <c r="S91" s="120"/>
      <c r="T91" s="120">
        <v>0</v>
      </c>
      <c r="U91" s="120">
        <v>0</v>
      </c>
      <c r="V91" s="216"/>
      <c r="W91" s="120">
        <v>91645</v>
      </c>
      <c r="X91" s="120">
        <v>449503</v>
      </c>
      <c r="Y91" s="120">
        <f>'CLP Tariff'!D96</f>
        <v>554260</v>
      </c>
      <c r="Z91" s="121">
        <v>282594</v>
      </c>
      <c r="AA91" s="122">
        <f t="shared" ref="AA91:AA96" si="9">Y91-Z91</f>
        <v>271666</v>
      </c>
      <c r="AB91" s="120">
        <f t="shared" si="6"/>
        <v>1173621.6152485998</v>
      </c>
      <c r="AD91" s="120">
        <f>59849+23890+297</f>
        <v>84036</v>
      </c>
      <c r="AE91" s="120">
        <v>0</v>
      </c>
      <c r="AF91" s="120">
        <v>0</v>
      </c>
      <c r="AG91" s="120">
        <v>0</v>
      </c>
      <c r="AH91" s="120"/>
      <c r="AI91" s="120"/>
      <c r="AJ91" s="120"/>
      <c r="AL91" s="120"/>
    </row>
    <row r="92" spans="1:38" ht="23.25" customHeight="1">
      <c r="A92" s="119">
        <v>44317</v>
      </c>
      <c r="B92" s="120">
        <f>'CLP Tariff'!B97</f>
        <v>8790715</v>
      </c>
      <c r="C92" s="120">
        <f t="shared" si="5"/>
        <v>3690093.1497067995</v>
      </c>
      <c r="D92" s="120">
        <v>157781</v>
      </c>
      <c r="E92" s="120">
        <v>367014</v>
      </c>
      <c r="F92" s="120">
        <v>0</v>
      </c>
      <c r="G92" s="120">
        <v>109455</v>
      </c>
      <c r="H92" s="120">
        <v>167706</v>
      </c>
      <c r="I92" s="120">
        <v>1964651.8502932002</v>
      </c>
      <c r="J92" s="120">
        <v>209323</v>
      </c>
      <c r="K92" s="120">
        <v>63649</v>
      </c>
      <c r="L92" s="120">
        <v>77349</v>
      </c>
      <c r="M92" s="120">
        <v>0</v>
      </c>
      <c r="N92" s="120">
        <v>200723</v>
      </c>
      <c r="O92" s="120">
        <v>47375</v>
      </c>
      <c r="P92" s="120">
        <v>4531</v>
      </c>
      <c r="Q92" s="120">
        <v>94294</v>
      </c>
      <c r="R92" s="120"/>
      <c r="S92" s="120"/>
      <c r="T92" s="120">
        <v>0</v>
      </c>
      <c r="U92" s="120">
        <v>0</v>
      </c>
      <c r="V92" s="216"/>
      <c r="W92" s="120">
        <v>117414</v>
      </c>
      <c r="X92" s="120">
        <v>631202</v>
      </c>
      <c r="Y92" s="120">
        <f>'CLP Tariff'!D97</f>
        <v>888154</v>
      </c>
      <c r="Z92" s="121">
        <v>308231</v>
      </c>
      <c r="AA92" s="122">
        <f t="shared" si="9"/>
        <v>579923</v>
      </c>
      <c r="AB92" s="120">
        <f t="shared" si="6"/>
        <v>2165374.8502932005</v>
      </c>
      <c r="AD92" s="120">
        <f>82334+26252+296</f>
        <v>108882</v>
      </c>
      <c r="AE92" s="120">
        <v>0</v>
      </c>
      <c r="AF92" s="120">
        <v>0</v>
      </c>
      <c r="AG92" s="120">
        <v>0</v>
      </c>
      <c r="AH92" s="120"/>
      <c r="AI92" s="120"/>
      <c r="AJ92" s="120"/>
      <c r="AL92" s="120"/>
    </row>
    <row r="93" spans="1:38" ht="23.25" customHeight="1">
      <c r="A93" s="119">
        <v>44348</v>
      </c>
      <c r="B93" s="120">
        <f>'CLP Tariff'!B98</f>
        <v>8497159</v>
      </c>
      <c r="C93" s="120">
        <f t="shared" si="5"/>
        <v>3315619.4601429999</v>
      </c>
      <c r="D93" s="120">
        <v>201385</v>
      </c>
      <c r="E93" s="120">
        <v>411370</v>
      </c>
      <c r="F93" s="120">
        <v>0</v>
      </c>
      <c r="G93" s="120">
        <v>113591</v>
      </c>
      <c r="H93" s="120">
        <v>192254</v>
      </c>
      <c r="I93" s="120">
        <v>2020738.5398570001</v>
      </c>
      <c r="J93" s="120">
        <v>230711</v>
      </c>
      <c r="K93" s="120">
        <v>64191</v>
      </c>
      <c r="L93" s="120">
        <v>113132</v>
      </c>
      <c r="M93" s="120">
        <v>0</v>
      </c>
      <c r="N93" s="120">
        <v>228931</v>
      </c>
      <c r="O93" s="120">
        <v>57454</v>
      </c>
      <c r="P93" s="120">
        <v>5693</v>
      </c>
      <c r="Q93" s="120">
        <v>93048</v>
      </c>
      <c r="R93" s="120"/>
      <c r="S93" s="120"/>
      <c r="T93" s="120">
        <v>0</v>
      </c>
      <c r="U93" s="120">
        <v>0</v>
      </c>
      <c r="V93" s="216"/>
      <c r="W93" s="120">
        <v>146373</v>
      </c>
      <c r="X93" s="120">
        <v>491465</v>
      </c>
      <c r="Y93" s="120">
        <f>'CLP Tariff'!D98</f>
        <v>811203</v>
      </c>
      <c r="Z93" s="121">
        <v>275823</v>
      </c>
      <c r="AA93" s="122">
        <f t="shared" si="9"/>
        <v>535380</v>
      </c>
      <c r="AB93" s="120">
        <f t="shared" si="6"/>
        <v>2249669.5398570001</v>
      </c>
      <c r="AD93" s="120">
        <f>84208+29888+315</f>
        <v>114411</v>
      </c>
      <c r="AE93" s="120">
        <v>0</v>
      </c>
      <c r="AF93" s="120">
        <v>0</v>
      </c>
      <c r="AG93" s="120">
        <v>0</v>
      </c>
      <c r="AH93" s="120"/>
      <c r="AI93" s="120"/>
      <c r="AJ93" s="120"/>
      <c r="AL93" s="120"/>
    </row>
    <row r="94" spans="1:38" ht="23.25" customHeight="1">
      <c r="A94" s="119">
        <v>44378</v>
      </c>
      <c r="B94" s="120">
        <f>'CLP Tariff'!B99</f>
        <v>8964920</v>
      </c>
      <c r="C94" s="120">
        <f t="shared" si="5"/>
        <v>3490827.4297369998</v>
      </c>
      <c r="D94" s="120">
        <v>211130</v>
      </c>
      <c r="E94" s="120">
        <v>392084</v>
      </c>
      <c r="F94" s="120">
        <v>0</v>
      </c>
      <c r="G94" s="120">
        <v>113461</v>
      </c>
      <c r="H94" s="120">
        <v>192177</v>
      </c>
      <c r="I94" s="120">
        <v>2299974.5702630007</v>
      </c>
      <c r="J94" s="120">
        <v>217688</v>
      </c>
      <c r="K94" s="120">
        <v>64138</v>
      </c>
      <c r="L94" s="120">
        <v>116904</v>
      </c>
      <c r="M94" s="120">
        <v>0</v>
      </c>
      <c r="N94" s="120">
        <v>218297</v>
      </c>
      <c r="O94" s="120">
        <v>56883</v>
      </c>
      <c r="P94" s="120">
        <v>5581</v>
      </c>
      <c r="Q94" s="120">
        <v>95666</v>
      </c>
      <c r="R94" s="120"/>
      <c r="S94" s="120"/>
      <c r="T94" s="120">
        <v>0</v>
      </c>
      <c r="U94" s="120">
        <v>0</v>
      </c>
      <c r="V94" s="216"/>
      <c r="W94" s="120">
        <v>151553</v>
      </c>
      <c r="X94" s="120">
        <v>408611</v>
      </c>
      <c r="Y94" s="120">
        <f>'CLP Tariff'!D99</f>
        <v>929945</v>
      </c>
      <c r="Z94" s="121">
        <v>289890</v>
      </c>
      <c r="AA94" s="122">
        <f t="shared" si="9"/>
        <v>640055</v>
      </c>
      <c r="AB94" s="120">
        <f t="shared" si="6"/>
        <v>2518271.5702630007</v>
      </c>
      <c r="AD94" s="120">
        <f>57393+23769+288</f>
        <v>81450</v>
      </c>
      <c r="AE94" s="120">
        <v>0</v>
      </c>
      <c r="AF94" s="120">
        <v>0</v>
      </c>
      <c r="AG94" s="120">
        <v>0</v>
      </c>
      <c r="AH94" s="120"/>
      <c r="AI94" s="120"/>
      <c r="AJ94" s="120"/>
      <c r="AL94" s="120"/>
    </row>
    <row r="95" spans="1:38" ht="23.25" customHeight="1">
      <c r="A95" s="119">
        <v>44409</v>
      </c>
      <c r="B95" s="120">
        <f>'CLP Tariff'!B100</f>
        <v>8816088</v>
      </c>
      <c r="C95" s="120">
        <f t="shared" si="5"/>
        <v>3689590.4115214003</v>
      </c>
      <c r="D95" s="120">
        <v>220506</v>
      </c>
      <c r="E95" s="120">
        <v>352448</v>
      </c>
      <c r="F95" s="120">
        <v>0</v>
      </c>
      <c r="G95" s="120">
        <v>132185</v>
      </c>
      <c r="H95" s="120">
        <v>180103</v>
      </c>
      <c r="I95" s="120">
        <v>2132948.5884785997</v>
      </c>
      <c r="J95" s="120">
        <v>194063</v>
      </c>
      <c r="K95" s="120">
        <v>60143</v>
      </c>
      <c r="L95" s="120">
        <v>118510</v>
      </c>
      <c r="M95" s="120">
        <v>0</v>
      </c>
      <c r="N95" s="120">
        <v>200250</v>
      </c>
      <c r="O95" s="120">
        <v>46263</v>
      </c>
      <c r="P95" s="120">
        <v>5230</v>
      </c>
      <c r="Q95" s="120">
        <v>82541</v>
      </c>
      <c r="R95" s="120"/>
      <c r="S95" s="120"/>
      <c r="T95" s="120">
        <v>0</v>
      </c>
      <c r="U95" s="120">
        <v>0</v>
      </c>
      <c r="V95" s="216"/>
      <c r="W95" s="120">
        <v>149677</v>
      </c>
      <c r="X95" s="120">
        <v>397526</v>
      </c>
      <c r="Y95" s="120">
        <f>'CLP Tariff'!D100</f>
        <v>854104</v>
      </c>
      <c r="Z95" s="121">
        <v>293783</v>
      </c>
      <c r="AA95" s="122">
        <f t="shared" si="9"/>
        <v>560321</v>
      </c>
      <c r="AB95" s="120">
        <f t="shared" si="6"/>
        <v>2333198.5884785997</v>
      </c>
      <c r="AD95" s="120">
        <f>57003+26851+326</f>
        <v>84180</v>
      </c>
      <c r="AE95" s="120">
        <v>0</v>
      </c>
      <c r="AF95" s="120">
        <v>0</v>
      </c>
      <c r="AG95" s="120">
        <v>0</v>
      </c>
      <c r="AH95" s="120"/>
      <c r="AI95" s="120"/>
      <c r="AJ95" s="120"/>
      <c r="AL95" s="120"/>
    </row>
    <row r="96" spans="1:38" ht="23.25" customHeight="1">
      <c r="A96" s="119">
        <v>44440</v>
      </c>
      <c r="B96" s="120">
        <f>'CLP Tariff'!B101</f>
        <v>9747181</v>
      </c>
      <c r="C96" s="120">
        <f t="shared" si="5"/>
        <v>3783050.7220830005</v>
      </c>
      <c r="D96" s="120">
        <v>219215</v>
      </c>
      <c r="E96" s="120">
        <v>429406</v>
      </c>
      <c r="F96" s="120">
        <v>0</v>
      </c>
      <c r="G96" s="120">
        <v>94590</v>
      </c>
      <c r="H96" s="120">
        <v>181287</v>
      </c>
      <c r="I96" s="120">
        <v>2283872.277917</v>
      </c>
      <c r="J96" s="120">
        <v>257162</v>
      </c>
      <c r="K96" s="120">
        <v>66269</v>
      </c>
      <c r="L96" s="120">
        <v>118507</v>
      </c>
      <c r="M96" s="120">
        <v>0</v>
      </c>
      <c r="N96" s="120">
        <v>225009</v>
      </c>
      <c r="O96" s="120">
        <v>54395</v>
      </c>
      <c r="P96" s="120">
        <v>6632</v>
      </c>
      <c r="Q96" s="120">
        <v>100255</v>
      </c>
      <c r="R96" s="120"/>
      <c r="S96" s="120"/>
      <c r="T96" s="120">
        <v>0</v>
      </c>
      <c r="U96" s="120">
        <v>0</v>
      </c>
      <c r="V96" s="216"/>
      <c r="W96" s="120">
        <v>203939</v>
      </c>
      <c r="X96" s="120">
        <v>743567</v>
      </c>
      <c r="Y96" s="120">
        <f>'CLP Tariff'!D101</f>
        <v>980025</v>
      </c>
      <c r="Z96" s="121">
        <v>338691</v>
      </c>
      <c r="AA96" s="122">
        <f t="shared" si="9"/>
        <v>641334</v>
      </c>
      <c r="AB96" s="120">
        <f t="shared" si="6"/>
        <v>2508881.277917</v>
      </c>
      <c r="AD96" s="120">
        <f>80791+28958+286</f>
        <v>110035</v>
      </c>
      <c r="AE96" s="120">
        <v>0</v>
      </c>
      <c r="AF96" s="120">
        <v>0</v>
      </c>
      <c r="AG96" s="120">
        <v>0</v>
      </c>
      <c r="AH96" s="120"/>
      <c r="AI96" s="120"/>
      <c r="AJ96" s="120"/>
      <c r="AL96" s="120"/>
    </row>
    <row r="97" spans="1:38" ht="23.25" customHeight="1">
      <c r="A97" s="119">
        <v>44470</v>
      </c>
      <c r="B97" s="120">
        <f>'CLP Tariff'!B102</f>
        <v>7852903</v>
      </c>
      <c r="C97" s="120">
        <f t="shared" si="5"/>
        <v>3164305.7347027995</v>
      </c>
      <c r="D97" s="120">
        <v>199774</v>
      </c>
      <c r="E97" s="120">
        <v>374048</v>
      </c>
      <c r="F97" s="120">
        <v>0</v>
      </c>
      <c r="G97" s="120">
        <v>112306</v>
      </c>
      <c r="H97" s="120">
        <v>239951.18200000003</v>
      </c>
      <c r="I97" s="120">
        <v>1567023.0832972005</v>
      </c>
      <c r="J97" s="120">
        <v>230083</v>
      </c>
      <c r="K97" s="120">
        <v>61621</v>
      </c>
      <c r="L97" s="120">
        <v>100243</v>
      </c>
      <c r="M97" s="120">
        <v>0</v>
      </c>
      <c r="N97" s="120">
        <v>172981</v>
      </c>
      <c r="O97" s="120">
        <v>42197</v>
      </c>
      <c r="P97" s="120">
        <v>4042</v>
      </c>
      <c r="Q97" s="120">
        <v>77042</v>
      </c>
      <c r="R97" s="120"/>
      <c r="S97" s="120"/>
      <c r="T97" s="120">
        <v>0</v>
      </c>
      <c r="U97" s="120">
        <v>0</v>
      </c>
      <c r="V97" s="216"/>
      <c r="W97" s="120">
        <v>145097</v>
      </c>
      <c r="X97" s="120">
        <v>674928</v>
      </c>
      <c r="Y97" s="120">
        <f>'CLP Tariff'!D102</f>
        <v>687261</v>
      </c>
      <c r="Z97" s="121">
        <v>302816</v>
      </c>
      <c r="AA97" s="122">
        <f t="shared" ref="AA97:AA109" si="10">Y97-Z97</f>
        <v>384445</v>
      </c>
      <c r="AB97" s="120">
        <f t="shared" si="6"/>
        <v>1740004.0832972005</v>
      </c>
      <c r="AD97" s="120">
        <f>106386+35895+336</f>
        <v>142617</v>
      </c>
      <c r="AE97" s="120">
        <v>0</v>
      </c>
      <c r="AF97" s="120">
        <v>0</v>
      </c>
      <c r="AG97" s="120">
        <v>0</v>
      </c>
      <c r="AH97" s="120"/>
      <c r="AI97" s="120"/>
      <c r="AJ97" s="120"/>
      <c r="AL97" s="120"/>
    </row>
    <row r="98" spans="1:38" ht="23.25" customHeight="1">
      <c r="A98" s="119">
        <v>44501</v>
      </c>
      <c r="B98" s="120">
        <f>'CLP Tariff'!B103</f>
        <v>7467307</v>
      </c>
      <c r="C98" s="120">
        <f t="shared" si="5"/>
        <v>3695906.9462484</v>
      </c>
      <c r="D98" s="120">
        <v>203833</v>
      </c>
      <c r="E98" s="120">
        <v>432887</v>
      </c>
      <c r="F98" s="120">
        <v>69324</v>
      </c>
      <c r="G98" s="120">
        <v>109183</v>
      </c>
      <c r="H98" s="120">
        <v>247373.44400000002</v>
      </c>
      <c r="I98" s="120">
        <v>935874.60975159972</v>
      </c>
      <c r="J98" s="120">
        <v>272363</v>
      </c>
      <c r="K98" s="120">
        <v>46745</v>
      </c>
      <c r="L98" s="120">
        <v>69976</v>
      </c>
      <c r="M98" s="120">
        <v>0</v>
      </c>
      <c r="N98" s="120">
        <v>93801</v>
      </c>
      <c r="O98" s="120">
        <v>30378</v>
      </c>
      <c r="P98" s="120">
        <v>3462</v>
      </c>
      <c r="Q98" s="120">
        <v>57774</v>
      </c>
      <c r="R98" s="120"/>
      <c r="S98" s="120"/>
      <c r="T98" s="120">
        <v>0</v>
      </c>
      <c r="U98" s="120">
        <v>0</v>
      </c>
      <c r="V98" s="216"/>
      <c r="W98" s="120">
        <v>122308</v>
      </c>
      <c r="X98" s="120">
        <v>495186</v>
      </c>
      <c r="Y98" s="120">
        <f>'CLP Tariff'!D103</f>
        <v>580932</v>
      </c>
      <c r="Z98" s="121">
        <v>338679</v>
      </c>
      <c r="AA98" s="122">
        <f t="shared" si="10"/>
        <v>242253</v>
      </c>
      <c r="AB98" s="120">
        <f t="shared" si="6"/>
        <v>1029675.6097515997</v>
      </c>
      <c r="AD98" s="120">
        <f>59158+23596+278</f>
        <v>83032</v>
      </c>
      <c r="AE98" s="120">
        <v>0</v>
      </c>
      <c r="AF98" s="120">
        <v>0</v>
      </c>
      <c r="AG98" s="120">
        <v>0</v>
      </c>
      <c r="AH98" s="120"/>
      <c r="AI98" s="120"/>
      <c r="AJ98" s="120"/>
      <c r="AL98" s="120"/>
    </row>
    <row r="99" spans="1:38" ht="23.25" customHeight="1">
      <c r="A99" s="119">
        <v>44531</v>
      </c>
      <c r="B99" s="120">
        <f>'CLP Tariff'!B104</f>
        <v>6220963</v>
      </c>
      <c r="C99" s="120">
        <f t="shared" si="5"/>
        <v>3182178.3547922</v>
      </c>
      <c r="D99" s="120">
        <v>188870</v>
      </c>
      <c r="E99" s="120">
        <v>372696</v>
      </c>
      <c r="F99" s="120">
        <v>51400</v>
      </c>
      <c r="G99" s="120">
        <v>104736</v>
      </c>
      <c r="H99" s="120">
        <v>229645.405</v>
      </c>
      <c r="I99" s="120">
        <v>572406.24020779971</v>
      </c>
      <c r="J99" s="120">
        <v>233281</v>
      </c>
      <c r="K99" s="120">
        <v>41794</v>
      </c>
      <c r="L99" s="120">
        <v>67881</v>
      </c>
      <c r="M99" s="120">
        <v>0</v>
      </c>
      <c r="N99" s="120">
        <v>63246</v>
      </c>
      <c r="O99" s="120">
        <v>28037</v>
      </c>
      <c r="P99" s="120">
        <v>2677</v>
      </c>
      <c r="Q99" s="120">
        <v>46306</v>
      </c>
      <c r="R99" s="120"/>
      <c r="S99" s="120"/>
      <c r="T99" s="120">
        <v>0</v>
      </c>
      <c r="U99" s="120">
        <v>0</v>
      </c>
      <c r="V99" s="216"/>
      <c r="W99" s="120">
        <v>104824</v>
      </c>
      <c r="X99" s="120">
        <v>405363</v>
      </c>
      <c r="Y99" s="120">
        <f>'CLP Tariff'!D104</f>
        <v>525622</v>
      </c>
      <c r="Z99" s="121">
        <v>304173</v>
      </c>
      <c r="AA99" s="122">
        <f t="shared" si="10"/>
        <v>221449</v>
      </c>
      <c r="AB99" s="120">
        <f t="shared" si="6"/>
        <v>635652.24020779971</v>
      </c>
      <c r="AD99" s="120">
        <f>23147+338+53941</f>
        <v>77426</v>
      </c>
      <c r="AE99" s="120">
        <v>0</v>
      </c>
      <c r="AF99" s="120">
        <v>0</v>
      </c>
      <c r="AG99" s="120">
        <v>0</v>
      </c>
      <c r="AH99" s="120"/>
      <c r="AI99" s="120"/>
      <c r="AJ99" s="120"/>
      <c r="AL99" s="120"/>
    </row>
    <row r="100" spans="1:38" ht="23.25" customHeight="1">
      <c r="A100" s="47">
        <v>44562</v>
      </c>
      <c r="B100" s="49">
        <f>'CLP Tariff'!B105</f>
        <v>5719630</v>
      </c>
      <c r="C100" s="49">
        <f t="shared" ref="C100:C131" si="11">B100-SUM(D100:Y100)</f>
        <v>2842487.0719999997</v>
      </c>
      <c r="D100" s="49">
        <v>185403</v>
      </c>
      <c r="E100" s="49">
        <v>344018</v>
      </c>
      <c r="F100" s="49">
        <v>42810</v>
      </c>
      <c r="G100" s="49">
        <v>92900</v>
      </c>
      <c r="H100" s="49">
        <v>217019.98800000001</v>
      </c>
      <c r="I100" s="49">
        <v>502701.94</v>
      </c>
      <c r="J100" s="49">
        <v>215329</v>
      </c>
      <c r="K100" s="49">
        <v>38644</v>
      </c>
      <c r="L100" s="49">
        <v>60492</v>
      </c>
      <c r="M100" s="49">
        <v>0</v>
      </c>
      <c r="N100" s="49">
        <v>47723</v>
      </c>
      <c r="O100" s="49">
        <v>40907</v>
      </c>
      <c r="P100" s="49">
        <v>2661</v>
      </c>
      <c r="Q100" s="49">
        <v>23332</v>
      </c>
      <c r="R100" s="49"/>
      <c r="S100" s="49"/>
      <c r="T100" s="49">
        <v>0</v>
      </c>
      <c r="U100" s="49">
        <v>0</v>
      </c>
      <c r="V100" s="213"/>
      <c r="W100" s="49">
        <v>111988</v>
      </c>
      <c r="X100" s="49">
        <v>439968</v>
      </c>
      <c r="Y100" s="49">
        <f>'CLP Tariff'!D105</f>
        <v>511246</v>
      </c>
      <c r="Z100" s="84">
        <v>258838</v>
      </c>
      <c r="AA100" s="146">
        <f t="shared" si="10"/>
        <v>252408</v>
      </c>
      <c r="AB100" s="49">
        <f t="shared" ref="AB100:AB131" si="12">I100+N100</f>
        <v>550424.93999999994</v>
      </c>
      <c r="AD100" s="49"/>
      <c r="AE100" s="49">
        <v>0</v>
      </c>
      <c r="AF100" s="49">
        <v>0</v>
      </c>
      <c r="AG100" s="49">
        <v>0</v>
      </c>
      <c r="AH100" s="49"/>
      <c r="AI100" s="49"/>
      <c r="AJ100" s="49"/>
      <c r="AL100" s="49"/>
    </row>
    <row r="101" spans="1:38" ht="23.25" customHeight="1">
      <c r="A101" s="47">
        <v>44593</v>
      </c>
      <c r="B101" s="49">
        <f>'CLP Tariff'!B106</f>
        <v>5973372</v>
      </c>
      <c r="C101" s="49">
        <f t="shared" si="11"/>
        <v>3167490.7630000003</v>
      </c>
      <c r="D101" s="49">
        <v>193713</v>
      </c>
      <c r="E101" s="49">
        <v>357227</v>
      </c>
      <c r="F101" s="49">
        <v>46410</v>
      </c>
      <c r="G101" s="49">
        <v>105333</v>
      </c>
      <c r="H101" s="49">
        <v>231947.36699999997</v>
      </c>
      <c r="I101" s="49">
        <v>353482.87</v>
      </c>
      <c r="J101" s="49">
        <v>219454</v>
      </c>
      <c r="K101" s="49">
        <v>37755</v>
      </c>
      <c r="L101" s="49">
        <v>52974</v>
      </c>
      <c r="M101" s="49">
        <v>0</v>
      </c>
      <c r="N101" s="49">
        <v>40630</v>
      </c>
      <c r="O101" s="49">
        <v>25565</v>
      </c>
      <c r="P101" s="49">
        <v>1838.9999999999986</v>
      </c>
      <c r="Q101" s="49">
        <v>11847</v>
      </c>
      <c r="R101" s="49"/>
      <c r="S101" s="49"/>
      <c r="T101" s="49">
        <v>0</v>
      </c>
      <c r="U101" s="49">
        <v>0</v>
      </c>
      <c r="V101" s="213"/>
      <c r="W101" s="49">
        <v>102478</v>
      </c>
      <c r="X101" s="49">
        <v>374586</v>
      </c>
      <c r="Y101" s="49">
        <f>'CLP Tariff'!D106</f>
        <v>650640</v>
      </c>
      <c r="Z101" s="84">
        <v>261658</v>
      </c>
      <c r="AA101" s="146">
        <f t="shared" si="10"/>
        <v>388982</v>
      </c>
      <c r="AB101" s="49">
        <f t="shared" si="12"/>
        <v>394112.87</v>
      </c>
      <c r="AD101" s="49"/>
      <c r="AE101" s="49">
        <v>0</v>
      </c>
      <c r="AF101" s="49">
        <v>0</v>
      </c>
      <c r="AG101" s="49">
        <v>0</v>
      </c>
      <c r="AH101" s="49"/>
      <c r="AI101" s="49"/>
      <c r="AJ101" s="49"/>
      <c r="AL101" s="49"/>
    </row>
    <row r="102" spans="1:38" ht="23.25" customHeight="1">
      <c r="A102" s="47">
        <v>44621</v>
      </c>
      <c r="B102" s="49">
        <f>'CLP Tariff'!B107</f>
        <v>6036375</v>
      </c>
      <c r="C102" s="49">
        <f t="shared" si="11"/>
        <v>2996940.2319999998</v>
      </c>
      <c r="D102" s="49">
        <v>176300</v>
      </c>
      <c r="E102" s="49">
        <v>355006</v>
      </c>
      <c r="F102" s="49">
        <v>47140</v>
      </c>
      <c r="G102" s="49">
        <v>109266</v>
      </c>
      <c r="H102" s="49">
        <v>215372.03800000003</v>
      </c>
      <c r="I102" s="49">
        <v>778373.73</v>
      </c>
      <c r="J102" s="49">
        <v>211474</v>
      </c>
      <c r="K102" s="49">
        <v>40293</v>
      </c>
      <c r="L102" s="49">
        <v>58322</v>
      </c>
      <c r="M102" s="49">
        <v>0</v>
      </c>
      <c r="N102" s="49">
        <v>73854</v>
      </c>
      <c r="O102" s="49">
        <v>24678</v>
      </c>
      <c r="P102" s="49">
        <v>3000</v>
      </c>
      <c r="Q102" s="49">
        <v>11987</v>
      </c>
      <c r="R102" s="49"/>
      <c r="S102" s="49"/>
      <c r="T102" s="49">
        <v>0</v>
      </c>
      <c r="U102" s="49">
        <v>0</v>
      </c>
      <c r="V102" s="213"/>
      <c r="W102" s="49">
        <v>111442</v>
      </c>
      <c r="X102" s="49">
        <v>352459</v>
      </c>
      <c r="Y102" s="49">
        <f>'CLP Tariff'!D107</f>
        <v>470468</v>
      </c>
      <c r="Z102" s="84">
        <v>242578</v>
      </c>
      <c r="AA102" s="146">
        <f t="shared" si="10"/>
        <v>227890</v>
      </c>
      <c r="AB102" s="49">
        <f t="shared" si="12"/>
        <v>852227.73</v>
      </c>
      <c r="AD102" s="49">
        <f>276+45586+17646</f>
        <v>63508</v>
      </c>
      <c r="AE102" s="49">
        <v>0</v>
      </c>
      <c r="AF102" s="49">
        <v>0</v>
      </c>
      <c r="AG102" s="49">
        <v>0</v>
      </c>
      <c r="AH102" s="49"/>
      <c r="AI102" s="49"/>
      <c r="AJ102" s="49"/>
      <c r="AL102" s="49"/>
    </row>
    <row r="103" spans="1:38" ht="23.25" customHeight="1">
      <c r="A103" s="47">
        <v>44652</v>
      </c>
      <c r="B103" s="49">
        <f>'CLP Tariff'!B108</f>
        <v>6614469</v>
      </c>
      <c r="C103" s="49">
        <f t="shared" si="11"/>
        <v>3105847.9419999998</v>
      </c>
      <c r="D103" s="49">
        <v>173413</v>
      </c>
      <c r="E103" s="49">
        <v>338789</v>
      </c>
      <c r="F103" s="49">
        <v>49364</v>
      </c>
      <c r="G103" s="49">
        <v>123200</v>
      </c>
      <c r="H103" s="49">
        <v>267931.478</v>
      </c>
      <c r="I103" s="49">
        <v>1054668.58</v>
      </c>
      <c r="J103" s="49">
        <v>202690</v>
      </c>
      <c r="K103" s="49">
        <v>50830</v>
      </c>
      <c r="L103" s="49">
        <v>57767</v>
      </c>
      <c r="M103" s="49">
        <v>0</v>
      </c>
      <c r="N103" s="49">
        <v>115979</v>
      </c>
      <c r="O103" s="49">
        <v>22670</v>
      </c>
      <c r="P103" s="49">
        <v>3000</v>
      </c>
      <c r="Q103" s="49">
        <v>24522</v>
      </c>
      <c r="R103" s="49"/>
      <c r="S103" s="49"/>
      <c r="T103" s="49">
        <v>0</v>
      </c>
      <c r="U103" s="49">
        <v>0</v>
      </c>
      <c r="V103" s="213"/>
      <c r="W103" s="49">
        <v>110156</v>
      </c>
      <c r="X103" s="49">
        <v>393679</v>
      </c>
      <c r="Y103" s="49">
        <f>'CLP Tariff'!D108</f>
        <v>519962</v>
      </c>
      <c r="Z103" s="84">
        <v>257203</v>
      </c>
      <c r="AA103" s="146">
        <f t="shared" si="10"/>
        <v>262759</v>
      </c>
      <c r="AB103" s="49">
        <f t="shared" si="12"/>
        <v>1170647.58</v>
      </c>
      <c r="AD103" s="49">
        <f>17960+307+42823</f>
        <v>61090</v>
      </c>
      <c r="AE103" s="49">
        <v>0</v>
      </c>
      <c r="AF103" s="49">
        <v>0</v>
      </c>
      <c r="AG103" s="49">
        <v>0</v>
      </c>
      <c r="AH103" s="49"/>
      <c r="AI103" s="49"/>
      <c r="AJ103" s="49"/>
      <c r="AL103" s="49"/>
    </row>
    <row r="104" spans="1:38" ht="23.25" customHeight="1">
      <c r="A104" s="47">
        <v>44682</v>
      </c>
      <c r="B104" s="49">
        <f>'CLP Tariff'!B109</f>
        <v>7536144</v>
      </c>
      <c r="C104" s="49">
        <f t="shared" si="11"/>
        <v>3332646.63</v>
      </c>
      <c r="D104" s="49">
        <v>186465</v>
      </c>
      <c r="E104" s="49">
        <v>381972</v>
      </c>
      <c r="F104" s="49">
        <v>66226</v>
      </c>
      <c r="G104" s="49">
        <v>134268</v>
      </c>
      <c r="H104" s="49">
        <v>257005.27000000002</v>
      </c>
      <c r="I104" s="49">
        <v>1500945.1</v>
      </c>
      <c r="J104" s="49">
        <v>218112</v>
      </c>
      <c r="K104" s="49">
        <v>47282</v>
      </c>
      <c r="L104" s="49">
        <v>60742</v>
      </c>
      <c r="M104" s="49">
        <v>0</v>
      </c>
      <c r="N104" s="49">
        <v>128870</v>
      </c>
      <c r="O104" s="49">
        <v>23250</v>
      </c>
      <c r="P104" s="49">
        <v>9190</v>
      </c>
      <c r="Q104" s="49">
        <v>64674</v>
      </c>
      <c r="R104" s="49"/>
      <c r="S104" s="49"/>
      <c r="T104" s="49">
        <v>0</v>
      </c>
      <c r="U104" s="49">
        <v>0</v>
      </c>
      <c r="V104" s="213"/>
      <c r="W104" s="49">
        <v>137154</v>
      </c>
      <c r="X104" s="49">
        <v>386561</v>
      </c>
      <c r="Y104" s="49">
        <f>'CLP Tariff'!D109</f>
        <v>600781</v>
      </c>
      <c r="Z104" s="84">
        <v>291975</v>
      </c>
      <c r="AA104" s="146">
        <f t="shared" si="10"/>
        <v>308806</v>
      </c>
      <c r="AB104" s="49">
        <f t="shared" si="12"/>
        <v>1629815.1</v>
      </c>
      <c r="AD104" s="49">
        <f>17699+305+45495</f>
        <v>63499</v>
      </c>
      <c r="AE104" s="49">
        <v>0</v>
      </c>
      <c r="AF104" s="49">
        <v>0</v>
      </c>
      <c r="AG104" s="49">
        <v>0</v>
      </c>
      <c r="AH104" s="49"/>
      <c r="AI104" s="49"/>
      <c r="AJ104" s="49"/>
      <c r="AL104" s="49"/>
    </row>
    <row r="105" spans="1:38" ht="23.25" customHeight="1">
      <c r="A105" s="47">
        <v>44713</v>
      </c>
      <c r="B105" s="49">
        <f>'CLP Tariff'!B110</f>
        <v>8743056</v>
      </c>
      <c r="C105" s="49">
        <f t="shared" si="11"/>
        <v>3343878.4390000002</v>
      </c>
      <c r="D105" s="49">
        <v>191180</v>
      </c>
      <c r="E105" s="49">
        <v>373954</v>
      </c>
      <c r="F105" s="49">
        <v>64920</v>
      </c>
      <c r="G105" s="49">
        <v>135646</v>
      </c>
      <c r="H105" s="49">
        <v>226258.95099999997</v>
      </c>
      <c r="I105" s="49">
        <v>2130901.61</v>
      </c>
      <c r="J105" s="49">
        <v>216767</v>
      </c>
      <c r="K105" s="49">
        <v>69729</v>
      </c>
      <c r="L105" s="49">
        <v>131317</v>
      </c>
      <c r="M105" s="49">
        <v>0</v>
      </c>
      <c r="N105" s="49">
        <v>226263</v>
      </c>
      <c r="O105" s="49">
        <v>47562</v>
      </c>
      <c r="P105" s="49">
        <v>4513</v>
      </c>
      <c r="Q105" s="49">
        <v>74042</v>
      </c>
      <c r="R105" s="49"/>
      <c r="S105" s="49"/>
      <c r="T105" s="49">
        <v>0</v>
      </c>
      <c r="U105" s="49">
        <v>0</v>
      </c>
      <c r="V105" s="213"/>
      <c r="W105" s="49">
        <v>200798</v>
      </c>
      <c r="X105" s="49">
        <v>482838</v>
      </c>
      <c r="Y105" s="49">
        <f>'CLP Tariff'!D110</f>
        <v>822488</v>
      </c>
      <c r="Z105" s="84">
        <v>299799</v>
      </c>
      <c r="AA105" s="146">
        <f t="shared" si="10"/>
        <v>522689</v>
      </c>
      <c r="AB105" s="49">
        <f t="shared" si="12"/>
        <v>2357164.61</v>
      </c>
      <c r="AD105" s="49">
        <f>40994+19616+301</f>
        <v>60911</v>
      </c>
      <c r="AE105" s="49">
        <v>0</v>
      </c>
      <c r="AF105" s="49">
        <v>0</v>
      </c>
      <c r="AG105" s="49">
        <v>0</v>
      </c>
      <c r="AH105" s="49"/>
      <c r="AI105" s="49"/>
      <c r="AJ105" s="49"/>
      <c r="AL105" s="49"/>
    </row>
    <row r="106" spans="1:38" ht="23.25" customHeight="1">
      <c r="A106" s="47">
        <v>44743</v>
      </c>
      <c r="B106" s="49">
        <f>'CLP Tariff'!B111</f>
        <v>8658648</v>
      </c>
      <c r="C106" s="49">
        <f t="shared" si="11"/>
        <v>2985191.1689999998</v>
      </c>
      <c r="D106" s="49">
        <v>180624</v>
      </c>
      <c r="E106" s="49">
        <v>335327</v>
      </c>
      <c r="F106" s="49">
        <v>66990</v>
      </c>
      <c r="G106" s="49">
        <v>125766</v>
      </c>
      <c r="H106" s="49">
        <v>239655.83100000001</v>
      </c>
      <c r="I106" s="49">
        <v>2485643</v>
      </c>
      <c r="J106" s="49">
        <v>181196</v>
      </c>
      <c r="K106" s="49">
        <v>67366</v>
      </c>
      <c r="L106" s="49">
        <v>129521</v>
      </c>
      <c r="M106" s="49">
        <v>0</v>
      </c>
      <c r="N106" s="49">
        <v>222744</v>
      </c>
      <c r="O106" s="49">
        <v>46061</v>
      </c>
      <c r="P106" s="49">
        <v>6355</v>
      </c>
      <c r="Q106" s="49">
        <v>70476</v>
      </c>
      <c r="R106" s="49"/>
      <c r="S106" s="49"/>
      <c r="T106" s="49">
        <v>0</v>
      </c>
      <c r="U106" s="49">
        <v>0</v>
      </c>
      <c r="V106" s="213"/>
      <c r="W106" s="49">
        <v>188600</v>
      </c>
      <c r="X106" s="49">
        <v>460050</v>
      </c>
      <c r="Y106" s="49">
        <f>'CLP Tariff'!D111</f>
        <v>867082</v>
      </c>
      <c r="Z106" s="84">
        <v>274978</v>
      </c>
      <c r="AA106" s="146">
        <f t="shared" si="10"/>
        <v>592104</v>
      </c>
      <c r="AB106" s="49">
        <f t="shared" si="12"/>
        <v>2708387</v>
      </c>
      <c r="AD106" s="49">
        <f>43596+21046+303</f>
        <v>64945</v>
      </c>
      <c r="AE106" s="49">
        <v>0</v>
      </c>
      <c r="AF106" s="49">
        <v>0</v>
      </c>
      <c r="AG106" s="49">
        <v>0</v>
      </c>
      <c r="AH106" s="49"/>
      <c r="AI106" s="49"/>
      <c r="AJ106" s="49"/>
      <c r="AL106" s="49"/>
    </row>
    <row r="107" spans="1:38" ht="23.25" customHeight="1">
      <c r="A107" s="47">
        <v>44774</v>
      </c>
      <c r="B107" s="49">
        <f>'CLP Tariff'!B112</f>
        <v>9488278</v>
      </c>
      <c r="C107" s="49">
        <f t="shared" si="11"/>
        <v>3657836.0599999996</v>
      </c>
      <c r="D107" s="49">
        <v>238816</v>
      </c>
      <c r="E107" s="49">
        <v>389800</v>
      </c>
      <c r="F107" s="49">
        <v>69480</v>
      </c>
      <c r="G107" s="49">
        <v>141763</v>
      </c>
      <c r="H107" s="49">
        <v>279749.7</v>
      </c>
      <c r="I107" s="49">
        <v>2278104.2400000002</v>
      </c>
      <c r="J107" s="49">
        <v>202462</v>
      </c>
      <c r="K107" s="49">
        <v>68389</v>
      </c>
      <c r="L107" s="49">
        <v>127143</v>
      </c>
      <c r="M107" s="49">
        <v>0</v>
      </c>
      <c r="N107" s="49">
        <v>238990</v>
      </c>
      <c r="O107" s="49">
        <v>58088</v>
      </c>
      <c r="P107" s="49">
        <v>6748</v>
      </c>
      <c r="Q107" s="49">
        <v>78711</v>
      </c>
      <c r="R107" s="49"/>
      <c r="S107" s="49"/>
      <c r="T107" s="49">
        <v>0</v>
      </c>
      <c r="U107" s="49">
        <v>0</v>
      </c>
      <c r="V107" s="213"/>
      <c r="W107" s="49">
        <v>200020</v>
      </c>
      <c r="X107" s="49">
        <v>509485</v>
      </c>
      <c r="Y107" s="49">
        <f>'CLP Tariff'!D112</f>
        <v>942693</v>
      </c>
      <c r="Z107" s="84">
        <v>328477</v>
      </c>
      <c r="AA107" s="146">
        <f t="shared" si="10"/>
        <v>614216</v>
      </c>
      <c r="AB107" s="49">
        <f t="shared" si="12"/>
        <v>2517094.2400000002</v>
      </c>
      <c r="AD107" s="49">
        <f>55913+23728+332</f>
        <v>79973</v>
      </c>
      <c r="AE107" s="49">
        <v>0</v>
      </c>
      <c r="AF107" s="49">
        <v>0</v>
      </c>
      <c r="AG107" s="49">
        <v>0</v>
      </c>
      <c r="AH107" s="49"/>
      <c r="AI107" s="49"/>
      <c r="AJ107" s="49"/>
      <c r="AL107" s="49"/>
    </row>
    <row r="108" spans="1:38" ht="23.25" customHeight="1">
      <c r="A108" s="47">
        <v>44805</v>
      </c>
      <c r="B108" s="49">
        <f>'CLP Tariff'!B113</f>
        <v>9620380</v>
      </c>
      <c r="C108" s="49">
        <f t="shared" si="11"/>
        <v>3972223.63</v>
      </c>
      <c r="D108" s="49">
        <v>182258</v>
      </c>
      <c r="E108" s="49">
        <v>370600</v>
      </c>
      <c r="F108" s="49">
        <v>70960</v>
      </c>
      <c r="G108" s="49">
        <v>129726</v>
      </c>
      <c r="H108" s="49">
        <v>279735.37</v>
      </c>
      <c r="I108" s="49">
        <v>1988413</v>
      </c>
      <c r="J108" s="49">
        <v>144397</v>
      </c>
      <c r="K108" s="49">
        <v>59150</v>
      </c>
      <c r="L108" s="49">
        <v>126966</v>
      </c>
      <c r="M108" s="49">
        <v>0</v>
      </c>
      <c r="N108" s="49">
        <v>209950</v>
      </c>
      <c r="O108" s="49">
        <v>49648</v>
      </c>
      <c r="P108" s="49">
        <v>14349</v>
      </c>
      <c r="Q108" s="49">
        <v>74107</v>
      </c>
      <c r="R108" s="49"/>
      <c r="S108" s="49"/>
      <c r="T108" s="49">
        <v>0</v>
      </c>
      <c r="U108" s="49">
        <v>0</v>
      </c>
      <c r="V108" s="213"/>
      <c r="W108" s="49">
        <v>197340</v>
      </c>
      <c r="X108" s="49">
        <v>792745</v>
      </c>
      <c r="Y108" s="49">
        <f>'CLP Tariff'!D113</f>
        <v>957812</v>
      </c>
      <c r="Z108" s="84">
        <v>371840</v>
      </c>
      <c r="AA108" s="146">
        <f t="shared" si="10"/>
        <v>585972</v>
      </c>
      <c r="AB108" s="49">
        <f t="shared" si="12"/>
        <v>2198363</v>
      </c>
      <c r="AD108" s="49">
        <f>24111+104452+274</f>
        <v>128837</v>
      </c>
      <c r="AE108" s="49">
        <v>0</v>
      </c>
      <c r="AF108" s="49">
        <v>0</v>
      </c>
      <c r="AG108" s="49">
        <v>0</v>
      </c>
      <c r="AH108" s="49"/>
      <c r="AI108" s="49"/>
      <c r="AJ108" s="49"/>
      <c r="AL108" s="49"/>
    </row>
    <row r="109" spans="1:38" ht="23.25" customHeight="1">
      <c r="A109" s="47">
        <v>44835</v>
      </c>
      <c r="B109" s="49">
        <f>'CLP Tariff'!B114</f>
        <v>7608376</v>
      </c>
      <c r="C109" s="49">
        <f t="shared" si="11"/>
        <v>3026537.9649470001</v>
      </c>
      <c r="D109" s="49">
        <v>201410</v>
      </c>
      <c r="E109" s="49">
        <v>352020</v>
      </c>
      <c r="F109" s="49">
        <v>62050</v>
      </c>
      <c r="G109" s="49">
        <v>145774</v>
      </c>
      <c r="H109" s="49">
        <v>275237.47441400005</v>
      </c>
      <c r="I109" s="49">
        <v>1469216.260639</v>
      </c>
      <c r="J109" s="49">
        <v>304172</v>
      </c>
      <c r="K109" s="49">
        <v>47679</v>
      </c>
      <c r="L109" s="49">
        <v>93814</v>
      </c>
      <c r="M109" s="49">
        <v>0</v>
      </c>
      <c r="N109" s="49">
        <v>143116</v>
      </c>
      <c r="O109" s="49">
        <v>29278</v>
      </c>
      <c r="P109" s="49">
        <v>7337.3000000000029</v>
      </c>
      <c r="Q109" s="49">
        <v>64072</v>
      </c>
      <c r="R109" s="49"/>
      <c r="S109" s="49"/>
      <c r="T109" s="49">
        <v>0</v>
      </c>
      <c r="U109" s="49">
        <v>0</v>
      </c>
      <c r="V109" s="213"/>
      <c r="W109" s="49">
        <v>133610</v>
      </c>
      <c r="X109" s="49">
        <v>595968</v>
      </c>
      <c r="Y109" s="49">
        <f>'CLP Tariff'!D114</f>
        <v>657084</v>
      </c>
      <c r="Z109" s="84">
        <v>337505</v>
      </c>
      <c r="AA109" s="146">
        <f t="shared" si="10"/>
        <v>319579</v>
      </c>
      <c r="AB109" s="49">
        <f t="shared" si="12"/>
        <v>1612332.260639</v>
      </c>
      <c r="AD109" s="49">
        <f>107345+27615+309</f>
        <v>135269</v>
      </c>
      <c r="AE109" s="49">
        <v>0</v>
      </c>
      <c r="AF109" s="49">
        <v>0</v>
      </c>
      <c r="AG109" s="49">
        <v>0</v>
      </c>
      <c r="AH109" s="49"/>
      <c r="AI109" s="49"/>
      <c r="AJ109" s="49"/>
      <c r="AL109" s="49"/>
    </row>
    <row r="110" spans="1:38" ht="23.25" customHeight="1">
      <c r="A110" s="47">
        <v>44866</v>
      </c>
      <c r="B110" s="49">
        <f>'CLP Tariff'!B115</f>
        <v>8270405</v>
      </c>
      <c r="C110" s="49">
        <f t="shared" si="11"/>
        <v>3955547.4860226</v>
      </c>
      <c r="D110" s="49">
        <v>261890</v>
      </c>
      <c r="E110" s="49">
        <v>399870</v>
      </c>
      <c r="F110" s="49">
        <v>73590</v>
      </c>
      <c r="G110" s="49">
        <v>160396</v>
      </c>
      <c r="H110" s="49">
        <v>274731.02158599999</v>
      </c>
      <c r="I110" s="49">
        <v>1233452.4923913998</v>
      </c>
      <c r="J110" s="49">
        <v>258047</v>
      </c>
      <c r="K110" s="49">
        <v>56060</v>
      </c>
      <c r="L110" s="49">
        <v>72060</v>
      </c>
      <c r="M110" s="49">
        <v>0</v>
      </c>
      <c r="N110" s="49">
        <v>130337</v>
      </c>
      <c r="O110" s="49">
        <v>42146</v>
      </c>
      <c r="P110" s="49">
        <v>6492</v>
      </c>
      <c r="Q110" s="49">
        <v>61394</v>
      </c>
      <c r="R110" s="49"/>
      <c r="S110" s="49"/>
      <c r="T110" s="49">
        <v>0</v>
      </c>
      <c r="U110" s="49">
        <v>0</v>
      </c>
      <c r="V110" s="213"/>
      <c r="W110" s="49">
        <v>119820</v>
      </c>
      <c r="X110" s="49">
        <v>509994</v>
      </c>
      <c r="Y110" s="49">
        <f>'CLP Tariff'!D115</f>
        <v>654578</v>
      </c>
      <c r="Z110" s="84">
        <v>378554</v>
      </c>
      <c r="AA110" s="146">
        <f t="shared" ref="AA110:AA115" si="13">Y110-Z110</f>
        <v>276024</v>
      </c>
      <c r="AB110" s="49">
        <f t="shared" si="12"/>
        <v>1363789.4923913998</v>
      </c>
      <c r="AD110" s="49">
        <f>71804+26830+318</f>
        <v>98952</v>
      </c>
      <c r="AE110" s="49">
        <v>0</v>
      </c>
      <c r="AF110" s="49">
        <v>0</v>
      </c>
      <c r="AG110" s="49">
        <v>0</v>
      </c>
      <c r="AH110" s="49"/>
      <c r="AI110" s="49"/>
      <c r="AJ110" s="49"/>
      <c r="AL110" s="49"/>
    </row>
    <row r="111" spans="1:38" ht="23.25" customHeight="1">
      <c r="A111" s="47">
        <v>44896</v>
      </c>
      <c r="B111" s="49">
        <f>'CLP Tariff'!B116</f>
        <v>6285639</v>
      </c>
      <c r="C111" s="49">
        <f t="shared" si="11"/>
        <v>3000351.5253322874</v>
      </c>
      <c r="D111" s="49">
        <v>189301</v>
      </c>
      <c r="E111" s="49">
        <v>364897</v>
      </c>
      <c r="F111" s="49">
        <v>66390</v>
      </c>
      <c r="G111" s="49">
        <v>207432</v>
      </c>
      <c r="H111" s="49">
        <v>284045.88194531255</v>
      </c>
      <c r="I111" s="49">
        <v>556257.59272239998</v>
      </c>
      <c r="J111" s="49">
        <v>229681</v>
      </c>
      <c r="K111" s="49">
        <v>44577</v>
      </c>
      <c r="L111" s="49">
        <v>91252</v>
      </c>
      <c r="M111" s="49">
        <v>0</v>
      </c>
      <c r="N111" s="49">
        <v>47314</v>
      </c>
      <c r="O111" s="49">
        <v>30935</v>
      </c>
      <c r="P111" s="49">
        <v>3918</v>
      </c>
      <c r="Q111" s="49">
        <v>49088</v>
      </c>
      <c r="R111" s="49"/>
      <c r="S111" s="49"/>
      <c r="T111" s="49">
        <v>0</v>
      </c>
      <c r="U111" s="49">
        <v>0</v>
      </c>
      <c r="V111" s="213"/>
      <c r="W111" s="49">
        <v>105310</v>
      </c>
      <c r="X111" s="49">
        <v>408265</v>
      </c>
      <c r="Y111" s="49">
        <f>'CLP Tariff'!D116</f>
        <v>606624</v>
      </c>
      <c r="Z111" s="84">
        <v>330635</v>
      </c>
      <c r="AA111" s="146">
        <f t="shared" si="13"/>
        <v>275989</v>
      </c>
      <c r="AB111" s="49">
        <f t="shared" si="12"/>
        <v>603571.59272239998</v>
      </c>
      <c r="AD111" s="49">
        <f>57785+21014+306</f>
        <v>79105</v>
      </c>
      <c r="AE111" s="49">
        <v>0</v>
      </c>
      <c r="AF111" s="49">
        <v>0</v>
      </c>
      <c r="AG111" s="49">
        <v>0</v>
      </c>
      <c r="AH111" s="49"/>
      <c r="AI111" s="49"/>
      <c r="AJ111" s="49"/>
      <c r="AL111" s="49"/>
    </row>
    <row r="112" spans="1:38" ht="23.25" customHeight="1">
      <c r="A112" s="167">
        <v>44927</v>
      </c>
      <c r="B112" s="168">
        <f>'CLP Tariff'!B117</f>
        <v>6116888</v>
      </c>
      <c r="C112" s="168">
        <f t="shared" si="11"/>
        <v>2907283.2231594753</v>
      </c>
      <c r="D112" s="168">
        <v>203969</v>
      </c>
      <c r="E112" s="168">
        <v>366341</v>
      </c>
      <c r="F112" s="168">
        <v>64380</v>
      </c>
      <c r="G112" s="168">
        <v>206177</v>
      </c>
      <c r="H112" s="168">
        <v>274256.00520312495</v>
      </c>
      <c r="I112" s="168">
        <v>556059.77163739991</v>
      </c>
      <c r="J112" s="168">
        <v>217300</v>
      </c>
      <c r="K112" s="168">
        <v>39987</v>
      </c>
      <c r="L112" s="168">
        <v>69190</v>
      </c>
      <c r="M112" s="168">
        <v>0</v>
      </c>
      <c r="N112" s="168">
        <v>45634</v>
      </c>
      <c r="O112" s="168">
        <v>21361</v>
      </c>
      <c r="P112" s="168">
        <v>3960</v>
      </c>
      <c r="Q112" s="168">
        <v>46743</v>
      </c>
      <c r="R112" s="168"/>
      <c r="S112" s="168"/>
      <c r="T112" s="168">
        <v>0</v>
      </c>
      <c r="U112" s="168">
        <v>0</v>
      </c>
      <c r="V112" s="168">
        <v>120500</v>
      </c>
      <c r="W112" s="168">
        <v>95650</v>
      </c>
      <c r="X112" s="168">
        <v>318713</v>
      </c>
      <c r="Y112" s="168">
        <f>'CLP Tariff'!D117</f>
        <v>559384</v>
      </c>
      <c r="Z112" s="169">
        <v>291933</v>
      </c>
      <c r="AA112" s="170">
        <f t="shared" si="13"/>
        <v>267451</v>
      </c>
      <c r="AB112" s="168">
        <f t="shared" si="12"/>
        <v>601693.77163739991</v>
      </c>
      <c r="AD112" s="168">
        <f>29831+12394+257</f>
        <v>42482</v>
      </c>
      <c r="AE112" s="168">
        <v>0</v>
      </c>
      <c r="AF112" s="168">
        <v>0</v>
      </c>
      <c r="AG112" s="168">
        <v>0</v>
      </c>
      <c r="AH112" s="168"/>
      <c r="AI112" s="168"/>
      <c r="AJ112" s="168"/>
      <c r="AL112" s="168"/>
    </row>
    <row r="113" spans="1:38" ht="23.25" customHeight="1">
      <c r="A113" s="167">
        <v>44958</v>
      </c>
      <c r="B113" s="168">
        <f>'CLP Tariff'!B118</f>
        <v>6266442</v>
      </c>
      <c r="C113" s="168">
        <f t="shared" si="11"/>
        <v>3003711.2190976441</v>
      </c>
      <c r="D113" s="168">
        <v>199047</v>
      </c>
      <c r="E113" s="168">
        <v>344682</v>
      </c>
      <c r="F113" s="168">
        <v>59850</v>
      </c>
      <c r="G113" s="168">
        <v>180898</v>
      </c>
      <c r="H113" s="168">
        <v>266331.40353515628</v>
      </c>
      <c r="I113" s="168">
        <v>601288.07736719982</v>
      </c>
      <c r="J113" s="168">
        <v>228400</v>
      </c>
      <c r="K113" s="168">
        <v>42292</v>
      </c>
      <c r="L113" s="168">
        <v>66777</v>
      </c>
      <c r="M113" s="168">
        <v>0</v>
      </c>
      <c r="N113" s="168">
        <v>53805</v>
      </c>
      <c r="O113" s="168">
        <v>25635</v>
      </c>
      <c r="P113" s="168">
        <v>3751.2999999999956</v>
      </c>
      <c r="Q113" s="168">
        <v>32839</v>
      </c>
      <c r="R113" s="168"/>
      <c r="S113" s="168"/>
      <c r="T113" s="168">
        <v>0</v>
      </c>
      <c r="U113" s="168">
        <v>0</v>
      </c>
      <c r="V113" s="168">
        <v>111300</v>
      </c>
      <c r="W113" s="168">
        <v>97450</v>
      </c>
      <c r="X113" s="168">
        <v>401557</v>
      </c>
      <c r="Y113" s="168">
        <f>'CLP Tariff'!D118</f>
        <v>546828</v>
      </c>
      <c r="Z113" s="169">
        <f>'Commercial &amp; Quarter'!DP72</f>
        <v>330857</v>
      </c>
      <c r="AA113" s="170">
        <f t="shared" si="13"/>
        <v>215971</v>
      </c>
      <c r="AB113" s="168">
        <f t="shared" si="12"/>
        <v>655093.07736719982</v>
      </c>
      <c r="AD113" s="168">
        <f>47545+18128+334</f>
        <v>66007</v>
      </c>
      <c r="AE113" s="168">
        <v>0</v>
      </c>
      <c r="AF113" s="168">
        <v>0</v>
      </c>
      <c r="AG113" s="168">
        <v>0</v>
      </c>
      <c r="AH113" s="168"/>
      <c r="AI113" s="168"/>
      <c r="AJ113" s="168"/>
      <c r="AL113" s="168"/>
    </row>
    <row r="114" spans="1:38" ht="23.25" customHeight="1">
      <c r="A114" s="167">
        <v>44986</v>
      </c>
      <c r="B114" s="168">
        <f>'CLP Tariff'!B119</f>
        <v>6828592</v>
      </c>
      <c r="C114" s="168">
        <f t="shared" si="11"/>
        <v>3087482.7591824108</v>
      </c>
      <c r="D114" s="168">
        <v>208188</v>
      </c>
      <c r="E114" s="168">
        <v>371708</v>
      </c>
      <c r="F114" s="168">
        <v>62330</v>
      </c>
      <c r="G114" s="168">
        <v>161082</v>
      </c>
      <c r="H114" s="168">
        <v>290892.82878858945</v>
      </c>
      <c r="I114" s="168">
        <v>869346.41202899988</v>
      </c>
      <c r="J114" s="168">
        <v>244523</v>
      </c>
      <c r="K114" s="168">
        <v>53343</v>
      </c>
      <c r="L114" s="168">
        <v>77615</v>
      </c>
      <c r="M114" s="168"/>
      <c r="N114" s="168">
        <v>87303</v>
      </c>
      <c r="O114" s="168">
        <v>29052</v>
      </c>
      <c r="P114" s="168">
        <v>4863</v>
      </c>
      <c r="Q114" s="168">
        <v>60432</v>
      </c>
      <c r="R114" s="168"/>
      <c r="S114" s="168"/>
      <c r="T114" s="168">
        <v>0</v>
      </c>
      <c r="U114" s="168">
        <v>0</v>
      </c>
      <c r="V114" s="168">
        <v>128500</v>
      </c>
      <c r="W114" s="168">
        <v>105840</v>
      </c>
      <c r="X114" s="168">
        <v>422423</v>
      </c>
      <c r="Y114" s="168">
        <f>'CLP Tariff'!D119</f>
        <v>563668</v>
      </c>
      <c r="Z114" s="169">
        <f>'Commercial &amp; Quarter'!DQ72</f>
        <v>362033</v>
      </c>
      <c r="AA114" s="170">
        <f t="shared" si="13"/>
        <v>201635</v>
      </c>
      <c r="AB114" s="168">
        <f t="shared" si="12"/>
        <v>956649.41202899988</v>
      </c>
      <c r="AD114" s="168">
        <f>47566+17394+266</f>
        <v>65226</v>
      </c>
      <c r="AE114" s="168">
        <v>0</v>
      </c>
      <c r="AF114" s="168">
        <v>0</v>
      </c>
      <c r="AG114" s="168">
        <v>0</v>
      </c>
      <c r="AH114" s="168"/>
      <c r="AI114" s="168"/>
      <c r="AJ114" s="168"/>
      <c r="AL114" s="168"/>
    </row>
    <row r="115" spans="1:38" ht="23.25" customHeight="1">
      <c r="A115" s="167">
        <v>45017</v>
      </c>
      <c r="B115" s="168">
        <f>'CLP Tariff'!B120</f>
        <v>6998355</v>
      </c>
      <c r="C115" s="168">
        <f t="shared" si="11"/>
        <v>2888262.090776748</v>
      </c>
      <c r="D115" s="168">
        <v>203002</v>
      </c>
      <c r="E115" s="168">
        <v>343942</v>
      </c>
      <c r="F115" s="168">
        <v>60020</v>
      </c>
      <c r="G115" s="168">
        <v>130668</v>
      </c>
      <c r="H115" s="168">
        <v>296463.72922325134</v>
      </c>
      <c r="I115" s="168">
        <v>1134981.4800000002</v>
      </c>
      <c r="J115" s="168">
        <v>221077</v>
      </c>
      <c r="K115" s="168">
        <v>51421</v>
      </c>
      <c r="L115" s="168">
        <v>84792</v>
      </c>
      <c r="M115" s="168"/>
      <c r="N115" s="168">
        <v>105975</v>
      </c>
      <c r="O115" s="168">
        <v>33207</v>
      </c>
      <c r="P115" s="168">
        <v>5858.1000000000058</v>
      </c>
      <c r="Q115" s="168">
        <v>55411</v>
      </c>
      <c r="R115" s="168"/>
      <c r="S115" s="168"/>
      <c r="T115" s="168">
        <v>0</v>
      </c>
      <c r="U115" s="168">
        <v>0</v>
      </c>
      <c r="V115" s="168">
        <v>171500</v>
      </c>
      <c r="W115" s="168">
        <v>112930</v>
      </c>
      <c r="X115" s="168">
        <v>505397.6</v>
      </c>
      <c r="Y115" s="168">
        <f>'CLP Tariff'!D120</f>
        <v>593447</v>
      </c>
      <c r="Z115" s="169">
        <f>'Commercial &amp; Quarter'!DR72</f>
        <v>334481</v>
      </c>
      <c r="AA115" s="170">
        <f t="shared" si="13"/>
        <v>258966</v>
      </c>
      <c r="AB115" s="168">
        <f t="shared" si="12"/>
        <v>1240956.4800000002</v>
      </c>
      <c r="AD115" s="168">
        <f>71887+26754+348</f>
        <v>98989</v>
      </c>
      <c r="AE115" s="168">
        <v>0</v>
      </c>
      <c r="AF115" s="168">
        <v>0</v>
      </c>
      <c r="AG115" s="168">
        <v>0</v>
      </c>
      <c r="AH115" s="168"/>
      <c r="AI115" s="168"/>
      <c r="AJ115" s="168"/>
      <c r="AL115" s="168"/>
    </row>
    <row r="116" spans="1:38" ht="23.25" customHeight="1">
      <c r="A116" s="167">
        <v>45047</v>
      </c>
      <c r="B116" s="168">
        <f>'CLP Tariff'!B121</f>
        <v>8625441</v>
      </c>
      <c r="C116" s="168">
        <f t="shared" si="11"/>
        <v>3325897.3307104493</v>
      </c>
      <c r="D116" s="168">
        <v>217017</v>
      </c>
      <c r="E116" s="168">
        <v>395100</v>
      </c>
      <c r="F116" s="168">
        <v>70780</v>
      </c>
      <c r="G116" s="168">
        <v>134571</v>
      </c>
      <c r="H116" s="168">
        <v>333421.95928955078</v>
      </c>
      <c r="I116" s="168">
        <v>1674900.8099999998</v>
      </c>
      <c r="J116" s="168">
        <v>246200</v>
      </c>
      <c r="K116" s="168">
        <v>67214</v>
      </c>
      <c r="L116" s="168">
        <v>129786</v>
      </c>
      <c r="M116" s="168"/>
      <c r="N116" s="168">
        <v>162347</v>
      </c>
      <c r="O116" s="168">
        <v>34087</v>
      </c>
      <c r="P116" s="168">
        <v>9007.1999999999971</v>
      </c>
      <c r="Q116" s="168">
        <v>69546</v>
      </c>
      <c r="R116" s="168"/>
      <c r="S116" s="168"/>
      <c r="T116" s="168">
        <v>0</v>
      </c>
      <c r="U116" s="168">
        <v>0</v>
      </c>
      <c r="V116" s="168">
        <v>241758</v>
      </c>
      <c r="W116" s="168">
        <v>158700</v>
      </c>
      <c r="X116" s="168">
        <v>580250.69999999995</v>
      </c>
      <c r="Y116" s="168">
        <f>'CLP Tariff'!D121</f>
        <v>774857</v>
      </c>
      <c r="Z116" s="169">
        <f>'Commercial &amp; Quarter'!DS72</f>
        <v>378813</v>
      </c>
      <c r="AA116" s="170">
        <f t="shared" ref="AA116:AA121" si="14">Y116-Z116</f>
        <v>396044</v>
      </c>
      <c r="AB116" s="168">
        <f t="shared" si="12"/>
        <v>1837247.8099999998</v>
      </c>
      <c r="AD116" s="168">
        <f>74582+25906+277</f>
        <v>100765</v>
      </c>
      <c r="AE116" s="168">
        <v>0</v>
      </c>
      <c r="AF116" s="168">
        <v>0</v>
      </c>
      <c r="AG116" s="168">
        <v>0</v>
      </c>
      <c r="AH116" s="168"/>
      <c r="AI116" s="168"/>
      <c r="AJ116" s="168"/>
      <c r="AL116" s="168"/>
    </row>
    <row r="117" spans="1:38" ht="23.25" customHeight="1">
      <c r="A117" s="167">
        <v>45078</v>
      </c>
      <c r="B117" s="168">
        <f>'CLP Tariff'!B122</f>
        <v>9164894</v>
      </c>
      <c r="C117" s="168">
        <f t="shared" si="11"/>
        <v>3168628.3</v>
      </c>
      <c r="D117" s="168">
        <v>196368</v>
      </c>
      <c r="E117" s="168">
        <v>377740</v>
      </c>
      <c r="F117" s="168">
        <v>69220</v>
      </c>
      <c r="G117" s="168">
        <v>130018</v>
      </c>
      <c r="H117" s="168">
        <v>325721</v>
      </c>
      <c r="I117" s="168">
        <v>2088084</v>
      </c>
      <c r="J117" s="168">
        <v>221800</v>
      </c>
      <c r="K117" s="168">
        <v>56861</v>
      </c>
      <c r="L117" s="168">
        <v>153093</v>
      </c>
      <c r="M117" s="168"/>
      <c r="N117" s="168">
        <v>185045</v>
      </c>
      <c r="O117" s="168">
        <v>35804</v>
      </c>
      <c r="P117" s="168">
        <v>11908</v>
      </c>
      <c r="Q117" s="168">
        <v>63058</v>
      </c>
      <c r="R117" s="168"/>
      <c r="S117" s="168"/>
      <c r="T117" s="168">
        <v>0</v>
      </c>
      <c r="U117" s="168">
        <v>0</v>
      </c>
      <c r="V117" s="168">
        <v>309600</v>
      </c>
      <c r="W117" s="168">
        <v>197740</v>
      </c>
      <c r="X117" s="168">
        <v>654246.69999999995</v>
      </c>
      <c r="Y117" s="168">
        <f>'CLP Tariff'!D122</f>
        <v>919959</v>
      </c>
      <c r="Z117" s="169">
        <f>'Commercial &amp; Quarter'!DT72</f>
        <v>338399</v>
      </c>
      <c r="AA117" s="170">
        <f t="shared" si="14"/>
        <v>581560</v>
      </c>
      <c r="AB117" s="168">
        <f t="shared" si="12"/>
        <v>2273129</v>
      </c>
      <c r="AD117" s="168">
        <f>91477+30366+320</f>
        <v>122163</v>
      </c>
      <c r="AE117" s="168">
        <v>0</v>
      </c>
      <c r="AF117" s="168">
        <v>0</v>
      </c>
      <c r="AG117" s="168">
        <v>0</v>
      </c>
      <c r="AH117" s="168"/>
      <c r="AI117" s="168"/>
      <c r="AJ117" s="168"/>
      <c r="AL117" s="168"/>
    </row>
    <row r="118" spans="1:38" ht="23.25" customHeight="1">
      <c r="A118" s="167">
        <v>45108</v>
      </c>
      <c r="B118" s="168">
        <f>'CLP Tariff'!B123</f>
        <v>8395978</v>
      </c>
      <c r="C118" s="168">
        <f t="shared" si="11"/>
        <v>2247388.0999999996</v>
      </c>
      <c r="D118" s="168">
        <v>231950</v>
      </c>
      <c r="E118" s="168">
        <v>401450</v>
      </c>
      <c r="F118" s="168">
        <v>66610</v>
      </c>
      <c r="G118" s="168">
        <v>124539</v>
      </c>
      <c r="H118" s="168">
        <v>366511</v>
      </c>
      <c r="I118" s="168">
        <v>2235244</v>
      </c>
      <c r="J118" s="168">
        <v>230400</v>
      </c>
      <c r="K118" s="168">
        <v>49612</v>
      </c>
      <c r="L118" s="168">
        <v>149108</v>
      </c>
      <c r="M118" s="168"/>
      <c r="N118" s="168">
        <v>186865</v>
      </c>
      <c r="O118" s="168">
        <v>43768</v>
      </c>
      <c r="P118" s="168">
        <v>14113</v>
      </c>
      <c r="Q118" s="168">
        <v>67884</v>
      </c>
      <c r="R118" s="168"/>
      <c r="S118" s="168"/>
      <c r="T118" s="168">
        <v>0</v>
      </c>
      <c r="U118" s="168">
        <v>0</v>
      </c>
      <c r="V118" s="168">
        <v>355700</v>
      </c>
      <c r="W118" s="168">
        <v>191240</v>
      </c>
      <c r="X118" s="168">
        <v>578960.9</v>
      </c>
      <c r="Y118" s="168">
        <f>'CLP Tariff'!D123</f>
        <v>854635</v>
      </c>
      <c r="Z118" s="169">
        <f>'Commercial &amp; Quarter'!DU72</f>
        <v>301258</v>
      </c>
      <c r="AA118" s="170">
        <f t="shared" si="14"/>
        <v>553377</v>
      </c>
      <c r="AB118" s="168">
        <f t="shared" si="12"/>
        <v>2422109</v>
      </c>
      <c r="AD118" s="168">
        <f>77596+23593+256</f>
        <v>101445</v>
      </c>
      <c r="AE118" s="168">
        <v>0</v>
      </c>
      <c r="AF118" s="168">
        <v>0</v>
      </c>
      <c r="AG118" s="168">
        <v>0</v>
      </c>
      <c r="AH118" s="168"/>
      <c r="AI118" s="168"/>
      <c r="AJ118" s="168"/>
      <c r="AL118" s="168"/>
    </row>
    <row r="119" spans="1:38" ht="23.25" customHeight="1">
      <c r="A119" s="167">
        <v>45139</v>
      </c>
      <c r="B119" s="168">
        <f>'CLP Tariff'!B124</f>
        <v>10021052</v>
      </c>
      <c r="C119" s="168">
        <f t="shared" si="11"/>
        <v>3687849.7700000014</v>
      </c>
      <c r="D119" s="168">
        <v>212471</v>
      </c>
      <c r="E119" s="168">
        <v>386230</v>
      </c>
      <c r="F119" s="168">
        <v>63030</v>
      </c>
      <c r="G119" s="168">
        <v>123688</v>
      </c>
      <c r="H119" s="168">
        <v>315255</v>
      </c>
      <c r="I119" s="168">
        <v>2261709.129999999</v>
      </c>
      <c r="J119" s="168">
        <v>220600</v>
      </c>
      <c r="K119" s="168">
        <v>63082</v>
      </c>
      <c r="L119" s="168">
        <v>196791</v>
      </c>
      <c r="M119" s="168"/>
      <c r="N119" s="168">
        <v>245701</v>
      </c>
      <c r="O119" s="168">
        <v>33881</v>
      </c>
      <c r="P119" s="168">
        <v>12424</v>
      </c>
      <c r="Q119" s="168">
        <v>62895</v>
      </c>
      <c r="R119" s="168"/>
      <c r="S119" s="168"/>
      <c r="T119" s="168">
        <v>0</v>
      </c>
      <c r="U119" s="168">
        <v>0</v>
      </c>
      <c r="V119" s="168">
        <v>355100</v>
      </c>
      <c r="W119" s="168">
        <v>182220</v>
      </c>
      <c r="X119" s="168">
        <v>574170.1</v>
      </c>
      <c r="Y119" s="168">
        <f>'CLP Tariff'!D124</f>
        <v>1023955</v>
      </c>
      <c r="Z119" s="169">
        <f>'Commercial &amp; Quarter'!DV72</f>
        <v>353508</v>
      </c>
      <c r="AA119" s="170">
        <f t="shared" si="14"/>
        <v>670447</v>
      </c>
      <c r="AB119" s="168">
        <f t="shared" si="12"/>
        <v>2507410.129999999</v>
      </c>
      <c r="AD119" s="168">
        <f>99828+31965+325</f>
        <v>132118</v>
      </c>
      <c r="AE119" s="168">
        <v>0</v>
      </c>
      <c r="AF119" s="168">
        <v>0</v>
      </c>
      <c r="AG119" s="168">
        <v>0</v>
      </c>
      <c r="AH119" s="168"/>
      <c r="AI119" s="168"/>
      <c r="AJ119" s="168"/>
      <c r="AL119" s="168"/>
    </row>
    <row r="120" spans="1:38" ht="23.25" customHeight="1">
      <c r="A120" s="167">
        <v>45170</v>
      </c>
      <c r="B120" s="168">
        <f>'CLP Tariff'!B125</f>
        <v>9234983</v>
      </c>
      <c r="C120" s="168">
        <f t="shared" si="11"/>
        <v>3068198.1399999997</v>
      </c>
      <c r="D120" s="168">
        <v>210702</v>
      </c>
      <c r="E120" s="168">
        <v>397330</v>
      </c>
      <c r="F120" s="168">
        <v>60020</v>
      </c>
      <c r="G120" s="168">
        <v>125072</v>
      </c>
      <c r="H120" s="168">
        <v>309832</v>
      </c>
      <c r="I120" s="168">
        <v>2087765.86</v>
      </c>
      <c r="J120" s="168">
        <v>228100</v>
      </c>
      <c r="K120" s="168">
        <v>48820</v>
      </c>
      <c r="L120" s="168">
        <v>133636</v>
      </c>
      <c r="M120" s="168"/>
      <c r="N120" s="168">
        <v>172602</v>
      </c>
      <c r="O120" s="168">
        <v>57403</v>
      </c>
      <c r="P120" s="168">
        <v>8392</v>
      </c>
      <c r="Q120" s="168">
        <v>58131</v>
      </c>
      <c r="R120" s="168"/>
      <c r="S120" s="168"/>
      <c r="T120" s="168">
        <v>0</v>
      </c>
      <c r="U120" s="168">
        <v>37989</v>
      </c>
      <c r="V120" s="168">
        <v>332800</v>
      </c>
      <c r="W120" s="168">
        <v>174560</v>
      </c>
      <c r="X120" s="168">
        <v>798145</v>
      </c>
      <c r="Y120" s="168">
        <f>'CLP Tariff'!D125</f>
        <v>925485</v>
      </c>
      <c r="Z120" s="169">
        <f>'Commercial &amp; Quarter'!DW72</f>
        <v>370944</v>
      </c>
      <c r="AA120" s="170">
        <f t="shared" si="14"/>
        <v>554541</v>
      </c>
      <c r="AB120" s="168">
        <f t="shared" si="12"/>
        <v>2260367.8600000003</v>
      </c>
      <c r="AD120" s="168">
        <f>92591+30175+284</f>
        <v>123050</v>
      </c>
      <c r="AE120" s="168">
        <v>0</v>
      </c>
      <c r="AF120" s="168">
        <v>0</v>
      </c>
      <c r="AG120" s="168">
        <v>0</v>
      </c>
      <c r="AH120" s="168"/>
      <c r="AI120" s="168"/>
      <c r="AJ120" s="168"/>
      <c r="AL120" s="168"/>
    </row>
    <row r="121" spans="1:38" ht="23.25" customHeight="1">
      <c r="A121" s="167">
        <v>45200</v>
      </c>
      <c r="B121" s="168">
        <f>'CLP Tariff'!B126</f>
        <v>8906994</v>
      </c>
      <c r="C121" s="168">
        <f t="shared" si="11"/>
        <v>3472719.9999999991</v>
      </c>
      <c r="D121" s="168">
        <v>209344</v>
      </c>
      <c r="E121" s="168">
        <v>401070</v>
      </c>
      <c r="F121" s="168">
        <v>60560</v>
      </c>
      <c r="G121" s="168">
        <v>130293</v>
      </c>
      <c r="H121" s="168">
        <v>330878</v>
      </c>
      <c r="I121" s="168">
        <v>1682178</v>
      </c>
      <c r="J121" s="168">
        <v>234800</v>
      </c>
      <c r="K121" s="168">
        <v>54006</v>
      </c>
      <c r="L121" s="168">
        <v>129915</v>
      </c>
      <c r="M121" s="168"/>
      <c r="N121" s="168">
        <v>161279</v>
      </c>
      <c r="O121" s="168">
        <v>30563</v>
      </c>
      <c r="P121" s="168">
        <v>6860</v>
      </c>
      <c r="Q121" s="168">
        <v>55225</v>
      </c>
      <c r="R121" s="168"/>
      <c r="S121" s="168"/>
      <c r="T121" s="168">
        <v>0</v>
      </c>
      <c r="U121" s="168">
        <v>37989</v>
      </c>
      <c r="V121" s="168">
        <v>273600</v>
      </c>
      <c r="W121" s="168">
        <v>141370</v>
      </c>
      <c r="X121" s="168">
        <v>695080.0000000007</v>
      </c>
      <c r="Y121" s="168">
        <f>'CLP Tariff'!D126</f>
        <v>799264</v>
      </c>
      <c r="Z121" s="169">
        <f>'Commercial &amp; Quarter'!DX72</f>
        <v>377527</v>
      </c>
      <c r="AA121" s="170">
        <f t="shared" si="14"/>
        <v>421737</v>
      </c>
      <c r="AB121" s="168">
        <f t="shared" si="12"/>
        <v>1843457</v>
      </c>
      <c r="AD121" s="168">
        <f>314+30974+98181</f>
        <v>129469</v>
      </c>
      <c r="AE121" s="168">
        <v>0</v>
      </c>
      <c r="AF121" s="168">
        <v>0</v>
      </c>
      <c r="AG121" s="168">
        <v>0</v>
      </c>
      <c r="AH121" s="168"/>
      <c r="AI121" s="168"/>
      <c r="AJ121" s="168"/>
      <c r="AL121" s="168"/>
    </row>
    <row r="122" spans="1:38" ht="23.25" customHeight="1">
      <c r="A122" s="167">
        <v>45231</v>
      </c>
      <c r="B122" s="168">
        <f>'CLP Tariff'!B127</f>
        <v>7592642</v>
      </c>
      <c r="C122" s="168">
        <f t="shared" si="11"/>
        <v>3137873.0000000009</v>
      </c>
      <c r="D122" s="168">
        <v>209208</v>
      </c>
      <c r="E122" s="168">
        <v>401387</v>
      </c>
      <c r="F122" s="168">
        <v>61030</v>
      </c>
      <c r="G122" s="168">
        <v>132665</v>
      </c>
      <c r="H122" s="168">
        <v>335333</v>
      </c>
      <c r="I122" s="168">
        <v>1145717.9999999998</v>
      </c>
      <c r="J122" s="168">
        <v>240600</v>
      </c>
      <c r="K122" s="168">
        <v>52505</v>
      </c>
      <c r="L122" s="168">
        <v>114445</v>
      </c>
      <c r="M122" s="168"/>
      <c r="N122" s="168">
        <v>110214</v>
      </c>
      <c r="O122" s="168">
        <v>45235</v>
      </c>
      <c r="P122" s="168">
        <v>6132</v>
      </c>
      <c r="Q122" s="168">
        <v>48733</v>
      </c>
      <c r="R122" s="168"/>
      <c r="S122" s="168"/>
      <c r="T122" s="168">
        <v>0</v>
      </c>
      <c r="U122" s="168">
        <v>37989</v>
      </c>
      <c r="V122" s="168">
        <v>188800</v>
      </c>
      <c r="W122" s="168">
        <v>116120</v>
      </c>
      <c r="X122" s="168">
        <v>542825.9999999993</v>
      </c>
      <c r="Y122" s="168">
        <f>'CLP Tariff'!D127</f>
        <v>665829</v>
      </c>
      <c r="Z122" s="169">
        <f>'Commercial &amp; Quarter'!DY72</f>
        <v>389105</v>
      </c>
      <c r="AA122" s="170">
        <f t="shared" ref="AA122:AA127" si="15">Y122-Z122</f>
        <v>276724</v>
      </c>
      <c r="AB122" s="168">
        <f t="shared" si="12"/>
        <v>1255931.9999999998</v>
      </c>
      <c r="AD122" s="168">
        <f>57915+274+23291</f>
        <v>81480</v>
      </c>
      <c r="AE122" s="168">
        <v>0</v>
      </c>
      <c r="AF122" s="168">
        <v>0</v>
      </c>
      <c r="AG122" s="168">
        <v>0</v>
      </c>
      <c r="AH122" s="168"/>
      <c r="AI122" s="168"/>
      <c r="AJ122" s="168"/>
      <c r="AL122" s="168"/>
    </row>
    <row r="123" spans="1:38" ht="23.25" customHeight="1">
      <c r="A123" s="167">
        <v>45261</v>
      </c>
      <c r="B123" s="168">
        <f>'CLP Tariff'!B128</f>
        <v>6470056</v>
      </c>
      <c r="C123" s="168">
        <f t="shared" si="11"/>
        <v>2881576.7800000003</v>
      </c>
      <c r="D123" s="168">
        <v>187500</v>
      </c>
      <c r="E123" s="168">
        <v>362093</v>
      </c>
      <c r="F123" s="168">
        <v>58940</v>
      </c>
      <c r="G123" s="168">
        <v>141268</v>
      </c>
      <c r="H123" s="168">
        <v>297075</v>
      </c>
      <c r="I123" s="168">
        <v>760035.22</v>
      </c>
      <c r="J123" s="168">
        <v>205900</v>
      </c>
      <c r="K123" s="168">
        <v>47269</v>
      </c>
      <c r="L123" s="168">
        <v>92079</v>
      </c>
      <c r="M123" s="168"/>
      <c r="N123" s="168">
        <v>63014</v>
      </c>
      <c r="O123" s="168">
        <v>26483</v>
      </c>
      <c r="P123" s="168">
        <v>3860</v>
      </c>
      <c r="Q123" s="168">
        <v>40280</v>
      </c>
      <c r="R123" s="168"/>
      <c r="S123" s="168"/>
      <c r="T123" s="168">
        <v>0</v>
      </c>
      <c r="U123" s="168">
        <v>37989</v>
      </c>
      <c r="V123" s="168">
        <v>157500</v>
      </c>
      <c r="W123" s="168">
        <v>102910</v>
      </c>
      <c r="X123" s="168">
        <v>423456</v>
      </c>
      <c r="Y123" s="168">
        <f>'CLP Tariff'!D128</f>
        <v>580828</v>
      </c>
      <c r="Z123" s="169">
        <f>'Commercial &amp; Quarter'!DZ72</f>
        <v>332453</v>
      </c>
      <c r="AA123" s="170">
        <f t="shared" si="15"/>
        <v>248375</v>
      </c>
      <c r="AB123" s="168">
        <f t="shared" si="12"/>
        <v>823049.22</v>
      </c>
      <c r="AD123" s="168">
        <f>20891+40565+265</f>
        <v>61721</v>
      </c>
      <c r="AE123" s="168">
        <v>0</v>
      </c>
      <c r="AF123" s="168">
        <v>0</v>
      </c>
      <c r="AG123" s="168">
        <v>0</v>
      </c>
      <c r="AH123" s="168"/>
      <c r="AI123" s="168"/>
      <c r="AJ123" s="168"/>
      <c r="AL123" s="168"/>
    </row>
    <row r="124" spans="1:38" ht="23.25" customHeight="1">
      <c r="A124" s="41">
        <v>45292</v>
      </c>
      <c r="B124" s="43">
        <f>'CLP Tariff'!B129</f>
        <v>6692267</v>
      </c>
      <c r="C124" s="43">
        <f t="shared" si="11"/>
        <v>3287729.39</v>
      </c>
      <c r="D124" s="43">
        <v>208974</v>
      </c>
      <c r="E124" s="43">
        <v>396860</v>
      </c>
      <c r="F124" s="43">
        <v>58410</v>
      </c>
      <c r="G124" s="43">
        <v>149803</v>
      </c>
      <c r="H124" s="43">
        <v>338199</v>
      </c>
      <c r="I124" s="43">
        <v>578169.61</v>
      </c>
      <c r="J124" s="43">
        <v>227300</v>
      </c>
      <c r="K124" s="43">
        <v>41306</v>
      </c>
      <c r="L124" s="43">
        <v>88012</v>
      </c>
      <c r="M124" s="43"/>
      <c r="N124" s="43">
        <v>40751</v>
      </c>
      <c r="O124" s="43">
        <v>27266</v>
      </c>
      <c r="P124" s="43">
        <v>4854</v>
      </c>
      <c r="Q124" s="43">
        <v>43154</v>
      </c>
      <c r="R124" s="43"/>
      <c r="S124" s="43"/>
      <c r="T124" s="43">
        <v>0</v>
      </c>
      <c r="U124" s="43">
        <v>40620</v>
      </c>
      <c r="V124" s="43">
        <v>142000</v>
      </c>
      <c r="W124" s="43">
        <v>110960</v>
      </c>
      <c r="X124" s="43">
        <v>290247</v>
      </c>
      <c r="Y124" s="43">
        <f>'CLP Tariff'!D129</f>
        <v>617652</v>
      </c>
      <c r="Z124" s="85">
        <f>'Commercial &amp; Quarter'!EA72</f>
        <v>349422</v>
      </c>
      <c r="AA124" s="104">
        <f t="shared" si="15"/>
        <v>268230</v>
      </c>
      <c r="AB124" s="43">
        <f t="shared" si="12"/>
        <v>618920.61</v>
      </c>
      <c r="AD124" s="43">
        <f>25074+316+16318</f>
        <v>41708</v>
      </c>
      <c r="AE124" s="43">
        <v>0</v>
      </c>
      <c r="AF124" s="43">
        <v>0</v>
      </c>
      <c r="AG124" s="43">
        <v>0</v>
      </c>
      <c r="AH124" s="43"/>
      <c r="AI124" s="43"/>
      <c r="AJ124" s="43"/>
      <c r="AL124" s="43"/>
    </row>
    <row r="125" spans="1:38" ht="23.25" customHeight="1">
      <c r="A125" s="41">
        <v>45323</v>
      </c>
      <c r="B125" s="43">
        <f>'CLP Tariff'!B130</f>
        <v>6654580</v>
      </c>
      <c r="C125" s="43">
        <f t="shared" si="11"/>
        <v>3141372</v>
      </c>
      <c r="D125" s="43">
        <v>237623</v>
      </c>
      <c r="E125" s="43">
        <v>372509</v>
      </c>
      <c r="F125" s="43">
        <v>58160</v>
      </c>
      <c r="G125" s="43">
        <v>126061</v>
      </c>
      <c r="H125" s="43">
        <v>326079</v>
      </c>
      <c r="I125" s="43">
        <v>682091</v>
      </c>
      <c r="J125" s="43">
        <v>216300</v>
      </c>
      <c r="K125" s="43">
        <v>38954</v>
      </c>
      <c r="L125" s="43">
        <v>71168</v>
      </c>
      <c r="M125" s="43"/>
      <c r="N125" s="43">
        <v>59396</v>
      </c>
      <c r="O125" s="43">
        <v>28310</v>
      </c>
      <c r="P125" s="43">
        <v>4703</v>
      </c>
      <c r="Q125" s="43">
        <v>39420</v>
      </c>
      <c r="R125" s="43"/>
      <c r="S125" s="43">
        <v>1879</v>
      </c>
      <c r="T125" s="43">
        <v>0</v>
      </c>
      <c r="U125" s="43">
        <v>59861</v>
      </c>
      <c r="V125" s="43">
        <v>136800</v>
      </c>
      <c r="W125" s="43">
        <v>90700</v>
      </c>
      <c r="X125" s="43">
        <v>359002</v>
      </c>
      <c r="Y125" s="43">
        <f>'CLP Tariff'!D130</f>
        <v>604192</v>
      </c>
      <c r="Z125" s="85">
        <f>'Commercial &amp; Quarter'!EB72</f>
        <v>351548</v>
      </c>
      <c r="AA125" s="104">
        <f t="shared" si="15"/>
        <v>252644</v>
      </c>
      <c r="AB125" s="43">
        <f t="shared" si="12"/>
        <v>741487</v>
      </c>
      <c r="AD125" s="43">
        <f>279+39603+18204</f>
        <v>58086</v>
      </c>
      <c r="AE125" s="43">
        <v>0</v>
      </c>
      <c r="AF125" s="43">
        <v>0</v>
      </c>
      <c r="AG125" s="43">
        <v>0</v>
      </c>
      <c r="AH125" s="43"/>
      <c r="AI125" s="43"/>
      <c r="AJ125" s="43"/>
      <c r="AL125" s="43"/>
    </row>
    <row r="126" spans="1:38" ht="23.25" customHeight="1">
      <c r="A126" s="41">
        <v>45352</v>
      </c>
      <c r="B126" s="43">
        <f>'CLP Tariff'!B131</f>
        <v>6611330</v>
      </c>
      <c r="C126" s="43">
        <f t="shared" si="11"/>
        <v>2763966.0000000005</v>
      </c>
      <c r="D126" s="43">
        <v>160809</v>
      </c>
      <c r="E126" s="43">
        <v>367021</v>
      </c>
      <c r="F126" s="43">
        <v>57060</v>
      </c>
      <c r="G126" s="43">
        <v>139733</v>
      </c>
      <c r="H126" s="43">
        <v>295189</v>
      </c>
      <c r="I126" s="43">
        <v>921046.19999999984</v>
      </c>
      <c r="J126" s="43">
        <v>217900</v>
      </c>
      <c r="K126" s="43">
        <v>42295</v>
      </c>
      <c r="L126" s="43">
        <v>88712</v>
      </c>
      <c r="M126" s="43"/>
      <c r="N126" s="43">
        <v>72772</v>
      </c>
      <c r="O126" s="43">
        <v>31071</v>
      </c>
      <c r="P126" s="43">
        <v>4856</v>
      </c>
      <c r="Q126" s="43">
        <v>38008</v>
      </c>
      <c r="R126" s="43"/>
      <c r="S126" s="43">
        <v>5290</v>
      </c>
      <c r="T126" s="43">
        <v>0</v>
      </c>
      <c r="U126" s="43">
        <v>64137</v>
      </c>
      <c r="V126" s="43">
        <v>190100</v>
      </c>
      <c r="W126" s="43">
        <v>115360</v>
      </c>
      <c r="X126" s="43">
        <v>416756.8</v>
      </c>
      <c r="Y126" s="43">
        <f>'CLP Tariff'!D131</f>
        <v>619248</v>
      </c>
      <c r="Z126" s="85">
        <f>'Commercial &amp; Quarter'!EC72</f>
        <v>350051</v>
      </c>
      <c r="AA126" s="104">
        <f t="shared" si="15"/>
        <v>269197</v>
      </c>
      <c r="AB126" s="43">
        <f t="shared" si="12"/>
        <v>993818.19999999984</v>
      </c>
      <c r="AD126" s="43">
        <f>765+47670+19363</f>
        <v>67798</v>
      </c>
      <c r="AE126" s="43">
        <v>0</v>
      </c>
      <c r="AF126" s="43">
        <v>0</v>
      </c>
      <c r="AG126" s="43">
        <v>0</v>
      </c>
      <c r="AH126" s="43"/>
      <c r="AI126" s="43"/>
      <c r="AJ126" s="43"/>
      <c r="AL126" s="43"/>
    </row>
    <row r="127" spans="1:38" ht="23.25" customHeight="1">
      <c r="A127" s="41">
        <v>45383</v>
      </c>
      <c r="B127" s="43">
        <f>'CLP Tariff'!B132</f>
        <v>9041985</v>
      </c>
      <c r="C127" s="43">
        <f t="shared" si="11"/>
        <v>3471952.5</v>
      </c>
      <c r="D127" s="43">
        <v>222022</v>
      </c>
      <c r="E127" s="43">
        <v>452750</v>
      </c>
      <c r="F127" s="43">
        <v>70170</v>
      </c>
      <c r="G127" s="43">
        <v>148209</v>
      </c>
      <c r="H127" s="43">
        <v>383286</v>
      </c>
      <c r="I127" s="43">
        <v>1608077</v>
      </c>
      <c r="J127" s="43">
        <v>248500</v>
      </c>
      <c r="K127" s="43">
        <v>48452</v>
      </c>
      <c r="L127" s="43">
        <v>116672</v>
      </c>
      <c r="M127" s="43"/>
      <c r="N127" s="43">
        <v>116582</v>
      </c>
      <c r="O127" s="43">
        <v>52517</v>
      </c>
      <c r="P127" s="43">
        <v>6798</v>
      </c>
      <c r="Q127" s="43">
        <v>68967</v>
      </c>
      <c r="R127" s="43"/>
      <c r="S127" s="43">
        <v>7974</v>
      </c>
      <c r="T127" s="43">
        <v>0</v>
      </c>
      <c r="U127" s="43">
        <v>66275</v>
      </c>
      <c r="V127" s="43">
        <v>273800</v>
      </c>
      <c r="W127" s="43">
        <v>163640</v>
      </c>
      <c r="X127" s="43">
        <v>674789.5</v>
      </c>
      <c r="Y127" s="43">
        <f>'CLP Tariff'!D132</f>
        <v>840552</v>
      </c>
      <c r="Z127" s="85">
        <f>'Commercial &amp; Quarter'!ED72</f>
        <v>399926</v>
      </c>
      <c r="AA127" s="104">
        <f t="shared" si="15"/>
        <v>440626</v>
      </c>
      <c r="AB127" s="43">
        <f t="shared" si="12"/>
        <v>1724659</v>
      </c>
      <c r="AD127" s="43">
        <f>67932+912+25897</f>
        <v>94741</v>
      </c>
      <c r="AE127" s="43">
        <v>0</v>
      </c>
      <c r="AF127" s="43">
        <v>0</v>
      </c>
      <c r="AG127" s="43">
        <v>0</v>
      </c>
      <c r="AH127" s="43"/>
      <c r="AI127" s="43"/>
      <c r="AJ127" s="43"/>
      <c r="AL127" s="43"/>
    </row>
    <row r="128" spans="1:38" ht="23.25" customHeight="1">
      <c r="A128" s="41">
        <v>45413</v>
      </c>
      <c r="B128" s="43">
        <f>'CLP Tariff'!B133</f>
        <v>8421191</v>
      </c>
      <c r="C128" s="43">
        <f t="shared" si="11"/>
        <v>3058697</v>
      </c>
      <c r="D128" s="43">
        <v>207943</v>
      </c>
      <c r="E128" s="43">
        <v>410970</v>
      </c>
      <c r="F128" s="43">
        <v>62210</v>
      </c>
      <c r="G128" s="43">
        <v>134017</v>
      </c>
      <c r="H128" s="43">
        <v>334772</v>
      </c>
      <c r="I128" s="43">
        <v>1626912</v>
      </c>
      <c r="J128" s="43">
        <v>231500</v>
      </c>
      <c r="K128" s="43">
        <v>42471</v>
      </c>
      <c r="L128" s="43">
        <v>113551</v>
      </c>
      <c r="M128" s="43"/>
      <c r="N128" s="43">
        <v>101590</v>
      </c>
      <c r="O128" s="43">
        <v>52658</v>
      </c>
      <c r="P128" s="43">
        <v>7342</v>
      </c>
      <c r="Q128" s="43">
        <v>56046</v>
      </c>
      <c r="R128" s="43"/>
      <c r="S128" s="43">
        <v>10102</v>
      </c>
      <c r="T128" s="43">
        <v>0</v>
      </c>
      <c r="U128" s="43">
        <v>66275</v>
      </c>
      <c r="V128" s="43">
        <v>278100</v>
      </c>
      <c r="W128" s="43">
        <v>144060</v>
      </c>
      <c r="X128" s="43">
        <v>712034</v>
      </c>
      <c r="Y128" s="43">
        <f>'CLP Tariff'!D133</f>
        <v>769941</v>
      </c>
      <c r="Z128" s="85">
        <f>'Commercial &amp; Quarter'!EE72</f>
        <v>380344</v>
      </c>
      <c r="AA128" s="104">
        <f t="shared" ref="AA128" si="16">Y128-Z128</f>
        <v>389597</v>
      </c>
      <c r="AB128" s="43">
        <f t="shared" si="12"/>
        <v>1728502</v>
      </c>
      <c r="AD128" s="43">
        <f>881+78283+28658</f>
        <v>107822</v>
      </c>
      <c r="AE128" s="43">
        <v>0</v>
      </c>
      <c r="AF128" s="43">
        <v>0</v>
      </c>
      <c r="AG128" s="43">
        <v>0</v>
      </c>
      <c r="AH128" s="43">
        <v>25801.31</v>
      </c>
      <c r="AI128" s="43"/>
      <c r="AJ128" s="43"/>
      <c r="AL128" s="43"/>
    </row>
    <row r="129" spans="1:38" ht="23.25" customHeight="1">
      <c r="A129" s="41">
        <v>45444</v>
      </c>
      <c r="B129" s="43">
        <f>'CLP Tariff'!B134</f>
        <v>8666283</v>
      </c>
      <c r="C129" s="43">
        <f t="shared" si="11"/>
        <v>2717512</v>
      </c>
      <c r="D129" s="43">
        <v>214754</v>
      </c>
      <c r="E129" s="43">
        <v>396960</v>
      </c>
      <c r="F129" s="43">
        <v>57110</v>
      </c>
      <c r="G129" s="43">
        <v>127748</v>
      </c>
      <c r="H129" s="43">
        <v>329649</v>
      </c>
      <c r="I129" s="43">
        <v>2083326</v>
      </c>
      <c r="J129" s="43">
        <v>211700</v>
      </c>
      <c r="K129" s="43">
        <v>59734</v>
      </c>
      <c r="L129" s="43">
        <v>167321</v>
      </c>
      <c r="M129" s="43"/>
      <c r="N129" s="43">
        <v>166930</v>
      </c>
      <c r="O129" s="43">
        <v>44227</v>
      </c>
      <c r="P129" s="43">
        <v>8040</v>
      </c>
      <c r="Q129" s="43">
        <v>63275</v>
      </c>
      <c r="R129" s="43"/>
      <c r="S129" s="43">
        <v>10738</v>
      </c>
      <c r="T129" s="43">
        <v>0</v>
      </c>
      <c r="U129" s="43">
        <v>64137</v>
      </c>
      <c r="V129" s="43">
        <v>353300</v>
      </c>
      <c r="W129" s="43">
        <v>169890</v>
      </c>
      <c r="X129" s="43">
        <v>539097</v>
      </c>
      <c r="Y129" s="43">
        <f>'CLP Tariff'!D134</f>
        <v>880835</v>
      </c>
      <c r="Z129" s="85">
        <f>'Commercial &amp; Quarter'!EF72</f>
        <v>335002</v>
      </c>
      <c r="AA129" s="104">
        <f t="shared" ref="AA129:AA130" si="17">Y129-Z129</f>
        <v>545833</v>
      </c>
      <c r="AB129" s="43">
        <f t="shared" si="12"/>
        <v>2250256</v>
      </c>
      <c r="AD129" s="43">
        <f>66277+28589+878</f>
        <v>95744</v>
      </c>
      <c r="AE129" s="43">
        <v>0</v>
      </c>
      <c r="AF129" s="43">
        <v>0</v>
      </c>
      <c r="AG129" s="43">
        <v>0</v>
      </c>
      <c r="AH129" s="43">
        <v>13248.48</v>
      </c>
      <c r="AI129" s="43">
        <v>317.89299999999997</v>
      </c>
      <c r="AJ129" s="43"/>
      <c r="AL129" s="43"/>
    </row>
    <row r="130" spans="1:38" ht="23.25" customHeight="1">
      <c r="A130" s="41">
        <v>45474</v>
      </c>
      <c r="B130" s="43">
        <f>'CLP Tariff'!B135</f>
        <v>10350803</v>
      </c>
      <c r="C130" s="43">
        <f t="shared" si="11"/>
        <v>3299350</v>
      </c>
      <c r="D130" s="43">
        <v>312619</v>
      </c>
      <c r="E130" s="43">
        <f>113250+121600+217500</f>
        <v>452350</v>
      </c>
      <c r="F130" s="43">
        <v>57810</v>
      </c>
      <c r="G130" s="43">
        <v>138033</v>
      </c>
      <c r="H130" s="43">
        <v>365868</v>
      </c>
      <c r="I130" s="43">
        <v>2536101</v>
      </c>
      <c r="J130" s="43">
        <v>242000</v>
      </c>
      <c r="K130" s="43">
        <v>49635</v>
      </c>
      <c r="L130" s="43">
        <v>148622</v>
      </c>
      <c r="M130" s="43"/>
      <c r="N130" s="43">
        <v>146460</v>
      </c>
      <c r="O130" s="43">
        <v>54600</v>
      </c>
      <c r="P130" s="43">
        <v>11806</v>
      </c>
      <c r="Q130" s="43">
        <v>75700</v>
      </c>
      <c r="R130" s="43"/>
      <c r="S130" s="43">
        <v>12602</v>
      </c>
      <c r="T130" s="43">
        <v>0</v>
      </c>
      <c r="U130" s="43">
        <v>66275</v>
      </c>
      <c r="V130" s="43">
        <v>407800</v>
      </c>
      <c r="W130" s="43">
        <v>212120</v>
      </c>
      <c r="X130" s="43">
        <v>696785</v>
      </c>
      <c r="Y130" s="43">
        <f>'CLP Tariff'!D135</f>
        <v>1064267</v>
      </c>
      <c r="Z130" s="85">
        <v>365544</v>
      </c>
      <c r="AA130" s="104">
        <f t="shared" si="17"/>
        <v>698723</v>
      </c>
      <c r="AB130" s="43">
        <f t="shared" si="12"/>
        <v>2682561</v>
      </c>
      <c r="AD130" s="43">
        <f>76926+909+28765</f>
        <v>106600</v>
      </c>
      <c r="AE130" s="43">
        <f>28755+40290</f>
        <v>69045</v>
      </c>
      <c r="AF130" s="43">
        <v>0</v>
      </c>
      <c r="AG130" s="43">
        <v>0</v>
      </c>
      <c r="AH130" s="43">
        <v>11257.99</v>
      </c>
      <c r="AI130" s="43">
        <v>7737.1329999999998</v>
      </c>
      <c r="AJ130" s="43"/>
      <c r="AL130" s="43"/>
    </row>
    <row r="131" spans="1:38" ht="23.25" customHeight="1">
      <c r="A131" s="41">
        <v>45505</v>
      </c>
      <c r="B131" s="43">
        <f>'CLP Tariff'!B136</f>
        <v>9800377</v>
      </c>
      <c r="C131" s="43">
        <f t="shared" si="11"/>
        <v>3045342</v>
      </c>
      <c r="D131" s="43">
        <v>304855</v>
      </c>
      <c r="E131" s="43">
        <v>430560</v>
      </c>
      <c r="F131" s="43">
        <v>59070</v>
      </c>
      <c r="G131" s="43">
        <v>135560</v>
      </c>
      <c r="H131" s="43">
        <v>358699</v>
      </c>
      <c r="I131" s="43">
        <v>2339192</v>
      </c>
      <c r="J131" s="43">
        <v>245100</v>
      </c>
      <c r="K131" s="43">
        <v>56920</v>
      </c>
      <c r="L131" s="43">
        <v>181289</v>
      </c>
      <c r="M131" s="43"/>
      <c r="N131" s="43">
        <v>171979</v>
      </c>
      <c r="O131" s="43">
        <v>54131</v>
      </c>
      <c r="P131" s="43">
        <v>14358</v>
      </c>
      <c r="Q131" s="43">
        <v>66652</v>
      </c>
      <c r="R131" s="43"/>
      <c r="S131" s="43">
        <v>12862</v>
      </c>
      <c r="T131" s="43">
        <v>0</v>
      </c>
      <c r="U131" s="43">
        <v>66275</v>
      </c>
      <c r="V131" s="43">
        <v>395600</v>
      </c>
      <c r="W131" s="43">
        <v>180530</v>
      </c>
      <c r="X131" s="43">
        <v>656280</v>
      </c>
      <c r="Y131" s="43">
        <f>'CLP Tariff'!D136</f>
        <v>1025123</v>
      </c>
      <c r="Z131" s="85">
        <v>369772</v>
      </c>
      <c r="AA131" s="104">
        <f t="shared" ref="AA131:AA132" si="18">Y131-Z131</f>
        <v>655351</v>
      </c>
      <c r="AB131" s="43">
        <f t="shared" si="12"/>
        <v>2511171</v>
      </c>
      <c r="AD131" s="43">
        <f>910+54543+28853</f>
        <v>84306</v>
      </c>
      <c r="AE131" s="43">
        <f>34346+34985</f>
        <v>69331</v>
      </c>
      <c r="AF131" s="43">
        <v>0</v>
      </c>
      <c r="AG131" s="43">
        <v>0</v>
      </c>
      <c r="AH131" s="43">
        <v>8508.51</v>
      </c>
      <c r="AI131" s="43">
        <v>17199.11</v>
      </c>
      <c r="AJ131" s="43"/>
      <c r="AL131" s="43"/>
    </row>
    <row r="132" spans="1:38" ht="23.25" customHeight="1">
      <c r="A132" s="41">
        <v>45536</v>
      </c>
      <c r="B132" s="43">
        <f>'CLP Tariff'!B137</f>
        <v>10205357</v>
      </c>
      <c r="C132" s="43">
        <f>B132-SUM(D132:X132)</f>
        <v>4344085</v>
      </c>
      <c r="D132" s="43">
        <v>339702</v>
      </c>
      <c r="E132" s="43">
        <v>411230</v>
      </c>
      <c r="F132" s="43">
        <v>59690</v>
      </c>
      <c r="G132" s="43">
        <v>133432</v>
      </c>
      <c r="H132" s="43">
        <v>360327</v>
      </c>
      <c r="I132" s="43">
        <v>2259366</v>
      </c>
      <c r="J132" s="43">
        <v>247100</v>
      </c>
      <c r="K132" s="43">
        <v>52628</v>
      </c>
      <c r="L132" s="43">
        <v>163882</v>
      </c>
      <c r="M132" s="43"/>
      <c r="N132" s="43">
        <v>166126</v>
      </c>
      <c r="O132" s="43">
        <v>50830</v>
      </c>
      <c r="P132" s="43">
        <v>11481</v>
      </c>
      <c r="Q132" s="43">
        <v>70316</v>
      </c>
      <c r="R132" s="43"/>
      <c r="S132" s="43">
        <v>15342</v>
      </c>
      <c r="T132" s="43">
        <v>0</v>
      </c>
      <c r="U132" s="43">
        <v>77142</v>
      </c>
      <c r="V132" s="43">
        <v>395100</v>
      </c>
      <c r="W132" s="43">
        <v>199630</v>
      </c>
      <c r="X132" s="43">
        <v>847948</v>
      </c>
      <c r="Y132" s="43">
        <f>'CLP Tariff'!D137</f>
        <v>1057385</v>
      </c>
      <c r="Z132" s="104">
        <v>418704</v>
      </c>
      <c r="AA132" s="104">
        <f t="shared" si="18"/>
        <v>638681</v>
      </c>
      <c r="AB132" s="43">
        <f t="shared" ref="AB132:AB148" si="19">I132+N132</f>
        <v>2425492</v>
      </c>
      <c r="AD132" s="43">
        <f>850+87344+29715</f>
        <v>117909</v>
      </c>
      <c r="AE132" s="43">
        <f>52642+39972</f>
        <v>92614</v>
      </c>
      <c r="AF132" s="43">
        <v>0</v>
      </c>
      <c r="AG132" s="43">
        <v>0</v>
      </c>
      <c r="AH132" s="43">
        <v>9977.68</v>
      </c>
      <c r="AI132" s="43">
        <v>13861.65</v>
      </c>
      <c r="AJ132" s="43"/>
      <c r="AL132" s="43"/>
    </row>
    <row r="133" spans="1:38" ht="23.25" customHeight="1">
      <c r="A133" s="41">
        <v>45566</v>
      </c>
      <c r="B133" s="43">
        <v>8850727</v>
      </c>
      <c r="C133" s="43">
        <f t="shared" ref="C133:C148" si="20">B133-SUM(D133:Y133)</f>
        <v>3180284.0999999996</v>
      </c>
      <c r="D133" s="43">
        <v>351255</v>
      </c>
      <c r="E133" s="43">
        <v>410000</v>
      </c>
      <c r="F133" s="43">
        <v>58020</v>
      </c>
      <c r="G133" s="43">
        <v>124872</v>
      </c>
      <c r="H133" s="43">
        <v>358234</v>
      </c>
      <c r="I133" s="43">
        <v>1681165.9</v>
      </c>
      <c r="J133" s="43">
        <v>251900</v>
      </c>
      <c r="K133" s="43">
        <v>45340</v>
      </c>
      <c r="L133" s="43">
        <v>117930</v>
      </c>
      <c r="M133" s="43"/>
      <c r="N133" s="43">
        <v>120288</v>
      </c>
      <c r="O133" s="43">
        <v>41251</v>
      </c>
      <c r="P133" s="43">
        <v>8886</v>
      </c>
      <c r="Q133" s="43">
        <v>57947</v>
      </c>
      <c r="R133" s="43"/>
      <c r="S133" s="43">
        <v>12002</v>
      </c>
      <c r="T133" s="43">
        <v>0</v>
      </c>
      <c r="U133" s="43">
        <v>77913</v>
      </c>
      <c r="V133" s="43">
        <v>290300</v>
      </c>
      <c r="W133" s="43">
        <v>125116</v>
      </c>
      <c r="X133" s="43">
        <v>702498</v>
      </c>
      <c r="Y133" s="43">
        <f>'CLP Tariff'!D138</f>
        <v>835525</v>
      </c>
      <c r="Z133" s="85">
        <v>413057</v>
      </c>
      <c r="AA133" s="104">
        <f t="shared" ref="AA133" si="21">Y133-Z133</f>
        <v>422468</v>
      </c>
      <c r="AB133" s="43">
        <f t="shared" si="19"/>
        <v>1801453.9</v>
      </c>
      <c r="AD133" s="43">
        <f>942+97257+32127</f>
        <v>130326</v>
      </c>
      <c r="AE133" s="43">
        <v>113338</v>
      </c>
      <c r="AF133" s="43">
        <v>0</v>
      </c>
      <c r="AG133" s="43">
        <v>0</v>
      </c>
      <c r="AH133" s="43">
        <v>10622.34</v>
      </c>
      <c r="AI133" s="43">
        <v>23632.76</v>
      </c>
      <c r="AJ133" s="43"/>
      <c r="AL133" s="43"/>
    </row>
    <row r="134" spans="1:38" ht="23.25" customHeight="1">
      <c r="A134" s="41">
        <v>45597</v>
      </c>
      <c r="B134" s="43">
        <v>8264525</v>
      </c>
      <c r="C134" s="43">
        <f t="shared" si="20"/>
        <v>3359311</v>
      </c>
      <c r="D134" s="43">
        <v>514384</v>
      </c>
      <c r="E134" s="43">
        <v>386500</v>
      </c>
      <c r="F134" s="43">
        <v>60720</v>
      </c>
      <c r="G134" s="43">
        <v>119609</v>
      </c>
      <c r="H134" s="43">
        <v>328006</v>
      </c>
      <c r="I134" s="43">
        <v>1208974</v>
      </c>
      <c r="J134" s="43">
        <v>241600</v>
      </c>
      <c r="K134" s="43">
        <v>54146</v>
      </c>
      <c r="L134" s="43">
        <v>116907</v>
      </c>
      <c r="M134" s="43"/>
      <c r="N134" s="43">
        <v>108966</v>
      </c>
      <c r="O134" s="43">
        <v>51180</v>
      </c>
      <c r="P134" s="43">
        <v>6866</v>
      </c>
      <c r="Q134" s="43">
        <v>46415</v>
      </c>
      <c r="R134" s="43"/>
      <c r="S134" s="43">
        <v>5447</v>
      </c>
      <c r="T134" s="43">
        <v>0</v>
      </c>
      <c r="U134" s="43">
        <v>77142</v>
      </c>
      <c r="V134" s="43">
        <v>201885</v>
      </c>
      <c r="W134" s="43">
        <v>128564</v>
      </c>
      <c r="X134" s="43">
        <v>551175</v>
      </c>
      <c r="Y134" s="43">
        <f>'CLP Tariff'!D139</f>
        <v>696728</v>
      </c>
      <c r="Z134" s="85">
        <v>402470</v>
      </c>
      <c r="AA134" s="104">
        <f t="shared" ref="AA134:AA135" si="22">Y134-Z134</f>
        <v>294258</v>
      </c>
      <c r="AB134" s="43">
        <f t="shared" si="19"/>
        <v>1317940</v>
      </c>
      <c r="AD134" s="43">
        <f>910+63387+27591</f>
        <v>91888</v>
      </c>
      <c r="AE134" s="43">
        <v>249206</v>
      </c>
      <c r="AF134" s="43">
        <v>0</v>
      </c>
      <c r="AG134" s="43">
        <v>0</v>
      </c>
      <c r="AH134" s="43">
        <v>9756.02</v>
      </c>
      <c r="AI134" s="43">
        <v>23714.61</v>
      </c>
      <c r="AJ134" s="43"/>
      <c r="AL134" s="43"/>
    </row>
    <row r="135" spans="1:38" ht="23.25" customHeight="1">
      <c r="A135" s="41">
        <v>45627</v>
      </c>
      <c r="B135" s="43">
        <v>7242946</v>
      </c>
      <c r="C135" s="43">
        <f t="shared" si="20"/>
        <v>3126953.3</v>
      </c>
      <c r="D135" s="43">
        <v>486932</v>
      </c>
      <c r="E135" s="43">
        <v>439800</v>
      </c>
      <c r="F135" s="43">
        <v>62370</v>
      </c>
      <c r="G135" s="43">
        <v>182418</v>
      </c>
      <c r="H135" s="43">
        <v>343029</v>
      </c>
      <c r="I135" s="43">
        <v>668560.69999999995</v>
      </c>
      <c r="J135" s="43">
        <v>261300</v>
      </c>
      <c r="K135" s="43">
        <v>39693</v>
      </c>
      <c r="L135" s="43">
        <v>75231</v>
      </c>
      <c r="M135" s="43"/>
      <c r="N135" s="43">
        <v>47641</v>
      </c>
      <c r="O135" s="43">
        <v>31724</v>
      </c>
      <c r="P135" s="43">
        <v>6181</v>
      </c>
      <c r="Q135" s="43">
        <v>43619</v>
      </c>
      <c r="R135" s="43"/>
      <c r="S135" s="43">
        <v>9029</v>
      </c>
      <c r="T135" s="43">
        <v>37973</v>
      </c>
      <c r="U135" s="43">
        <v>77913</v>
      </c>
      <c r="V135" s="43">
        <v>150315</v>
      </c>
      <c r="W135" s="43">
        <v>110500</v>
      </c>
      <c r="X135" s="43">
        <v>406820</v>
      </c>
      <c r="Y135" s="43">
        <f>'CLP Tariff'!D140</f>
        <v>634944</v>
      </c>
      <c r="Z135" s="85">
        <v>386220</v>
      </c>
      <c r="AA135" s="104">
        <f t="shared" si="22"/>
        <v>248724</v>
      </c>
      <c r="AB135" s="43">
        <f t="shared" si="19"/>
        <v>716201.7</v>
      </c>
      <c r="AD135" s="43">
        <f>824+39547+21096</f>
        <v>61467</v>
      </c>
      <c r="AE135" s="43">
        <f>75444+190560</f>
        <v>266004</v>
      </c>
      <c r="AF135" s="43">
        <v>0</v>
      </c>
      <c r="AG135" s="43">
        <v>0</v>
      </c>
      <c r="AH135" s="43">
        <v>9485.93</v>
      </c>
      <c r="AI135" s="43">
        <v>14599.27</v>
      </c>
      <c r="AJ135" s="43"/>
      <c r="AL135" s="43"/>
    </row>
    <row r="136" spans="1:38" ht="23.25" customHeight="1">
      <c r="A136" s="47">
        <v>45658</v>
      </c>
      <c r="B136" s="49">
        <v>6471482</v>
      </c>
      <c r="C136" s="49">
        <f t="shared" si="20"/>
        <v>2967005.2</v>
      </c>
      <c r="D136" s="49">
        <v>447376</v>
      </c>
      <c r="E136" s="49">
        <v>373437</v>
      </c>
      <c r="F136" s="49">
        <v>49109</v>
      </c>
      <c r="G136" s="49">
        <v>166280</v>
      </c>
      <c r="H136" s="49">
        <v>280003</v>
      </c>
      <c r="I136" s="49">
        <v>529554.80000000005</v>
      </c>
      <c r="J136" s="49">
        <v>214600</v>
      </c>
      <c r="K136" s="49">
        <v>47528</v>
      </c>
      <c r="L136" s="49">
        <v>83004</v>
      </c>
      <c r="M136" s="49"/>
      <c r="N136" s="49">
        <v>51613</v>
      </c>
      <c r="O136" s="49">
        <v>29551</v>
      </c>
      <c r="P136" s="49">
        <v>4790</v>
      </c>
      <c r="Q136" s="49">
        <v>36317</v>
      </c>
      <c r="R136" s="49"/>
      <c r="S136" s="49">
        <v>10237</v>
      </c>
      <c r="T136" s="49">
        <v>28831</v>
      </c>
      <c r="U136" s="49">
        <v>77913</v>
      </c>
      <c r="V136" s="49">
        <v>151700</v>
      </c>
      <c r="W136" s="49">
        <v>83133</v>
      </c>
      <c r="X136" s="49">
        <v>259167</v>
      </c>
      <c r="Y136" s="49">
        <f>'CLP Tariff'!D141</f>
        <v>580333</v>
      </c>
      <c r="Z136" s="84">
        <v>369287</v>
      </c>
      <c r="AA136" s="146">
        <f t="shared" ref="AA136" si="23">Y136-Z136</f>
        <v>211046</v>
      </c>
      <c r="AB136" s="49">
        <f t="shared" si="19"/>
        <v>581167.80000000005</v>
      </c>
      <c r="AD136" s="49">
        <f>970+25387+14623</f>
        <v>40980</v>
      </c>
      <c r="AE136" s="49">
        <f>96743+129155</f>
        <v>225898</v>
      </c>
      <c r="AF136" s="49">
        <v>0</v>
      </c>
      <c r="AG136" s="49">
        <v>0</v>
      </c>
      <c r="AH136" s="49">
        <v>9049.5300000000007</v>
      </c>
      <c r="AI136" s="49">
        <v>24617.14</v>
      </c>
      <c r="AJ136" s="49"/>
      <c r="AL136" s="49"/>
    </row>
    <row r="137" spans="1:38" ht="23.25" customHeight="1">
      <c r="A137" s="47">
        <v>45689</v>
      </c>
      <c r="B137" s="49">
        <v>7133252</v>
      </c>
      <c r="C137" s="49">
        <f t="shared" si="20"/>
        <v>3122531.5</v>
      </c>
      <c r="D137" s="49">
        <f>220962+293476</f>
        <v>514438</v>
      </c>
      <c r="E137" s="49">
        <v>416863</v>
      </c>
      <c r="F137" s="49">
        <v>58261</v>
      </c>
      <c r="G137" s="49">
        <v>195405</v>
      </c>
      <c r="H137" s="49">
        <v>334235</v>
      </c>
      <c r="I137" s="49">
        <v>522669.5</v>
      </c>
      <c r="J137" s="49">
        <v>253800</v>
      </c>
      <c r="K137" s="49">
        <v>46126</v>
      </c>
      <c r="L137" s="49">
        <v>79071</v>
      </c>
      <c r="M137" s="49"/>
      <c r="N137" s="49">
        <v>48514</v>
      </c>
      <c r="O137" s="49">
        <v>32530</v>
      </c>
      <c r="P137" s="49">
        <v>6009</v>
      </c>
      <c r="Q137" s="49">
        <v>41318</v>
      </c>
      <c r="R137" s="49"/>
      <c r="S137" s="49">
        <v>10191</v>
      </c>
      <c r="T137" s="49">
        <f>30403+7190</f>
        <v>37593</v>
      </c>
      <c r="U137" s="49">
        <v>71999</v>
      </c>
      <c r="V137" s="49">
        <v>115200</v>
      </c>
      <c r="W137" s="49">
        <v>111997</v>
      </c>
      <c r="X137" s="49">
        <v>436049</v>
      </c>
      <c r="Y137" s="49">
        <f>'CLP Tariff'!D142</f>
        <v>678452</v>
      </c>
      <c r="Z137" s="206">
        <v>387630</v>
      </c>
      <c r="AA137" s="84">
        <f t="shared" ref="AA137" si="24">Y137-Z137</f>
        <v>290822</v>
      </c>
      <c r="AB137" s="49">
        <f t="shared" si="19"/>
        <v>571183.5</v>
      </c>
      <c r="AD137" s="49">
        <f>883+40240+16301</f>
        <v>57424</v>
      </c>
      <c r="AE137" s="49">
        <f>115326+148652</f>
        <v>263978</v>
      </c>
      <c r="AF137" s="49">
        <v>0</v>
      </c>
      <c r="AG137" s="49">
        <v>0</v>
      </c>
      <c r="AH137" s="49">
        <v>9359.94</v>
      </c>
      <c r="AI137" s="49">
        <v>15191.66</v>
      </c>
      <c r="AJ137" s="49"/>
      <c r="AL137" s="49"/>
    </row>
    <row r="138" spans="1:38" ht="23.25" customHeight="1">
      <c r="A138" s="47">
        <v>45717</v>
      </c>
      <c r="B138" s="49">
        <v>7022454</v>
      </c>
      <c r="C138" s="49">
        <f t="shared" si="20"/>
        <v>2858147.7</v>
      </c>
      <c r="D138" s="49">
        <f>202045+270692</f>
        <v>472737</v>
      </c>
      <c r="E138" s="49">
        <v>380900</v>
      </c>
      <c r="F138" s="49">
        <v>50890</v>
      </c>
      <c r="G138" s="49">
        <v>149557</v>
      </c>
      <c r="H138" s="49">
        <v>316702</v>
      </c>
      <c r="I138" s="49">
        <v>869960.4</v>
      </c>
      <c r="J138" s="49">
        <v>224600</v>
      </c>
      <c r="K138" s="49">
        <v>44236</v>
      </c>
      <c r="L138" s="49">
        <v>76786.899999999994</v>
      </c>
      <c r="M138" s="49"/>
      <c r="N138" s="49">
        <v>66365</v>
      </c>
      <c r="O138" s="49">
        <v>30925</v>
      </c>
      <c r="P138" s="49">
        <v>5523</v>
      </c>
      <c r="Q138" s="49">
        <v>42001</v>
      </c>
      <c r="R138" s="49"/>
      <c r="S138" s="49">
        <v>5290</v>
      </c>
      <c r="T138" s="49">
        <v>21570</v>
      </c>
      <c r="U138" s="49">
        <v>77142</v>
      </c>
      <c r="V138" s="49">
        <v>185800</v>
      </c>
      <c r="W138" s="49">
        <v>102130</v>
      </c>
      <c r="X138" s="49">
        <v>403183</v>
      </c>
      <c r="Y138" s="49">
        <f>'CLP Tariff'!D143</f>
        <v>638008</v>
      </c>
      <c r="Z138" s="206">
        <v>377349</v>
      </c>
      <c r="AA138" s="84">
        <f t="shared" ref="AA138" si="25">Y138-Z138</f>
        <v>260659</v>
      </c>
      <c r="AB138" s="49">
        <f t="shared" si="19"/>
        <v>936325.4</v>
      </c>
      <c r="AD138" s="49">
        <v>65639</v>
      </c>
      <c r="AE138" s="49">
        <f>114343+131095</f>
        <v>245438</v>
      </c>
      <c r="AF138" s="49">
        <v>0</v>
      </c>
      <c r="AG138" s="49">
        <v>0</v>
      </c>
      <c r="AH138" s="49">
        <v>11945.99</v>
      </c>
      <c r="AI138" s="49">
        <v>23174.02</v>
      </c>
      <c r="AJ138" s="49"/>
      <c r="AL138" s="49"/>
    </row>
    <row r="139" spans="1:38" ht="23.25" customHeight="1">
      <c r="A139" s="47">
        <v>45748</v>
      </c>
      <c r="B139" s="49">
        <v>8751020</v>
      </c>
      <c r="C139" s="49">
        <f t="shared" si="20"/>
        <v>3603466.9000000004</v>
      </c>
      <c r="D139" s="49">
        <f>241166+317817</f>
        <v>558983</v>
      </c>
      <c r="E139" s="49">
        <v>428000</v>
      </c>
      <c r="F139" s="49">
        <v>60460</v>
      </c>
      <c r="G139" s="49">
        <v>150720</v>
      </c>
      <c r="H139" s="49">
        <v>359483</v>
      </c>
      <c r="I139" s="49">
        <v>1232583</v>
      </c>
      <c r="J139" s="49">
        <v>256600</v>
      </c>
      <c r="K139" s="49">
        <v>46949</v>
      </c>
      <c r="L139" s="49">
        <v>86079.1</v>
      </c>
      <c r="M139" s="49"/>
      <c r="N139" s="49">
        <v>81173</v>
      </c>
      <c r="O139" s="49">
        <v>36400</v>
      </c>
      <c r="P139" s="49">
        <v>6874</v>
      </c>
      <c r="Q139" s="49">
        <v>54833</v>
      </c>
      <c r="R139" s="49"/>
      <c r="S139" s="49">
        <f>9161+5586</f>
        <v>14747</v>
      </c>
      <c r="T139" s="49">
        <v>21570</v>
      </c>
      <c r="U139" s="49">
        <v>79713</v>
      </c>
      <c r="V139" s="49">
        <v>221400</v>
      </c>
      <c r="W139" s="49">
        <v>131620</v>
      </c>
      <c r="X139" s="49">
        <v>544718</v>
      </c>
      <c r="Y139" s="49">
        <f>'CLP Tariff'!D144</f>
        <v>774648</v>
      </c>
      <c r="Z139" s="206">
        <v>427060</v>
      </c>
      <c r="AA139" s="84">
        <f t="shared" ref="AA139" si="26">Y139-Z139</f>
        <v>347588</v>
      </c>
      <c r="AB139" s="49">
        <f t="shared" si="19"/>
        <v>1313756</v>
      </c>
      <c r="AD139" s="49">
        <f>50416+952+24542</f>
        <v>75910</v>
      </c>
      <c r="AE139" s="49">
        <f>138956+154102</f>
        <v>293058</v>
      </c>
      <c r="AF139" s="49">
        <v>0</v>
      </c>
      <c r="AG139" s="49">
        <v>0</v>
      </c>
      <c r="AH139" s="49">
        <v>11196.33</v>
      </c>
      <c r="AI139" s="49">
        <v>28426.29</v>
      </c>
      <c r="AJ139" s="49"/>
      <c r="AL139" s="49"/>
    </row>
    <row r="140" spans="1:38" ht="23.25" customHeight="1">
      <c r="A140" s="47">
        <v>45778</v>
      </c>
      <c r="B140" s="29">
        <v>9287018</v>
      </c>
      <c r="C140" s="49">
        <f t="shared" si="20"/>
        <v>3041240</v>
      </c>
      <c r="D140" s="49">
        <f>213991+306099</f>
        <v>520090</v>
      </c>
      <c r="E140" s="49">
        <v>398200</v>
      </c>
      <c r="F140" s="49">
        <v>61220</v>
      </c>
      <c r="G140" s="49">
        <v>133326</v>
      </c>
      <c r="H140" s="49">
        <v>366216</v>
      </c>
      <c r="I140" s="49">
        <v>1887473</v>
      </c>
      <c r="J140" s="49">
        <v>234700</v>
      </c>
      <c r="K140" s="49">
        <v>57670</v>
      </c>
      <c r="L140" s="49">
        <v>128987</v>
      </c>
      <c r="M140" s="49"/>
      <c r="N140" s="49">
        <v>145549</v>
      </c>
      <c r="O140" s="49">
        <v>48118</v>
      </c>
      <c r="P140" s="49">
        <v>10224</v>
      </c>
      <c r="Q140" s="49">
        <v>56468</v>
      </c>
      <c r="R140" s="49"/>
      <c r="S140" s="49">
        <f>15580+20090</f>
        <v>35670</v>
      </c>
      <c r="T140" s="49">
        <v>22289</v>
      </c>
      <c r="U140" s="49">
        <v>79713</v>
      </c>
      <c r="V140" s="49">
        <v>307200</v>
      </c>
      <c r="W140" s="49">
        <v>159170</v>
      </c>
      <c r="X140" s="49">
        <v>723374</v>
      </c>
      <c r="Y140" s="49">
        <f>'CLP Tariff'!D145</f>
        <v>870121</v>
      </c>
      <c r="Z140" s="206">
        <v>404853</v>
      </c>
      <c r="AA140" s="84">
        <f t="shared" ref="AA140" si="27">Y140-Z140</f>
        <v>465268</v>
      </c>
      <c r="AB140" s="49">
        <f t="shared" si="19"/>
        <v>2033022</v>
      </c>
      <c r="AD140" s="49">
        <f>30467+892+75700</f>
        <v>107059</v>
      </c>
      <c r="AE140" s="49">
        <f>144241+138871</f>
        <v>283112</v>
      </c>
      <c r="AF140" s="49">
        <v>0</v>
      </c>
      <c r="AG140" s="49">
        <v>0</v>
      </c>
      <c r="AH140" s="49">
        <v>14241.92</v>
      </c>
      <c r="AI140" s="49">
        <v>32039</v>
      </c>
      <c r="AJ140" s="49"/>
      <c r="AL140" s="49"/>
    </row>
    <row r="141" spans="1:38" ht="23.25" customHeight="1">
      <c r="A141" s="47">
        <v>45809</v>
      </c>
      <c r="B141" s="49">
        <v>10004035</v>
      </c>
      <c r="C141" s="49">
        <f t="shared" si="20"/>
        <v>3282572</v>
      </c>
      <c r="D141" s="49">
        <v>540933</v>
      </c>
      <c r="E141" s="49">
        <v>403500</v>
      </c>
      <c r="F141" s="49">
        <v>59310</v>
      </c>
      <c r="G141" s="49">
        <v>132324</v>
      </c>
      <c r="H141" s="49">
        <v>369127</v>
      </c>
      <c r="I141" s="49">
        <v>2251997</v>
      </c>
      <c r="J141" s="49">
        <v>231300</v>
      </c>
      <c r="K141" s="49">
        <v>56296</v>
      </c>
      <c r="L141" s="49">
        <v>128696</v>
      </c>
      <c r="M141" s="49"/>
      <c r="N141" s="49">
        <v>189802</v>
      </c>
      <c r="O141" s="49">
        <v>51217</v>
      </c>
      <c r="P141" s="49">
        <v>11935</v>
      </c>
      <c r="Q141" s="49">
        <v>68453</v>
      </c>
      <c r="R141" s="49"/>
      <c r="S141" s="49">
        <f>12494+23912</f>
        <v>36406</v>
      </c>
      <c r="T141" s="49">
        <v>21570</v>
      </c>
      <c r="U141" s="49">
        <v>77142</v>
      </c>
      <c r="V141" s="49">
        <v>347000</v>
      </c>
      <c r="W141" s="49">
        <v>191950</v>
      </c>
      <c r="X141" s="49">
        <v>591496</v>
      </c>
      <c r="Y141" s="49">
        <f>'CLP Tariff'!D146</f>
        <v>961009</v>
      </c>
      <c r="Z141" s="206">
        <v>375997</v>
      </c>
      <c r="AA141" s="84">
        <f t="shared" ref="AA141" si="28">Y141-Z141</f>
        <v>585012</v>
      </c>
      <c r="AB141" s="49">
        <f t="shared" si="19"/>
        <v>2441799</v>
      </c>
      <c r="AD141" s="49">
        <f>29570+861+65664</f>
        <v>96095</v>
      </c>
      <c r="AE141" s="49">
        <f>145066+157413</f>
        <v>302479</v>
      </c>
      <c r="AF141" s="49">
        <v>0</v>
      </c>
      <c r="AG141" s="49">
        <v>0</v>
      </c>
      <c r="AH141" s="49">
        <v>14634.33</v>
      </c>
      <c r="AI141" s="49">
        <v>41319</v>
      </c>
      <c r="AJ141" s="49"/>
      <c r="AL141" s="49"/>
    </row>
    <row r="142" spans="1:38" ht="23.25" customHeight="1">
      <c r="A142" s="47">
        <v>45839</v>
      </c>
      <c r="B142" s="49">
        <v>10192458</v>
      </c>
      <c r="C142" s="49">
        <f t="shared" si="20"/>
        <v>2999218</v>
      </c>
      <c r="D142" s="49">
        <v>534109</v>
      </c>
      <c r="E142" s="49">
        <v>413100</v>
      </c>
      <c r="F142" s="49">
        <v>66640</v>
      </c>
      <c r="G142" s="49">
        <v>125053</v>
      </c>
      <c r="H142" s="49">
        <v>357034</v>
      </c>
      <c r="I142" s="49">
        <v>2504159</v>
      </c>
      <c r="J142" s="49">
        <v>221700</v>
      </c>
      <c r="K142" s="49">
        <v>68672</v>
      </c>
      <c r="L142" s="49">
        <v>145108</v>
      </c>
      <c r="M142" s="49"/>
      <c r="N142" s="49">
        <v>265504</v>
      </c>
      <c r="O142" s="49">
        <v>56223</v>
      </c>
      <c r="P142" s="49">
        <v>15162</v>
      </c>
      <c r="Q142" s="49">
        <v>69381</v>
      </c>
      <c r="R142" s="49"/>
      <c r="S142" s="49">
        <f>9751+20188</f>
        <v>29939</v>
      </c>
      <c r="T142" s="49">
        <v>22289</v>
      </c>
      <c r="U142" s="49">
        <v>79713</v>
      </c>
      <c r="V142" s="49">
        <v>387200</v>
      </c>
      <c r="W142" s="49">
        <v>197380</v>
      </c>
      <c r="X142" s="49">
        <v>655026</v>
      </c>
      <c r="Y142" s="49">
        <f>'CLP Tariff'!D147</f>
        <v>979848</v>
      </c>
      <c r="Z142" s="206">
        <v>362265</v>
      </c>
      <c r="AA142" s="84">
        <f t="shared" ref="AA142" si="29">Y142-Z142</f>
        <v>617583</v>
      </c>
      <c r="AB142" s="49">
        <f t="shared" si="19"/>
        <v>2769663</v>
      </c>
      <c r="AD142" s="49">
        <v>110338</v>
      </c>
      <c r="AE142" s="49">
        <f>146476+153686</f>
        <v>300162</v>
      </c>
      <c r="AF142" s="49">
        <v>0</v>
      </c>
      <c r="AG142" s="49">
        <f>129639/5</f>
        <v>25927.8</v>
      </c>
      <c r="AH142" s="49">
        <v>16928.689999999999</v>
      </c>
      <c r="AI142" s="49">
        <v>41405</v>
      </c>
      <c r="AJ142" s="49"/>
      <c r="AL142" s="49"/>
    </row>
    <row r="143" spans="1:38" ht="23.25" customHeight="1">
      <c r="A143" s="47">
        <v>45870</v>
      </c>
      <c r="B143" s="49">
        <v>10054427</v>
      </c>
      <c r="C143" s="49">
        <f t="shared" si="20"/>
        <v>3032319.38</v>
      </c>
      <c r="D143" s="49">
        <v>538375</v>
      </c>
      <c r="E143" s="49">
        <v>404500</v>
      </c>
      <c r="F143" s="49">
        <v>76950</v>
      </c>
      <c r="G143" s="49">
        <v>125905</v>
      </c>
      <c r="H143" s="49">
        <v>350137</v>
      </c>
      <c r="I143" s="49">
        <v>2414329</v>
      </c>
      <c r="J143" s="49">
        <v>222500</v>
      </c>
      <c r="K143" s="49">
        <v>77608</v>
      </c>
      <c r="L143" s="49">
        <v>173834</v>
      </c>
      <c r="M143" s="49"/>
      <c r="N143" s="49">
        <v>300733</v>
      </c>
      <c r="O143" s="49">
        <v>70093</v>
      </c>
      <c r="P143" s="49">
        <v>13557</v>
      </c>
      <c r="Q143" s="49">
        <v>64657</v>
      </c>
      <c r="R143" s="49">
        <v>6228</v>
      </c>
      <c r="S143" s="49">
        <f>9002+17542</f>
        <v>26544</v>
      </c>
      <c r="T143" s="49">
        <v>23885.62</v>
      </c>
      <c r="U143" s="49">
        <f>48857+30852</f>
        <v>79709</v>
      </c>
      <c r="V143" s="49">
        <v>348280</v>
      </c>
      <c r="W143" s="49">
        <v>175870</v>
      </c>
      <c r="X143" s="49">
        <v>581766</v>
      </c>
      <c r="Y143" s="49">
        <f>'CLP Tariff'!D148</f>
        <v>946647</v>
      </c>
      <c r="Z143" s="206">
        <v>378878</v>
      </c>
      <c r="AA143" s="84">
        <f t="shared" ref="AA143" si="30">Y143-Z143</f>
        <v>567769</v>
      </c>
      <c r="AB143" s="49">
        <f t="shared" si="19"/>
        <v>2715062</v>
      </c>
      <c r="AD143" s="49">
        <f>920+62111+28859</f>
        <v>91890</v>
      </c>
      <c r="AE143" s="49">
        <f>162566+145248</f>
        <v>307814</v>
      </c>
      <c r="AF143" s="49">
        <v>0</v>
      </c>
      <c r="AG143" s="49">
        <f>113156/5</f>
        <v>22631.200000000001</v>
      </c>
      <c r="AH143" s="49">
        <v>16476.939999999999</v>
      </c>
      <c r="AI143" s="49">
        <v>42556</v>
      </c>
      <c r="AJ143" s="49"/>
      <c r="AL143" s="49"/>
    </row>
    <row r="144" spans="1:38" ht="23.25" customHeight="1">
      <c r="A144" s="47">
        <v>45901</v>
      </c>
      <c r="B144" s="49">
        <v>11331409</v>
      </c>
      <c r="C144" s="49">
        <f t="shared" si="20"/>
        <v>3760683</v>
      </c>
      <c r="D144" s="49">
        <v>483822</v>
      </c>
      <c r="E144" s="49">
        <v>440900</v>
      </c>
      <c r="F144" s="49">
        <v>81980</v>
      </c>
      <c r="G144" s="49">
        <v>132068</v>
      </c>
      <c r="H144" s="49">
        <v>386828</v>
      </c>
      <c r="I144" s="49">
        <v>2405351</v>
      </c>
      <c r="J144" s="49">
        <v>243800</v>
      </c>
      <c r="K144" s="49">
        <v>66523</v>
      </c>
      <c r="L144" s="49">
        <v>142935</v>
      </c>
      <c r="M144" s="49"/>
      <c r="N144" s="49">
        <v>268527</v>
      </c>
      <c r="O144" s="49">
        <v>80022</v>
      </c>
      <c r="P144" s="49">
        <v>12799</v>
      </c>
      <c r="Q144" s="49">
        <v>72316</v>
      </c>
      <c r="R144" s="49">
        <v>17858</v>
      </c>
      <c r="S144" s="49">
        <f>11754+23618</f>
        <v>35372</v>
      </c>
      <c r="T144" s="49">
        <v>35948</v>
      </c>
      <c r="U144" s="49">
        <v>145148</v>
      </c>
      <c r="V144" s="49">
        <v>352640</v>
      </c>
      <c r="W144" s="49">
        <v>205980</v>
      </c>
      <c r="X144" s="49">
        <v>880103</v>
      </c>
      <c r="Y144" s="49">
        <f>'CLP Tariff'!D149</f>
        <v>1079806</v>
      </c>
      <c r="Z144" s="206">
        <v>437109</v>
      </c>
      <c r="AA144" s="84">
        <f t="shared" ref="AA144" si="31">Y144-Z144</f>
        <v>642697</v>
      </c>
      <c r="AB144" s="49">
        <f t="shared" si="19"/>
        <v>2673878</v>
      </c>
      <c r="AD144" s="49">
        <f>920+32349+107995</f>
        <v>141264</v>
      </c>
      <c r="AE144" s="49">
        <f>173828+156721</f>
        <v>330549</v>
      </c>
      <c r="AF144" s="49">
        <f>609500/5</f>
        <v>121900</v>
      </c>
      <c r="AG144" s="49">
        <f>76910/5</f>
        <v>15382</v>
      </c>
      <c r="AH144" s="49">
        <v>17662.490000000002</v>
      </c>
      <c r="AI144" s="49">
        <v>36836</v>
      </c>
      <c r="AJ144" s="49"/>
      <c r="AL144" s="49"/>
    </row>
    <row r="145" spans="1:41" ht="23.25" customHeight="1">
      <c r="A145" s="47">
        <v>45931</v>
      </c>
      <c r="B145" s="49">
        <v>9796105</v>
      </c>
      <c r="C145" s="49">
        <f t="shared" si="20"/>
        <v>3147885.9000000004</v>
      </c>
      <c r="D145" s="49">
        <v>504929</v>
      </c>
      <c r="E145" s="49">
        <v>404500</v>
      </c>
      <c r="F145" s="49">
        <v>82270</v>
      </c>
      <c r="G145" s="49">
        <v>126782</v>
      </c>
      <c r="H145" s="49">
        <v>359852</v>
      </c>
      <c r="I145" s="49">
        <v>1957753</v>
      </c>
      <c r="J145" s="49">
        <v>241000</v>
      </c>
      <c r="K145" s="49">
        <v>70315</v>
      </c>
      <c r="L145" s="49">
        <v>143945</v>
      </c>
      <c r="M145" s="49"/>
      <c r="N145" s="49">
        <v>251737</v>
      </c>
      <c r="O145" s="49">
        <v>56142</v>
      </c>
      <c r="P145" s="49">
        <v>11057</v>
      </c>
      <c r="Q145" s="49">
        <v>63511</v>
      </c>
      <c r="R145" s="49">
        <v>17675</v>
      </c>
      <c r="S145" s="49">
        <v>34877</v>
      </c>
      <c r="T145" s="49">
        <v>54788</v>
      </c>
      <c r="U145" s="49">
        <f>133269+5005.1</f>
        <v>138274.1</v>
      </c>
      <c r="V145" s="49">
        <v>300280</v>
      </c>
      <c r="W145" s="49">
        <v>165910</v>
      </c>
      <c r="X145" s="49">
        <v>777120</v>
      </c>
      <c r="Y145" s="49">
        <f>'CLP Tariff'!D150</f>
        <v>885502</v>
      </c>
      <c r="Z145" s="206">
        <v>417169</v>
      </c>
      <c r="AA145" s="84">
        <f t="shared" ref="AA145:AA146" si="32">Y145-Z145</f>
        <v>468333</v>
      </c>
      <c r="AB145" s="49">
        <f t="shared" si="19"/>
        <v>2209490</v>
      </c>
      <c r="AD145" s="49">
        <v>138998</v>
      </c>
      <c r="AE145" s="49">
        <f>155778+151133</f>
        <v>306911</v>
      </c>
      <c r="AF145" s="49">
        <f>372330/5</f>
        <v>74466</v>
      </c>
      <c r="AG145" s="49">
        <f>32487/5</f>
        <v>6497.4</v>
      </c>
      <c r="AH145" s="49">
        <v>16020.28</v>
      </c>
      <c r="AI145" s="49">
        <v>46903</v>
      </c>
      <c r="AJ145" s="49"/>
      <c r="AL145" s="49"/>
    </row>
    <row r="146" spans="1:41" ht="23.25" customHeight="1">
      <c r="A146" s="47">
        <v>45962</v>
      </c>
      <c r="B146" s="49">
        <v>7978764</v>
      </c>
      <c r="C146" s="49">
        <f t="shared" si="20"/>
        <v>3333008.3</v>
      </c>
      <c r="D146" s="49">
        <v>500521</v>
      </c>
      <c r="E146" s="49">
        <v>388197</v>
      </c>
      <c r="F146" s="49">
        <v>75078</v>
      </c>
      <c r="G146" s="49">
        <v>133398</v>
      </c>
      <c r="H146" s="49">
        <v>341845</v>
      </c>
      <c r="I146" s="49">
        <v>1020447</v>
      </c>
      <c r="J146" s="49">
        <v>236053</v>
      </c>
      <c r="K146" s="49">
        <v>50979</v>
      </c>
      <c r="L146" s="49">
        <v>85990</v>
      </c>
      <c r="M146" s="49"/>
      <c r="N146" s="49">
        <v>105031</v>
      </c>
      <c r="O146" s="49">
        <v>49795</v>
      </c>
      <c r="P146" s="49">
        <v>5078</v>
      </c>
      <c r="Q146" s="49">
        <v>47584</v>
      </c>
      <c r="R146" s="49">
        <v>18927</v>
      </c>
      <c r="S146" s="49">
        <v>27839</v>
      </c>
      <c r="T146" s="49">
        <v>44843.7</v>
      </c>
      <c r="U146" s="49">
        <v>116174</v>
      </c>
      <c r="V146" s="49">
        <v>179100</v>
      </c>
      <c r="W146" s="49">
        <v>107311</v>
      </c>
      <c r="X146" s="49">
        <v>465405</v>
      </c>
      <c r="Y146" s="49">
        <f>'CLP Tariff'!D151</f>
        <v>646160</v>
      </c>
      <c r="Z146" s="49">
        <v>402881</v>
      </c>
      <c r="AA146" s="84">
        <f t="shared" si="32"/>
        <v>243279</v>
      </c>
      <c r="AB146" s="49">
        <f t="shared" si="19"/>
        <v>1125478</v>
      </c>
      <c r="AD146" s="49">
        <v>77480</v>
      </c>
      <c r="AE146" s="49">
        <f>159845+146215</f>
        <v>306060</v>
      </c>
      <c r="AF146" s="49">
        <f>46310/5</f>
        <v>9262</v>
      </c>
      <c r="AG146" s="49">
        <f>41411/5</f>
        <v>8282.2000000000007</v>
      </c>
      <c r="AH146" s="49">
        <v>16717.57</v>
      </c>
      <c r="AI146" s="49">
        <v>47478</v>
      </c>
      <c r="AJ146" s="49"/>
      <c r="AL146" s="49"/>
    </row>
    <row r="147" spans="1:41" ht="23.25" customHeight="1">
      <c r="A147" s="47">
        <v>45992</v>
      </c>
      <c r="B147" s="49">
        <v>8046008</v>
      </c>
      <c r="C147" s="49">
        <f t="shared" si="20"/>
        <v>3520853.9000000004</v>
      </c>
      <c r="D147" s="49">
        <v>584958</v>
      </c>
      <c r="E147" s="49">
        <v>414803</v>
      </c>
      <c r="F147" s="49">
        <v>86752</v>
      </c>
      <c r="G147" s="49">
        <v>145603</v>
      </c>
      <c r="H147" s="49">
        <v>353167</v>
      </c>
      <c r="I147" s="49">
        <v>842964.1</v>
      </c>
      <c r="J147" s="49">
        <v>253147</v>
      </c>
      <c r="K147" s="49">
        <v>43259</v>
      </c>
      <c r="L147" s="49">
        <v>81529</v>
      </c>
      <c r="M147" s="49"/>
      <c r="N147" s="49">
        <v>63573</v>
      </c>
      <c r="O147" s="49">
        <v>39556</v>
      </c>
      <c r="P147" s="49">
        <v>2864</v>
      </c>
      <c r="Q147" s="49">
        <v>45888</v>
      </c>
      <c r="R147" s="49">
        <v>22453</v>
      </c>
      <c r="S147" s="49">
        <v>30350</v>
      </c>
      <c r="T147" s="49">
        <v>45023</v>
      </c>
      <c r="U147" s="49">
        <v>150747</v>
      </c>
      <c r="V147" s="49">
        <v>151900</v>
      </c>
      <c r="W147" s="49">
        <v>113682</v>
      </c>
      <c r="X147" s="49">
        <v>426201</v>
      </c>
      <c r="Y147" s="49">
        <f>'CLP Tariff'!D152</f>
        <v>626735</v>
      </c>
      <c r="Z147" s="49">
        <v>388825</v>
      </c>
      <c r="AA147" s="48">
        <f t="shared" ref="AA147" si="33">Y147-Z147</f>
        <v>237910</v>
      </c>
      <c r="AB147" s="49">
        <f t="shared" si="19"/>
        <v>906537.1</v>
      </c>
      <c r="AD147" s="49">
        <v>61061</v>
      </c>
      <c r="AE147" s="49">
        <f>187559+186813</f>
        <v>374372</v>
      </c>
      <c r="AF147" s="49">
        <f>48920/5</f>
        <v>9784</v>
      </c>
      <c r="AG147" s="49">
        <f>4867/5</f>
        <v>973.4</v>
      </c>
      <c r="AH147" s="49">
        <v>18702.78</v>
      </c>
      <c r="AI147" s="49">
        <v>36034</v>
      </c>
      <c r="AJ147" s="49"/>
      <c r="AL147" s="49"/>
    </row>
    <row r="148" spans="1:41" ht="23.25" customHeight="1">
      <c r="A148" s="167">
        <v>46023</v>
      </c>
      <c r="B148" s="168">
        <v>7308543</v>
      </c>
      <c r="C148" s="168">
        <f t="shared" si="20"/>
        <v>3260987</v>
      </c>
      <c r="D148" s="168">
        <v>543221</v>
      </c>
      <c r="E148" s="168">
        <v>388200</v>
      </c>
      <c r="F148" s="168">
        <v>71330</v>
      </c>
      <c r="G148" s="168">
        <v>170604</v>
      </c>
      <c r="H148" s="168">
        <v>335356</v>
      </c>
      <c r="I148" s="168">
        <v>620519</v>
      </c>
      <c r="J148" s="168">
        <v>239400</v>
      </c>
      <c r="K148" s="168">
        <v>56131</v>
      </c>
      <c r="L148" s="168">
        <v>102592</v>
      </c>
      <c r="M148" s="168"/>
      <c r="N148" s="168">
        <v>44860</v>
      </c>
      <c r="O148" s="168">
        <v>44806</v>
      </c>
      <c r="P148" s="168">
        <v>1825</v>
      </c>
      <c r="Q148" s="168">
        <v>33942</v>
      </c>
      <c r="R148" s="168">
        <v>24808</v>
      </c>
      <c r="S148" s="168">
        <f>2917+402+4074+9478</f>
        <v>16871</v>
      </c>
      <c r="T148" s="168">
        <v>38524</v>
      </c>
      <c r="U148" s="168">
        <v>159687</v>
      </c>
      <c r="V148" s="168">
        <v>144300</v>
      </c>
      <c r="W148" s="168">
        <v>103340</v>
      </c>
      <c r="X148" s="168">
        <v>286673</v>
      </c>
      <c r="Y148" s="168">
        <f>'CLP Tariff'!D153</f>
        <v>620567</v>
      </c>
      <c r="Z148" s="168">
        <v>338985</v>
      </c>
      <c r="AA148" s="168">
        <v>281582</v>
      </c>
      <c r="AB148" s="168">
        <f t="shared" si="19"/>
        <v>665379</v>
      </c>
      <c r="AD148" s="168">
        <f>14503+1042+21883</f>
        <v>37428</v>
      </c>
      <c r="AE148" s="168">
        <f>169851+177782</f>
        <v>347633</v>
      </c>
      <c r="AF148" s="168">
        <v>4089</v>
      </c>
      <c r="AG148" s="168">
        <v>2563</v>
      </c>
      <c r="AH148" s="168">
        <v>18140.7</v>
      </c>
      <c r="AI148" s="168">
        <v>48398</v>
      </c>
      <c r="AJ148" s="168"/>
      <c r="AL148" s="168"/>
    </row>
    <row r="149" spans="1:41" ht="23.25" customHeight="1">
      <c r="A149" s="167">
        <v>46054</v>
      </c>
      <c r="B149" s="168">
        <v>7053934</v>
      </c>
      <c r="C149" s="168">
        <f t="shared" ref="C149" si="34">B149-SUM(D149:Y149)</f>
        <v>3046467.1999999997</v>
      </c>
      <c r="D149" s="168">
        <v>483759</v>
      </c>
      <c r="E149" s="168">
        <v>339400</v>
      </c>
      <c r="F149" s="168">
        <v>69110</v>
      </c>
      <c r="G149" s="168">
        <v>127047</v>
      </c>
      <c r="H149" s="168">
        <v>303408</v>
      </c>
      <c r="I149" s="168">
        <v>762926.1</v>
      </c>
      <c r="J149" s="168">
        <v>225600</v>
      </c>
      <c r="K149" s="168">
        <v>50950</v>
      </c>
      <c r="L149" s="168">
        <v>81167</v>
      </c>
      <c r="M149" s="168"/>
      <c r="N149" s="168">
        <v>57790</v>
      </c>
      <c r="O149" s="168">
        <v>31457</v>
      </c>
      <c r="P149" s="168">
        <v>1061</v>
      </c>
      <c r="Q149" s="168">
        <v>37880</v>
      </c>
      <c r="R149" s="168">
        <v>32830</v>
      </c>
      <c r="S149" s="168">
        <f>6865+945.7+9586+22300</f>
        <v>39696.699999999997</v>
      </c>
      <c r="T149" s="168">
        <v>33598</v>
      </c>
      <c r="U149" s="168">
        <v>234192</v>
      </c>
      <c r="V149" s="168">
        <v>126900</v>
      </c>
      <c r="W149" s="168">
        <v>79940</v>
      </c>
      <c r="X149" s="168">
        <v>329433</v>
      </c>
      <c r="Y149" s="168">
        <f>'CLP Tariff'!D154</f>
        <v>559322</v>
      </c>
      <c r="Z149" s="168">
        <v>320308</v>
      </c>
      <c r="AA149" s="168">
        <v>239014</v>
      </c>
      <c r="AB149" s="168">
        <f t="shared" ref="AB149" si="35">I149+N149</f>
        <v>820716.1</v>
      </c>
      <c r="AD149" s="168">
        <f>31233+15977+885</f>
        <v>48095</v>
      </c>
      <c r="AE149" s="168">
        <f>148656+148433</f>
        <v>297089</v>
      </c>
      <c r="AF149" s="168">
        <v>7887</v>
      </c>
      <c r="AG149" s="168">
        <v>1252</v>
      </c>
      <c r="AH149" s="168">
        <v>16858</v>
      </c>
      <c r="AI149" s="168">
        <v>43012</v>
      </c>
      <c r="AJ149" s="168">
        <v>100000</v>
      </c>
      <c r="AL149" s="168">
        <v>200000000</v>
      </c>
    </row>
    <row r="150" spans="1:41" ht="23.25" customHeight="1">
      <c r="A150" s="167">
        <v>46082</v>
      </c>
      <c r="B150" s="168">
        <v>8470012</v>
      </c>
      <c r="C150" s="168">
        <f t="shared" ref="C150" si="36">B150-SUM(D150:Y150)</f>
        <v>3439476.3</v>
      </c>
      <c r="D150" s="168">
        <v>564806</v>
      </c>
      <c r="E150" s="168">
        <v>460300</v>
      </c>
      <c r="F150" s="168">
        <v>78120</v>
      </c>
      <c r="G150" s="168">
        <v>135394</v>
      </c>
      <c r="H150" s="168">
        <v>317680</v>
      </c>
      <c r="I150" s="168">
        <v>1087049</v>
      </c>
      <c r="J150" s="168">
        <v>257674</v>
      </c>
      <c r="K150" s="168">
        <v>57348</v>
      </c>
      <c r="L150" s="168">
        <v>79410</v>
      </c>
      <c r="M150" s="168"/>
      <c r="N150" s="168">
        <v>103510</v>
      </c>
      <c r="O150" s="168">
        <v>41318</v>
      </c>
      <c r="P150" s="168">
        <v>600</v>
      </c>
      <c r="Q150" s="168">
        <v>49608</v>
      </c>
      <c r="R150" s="168">
        <v>40938</v>
      </c>
      <c r="S150" s="168">
        <f>21640+4484.7+1641+4900</f>
        <v>32665.7</v>
      </c>
      <c r="T150" s="168">
        <v>37566</v>
      </c>
      <c r="U150" s="168">
        <v>214226</v>
      </c>
      <c r="V150" s="168">
        <v>178700</v>
      </c>
      <c r="W150" s="168">
        <v>119300</v>
      </c>
      <c r="X150" s="168">
        <v>483477</v>
      </c>
      <c r="Y150" s="168">
        <f>'CLP Tariff'!D155</f>
        <v>690846</v>
      </c>
      <c r="Z150" s="168">
        <v>442364</v>
      </c>
      <c r="AA150" s="168">
        <v>248482</v>
      </c>
      <c r="AB150" s="168">
        <f t="shared" ref="AB150" si="37">I150+N150</f>
        <v>1190559</v>
      </c>
      <c r="AD150" s="168">
        <f>38602+17641+858</f>
        <v>57101</v>
      </c>
      <c r="AE150" s="168">
        <f>178559+186915</f>
        <v>365474</v>
      </c>
      <c r="AF150" s="168">
        <v>23685</v>
      </c>
      <c r="AG150" s="168">
        <v>8255</v>
      </c>
      <c r="AH150" s="168">
        <v>20391</v>
      </c>
      <c r="AI150" s="168">
        <v>56770</v>
      </c>
      <c r="AJ150" s="168">
        <v>100000</v>
      </c>
      <c r="AL150" s="168">
        <v>200000000</v>
      </c>
    </row>
    <row r="151" spans="1:41" ht="23.25" customHeight="1" thickBot="1">
      <c r="A151" s="167">
        <v>46113</v>
      </c>
      <c r="B151" s="168">
        <v>9717646</v>
      </c>
      <c r="C151" s="168">
        <f t="shared" ref="C151" si="38">B151-SUM(D151:Y151)</f>
        <v>3637811</v>
      </c>
      <c r="D151" s="168">
        <v>571275</v>
      </c>
      <c r="E151" s="168">
        <v>432000</v>
      </c>
      <c r="F151" s="168">
        <v>82230</v>
      </c>
      <c r="G151" s="168">
        <v>129264</v>
      </c>
      <c r="H151" s="168">
        <v>318714</v>
      </c>
      <c r="I151" s="168">
        <v>1654219</v>
      </c>
      <c r="J151" s="168">
        <v>256126</v>
      </c>
      <c r="K151" s="168">
        <v>110678</v>
      </c>
      <c r="L151" s="168">
        <v>118081</v>
      </c>
      <c r="M151" s="168"/>
      <c r="N151" s="168">
        <v>208610</v>
      </c>
      <c r="O151" s="168">
        <v>39977</v>
      </c>
      <c r="P151" s="168">
        <v>2940</v>
      </c>
      <c r="Q151" s="168">
        <v>53118</v>
      </c>
      <c r="R151" s="168">
        <v>36586</v>
      </c>
      <c r="S151" s="168">
        <f>25747.7+8749.3+3550</f>
        <v>38047</v>
      </c>
      <c r="T151" s="168">
        <v>34567</v>
      </c>
      <c r="U151" s="168">
        <f>71442+66226+109143-42009</f>
        <v>204802</v>
      </c>
      <c r="V151" s="168">
        <v>246200</v>
      </c>
      <c r="W151" s="168">
        <v>142270</v>
      </c>
      <c r="X151" s="168">
        <v>606652</v>
      </c>
      <c r="Y151" s="168">
        <f>'CLP Tariff'!D156</f>
        <v>793479</v>
      </c>
      <c r="Z151" s="168">
        <v>449653</v>
      </c>
      <c r="AA151" s="168">
        <v>343826</v>
      </c>
      <c r="AB151" s="168">
        <f t="shared" ref="AB151" si="39">I151+N151</f>
        <v>1862829</v>
      </c>
      <c r="AD151" s="168">
        <f>1030+62935+27451</f>
        <v>91416</v>
      </c>
      <c r="AE151" s="168">
        <f>173839+190627</f>
        <v>364466</v>
      </c>
      <c r="AF151" s="168">
        <v>74223</v>
      </c>
      <c r="AG151" s="168">
        <v>16734</v>
      </c>
      <c r="AH151" s="168">
        <v>19485</v>
      </c>
      <c r="AI151" s="168">
        <v>41971</v>
      </c>
      <c r="AJ151" s="168">
        <v>100000</v>
      </c>
      <c r="AL151" s="168">
        <v>200000000</v>
      </c>
    </row>
    <row r="152" spans="1:41" ht="58.5" customHeight="1" thickBot="1">
      <c r="A152" s="222" t="s">
        <v>45</v>
      </c>
      <c r="B152" s="222" t="s">
        <v>46</v>
      </c>
      <c r="C152" s="223" t="s">
        <v>77</v>
      </c>
      <c r="D152" s="223" t="s">
        <v>48</v>
      </c>
      <c r="E152" s="223" t="s">
        <v>49</v>
      </c>
      <c r="F152" s="223" t="s">
        <v>50</v>
      </c>
      <c r="G152" s="223" t="s">
        <v>51</v>
      </c>
      <c r="H152" s="223" t="s">
        <v>78</v>
      </c>
      <c r="I152" s="224" t="s">
        <v>53</v>
      </c>
      <c r="J152" s="225" t="s">
        <v>54</v>
      </c>
      <c r="K152" s="225" t="s">
        <v>55</v>
      </c>
      <c r="L152" s="225" t="s">
        <v>56</v>
      </c>
      <c r="M152" s="225" t="s">
        <v>57</v>
      </c>
      <c r="N152" s="226" t="s">
        <v>79</v>
      </c>
      <c r="O152" s="227" t="s">
        <v>59</v>
      </c>
      <c r="P152" s="227" t="s">
        <v>60</v>
      </c>
      <c r="Q152" s="227" t="s">
        <v>61</v>
      </c>
      <c r="R152" s="231" t="s">
        <v>80</v>
      </c>
      <c r="S152" s="230" t="s">
        <v>81</v>
      </c>
      <c r="T152" s="223" t="s">
        <v>62</v>
      </c>
      <c r="U152" s="228" t="s">
        <v>63</v>
      </c>
      <c r="V152" s="228" t="s">
        <v>64</v>
      </c>
      <c r="W152" s="228" t="s">
        <v>65</v>
      </c>
      <c r="X152" s="228" t="s">
        <v>66</v>
      </c>
      <c r="Y152" s="229" t="s">
        <v>67</v>
      </c>
      <c r="Z152" s="229" t="s">
        <v>68</v>
      </c>
      <c r="AA152" s="229" t="s">
        <v>69</v>
      </c>
      <c r="AB152" s="221" t="s">
        <v>70</v>
      </c>
      <c r="AD152" s="228" t="s">
        <v>71</v>
      </c>
      <c r="AE152" s="223" t="s">
        <v>72</v>
      </c>
      <c r="AF152" s="221" t="s">
        <v>82</v>
      </c>
      <c r="AG152" s="221" t="s">
        <v>83</v>
      </c>
      <c r="AH152" s="231" t="s">
        <v>75</v>
      </c>
      <c r="AI152" s="231" t="s">
        <v>76</v>
      </c>
      <c r="AJ152" s="231"/>
      <c r="AL152" s="231"/>
    </row>
    <row r="153" spans="1:41" ht="23.25" customHeight="1">
      <c r="A153" s="142" t="s">
        <v>84</v>
      </c>
      <c r="B153" s="123">
        <f t="shared" ref="B153:S153" si="40">SUM(B10:B21)</f>
        <v>93067207</v>
      </c>
      <c r="C153" s="123">
        <f t="shared" si="40"/>
        <v>48161326</v>
      </c>
      <c r="D153" s="123">
        <f t="shared" si="40"/>
        <v>2701602</v>
      </c>
      <c r="E153" s="123">
        <f t="shared" si="40"/>
        <v>1645614</v>
      </c>
      <c r="F153" s="123">
        <f t="shared" si="40"/>
        <v>0</v>
      </c>
      <c r="G153" s="123">
        <f t="shared" si="40"/>
        <v>0</v>
      </c>
      <c r="H153" s="123">
        <f t="shared" si="40"/>
        <v>0</v>
      </c>
      <c r="I153" s="123">
        <f t="shared" si="40"/>
        <v>18602394</v>
      </c>
      <c r="J153" s="123">
        <f t="shared" si="40"/>
        <v>2956133</v>
      </c>
      <c r="K153" s="123">
        <f t="shared" si="40"/>
        <v>729539</v>
      </c>
      <c r="L153" s="123">
        <f t="shared" si="40"/>
        <v>0</v>
      </c>
      <c r="M153" s="123">
        <f t="shared" si="40"/>
        <v>0</v>
      </c>
      <c r="N153" s="123">
        <f t="shared" si="40"/>
        <v>1914636</v>
      </c>
      <c r="O153" s="123">
        <f t="shared" si="40"/>
        <v>972626</v>
      </c>
      <c r="P153" s="123">
        <f t="shared" si="40"/>
        <v>0</v>
      </c>
      <c r="Q153" s="123">
        <f t="shared" si="40"/>
        <v>0</v>
      </c>
      <c r="R153" s="123">
        <f t="shared" si="40"/>
        <v>0</v>
      </c>
      <c r="S153" s="123">
        <f t="shared" si="40"/>
        <v>0</v>
      </c>
      <c r="T153" s="123"/>
      <c r="U153" s="123">
        <f>SUM(U10:U21)</f>
        <v>0</v>
      </c>
      <c r="V153" s="217"/>
      <c r="W153" s="123">
        <f t="shared" ref="W153:AB153" si="41">SUM(W10:W21)</f>
        <v>0</v>
      </c>
      <c r="X153" s="123">
        <f t="shared" si="41"/>
        <v>7303751</v>
      </c>
      <c r="Y153" s="207">
        <f t="shared" si="41"/>
        <v>8079586</v>
      </c>
      <c r="Z153" s="123">
        <f t="shared" si="41"/>
        <v>3418093</v>
      </c>
      <c r="AA153" s="123">
        <f t="shared" si="41"/>
        <v>4661493</v>
      </c>
      <c r="AB153" s="123">
        <f t="shared" si="41"/>
        <v>20517030</v>
      </c>
      <c r="AD153" s="123">
        <f t="shared" ref="AD153:AI153" si="42">SUM(AD10:AD21)</f>
        <v>0</v>
      </c>
      <c r="AE153" s="123">
        <f t="shared" si="42"/>
        <v>0</v>
      </c>
      <c r="AF153" s="123">
        <f t="shared" si="42"/>
        <v>0</v>
      </c>
      <c r="AG153" s="123">
        <f t="shared" si="42"/>
        <v>0</v>
      </c>
      <c r="AH153" s="123">
        <f t="shared" si="42"/>
        <v>0</v>
      </c>
      <c r="AI153" s="123">
        <f t="shared" si="42"/>
        <v>0</v>
      </c>
      <c r="AJ153" s="123"/>
      <c r="AL153" s="123"/>
    </row>
    <row r="154" spans="1:41" ht="23.25" customHeight="1">
      <c r="A154" s="142" t="s">
        <v>85</v>
      </c>
      <c r="B154" s="123">
        <f>SUM(B128:B139)</f>
        <v>101180417</v>
      </c>
      <c r="C154" s="123">
        <f t="shared" ref="C154:Q154" si="43">SUM(C128:C139)</f>
        <v>38682685.700000003</v>
      </c>
      <c r="D154" s="123">
        <f t="shared" si="43"/>
        <v>4725978</v>
      </c>
      <c r="E154" s="123">
        <f t="shared" si="43"/>
        <v>4937570</v>
      </c>
      <c r="F154" s="123">
        <f t="shared" si="43"/>
        <v>695720</v>
      </c>
      <c r="G154" s="123">
        <f t="shared" si="43"/>
        <v>1757651</v>
      </c>
      <c r="H154" s="123">
        <f t="shared" si="43"/>
        <v>4069007</v>
      </c>
      <c r="I154" s="123">
        <f t="shared" si="43"/>
        <v>17558365.300000001</v>
      </c>
      <c r="J154" s="123">
        <f t="shared" si="43"/>
        <v>2881800</v>
      </c>
      <c r="K154" s="123">
        <f t="shared" si="43"/>
        <v>585406</v>
      </c>
      <c r="L154" s="123">
        <f t="shared" si="43"/>
        <v>1409674</v>
      </c>
      <c r="M154" s="123">
        <f t="shared" si="43"/>
        <v>0</v>
      </c>
      <c r="N154" s="123">
        <f t="shared" si="43"/>
        <v>1277645</v>
      </c>
      <c r="O154" s="123">
        <f t="shared" si="43"/>
        <v>510007</v>
      </c>
      <c r="P154" s="123">
        <f t="shared" si="43"/>
        <v>98156</v>
      </c>
      <c r="Q154" s="123">
        <f t="shared" si="43"/>
        <v>654439</v>
      </c>
      <c r="R154" s="123">
        <f t="shared" ref="R154:AB154" si="44">SUM(R128:R139)</f>
        <v>0</v>
      </c>
      <c r="S154" s="123">
        <f t="shared" si="44"/>
        <v>128589</v>
      </c>
      <c r="T154" s="123">
        <f t="shared" si="44"/>
        <v>147537</v>
      </c>
      <c r="U154" s="123">
        <f t="shared" si="44"/>
        <v>879839</v>
      </c>
      <c r="V154" s="123">
        <f t="shared" si="44"/>
        <v>3146500</v>
      </c>
      <c r="W154" s="123">
        <f t="shared" si="44"/>
        <v>1699290</v>
      </c>
      <c r="X154" s="123">
        <f t="shared" si="44"/>
        <v>6755754</v>
      </c>
      <c r="Y154" s="123">
        <f t="shared" si="44"/>
        <v>9636189</v>
      </c>
      <c r="Z154" s="123">
        <f t="shared" si="44"/>
        <v>4632439</v>
      </c>
      <c r="AA154" s="123">
        <f t="shared" si="44"/>
        <v>5003750</v>
      </c>
      <c r="AB154" s="123">
        <f t="shared" si="44"/>
        <v>18836010.300000001</v>
      </c>
      <c r="AD154" s="123">
        <f t="shared" ref="AD154:AG154" si="45">SUM(AD128:AD139)</f>
        <v>1036015</v>
      </c>
      <c r="AE154" s="123">
        <f t="shared" si="45"/>
        <v>1887910</v>
      </c>
      <c r="AF154" s="123">
        <f t="shared" si="45"/>
        <v>0</v>
      </c>
      <c r="AG154" s="123">
        <f t="shared" si="45"/>
        <v>0</v>
      </c>
      <c r="AH154" s="123">
        <f>SUM(AH127:AH138)</f>
        <v>129013.72000000002</v>
      </c>
      <c r="AI154" s="123">
        <f>SUM(AI127:AI138)</f>
        <v>164045.24599999998</v>
      </c>
      <c r="AJ154" s="123"/>
      <c r="AL154" s="123"/>
    </row>
    <row r="155" spans="1:41" s="144" customFormat="1" ht="23.25" customHeight="1">
      <c r="A155" s="142" t="s">
        <v>86</v>
      </c>
      <c r="B155" s="123">
        <f>SUM(B140:B151)</f>
        <v>109240359</v>
      </c>
      <c r="C155" s="123">
        <f t="shared" ref="C155:Q155" si="46">SUM(C140:C151)</f>
        <v>39502521.980000004</v>
      </c>
      <c r="D155" s="123">
        <f t="shared" si="46"/>
        <v>6370798</v>
      </c>
      <c r="E155" s="123">
        <f t="shared" si="46"/>
        <v>4887600</v>
      </c>
      <c r="F155" s="123">
        <f t="shared" si="46"/>
        <v>890990</v>
      </c>
      <c r="G155" s="123">
        <f t="shared" si="46"/>
        <v>1616768</v>
      </c>
      <c r="H155" s="123">
        <f t="shared" si="46"/>
        <v>4159364</v>
      </c>
      <c r="I155" s="123">
        <f t="shared" si="46"/>
        <v>19409186.199999999</v>
      </c>
      <c r="J155" s="123">
        <f t="shared" si="46"/>
        <v>2863000</v>
      </c>
      <c r="K155" s="123">
        <f t="shared" si="46"/>
        <v>766429</v>
      </c>
      <c r="L155" s="123">
        <f t="shared" si="46"/>
        <v>1412274</v>
      </c>
      <c r="M155" s="123">
        <f t="shared" si="46"/>
        <v>0</v>
      </c>
      <c r="N155" s="123">
        <f t="shared" si="46"/>
        <v>2005226</v>
      </c>
      <c r="O155" s="123">
        <f t="shared" si="46"/>
        <v>608724</v>
      </c>
      <c r="P155" s="123">
        <f t="shared" si="46"/>
        <v>89102</v>
      </c>
      <c r="Q155" s="123">
        <f t="shared" si="46"/>
        <v>662806</v>
      </c>
      <c r="R155" s="123">
        <f t="shared" ref="R155:AB155" si="47">SUM(R140:R151)</f>
        <v>218303</v>
      </c>
      <c r="S155" s="123">
        <f t="shared" si="47"/>
        <v>384277.4</v>
      </c>
      <c r="T155" s="123">
        <f t="shared" si="47"/>
        <v>414891.32</v>
      </c>
      <c r="U155" s="123">
        <f t="shared" si="47"/>
        <v>1679527.1</v>
      </c>
      <c r="V155" s="123">
        <f t="shared" si="47"/>
        <v>3069700</v>
      </c>
      <c r="W155" s="123">
        <f t="shared" si="47"/>
        <v>1762103</v>
      </c>
      <c r="X155" s="123">
        <f t="shared" si="47"/>
        <v>6806726</v>
      </c>
      <c r="Y155" s="123">
        <f t="shared" si="47"/>
        <v>9660042</v>
      </c>
      <c r="Z155" s="123">
        <f t="shared" si="47"/>
        <v>4719287</v>
      </c>
      <c r="AA155" s="123">
        <f t="shared" si="47"/>
        <v>4940755</v>
      </c>
      <c r="AB155" s="123">
        <f t="shared" si="47"/>
        <v>21414412.200000003</v>
      </c>
      <c r="AC155" s="4"/>
      <c r="AD155" s="123">
        <f t="shared" ref="AD155:AG155" si="48">SUM(AD140:AD151)</f>
        <v>1058225</v>
      </c>
      <c r="AE155" s="123">
        <f t="shared" si="48"/>
        <v>3886121</v>
      </c>
      <c r="AF155" s="123">
        <f t="shared" si="48"/>
        <v>325296</v>
      </c>
      <c r="AG155" s="123">
        <f t="shared" si="48"/>
        <v>108497.99999999999</v>
      </c>
      <c r="AH155" s="123">
        <f>SUM(AH139:AH150)</f>
        <v>197971.03000000003</v>
      </c>
      <c r="AI155" s="123">
        <f>SUM(AI139:AI150)</f>
        <v>501176.29000000004</v>
      </c>
      <c r="AJ155" s="123"/>
      <c r="AK155" s="4"/>
      <c r="AL155" s="123"/>
    </row>
    <row r="156" spans="1:41" ht="23.25" customHeight="1">
      <c r="A156" s="142" t="s">
        <v>87</v>
      </c>
      <c r="B156" s="143">
        <f>(B155-$B$153)/$B$153</f>
        <v>0.17377927759237471</v>
      </c>
      <c r="C156" s="143">
        <f>(C155-$C$153)/$C$153</f>
        <v>-0.179787492146707</v>
      </c>
      <c r="D156" s="143">
        <f>(D155-$D$153)/$D$153</f>
        <v>1.3581556424669512</v>
      </c>
      <c r="E156" s="143" t="s">
        <v>88</v>
      </c>
      <c r="F156" s="143" t="s">
        <v>88</v>
      </c>
      <c r="G156" s="143" t="s">
        <v>88</v>
      </c>
      <c r="H156" s="143" t="s">
        <v>88</v>
      </c>
      <c r="I156" s="143">
        <f>(I155-$I$153)/$I$153</f>
        <v>4.3370342548383789E-2</v>
      </c>
      <c r="J156" s="143">
        <f>(J155-$J$153)/$J$153</f>
        <v>-3.1505010092577022E-2</v>
      </c>
      <c r="K156" s="143">
        <f>(K155-$K$153)/$K$153</f>
        <v>5.0566179464017688E-2</v>
      </c>
      <c r="L156" s="143" t="s">
        <v>88</v>
      </c>
      <c r="M156" s="143" t="s">
        <v>88</v>
      </c>
      <c r="N156" s="143">
        <f>(N155-$N$153)/$N$153</f>
        <v>4.7314476485347604E-2</v>
      </c>
      <c r="O156" s="143">
        <f>(O155-$O$153)/$O$153</f>
        <v>-0.37414381272966174</v>
      </c>
      <c r="P156" s="143" t="s">
        <v>88</v>
      </c>
      <c r="Q156" s="143" t="s">
        <v>88</v>
      </c>
      <c r="R156" s="143" t="s">
        <v>88</v>
      </c>
      <c r="S156" s="143" t="s">
        <v>88</v>
      </c>
      <c r="T156" s="143" t="s">
        <v>89</v>
      </c>
      <c r="U156" s="143" t="s">
        <v>89</v>
      </c>
      <c r="V156" s="143" t="s">
        <v>89</v>
      </c>
      <c r="W156" s="143" t="s">
        <v>88</v>
      </c>
      <c r="X156" s="143">
        <f>(X155-$X$153)/$X$153</f>
        <v>-6.8050649590874604E-2</v>
      </c>
      <c r="Y156" s="208">
        <f>(Y155-$Y$153)/$Y$153</f>
        <v>0.19561101274248457</v>
      </c>
      <c r="Z156" s="143">
        <f>(Z155-$Z$153)/$Z$153</f>
        <v>0.38067834900922826</v>
      </c>
      <c r="AA156" s="143">
        <f>(AA155-$AA$153)/$AA$153</f>
        <v>5.9908274022936428E-2</v>
      </c>
      <c r="AB156" s="143">
        <f>(AB155-$AB$153)/$AB$153</f>
        <v>4.3738406582239389E-2</v>
      </c>
      <c r="AD156" s="143" t="s">
        <v>89</v>
      </c>
      <c r="AE156" s="143" t="s">
        <v>89</v>
      </c>
      <c r="AF156" s="143" t="s">
        <v>89</v>
      </c>
      <c r="AG156" s="143" t="s">
        <v>89</v>
      </c>
      <c r="AH156" s="143" t="s">
        <v>89</v>
      </c>
      <c r="AI156" s="143" t="s">
        <v>89</v>
      </c>
      <c r="AJ156" s="143"/>
      <c r="AL156" s="143"/>
    </row>
    <row r="157" spans="1:41" ht="23.25" customHeight="1">
      <c r="A157" s="142" t="s">
        <v>90</v>
      </c>
      <c r="B157" s="143">
        <f>(B155-B154)/B154</f>
        <v>7.9659110319737075E-2</v>
      </c>
      <c r="C157" s="143">
        <f>(C155-C154)/C154</f>
        <v>2.1193882099039496E-2</v>
      </c>
      <c r="D157" s="143">
        <f>(D155-D154)/D154</f>
        <v>0.3480380145654508</v>
      </c>
      <c r="E157" s="143">
        <f>(E155-E154)/E154</f>
        <v>-1.0120362850551992E-2</v>
      </c>
      <c r="F157" s="143">
        <f>(F155-F154)/F154</f>
        <v>0.28067325935721266</v>
      </c>
      <c r="G157" s="143">
        <f t="shared" ref="G157:L157" si="49">(G155-G154)/G154</f>
        <v>-8.0154137539249826E-2</v>
      </c>
      <c r="H157" s="143">
        <f t="shared" si="49"/>
        <v>2.2206154966064203E-2</v>
      </c>
      <c r="I157" s="143">
        <f t="shared" si="49"/>
        <v>0.10540963628316803</v>
      </c>
      <c r="J157" s="143">
        <f t="shared" si="49"/>
        <v>-6.5237004649871611E-3</v>
      </c>
      <c r="K157" s="143">
        <f t="shared" si="49"/>
        <v>0.3092264172215522</v>
      </c>
      <c r="L157" s="143">
        <f t="shared" si="49"/>
        <v>1.8443980665033193E-3</v>
      </c>
      <c r="M157" s="143" t="s">
        <v>88</v>
      </c>
      <c r="N157" s="143">
        <f>(N155-N154)/N154</f>
        <v>0.56947039279299028</v>
      </c>
      <c r="O157" s="143">
        <f>(O155-O154)/O154</f>
        <v>0.19356008839094366</v>
      </c>
      <c r="P157" s="143">
        <f t="shared" ref="P157:Q157" si="50">(P155-P154)/P154</f>
        <v>-9.2240922612983417E-2</v>
      </c>
      <c r="Q157" s="143">
        <f t="shared" si="50"/>
        <v>1.2784996004211241E-2</v>
      </c>
      <c r="R157" s="143" t="s">
        <v>88</v>
      </c>
      <c r="S157" s="143">
        <f t="shared" ref="S157" si="51">(S155-S154)/S154</f>
        <v>1.988415805395485</v>
      </c>
      <c r="T157" s="143" t="s">
        <v>89</v>
      </c>
      <c r="U157" s="143">
        <f t="shared" ref="U157" si="52">(U155-U154)/U154</f>
        <v>0.90890276516499047</v>
      </c>
      <c r="V157" s="143">
        <f>(V155-V154)/V154</f>
        <v>-2.4408072461465119E-2</v>
      </c>
      <c r="W157" s="143">
        <f t="shared" ref="W157:AI157" si="53">(W155-W154)/W154</f>
        <v>3.6964261544527421E-2</v>
      </c>
      <c r="X157" s="143">
        <f t="shared" si="53"/>
        <v>7.5449757347588438E-3</v>
      </c>
      <c r="Y157" s="208">
        <f t="shared" si="53"/>
        <v>2.475356180747389E-3</v>
      </c>
      <c r="Z157" s="143">
        <f t="shared" si="53"/>
        <v>1.8747791390237412E-2</v>
      </c>
      <c r="AA157" s="143">
        <f t="shared" si="53"/>
        <v>-1.2589557831626279E-2</v>
      </c>
      <c r="AB157" s="143">
        <f t="shared" si="53"/>
        <v>0.13688683850422412</v>
      </c>
      <c r="AD157" s="143">
        <f t="shared" si="53"/>
        <v>2.1437913543722823E-2</v>
      </c>
      <c r="AE157" s="143">
        <f t="shared" si="53"/>
        <v>1.0584249249169717</v>
      </c>
      <c r="AF157" s="143" t="s">
        <v>89</v>
      </c>
      <c r="AG157" s="143" t="s">
        <v>89</v>
      </c>
      <c r="AH157" s="143">
        <f t="shared" si="53"/>
        <v>0.53449594353220731</v>
      </c>
      <c r="AI157" s="143">
        <f t="shared" si="53"/>
        <v>2.0551101127307283</v>
      </c>
      <c r="AJ157" s="143"/>
      <c r="AL157" s="143"/>
      <c r="AO157"/>
    </row>
    <row r="158" spans="1:41" ht="23.25" customHeight="1">
      <c r="B158" s="13"/>
    </row>
    <row r="159" spans="1:41" ht="23.25" customHeight="1">
      <c r="B159" s="13"/>
    </row>
    <row r="160" spans="1:41" ht="64.5" customHeight="1"/>
    <row r="161" ht="23" customHeight="1"/>
  </sheetData>
  <phoneticPr fontId="5" type="noConversion"/>
  <pageMargins left="0.23622047244094491" right="0.23622047244094491" top="0.35433070866141736" bottom="0.35433070866141736" header="0.31496062992125984" footer="0.31496062992125984"/>
  <pageSetup paperSize="9" scale="2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V76"/>
  <sheetViews>
    <sheetView zoomScale="85" zoomScaleNormal="85" workbookViewId="0">
      <pane xSplit="4" ySplit="3" topLeftCell="EV37" activePane="bottomRight" state="frozen"/>
      <selection pane="topRight" activeCell="C1" sqref="C1"/>
      <selection pane="bottomLeft" activeCell="A4" sqref="A4"/>
      <selection pane="bottomRight" activeCell="FC69" sqref="FC69"/>
    </sheetView>
  </sheetViews>
  <sheetFormatPr baseColWidth="10" defaultColWidth="12.28515625" defaultRowHeight="16"/>
  <cols>
    <col min="1" max="1" width="13.28515625" style="66" hidden="1" customWidth="1"/>
    <col min="2" max="2" width="19" style="164" customWidth="1"/>
    <col min="3" max="3" width="17.28515625" style="164" bestFit="1" customWidth="1"/>
    <col min="4" max="4" width="37.5703125" style="66" customWidth="1"/>
    <col min="5" max="123" width="12.28515625" style="66" customWidth="1"/>
    <col min="124" max="128" width="10.28515625" style="66" customWidth="1"/>
    <col min="129" max="141" width="12.5703125" style="66" customWidth="1"/>
    <col min="142" max="142" width="0.140625" style="66" customWidth="1"/>
    <col min="143" max="144" width="12.5703125" style="66" hidden="1" customWidth="1"/>
    <col min="145" max="158" width="12.5703125" style="66" customWidth="1"/>
    <col min="159" max="159" width="32" style="66" customWidth="1"/>
    <col min="160" max="160" width="3.7109375" style="66" customWidth="1"/>
    <col min="161" max="163" width="14.85546875" style="66" hidden="1" customWidth="1"/>
    <col min="164" max="164" width="14.7109375" style="66" hidden="1" customWidth="1"/>
    <col min="165" max="169" width="12.85546875" style="66" hidden="1" customWidth="1"/>
    <col min="170" max="178" width="12.28515625" style="66" hidden="1" customWidth="1"/>
    <col min="179" max="179" width="59.7109375" style="66" customWidth="1"/>
    <col min="180" max="16384" width="12.28515625" style="66"/>
  </cols>
  <sheetData>
    <row r="1" spans="1:178" ht="51">
      <c r="B1" s="179" t="s">
        <v>91</v>
      </c>
    </row>
    <row r="2" spans="1:178">
      <c r="DI2" s="164"/>
      <c r="DJ2" s="164"/>
      <c r="DK2" s="164"/>
      <c r="DL2" s="164"/>
      <c r="DM2" s="164"/>
      <c r="DN2" s="164"/>
      <c r="DO2" s="164"/>
      <c r="DP2" s="164"/>
      <c r="DQ2" s="164"/>
      <c r="FR2" s="164" t="s">
        <v>92</v>
      </c>
      <c r="FS2" s="164" t="s">
        <v>92</v>
      </c>
      <c r="FT2" s="164" t="s">
        <v>92</v>
      </c>
      <c r="FU2" s="164" t="s">
        <v>92</v>
      </c>
      <c r="FV2" s="164" t="s">
        <v>92</v>
      </c>
    </row>
    <row r="3" spans="1:178" ht="34">
      <c r="A3" s="101" t="s">
        <v>93</v>
      </c>
      <c r="B3" s="179" t="s">
        <v>94</v>
      </c>
      <c r="C3" s="269" t="s">
        <v>95</v>
      </c>
      <c r="D3" s="66" t="s">
        <v>96</v>
      </c>
      <c r="E3" s="66" t="s">
        <v>97</v>
      </c>
      <c r="F3" s="66" t="s">
        <v>98</v>
      </c>
      <c r="G3" s="66" t="s">
        <v>99</v>
      </c>
      <c r="H3" s="66" t="s">
        <v>100</v>
      </c>
      <c r="I3" s="66" t="s">
        <v>101</v>
      </c>
      <c r="J3" s="66" t="s">
        <v>102</v>
      </c>
      <c r="K3" s="66" t="s">
        <v>103</v>
      </c>
      <c r="L3" s="66" t="s">
        <v>104</v>
      </c>
      <c r="M3" s="66" t="s">
        <v>105</v>
      </c>
      <c r="N3" s="66" t="s">
        <v>106</v>
      </c>
      <c r="O3" s="66" t="s">
        <v>107</v>
      </c>
      <c r="P3" s="66" t="s">
        <v>108</v>
      </c>
      <c r="Q3" s="78" t="s">
        <v>109</v>
      </c>
      <c r="R3" s="78" t="s">
        <v>110</v>
      </c>
      <c r="S3" s="78" t="s">
        <v>111</v>
      </c>
      <c r="T3" s="78" t="s">
        <v>112</v>
      </c>
      <c r="U3" s="78" t="s">
        <v>113</v>
      </c>
      <c r="V3" s="78" t="s">
        <v>114</v>
      </c>
      <c r="W3" s="78" t="s">
        <v>115</v>
      </c>
      <c r="X3" s="78" t="s">
        <v>116</v>
      </c>
      <c r="Y3" s="78" t="s">
        <v>117</v>
      </c>
      <c r="Z3" s="78" t="s">
        <v>118</v>
      </c>
      <c r="AA3" s="78" t="s">
        <v>119</v>
      </c>
      <c r="AB3" s="78" t="s">
        <v>120</v>
      </c>
      <c r="AC3" s="67" t="s">
        <v>121</v>
      </c>
      <c r="AD3" s="67" t="s">
        <v>122</v>
      </c>
      <c r="AE3" s="67" t="s">
        <v>123</v>
      </c>
      <c r="AF3" s="67" t="s">
        <v>124</v>
      </c>
      <c r="AG3" s="67" t="s">
        <v>125</v>
      </c>
      <c r="AH3" s="67" t="s">
        <v>126</v>
      </c>
      <c r="AI3" s="67" t="s">
        <v>127</v>
      </c>
      <c r="AJ3" s="67" t="s">
        <v>128</v>
      </c>
      <c r="AK3" s="67" t="s">
        <v>129</v>
      </c>
      <c r="AL3" s="67" t="s">
        <v>130</v>
      </c>
      <c r="AM3" s="67" t="s">
        <v>131</v>
      </c>
      <c r="AN3" s="67" t="s">
        <v>132</v>
      </c>
      <c r="AO3" s="67" t="s">
        <v>133</v>
      </c>
      <c r="AP3" s="67" t="s">
        <v>134</v>
      </c>
      <c r="AQ3" s="67" t="s">
        <v>135</v>
      </c>
      <c r="AR3" s="67" t="s">
        <v>136</v>
      </c>
      <c r="AS3" s="67" t="s">
        <v>137</v>
      </c>
      <c r="AT3" s="67" t="s">
        <v>138</v>
      </c>
      <c r="AU3" s="67" t="s">
        <v>139</v>
      </c>
      <c r="AV3" s="67" t="s">
        <v>140</v>
      </c>
      <c r="AW3" s="67" t="s">
        <v>141</v>
      </c>
      <c r="AX3" s="67" t="s">
        <v>142</v>
      </c>
      <c r="AY3" s="67" t="s">
        <v>143</v>
      </c>
      <c r="AZ3" s="67" t="s">
        <v>144</v>
      </c>
      <c r="BA3" s="76" t="s">
        <v>145</v>
      </c>
      <c r="BB3" s="76" t="s">
        <v>146</v>
      </c>
      <c r="BC3" s="76" t="s">
        <v>147</v>
      </c>
      <c r="BD3" s="76" t="s">
        <v>148</v>
      </c>
      <c r="BE3" s="76" t="s">
        <v>149</v>
      </c>
      <c r="BF3" s="76" t="s">
        <v>150</v>
      </c>
      <c r="BG3" s="77" t="s">
        <v>151</v>
      </c>
      <c r="BH3" s="77" t="s">
        <v>152</v>
      </c>
      <c r="BI3" s="77" t="s">
        <v>153</v>
      </c>
      <c r="BJ3" s="77" t="s">
        <v>154</v>
      </c>
      <c r="BK3" s="77" t="s">
        <v>155</v>
      </c>
      <c r="BL3" s="77" t="s">
        <v>156</v>
      </c>
      <c r="BM3" s="75" t="s">
        <v>157</v>
      </c>
      <c r="BN3" s="75" t="s">
        <v>158</v>
      </c>
      <c r="BO3" s="75" t="s">
        <v>159</v>
      </c>
      <c r="BP3" s="75" t="s">
        <v>160</v>
      </c>
      <c r="BQ3" s="75" t="s">
        <v>161</v>
      </c>
      <c r="BR3" s="75" t="s">
        <v>162</v>
      </c>
      <c r="BS3" s="75" t="s">
        <v>163</v>
      </c>
      <c r="BT3" s="75" t="s">
        <v>164</v>
      </c>
      <c r="BU3" s="75" t="s">
        <v>165</v>
      </c>
      <c r="BV3" s="75" t="s">
        <v>166</v>
      </c>
      <c r="BW3" s="75" t="s">
        <v>167</v>
      </c>
      <c r="BX3" s="75" t="s">
        <v>168</v>
      </c>
      <c r="BY3" s="77" t="s">
        <v>169</v>
      </c>
      <c r="BZ3" s="77" t="s">
        <v>170</v>
      </c>
      <c r="CA3" s="77" t="s">
        <v>171</v>
      </c>
      <c r="CB3" s="77" t="s">
        <v>172</v>
      </c>
      <c r="CC3" s="77" t="s">
        <v>173</v>
      </c>
      <c r="CD3" s="77" t="s">
        <v>174</v>
      </c>
      <c r="CE3" s="77" t="s">
        <v>175</v>
      </c>
      <c r="CF3" s="77" t="s">
        <v>176</v>
      </c>
      <c r="CG3" s="77" t="s">
        <v>177</v>
      </c>
      <c r="CH3" s="77" t="s">
        <v>178</v>
      </c>
      <c r="CI3" s="77" t="s">
        <v>179</v>
      </c>
      <c r="CJ3" s="77" t="s">
        <v>180</v>
      </c>
      <c r="CK3" s="79" t="s">
        <v>181</v>
      </c>
      <c r="CL3" s="79" t="s">
        <v>182</v>
      </c>
      <c r="CM3" s="79" t="s">
        <v>183</v>
      </c>
      <c r="CN3" s="79" t="s">
        <v>184</v>
      </c>
      <c r="CO3" s="79" t="s">
        <v>185</v>
      </c>
      <c r="CP3" s="79" t="s">
        <v>186</v>
      </c>
      <c r="CQ3" s="79" t="s">
        <v>187</v>
      </c>
      <c r="CR3" s="79" t="s">
        <v>188</v>
      </c>
      <c r="CS3" s="79" t="s">
        <v>189</v>
      </c>
      <c r="CT3" s="79" t="s">
        <v>190</v>
      </c>
      <c r="CU3" s="79" t="s">
        <v>191</v>
      </c>
      <c r="CV3" s="79" t="s">
        <v>192</v>
      </c>
      <c r="CW3" s="77" t="s">
        <v>193</v>
      </c>
      <c r="CX3" s="77" t="s">
        <v>194</v>
      </c>
      <c r="CY3" s="77" t="s">
        <v>195</v>
      </c>
      <c r="CZ3" s="77" t="s">
        <v>196</v>
      </c>
      <c r="DA3" s="77" t="s">
        <v>197</v>
      </c>
      <c r="DB3" s="77" t="s">
        <v>198</v>
      </c>
      <c r="DC3" s="147">
        <v>44562</v>
      </c>
      <c r="DD3" s="147">
        <v>44593</v>
      </c>
      <c r="DE3" s="147">
        <v>44621</v>
      </c>
      <c r="DF3" s="147">
        <v>44652</v>
      </c>
      <c r="DG3" s="147">
        <v>44682</v>
      </c>
      <c r="DH3" s="147">
        <v>44713</v>
      </c>
      <c r="DI3" s="147">
        <v>44743</v>
      </c>
      <c r="DJ3" s="147">
        <v>44774</v>
      </c>
      <c r="DK3" s="147">
        <v>44805</v>
      </c>
      <c r="DL3" s="147">
        <v>44835</v>
      </c>
      <c r="DM3" s="147">
        <v>44866</v>
      </c>
      <c r="DN3" s="147">
        <v>44896</v>
      </c>
      <c r="DO3" s="147">
        <v>44927</v>
      </c>
      <c r="DP3" s="147">
        <v>44958</v>
      </c>
      <c r="DQ3" s="147">
        <v>44986</v>
      </c>
      <c r="DR3" s="147">
        <v>45017</v>
      </c>
      <c r="DS3" s="147">
        <v>45047</v>
      </c>
      <c r="DT3" s="147">
        <v>45078</v>
      </c>
      <c r="DU3" s="147">
        <v>45108</v>
      </c>
      <c r="DV3" s="147">
        <v>45139</v>
      </c>
      <c r="DW3" s="147">
        <v>45170</v>
      </c>
      <c r="DX3" s="147">
        <v>45200</v>
      </c>
      <c r="DY3" s="147">
        <v>45231</v>
      </c>
      <c r="DZ3" s="147">
        <v>45261</v>
      </c>
      <c r="EA3" s="147">
        <v>45292</v>
      </c>
      <c r="EB3" s="147">
        <v>45323</v>
      </c>
      <c r="EC3" s="147">
        <v>45352</v>
      </c>
      <c r="ED3" s="147">
        <v>45383</v>
      </c>
      <c r="EE3" s="147">
        <v>45413</v>
      </c>
      <c r="EF3" s="147">
        <v>45444</v>
      </c>
      <c r="EG3" s="147">
        <v>45474</v>
      </c>
      <c r="EH3" s="147">
        <v>45505</v>
      </c>
      <c r="EI3" s="147">
        <v>45536</v>
      </c>
      <c r="EJ3" s="147">
        <v>45566</v>
      </c>
      <c r="EK3" s="147">
        <v>45597</v>
      </c>
      <c r="EL3" s="147">
        <v>45627</v>
      </c>
      <c r="EM3" s="147">
        <v>45658</v>
      </c>
      <c r="EN3" s="147">
        <v>45689</v>
      </c>
      <c r="EO3" s="147">
        <v>45717</v>
      </c>
      <c r="EP3" s="147">
        <v>45748</v>
      </c>
      <c r="EQ3" s="147">
        <v>45778</v>
      </c>
      <c r="ER3" s="147">
        <v>45809</v>
      </c>
      <c r="ES3" s="147">
        <v>45839</v>
      </c>
      <c r="ET3" s="147">
        <v>45870</v>
      </c>
      <c r="EU3" s="147">
        <v>45901</v>
      </c>
      <c r="EV3" s="147">
        <v>45931</v>
      </c>
      <c r="EW3" s="147">
        <v>45962</v>
      </c>
      <c r="EX3" s="147">
        <v>45992</v>
      </c>
      <c r="EY3" s="147">
        <v>46023</v>
      </c>
      <c r="EZ3" s="147">
        <v>46054</v>
      </c>
      <c r="FA3" s="147">
        <v>46082</v>
      </c>
      <c r="FB3" s="147">
        <v>46113</v>
      </c>
      <c r="FC3" s="66" t="s">
        <v>96</v>
      </c>
      <c r="FE3" s="147">
        <v>45383</v>
      </c>
      <c r="FF3" s="147">
        <v>45352</v>
      </c>
      <c r="FG3" s="147">
        <v>45323</v>
      </c>
      <c r="FH3" s="147">
        <v>45292</v>
      </c>
      <c r="FI3" s="147">
        <v>45261</v>
      </c>
      <c r="FJ3" s="147">
        <v>45231</v>
      </c>
      <c r="FK3" s="147">
        <v>45200</v>
      </c>
      <c r="FL3" s="147">
        <v>45170</v>
      </c>
      <c r="FM3" s="147">
        <v>45139</v>
      </c>
      <c r="FN3" s="147">
        <v>45108</v>
      </c>
      <c r="FO3" s="147">
        <v>45078</v>
      </c>
      <c r="FP3" s="147">
        <v>45047</v>
      </c>
      <c r="FQ3" s="147">
        <v>45017</v>
      </c>
      <c r="FR3" s="147">
        <v>44986</v>
      </c>
      <c r="FS3" s="147">
        <v>44958</v>
      </c>
      <c r="FT3" s="147">
        <v>44927</v>
      </c>
      <c r="FU3" s="147">
        <v>44896</v>
      </c>
      <c r="FV3" s="147">
        <v>44866</v>
      </c>
    </row>
    <row r="4" spans="1:178">
      <c r="B4" s="256">
        <v>1052830</v>
      </c>
      <c r="C4" s="181"/>
      <c r="D4" s="72" t="s">
        <v>199</v>
      </c>
      <c r="E4" s="66">
        <v>5080</v>
      </c>
      <c r="F4" s="66">
        <v>5330</v>
      </c>
      <c r="G4" s="66">
        <v>7990</v>
      </c>
      <c r="H4" s="66">
        <v>7890</v>
      </c>
      <c r="I4" s="66">
        <v>8680</v>
      </c>
      <c r="J4" s="66">
        <v>6700</v>
      </c>
      <c r="K4" s="66">
        <v>5370</v>
      </c>
      <c r="L4" s="66">
        <v>7320</v>
      </c>
      <c r="M4" s="66">
        <v>7990</v>
      </c>
      <c r="N4" s="66">
        <v>8430</v>
      </c>
      <c r="O4" s="66">
        <v>8150</v>
      </c>
      <c r="P4" s="66">
        <v>5000</v>
      </c>
      <c r="Q4" s="78">
        <v>5370</v>
      </c>
      <c r="R4" s="78">
        <v>5160</v>
      </c>
      <c r="S4" s="78">
        <v>8050</v>
      </c>
      <c r="T4" s="78">
        <v>7900</v>
      </c>
      <c r="U4" s="78">
        <v>8170</v>
      </c>
      <c r="V4" s="78">
        <v>7180</v>
      </c>
      <c r="W4" s="78">
        <v>5780</v>
      </c>
      <c r="X4" s="78">
        <v>6260</v>
      </c>
      <c r="Y4" s="78">
        <v>8600</v>
      </c>
      <c r="Z4" s="78">
        <v>7850</v>
      </c>
      <c r="AA4" s="78">
        <v>7830</v>
      </c>
      <c r="AB4" s="78">
        <v>5420</v>
      </c>
      <c r="AC4" s="67">
        <v>4770</v>
      </c>
      <c r="AD4" s="67">
        <v>5020</v>
      </c>
      <c r="AE4" s="67">
        <v>7520</v>
      </c>
      <c r="AF4" s="67">
        <v>8290</v>
      </c>
      <c r="AG4" s="67">
        <v>8770</v>
      </c>
      <c r="AH4" s="67">
        <v>6690</v>
      </c>
      <c r="AI4" s="67">
        <v>5710</v>
      </c>
      <c r="AJ4" s="67">
        <v>6670</v>
      </c>
      <c r="AK4" s="67">
        <v>7600</v>
      </c>
      <c r="AL4" s="67">
        <v>8300</v>
      </c>
      <c r="AM4" s="67">
        <v>8090</v>
      </c>
      <c r="AN4" s="67">
        <v>4970</v>
      </c>
      <c r="AO4" s="67">
        <v>4710</v>
      </c>
      <c r="AP4" s="67">
        <v>4790</v>
      </c>
      <c r="AQ4" s="67">
        <v>7220</v>
      </c>
      <c r="AR4" s="67">
        <v>7030</v>
      </c>
      <c r="AS4" s="67">
        <v>9150</v>
      </c>
      <c r="AT4" s="67">
        <v>6480</v>
      </c>
      <c r="AU4" s="67">
        <v>4580</v>
      </c>
      <c r="AV4" s="67">
        <v>7640</v>
      </c>
      <c r="AW4" s="67">
        <v>8480</v>
      </c>
      <c r="AX4" s="67">
        <v>6580</v>
      </c>
      <c r="AY4" s="67">
        <v>7670</v>
      </c>
      <c r="AZ4" s="67">
        <v>5210</v>
      </c>
      <c r="BA4" s="76">
        <v>4690</v>
      </c>
      <c r="BB4" s="76">
        <v>5460</v>
      </c>
      <c r="BC4" s="76">
        <v>7510</v>
      </c>
      <c r="BD4" s="76">
        <v>7580</v>
      </c>
      <c r="BE4" s="76">
        <v>8230</v>
      </c>
      <c r="BF4" s="76">
        <v>6290</v>
      </c>
      <c r="BG4" s="77">
        <v>5230</v>
      </c>
      <c r="BH4" s="77">
        <v>5250</v>
      </c>
      <c r="BI4" s="77">
        <v>7450</v>
      </c>
      <c r="BJ4" s="77">
        <v>7700</v>
      </c>
      <c r="BK4" s="77">
        <v>7640</v>
      </c>
      <c r="BL4" s="77">
        <v>4460</v>
      </c>
      <c r="BM4" s="75">
        <v>3700</v>
      </c>
      <c r="BN4" s="75">
        <v>0</v>
      </c>
      <c r="BO4" s="75">
        <v>0</v>
      </c>
      <c r="BP4" s="75">
        <v>0</v>
      </c>
      <c r="BQ4" s="75">
        <v>0</v>
      </c>
      <c r="BR4" s="75">
        <v>0</v>
      </c>
      <c r="BS4" s="75">
        <v>0</v>
      </c>
      <c r="BT4" s="75">
        <v>0</v>
      </c>
      <c r="BU4" s="75">
        <v>0</v>
      </c>
      <c r="BV4" s="75">
        <v>0</v>
      </c>
      <c r="BW4" s="75">
        <v>0</v>
      </c>
      <c r="BX4" s="75">
        <v>0</v>
      </c>
      <c r="BY4" s="77">
        <v>0</v>
      </c>
      <c r="BZ4" s="77">
        <v>0</v>
      </c>
      <c r="CA4" s="77">
        <v>0</v>
      </c>
      <c r="CB4" s="77">
        <v>0</v>
      </c>
      <c r="CC4" s="77">
        <v>0</v>
      </c>
      <c r="CD4" s="77">
        <v>0</v>
      </c>
      <c r="CE4" s="77">
        <v>0</v>
      </c>
      <c r="CF4" s="77">
        <v>0</v>
      </c>
      <c r="CG4" s="77">
        <v>0</v>
      </c>
      <c r="CH4" s="77">
        <v>0</v>
      </c>
      <c r="CI4" s="77">
        <v>0</v>
      </c>
      <c r="CJ4" s="77">
        <v>0</v>
      </c>
      <c r="CK4" s="79">
        <v>0</v>
      </c>
      <c r="CL4" s="79">
        <v>0</v>
      </c>
      <c r="CM4" s="79">
        <v>0</v>
      </c>
      <c r="CN4" s="79">
        <v>0</v>
      </c>
      <c r="CO4" s="79">
        <v>0</v>
      </c>
      <c r="CP4" s="79">
        <v>0</v>
      </c>
      <c r="CQ4" s="79">
        <v>0</v>
      </c>
      <c r="CR4" s="79">
        <v>0</v>
      </c>
      <c r="CS4" s="79">
        <v>0</v>
      </c>
      <c r="CT4" s="79">
        <v>0</v>
      </c>
      <c r="CU4" s="79">
        <v>0</v>
      </c>
      <c r="CV4" s="79">
        <v>0</v>
      </c>
      <c r="CW4" s="77">
        <v>0</v>
      </c>
      <c r="CX4" s="77">
        <v>0</v>
      </c>
      <c r="CY4" s="77">
        <v>0</v>
      </c>
      <c r="CZ4" s="77">
        <v>0</v>
      </c>
      <c r="DA4" s="77">
        <v>0</v>
      </c>
      <c r="DB4" s="77">
        <v>0</v>
      </c>
      <c r="DC4" s="77">
        <v>0</v>
      </c>
      <c r="DD4" s="77">
        <v>0</v>
      </c>
      <c r="DE4" s="77">
        <v>0</v>
      </c>
      <c r="DF4" s="148" t="s">
        <v>200</v>
      </c>
      <c r="DG4" s="148" t="s">
        <v>200</v>
      </c>
      <c r="DH4" s="148" t="s">
        <v>200</v>
      </c>
      <c r="DI4" s="148" t="s">
        <v>200</v>
      </c>
      <c r="DJ4" s="148" t="s">
        <v>200</v>
      </c>
      <c r="DK4" s="148" t="s">
        <v>200</v>
      </c>
      <c r="DL4" s="148" t="s">
        <v>200</v>
      </c>
      <c r="DM4" s="148" t="s">
        <v>200</v>
      </c>
      <c r="DN4" s="148" t="s">
        <v>200</v>
      </c>
      <c r="DO4" s="148" t="s">
        <v>200</v>
      </c>
      <c r="DP4" s="148" t="s">
        <v>200</v>
      </c>
      <c r="DQ4" s="148" t="s">
        <v>200</v>
      </c>
      <c r="DR4" s="148" t="s">
        <v>200</v>
      </c>
      <c r="DS4" s="148" t="s">
        <v>200</v>
      </c>
      <c r="DT4" s="148" t="s">
        <v>200</v>
      </c>
      <c r="DU4" s="148" t="s">
        <v>200</v>
      </c>
      <c r="DV4" s="148" t="s">
        <v>200</v>
      </c>
      <c r="DW4" s="148" t="s">
        <v>200</v>
      </c>
      <c r="DX4" s="148" t="s">
        <v>200</v>
      </c>
      <c r="DY4" s="148" t="s">
        <v>200</v>
      </c>
      <c r="DZ4" s="148" t="s">
        <v>200</v>
      </c>
      <c r="EA4" s="148" t="s">
        <v>200</v>
      </c>
      <c r="EB4" s="148" t="s">
        <v>200</v>
      </c>
      <c r="EC4" s="148" t="s">
        <v>200</v>
      </c>
      <c r="ED4" s="148" t="s">
        <v>200</v>
      </c>
      <c r="EE4" s="148" t="s">
        <v>200</v>
      </c>
      <c r="EF4" s="148" t="s">
        <v>200</v>
      </c>
      <c r="EG4" s="148" t="s">
        <v>200</v>
      </c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72" t="s">
        <v>199</v>
      </c>
      <c r="FE4" s="148" t="s">
        <v>200</v>
      </c>
      <c r="FF4" s="148" t="s">
        <v>200</v>
      </c>
      <c r="FG4" s="148" t="s">
        <v>200</v>
      </c>
      <c r="FH4" s="148" t="s">
        <v>200</v>
      </c>
      <c r="FI4" s="148" t="s">
        <v>200</v>
      </c>
      <c r="FJ4" s="148" t="s">
        <v>200</v>
      </c>
      <c r="FK4" s="148" t="s">
        <v>200</v>
      </c>
      <c r="FL4" s="148" t="s">
        <v>200</v>
      </c>
      <c r="FM4" s="148" t="s">
        <v>200</v>
      </c>
      <c r="FN4" s="148" t="s">
        <v>200</v>
      </c>
      <c r="FO4" s="148" t="s">
        <v>200</v>
      </c>
      <c r="FP4" s="148" t="s">
        <v>200</v>
      </c>
      <c r="FQ4" s="148" t="s">
        <v>200</v>
      </c>
      <c r="FR4" s="148" t="s">
        <v>200</v>
      </c>
      <c r="FS4" s="148" t="s">
        <v>200</v>
      </c>
      <c r="FT4" s="148" t="s">
        <v>200</v>
      </c>
      <c r="FU4" s="148" t="s">
        <v>200</v>
      </c>
      <c r="FV4" s="148" t="s">
        <v>200</v>
      </c>
    </row>
    <row r="5" spans="1:178">
      <c r="B5" s="256">
        <v>3151919</v>
      </c>
      <c r="C5" s="181"/>
      <c r="D5" s="66" t="s">
        <v>201</v>
      </c>
      <c r="E5" s="66">
        <v>2270</v>
      </c>
      <c r="F5" s="66">
        <v>2112</v>
      </c>
      <c r="G5" s="66">
        <v>2115</v>
      </c>
      <c r="H5" s="66">
        <v>2018</v>
      </c>
      <c r="I5" s="66">
        <v>1905</v>
      </c>
      <c r="J5" s="66">
        <v>1817</v>
      </c>
      <c r="K5" s="66">
        <v>1810</v>
      </c>
      <c r="L5" s="66">
        <v>1643</v>
      </c>
      <c r="M5" s="66">
        <v>1646</v>
      </c>
      <c r="N5" s="66">
        <v>1990</v>
      </c>
      <c r="O5" s="66">
        <v>1727</v>
      </c>
      <c r="P5" s="66">
        <v>1593</v>
      </c>
      <c r="Q5" s="78">
        <v>1682</v>
      </c>
      <c r="R5" s="78">
        <v>1770</v>
      </c>
      <c r="S5" s="78">
        <v>2048</v>
      </c>
      <c r="T5" s="78">
        <v>1798</v>
      </c>
      <c r="U5" s="78">
        <v>1587</v>
      </c>
      <c r="V5" s="78">
        <v>1672</v>
      </c>
      <c r="W5" s="78">
        <v>1679</v>
      </c>
      <c r="X5" s="78">
        <v>1524</v>
      </c>
      <c r="Y5" s="78">
        <v>1728</v>
      </c>
      <c r="Z5" s="78">
        <v>1774</v>
      </c>
      <c r="AA5" s="78">
        <v>1695</v>
      </c>
      <c r="AB5" s="78">
        <v>1890</v>
      </c>
      <c r="AC5" s="67">
        <v>1760</v>
      </c>
      <c r="AD5" s="67">
        <v>1700</v>
      </c>
      <c r="AE5" s="67">
        <v>1914</v>
      </c>
      <c r="AF5" s="67">
        <v>1730</v>
      </c>
      <c r="AG5" s="67">
        <v>1649</v>
      </c>
      <c r="AH5" s="67">
        <v>1534</v>
      </c>
      <c r="AI5" s="67">
        <v>1598</v>
      </c>
      <c r="AJ5" s="67">
        <v>1648</v>
      </c>
      <c r="AK5" s="67">
        <v>1569</v>
      </c>
      <c r="AL5" s="67">
        <v>1580</v>
      </c>
      <c r="AM5" s="67">
        <v>1671</v>
      </c>
      <c r="AN5" s="67">
        <v>1737</v>
      </c>
      <c r="AO5" s="67">
        <v>1633</v>
      </c>
      <c r="AP5" s="67">
        <v>1778</v>
      </c>
      <c r="AQ5" s="67">
        <v>1760</v>
      </c>
      <c r="AR5" s="67">
        <v>1638</v>
      </c>
      <c r="AS5" s="67">
        <v>1881</v>
      </c>
      <c r="AT5" s="67">
        <v>1695</v>
      </c>
      <c r="AU5" s="67">
        <v>1284</v>
      </c>
      <c r="AV5" s="67">
        <v>1449</v>
      </c>
      <c r="AW5" s="67">
        <v>1451</v>
      </c>
      <c r="AX5" s="67">
        <v>1570</v>
      </c>
      <c r="AY5" s="67">
        <v>1783</v>
      </c>
      <c r="AZ5" s="66">
        <v>1809</v>
      </c>
      <c r="BA5" s="76">
        <v>1323</v>
      </c>
      <c r="BB5" s="76">
        <v>1235</v>
      </c>
      <c r="BC5" s="76">
        <v>1325</v>
      </c>
      <c r="BD5" s="76">
        <v>733</v>
      </c>
      <c r="BE5" s="76">
        <v>0</v>
      </c>
      <c r="BF5" s="76">
        <v>9</v>
      </c>
      <c r="BG5" s="77">
        <v>0</v>
      </c>
      <c r="BH5" s="77">
        <v>0</v>
      </c>
      <c r="BI5" s="77">
        <v>0</v>
      </c>
      <c r="BJ5" s="77">
        <v>0</v>
      </c>
      <c r="BK5" s="77">
        <v>0</v>
      </c>
      <c r="BL5" s="77">
        <v>0</v>
      </c>
      <c r="BM5" s="75">
        <v>0</v>
      </c>
      <c r="BN5" s="75">
        <v>0</v>
      </c>
      <c r="BO5" s="75">
        <v>0</v>
      </c>
      <c r="BP5" s="75">
        <v>0</v>
      </c>
      <c r="BQ5" s="75">
        <v>0</v>
      </c>
      <c r="BR5" s="75">
        <v>0</v>
      </c>
      <c r="BS5" s="75">
        <v>0</v>
      </c>
      <c r="BT5" s="75">
        <v>0</v>
      </c>
      <c r="BU5" s="75">
        <v>0</v>
      </c>
      <c r="BV5" s="75">
        <v>0</v>
      </c>
      <c r="BW5" s="75">
        <v>0</v>
      </c>
      <c r="BX5" s="75">
        <v>0</v>
      </c>
      <c r="BY5" s="77">
        <v>0</v>
      </c>
      <c r="BZ5" s="77">
        <v>0</v>
      </c>
      <c r="CA5" s="77">
        <v>0</v>
      </c>
      <c r="CB5" s="77">
        <v>0</v>
      </c>
      <c r="CC5" s="77">
        <v>0</v>
      </c>
      <c r="CD5" s="77">
        <v>0</v>
      </c>
      <c r="CE5" s="77">
        <v>0</v>
      </c>
      <c r="CF5" s="77">
        <v>0</v>
      </c>
      <c r="CG5" s="77">
        <v>0</v>
      </c>
      <c r="CH5" s="77">
        <v>0</v>
      </c>
      <c r="CI5" s="77">
        <v>0</v>
      </c>
      <c r="CJ5" s="77">
        <v>0</v>
      </c>
      <c r="CK5" s="79">
        <v>0</v>
      </c>
      <c r="CL5" s="79">
        <v>0</v>
      </c>
      <c r="CM5" s="79">
        <v>0</v>
      </c>
      <c r="CN5" s="79">
        <v>0</v>
      </c>
      <c r="CO5" s="79">
        <v>0</v>
      </c>
      <c r="CP5" s="79">
        <v>0</v>
      </c>
      <c r="CQ5" s="79">
        <v>0</v>
      </c>
      <c r="CR5" s="79">
        <v>0</v>
      </c>
      <c r="CS5" s="79">
        <v>0</v>
      </c>
      <c r="CT5" s="79">
        <v>0</v>
      </c>
      <c r="CU5" s="79">
        <v>0</v>
      </c>
      <c r="CV5" s="79">
        <v>0</v>
      </c>
      <c r="CW5" s="77">
        <v>0</v>
      </c>
      <c r="CX5" s="77">
        <v>0</v>
      </c>
      <c r="CY5" s="77">
        <v>0</v>
      </c>
      <c r="CZ5" s="77">
        <v>0</v>
      </c>
      <c r="DA5" s="77">
        <v>0</v>
      </c>
      <c r="DB5" s="77">
        <v>0</v>
      </c>
      <c r="DC5" s="77">
        <v>0</v>
      </c>
      <c r="DD5" s="77">
        <v>0</v>
      </c>
      <c r="DE5" s="77">
        <v>0</v>
      </c>
      <c r="DF5" s="148" t="s">
        <v>200</v>
      </c>
      <c r="DG5" s="148" t="s">
        <v>200</v>
      </c>
      <c r="DH5" s="148" t="s">
        <v>200</v>
      </c>
      <c r="DI5" s="148" t="s">
        <v>200</v>
      </c>
      <c r="DJ5" s="148" t="s">
        <v>200</v>
      </c>
      <c r="DK5" s="148" t="s">
        <v>200</v>
      </c>
      <c r="DL5" s="148" t="s">
        <v>200</v>
      </c>
      <c r="DM5" s="148" t="s">
        <v>200</v>
      </c>
      <c r="DN5" s="148" t="s">
        <v>200</v>
      </c>
      <c r="DO5" s="148" t="s">
        <v>200</v>
      </c>
      <c r="DP5" s="148" t="s">
        <v>200</v>
      </c>
      <c r="DQ5" s="148" t="s">
        <v>200</v>
      </c>
      <c r="DR5" s="148" t="s">
        <v>200</v>
      </c>
      <c r="DS5" s="148" t="s">
        <v>200</v>
      </c>
      <c r="DT5" s="148" t="s">
        <v>200</v>
      </c>
      <c r="DU5" s="148" t="s">
        <v>200</v>
      </c>
      <c r="DV5" s="148" t="s">
        <v>200</v>
      </c>
      <c r="DW5" s="148" t="s">
        <v>200</v>
      </c>
      <c r="DX5" s="148" t="s">
        <v>200</v>
      </c>
      <c r="DY5" s="148" t="s">
        <v>200</v>
      </c>
      <c r="DZ5" s="148" t="s">
        <v>200</v>
      </c>
      <c r="EA5" s="148" t="s">
        <v>200</v>
      </c>
      <c r="EB5" s="148" t="s">
        <v>200</v>
      </c>
      <c r="EC5" s="148" t="s">
        <v>200</v>
      </c>
      <c r="ED5" s="148" t="s">
        <v>200</v>
      </c>
      <c r="EE5" s="148" t="s">
        <v>200</v>
      </c>
      <c r="EF5" s="148" t="s">
        <v>200</v>
      </c>
      <c r="EG5" s="148" t="s">
        <v>200</v>
      </c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66" t="s">
        <v>201</v>
      </c>
      <c r="FE5" s="148" t="s">
        <v>200</v>
      </c>
      <c r="FF5" s="148" t="s">
        <v>200</v>
      </c>
      <c r="FG5" s="148" t="s">
        <v>200</v>
      </c>
      <c r="FH5" s="148" t="s">
        <v>200</v>
      </c>
      <c r="FI5" s="148" t="s">
        <v>200</v>
      </c>
      <c r="FJ5" s="148" t="s">
        <v>200</v>
      </c>
      <c r="FK5" s="148" t="s">
        <v>200</v>
      </c>
      <c r="FL5" s="148" t="s">
        <v>200</v>
      </c>
      <c r="FM5" s="148" t="s">
        <v>200</v>
      </c>
      <c r="FN5" s="148" t="s">
        <v>200</v>
      </c>
      <c r="FO5" s="148" t="s">
        <v>200</v>
      </c>
      <c r="FP5" s="148" t="s">
        <v>200</v>
      </c>
      <c r="FQ5" s="148" t="s">
        <v>200</v>
      </c>
      <c r="FR5" s="148" t="s">
        <v>200</v>
      </c>
      <c r="FS5" s="148" t="s">
        <v>200</v>
      </c>
      <c r="FT5" s="148" t="s">
        <v>200</v>
      </c>
      <c r="FU5" s="148" t="s">
        <v>200</v>
      </c>
      <c r="FV5" s="148" t="s">
        <v>200</v>
      </c>
    </row>
    <row r="6" spans="1:178">
      <c r="B6" s="256">
        <v>3575460</v>
      </c>
      <c r="C6" s="181"/>
      <c r="D6" s="72" t="s">
        <v>202</v>
      </c>
      <c r="E6" s="66">
        <v>1706</v>
      </c>
      <c r="F6" s="66">
        <v>1706</v>
      </c>
      <c r="G6" s="66">
        <v>1713</v>
      </c>
      <c r="H6" s="66">
        <v>1803</v>
      </c>
      <c r="I6" s="66">
        <v>1913</v>
      </c>
      <c r="J6" s="66">
        <v>1865</v>
      </c>
      <c r="K6" s="66">
        <v>1965</v>
      </c>
      <c r="L6" s="66">
        <v>1560</v>
      </c>
      <c r="M6" s="66">
        <v>1847</v>
      </c>
      <c r="N6" s="66">
        <v>2024</v>
      </c>
      <c r="O6" s="66">
        <v>1935</v>
      </c>
      <c r="P6" s="66">
        <v>1791</v>
      </c>
      <c r="Q6" s="78">
        <v>1768</v>
      </c>
      <c r="R6" s="78">
        <v>1675</v>
      </c>
      <c r="S6" s="78">
        <v>1847</v>
      </c>
      <c r="T6" s="78">
        <v>1753</v>
      </c>
      <c r="U6" s="78">
        <v>1838</v>
      </c>
      <c r="V6" s="78">
        <v>1996</v>
      </c>
      <c r="W6" s="78">
        <v>1839</v>
      </c>
      <c r="X6" s="78">
        <v>1798</v>
      </c>
      <c r="Y6" s="78">
        <v>2096</v>
      </c>
      <c r="Z6" s="78">
        <v>1972</v>
      </c>
      <c r="AA6" s="78">
        <v>1878</v>
      </c>
      <c r="AB6" s="78">
        <v>1904</v>
      </c>
      <c r="AC6" s="67">
        <v>1622</v>
      </c>
      <c r="AD6" s="67">
        <v>1620</v>
      </c>
      <c r="AE6" s="67">
        <v>1977</v>
      </c>
      <c r="AF6" s="67">
        <v>1847</v>
      </c>
      <c r="AG6" s="67">
        <v>2059</v>
      </c>
      <c r="AH6" s="67">
        <v>1724</v>
      </c>
      <c r="AI6" s="66">
        <v>1737</v>
      </c>
      <c r="AJ6" s="67">
        <v>1786</v>
      </c>
      <c r="AK6" s="67">
        <v>1927</v>
      </c>
      <c r="AL6" s="67">
        <v>2011</v>
      </c>
      <c r="AM6" s="67">
        <v>2049</v>
      </c>
      <c r="AN6" s="67">
        <v>1882</v>
      </c>
      <c r="AO6" s="67">
        <v>1589</v>
      </c>
      <c r="AP6" s="67">
        <v>1767</v>
      </c>
      <c r="AQ6" s="67">
        <v>1781</v>
      </c>
      <c r="AR6" s="67">
        <v>1568</v>
      </c>
      <c r="AS6" s="67">
        <v>1977</v>
      </c>
      <c r="AT6" s="67">
        <v>1707</v>
      </c>
      <c r="AU6" s="67">
        <v>1581</v>
      </c>
      <c r="AV6" s="67">
        <v>1774</v>
      </c>
      <c r="AW6" s="67">
        <v>2085</v>
      </c>
      <c r="AX6" s="67">
        <v>1425</v>
      </c>
      <c r="AY6" s="67">
        <v>50</v>
      </c>
      <c r="AZ6" s="67">
        <v>0</v>
      </c>
      <c r="BA6" s="76">
        <v>0</v>
      </c>
      <c r="BB6" s="76">
        <v>0</v>
      </c>
      <c r="BC6" s="76">
        <v>0</v>
      </c>
      <c r="BD6" s="76">
        <v>0</v>
      </c>
      <c r="BE6" s="76">
        <v>0</v>
      </c>
      <c r="BF6" s="76">
        <v>0</v>
      </c>
      <c r="BG6" s="77">
        <v>0</v>
      </c>
      <c r="BH6" s="77">
        <v>0</v>
      </c>
      <c r="BI6" s="77">
        <v>0</v>
      </c>
      <c r="BJ6" s="77">
        <v>0</v>
      </c>
      <c r="BK6" s="77">
        <v>0</v>
      </c>
      <c r="BL6" s="77">
        <v>0</v>
      </c>
      <c r="BM6" s="75">
        <v>0</v>
      </c>
      <c r="BN6" s="75">
        <v>0</v>
      </c>
      <c r="BO6" s="75">
        <v>0</v>
      </c>
      <c r="BP6" s="75">
        <v>0</v>
      </c>
      <c r="BQ6" s="75">
        <v>0</v>
      </c>
      <c r="BR6" s="75">
        <v>0</v>
      </c>
      <c r="BS6" s="75">
        <v>0</v>
      </c>
      <c r="BT6" s="75">
        <v>0</v>
      </c>
      <c r="BU6" s="75">
        <v>0</v>
      </c>
      <c r="BV6" s="75">
        <v>0</v>
      </c>
      <c r="BW6" s="75">
        <v>0</v>
      </c>
      <c r="BX6" s="75">
        <v>0</v>
      </c>
      <c r="BY6" s="77">
        <v>0</v>
      </c>
      <c r="BZ6" s="77">
        <v>0</v>
      </c>
      <c r="CA6" s="77">
        <v>0</v>
      </c>
      <c r="CB6" s="77">
        <v>0</v>
      </c>
      <c r="CC6" s="77">
        <v>0</v>
      </c>
      <c r="CD6" s="77">
        <v>0</v>
      </c>
      <c r="CE6" s="77">
        <v>0</v>
      </c>
      <c r="CF6" s="77">
        <v>0</v>
      </c>
      <c r="CG6" s="77">
        <v>0</v>
      </c>
      <c r="CH6" s="77">
        <v>0</v>
      </c>
      <c r="CI6" s="77">
        <v>0</v>
      </c>
      <c r="CJ6" s="77">
        <v>0</v>
      </c>
      <c r="CK6" s="79">
        <v>0</v>
      </c>
      <c r="CL6" s="79">
        <v>0</v>
      </c>
      <c r="CM6" s="79">
        <v>0</v>
      </c>
      <c r="CN6" s="79">
        <v>0</v>
      </c>
      <c r="CO6" s="79">
        <v>0</v>
      </c>
      <c r="CP6" s="79">
        <v>0</v>
      </c>
      <c r="CQ6" s="79">
        <v>0</v>
      </c>
      <c r="CR6" s="79">
        <v>0</v>
      </c>
      <c r="CS6" s="79">
        <v>0</v>
      </c>
      <c r="CT6" s="79">
        <v>0</v>
      </c>
      <c r="CU6" s="79">
        <v>0</v>
      </c>
      <c r="CV6" s="79">
        <v>0</v>
      </c>
      <c r="CW6" s="77">
        <v>0</v>
      </c>
      <c r="CX6" s="77">
        <v>0</v>
      </c>
      <c r="CY6" s="77">
        <v>0</v>
      </c>
      <c r="CZ6" s="77">
        <v>0</v>
      </c>
      <c r="DA6" s="77">
        <v>0</v>
      </c>
      <c r="DB6" s="77">
        <v>0</v>
      </c>
      <c r="DC6" s="77">
        <v>0</v>
      </c>
      <c r="DD6" s="77">
        <v>0</v>
      </c>
      <c r="DE6" s="77">
        <v>0</v>
      </c>
      <c r="DF6" s="148" t="s">
        <v>200</v>
      </c>
      <c r="DG6" s="148" t="s">
        <v>200</v>
      </c>
      <c r="DH6" s="148" t="s">
        <v>200</v>
      </c>
      <c r="DI6" s="148" t="s">
        <v>200</v>
      </c>
      <c r="DJ6" s="148" t="s">
        <v>200</v>
      </c>
      <c r="DK6" s="148" t="s">
        <v>200</v>
      </c>
      <c r="DL6" s="148" t="s">
        <v>200</v>
      </c>
      <c r="DM6" s="148" t="s">
        <v>200</v>
      </c>
      <c r="DN6" s="148" t="s">
        <v>200</v>
      </c>
      <c r="DO6" s="148" t="s">
        <v>200</v>
      </c>
      <c r="DP6" s="148" t="s">
        <v>200</v>
      </c>
      <c r="DQ6" s="148" t="s">
        <v>200</v>
      </c>
      <c r="DR6" s="148" t="s">
        <v>200</v>
      </c>
      <c r="DS6" s="148" t="s">
        <v>200</v>
      </c>
      <c r="DT6" s="148" t="s">
        <v>200</v>
      </c>
      <c r="DU6" s="148" t="s">
        <v>200</v>
      </c>
      <c r="DV6" s="148" t="s">
        <v>200</v>
      </c>
      <c r="DW6" s="148" t="s">
        <v>200</v>
      </c>
      <c r="DX6" s="148" t="s">
        <v>200</v>
      </c>
      <c r="DY6" s="148" t="s">
        <v>200</v>
      </c>
      <c r="DZ6" s="148" t="s">
        <v>200</v>
      </c>
      <c r="EA6" s="148" t="s">
        <v>200</v>
      </c>
      <c r="EB6" s="148" t="s">
        <v>200</v>
      </c>
      <c r="EC6" s="148" t="s">
        <v>200</v>
      </c>
      <c r="ED6" s="148" t="s">
        <v>200</v>
      </c>
      <c r="EE6" s="148" t="s">
        <v>200</v>
      </c>
      <c r="EF6" s="148" t="s">
        <v>200</v>
      </c>
      <c r="EG6" s="148" t="s">
        <v>200</v>
      </c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72" t="s">
        <v>202</v>
      </c>
      <c r="FE6" s="148" t="s">
        <v>200</v>
      </c>
      <c r="FF6" s="148" t="s">
        <v>200</v>
      </c>
      <c r="FG6" s="148" t="s">
        <v>200</v>
      </c>
      <c r="FH6" s="148" t="s">
        <v>200</v>
      </c>
      <c r="FI6" s="148" t="s">
        <v>200</v>
      </c>
      <c r="FJ6" s="148" t="s">
        <v>200</v>
      </c>
      <c r="FK6" s="148" t="s">
        <v>200</v>
      </c>
      <c r="FL6" s="148" t="s">
        <v>200</v>
      </c>
      <c r="FM6" s="148" t="s">
        <v>200</v>
      </c>
      <c r="FN6" s="148" t="s">
        <v>200</v>
      </c>
      <c r="FO6" s="148" t="s">
        <v>200</v>
      </c>
      <c r="FP6" s="148" t="s">
        <v>200</v>
      </c>
      <c r="FQ6" s="148" t="s">
        <v>200</v>
      </c>
      <c r="FR6" s="148" t="s">
        <v>200</v>
      </c>
      <c r="FS6" s="148" t="s">
        <v>200</v>
      </c>
      <c r="FT6" s="148" t="s">
        <v>200</v>
      </c>
      <c r="FU6" s="148" t="s">
        <v>200</v>
      </c>
      <c r="FV6" s="148" t="s">
        <v>200</v>
      </c>
    </row>
    <row r="7" spans="1:178">
      <c r="B7" s="256">
        <v>3598064</v>
      </c>
      <c r="C7" s="181"/>
      <c r="D7" s="66" t="s">
        <v>203</v>
      </c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6">
        <v>0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78">
        <v>0</v>
      </c>
      <c r="R7" s="79">
        <v>0</v>
      </c>
      <c r="S7" s="79">
        <v>0</v>
      </c>
      <c r="T7" s="79">
        <v>0</v>
      </c>
      <c r="U7" s="79">
        <v>0</v>
      </c>
      <c r="V7" s="78">
        <v>0</v>
      </c>
      <c r="W7" s="78">
        <v>0</v>
      </c>
      <c r="X7" s="79">
        <v>0</v>
      </c>
      <c r="Y7" s="79">
        <v>0</v>
      </c>
      <c r="Z7" s="78">
        <v>0</v>
      </c>
      <c r="AA7" s="79">
        <v>0</v>
      </c>
      <c r="AB7" s="78">
        <v>0</v>
      </c>
      <c r="AC7" s="67">
        <v>0</v>
      </c>
      <c r="AD7" s="67">
        <v>0</v>
      </c>
      <c r="AE7" s="67">
        <v>0</v>
      </c>
      <c r="AF7" s="67">
        <v>0</v>
      </c>
      <c r="AG7" s="67">
        <v>0</v>
      </c>
      <c r="AH7" s="67">
        <v>0</v>
      </c>
      <c r="AI7" s="66">
        <v>0</v>
      </c>
      <c r="AJ7" s="67">
        <v>0</v>
      </c>
      <c r="AK7" s="67">
        <v>0</v>
      </c>
      <c r="AL7" s="67">
        <v>0</v>
      </c>
      <c r="AM7" s="67">
        <v>0</v>
      </c>
      <c r="AN7" s="67">
        <v>0</v>
      </c>
      <c r="AO7" s="67">
        <v>0</v>
      </c>
      <c r="AP7" s="67">
        <v>0</v>
      </c>
      <c r="AQ7" s="67">
        <v>0</v>
      </c>
      <c r="AR7" s="67">
        <v>0</v>
      </c>
      <c r="AS7" s="67">
        <v>0</v>
      </c>
      <c r="AT7" s="67">
        <v>0</v>
      </c>
      <c r="AU7" s="67">
        <v>0</v>
      </c>
      <c r="AV7" s="67">
        <v>0</v>
      </c>
      <c r="AW7" s="67">
        <v>0</v>
      </c>
      <c r="AX7" s="67">
        <v>0</v>
      </c>
      <c r="AY7" s="67">
        <v>0</v>
      </c>
      <c r="AZ7" s="67">
        <v>0</v>
      </c>
      <c r="BA7" s="76">
        <v>0</v>
      </c>
      <c r="BB7" s="76">
        <v>0</v>
      </c>
      <c r="BC7" s="76">
        <v>0</v>
      </c>
      <c r="BD7" s="76">
        <v>0</v>
      </c>
      <c r="BE7" s="76">
        <v>0</v>
      </c>
      <c r="BF7" s="76">
        <v>0</v>
      </c>
      <c r="BG7" s="77">
        <v>0</v>
      </c>
      <c r="BH7" s="77">
        <v>0</v>
      </c>
      <c r="BI7" s="77">
        <v>0</v>
      </c>
      <c r="BJ7" s="77">
        <v>0</v>
      </c>
      <c r="BK7" s="77">
        <v>0</v>
      </c>
      <c r="BL7" s="77">
        <v>0</v>
      </c>
      <c r="BM7" s="75">
        <v>0</v>
      </c>
      <c r="BN7" s="75">
        <v>0</v>
      </c>
      <c r="BO7" s="75">
        <v>0</v>
      </c>
      <c r="BP7" s="75">
        <v>0</v>
      </c>
      <c r="BQ7" s="75">
        <v>0</v>
      </c>
      <c r="BR7" s="75">
        <v>0</v>
      </c>
      <c r="BS7" s="75">
        <v>0</v>
      </c>
      <c r="BT7" s="75">
        <v>0</v>
      </c>
      <c r="BU7" s="75">
        <v>0</v>
      </c>
      <c r="BV7" s="75">
        <v>0</v>
      </c>
      <c r="BW7" s="75">
        <v>0</v>
      </c>
      <c r="BX7" s="75">
        <v>0</v>
      </c>
      <c r="BY7" s="77">
        <v>0</v>
      </c>
      <c r="BZ7" s="77">
        <v>0</v>
      </c>
      <c r="CA7" s="77">
        <v>0</v>
      </c>
      <c r="CB7" s="77">
        <v>0</v>
      </c>
      <c r="CC7" s="77">
        <v>0</v>
      </c>
      <c r="CD7" s="77">
        <v>0</v>
      </c>
      <c r="CE7" s="77">
        <v>0</v>
      </c>
      <c r="CF7" s="77">
        <v>0</v>
      </c>
      <c r="CG7" s="77">
        <v>0</v>
      </c>
      <c r="CH7" s="77">
        <v>0</v>
      </c>
      <c r="CI7" s="77">
        <v>0</v>
      </c>
      <c r="CJ7" s="77">
        <v>0</v>
      </c>
      <c r="CK7" s="79">
        <v>0</v>
      </c>
      <c r="CL7" s="79">
        <v>0</v>
      </c>
      <c r="CM7" s="79">
        <v>0</v>
      </c>
      <c r="CN7" s="79">
        <v>0</v>
      </c>
      <c r="CO7" s="79">
        <v>0</v>
      </c>
      <c r="CP7" s="79">
        <v>0</v>
      </c>
      <c r="CQ7" s="79">
        <v>0</v>
      </c>
      <c r="CR7" s="79">
        <v>0</v>
      </c>
      <c r="CS7" s="79">
        <v>0</v>
      </c>
      <c r="CT7" s="79">
        <v>0</v>
      </c>
      <c r="CU7" s="79">
        <v>0</v>
      </c>
      <c r="CV7" s="79">
        <v>0</v>
      </c>
      <c r="CW7" s="77">
        <v>0</v>
      </c>
      <c r="CX7" s="77">
        <v>0</v>
      </c>
      <c r="CY7" s="77">
        <v>0</v>
      </c>
      <c r="CZ7" s="77">
        <v>0</v>
      </c>
      <c r="DA7" s="77">
        <v>0</v>
      </c>
      <c r="DB7" s="77">
        <v>0</v>
      </c>
      <c r="DC7" s="77">
        <v>0</v>
      </c>
      <c r="DD7" s="77">
        <v>0</v>
      </c>
      <c r="DE7" s="77">
        <v>0</v>
      </c>
      <c r="DF7" s="148" t="s">
        <v>200</v>
      </c>
      <c r="DG7" s="148" t="s">
        <v>200</v>
      </c>
      <c r="DH7" s="148" t="s">
        <v>200</v>
      </c>
      <c r="DI7" s="148" t="s">
        <v>200</v>
      </c>
      <c r="DJ7" s="148" t="s">
        <v>200</v>
      </c>
      <c r="DK7" s="148" t="s">
        <v>200</v>
      </c>
      <c r="DL7" s="148" t="s">
        <v>200</v>
      </c>
      <c r="DM7" s="148" t="s">
        <v>200</v>
      </c>
      <c r="DN7" s="148" t="s">
        <v>200</v>
      </c>
      <c r="DO7" s="148" t="s">
        <v>200</v>
      </c>
      <c r="DP7" s="148" t="s">
        <v>200</v>
      </c>
      <c r="DQ7" s="148" t="s">
        <v>200</v>
      </c>
      <c r="DR7" s="148" t="s">
        <v>200</v>
      </c>
      <c r="DS7" s="148" t="s">
        <v>200</v>
      </c>
      <c r="DT7" s="148" t="s">
        <v>200</v>
      </c>
      <c r="DU7" s="148" t="s">
        <v>200</v>
      </c>
      <c r="DV7" s="148" t="s">
        <v>200</v>
      </c>
      <c r="DW7" s="148" t="s">
        <v>200</v>
      </c>
      <c r="DX7" s="148" t="s">
        <v>200</v>
      </c>
      <c r="DY7" s="148" t="s">
        <v>200</v>
      </c>
      <c r="DZ7" s="148" t="s">
        <v>200</v>
      </c>
      <c r="EA7" s="148" t="s">
        <v>200</v>
      </c>
      <c r="EB7" s="148" t="s">
        <v>200</v>
      </c>
      <c r="EC7" s="148" t="s">
        <v>200</v>
      </c>
      <c r="ED7" s="148" t="s">
        <v>200</v>
      </c>
      <c r="EE7" s="148" t="s">
        <v>200</v>
      </c>
      <c r="EF7" s="148" t="s">
        <v>200</v>
      </c>
      <c r="EG7" s="148" t="s">
        <v>200</v>
      </c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66" t="s">
        <v>203</v>
      </c>
      <c r="FE7" s="148" t="s">
        <v>200</v>
      </c>
      <c r="FF7" s="148" t="s">
        <v>200</v>
      </c>
      <c r="FG7" s="148" t="s">
        <v>200</v>
      </c>
      <c r="FH7" s="148" t="s">
        <v>200</v>
      </c>
      <c r="FI7" s="148" t="s">
        <v>200</v>
      </c>
      <c r="FJ7" s="148" t="s">
        <v>200</v>
      </c>
      <c r="FK7" s="148" t="s">
        <v>200</v>
      </c>
      <c r="FL7" s="148" t="s">
        <v>200</v>
      </c>
      <c r="FM7" s="148" t="s">
        <v>200</v>
      </c>
      <c r="FN7" s="148" t="s">
        <v>200</v>
      </c>
      <c r="FO7" s="148" t="s">
        <v>200</v>
      </c>
      <c r="FP7" s="148" t="s">
        <v>200</v>
      </c>
      <c r="FQ7" s="148" t="s">
        <v>200</v>
      </c>
      <c r="FR7" s="148" t="s">
        <v>200</v>
      </c>
      <c r="FS7" s="148" t="s">
        <v>200</v>
      </c>
      <c r="FT7" s="148" t="s">
        <v>200</v>
      </c>
      <c r="FU7" s="148" t="s">
        <v>200</v>
      </c>
      <c r="FV7" s="148" t="s">
        <v>200</v>
      </c>
    </row>
    <row r="8" spans="1:178">
      <c r="B8" s="256">
        <v>5643252</v>
      </c>
      <c r="C8" s="181"/>
      <c r="D8" s="66" t="s">
        <v>204</v>
      </c>
      <c r="E8" s="66">
        <v>158</v>
      </c>
      <c r="F8" s="66">
        <v>152</v>
      </c>
      <c r="G8" s="66">
        <v>153</v>
      </c>
      <c r="H8" s="66">
        <v>148</v>
      </c>
      <c r="I8" s="66">
        <v>147</v>
      </c>
      <c r="J8" s="66">
        <v>151</v>
      </c>
      <c r="K8" s="66">
        <v>159</v>
      </c>
      <c r="L8" s="66">
        <v>142</v>
      </c>
      <c r="M8" s="66">
        <v>136</v>
      </c>
      <c r="N8" s="66">
        <v>162</v>
      </c>
      <c r="O8" s="66">
        <v>147</v>
      </c>
      <c r="P8" s="66">
        <v>152</v>
      </c>
      <c r="Q8" s="79">
        <v>152</v>
      </c>
      <c r="R8" s="79">
        <v>143</v>
      </c>
      <c r="S8" s="79">
        <v>157</v>
      </c>
      <c r="T8" s="79">
        <v>145</v>
      </c>
      <c r="U8" s="79">
        <v>141</v>
      </c>
      <c r="V8" s="78">
        <v>154</v>
      </c>
      <c r="W8" s="79">
        <v>150</v>
      </c>
      <c r="X8" s="79">
        <v>135</v>
      </c>
      <c r="Y8" s="79">
        <v>149</v>
      </c>
      <c r="Z8" s="79">
        <v>147</v>
      </c>
      <c r="AA8" s="79">
        <v>139</v>
      </c>
      <c r="AB8" s="79">
        <v>153</v>
      </c>
      <c r="AC8" s="66">
        <v>144</v>
      </c>
      <c r="AD8" s="66">
        <v>139</v>
      </c>
      <c r="AE8" s="66">
        <v>157</v>
      </c>
      <c r="AF8" s="66">
        <v>144</v>
      </c>
      <c r="AG8" s="66">
        <v>148</v>
      </c>
      <c r="AH8" s="66">
        <v>143</v>
      </c>
      <c r="AI8" s="66">
        <v>142</v>
      </c>
      <c r="AJ8" s="66">
        <v>148</v>
      </c>
      <c r="AK8" s="66">
        <v>143</v>
      </c>
      <c r="AL8" s="66">
        <v>144</v>
      </c>
      <c r="AM8" s="66">
        <v>149</v>
      </c>
      <c r="AN8" s="67">
        <v>149</v>
      </c>
      <c r="AO8" s="66">
        <v>140</v>
      </c>
      <c r="AP8" s="66">
        <v>155</v>
      </c>
      <c r="AQ8" s="66">
        <v>4</v>
      </c>
      <c r="AR8" s="66">
        <v>0</v>
      </c>
      <c r="AS8" s="66">
        <v>0</v>
      </c>
      <c r="AT8" s="66">
        <v>0</v>
      </c>
      <c r="AU8" s="66">
        <v>0</v>
      </c>
      <c r="AV8" s="66">
        <v>0</v>
      </c>
      <c r="AW8" s="66">
        <v>0</v>
      </c>
      <c r="AX8" s="66">
        <v>0</v>
      </c>
      <c r="AY8" s="66">
        <v>0</v>
      </c>
      <c r="AZ8" s="66">
        <v>0</v>
      </c>
      <c r="BA8" s="77">
        <v>0</v>
      </c>
      <c r="BB8" s="77">
        <v>0</v>
      </c>
      <c r="BC8" s="77">
        <v>0</v>
      </c>
      <c r="BD8" s="77">
        <v>0</v>
      </c>
      <c r="BE8" s="77">
        <v>0</v>
      </c>
      <c r="BF8" s="77">
        <v>0</v>
      </c>
      <c r="BG8" s="77">
        <v>0</v>
      </c>
      <c r="BH8" s="77">
        <v>0</v>
      </c>
      <c r="BI8" s="77">
        <v>0</v>
      </c>
      <c r="BJ8" s="77">
        <v>0</v>
      </c>
      <c r="BK8" s="77">
        <v>0</v>
      </c>
      <c r="BL8" s="77">
        <v>0</v>
      </c>
      <c r="BM8" s="75">
        <v>0</v>
      </c>
      <c r="BN8" s="75">
        <v>0</v>
      </c>
      <c r="BO8" s="75">
        <v>0</v>
      </c>
      <c r="BP8" s="75">
        <v>0</v>
      </c>
      <c r="BQ8" s="75">
        <v>0</v>
      </c>
      <c r="BR8" s="75">
        <v>0</v>
      </c>
      <c r="BS8" s="75">
        <v>0</v>
      </c>
      <c r="BT8" s="75">
        <v>0</v>
      </c>
      <c r="BU8" s="75">
        <v>0</v>
      </c>
      <c r="BV8" s="75">
        <v>0</v>
      </c>
      <c r="BW8" s="75">
        <v>0</v>
      </c>
      <c r="BX8" s="75">
        <v>0</v>
      </c>
      <c r="BY8" s="77">
        <v>0</v>
      </c>
      <c r="BZ8" s="77">
        <v>0</v>
      </c>
      <c r="CA8" s="77">
        <v>0</v>
      </c>
      <c r="CB8" s="77">
        <v>0</v>
      </c>
      <c r="CC8" s="77">
        <v>0</v>
      </c>
      <c r="CD8" s="77">
        <v>0</v>
      </c>
      <c r="CE8" s="77">
        <v>0</v>
      </c>
      <c r="CF8" s="77">
        <v>0</v>
      </c>
      <c r="CG8" s="77">
        <v>0</v>
      </c>
      <c r="CH8" s="77">
        <v>0</v>
      </c>
      <c r="CI8" s="77">
        <v>0</v>
      </c>
      <c r="CJ8" s="77">
        <v>0</v>
      </c>
      <c r="CK8" s="79">
        <v>0</v>
      </c>
      <c r="CL8" s="79">
        <v>0</v>
      </c>
      <c r="CM8" s="79">
        <v>0</v>
      </c>
      <c r="CN8" s="79">
        <v>0</v>
      </c>
      <c r="CO8" s="79">
        <v>0</v>
      </c>
      <c r="CP8" s="79">
        <v>0</v>
      </c>
      <c r="CQ8" s="79">
        <v>0</v>
      </c>
      <c r="CR8" s="79">
        <v>0</v>
      </c>
      <c r="CS8" s="79">
        <v>0</v>
      </c>
      <c r="CT8" s="79">
        <v>0</v>
      </c>
      <c r="CU8" s="79">
        <v>0</v>
      </c>
      <c r="CV8" s="79">
        <v>0</v>
      </c>
      <c r="CW8" s="77">
        <v>0</v>
      </c>
      <c r="CX8" s="77">
        <v>0</v>
      </c>
      <c r="CY8" s="77">
        <v>0</v>
      </c>
      <c r="CZ8" s="77">
        <v>0</v>
      </c>
      <c r="DA8" s="77">
        <v>0</v>
      </c>
      <c r="DB8" s="77">
        <v>0</v>
      </c>
      <c r="DC8" s="77">
        <v>0</v>
      </c>
      <c r="DD8" s="77">
        <v>0</v>
      </c>
      <c r="DE8" s="77">
        <v>0</v>
      </c>
      <c r="DF8" s="148" t="s">
        <v>200</v>
      </c>
      <c r="DG8" s="148" t="s">
        <v>200</v>
      </c>
      <c r="DH8" s="148" t="s">
        <v>200</v>
      </c>
      <c r="DI8" s="148" t="s">
        <v>200</v>
      </c>
      <c r="DJ8" s="148" t="s">
        <v>200</v>
      </c>
      <c r="DK8" s="148" t="s">
        <v>200</v>
      </c>
      <c r="DL8" s="148" t="s">
        <v>200</v>
      </c>
      <c r="DM8" s="148" t="s">
        <v>200</v>
      </c>
      <c r="DN8" s="148" t="s">
        <v>200</v>
      </c>
      <c r="DO8" s="148" t="s">
        <v>200</v>
      </c>
      <c r="DP8" s="148" t="s">
        <v>200</v>
      </c>
      <c r="DQ8" s="148" t="s">
        <v>200</v>
      </c>
      <c r="DR8" s="148" t="s">
        <v>200</v>
      </c>
      <c r="DS8" s="148" t="s">
        <v>200</v>
      </c>
      <c r="DT8" s="148" t="s">
        <v>200</v>
      </c>
      <c r="DU8" s="148" t="s">
        <v>200</v>
      </c>
      <c r="DV8" s="148" t="s">
        <v>200</v>
      </c>
      <c r="DW8" s="148" t="s">
        <v>200</v>
      </c>
      <c r="DX8" s="148" t="s">
        <v>200</v>
      </c>
      <c r="DY8" s="148" t="s">
        <v>200</v>
      </c>
      <c r="DZ8" s="148" t="s">
        <v>200</v>
      </c>
      <c r="EA8" s="148" t="s">
        <v>200</v>
      </c>
      <c r="EB8" s="148" t="s">
        <v>200</v>
      </c>
      <c r="EC8" s="148" t="s">
        <v>200</v>
      </c>
      <c r="ED8" s="148" t="s">
        <v>200</v>
      </c>
      <c r="EE8" s="148" t="s">
        <v>200</v>
      </c>
      <c r="EF8" s="148" t="s">
        <v>200</v>
      </c>
      <c r="EG8" s="148" t="s">
        <v>200</v>
      </c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8"/>
      <c r="EV8" s="148"/>
      <c r="EW8" s="148"/>
      <c r="EX8" s="148"/>
      <c r="EY8" s="148"/>
      <c r="EZ8" s="148"/>
      <c r="FA8" s="148"/>
      <c r="FB8" s="148"/>
      <c r="FC8" s="66" t="s">
        <v>204</v>
      </c>
      <c r="FE8" s="148" t="s">
        <v>200</v>
      </c>
      <c r="FF8" s="148" t="s">
        <v>200</v>
      </c>
      <c r="FG8" s="148" t="s">
        <v>200</v>
      </c>
      <c r="FH8" s="148" t="s">
        <v>200</v>
      </c>
      <c r="FI8" s="148" t="s">
        <v>200</v>
      </c>
      <c r="FJ8" s="148" t="s">
        <v>200</v>
      </c>
      <c r="FK8" s="148" t="s">
        <v>200</v>
      </c>
      <c r="FL8" s="148" t="s">
        <v>200</v>
      </c>
      <c r="FM8" s="148" t="s">
        <v>200</v>
      </c>
      <c r="FN8" s="148" t="s">
        <v>200</v>
      </c>
      <c r="FO8" s="148" t="s">
        <v>200</v>
      </c>
      <c r="FP8" s="148" t="s">
        <v>200</v>
      </c>
      <c r="FQ8" s="148" t="s">
        <v>200</v>
      </c>
      <c r="FR8" s="148" t="s">
        <v>200</v>
      </c>
      <c r="FS8" s="148" t="s">
        <v>200</v>
      </c>
      <c r="FT8" s="148" t="s">
        <v>200</v>
      </c>
      <c r="FU8" s="148" t="s">
        <v>200</v>
      </c>
      <c r="FV8" s="148" t="s">
        <v>200</v>
      </c>
    </row>
    <row r="9" spans="1:178">
      <c r="B9" s="256">
        <v>9093561</v>
      </c>
      <c r="C9" s="181"/>
      <c r="D9" s="72" t="s">
        <v>205</v>
      </c>
      <c r="E9" s="66">
        <v>25670</v>
      </c>
      <c r="F9" s="66">
        <v>26775</v>
      </c>
      <c r="G9" s="66">
        <v>29064</v>
      </c>
      <c r="H9" s="66">
        <v>28645</v>
      </c>
      <c r="I9" s="66">
        <v>28773</v>
      </c>
      <c r="J9" s="66">
        <v>26735</v>
      </c>
      <c r="K9" s="66">
        <v>22754</v>
      </c>
      <c r="L9" s="66">
        <v>22440</v>
      </c>
      <c r="M9" s="66">
        <v>25876</v>
      </c>
      <c r="N9" s="66">
        <v>29005</v>
      </c>
      <c r="O9" s="66">
        <v>27403</v>
      </c>
      <c r="P9" s="66">
        <v>22733</v>
      </c>
      <c r="Q9" s="78">
        <v>25401</v>
      </c>
      <c r="R9" s="78">
        <v>25640</v>
      </c>
      <c r="S9" s="78">
        <v>29369</v>
      </c>
      <c r="T9" s="78">
        <v>27584</v>
      </c>
      <c r="U9" s="78">
        <v>25681</v>
      </c>
      <c r="V9" s="78">
        <v>25745</v>
      </c>
      <c r="W9" s="78">
        <v>21333</v>
      </c>
      <c r="X9" s="78">
        <v>20380</v>
      </c>
      <c r="Y9" s="78">
        <v>27859</v>
      </c>
      <c r="Z9" s="78">
        <v>27441</v>
      </c>
      <c r="AA9" s="78">
        <v>26387</v>
      </c>
      <c r="AB9" s="78">
        <v>26469</v>
      </c>
      <c r="AC9" s="67">
        <v>23790</v>
      </c>
      <c r="AD9" s="67">
        <v>25727</v>
      </c>
      <c r="AE9" s="67">
        <v>30899</v>
      </c>
      <c r="AF9" s="67">
        <v>28204</v>
      </c>
      <c r="AG9" s="67">
        <v>29000</v>
      </c>
      <c r="AH9" s="67">
        <v>25759</v>
      </c>
      <c r="AI9" s="67">
        <v>20248</v>
      </c>
      <c r="AJ9" s="67">
        <v>22066</v>
      </c>
      <c r="AK9" s="67">
        <v>25219</v>
      </c>
      <c r="AL9" s="67">
        <v>27139</v>
      </c>
      <c r="AM9" s="67">
        <v>27758</v>
      </c>
      <c r="AN9" s="67">
        <v>24324</v>
      </c>
      <c r="AO9" s="67">
        <v>22687</v>
      </c>
      <c r="AP9" s="67">
        <v>27034</v>
      </c>
      <c r="AQ9" s="67">
        <v>30308</v>
      </c>
      <c r="AR9" s="67">
        <v>26713</v>
      </c>
      <c r="AS9" s="67">
        <v>31878</v>
      </c>
      <c r="AT9" s="67">
        <v>25565</v>
      </c>
      <c r="AU9" s="67">
        <v>17713</v>
      </c>
      <c r="AV9" s="67">
        <v>25615</v>
      </c>
      <c r="AW9" s="67">
        <v>29080</v>
      </c>
      <c r="AX9" s="67">
        <v>26006</v>
      </c>
      <c r="AY9" s="66">
        <v>32381</v>
      </c>
      <c r="AZ9" s="67">
        <v>28089</v>
      </c>
      <c r="BA9" s="76">
        <v>30318</v>
      </c>
      <c r="BB9" s="76">
        <v>33524</v>
      </c>
      <c r="BC9" s="76">
        <v>34142</v>
      </c>
      <c r="BD9" s="76">
        <v>32722</v>
      </c>
      <c r="BE9" s="76">
        <v>33310</v>
      </c>
      <c r="BF9" s="76">
        <v>27600</v>
      </c>
      <c r="BG9" s="77">
        <v>24827</v>
      </c>
      <c r="BH9" s="77">
        <v>22685</v>
      </c>
      <c r="BI9" s="77">
        <v>29264</v>
      </c>
      <c r="BJ9" s="77">
        <v>31121</v>
      </c>
      <c r="BK9" s="77">
        <v>30337</v>
      </c>
      <c r="BL9" s="77">
        <v>26229</v>
      </c>
      <c r="BM9" s="75">
        <v>27092</v>
      </c>
      <c r="BN9" s="75">
        <v>28718</v>
      </c>
      <c r="BO9" s="75">
        <v>28046</v>
      </c>
      <c r="BP9" s="75">
        <v>31729</v>
      </c>
      <c r="BQ9" s="75">
        <v>30820</v>
      </c>
      <c r="BR9" s="75">
        <v>24169</v>
      </c>
      <c r="BS9" s="75">
        <v>25817</v>
      </c>
      <c r="BT9" s="75">
        <v>20322</v>
      </c>
      <c r="BU9" s="75">
        <v>23839</v>
      </c>
      <c r="BV9" s="75">
        <v>24265</v>
      </c>
      <c r="BW9" s="75">
        <v>22207</v>
      </c>
      <c r="BX9" s="75">
        <v>2054</v>
      </c>
      <c r="BY9" s="92">
        <v>0</v>
      </c>
      <c r="BZ9" s="92">
        <v>0</v>
      </c>
      <c r="CA9" s="92">
        <v>0</v>
      </c>
      <c r="CB9" s="92">
        <v>0</v>
      </c>
      <c r="CC9" s="92">
        <v>0</v>
      </c>
      <c r="CD9" s="92">
        <v>0</v>
      </c>
      <c r="CE9" s="92">
        <v>0</v>
      </c>
      <c r="CF9" s="92">
        <v>0</v>
      </c>
      <c r="CG9" s="92">
        <v>0</v>
      </c>
      <c r="CH9" s="92">
        <v>0</v>
      </c>
      <c r="CI9" s="92">
        <v>0</v>
      </c>
      <c r="CJ9" s="92">
        <v>0</v>
      </c>
      <c r="CK9" s="132">
        <v>0</v>
      </c>
      <c r="CL9" s="132">
        <v>0</v>
      </c>
      <c r="CM9" s="132">
        <v>0</v>
      </c>
      <c r="CN9" s="132">
        <v>0</v>
      </c>
      <c r="CO9" s="132">
        <v>0</v>
      </c>
      <c r="CP9" s="132">
        <v>0</v>
      </c>
      <c r="CQ9" s="132">
        <v>0</v>
      </c>
      <c r="CR9" s="132">
        <v>0</v>
      </c>
      <c r="CS9" s="132">
        <v>0</v>
      </c>
      <c r="CT9" s="132">
        <v>0</v>
      </c>
      <c r="CU9" s="132">
        <v>0</v>
      </c>
      <c r="CV9" s="132">
        <v>0</v>
      </c>
      <c r="CW9" s="92">
        <v>0</v>
      </c>
      <c r="CX9" s="92">
        <v>0</v>
      </c>
      <c r="CY9" s="92">
        <v>0</v>
      </c>
      <c r="CZ9" s="92">
        <v>0</v>
      </c>
      <c r="DA9" s="92">
        <v>0</v>
      </c>
      <c r="DB9" s="92">
        <v>0</v>
      </c>
      <c r="DC9" s="92">
        <v>0</v>
      </c>
      <c r="DD9" s="92">
        <v>0</v>
      </c>
      <c r="DE9" s="92">
        <v>0</v>
      </c>
      <c r="DF9" s="148" t="s">
        <v>200</v>
      </c>
      <c r="DG9" s="148" t="s">
        <v>200</v>
      </c>
      <c r="DH9" s="148" t="s">
        <v>200</v>
      </c>
      <c r="DI9" s="148" t="s">
        <v>200</v>
      </c>
      <c r="DJ9" s="148" t="s">
        <v>200</v>
      </c>
      <c r="DK9" s="148" t="s">
        <v>200</v>
      </c>
      <c r="DL9" s="148" t="s">
        <v>200</v>
      </c>
      <c r="DM9" s="148" t="s">
        <v>200</v>
      </c>
      <c r="DN9" s="148" t="s">
        <v>200</v>
      </c>
      <c r="DO9" s="148" t="s">
        <v>200</v>
      </c>
      <c r="DP9" s="148" t="s">
        <v>200</v>
      </c>
      <c r="DQ9" s="148" t="s">
        <v>200</v>
      </c>
      <c r="DR9" s="148" t="s">
        <v>200</v>
      </c>
      <c r="DS9" s="148" t="s">
        <v>200</v>
      </c>
      <c r="DT9" s="148" t="s">
        <v>200</v>
      </c>
      <c r="DU9" s="148" t="s">
        <v>200</v>
      </c>
      <c r="DV9" s="148" t="s">
        <v>200</v>
      </c>
      <c r="DW9" s="148" t="s">
        <v>200</v>
      </c>
      <c r="DX9" s="148" t="s">
        <v>200</v>
      </c>
      <c r="DY9" s="148" t="s">
        <v>200</v>
      </c>
      <c r="DZ9" s="148" t="s">
        <v>200</v>
      </c>
      <c r="EA9" s="148" t="s">
        <v>200</v>
      </c>
      <c r="EB9" s="148" t="s">
        <v>200</v>
      </c>
      <c r="EC9" s="148" t="s">
        <v>200</v>
      </c>
      <c r="ED9" s="148" t="s">
        <v>200</v>
      </c>
      <c r="EE9" s="148" t="s">
        <v>200</v>
      </c>
      <c r="EF9" s="148" t="s">
        <v>200</v>
      </c>
      <c r="EG9" s="148" t="s">
        <v>200</v>
      </c>
      <c r="EH9" s="148"/>
      <c r="EI9" s="148"/>
      <c r="EJ9" s="148"/>
      <c r="EK9" s="148"/>
      <c r="EL9" s="148"/>
      <c r="EM9" s="148"/>
      <c r="EN9" s="148"/>
      <c r="EO9" s="148"/>
      <c r="EP9" s="148"/>
      <c r="EQ9" s="148"/>
      <c r="ER9" s="148"/>
      <c r="ES9" s="148"/>
      <c r="ET9" s="148"/>
      <c r="EU9" s="148"/>
      <c r="EV9" s="148"/>
      <c r="EW9" s="148"/>
      <c r="EX9" s="148"/>
      <c r="EY9" s="148"/>
      <c r="EZ9" s="148"/>
      <c r="FA9" s="148"/>
      <c r="FB9" s="148"/>
      <c r="FC9" s="72" t="s">
        <v>205</v>
      </c>
      <c r="FE9" s="148" t="s">
        <v>200</v>
      </c>
      <c r="FF9" s="148" t="s">
        <v>200</v>
      </c>
      <c r="FG9" s="148" t="s">
        <v>200</v>
      </c>
      <c r="FH9" s="148" t="s">
        <v>200</v>
      </c>
      <c r="FI9" s="148" t="s">
        <v>200</v>
      </c>
      <c r="FJ9" s="148" t="s">
        <v>200</v>
      </c>
      <c r="FK9" s="148" t="s">
        <v>200</v>
      </c>
      <c r="FL9" s="148" t="s">
        <v>200</v>
      </c>
      <c r="FM9" s="148" t="s">
        <v>200</v>
      </c>
      <c r="FN9" s="148" t="s">
        <v>200</v>
      </c>
      <c r="FO9" s="148" t="s">
        <v>200</v>
      </c>
      <c r="FP9" s="148" t="s">
        <v>200</v>
      </c>
      <c r="FQ9" s="148" t="s">
        <v>200</v>
      </c>
      <c r="FR9" s="148" t="s">
        <v>200</v>
      </c>
      <c r="FS9" s="148" t="s">
        <v>200</v>
      </c>
      <c r="FT9" s="148" t="s">
        <v>200</v>
      </c>
      <c r="FU9" s="148" t="s">
        <v>200</v>
      </c>
      <c r="FV9" s="148" t="s">
        <v>200</v>
      </c>
    </row>
    <row r="10" spans="1:178">
      <c r="B10" s="257">
        <v>9097369</v>
      </c>
      <c r="C10" s="182"/>
      <c r="D10" s="11" t="s">
        <v>205</v>
      </c>
      <c r="E10" s="66">
        <v>3881</v>
      </c>
      <c r="F10" s="66">
        <v>3762</v>
      </c>
      <c r="G10" s="66">
        <v>4655</v>
      </c>
      <c r="H10" s="66">
        <v>4585</v>
      </c>
      <c r="I10" s="66">
        <v>4379</v>
      </c>
      <c r="J10" s="66">
        <v>3453</v>
      </c>
      <c r="K10" s="66">
        <v>2932</v>
      </c>
      <c r="L10" s="66">
        <v>3270</v>
      </c>
      <c r="M10" s="66">
        <v>3909</v>
      </c>
      <c r="N10" s="66">
        <v>4460</v>
      </c>
      <c r="O10" s="66">
        <v>4419</v>
      </c>
      <c r="P10" s="66">
        <v>3074</v>
      </c>
      <c r="Q10" s="88">
        <v>3577</v>
      </c>
      <c r="R10" s="88">
        <v>3968</v>
      </c>
      <c r="S10" s="88">
        <v>5201</v>
      </c>
      <c r="T10" s="88">
        <v>4911</v>
      </c>
      <c r="U10" s="88">
        <v>4972</v>
      </c>
      <c r="V10" s="88">
        <v>4784</v>
      </c>
      <c r="W10" s="88">
        <v>3739</v>
      </c>
      <c r="X10" s="88">
        <v>3794</v>
      </c>
      <c r="Y10" s="88">
        <v>5330</v>
      </c>
      <c r="Z10" s="88">
        <v>5145</v>
      </c>
      <c r="AA10" s="88">
        <v>5033</v>
      </c>
      <c r="AB10" s="88">
        <v>4515</v>
      </c>
      <c r="AC10" s="89">
        <v>4177</v>
      </c>
      <c r="AD10" s="89">
        <v>4596</v>
      </c>
      <c r="AE10" s="89">
        <v>5800</v>
      </c>
      <c r="AF10" s="89">
        <v>5422</v>
      </c>
      <c r="AG10" s="89">
        <v>5234</v>
      </c>
      <c r="AH10" s="89">
        <v>4178</v>
      </c>
      <c r="AI10" s="89">
        <v>3531</v>
      </c>
      <c r="AJ10" s="89">
        <v>3893</v>
      </c>
      <c r="AK10" s="89">
        <v>4432</v>
      </c>
      <c r="AL10" s="89">
        <v>4606</v>
      </c>
      <c r="AM10" s="89">
        <v>4654</v>
      </c>
      <c r="AN10" s="89">
        <v>4027</v>
      </c>
      <c r="AO10" s="89">
        <v>3746</v>
      </c>
      <c r="AP10" s="89">
        <v>4470</v>
      </c>
      <c r="AQ10" s="89">
        <v>5277</v>
      </c>
      <c r="AR10" s="66">
        <v>4599</v>
      </c>
      <c r="AS10" s="89">
        <v>5602</v>
      </c>
      <c r="AT10" s="66">
        <v>4586</v>
      </c>
      <c r="AU10" s="66">
        <v>3212</v>
      </c>
      <c r="AV10" s="66">
        <v>4229</v>
      </c>
      <c r="AW10" s="89">
        <v>4700</v>
      </c>
      <c r="AX10" s="89">
        <v>4410</v>
      </c>
      <c r="AY10" s="89">
        <v>4994</v>
      </c>
      <c r="AZ10" s="89">
        <v>4306</v>
      </c>
      <c r="BA10" s="90">
        <v>4919</v>
      </c>
      <c r="BB10" s="90">
        <v>5415</v>
      </c>
      <c r="BC10" s="90">
        <v>6720</v>
      </c>
      <c r="BD10" s="90">
        <v>6492</v>
      </c>
      <c r="BE10" s="90">
        <v>6708</v>
      </c>
      <c r="BF10" s="90">
        <v>5142</v>
      </c>
      <c r="BG10" s="77">
        <v>4515</v>
      </c>
      <c r="BH10" s="77">
        <v>4118</v>
      </c>
      <c r="BI10" s="77">
        <v>5493</v>
      </c>
      <c r="BJ10" s="77">
        <v>5916</v>
      </c>
      <c r="BK10" s="77">
        <v>5882</v>
      </c>
      <c r="BL10" s="77">
        <v>4656</v>
      </c>
      <c r="BM10" s="75">
        <v>4831</v>
      </c>
      <c r="BN10" s="75">
        <v>5353</v>
      </c>
      <c r="BO10" s="75">
        <v>5489</v>
      </c>
      <c r="BP10" s="75">
        <v>6348</v>
      </c>
      <c r="BQ10" s="75">
        <v>6353</v>
      </c>
      <c r="BR10" s="75">
        <v>4919</v>
      </c>
      <c r="BS10" s="75">
        <v>4419</v>
      </c>
      <c r="BT10" s="75">
        <v>4029</v>
      </c>
      <c r="BU10" s="75">
        <v>5245</v>
      </c>
      <c r="BV10" s="75">
        <v>5599</v>
      </c>
      <c r="BW10" s="75">
        <v>5450</v>
      </c>
      <c r="BX10" s="75">
        <v>124</v>
      </c>
      <c r="BY10" s="92">
        <v>0</v>
      </c>
      <c r="BZ10" s="92">
        <v>0</v>
      </c>
      <c r="CA10" s="92">
        <v>0</v>
      </c>
      <c r="CB10" s="92">
        <v>0</v>
      </c>
      <c r="CC10" s="92">
        <v>0</v>
      </c>
      <c r="CD10" s="92">
        <v>0</v>
      </c>
      <c r="CE10" s="92">
        <v>0</v>
      </c>
      <c r="CF10" s="92">
        <v>0</v>
      </c>
      <c r="CG10" s="92">
        <v>0</v>
      </c>
      <c r="CH10" s="92">
        <v>0</v>
      </c>
      <c r="CI10" s="92">
        <v>0</v>
      </c>
      <c r="CJ10" s="92">
        <v>0</v>
      </c>
      <c r="CK10" s="132">
        <v>0</v>
      </c>
      <c r="CL10" s="132">
        <v>0</v>
      </c>
      <c r="CM10" s="132">
        <v>0</v>
      </c>
      <c r="CN10" s="132">
        <v>0</v>
      </c>
      <c r="CO10" s="132">
        <v>0</v>
      </c>
      <c r="CP10" s="132">
        <v>0</v>
      </c>
      <c r="CQ10" s="132">
        <v>0</v>
      </c>
      <c r="CR10" s="132">
        <v>0</v>
      </c>
      <c r="CS10" s="132">
        <v>0</v>
      </c>
      <c r="CT10" s="132">
        <v>0</v>
      </c>
      <c r="CU10" s="132">
        <v>0</v>
      </c>
      <c r="CV10" s="132">
        <v>0</v>
      </c>
      <c r="CW10" s="92">
        <v>0</v>
      </c>
      <c r="CX10" s="92">
        <v>0</v>
      </c>
      <c r="CY10" s="92">
        <v>0</v>
      </c>
      <c r="CZ10" s="92">
        <v>0</v>
      </c>
      <c r="DA10" s="92">
        <v>0</v>
      </c>
      <c r="DB10" s="92">
        <v>0</v>
      </c>
      <c r="DC10" s="92">
        <v>0</v>
      </c>
      <c r="DD10" s="92">
        <v>0</v>
      </c>
      <c r="DE10" s="92">
        <v>0</v>
      </c>
      <c r="DF10" s="148" t="s">
        <v>200</v>
      </c>
      <c r="DG10" s="148" t="s">
        <v>200</v>
      </c>
      <c r="DH10" s="148" t="s">
        <v>200</v>
      </c>
      <c r="DI10" s="148" t="s">
        <v>200</v>
      </c>
      <c r="DJ10" s="148" t="s">
        <v>200</v>
      </c>
      <c r="DK10" s="148" t="s">
        <v>200</v>
      </c>
      <c r="DL10" s="148" t="s">
        <v>200</v>
      </c>
      <c r="DM10" s="148" t="s">
        <v>200</v>
      </c>
      <c r="DN10" s="148" t="s">
        <v>200</v>
      </c>
      <c r="DO10" s="148" t="s">
        <v>200</v>
      </c>
      <c r="DP10" s="148" t="s">
        <v>200</v>
      </c>
      <c r="DQ10" s="148" t="s">
        <v>200</v>
      </c>
      <c r="DR10" s="148" t="s">
        <v>200</v>
      </c>
      <c r="DS10" s="148" t="s">
        <v>200</v>
      </c>
      <c r="DT10" s="148" t="s">
        <v>200</v>
      </c>
      <c r="DU10" s="148" t="s">
        <v>200</v>
      </c>
      <c r="DV10" s="148" t="s">
        <v>200</v>
      </c>
      <c r="DW10" s="148" t="s">
        <v>200</v>
      </c>
      <c r="DX10" s="148" t="s">
        <v>200</v>
      </c>
      <c r="DY10" s="148" t="s">
        <v>200</v>
      </c>
      <c r="DZ10" s="148" t="s">
        <v>200</v>
      </c>
      <c r="EA10" s="148" t="s">
        <v>200</v>
      </c>
      <c r="EB10" s="148" t="s">
        <v>200</v>
      </c>
      <c r="EC10" s="148" t="s">
        <v>200</v>
      </c>
      <c r="ED10" s="148" t="s">
        <v>200</v>
      </c>
      <c r="EE10" s="148" t="s">
        <v>200</v>
      </c>
      <c r="EF10" s="148" t="s">
        <v>200</v>
      </c>
      <c r="EG10" s="148" t="s">
        <v>200</v>
      </c>
      <c r="EH10" s="148"/>
      <c r="EI10" s="148"/>
      <c r="EJ10" s="148"/>
      <c r="EK10" s="148"/>
      <c r="EL10" s="148"/>
      <c r="EM10" s="148"/>
      <c r="EN10" s="148"/>
      <c r="EO10" s="148"/>
      <c r="EP10" s="148"/>
      <c r="EQ10" s="148"/>
      <c r="ER10" s="148"/>
      <c r="ES10" s="148"/>
      <c r="ET10" s="148"/>
      <c r="EU10" s="148"/>
      <c r="EV10" s="148"/>
      <c r="EW10" s="148"/>
      <c r="EX10" s="148"/>
      <c r="EY10" s="148"/>
      <c r="EZ10" s="148"/>
      <c r="FA10" s="148"/>
      <c r="FB10" s="148"/>
      <c r="FC10" s="11" t="s">
        <v>205</v>
      </c>
      <c r="FE10" s="148" t="s">
        <v>200</v>
      </c>
      <c r="FF10" s="148" t="s">
        <v>200</v>
      </c>
      <c r="FG10" s="148" t="s">
        <v>200</v>
      </c>
      <c r="FH10" s="148" t="s">
        <v>200</v>
      </c>
      <c r="FI10" s="148" t="s">
        <v>200</v>
      </c>
      <c r="FJ10" s="148" t="s">
        <v>200</v>
      </c>
      <c r="FK10" s="148" t="s">
        <v>200</v>
      </c>
      <c r="FL10" s="148" t="s">
        <v>200</v>
      </c>
      <c r="FM10" s="148" t="s">
        <v>200</v>
      </c>
      <c r="FN10" s="148" t="s">
        <v>200</v>
      </c>
      <c r="FO10" s="148" t="s">
        <v>200</v>
      </c>
      <c r="FP10" s="148" t="s">
        <v>200</v>
      </c>
      <c r="FQ10" s="148" t="s">
        <v>200</v>
      </c>
      <c r="FR10" s="148" t="s">
        <v>200</v>
      </c>
      <c r="FS10" s="148" t="s">
        <v>200</v>
      </c>
      <c r="FT10" s="148" t="s">
        <v>200</v>
      </c>
      <c r="FU10" s="148" t="s">
        <v>200</v>
      </c>
      <c r="FV10" s="148" t="s">
        <v>200</v>
      </c>
    </row>
    <row r="11" spans="1:178">
      <c r="B11" s="256">
        <v>9094041</v>
      </c>
      <c r="C11" s="181"/>
      <c r="D11" s="72" t="s">
        <v>206</v>
      </c>
      <c r="E11" s="66">
        <v>13583</v>
      </c>
      <c r="F11" s="66">
        <v>13745</v>
      </c>
      <c r="G11" s="66">
        <v>14542</v>
      </c>
      <c r="H11" s="66">
        <v>14065</v>
      </c>
      <c r="I11" s="66">
        <v>13858</v>
      </c>
      <c r="J11" s="66">
        <v>12940</v>
      </c>
      <c r="K11" s="66">
        <v>12056</v>
      </c>
      <c r="L11" s="66">
        <v>12020</v>
      </c>
      <c r="M11" s="66">
        <v>14257</v>
      </c>
      <c r="N11" s="66">
        <v>13444</v>
      </c>
      <c r="O11" s="66">
        <v>14180</v>
      </c>
      <c r="P11" s="66">
        <v>13089</v>
      </c>
      <c r="Q11" s="78">
        <v>12781</v>
      </c>
      <c r="R11" s="79">
        <v>12232</v>
      </c>
      <c r="S11" s="78">
        <v>13563</v>
      </c>
      <c r="T11" s="78">
        <v>12620</v>
      </c>
      <c r="U11" s="78">
        <v>12621</v>
      </c>
      <c r="V11" s="78">
        <v>12165</v>
      </c>
      <c r="W11" s="78">
        <v>12048</v>
      </c>
      <c r="X11" s="78">
        <v>11473</v>
      </c>
      <c r="Y11" s="78">
        <v>14357</v>
      </c>
      <c r="Z11" s="78">
        <v>12485</v>
      </c>
      <c r="AA11" s="78">
        <v>12128</v>
      </c>
      <c r="AB11" s="78">
        <v>12336</v>
      </c>
      <c r="AC11" s="67">
        <v>11491</v>
      </c>
      <c r="AD11" s="67">
        <v>11302</v>
      </c>
      <c r="AE11" s="67">
        <v>13756</v>
      </c>
      <c r="AF11" s="67">
        <v>13654</v>
      </c>
      <c r="AG11" s="67">
        <v>16256</v>
      </c>
      <c r="AH11" s="67">
        <v>13405</v>
      </c>
      <c r="AI11" s="67">
        <v>10489</v>
      </c>
      <c r="AJ11" s="67">
        <v>12421</v>
      </c>
      <c r="AK11" s="67">
        <v>13456</v>
      </c>
      <c r="AL11" s="67">
        <v>14924</v>
      </c>
      <c r="AM11" s="67">
        <v>14169</v>
      </c>
      <c r="AN11" s="67">
        <v>13839</v>
      </c>
      <c r="AO11" s="67">
        <v>13377</v>
      </c>
      <c r="AP11" s="67">
        <v>13636</v>
      </c>
      <c r="AQ11" s="67">
        <v>15451</v>
      </c>
      <c r="AR11" s="67">
        <v>13140</v>
      </c>
      <c r="AS11" s="67">
        <v>16478</v>
      </c>
      <c r="AT11" s="67">
        <v>12577</v>
      </c>
      <c r="AU11" s="67">
        <v>11780</v>
      </c>
      <c r="AV11" s="67">
        <v>14075</v>
      </c>
      <c r="AW11" s="67">
        <v>15334</v>
      </c>
      <c r="AX11" s="67">
        <v>12382</v>
      </c>
      <c r="AY11" s="66">
        <v>14886</v>
      </c>
      <c r="AZ11" s="67">
        <v>14026</v>
      </c>
      <c r="BA11" s="76">
        <v>12275</v>
      </c>
      <c r="BB11" s="76">
        <v>14989</v>
      </c>
      <c r="BC11" s="76">
        <v>15219</v>
      </c>
      <c r="BD11" s="76">
        <v>14170</v>
      </c>
      <c r="BE11" s="76">
        <v>15841</v>
      </c>
      <c r="BF11" s="76">
        <v>12774</v>
      </c>
      <c r="BG11" s="77">
        <v>13908</v>
      </c>
      <c r="BH11" s="77">
        <v>11487</v>
      </c>
      <c r="BI11" s="77">
        <v>13615</v>
      </c>
      <c r="BJ11" s="77">
        <v>13370</v>
      </c>
      <c r="BK11" s="77">
        <v>13650</v>
      </c>
      <c r="BL11" s="77">
        <v>10244</v>
      </c>
      <c r="BM11" s="75">
        <v>10888</v>
      </c>
      <c r="BN11" s="75">
        <v>11997</v>
      </c>
      <c r="BO11" s="75">
        <v>12507</v>
      </c>
      <c r="BP11" s="75">
        <v>14968</v>
      </c>
      <c r="BQ11" s="75">
        <v>15247</v>
      </c>
      <c r="BR11" s="75">
        <v>11326</v>
      </c>
      <c r="BS11" s="75">
        <v>13449</v>
      </c>
      <c r="BT11" s="75">
        <v>11917</v>
      </c>
      <c r="BU11" s="75">
        <v>13404</v>
      </c>
      <c r="BV11" s="75">
        <v>12623</v>
      </c>
      <c r="BW11" s="75">
        <v>5248</v>
      </c>
      <c r="BX11" s="75">
        <v>241</v>
      </c>
      <c r="BY11" s="92">
        <v>0</v>
      </c>
      <c r="BZ11" s="92">
        <v>0</v>
      </c>
      <c r="CA11" s="92">
        <v>0</v>
      </c>
      <c r="CB11" s="92">
        <v>0</v>
      </c>
      <c r="CC11" s="92">
        <v>0</v>
      </c>
      <c r="CD11" s="92">
        <v>0</v>
      </c>
      <c r="CE11" s="92">
        <v>0</v>
      </c>
      <c r="CF11" s="92">
        <v>0</v>
      </c>
      <c r="CG11" s="92">
        <v>0</v>
      </c>
      <c r="CH11" s="92">
        <v>0</v>
      </c>
      <c r="CI11" s="92">
        <v>0</v>
      </c>
      <c r="CJ11" s="92">
        <v>0</v>
      </c>
      <c r="CK11" s="132">
        <v>0</v>
      </c>
      <c r="CL11" s="132">
        <v>0</v>
      </c>
      <c r="CM11" s="132">
        <v>0</v>
      </c>
      <c r="CN11" s="132">
        <v>0</v>
      </c>
      <c r="CO11" s="132">
        <v>0</v>
      </c>
      <c r="CP11" s="132">
        <v>0</v>
      </c>
      <c r="CQ11" s="132">
        <v>0</v>
      </c>
      <c r="CR11" s="132">
        <v>0</v>
      </c>
      <c r="CS11" s="132">
        <v>0</v>
      </c>
      <c r="CT11" s="132">
        <v>0</v>
      </c>
      <c r="CU11" s="132">
        <v>0</v>
      </c>
      <c r="CV11" s="132">
        <v>0</v>
      </c>
      <c r="CW11" s="92">
        <v>0</v>
      </c>
      <c r="CX11" s="92">
        <v>0</v>
      </c>
      <c r="CY11" s="92">
        <v>0</v>
      </c>
      <c r="CZ11" s="92">
        <v>0</v>
      </c>
      <c r="DA11" s="92">
        <v>0</v>
      </c>
      <c r="DB11" s="92">
        <v>0</v>
      </c>
      <c r="DC11" s="92">
        <v>0</v>
      </c>
      <c r="DD11" s="92">
        <v>0</v>
      </c>
      <c r="DE11" s="92">
        <v>0</v>
      </c>
      <c r="DF11" s="148" t="s">
        <v>200</v>
      </c>
      <c r="DG11" s="148" t="s">
        <v>200</v>
      </c>
      <c r="DH11" s="148" t="s">
        <v>200</v>
      </c>
      <c r="DI11" s="148" t="s">
        <v>200</v>
      </c>
      <c r="DJ11" s="148" t="s">
        <v>200</v>
      </c>
      <c r="DK11" s="148" t="s">
        <v>200</v>
      </c>
      <c r="DL11" s="148" t="s">
        <v>200</v>
      </c>
      <c r="DM11" s="148" t="s">
        <v>200</v>
      </c>
      <c r="DN11" s="148" t="s">
        <v>200</v>
      </c>
      <c r="DO11" s="148" t="s">
        <v>200</v>
      </c>
      <c r="DP11" s="148" t="s">
        <v>200</v>
      </c>
      <c r="DQ11" s="148" t="s">
        <v>200</v>
      </c>
      <c r="DR11" s="148" t="s">
        <v>200</v>
      </c>
      <c r="DS11" s="148" t="s">
        <v>200</v>
      </c>
      <c r="DT11" s="148" t="s">
        <v>200</v>
      </c>
      <c r="DU11" s="148" t="s">
        <v>200</v>
      </c>
      <c r="DV11" s="148" t="s">
        <v>200</v>
      </c>
      <c r="DW11" s="148" t="s">
        <v>200</v>
      </c>
      <c r="DX11" s="148" t="s">
        <v>200</v>
      </c>
      <c r="DY11" s="148" t="s">
        <v>200</v>
      </c>
      <c r="DZ11" s="148" t="s">
        <v>200</v>
      </c>
      <c r="EA11" s="148" t="s">
        <v>200</v>
      </c>
      <c r="EB11" s="148" t="s">
        <v>200</v>
      </c>
      <c r="EC11" s="148" t="s">
        <v>200</v>
      </c>
      <c r="ED11" s="148" t="s">
        <v>200</v>
      </c>
      <c r="EE11" s="148" t="s">
        <v>200</v>
      </c>
      <c r="EF11" s="148" t="s">
        <v>200</v>
      </c>
      <c r="EG11" s="148" t="s">
        <v>200</v>
      </c>
      <c r="EH11" s="148"/>
      <c r="EI11" s="148"/>
      <c r="EJ11" s="148"/>
      <c r="EK11" s="148"/>
      <c r="EL11" s="148"/>
      <c r="EM11" s="148"/>
      <c r="EN11" s="148"/>
      <c r="EO11" s="148"/>
      <c r="EP11" s="148"/>
      <c r="EQ11" s="148"/>
      <c r="ER11" s="148"/>
      <c r="ES11" s="148"/>
      <c r="ET11" s="148"/>
      <c r="EU11" s="148"/>
      <c r="EV11" s="148"/>
      <c r="EW11" s="148"/>
      <c r="EX11" s="148"/>
      <c r="EY11" s="148"/>
      <c r="EZ11" s="148"/>
      <c r="FA11" s="148"/>
      <c r="FB11" s="148"/>
      <c r="FC11" s="72" t="s">
        <v>206</v>
      </c>
      <c r="FE11" s="148" t="s">
        <v>200</v>
      </c>
      <c r="FF11" s="148" t="s">
        <v>200</v>
      </c>
      <c r="FG11" s="148" t="s">
        <v>200</v>
      </c>
      <c r="FH11" s="148" t="s">
        <v>200</v>
      </c>
      <c r="FI11" s="148" t="s">
        <v>200</v>
      </c>
      <c r="FJ11" s="148" t="s">
        <v>200</v>
      </c>
      <c r="FK11" s="148" t="s">
        <v>200</v>
      </c>
      <c r="FL11" s="148" t="s">
        <v>200</v>
      </c>
      <c r="FM11" s="148" t="s">
        <v>200</v>
      </c>
      <c r="FN11" s="148" t="s">
        <v>200</v>
      </c>
      <c r="FO11" s="148" t="s">
        <v>200</v>
      </c>
      <c r="FP11" s="148" t="s">
        <v>200</v>
      </c>
      <c r="FQ11" s="148" t="s">
        <v>200</v>
      </c>
      <c r="FR11" s="148" t="s">
        <v>200</v>
      </c>
      <c r="FS11" s="148" t="s">
        <v>200</v>
      </c>
      <c r="FT11" s="148" t="s">
        <v>200</v>
      </c>
      <c r="FU11" s="148" t="s">
        <v>200</v>
      </c>
      <c r="FV11" s="148" t="s">
        <v>200</v>
      </c>
    </row>
    <row r="12" spans="1:178">
      <c r="B12" s="256">
        <v>9094509</v>
      </c>
      <c r="C12" s="181"/>
      <c r="D12" s="72" t="s">
        <v>207</v>
      </c>
      <c r="E12" s="66">
        <v>38273</v>
      </c>
      <c r="F12" s="66">
        <v>35530</v>
      </c>
      <c r="G12" s="66">
        <v>38396</v>
      </c>
      <c r="H12" s="66">
        <v>38094</v>
      </c>
      <c r="I12" s="66">
        <v>39017</v>
      </c>
      <c r="J12" s="66">
        <v>35469</v>
      </c>
      <c r="K12" s="66">
        <v>33170</v>
      </c>
      <c r="L12" s="66">
        <v>29053</v>
      </c>
      <c r="M12" s="66">
        <v>34127</v>
      </c>
      <c r="N12" s="66">
        <v>37650</v>
      </c>
      <c r="O12" s="66">
        <v>36319</v>
      </c>
      <c r="P12" s="66">
        <v>34063</v>
      </c>
      <c r="Q12" s="78">
        <v>34234</v>
      </c>
      <c r="R12" s="78">
        <v>32634</v>
      </c>
      <c r="S12" s="78">
        <v>37810</v>
      </c>
      <c r="T12" s="78">
        <v>35621</v>
      </c>
      <c r="U12" s="78">
        <v>31388</v>
      </c>
      <c r="V12" s="78">
        <v>33642</v>
      </c>
      <c r="W12" s="78">
        <v>31027</v>
      </c>
      <c r="X12" s="78">
        <v>26193</v>
      </c>
      <c r="Y12" s="78">
        <v>34229</v>
      </c>
      <c r="Z12" s="78">
        <v>34667</v>
      </c>
      <c r="AA12" s="78">
        <v>33702</v>
      </c>
      <c r="AB12" s="78">
        <v>34705</v>
      </c>
      <c r="AC12" s="67">
        <v>30974</v>
      </c>
      <c r="AD12" s="67">
        <v>30174</v>
      </c>
      <c r="AE12" s="67">
        <v>36551</v>
      </c>
      <c r="AF12" s="67">
        <v>33113</v>
      </c>
      <c r="AG12" s="67">
        <v>34270</v>
      </c>
      <c r="AH12" s="67">
        <v>31967</v>
      </c>
      <c r="AI12" s="67">
        <v>29821</v>
      </c>
      <c r="AJ12" s="67">
        <v>28958</v>
      </c>
      <c r="AK12" s="66">
        <v>34071</v>
      </c>
      <c r="AL12" s="67">
        <v>35786</v>
      </c>
      <c r="AM12" s="67">
        <v>36564</v>
      </c>
      <c r="AN12" s="67">
        <v>34061</v>
      </c>
      <c r="AO12" s="67">
        <v>32426</v>
      </c>
      <c r="AP12" s="67">
        <v>34088</v>
      </c>
      <c r="AQ12" s="67">
        <v>34752</v>
      </c>
      <c r="AR12" s="67">
        <v>30962</v>
      </c>
      <c r="AS12" s="66">
        <v>36290</v>
      </c>
      <c r="AT12" s="67">
        <v>31493</v>
      </c>
      <c r="AU12" s="67">
        <v>26421</v>
      </c>
      <c r="AV12" s="67">
        <v>29897</v>
      </c>
      <c r="AW12" s="67">
        <v>32560</v>
      </c>
      <c r="AX12" s="67">
        <v>28559</v>
      </c>
      <c r="AY12" s="66">
        <v>31721</v>
      </c>
      <c r="AZ12" s="67">
        <v>31603</v>
      </c>
      <c r="BA12" s="76">
        <v>29134</v>
      </c>
      <c r="BB12" s="76">
        <v>34268</v>
      </c>
      <c r="BC12" s="76">
        <v>34365</v>
      </c>
      <c r="BD12" s="76">
        <v>34148</v>
      </c>
      <c r="BE12" s="76">
        <v>34158</v>
      </c>
      <c r="BF12" s="76">
        <v>30665</v>
      </c>
      <c r="BG12" s="77">
        <v>32483</v>
      </c>
      <c r="BH12" s="77">
        <v>27458</v>
      </c>
      <c r="BI12" s="77">
        <v>31655</v>
      </c>
      <c r="BJ12" s="77">
        <v>33780</v>
      </c>
      <c r="BK12" s="77">
        <v>32679</v>
      </c>
      <c r="BL12" s="77">
        <v>27976</v>
      </c>
      <c r="BM12" s="75">
        <v>29578</v>
      </c>
      <c r="BN12" s="75">
        <v>30451</v>
      </c>
      <c r="BO12" s="75">
        <v>28675</v>
      </c>
      <c r="BP12" s="75">
        <v>33594</v>
      </c>
      <c r="BQ12" s="75">
        <v>31977</v>
      </c>
      <c r="BR12" s="75">
        <v>27715</v>
      </c>
      <c r="BS12" s="75">
        <v>29749</v>
      </c>
      <c r="BT12" s="75">
        <v>25712</v>
      </c>
      <c r="BU12" s="75">
        <v>29818</v>
      </c>
      <c r="BV12" s="75">
        <v>32474</v>
      </c>
      <c r="BW12" s="75">
        <v>30135</v>
      </c>
      <c r="BX12" s="75">
        <v>2665</v>
      </c>
      <c r="BY12" s="92">
        <v>0</v>
      </c>
      <c r="BZ12" s="92">
        <v>0</v>
      </c>
      <c r="CA12" s="92">
        <v>0</v>
      </c>
      <c r="CB12" s="92">
        <v>0</v>
      </c>
      <c r="CC12" s="92">
        <v>0</v>
      </c>
      <c r="CD12" s="92">
        <v>0</v>
      </c>
      <c r="CE12" s="92">
        <v>0</v>
      </c>
      <c r="CF12" s="92">
        <v>0</v>
      </c>
      <c r="CG12" s="92">
        <v>0</v>
      </c>
      <c r="CH12" s="92">
        <v>0</v>
      </c>
      <c r="CI12" s="92">
        <v>0</v>
      </c>
      <c r="CJ12" s="92">
        <v>0</v>
      </c>
      <c r="CK12" s="132">
        <v>0</v>
      </c>
      <c r="CL12" s="132">
        <v>0</v>
      </c>
      <c r="CM12" s="132">
        <v>0</v>
      </c>
      <c r="CN12" s="132">
        <v>0</v>
      </c>
      <c r="CO12" s="132">
        <v>0</v>
      </c>
      <c r="CP12" s="132">
        <v>0</v>
      </c>
      <c r="CQ12" s="132">
        <v>0</v>
      </c>
      <c r="CR12" s="132">
        <v>0</v>
      </c>
      <c r="CS12" s="132">
        <v>0</v>
      </c>
      <c r="CT12" s="132">
        <v>0</v>
      </c>
      <c r="CU12" s="132">
        <v>0</v>
      </c>
      <c r="CV12" s="132">
        <v>0</v>
      </c>
      <c r="CW12" s="92">
        <v>0</v>
      </c>
      <c r="CX12" s="92">
        <v>0</v>
      </c>
      <c r="CY12" s="92">
        <v>0</v>
      </c>
      <c r="CZ12" s="92">
        <v>0</v>
      </c>
      <c r="DA12" s="92">
        <v>0</v>
      </c>
      <c r="DB12" s="92">
        <v>0</v>
      </c>
      <c r="DC12" s="92">
        <v>0</v>
      </c>
      <c r="DD12" s="92">
        <v>0</v>
      </c>
      <c r="DE12" s="92">
        <v>0</v>
      </c>
      <c r="DF12" s="148" t="s">
        <v>200</v>
      </c>
      <c r="DG12" s="148" t="s">
        <v>200</v>
      </c>
      <c r="DH12" s="148" t="s">
        <v>200</v>
      </c>
      <c r="DI12" s="148" t="s">
        <v>200</v>
      </c>
      <c r="DJ12" s="148" t="s">
        <v>200</v>
      </c>
      <c r="DK12" s="148" t="s">
        <v>200</v>
      </c>
      <c r="DL12" s="148" t="s">
        <v>200</v>
      </c>
      <c r="DM12" s="148" t="s">
        <v>200</v>
      </c>
      <c r="DN12" s="148" t="s">
        <v>200</v>
      </c>
      <c r="DO12" s="148" t="s">
        <v>200</v>
      </c>
      <c r="DP12" s="148" t="s">
        <v>200</v>
      </c>
      <c r="DQ12" s="148" t="s">
        <v>200</v>
      </c>
      <c r="DR12" s="148" t="s">
        <v>200</v>
      </c>
      <c r="DS12" s="148" t="s">
        <v>200</v>
      </c>
      <c r="DT12" s="148" t="s">
        <v>200</v>
      </c>
      <c r="DU12" s="148" t="s">
        <v>200</v>
      </c>
      <c r="DV12" s="148" t="s">
        <v>200</v>
      </c>
      <c r="DW12" s="148" t="s">
        <v>200</v>
      </c>
      <c r="DX12" s="148" t="s">
        <v>200</v>
      </c>
      <c r="DY12" s="148" t="s">
        <v>200</v>
      </c>
      <c r="DZ12" s="148" t="s">
        <v>200</v>
      </c>
      <c r="EA12" s="148" t="s">
        <v>200</v>
      </c>
      <c r="EB12" s="148" t="s">
        <v>200</v>
      </c>
      <c r="EC12" s="148" t="s">
        <v>200</v>
      </c>
      <c r="ED12" s="148" t="s">
        <v>200</v>
      </c>
      <c r="EE12" s="148" t="s">
        <v>200</v>
      </c>
      <c r="EF12" s="148" t="s">
        <v>200</v>
      </c>
      <c r="EG12" s="148" t="s">
        <v>200</v>
      </c>
      <c r="EH12" s="148"/>
      <c r="EI12" s="148"/>
      <c r="EJ12" s="148"/>
      <c r="EK12" s="148"/>
      <c r="EL12" s="148"/>
      <c r="EM12" s="148"/>
      <c r="EN12" s="148"/>
      <c r="EO12" s="148"/>
      <c r="EP12" s="148"/>
      <c r="EQ12" s="148"/>
      <c r="ER12" s="148"/>
      <c r="ES12" s="148"/>
      <c r="ET12" s="148"/>
      <c r="EU12" s="148"/>
      <c r="EV12" s="148"/>
      <c r="EW12" s="148"/>
      <c r="EX12" s="148"/>
      <c r="EY12" s="148"/>
      <c r="EZ12" s="148"/>
      <c r="FA12" s="148"/>
      <c r="FB12" s="148"/>
      <c r="FC12" s="72" t="s">
        <v>207</v>
      </c>
      <c r="FE12" s="148" t="s">
        <v>200</v>
      </c>
      <c r="FF12" s="148" t="s">
        <v>200</v>
      </c>
      <c r="FG12" s="148" t="s">
        <v>200</v>
      </c>
      <c r="FH12" s="148" t="s">
        <v>200</v>
      </c>
      <c r="FI12" s="148" t="s">
        <v>200</v>
      </c>
      <c r="FJ12" s="148" t="s">
        <v>200</v>
      </c>
      <c r="FK12" s="148" t="s">
        <v>200</v>
      </c>
      <c r="FL12" s="148" t="s">
        <v>200</v>
      </c>
      <c r="FM12" s="148" t="s">
        <v>200</v>
      </c>
      <c r="FN12" s="148" t="s">
        <v>200</v>
      </c>
      <c r="FO12" s="148" t="s">
        <v>200</v>
      </c>
      <c r="FP12" s="148" t="s">
        <v>200</v>
      </c>
      <c r="FQ12" s="148" t="s">
        <v>200</v>
      </c>
      <c r="FR12" s="148" t="s">
        <v>200</v>
      </c>
      <c r="FS12" s="148" t="s">
        <v>200</v>
      </c>
      <c r="FT12" s="148" t="s">
        <v>200</v>
      </c>
      <c r="FU12" s="148" t="s">
        <v>200</v>
      </c>
      <c r="FV12" s="148" t="s">
        <v>200</v>
      </c>
    </row>
    <row r="13" spans="1:178" s="68" customFormat="1">
      <c r="B13" s="256">
        <v>9097356</v>
      </c>
      <c r="C13" s="181"/>
      <c r="D13" s="93" t="s">
        <v>207</v>
      </c>
      <c r="E13" s="68">
        <v>3987</v>
      </c>
      <c r="F13" s="68">
        <v>3764</v>
      </c>
      <c r="G13" s="68">
        <v>4060</v>
      </c>
      <c r="H13" s="68">
        <v>3990</v>
      </c>
      <c r="I13" s="68">
        <v>4015</v>
      </c>
      <c r="J13" s="68">
        <v>3891</v>
      </c>
      <c r="K13" s="68">
        <v>3772</v>
      </c>
      <c r="L13" s="68">
        <v>3162</v>
      </c>
      <c r="M13" s="68">
        <v>3627</v>
      </c>
      <c r="N13" s="68">
        <v>4172</v>
      </c>
      <c r="O13" s="68">
        <v>3854</v>
      </c>
      <c r="P13" s="68">
        <v>3643</v>
      </c>
      <c r="Q13" s="94">
        <v>3716</v>
      </c>
      <c r="R13" s="95">
        <v>3487</v>
      </c>
      <c r="S13" s="95">
        <v>4044</v>
      </c>
      <c r="T13" s="95">
        <v>3825</v>
      </c>
      <c r="U13" s="95">
        <v>3795</v>
      </c>
      <c r="V13" s="95">
        <v>3967</v>
      </c>
      <c r="W13" s="95">
        <v>3798</v>
      </c>
      <c r="X13" s="95">
        <v>3030</v>
      </c>
      <c r="Y13" s="95">
        <v>4008</v>
      </c>
      <c r="Z13" s="95">
        <v>3983</v>
      </c>
      <c r="AA13" s="95">
        <v>3734</v>
      </c>
      <c r="AB13" s="95">
        <v>3828</v>
      </c>
      <c r="AC13" s="96">
        <v>3506</v>
      </c>
      <c r="AD13" s="96">
        <v>3618</v>
      </c>
      <c r="AE13" s="96">
        <v>4133</v>
      </c>
      <c r="AF13" s="96">
        <v>3698</v>
      </c>
      <c r="AG13" s="96">
        <v>3857</v>
      </c>
      <c r="AH13" s="96">
        <v>3633</v>
      </c>
      <c r="AI13" s="96">
        <v>3426</v>
      </c>
      <c r="AJ13" s="96">
        <v>3357</v>
      </c>
      <c r="AK13" s="96">
        <v>3684</v>
      </c>
      <c r="AL13" s="96">
        <v>3716</v>
      </c>
      <c r="AM13" s="96">
        <v>3869</v>
      </c>
      <c r="AN13" s="96">
        <v>3623</v>
      </c>
      <c r="AO13" s="96">
        <v>3356</v>
      </c>
      <c r="AP13" s="96">
        <v>3659</v>
      </c>
      <c r="AQ13" s="96">
        <v>3931</v>
      </c>
      <c r="AR13" s="96">
        <v>3477</v>
      </c>
      <c r="AS13" s="96">
        <v>4102</v>
      </c>
      <c r="AT13" s="96">
        <v>3562</v>
      </c>
      <c r="AU13" s="96">
        <v>3083</v>
      </c>
      <c r="AV13" s="96">
        <v>3525</v>
      </c>
      <c r="AW13" s="96">
        <v>3810</v>
      </c>
      <c r="AX13" s="96">
        <v>3198</v>
      </c>
      <c r="AY13" s="68">
        <v>3359</v>
      </c>
      <c r="AZ13" s="96">
        <v>2753</v>
      </c>
      <c r="BA13" s="97">
        <v>2552</v>
      </c>
      <c r="BB13" s="97">
        <v>3077</v>
      </c>
      <c r="BC13" s="97">
        <v>3415</v>
      </c>
      <c r="BD13" s="97">
        <v>3512</v>
      </c>
      <c r="BE13" s="97">
        <v>3540</v>
      </c>
      <c r="BF13" s="97">
        <v>3125</v>
      </c>
      <c r="BG13" s="98">
        <v>3090</v>
      </c>
      <c r="BH13" s="98">
        <v>2680</v>
      </c>
      <c r="BI13" s="98">
        <v>3208</v>
      </c>
      <c r="BJ13" s="98">
        <v>3390</v>
      </c>
      <c r="BK13" s="98">
        <v>3123</v>
      </c>
      <c r="BL13" s="98">
        <v>2782</v>
      </c>
      <c r="BM13" s="99">
        <v>2959</v>
      </c>
      <c r="BN13" s="99">
        <v>3060</v>
      </c>
      <c r="BO13" s="99">
        <v>2832</v>
      </c>
      <c r="BP13" s="99">
        <v>3221</v>
      </c>
      <c r="BQ13" s="99">
        <v>3208</v>
      </c>
      <c r="BR13" s="99">
        <v>2746</v>
      </c>
      <c r="BS13" s="99">
        <v>2876</v>
      </c>
      <c r="BT13" s="99">
        <v>2573</v>
      </c>
      <c r="BU13" s="99">
        <v>2984</v>
      </c>
      <c r="BV13" s="99">
        <v>3117</v>
      </c>
      <c r="BW13" s="99">
        <v>1947</v>
      </c>
      <c r="BX13" s="99">
        <v>161</v>
      </c>
      <c r="BY13" s="100">
        <v>0</v>
      </c>
      <c r="BZ13" s="100">
        <v>0</v>
      </c>
      <c r="CA13" s="100">
        <v>0</v>
      </c>
      <c r="CB13" s="100">
        <v>0</v>
      </c>
      <c r="CC13" s="100">
        <v>0</v>
      </c>
      <c r="CD13" s="100">
        <v>0</v>
      </c>
      <c r="CE13" s="100">
        <v>0</v>
      </c>
      <c r="CF13" s="100">
        <v>0</v>
      </c>
      <c r="CG13" s="100">
        <v>0</v>
      </c>
      <c r="CH13" s="100">
        <v>0</v>
      </c>
      <c r="CI13" s="100">
        <v>0</v>
      </c>
      <c r="CJ13" s="100">
        <v>0</v>
      </c>
      <c r="CK13" s="133">
        <v>0</v>
      </c>
      <c r="CL13" s="133">
        <v>0</v>
      </c>
      <c r="CM13" s="133">
        <v>0</v>
      </c>
      <c r="CN13" s="133">
        <v>0</v>
      </c>
      <c r="CO13" s="133">
        <v>0</v>
      </c>
      <c r="CP13" s="133">
        <v>0</v>
      </c>
      <c r="CQ13" s="133">
        <v>0</v>
      </c>
      <c r="CR13" s="133">
        <v>0</v>
      </c>
      <c r="CS13" s="133">
        <v>0</v>
      </c>
      <c r="CT13" s="133">
        <v>0</v>
      </c>
      <c r="CU13" s="133">
        <v>0</v>
      </c>
      <c r="CV13" s="133">
        <v>0</v>
      </c>
      <c r="CW13" s="100">
        <v>0</v>
      </c>
      <c r="CX13" s="100">
        <v>0</v>
      </c>
      <c r="CY13" s="100">
        <v>0</v>
      </c>
      <c r="CZ13" s="100">
        <v>0</v>
      </c>
      <c r="DA13" s="100">
        <v>0</v>
      </c>
      <c r="DB13" s="100">
        <v>0</v>
      </c>
      <c r="DC13" s="100">
        <v>0</v>
      </c>
      <c r="DD13" s="100">
        <v>0</v>
      </c>
      <c r="DE13" s="100">
        <v>0</v>
      </c>
      <c r="DF13" s="149" t="s">
        <v>200</v>
      </c>
      <c r="DG13" s="149" t="s">
        <v>200</v>
      </c>
      <c r="DH13" s="149" t="s">
        <v>200</v>
      </c>
      <c r="DI13" s="149" t="s">
        <v>200</v>
      </c>
      <c r="DJ13" s="149" t="s">
        <v>200</v>
      </c>
      <c r="DK13" s="149" t="s">
        <v>200</v>
      </c>
      <c r="DL13" s="149" t="s">
        <v>200</v>
      </c>
      <c r="DM13" s="149" t="s">
        <v>200</v>
      </c>
      <c r="DN13" s="149" t="s">
        <v>200</v>
      </c>
      <c r="DO13" s="149" t="s">
        <v>200</v>
      </c>
      <c r="DP13" s="149" t="s">
        <v>200</v>
      </c>
      <c r="DQ13" s="149" t="s">
        <v>200</v>
      </c>
      <c r="DR13" s="149" t="s">
        <v>200</v>
      </c>
      <c r="DS13" s="149" t="s">
        <v>200</v>
      </c>
      <c r="DT13" s="149" t="s">
        <v>200</v>
      </c>
      <c r="DU13" s="149" t="s">
        <v>200</v>
      </c>
      <c r="DV13" s="149" t="s">
        <v>200</v>
      </c>
      <c r="DW13" s="149" t="s">
        <v>200</v>
      </c>
      <c r="DX13" s="149" t="s">
        <v>200</v>
      </c>
      <c r="DY13" s="149" t="s">
        <v>200</v>
      </c>
      <c r="DZ13" s="149" t="s">
        <v>200</v>
      </c>
      <c r="EA13" s="149" t="s">
        <v>200</v>
      </c>
      <c r="EB13" s="149" t="s">
        <v>200</v>
      </c>
      <c r="EC13" s="149" t="s">
        <v>200</v>
      </c>
      <c r="ED13" s="149" t="s">
        <v>200</v>
      </c>
      <c r="EE13" s="149" t="s">
        <v>200</v>
      </c>
      <c r="EF13" s="149" t="s">
        <v>200</v>
      </c>
      <c r="EG13" s="149" t="s">
        <v>200</v>
      </c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49"/>
      <c r="EU13" s="149"/>
      <c r="EV13" s="149"/>
      <c r="EW13" s="149"/>
      <c r="EX13" s="149"/>
      <c r="EY13" s="149"/>
      <c r="EZ13" s="149"/>
      <c r="FA13" s="149"/>
      <c r="FB13" s="149"/>
      <c r="FC13" s="93" t="s">
        <v>207</v>
      </c>
      <c r="FD13" s="66"/>
      <c r="FE13" s="149" t="s">
        <v>200</v>
      </c>
      <c r="FF13" s="149" t="s">
        <v>200</v>
      </c>
      <c r="FG13" s="149" t="s">
        <v>200</v>
      </c>
      <c r="FH13" s="149" t="s">
        <v>200</v>
      </c>
      <c r="FI13" s="149" t="s">
        <v>200</v>
      </c>
      <c r="FJ13" s="149" t="s">
        <v>200</v>
      </c>
      <c r="FK13" s="149" t="s">
        <v>200</v>
      </c>
      <c r="FL13" s="149" t="s">
        <v>200</v>
      </c>
      <c r="FM13" s="149" t="s">
        <v>200</v>
      </c>
      <c r="FN13" s="149" t="s">
        <v>200</v>
      </c>
      <c r="FO13" s="149" t="s">
        <v>200</v>
      </c>
      <c r="FP13" s="149" t="s">
        <v>200</v>
      </c>
      <c r="FQ13" s="149" t="s">
        <v>200</v>
      </c>
      <c r="FR13" s="149" t="s">
        <v>200</v>
      </c>
      <c r="FS13" s="149" t="s">
        <v>200</v>
      </c>
      <c r="FT13" s="149" t="s">
        <v>200</v>
      </c>
      <c r="FU13" s="149" t="s">
        <v>200</v>
      </c>
      <c r="FV13" s="149" t="s">
        <v>200</v>
      </c>
    </row>
    <row r="14" spans="1:178">
      <c r="B14" s="258">
        <v>7629952</v>
      </c>
      <c r="C14" s="181">
        <v>3006113</v>
      </c>
      <c r="D14" s="66" t="s">
        <v>208</v>
      </c>
      <c r="E14" s="66">
        <v>2879</v>
      </c>
      <c r="F14" s="66">
        <v>2805</v>
      </c>
      <c r="G14" s="66">
        <v>2783</v>
      </c>
      <c r="H14" s="66">
        <v>2171</v>
      </c>
      <c r="I14" s="66">
        <v>1338</v>
      </c>
      <c r="J14" s="66">
        <v>930</v>
      </c>
      <c r="K14" s="66">
        <v>1015</v>
      </c>
      <c r="L14" s="66">
        <v>971</v>
      </c>
      <c r="M14" s="66">
        <v>871</v>
      </c>
      <c r="N14" s="66">
        <v>1345</v>
      </c>
      <c r="O14" s="66">
        <v>2001</v>
      </c>
      <c r="P14" s="66">
        <v>3063</v>
      </c>
      <c r="Q14" s="78">
        <v>3262</v>
      </c>
      <c r="R14" s="78">
        <v>2956</v>
      </c>
      <c r="S14" s="78">
        <v>3055</v>
      </c>
      <c r="T14" s="78">
        <v>2045</v>
      </c>
      <c r="U14" s="78">
        <v>1288</v>
      </c>
      <c r="V14" s="78">
        <v>1055</v>
      </c>
      <c r="W14" s="78">
        <v>1060</v>
      </c>
      <c r="X14" s="78">
        <v>924</v>
      </c>
      <c r="Y14" s="78">
        <v>1099</v>
      </c>
      <c r="Z14" s="78">
        <v>1497</v>
      </c>
      <c r="AA14" s="78">
        <v>2676</v>
      </c>
      <c r="AB14" s="78">
        <v>3498</v>
      </c>
      <c r="AC14" s="67">
        <v>3141</v>
      </c>
      <c r="AD14" s="67">
        <v>3102</v>
      </c>
      <c r="AE14" s="67">
        <v>3386</v>
      </c>
      <c r="AF14" s="67">
        <v>2224</v>
      </c>
      <c r="AG14" s="67">
        <v>1552</v>
      </c>
      <c r="AH14" s="67">
        <v>1104</v>
      </c>
      <c r="AI14" s="67">
        <v>1025</v>
      </c>
      <c r="AJ14" s="67">
        <v>1019</v>
      </c>
      <c r="AK14" s="67">
        <v>1055</v>
      </c>
      <c r="AL14" s="67">
        <v>1469</v>
      </c>
      <c r="AM14" s="67">
        <v>2258</v>
      </c>
      <c r="AN14" s="67">
        <v>3073</v>
      </c>
      <c r="AO14" s="67">
        <v>3046</v>
      </c>
      <c r="AP14" s="67">
        <v>3299</v>
      </c>
      <c r="AQ14" s="67">
        <v>2934</v>
      </c>
      <c r="AR14" s="67">
        <v>2387</v>
      </c>
      <c r="AS14" s="67">
        <v>1680</v>
      </c>
      <c r="AT14" s="67">
        <v>1283</v>
      </c>
      <c r="AU14" s="67">
        <v>1087</v>
      </c>
      <c r="AV14" s="67">
        <v>1263</v>
      </c>
      <c r="AW14" s="67">
        <v>1257</v>
      </c>
      <c r="AX14" s="67">
        <v>1556</v>
      </c>
      <c r="AY14" s="67">
        <v>2252</v>
      </c>
      <c r="AZ14" s="67">
        <v>2913</v>
      </c>
      <c r="BA14" s="76">
        <v>2677</v>
      </c>
      <c r="BB14" s="76">
        <v>3236</v>
      </c>
      <c r="BC14" s="76">
        <v>2860</v>
      </c>
      <c r="BD14" s="76">
        <v>2366</v>
      </c>
      <c r="BE14" s="76">
        <v>1171</v>
      </c>
      <c r="BF14" s="76">
        <v>968</v>
      </c>
      <c r="BG14" s="77">
        <v>1036</v>
      </c>
      <c r="BH14" s="77">
        <v>893</v>
      </c>
      <c r="BI14" s="77">
        <v>792</v>
      </c>
      <c r="BJ14" s="77">
        <v>1094</v>
      </c>
      <c r="BK14" s="77">
        <v>2133</v>
      </c>
      <c r="BL14" s="77">
        <v>2340</v>
      </c>
      <c r="BM14" s="75">
        <v>2567</v>
      </c>
      <c r="BN14" s="75">
        <v>2501</v>
      </c>
      <c r="BO14" s="75">
        <v>2123</v>
      </c>
      <c r="BP14" s="75">
        <v>1239</v>
      </c>
      <c r="BQ14" s="75">
        <v>740</v>
      </c>
      <c r="BR14" s="75">
        <v>596</v>
      </c>
      <c r="BS14" s="75">
        <v>638</v>
      </c>
      <c r="BT14" s="75">
        <v>623</v>
      </c>
      <c r="BU14" s="75">
        <v>643</v>
      </c>
      <c r="BV14" s="75">
        <v>1205</v>
      </c>
      <c r="BW14" s="75">
        <v>1565</v>
      </c>
      <c r="BX14" s="75">
        <v>2005</v>
      </c>
      <c r="BY14" s="77">
        <v>2227</v>
      </c>
      <c r="BZ14" s="77">
        <v>2162</v>
      </c>
      <c r="CA14" s="77">
        <v>1945</v>
      </c>
      <c r="CB14" s="77">
        <v>1596</v>
      </c>
      <c r="CC14" s="77">
        <v>668</v>
      </c>
      <c r="CD14" s="77">
        <v>569</v>
      </c>
      <c r="CE14" s="77">
        <v>564</v>
      </c>
      <c r="CF14" s="77">
        <v>519</v>
      </c>
      <c r="CG14" s="77">
        <v>620</v>
      </c>
      <c r="CH14" s="77">
        <v>666</v>
      </c>
      <c r="CI14" s="77">
        <v>1217</v>
      </c>
      <c r="CJ14" s="77">
        <v>1711</v>
      </c>
      <c r="CK14" s="79">
        <v>1779</v>
      </c>
      <c r="CL14" s="79">
        <v>1551</v>
      </c>
      <c r="CM14" s="79">
        <v>1731</v>
      </c>
      <c r="CN14" s="79">
        <v>1087</v>
      </c>
      <c r="CO14" s="79">
        <v>711</v>
      </c>
      <c r="CP14" s="79">
        <v>593</v>
      </c>
      <c r="CQ14" s="79">
        <v>549</v>
      </c>
      <c r="CR14" s="79">
        <v>562</v>
      </c>
      <c r="CS14" s="79">
        <v>423</v>
      </c>
      <c r="CT14" s="79">
        <v>634</v>
      </c>
      <c r="CU14" s="79">
        <v>1271</v>
      </c>
      <c r="CV14" s="79">
        <v>1265</v>
      </c>
      <c r="CW14" s="77">
        <v>1496</v>
      </c>
      <c r="CX14" s="77">
        <v>1477</v>
      </c>
      <c r="CY14" s="77">
        <f>1085+377</f>
        <v>1462</v>
      </c>
      <c r="CZ14" s="77">
        <v>838</v>
      </c>
      <c r="DA14" s="77">
        <v>274</v>
      </c>
      <c r="DB14" s="77">
        <v>208</v>
      </c>
      <c r="DC14" s="77">
        <v>207</v>
      </c>
      <c r="DD14" s="77">
        <v>409</v>
      </c>
      <c r="DE14" s="77">
        <v>219</v>
      </c>
      <c r="DF14" s="150">
        <v>437</v>
      </c>
      <c r="DG14" s="150">
        <v>946</v>
      </c>
      <c r="DH14" s="162">
        <v>1358</v>
      </c>
      <c r="DI14" s="162">
        <v>1355</v>
      </c>
      <c r="DJ14" s="162">
        <v>1540</v>
      </c>
      <c r="DK14" s="162">
        <v>1387</v>
      </c>
      <c r="DL14" s="162">
        <v>860</v>
      </c>
      <c r="DM14" s="162">
        <v>616</v>
      </c>
      <c r="DN14" s="162">
        <f>FU14-FV14</f>
        <v>181</v>
      </c>
      <c r="DO14" s="162">
        <f>FT14-FU14</f>
        <v>207</v>
      </c>
      <c r="DP14" s="162">
        <f t="shared" ref="DP14:DP46" si="0">FS14-FT14</f>
        <v>157</v>
      </c>
      <c r="DQ14" s="162">
        <f>FR14-FS14</f>
        <v>233</v>
      </c>
      <c r="DR14" s="162">
        <f>FQ14-FR14</f>
        <v>434</v>
      </c>
      <c r="DS14" s="162">
        <f>FP14-FQ14</f>
        <v>820</v>
      </c>
      <c r="DT14" s="162">
        <f>FO14-FP14</f>
        <v>1262</v>
      </c>
      <c r="DU14" s="162">
        <f>FN14-FO14</f>
        <v>1229</v>
      </c>
      <c r="DV14" s="162">
        <f>FM14-FN14</f>
        <v>1483</v>
      </c>
      <c r="DW14" s="162">
        <f>FL14-FM14</f>
        <v>1370</v>
      </c>
      <c r="DX14" s="162">
        <f>FK14-FL14</f>
        <v>1116</v>
      </c>
      <c r="DY14" s="150">
        <f>FJ14-FK14</f>
        <v>508</v>
      </c>
      <c r="DZ14" s="150">
        <f>FI14-FJ14</f>
        <v>197</v>
      </c>
      <c r="EA14" s="150">
        <f>FH14-FI14</f>
        <v>272</v>
      </c>
      <c r="EB14" s="150">
        <f>FG14-FH14</f>
        <v>227</v>
      </c>
      <c r="EC14" s="150">
        <f>FF14-FG14</f>
        <v>458</v>
      </c>
      <c r="ED14" s="150">
        <f>FE14-FF14</f>
        <v>1106</v>
      </c>
      <c r="EE14" s="150"/>
      <c r="EF14" s="150"/>
      <c r="EG14" s="150"/>
      <c r="EH14" s="150"/>
      <c r="EI14" s="150"/>
      <c r="EJ14" s="150"/>
      <c r="EK14" s="150"/>
      <c r="EL14" s="150"/>
      <c r="EM14" s="150"/>
      <c r="EN14" s="150"/>
      <c r="EO14" s="150"/>
      <c r="EP14" s="150"/>
      <c r="EQ14" s="150"/>
      <c r="ER14" s="150"/>
      <c r="ES14" s="150"/>
      <c r="ET14" s="150"/>
      <c r="EU14" s="150"/>
      <c r="EV14" s="150"/>
      <c r="EW14" s="150"/>
      <c r="EX14" s="204">
        <v>261</v>
      </c>
      <c r="EY14" s="204">
        <v>244</v>
      </c>
      <c r="EZ14" s="204">
        <v>233</v>
      </c>
      <c r="FA14" s="204">
        <v>455</v>
      </c>
      <c r="FB14" s="204">
        <v>737</v>
      </c>
      <c r="FC14" s="66" t="s">
        <v>208</v>
      </c>
      <c r="FE14" s="66">
        <v>23011</v>
      </c>
      <c r="FF14" s="66">
        <v>21905</v>
      </c>
      <c r="FG14" s="66">
        <v>21447</v>
      </c>
      <c r="FH14" s="66">
        <v>21220</v>
      </c>
      <c r="FI14" s="66">
        <v>20948</v>
      </c>
      <c r="FJ14" s="66">
        <v>20751</v>
      </c>
      <c r="FK14" s="66">
        <v>20243</v>
      </c>
      <c r="FL14" s="66">
        <v>19127</v>
      </c>
      <c r="FM14" s="66">
        <v>17757</v>
      </c>
      <c r="FN14" s="66">
        <v>16274</v>
      </c>
      <c r="FO14" s="66">
        <v>15045</v>
      </c>
      <c r="FP14" s="66">
        <v>13783</v>
      </c>
      <c r="FQ14" s="66">
        <v>12963</v>
      </c>
      <c r="FR14" s="162">
        <v>12529</v>
      </c>
      <c r="FS14" s="162">
        <v>12296</v>
      </c>
      <c r="FT14" s="162">
        <v>12139</v>
      </c>
      <c r="FU14" s="162">
        <v>11932</v>
      </c>
      <c r="FV14" s="162">
        <v>11751</v>
      </c>
    </row>
    <row r="15" spans="1:178">
      <c r="B15" s="256">
        <v>7631007</v>
      </c>
      <c r="C15" s="181">
        <v>3054632</v>
      </c>
      <c r="D15" s="72" t="s">
        <v>209</v>
      </c>
      <c r="E15" s="66">
        <v>4028</v>
      </c>
      <c r="F15" s="66">
        <v>4110</v>
      </c>
      <c r="G15" s="66">
        <v>4400</v>
      </c>
      <c r="H15" s="66">
        <v>3898</v>
      </c>
      <c r="I15" s="66">
        <v>4044</v>
      </c>
      <c r="J15" s="66">
        <v>3645</v>
      </c>
      <c r="K15" s="66">
        <v>3935</v>
      </c>
      <c r="L15" s="66">
        <v>3690</v>
      </c>
      <c r="M15" s="66">
        <v>3617</v>
      </c>
      <c r="N15" s="66">
        <v>303</v>
      </c>
      <c r="O15" s="66">
        <v>0</v>
      </c>
      <c r="P15" s="66">
        <v>0</v>
      </c>
      <c r="Q15" s="79">
        <v>0</v>
      </c>
      <c r="R15" s="79">
        <v>0</v>
      </c>
      <c r="S15" s="79">
        <v>0</v>
      </c>
      <c r="T15" s="79">
        <v>50</v>
      </c>
      <c r="U15" s="78">
        <v>297</v>
      </c>
      <c r="V15" s="78">
        <v>1066</v>
      </c>
      <c r="W15" s="78">
        <v>2058</v>
      </c>
      <c r="X15" s="78">
        <v>1744</v>
      </c>
      <c r="Y15" s="78">
        <v>2226</v>
      </c>
      <c r="Z15" s="78">
        <v>1886</v>
      </c>
      <c r="AA15" s="78">
        <v>1831</v>
      </c>
      <c r="AB15" s="78">
        <v>2037</v>
      </c>
      <c r="AC15" s="67">
        <v>1955</v>
      </c>
      <c r="AD15" s="67">
        <v>1993</v>
      </c>
      <c r="AE15" s="67">
        <v>2265</v>
      </c>
      <c r="AF15" s="67">
        <v>1925</v>
      </c>
      <c r="AG15" s="67">
        <v>2076</v>
      </c>
      <c r="AH15" s="67">
        <v>1904</v>
      </c>
      <c r="AI15" s="67">
        <v>1897</v>
      </c>
      <c r="AJ15" s="67">
        <v>1832</v>
      </c>
      <c r="AK15" s="67">
        <v>1813</v>
      </c>
      <c r="AL15" s="67">
        <v>1974</v>
      </c>
      <c r="AM15" s="67">
        <v>1894</v>
      </c>
      <c r="AN15" s="67">
        <v>2057</v>
      </c>
      <c r="AO15" s="67">
        <v>1937</v>
      </c>
      <c r="AP15" s="67">
        <v>2137</v>
      </c>
      <c r="AQ15" s="67">
        <v>2334</v>
      </c>
      <c r="AR15" s="67">
        <v>1802</v>
      </c>
      <c r="AS15" s="67">
        <v>2172</v>
      </c>
      <c r="AT15" s="67">
        <v>1866</v>
      </c>
      <c r="AU15" s="67">
        <v>1688</v>
      </c>
      <c r="AV15" s="67">
        <v>1988</v>
      </c>
      <c r="AW15" s="67">
        <v>1992</v>
      </c>
      <c r="AX15" s="67">
        <v>1582</v>
      </c>
      <c r="AY15" s="67">
        <v>1888</v>
      </c>
      <c r="AZ15" s="67">
        <v>2016</v>
      </c>
      <c r="BA15" s="76">
        <v>1718</v>
      </c>
      <c r="BB15" s="76">
        <v>2100</v>
      </c>
      <c r="BC15" s="76">
        <v>2061</v>
      </c>
      <c r="BD15" s="76">
        <v>1777</v>
      </c>
      <c r="BE15" s="76">
        <v>1941</v>
      </c>
      <c r="BF15" s="76">
        <v>1649</v>
      </c>
      <c r="BG15" s="77">
        <v>1934</v>
      </c>
      <c r="BH15" s="77">
        <v>1753</v>
      </c>
      <c r="BI15" s="77">
        <v>1901</v>
      </c>
      <c r="BJ15" s="77">
        <v>1681</v>
      </c>
      <c r="BK15" s="77">
        <v>1789</v>
      </c>
      <c r="BL15" s="77">
        <v>1771</v>
      </c>
      <c r="BM15" s="75">
        <v>1839</v>
      </c>
      <c r="BN15" s="75">
        <v>1966</v>
      </c>
      <c r="BO15" s="75">
        <v>1837</v>
      </c>
      <c r="BP15" s="75">
        <v>1863</v>
      </c>
      <c r="BQ15" s="75">
        <v>1880</v>
      </c>
      <c r="BR15" s="75">
        <v>1679</v>
      </c>
      <c r="BS15" s="75">
        <v>1976</v>
      </c>
      <c r="BT15" s="75">
        <v>1684</v>
      </c>
      <c r="BU15" s="75">
        <v>1791</v>
      </c>
      <c r="BV15" s="75">
        <v>1700</v>
      </c>
      <c r="BW15" s="75">
        <v>1814</v>
      </c>
      <c r="BX15" s="75">
        <v>1795</v>
      </c>
      <c r="BY15" s="77">
        <v>1968</v>
      </c>
      <c r="BZ15" s="77">
        <v>1919</v>
      </c>
      <c r="CA15" s="77">
        <v>1883</v>
      </c>
      <c r="CB15" s="77">
        <v>1681</v>
      </c>
      <c r="CC15" s="77">
        <v>1370</v>
      </c>
      <c r="CD15" s="77">
        <v>1739</v>
      </c>
      <c r="CE15" s="77">
        <v>1488</v>
      </c>
      <c r="CF15" s="77">
        <v>1572</v>
      </c>
      <c r="CG15" s="77">
        <v>1809</v>
      </c>
      <c r="CH15" s="77">
        <v>1592</v>
      </c>
      <c r="CI15" s="77">
        <v>1653</v>
      </c>
      <c r="CJ15" s="77">
        <v>1712</v>
      </c>
      <c r="CK15" s="79">
        <v>1658</v>
      </c>
      <c r="CL15" s="79">
        <v>1597</v>
      </c>
      <c r="CM15" s="79">
        <v>1938</v>
      </c>
      <c r="CN15" s="79">
        <v>1465</v>
      </c>
      <c r="CO15" s="134">
        <v>1777</v>
      </c>
      <c r="CP15" s="134">
        <v>1674</v>
      </c>
      <c r="CQ15" s="134">
        <v>1628</v>
      </c>
      <c r="CR15" s="134">
        <v>1432</v>
      </c>
      <c r="CS15" s="134">
        <v>1807</v>
      </c>
      <c r="CT15" s="134">
        <v>1562</v>
      </c>
      <c r="CU15" s="134">
        <v>1648</v>
      </c>
      <c r="CV15" s="134">
        <v>1522</v>
      </c>
      <c r="CW15" s="117">
        <v>1639</v>
      </c>
      <c r="CX15" s="117">
        <v>1650</v>
      </c>
      <c r="CY15" s="117">
        <f>843+1058</f>
        <v>1901</v>
      </c>
      <c r="CZ15" s="117">
        <v>1414</v>
      </c>
      <c r="DA15" s="117">
        <v>1739</v>
      </c>
      <c r="DB15" s="117">
        <v>1618</v>
      </c>
      <c r="DC15" s="117">
        <v>1620</v>
      </c>
      <c r="DD15" s="117">
        <v>1492</v>
      </c>
      <c r="DE15" s="117">
        <v>1442</v>
      </c>
      <c r="DF15" s="151">
        <v>1315</v>
      </c>
      <c r="DG15" s="151">
        <v>1424</v>
      </c>
      <c r="DH15" s="159">
        <v>1526</v>
      </c>
      <c r="DI15" s="159">
        <v>1413</v>
      </c>
      <c r="DJ15" s="159">
        <v>1575</v>
      </c>
      <c r="DK15" s="159">
        <v>1750</v>
      </c>
      <c r="DL15" s="159">
        <v>1504</v>
      </c>
      <c r="DM15" s="159">
        <v>1325</v>
      </c>
      <c r="DN15" s="162">
        <f t="shared" ref="DN15:DN71" si="1">FU15-FV15</f>
        <v>2909</v>
      </c>
      <c r="DO15" s="162">
        <f t="shared" ref="DO15:DO71" si="2">FT15-FU15</f>
        <v>1288</v>
      </c>
      <c r="DP15" s="162">
        <f t="shared" si="0"/>
        <v>1315</v>
      </c>
      <c r="DQ15" s="162">
        <f t="shared" ref="DQ15:DQ71" si="3">FR15-FS15</f>
        <v>2058</v>
      </c>
      <c r="DR15" s="162">
        <f t="shared" ref="DR15:DR71" si="4">FQ15-FR15</f>
        <v>1948</v>
      </c>
      <c r="DS15" s="162">
        <f t="shared" ref="DS15:DS71" si="5">FP15-FQ15</f>
        <v>2964</v>
      </c>
      <c r="DT15" s="162">
        <f t="shared" ref="DT15:DT71" si="6">FO15-FP15</f>
        <v>256</v>
      </c>
      <c r="DU15" s="162" t="s">
        <v>210</v>
      </c>
      <c r="DV15" s="162" t="s">
        <v>210</v>
      </c>
      <c r="DW15" s="162" t="s">
        <v>210</v>
      </c>
      <c r="DX15" s="162" t="s">
        <v>210</v>
      </c>
      <c r="DY15" s="162" t="s">
        <v>210</v>
      </c>
      <c r="DZ15" s="162" t="s">
        <v>210</v>
      </c>
      <c r="EA15" s="162" t="s">
        <v>210</v>
      </c>
      <c r="EB15" s="162" t="s">
        <v>210</v>
      </c>
      <c r="EC15" s="162" t="s">
        <v>210</v>
      </c>
      <c r="ED15" s="162" t="s">
        <v>210</v>
      </c>
      <c r="EE15" s="162" t="s">
        <v>210</v>
      </c>
      <c r="EF15" s="162" t="s">
        <v>210</v>
      </c>
      <c r="EG15" s="162" t="s">
        <v>210</v>
      </c>
      <c r="EH15" s="162" t="s">
        <v>210</v>
      </c>
      <c r="EI15" s="162" t="s">
        <v>210</v>
      </c>
      <c r="EJ15" s="162" t="s">
        <v>210</v>
      </c>
      <c r="EK15" s="162" t="s">
        <v>210</v>
      </c>
      <c r="EL15" s="162" t="s">
        <v>210</v>
      </c>
      <c r="EM15" s="162" t="s">
        <v>210</v>
      </c>
      <c r="EN15" s="162" t="s">
        <v>210</v>
      </c>
      <c r="EO15" s="162" t="s">
        <v>210</v>
      </c>
      <c r="EP15" s="162" t="s">
        <v>210</v>
      </c>
      <c r="EQ15" s="162" t="s">
        <v>210</v>
      </c>
      <c r="ER15" s="162" t="s">
        <v>210</v>
      </c>
      <c r="ES15" s="162" t="s">
        <v>210</v>
      </c>
      <c r="ET15" s="162" t="s">
        <v>210</v>
      </c>
      <c r="EU15" s="162" t="s">
        <v>210</v>
      </c>
      <c r="EV15" s="162" t="s">
        <v>210</v>
      </c>
      <c r="EW15" s="162" t="s">
        <v>210</v>
      </c>
      <c r="EX15" s="162" t="s">
        <v>210</v>
      </c>
      <c r="EY15" s="162" t="s">
        <v>210</v>
      </c>
      <c r="EZ15" s="162" t="s">
        <v>210</v>
      </c>
      <c r="FA15" s="162" t="s">
        <v>210</v>
      </c>
      <c r="FB15" s="162" t="s">
        <v>210</v>
      </c>
      <c r="FC15" s="72" t="s">
        <v>209</v>
      </c>
      <c r="FE15" s="162" t="s">
        <v>210</v>
      </c>
      <c r="FF15" s="162" t="s">
        <v>210</v>
      </c>
      <c r="FG15" s="162" t="s">
        <v>210</v>
      </c>
      <c r="FH15" s="162" t="s">
        <v>210</v>
      </c>
      <c r="FI15" s="162" t="s">
        <v>210</v>
      </c>
      <c r="FJ15" s="162" t="s">
        <v>210</v>
      </c>
      <c r="FK15" s="162" t="s">
        <v>210</v>
      </c>
      <c r="FL15" s="162" t="s">
        <v>210</v>
      </c>
      <c r="FM15" s="162" t="s">
        <v>210</v>
      </c>
      <c r="FN15" s="162" t="s">
        <v>210</v>
      </c>
      <c r="FO15" s="66">
        <v>34965</v>
      </c>
      <c r="FP15" s="66">
        <v>34709</v>
      </c>
      <c r="FQ15" s="66">
        <v>31745</v>
      </c>
      <c r="FR15" s="159">
        <v>29797</v>
      </c>
      <c r="FS15" s="159">
        <v>27739</v>
      </c>
      <c r="FT15" s="159">
        <v>26424</v>
      </c>
      <c r="FU15" s="159">
        <v>25136</v>
      </c>
      <c r="FV15" s="159">
        <v>22227</v>
      </c>
    </row>
    <row r="16" spans="1:178">
      <c r="B16" s="220">
        <v>7631011</v>
      </c>
      <c r="C16" s="181">
        <v>3058702</v>
      </c>
      <c r="D16" s="72" t="s">
        <v>211</v>
      </c>
      <c r="E16" s="66">
        <v>3268</v>
      </c>
      <c r="F16" s="66">
        <v>3217</v>
      </c>
      <c r="G16" s="66">
        <v>3031</v>
      </c>
      <c r="H16" s="66">
        <v>2884</v>
      </c>
      <c r="I16" s="66">
        <v>2963</v>
      </c>
      <c r="J16" s="66">
        <v>2750</v>
      </c>
      <c r="K16" s="66">
        <v>3017</v>
      </c>
      <c r="L16" s="66">
        <v>2845</v>
      </c>
      <c r="M16" s="66">
        <v>2904</v>
      </c>
      <c r="N16" s="66">
        <v>3164</v>
      </c>
      <c r="O16" s="66">
        <v>2868</v>
      </c>
      <c r="P16" s="66">
        <v>2929</v>
      </c>
      <c r="Q16" s="79">
        <v>3060</v>
      </c>
      <c r="R16" s="78">
        <v>2947</v>
      </c>
      <c r="S16" s="78">
        <v>3060</v>
      </c>
      <c r="T16" s="78">
        <v>2807</v>
      </c>
      <c r="U16" s="78">
        <v>2839</v>
      </c>
      <c r="V16" s="78">
        <v>2880</v>
      </c>
      <c r="W16" s="78">
        <v>3002</v>
      </c>
      <c r="X16" s="78">
        <v>2606</v>
      </c>
      <c r="Y16" s="78">
        <v>2920</v>
      </c>
      <c r="Z16" s="78">
        <v>2820</v>
      </c>
      <c r="AA16" s="78">
        <v>2704</v>
      </c>
      <c r="AB16" s="78">
        <v>2994</v>
      </c>
      <c r="AC16" s="67">
        <v>2875</v>
      </c>
      <c r="AD16" s="67">
        <v>2913</v>
      </c>
      <c r="AE16" s="67">
        <v>3069</v>
      </c>
      <c r="AF16" s="67">
        <v>2791</v>
      </c>
      <c r="AG16" s="67">
        <v>2832</v>
      </c>
      <c r="AH16" s="67">
        <v>2880</v>
      </c>
      <c r="AI16" s="67">
        <v>2920</v>
      </c>
      <c r="AJ16" s="67">
        <v>2828</v>
      </c>
      <c r="AK16" s="67">
        <v>2804</v>
      </c>
      <c r="AL16" s="67">
        <v>2846</v>
      </c>
      <c r="AM16" s="67">
        <v>2887</v>
      </c>
      <c r="AN16" s="67">
        <v>2958</v>
      </c>
      <c r="AO16" s="67">
        <v>2738</v>
      </c>
      <c r="AP16" s="67">
        <v>2993</v>
      </c>
      <c r="AQ16" s="67">
        <v>3133</v>
      </c>
      <c r="AR16" s="67">
        <v>2580</v>
      </c>
      <c r="AS16" s="67">
        <v>3115</v>
      </c>
      <c r="AT16" s="67">
        <v>2736</v>
      </c>
      <c r="AU16" s="67">
        <v>2613</v>
      </c>
      <c r="AV16" s="67">
        <v>3136</v>
      </c>
      <c r="AW16" s="67">
        <v>3112</v>
      </c>
      <c r="AX16" s="67">
        <v>2519</v>
      </c>
      <c r="AY16" s="67">
        <v>2784</v>
      </c>
      <c r="AZ16" s="67">
        <v>3169</v>
      </c>
      <c r="BA16" s="76">
        <v>2782</v>
      </c>
      <c r="BB16" s="76">
        <v>3172</v>
      </c>
      <c r="BC16" s="76">
        <v>3072</v>
      </c>
      <c r="BD16" s="76">
        <v>2810</v>
      </c>
      <c r="BE16" s="76">
        <v>3081</v>
      </c>
      <c r="BF16" s="76">
        <v>2823</v>
      </c>
      <c r="BG16" s="77">
        <v>3220</v>
      </c>
      <c r="BH16" s="77">
        <v>3076</v>
      </c>
      <c r="BI16" s="77">
        <v>3250</v>
      </c>
      <c r="BJ16" s="77">
        <v>3225</v>
      </c>
      <c r="BK16" s="77">
        <v>3280</v>
      </c>
      <c r="BL16" s="77">
        <v>3107</v>
      </c>
      <c r="BM16" s="75">
        <v>3198</v>
      </c>
      <c r="BN16" s="75">
        <v>3398</v>
      </c>
      <c r="BO16" s="75">
        <v>3068</v>
      </c>
      <c r="BP16" s="75">
        <v>3156</v>
      </c>
      <c r="BQ16" s="75">
        <v>3241</v>
      </c>
      <c r="BR16" s="75">
        <v>2723</v>
      </c>
      <c r="BS16" s="75">
        <v>3238</v>
      </c>
      <c r="BT16" s="75">
        <v>2765</v>
      </c>
      <c r="BU16" s="75">
        <v>2971</v>
      </c>
      <c r="BV16" s="75">
        <v>3026</v>
      </c>
      <c r="BW16" s="75">
        <v>2906</v>
      </c>
      <c r="BX16" s="75">
        <v>2778</v>
      </c>
      <c r="BY16" s="77">
        <v>2964</v>
      </c>
      <c r="BZ16" s="77">
        <v>3076</v>
      </c>
      <c r="CA16" s="77">
        <v>2935</v>
      </c>
      <c r="CB16" s="77">
        <v>2541</v>
      </c>
      <c r="CC16" s="77">
        <v>1874</v>
      </c>
      <c r="CD16" s="77">
        <v>2287</v>
      </c>
      <c r="CE16" s="77">
        <v>2289</v>
      </c>
      <c r="CF16" s="77">
        <v>1050</v>
      </c>
      <c r="CG16" s="77">
        <v>974</v>
      </c>
      <c r="CH16" s="77">
        <v>1097</v>
      </c>
      <c r="CI16" s="77">
        <v>2367</v>
      </c>
      <c r="CJ16" s="77">
        <v>2897</v>
      </c>
      <c r="CK16" s="79">
        <v>2678</v>
      </c>
      <c r="CL16" s="79">
        <v>1710</v>
      </c>
      <c r="CM16" s="79">
        <v>2946</v>
      </c>
      <c r="CN16" s="79">
        <v>2419</v>
      </c>
      <c r="CO16" s="134">
        <v>2662</v>
      </c>
      <c r="CP16" s="134">
        <v>2659</v>
      </c>
      <c r="CQ16" s="134">
        <v>2653</v>
      </c>
      <c r="CR16" s="134">
        <v>2383</v>
      </c>
      <c r="CS16" s="134">
        <v>2807</v>
      </c>
      <c r="CT16" s="134">
        <v>2477</v>
      </c>
      <c r="CU16" s="134">
        <v>2885</v>
      </c>
      <c r="CV16" s="134">
        <v>2586</v>
      </c>
      <c r="CW16" s="117">
        <v>2883</v>
      </c>
      <c r="CX16" s="117">
        <v>2783</v>
      </c>
      <c r="CY16" s="117">
        <f>1711+1190</f>
        <v>2901</v>
      </c>
      <c r="CZ16" s="117">
        <v>2590</v>
      </c>
      <c r="DA16" s="117">
        <v>2840</v>
      </c>
      <c r="DB16" s="117">
        <v>2708</v>
      </c>
      <c r="DC16" s="117">
        <v>2607</v>
      </c>
      <c r="DD16" s="117">
        <v>2380</v>
      </c>
      <c r="DE16" s="117">
        <v>1481</v>
      </c>
      <c r="DF16" s="151">
        <v>1980</v>
      </c>
      <c r="DG16" s="151">
        <v>2600</v>
      </c>
      <c r="DH16" s="159">
        <v>2715</v>
      </c>
      <c r="DI16" s="159">
        <v>2495</v>
      </c>
      <c r="DJ16" s="159">
        <v>2674</v>
      </c>
      <c r="DK16" s="159">
        <v>2620</v>
      </c>
      <c r="DL16" s="159">
        <v>2498</v>
      </c>
      <c r="DM16" s="159">
        <v>2654</v>
      </c>
      <c r="DN16" s="162">
        <f t="shared" si="1"/>
        <v>2522</v>
      </c>
      <c r="DO16" s="162">
        <f t="shared" si="2"/>
        <v>2289</v>
      </c>
      <c r="DP16" s="162">
        <f t="shared" si="0"/>
        <v>2420</v>
      </c>
      <c r="DQ16" s="162">
        <f t="shared" si="3"/>
        <v>2484</v>
      </c>
      <c r="DR16" s="162">
        <f t="shared" si="4"/>
        <v>2283</v>
      </c>
      <c r="DS16" s="162">
        <f t="shared" si="5"/>
        <v>2550</v>
      </c>
      <c r="DT16" s="162">
        <f t="shared" si="6"/>
        <v>2614</v>
      </c>
      <c r="DU16" s="162">
        <f>FN16-FO16</f>
        <v>2330</v>
      </c>
      <c r="DV16" s="162">
        <f>FM16-FN16</f>
        <v>2796</v>
      </c>
      <c r="DW16" s="162">
        <f>FL16-FM16</f>
        <v>2490</v>
      </c>
      <c r="DX16" s="162">
        <f>FK16-FL16</f>
        <v>2452</v>
      </c>
      <c r="DY16" s="150">
        <f t="shared" ref="DY16:DY71" si="7">FJ16-FK16</f>
        <v>2726</v>
      </c>
      <c r="DZ16" s="150">
        <f>FI16-FJ16</f>
        <v>2358</v>
      </c>
      <c r="EA16" s="150">
        <f t="shared" ref="EA16:EA71" si="8">FH16-FI16</f>
        <v>2628</v>
      </c>
      <c r="EB16" s="150">
        <f t="shared" ref="EB16:EB47" si="9">FG16-FH16</f>
        <v>2452</v>
      </c>
      <c r="EC16" s="150">
        <f>FF16-FG16</f>
        <v>2338</v>
      </c>
      <c r="ED16" s="150">
        <f>FE16-FF16</f>
        <v>2540</v>
      </c>
      <c r="EE16" s="150">
        <v>2419</v>
      </c>
      <c r="EF16" s="150">
        <v>2353</v>
      </c>
      <c r="EG16" s="150">
        <v>856</v>
      </c>
      <c r="EH16" s="150">
        <v>2660</v>
      </c>
      <c r="EI16" s="150">
        <v>2431</v>
      </c>
      <c r="EJ16" s="150">
        <v>2410</v>
      </c>
      <c r="EK16" s="150">
        <v>2418</v>
      </c>
      <c r="EL16" s="150">
        <v>2336</v>
      </c>
      <c r="EM16" s="150">
        <v>2263</v>
      </c>
      <c r="EN16" s="150">
        <v>2263</v>
      </c>
      <c r="EO16" s="150">
        <v>2287</v>
      </c>
      <c r="EP16" s="150">
        <v>2479</v>
      </c>
      <c r="EQ16" s="150">
        <v>2344</v>
      </c>
      <c r="ER16" s="150">
        <v>2468</v>
      </c>
      <c r="ES16" s="150">
        <v>2092</v>
      </c>
      <c r="ET16" s="150">
        <v>2382</v>
      </c>
      <c r="EU16" s="150">
        <v>2441</v>
      </c>
      <c r="EV16" s="150">
        <v>2361</v>
      </c>
      <c r="EW16" s="150">
        <v>2488</v>
      </c>
      <c r="EX16" s="204">
        <v>2635</v>
      </c>
      <c r="EY16" s="204">
        <v>2562</v>
      </c>
      <c r="EZ16" s="204">
        <v>2210</v>
      </c>
      <c r="FA16" s="204">
        <v>2514</v>
      </c>
      <c r="FB16" s="204">
        <v>2414</v>
      </c>
      <c r="FC16" s="72" t="s">
        <v>211</v>
      </c>
      <c r="FE16" s="66">
        <v>78837</v>
      </c>
      <c r="FF16" s="66">
        <v>76297</v>
      </c>
      <c r="FG16" s="66">
        <v>73959</v>
      </c>
      <c r="FH16" s="66">
        <v>71507</v>
      </c>
      <c r="FI16" s="66">
        <v>68879</v>
      </c>
      <c r="FJ16" s="66">
        <v>66521</v>
      </c>
      <c r="FK16" s="66">
        <v>63795</v>
      </c>
      <c r="FL16" s="66">
        <v>61343</v>
      </c>
      <c r="FM16" s="66">
        <v>58853</v>
      </c>
      <c r="FN16" s="66">
        <v>56057</v>
      </c>
      <c r="FO16" s="66">
        <v>53727</v>
      </c>
      <c r="FP16" s="66">
        <v>51113</v>
      </c>
      <c r="FQ16" s="66">
        <v>48563</v>
      </c>
      <c r="FR16" s="175">
        <v>46280</v>
      </c>
      <c r="FS16" s="175">
        <v>43796</v>
      </c>
      <c r="FT16" s="175">
        <v>41376</v>
      </c>
      <c r="FU16" s="175">
        <v>39087</v>
      </c>
      <c r="FV16" s="175">
        <v>36565</v>
      </c>
    </row>
    <row r="17" spans="2:178">
      <c r="B17" s="220">
        <v>7631012</v>
      </c>
      <c r="C17" s="181">
        <v>3058782</v>
      </c>
      <c r="D17" s="72" t="s">
        <v>212</v>
      </c>
      <c r="E17" s="66">
        <v>3151</v>
      </c>
      <c r="F17" s="66">
        <v>3349</v>
      </c>
      <c r="G17" s="66">
        <v>3217</v>
      </c>
      <c r="H17" s="66">
        <v>3105</v>
      </c>
      <c r="I17" s="66">
        <v>3233</v>
      </c>
      <c r="J17" s="66">
        <v>2918</v>
      </c>
      <c r="K17" s="66">
        <v>3062</v>
      </c>
      <c r="L17" s="66">
        <v>2817</v>
      </c>
      <c r="M17" s="66">
        <v>2837</v>
      </c>
      <c r="N17" s="66">
        <v>3057</v>
      </c>
      <c r="O17" s="66">
        <v>2934</v>
      </c>
      <c r="P17" s="66">
        <v>3023</v>
      </c>
      <c r="Q17" s="78">
        <v>3066</v>
      </c>
      <c r="R17" s="78">
        <v>3083</v>
      </c>
      <c r="S17" s="78">
        <v>3273</v>
      </c>
      <c r="T17" s="78">
        <v>3021</v>
      </c>
      <c r="U17" s="78">
        <v>2930</v>
      </c>
      <c r="V17" s="78">
        <v>2956</v>
      </c>
      <c r="W17" s="78">
        <v>2981</v>
      </c>
      <c r="X17" s="78">
        <v>2365</v>
      </c>
      <c r="Y17" s="78">
        <v>2301</v>
      </c>
      <c r="Z17" s="78">
        <v>2255</v>
      </c>
      <c r="AA17" s="78">
        <v>2176</v>
      </c>
      <c r="AB17" s="78">
        <v>2483</v>
      </c>
      <c r="AC17" s="67">
        <v>2357</v>
      </c>
      <c r="AD17" s="67">
        <v>2361</v>
      </c>
      <c r="AE17" s="67">
        <v>2507</v>
      </c>
      <c r="AF17" s="67">
        <v>2257</v>
      </c>
      <c r="AG17" s="67">
        <v>2251</v>
      </c>
      <c r="AH17" s="67">
        <v>2260</v>
      </c>
      <c r="AI17" s="67">
        <v>2284</v>
      </c>
      <c r="AJ17" s="67">
        <v>2163</v>
      </c>
      <c r="AK17" s="67">
        <v>2228</v>
      </c>
      <c r="AL17" s="67">
        <v>2327</v>
      </c>
      <c r="AM17" s="67">
        <v>2296</v>
      </c>
      <c r="AN17" s="67">
        <v>2441</v>
      </c>
      <c r="AO17" s="67">
        <v>2214</v>
      </c>
      <c r="AP17" s="67">
        <v>2339</v>
      </c>
      <c r="AQ17" s="67">
        <v>2359</v>
      </c>
      <c r="AR17" s="67">
        <v>1991</v>
      </c>
      <c r="AS17" s="67">
        <v>2462</v>
      </c>
      <c r="AT17" s="67">
        <v>2120</v>
      </c>
      <c r="AU17" s="67">
        <v>1873</v>
      </c>
      <c r="AV17" s="67">
        <v>2203</v>
      </c>
      <c r="AW17" s="67">
        <v>2292</v>
      </c>
      <c r="AX17" s="67">
        <v>1903</v>
      </c>
      <c r="AY17" s="67">
        <v>2141</v>
      </c>
      <c r="AZ17" s="67">
        <v>2351</v>
      </c>
      <c r="BA17" s="76">
        <v>2085</v>
      </c>
      <c r="BB17" s="76">
        <v>2421</v>
      </c>
      <c r="BC17" s="76">
        <v>2288</v>
      </c>
      <c r="BD17" s="76">
        <v>2173</v>
      </c>
      <c r="BE17" s="76">
        <v>2886</v>
      </c>
      <c r="BF17" s="76">
        <v>1227</v>
      </c>
      <c r="BG17" s="77">
        <v>2108</v>
      </c>
      <c r="BH17" s="77">
        <v>1941</v>
      </c>
      <c r="BI17" s="77">
        <v>2099</v>
      </c>
      <c r="BJ17" s="77">
        <v>2091</v>
      </c>
      <c r="BK17" s="77">
        <v>2238</v>
      </c>
      <c r="BL17" s="77">
        <v>2076</v>
      </c>
      <c r="BM17" s="75">
        <v>2105</v>
      </c>
      <c r="BN17" s="75">
        <v>2446</v>
      </c>
      <c r="BO17" s="75">
        <v>2183</v>
      </c>
      <c r="BP17" s="75">
        <v>2127</v>
      </c>
      <c r="BQ17" s="75">
        <v>2236</v>
      </c>
      <c r="BR17" s="75">
        <v>1971</v>
      </c>
      <c r="BS17" s="75">
        <v>2227</v>
      </c>
      <c r="BT17" s="75">
        <v>1920</v>
      </c>
      <c r="BU17" s="75">
        <v>2014</v>
      </c>
      <c r="BV17" s="75">
        <v>2071</v>
      </c>
      <c r="BW17" s="75">
        <v>1978</v>
      </c>
      <c r="BX17" s="75">
        <v>1917</v>
      </c>
      <c r="BY17" s="77">
        <v>2092</v>
      </c>
      <c r="BZ17" s="77">
        <v>2285</v>
      </c>
      <c r="CA17" s="77">
        <v>2190</v>
      </c>
      <c r="CB17" s="77">
        <v>2103</v>
      </c>
      <c r="CC17" s="77">
        <v>1773</v>
      </c>
      <c r="CD17" s="77">
        <v>2017</v>
      </c>
      <c r="CE17" s="77">
        <v>1981</v>
      </c>
      <c r="CF17" s="77">
        <v>1852</v>
      </c>
      <c r="CG17" s="77">
        <v>2099</v>
      </c>
      <c r="CH17" s="77">
        <v>1979</v>
      </c>
      <c r="CI17" s="77">
        <v>1989</v>
      </c>
      <c r="CJ17" s="77">
        <v>2183</v>
      </c>
      <c r="CK17" s="79">
        <v>2333</v>
      </c>
      <c r="CL17" s="79">
        <v>1303</v>
      </c>
      <c r="CM17" s="79">
        <v>2352</v>
      </c>
      <c r="CN17" s="79">
        <v>2112</v>
      </c>
      <c r="CO17" s="134">
        <v>2348</v>
      </c>
      <c r="CP17" s="134">
        <v>2251</v>
      </c>
      <c r="CQ17" s="134">
        <v>2180</v>
      </c>
      <c r="CR17" s="134">
        <v>1961</v>
      </c>
      <c r="CS17" s="134">
        <v>2334</v>
      </c>
      <c r="CT17" s="134">
        <v>2157</v>
      </c>
      <c r="CU17" s="134">
        <v>3779</v>
      </c>
      <c r="CV17" s="134">
        <v>924</v>
      </c>
      <c r="CW17" s="117">
        <v>2374</v>
      </c>
      <c r="CX17" s="117">
        <v>2162</v>
      </c>
      <c r="CY17" s="117">
        <f>1317+915</f>
        <v>2232</v>
      </c>
      <c r="CZ17" s="117">
        <v>1917</v>
      </c>
      <c r="DA17" s="117">
        <v>2132</v>
      </c>
      <c r="DB17" s="117">
        <v>2030</v>
      </c>
      <c r="DC17" s="117">
        <v>2051</v>
      </c>
      <c r="DD17" s="117">
        <v>1348</v>
      </c>
      <c r="DE17" s="117">
        <v>1107</v>
      </c>
      <c r="DF17" s="151">
        <v>1483</v>
      </c>
      <c r="DG17" s="151">
        <v>2195</v>
      </c>
      <c r="DH17" s="159">
        <v>2392</v>
      </c>
      <c r="DI17" s="159">
        <v>2225</v>
      </c>
      <c r="DJ17" s="159">
        <v>2367</v>
      </c>
      <c r="DK17" s="159">
        <v>2267</v>
      </c>
      <c r="DL17" s="159">
        <v>2138</v>
      </c>
      <c r="DM17" s="159">
        <v>2353</v>
      </c>
      <c r="DN17" s="159">
        <f>FU17-FV17</f>
        <v>2201</v>
      </c>
      <c r="DO17" s="162">
        <f t="shared" si="2"/>
        <v>2074</v>
      </c>
      <c r="DP17" s="162">
        <f t="shared" si="0"/>
        <v>2009</v>
      </c>
      <c r="DQ17" s="162">
        <f t="shared" si="3"/>
        <v>2105</v>
      </c>
      <c r="DR17" s="162">
        <f t="shared" si="4"/>
        <v>1960</v>
      </c>
      <c r="DS17" s="162">
        <f t="shared" si="5"/>
        <v>2256</v>
      </c>
      <c r="DT17" s="162">
        <f t="shared" si="6"/>
        <v>2237</v>
      </c>
      <c r="DU17" s="162">
        <f t="shared" ref="DU17:DU71" si="10">FN17-FO17</f>
        <v>2105</v>
      </c>
      <c r="DV17" s="162">
        <f t="shared" ref="DV17:DV71" si="11">FM17-FN17</f>
        <v>2534</v>
      </c>
      <c r="DW17" s="162">
        <f t="shared" ref="DW17:DW71" si="12">FL17-FM17</f>
        <v>2173</v>
      </c>
      <c r="DX17" s="162">
        <f t="shared" ref="DX17:DX71" si="13">FK17-FL17</f>
        <v>2180</v>
      </c>
      <c r="DY17" s="150">
        <f t="shared" si="7"/>
        <v>2289</v>
      </c>
      <c r="DZ17" s="150">
        <f t="shared" ref="DZ17:DZ71" si="14">FI17-FJ17</f>
        <v>1946</v>
      </c>
      <c r="EA17" s="150">
        <f t="shared" si="8"/>
        <v>2068</v>
      </c>
      <c r="EB17" s="150">
        <f t="shared" si="9"/>
        <v>1937</v>
      </c>
      <c r="EC17" s="150">
        <f t="shared" ref="EC17:EC71" si="15">FF17-FG17</f>
        <v>1831</v>
      </c>
      <c r="ED17" s="150">
        <f t="shared" ref="ED17:ED70" si="16">FE17-FF17</f>
        <v>2151</v>
      </c>
      <c r="EE17" s="150">
        <v>2076</v>
      </c>
      <c r="EF17" s="150">
        <v>2074</v>
      </c>
      <c r="EG17" s="150">
        <v>2227</v>
      </c>
      <c r="EH17" s="150">
        <v>2294</v>
      </c>
      <c r="EI17" s="150">
        <v>2131</v>
      </c>
      <c r="EJ17" s="150">
        <v>2061</v>
      </c>
      <c r="EK17" s="150">
        <v>2043</v>
      </c>
      <c r="EL17" s="150">
        <v>1926</v>
      </c>
      <c r="EM17" s="150">
        <v>1833</v>
      </c>
      <c r="EN17" s="150">
        <v>1833</v>
      </c>
      <c r="EO17" s="150">
        <v>1866</v>
      </c>
      <c r="EP17" s="150">
        <v>2126</v>
      </c>
      <c r="EQ17" s="150">
        <v>2095</v>
      </c>
      <c r="ER17" s="150">
        <v>2156</v>
      </c>
      <c r="ES17" s="150">
        <v>2092</v>
      </c>
      <c r="ET17" s="150">
        <v>2130</v>
      </c>
      <c r="EU17" s="150">
        <v>2170</v>
      </c>
      <c r="EV17" s="150">
        <v>2039</v>
      </c>
      <c r="EW17" s="150">
        <v>1944</v>
      </c>
      <c r="EX17" s="204">
        <v>1986</v>
      </c>
      <c r="EY17" s="204">
        <v>1996</v>
      </c>
      <c r="EZ17" s="204">
        <v>1727</v>
      </c>
      <c r="FA17" s="204">
        <v>2050</v>
      </c>
      <c r="FB17" s="204">
        <v>1966</v>
      </c>
      <c r="FC17" s="72" t="s">
        <v>212</v>
      </c>
      <c r="FE17" s="66">
        <v>65390</v>
      </c>
      <c r="FF17" s="66">
        <v>63239</v>
      </c>
      <c r="FG17" s="66">
        <v>61408</v>
      </c>
      <c r="FH17" s="66">
        <v>59471</v>
      </c>
      <c r="FI17" s="66">
        <v>57403</v>
      </c>
      <c r="FJ17" s="66">
        <v>55457</v>
      </c>
      <c r="FK17" s="66">
        <v>53168</v>
      </c>
      <c r="FL17" s="66">
        <v>50988</v>
      </c>
      <c r="FM17" s="66">
        <v>48815</v>
      </c>
      <c r="FN17" s="66">
        <v>46281</v>
      </c>
      <c r="FO17" s="66">
        <v>44176</v>
      </c>
      <c r="FP17" s="66">
        <v>41939</v>
      </c>
      <c r="FQ17" s="66">
        <v>39683</v>
      </c>
      <c r="FR17" s="159">
        <v>37723</v>
      </c>
      <c r="FS17" s="159">
        <v>35618</v>
      </c>
      <c r="FT17" s="159">
        <v>33609</v>
      </c>
      <c r="FU17" s="159">
        <v>31535</v>
      </c>
      <c r="FV17" s="159">
        <v>29334</v>
      </c>
    </row>
    <row r="18" spans="2:178">
      <c r="B18" s="259">
        <v>7631033</v>
      </c>
      <c r="C18" s="181">
        <v>3152185</v>
      </c>
      <c r="D18" s="66" t="s">
        <v>213</v>
      </c>
      <c r="E18" s="66">
        <v>1572</v>
      </c>
      <c r="F18" s="66">
        <v>1352</v>
      </c>
      <c r="G18" s="66">
        <v>1353</v>
      </c>
      <c r="H18" s="66">
        <v>1303</v>
      </c>
      <c r="I18" s="66">
        <v>1300</v>
      </c>
      <c r="J18" s="66">
        <v>1363</v>
      </c>
      <c r="K18" s="66">
        <v>1355</v>
      </c>
      <c r="L18" s="66">
        <v>1272</v>
      </c>
      <c r="M18" s="66">
        <v>1236</v>
      </c>
      <c r="N18" s="66">
        <v>1465</v>
      </c>
      <c r="O18" s="66">
        <v>1384</v>
      </c>
      <c r="P18" s="66">
        <v>1465</v>
      </c>
      <c r="Q18" s="78">
        <v>1483</v>
      </c>
      <c r="R18" s="78">
        <v>1371</v>
      </c>
      <c r="S18" s="78">
        <v>1519</v>
      </c>
      <c r="T18" s="78">
        <v>1406</v>
      </c>
      <c r="U18" s="78">
        <v>1342</v>
      </c>
      <c r="V18" s="78">
        <v>1466</v>
      </c>
      <c r="W18" s="78">
        <v>1417</v>
      </c>
      <c r="X18" s="78">
        <v>1294</v>
      </c>
      <c r="Y18" s="78">
        <v>1437</v>
      </c>
      <c r="Z18" s="78">
        <v>1454</v>
      </c>
      <c r="AA18" s="78">
        <v>1373</v>
      </c>
      <c r="AB18" s="78">
        <v>1534</v>
      </c>
      <c r="AC18" s="67">
        <v>1416</v>
      </c>
      <c r="AD18" s="67">
        <v>1371</v>
      </c>
      <c r="AE18" s="67">
        <v>1592</v>
      </c>
      <c r="AF18" s="67">
        <v>1422</v>
      </c>
      <c r="AG18" s="67">
        <v>1456</v>
      </c>
      <c r="AH18" s="67">
        <v>1390</v>
      </c>
      <c r="AI18" s="67">
        <v>1385</v>
      </c>
      <c r="AJ18" s="67">
        <v>1428</v>
      </c>
      <c r="AK18" s="67">
        <v>1387</v>
      </c>
      <c r="AL18" s="67">
        <v>1392</v>
      </c>
      <c r="AM18" s="67">
        <v>1450</v>
      </c>
      <c r="AN18" s="67">
        <v>1446</v>
      </c>
      <c r="AO18" s="67">
        <v>1364</v>
      </c>
      <c r="AP18" s="67">
        <v>1500</v>
      </c>
      <c r="AQ18" s="67">
        <v>1388</v>
      </c>
      <c r="AR18" s="67">
        <v>1161</v>
      </c>
      <c r="AS18" s="67">
        <v>1852</v>
      </c>
      <c r="AT18" s="67">
        <v>742</v>
      </c>
      <c r="AU18" s="67">
        <v>1150</v>
      </c>
      <c r="AV18" s="67">
        <v>1426</v>
      </c>
      <c r="AW18" s="67">
        <v>1379</v>
      </c>
      <c r="AX18" s="67">
        <v>1251</v>
      </c>
      <c r="AY18" s="67">
        <v>1300</v>
      </c>
      <c r="AZ18" s="67">
        <v>1214</v>
      </c>
      <c r="BA18" s="76">
        <v>1116</v>
      </c>
      <c r="BB18" s="76">
        <v>1439</v>
      </c>
      <c r="BC18" s="76">
        <v>1341</v>
      </c>
      <c r="BD18" s="76">
        <v>1320</v>
      </c>
      <c r="BE18" s="76">
        <v>1259</v>
      </c>
      <c r="BF18" s="76">
        <v>1158</v>
      </c>
      <c r="BG18" s="77">
        <v>1254</v>
      </c>
      <c r="BH18" s="77">
        <v>1652</v>
      </c>
      <c r="BI18" s="77">
        <v>677</v>
      </c>
      <c r="BJ18" s="77">
        <v>1293</v>
      </c>
      <c r="BK18" s="77">
        <v>1269</v>
      </c>
      <c r="BL18" s="77">
        <v>1198</v>
      </c>
      <c r="BM18" s="75">
        <v>1297</v>
      </c>
      <c r="BN18" s="75">
        <v>1303</v>
      </c>
      <c r="BO18" s="75">
        <v>1247</v>
      </c>
      <c r="BP18" s="75">
        <v>1377</v>
      </c>
      <c r="BQ18" s="75">
        <v>1357</v>
      </c>
      <c r="BR18" s="75">
        <v>1208</v>
      </c>
      <c r="BS18" s="75">
        <v>1397</v>
      </c>
      <c r="BT18" s="75">
        <v>1250</v>
      </c>
      <c r="BU18" s="75">
        <v>1269</v>
      </c>
      <c r="BV18" s="75">
        <v>1390</v>
      </c>
      <c r="BW18" s="75">
        <v>1315</v>
      </c>
      <c r="BX18" s="75">
        <v>1241</v>
      </c>
      <c r="BY18" s="77">
        <v>1377</v>
      </c>
      <c r="BZ18" s="77">
        <v>1326</v>
      </c>
      <c r="CA18" s="77">
        <v>1378</v>
      </c>
      <c r="CB18" s="77">
        <v>1341</v>
      </c>
      <c r="CC18" s="77">
        <v>1310</v>
      </c>
      <c r="CD18" s="77">
        <v>1333</v>
      </c>
      <c r="CE18" s="77">
        <v>1320</v>
      </c>
      <c r="CF18" s="77">
        <v>1168</v>
      </c>
      <c r="CG18" s="77">
        <v>1235</v>
      </c>
      <c r="CH18" s="77">
        <v>1201</v>
      </c>
      <c r="CI18" s="77">
        <v>1218</v>
      </c>
      <c r="CJ18" s="77">
        <v>1306</v>
      </c>
      <c r="CK18" s="79">
        <v>1231</v>
      </c>
      <c r="CL18" s="79">
        <v>1506</v>
      </c>
      <c r="CM18" s="79">
        <v>2344</v>
      </c>
      <c r="CN18" s="79">
        <v>2118</v>
      </c>
      <c r="CO18" s="134">
        <v>2188</v>
      </c>
      <c r="CP18" s="134">
        <v>2071</v>
      </c>
      <c r="CQ18" s="134">
        <v>2099</v>
      </c>
      <c r="CR18" s="134">
        <v>1984</v>
      </c>
      <c r="CS18" s="134">
        <v>2324</v>
      </c>
      <c r="CT18" s="134">
        <v>2153</v>
      </c>
      <c r="CU18" s="134">
        <v>2357</v>
      </c>
      <c r="CV18" s="134">
        <v>2106</v>
      </c>
      <c r="CW18" s="117">
        <v>2284</v>
      </c>
      <c r="CX18" s="117">
        <v>2269</v>
      </c>
      <c r="CY18" s="117">
        <v>602</v>
      </c>
      <c r="CZ18" s="117">
        <v>2044</v>
      </c>
      <c r="DA18" s="117">
        <v>2287</v>
      </c>
      <c r="DB18" s="117">
        <v>2090</v>
      </c>
      <c r="DC18" s="117">
        <v>1970</v>
      </c>
      <c r="DD18" s="117">
        <v>2093</v>
      </c>
      <c r="DE18" s="117">
        <v>2034</v>
      </c>
      <c r="DF18" s="151">
        <v>2103</v>
      </c>
      <c r="DG18" s="151">
        <v>2179</v>
      </c>
      <c r="DH18" s="159">
        <v>2181</v>
      </c>
      <c r="DI18" s="159">
        <v>2040</v>
      </c>
      <c r="DJ18" s="159">
        <v>2286</v>
      </c>
      <c r="DK18" s="159">
        <v>2275</v>
      </c>
      <c r="DL18" s="159">
        <v>2053</v>
      </c>
      <c r="DM18" s="159">
        <v>2429</v>
      </c>
      <c r="DN18" s="162">
        <f t="shared" si="1"/>
        <v>2308</v>
      </c>
      <c r="DO18" s="162">
        <f t="shared" si="2"/>
        <v>2320</v>
      </c>
      <c r="DP18" s="162">
        <f t="shared" si="0"/>
        <v>2286</v>
      </c>
      <c r="DQ18" s="162">
        <f t="shared" si="3"/>
        <v>2415</v>
      </c>
      <c r="DR18" s="162">
        <f t="shared" si="4"/>
        <v>2368</v>
      </c>
      <c r="DS18" s="162">
        <f t="shared" si="5"/>
        <v>2594</v>
      </c>
      <c r="DT18" s="162">
        <f t="shared" si="6"/>
        <v>2442</v>
      </c>
      <c r="DU18" s="162">
        <f t="shared" si="10"/>
        <v>2215</v>
      </c>
      <c r="DV18" s="162">
        <f t="shared" si="11"/>
        <v>2636</v>
      </c>
      <c r="DW18" s="162">
        <f t="shared" si="12"/>
        <v>2506</v>
      </c>
      <c r="DX18" s="162">
        <f t="shared" si="13"/>
        <v>2581</v>
      </c>
      <c r="DY18" s="150">
        <f t="shared" si="7"/>
        <v>2604</v>
      </c>
      <c r="DZ18" s="150">
        <f t="shared" si="14"/>
        <v>2359</v>
      </c>
      <c r="EA18" s="150">
        <f t="shared" si="8"/>
        <v>2529</v>
      </c>
      <c r="EB18" s="150">
        <f t="shared" si="9"/>
        <v>2451</v>
      </c>
      <c r="EC18" s="150">
        <f t="shared" si="15"/>
        <v>2350</v>
      </c>
      <c r="ED18" s="150">
        <f t="shared" si="16"/>
        <v>2775</v>
      </c>
      <c r="EE18" s="150">
        <v>2541</v>
      </c>
      <c r="EF18" s="150">
        <v>2354</v>
      </c>
      <c r="EG18" s="150">
        <v>2585</v>
      </c>
      <c r="EH18" s="150">
        <v>2507</v>
      </c>
      <c r="EI18" s="150">
        <v>2643</v>
      </c>
      <c r="EJ18" s="150">
        <v>2576</v>
      </c>
      <c r="EK18" s="150">
        <v>2564</v>
      </c>
      <c r="EL18" s="150">
        <v>2537</v>
      </c>
      <c r="EM18" s="150">
        <v>2273</v>
      </c>
      <c r="EN18" s="150">
        <v>2273</v>
      </c>
      <c r="EO18" s="150">
        <v>2801</v>
      </c>
      <c r="EP18" s="150">
        <v>3271</v>
      </c>
      <c r="EQ18" s="150">
        <v>2997</v>
      </c>
      <c r="ER18" s="150">
        <v>2997</v>
      </c>
      <c r="ES18" s="150">
        <v>2920</v>
      </c>
      <c r="ET18" s="150">
        <v>3081</v>
      </c>
      <c r="EU18" s="150">
        <v>3577</v>
      </c>
      <c r="EV18" s="150">
        <v>3348</v>
      </c>
      <c r="EW18" s="150">
        <v>3166</v>
      </c>
      <c r="EX18" s="204">
        <v>3566</v>
      </c>
      <c r="EY18" s="204">
        <v>3380</v>
      </c>
      <c r="EZ18" s="204">
        <v>3186</v>
      </c>
      <c r="FA18" s="204">
        <v>3665</v>
      </c>
      <c r="FB18" s="204">
        <v>3647</v>
      </c>
      <c r="FC18" s="66" t="s">
        <v>213</v>
      </c>
      <c r="FE18" s="66">
        <v>73486</v>
      </c>
      <c r="FF18" s="66">
        <v>70711</v>
      </c>
      <c r="FG18" s="66">
        <v>68361</v>
      </c>
      <c r="FH18" s="66">
        <v>65910</v>
      </c>
      <c r="FI18" s="66">
        <v>63381</v>
      </c>
      <c r="FJ18" s="66">
        <v>61022</v>
      </c>
      <c r="FK18" s="66">
        <v>58418</v>
      </c>
      <c r="FL18" s="66">
        <v>55837</v>
      </c>
      <c r="FM18" s="66">
        <v>53331</v>
      </c>
      <c r="FN18" s="66">
        <v>50695</v>
      </c>
      <c r="FO18" s="66">
        <v>48480</v>
      </c>
      <c r="FP18" s="66">
        <v>46038</v>
      </c>
      <c r="FQ18" s="66">
        <v>43444</v>
      </c>
      <c r="FR18" s="159">
        <v>41076</v>
      </c>
      <c r="FS18" s="159">
        <v>38661</v>
      </c>
      <c r="FT18" s="159">
        <v>36375</v>
      </c>
      <c r="FU18" s="159">
        <v>34055</v>
      </c>
      <c r="FV18" s="159">
        <v>31747</v>
      </c>
    </row>
    <row r="19" spans="2:178">
      <c r="B19" s="259">
        <v>7631015</v>
      </c>
      <c r="C19" s="181">
        <v>3156551</v>
      </c>
      <c r="D19" s="66" t="s">
        <v>214</v>
      </c>
      <c r="E19" s="66">
        <v>3607</v>
      </c>
      <c r="F19" s="66">
        <v>3511</v>
      </c>
      <c r="G19" s="66">
        <v>3475</v>
      </c>
      <c r="H19" s="66">
        <v>3298</v>
      </c>
      <c r="I19" s="66">
        <v>3221</v>
      </c>
      <c r="J19" s="66">
        <v>3124</v>
      </c>
      <c r="K19" s="66">
        <v>3162</v>
      </c>
      <c r="L19" s="66">
        <v>2913</v>
      </c>
      <c r="M19" s="66">
        <v>2930</v>
      </c>
      <c r="N19" s="66">
        <v>3505</v>
      </c>
      <c r="O19" s="66">
        <v>3352</v>
      </c>
      <c r="P19" s="66">
        <v>3663</v>
      </c>
      <c r="Q19" s="79">
        <v>3656</v>
      </c>
      <c r="R19" s="78">
        <v>3320</v>
      </c>
      <c r="S19" s="78">
        <v>3614</v>
      </c>
      <c r="T19" s="78">
        <v>3330</v>
      </c>
      <c r="U19" s="78">
        <v>3139</v>
      </c>
      <c r="V19" s="78">
        <v>3363</v>
      </c>
      <c r="W19" s="78">
        <v>3307</v>
      </c>
      <c r="X19" s="78">
        <v>3181</v>
      </c>
      <c r="Y19" s="78">
        <v>3610</v>
      </c>
      <c r="Z19" s="78">
        <v>3886</v>
      </c>
      <c r="AA19" s="78">
        <v>3790</v>
      </c>
      <c r="AB19" s="78">
        <v>4301</v>
      </c>
      <c r="AC19" s="67">
        <v>3945</v>
      </c>
      <c r="AD19" s="67">
        <v>3775</v>
      </c>
      <c r="AE19" s="67">
        <v>4209</v>
      </c>
      <c r="AF19" s="67">
        <v>3830</v>
      </c>
      <c r="AG19" s="67">
        <v>3897</v>
      </c>
      <c r="AH19" s="67">
        <v>3609</v>
      </c>
      <c r="AI19" s="67">
        <v>3543</v>
      </c>
      <c r="AJ19" s="67">
        <v>3642</v>
      </c>
      <c r="AK19" s="67">
        <v>3586</v>
      </c>
      <c r="AL19" s="67">
        <v>3764</v>
      </c>
      <c r="AM19" s="67">
        <v>3984</v>
      </c>
      <c r="AN19" s="67">
        <v>5037</v>
      </c>
      <c r="AO19" s="67">
        <v>5340</v>
      </c>
      <c r="AP19" s="67">
        <v>5707</v>
      </c>
      <c r="AQ19" s="67">
        <v>5469</v>
      </c>
      <c r="AR19" s="67">
        <v>4927</v>
      </c>
      <c r="AS19" s="67">
        <v>5529</v>
      </c>
      <c r="AT19" s="67">
        <v>4754</v>
      </c>
      <c r="AU19" s="67">
        <v>4146</v>
      </c>
      <c r="AV19" s="67">
        <v>4931</v>
      </c>
      <c r="AW19" s="67">
        <v>4835</v>
      </c>
      <c r="AX19" s="67">
        <v>4713</v>
      </c>
      <c r="AY19" s="67">
        <v>5492</v>
      </c>
      <c r="AZ19" s="67">
        <v>5693</v>
      </c>
      <c r="BA19" s="76">
        <v>5021</v>
      </c>
      <c r="BB19" s="76">
        <v>5885</v>
      </c>
      <c r="BC19" s="76">
        <v>5317</v>
      </c>
      <c r="BD19" s="76">
        <v>5377</v>
      </c>
      <c r="BE19" s="76">
        <v>5023</v>
      </c>
      <c r="BF19" s="76">
        <v>4319</v>
      </c>
      <c r="BG19" s="77">
        <v>4705</v>
      </c>
      <c r="BH19" s="77">
        <v>4284</v>
      </c>
      <c r="BI19" s="77">
        <v>4635</v>
      </c>
      <c r="BJ19" s="77">
        <v>5413</v>
      </c>
      <c r="BK19" s="77">
        <v>5554</v>
      </c>
      <c r="BL19" s="77">
        <v>5205</v>
      </c>
      <c r="BM19" s="75">
        <v>5583</v>
      </c>
      <c r="BN19" s="75">
        <v>5479</v>
      </c>
      <c r="BO19" s="75">
        <v>3424</v>
      </c>
      <c r="BP19" s="75">
        <v>2989</v>
      </c>
      <c r="BQ19" s="75">
        <v>2809</v>
      </c>
      <c r="BR19" s="75">
        <v>2520</v>
      </c>
      <c r="BS19" s="75">
        <v>2938</v>
      </c>
      <c r="BT19" s="75">
        <v>2556</v>
      </c>
      <c r="BU19" s="75">
        <v>2600</v>
      </c>
      <c r="BV19" s="75">
        <v>2901</v>
      </c>
      <c r="BW19" s="75">
        <v>3201</v>
      </c>
      <c r="BX19" s="75">
        <v>3614</v>
      </c>
      <c r="BY19" s="77">
        <v>3764</v>
      </c>
      <c r="BZ19" s="77">
        <v>3669</v>
      </c>
      <c r="CA19" s="77">
        <v>3655</v>
      </c>
      <c r="CB19" s="77">
        <v>3178</v>
      </c>
      <c r="CC19" s="77">
        <v>2821</v>
      </c>
      <c r="CD19" s="77">
        <v>2901</v>
      </c>
      <c r="CE19" s="77">
        <v>2874</v>
      </c>
      <c r="CF19" s="77">
        <v>2699</v>
      </c>
      <c r="CG19" s="77">
        <v>2897</v>
      </c>
      <c r="CH19" s="77">
        <v>2800</v>
      </c>
      <c r="CI19" s="77">
        <v>2830</v>
      </c>
      <c r="CJ19" s="77">
        <v>3051</v>
      </c>
      <c r="CK19" s="79">
        <v>2865</v>
      </c>
      <c r="CL19" s="79">
        <v>2762</v>
      </c>
      <c r="CM19" s="79">
        <v>3212</v>
      </c>
      <c r="CN19" s="79">
        <v>2891</v>
      </c>
      <c r="CO19" s="134">
        <v>2967</v>
      </c>
      <c r="CP19" s="134">
        <v>2840</v>
      </c>
      <c r="CQ19" s="134">
        <v>2845</v>
      </c>
      <c r="CR19" s="134">
        <v>2666</v>
      </c>
      <c r="CS19" s="134">
        <v>3046</v>
      </c>
      <c r="CT19" s="134">
        <v>2879</v>
      </c>
      <c r="CU19" s="134">
        <v>3121</v>
      </c>
      <c r="CV19" s="134">
        <v>2783</v>
      </c>
      <c r="CW19" s="117">
        <v>3016</v>
      </c>
      <c r="CX19" s="117">
        <v>3009</v>
      </c>
      <c r="CY19" s="117">
        <f>1843+1138</f>
        <v>2981</v>
      </c>
      <c r="CZ19" s="117">
        <v>2743</v>
      </c>
      <c r="DA19" s="117">
        <v>3061</v>
      </c>
      <c r="DB19" s="117">
        <v>2796</v>
      </c>
      <c r="DC19" s="117">
        <v>2789</v>
      </c>
      <c r="DD19" s="117">
        <v>2985</v>
      </c>
      <c r="DE19" s="117">
        <v>2976</v>
      </c>
      <c r="DF19" s="151">
        <v>2981</v>
      </c>
      <c r="DG19" s="151">
        <v>3121</v>
      </c>
      <c r="DH19" s="159">
        <v>3165</v>
      </c>
      <c r="DI19" s="159">
        <v>3630</v>
      </c>
      <c r="DJ19" s="159">
        <v>4075</v>
      </c>
      <c r="DK19" s="159">
        <v>3632</v>
      </c>
      <c r="DL19" s="159">
        <v>3380</v>
      </c>
      <c r="DM19" s="159">
        <v>3639</v>
      </c>
      <c r="DN19" s="162">
        <f t="shared" si="1"/>
        <v>3256</v>
      </c>
      <c r="DO19" s="159">
        <f>FT19-FU19</f>
        <v>3637</v>
      </c>
      <c r="DP19" s="159">
        <f t="shared" si="0"/>
        <v>3611</v>
      </c>
      <c r="DQ19" s="162">
        <f t="shared" si="3"/>
        <v>3806</v>
      </c>
      <c r="DR19" s="162">
        <f t="shared" si="4"/>
        <v>3561</v>
      </c>
      <c r="DS19" s="162">
        <f t="shared" si="5"/>
        <v>3661</v>
      </c>
      <c r="DT19" s="162">
        <f t="shared" si="6"/>
        <v>3487</v>
      </c>
      <c r="DU19" s="162">
        <f t="shared" si="10"/>
        <v>3397</v>
      </c>
      <c r="DV19" s="162">
        <f t="shared" si="11"/>
        <v>3881</v>
      </c>
      <c r="DW19" s="162">
        <f t="shared" si="12"/>
        <v>3479</v>
      </c>
      <c r="DX19" s="162">
        <f t="shared" si="13"/>
        <v>3513</v>
      </c>
      <c r="DY19" s="150">
        <f t="shared" si="7"/>
        <v>3616</v>
      </c>
      <c r="DZ19" s="150">
        <f t="shared" si="14"/>
        <v>5272</v>
      </c>
      <c r="EA19" s="150">
        <f t="shared" si="8"/>
        <v>5781</v>
      </c>
      <c r="EB19" s="150">
        <f t="shared" si="9"/>
        <v>5331</v>
      </c>
      <c r="EC19" s="150">
        <f t="shared" si="15"/>
        <v>4906</v>
      </c>
      <c r="ED19" s="150">
        <f t="shared" si="16"/>
        <v>6062</v>
      </c>
      <c r="EE19" s="150">
        <v>5483</v>
      </c>
      <c r="EF19" s="150">
        <v>5522</v>
      </c>
      <c r="EG19" s="150">
        <v>6302</v>
      </c>
      <c r="EH19" s="150">
        <v>6087</v>
      </c>
      <c r="EI19" s="150">
        <v>6039</v>
      </c>
      <c r="EJ19" s="150">
        <v>5786</v>
      </c>
      <c r="EK19" s="150">
        <v>5658</v>
      </c>
      <c r="EL19" s="150">
        <v>5689</v>
      </c>
      <c r="EM19" s="150">
        <v>5316</v>
      </c>
      <c r="EN19" s="150">
        <v>5633</v>
      </c>
      <c r="EO19" s="150">
        <v>5209</v>
      </c>
      <c r="EP19" s="150">
        <v>6192</v>
      </c>
      <c r="EQ19" s="150">
        <v>6192</v>
      </c>
      <c r="ER19" s="150">
        <v>5854</v>
      </c>
      <c r="ES19" s="150">
        <v>5829</v>
      </c>
      <c r="ET19" s="150">
        <v>5831</v>
      </c>
      <c r="EU19" s="150">
        <v>6160</v>
      </c>
      <c r="EV19" s="150">
        <v>5392</v>
      </c>
      <c r="EW19" s="150">
        <v>4859</v>
      </c>
      <c r="EX19" s="204">
        <v>5282</v>
      </c>
      <c r="EY19" s="204">
        <v>5067</v>
      </c>
      <c r="EZ19" s="204">
        <v>4689</v>
      </c>
      <c r="FA19" s="204">
        <v>5442</v>
      </c>
      <c r="FB19" s="204">
        <v>5401</v>
      </c>
      <c r="FC19" s="66" t="s">
        <v>214</v>
      </c>
      <c r="FE19" s="66">
        <v>117085</v>
      </c>
      <c r="FF19" s="66">
        <v>111023</v>
      </c>
      <c r="FG19" s="66">
        <v>106117</v>
      </c>
      <c r="FH19" s="66">
        <v>100786</v>
      </c>
      <c r="FI19" s="66">
        <v>95005</v>
      </c>
      <c r="FJ19" s="66">
        <v>89733</v>
      </c>
      <c r="FK19" s="66">
        <v>86117</v>
      </c>
      <c r="FL19" s="66">
        <v>82604</v>
      </c>
      <c r="FM19" s="66">
        <v>79125</v>
      </c>
      <c r="FN19" s="66">
        <v>75244</v>
      </c>
      <c r="FO19" s="66">
        <v>71847</v>
      </c>
      <c r="FP19" s="66">
        <v>68360</v>
      </c>
      <c r="FQ19" s="66">
        <v>64699</v>
      </c>
      <c r="FR19" s="159">
        <v>61138</v>
      </c>
      <c r="FS19" s="159">
        <v>57332</v>
      </c>
      <c r="FT19" s="159">
        <v>53721</v>
      </c>
      <c r="FU19" s="159">
        <v>50084</v>
      </c>
      <c r="FV19" s="159">
        <v>46828</v>
      </c>
    </row>
    <row r="20" spans="2:178">
      <c r="B20" s="260">
        <v>3162308</v>
      </c>
      <c r="C20" s="181">
        <v>3162308</v>
      </c>
      <c r="D20" s="66" t="s">
        <v>215</v>
      </c>
      <c r="E20" s="66">
        <v>2632</v>
      </c>
      <c r="F20" s="66">
        <v>2633</v>
      </c>
      <c r="G20" s="66">
        <v>2581</v>
      </c>
      <c r="H20" s="66">
        <v>2466</v>
      </c>
      <c r="I20" s="66">
        <v>2410</v>
      </c>
      <c r="J20" s="66">
        <v>2317</v>
      </c>
      <c r="K20" s="66">
        <v>2392</v>
      </c>
      <c r="L20" s="66">
        <v>2268</v>
      </c>
      <c r="M20" s="66">
        <v>2198</v>
      </c>
      <c r="N20" s="66">
        <v>2630</v>
      </c>
      <c r="O20" s="66">
        <v>2466</v>
      </c>
      <c r="P20" s="66">
        <v>2614</v>
      </c>
      <c r="Q20" s="78">
        <v>2693</v>
      </c>
      <c r="R20" s="78">
        <v>2469</v>
      </c>
      <c r="S20" s="78">
        <v>2778</v>
      </c>
      <c r="T20" s="78">
        <v>2452</v>
      </c>
      <c r="U20" s="78">
        <v>2121</v>
      </c>
      <c r="V20" s="78">
        <v>2257</v>
      </c>
      <c r="W20" s="78">
        <v>2234</v>
      </c>
      <c r="X20" s="78">
        <v>2146</v>
      </c>
      <c r="Y20" s="79">
        <v>2684</v>
      </c>
      <c r="Z20" s="78">
        <v>2310</v>
      </c>
      <c r="AA20" s="78">
        <v>2255</v>
      </c>
      <c r="AB20" s="78">
        <v>2527</v>
      </c>
      <c r="AC20" s="67">
        <v>2349</v>
      </c>
      <c r="AD20" s="67">
        <v>2290</v>
      </c>
      <c r="AE20" s="67">
        <v>2603</v>
      </c>
      <c r="AF20" s="67">
        <v>2881</v>
      </c>
      <c r="AG20" s="67">
        <v>2928</v>
      </c>
      <c r="AH20" s="67">
        <v>2763</v>
      </c>
      <c r="AI20" s="67">
        <v>2661</v>
      </c>
      <c r="AJ20" s="67">
        <v>2753</v>
      </c>
      <c r="AK20" s="67">
        <v>2657</v>
      </c>
      <c r="AL20" s="67">
        <v>2645</v>
      </c>
      <c r="AM20" s="67">
        <v>2830</v>
      </c>
      <c r="AN20" s="67">
        <v>2830</v>
      </c>
      <c r="AO20" s="67">
        <v>2654</v>
      </c>
      <c r="AP20" s="67">
        <v>2895</v>
      </c>
      <c r="AQ20" s="67">
        <v>2789</v>
      </c>
      <c r="AR20" s="67">
        <v>2522</v>
      </c>
      <c r="AS20" s="67">
        <v>2929</v>
      </c>
      <c r="AT20" s="67">
        <v>2620</v>
      </c>
      <c r="AU20" s="67">
        <v>2359</v>
      </c>
      <c r="AV20" s="67">
        <v>2899</v>
      </c>
      <c r="AW20" s="67">
        <v>2744</v>
      </c>
      <c r="AX20" s="67">
        <v>2487</v>
      </c>
      <c r="AY20" s="67">
        <v>2775</v>
      </c>
      <c r="AZ20" s="67">
        <v>2900</v>
      </c>
      <c r="BA20" s="76">
        <v>2540</v>
      </c>
      <c r="BB20" s="76">
        <v>3026</v>
      </c>
      <c r="BC20" s="76">
        <v>2748</v>
      </c>
      <c r="BD20" s="76">
        <v>2776</v>
      </c>
      <c r="BE20" s="76">
        <v>2763</v>
      </c>
      <c r="BF20" s="76">
        <v>2558</v>
      </c>
      <c r="BG20" s="77">
        <v>2856</v>
      </c>
      <c r="BH20" s="77">
        <v>2601</v>
      </c>
      <c r="BI20" s="77">
        <v>2676</v>
      </c>
      <c r="BJ20" s="77">
        <v>3094</v>
      </c>
      <c r="BK20" s="77">
        <v>3136</v>
      </c>
      <c r="BL20" s="77">
        <v>2898</v>
      </c>
      <c r="BM20" s="75">
        <v>3130</v>
      </c>
      <c r="BN20" s="75">
        <v>3101</v>
      </c>
      <c r="BO20" s="75">
        <v>2788</v>
      </c>
      <c r="BP20" s="75">
        <v>3100</v>
      </c>
      <c r="BQ20" s="75">
        <v>2854</v>
      </c>
      <c r="BR20" s="75">
        <v>2636</v>
      </c>
      <c r="BS20" s="75">
        <v>3055</v>
      </c>
      <c r="BT20" s="75">
        <v>2722</v>
      </c>
      <c r="BU20" s="75">
        <v>2624</v>
      </c>
      <c r="BV20" s="75">
        <v>2966</v>
      </c>
      <c r="BW20" s="75">
        <v>2787</v>
      </c>
      <c r="BX20" s="75">
        <v>2753</v>
      </c>
      <c r="BY20" s="77">
        <v>3084</v>
      </c>
      <c r="BZ20" s="77">
        <v>3016</v>
      </c>
      <c r="CA20" s="77">
        <v>2977</v>
      </c>
      <c r="CB20" s="77">
        <v>2809</v>
      </c>
      <c r="CC20" s="77">
        <v>2718</v>
      </c>
      <c r="CD20" s="77">
        <v>2707</v>
      </c>
      <c r="CE20" s="77">
        <v>2689</v>
      </c>
      <c r="CF20" s="77">
        <v>2541</v>
      </c>
      <c r="CG20" s="77">
        <v>2790</v>
      </c>
      <c r="CH20" s="77">
        <v>2698</v>
      </c>
      <c r="CI20" s="77">
        <v>2973</v>
      </c>
      <c r="CJ20" s="77">
        <v>3277</v>
      </c>
      <c r="CK20" s="79">
        <v>3193</v>
      </c>
      <c r="CL20" s="79">
        <v>3059</v>
      </c>
      <c r="CM20" s="79">
        <v>3447</v>
      </c>
      <c r="CN20" s="79">
        <v>3038</v>
      </c>
      <c r="CO20" s="134">
        <v>3003</v>
      </c>
      <c r="CP20" s="134">
        <v>2824</v>
      </c>
      <c r="CQ20" s="134">
        <v>2808</v>
      </c>
      <c r="CR20" s="134">
        <v>2269</v>
      </c>
      <c r="CS20" s="134">
        <v>3470</v>
      </c>
      <c r="CT20" s="134">
        <v>2900</v>
      </c>
      <c r="CU20" s="134">
        <v>3133</v>
      </c>
      <c r="CV20" s="134">
        <v>2803</v>
      </c>
      <c r="CW20" s="117">
        <v>1167</v>
      </c>
      <c r="CX20" s="117">
        <v>0</v>
      </c>
      <c r="CY20" s="117">
        <v>0</v>
      </c>
      <c r="CZ20" s="117">
        <v>0</v>
      </c>
      <c r="DA20" s="117">
        <v>0</v>
      </c>
      <c r="DB20" s="117">
        <v>0</v>
      </c>
      <c r="DC20" s="117">
        <v>0</v>
      </c>
      <c r="DD20" s="117">
        <v>0</v>
      </c>
      <c r="DE20" s="92">
        <v>0</v>
      </c>
      <c r="DF20" s="152">
        <v>0</v>
      </c>
      <c r="DG20" s="152">
        <v>0</v>
      </c>
      <c r="DH20" s="152">
        <v>0</v>
      </c>
      <c r="DI20" s="152">
        <v>0</v>
      </c>
      <c r="DJ20" s="152">
        <v>0</v>
      </c>
      <c r="DK20" s="152">
        <v>0</v>
      </c>
      <c r="DL20" s="152">
        <v>0</v>
      </c>
      <c r="DM20" s="152">
        <v>0</v>
      </c>
      <c r="DN20" s="152">
        <v>0</v>
      </c>
      <c r="DO20" s="176">
        <f t="shared" si="2"/>
        <v>0</v>
      </c>
      <c r="DP20" s="162">
        <f t="shared" si="0"/>
        <v>0</v>
      </c>
      <c r="DQ20" s="162">
        <f t="shared" si="3"/>
        <v>0</v>
      </c>
      <c r="DR20" s="162">
        <f t="shared" si="4"/>
        <v>0</v>
      </c>
      <c r="DS20" s="162">
        <f t="shared" si="5"/>
        <v>0</v>
      </c>
      <c r="DT20" s="162">
        <f t="shared" si="6"/>
        <v>0</v>
      </c>
      <c r="DU20" s="162">
        <f t="shared" si="10"/>
        <v>0</v>
      </c>
      <c r="DV20" s="162">
        <f t="shared" si="11"/>
        <v>0</v>
      </c>
      <c r="DW20" s="162">
        <f t="shared" si="12"/>
        <v>0</v>
      </c>
      <c r="DX20" s="162">
        <f t="shared" si="13"/>
        <v>0</v>
      </c>
      <c r="DY20" s="150">
        <f t="shared" si="7"/>
        <v>0</v>
      </c>
      <c r="DZ20" s="150">
        <f t="shared" si="14"/>
        <v>0</v>
      </c>
      <c r="EA20" s="150">
        <f t="shared" si="8"/>
        <v>0</v>
      </c>
      <c r="EB20" s="150">
        <f t="shared" si="9"/>
        <v>0</v>
      </c>
      <c r="EC20" s="150">
        <f t="shared" si="15"/>
        <v>0</v>
      </c>
      <c r="ED20" s="150">
        <f t="shared" si="16"/>
        <v>0</v>
      </c>
      <c r="EE20" s="150">
        <v>0</v>
      </c>
      <c r="EF20" s="150">
        <v>0</v>
      </c>
      <c r="EG20" s="150">
        <v>0</v>
      </c>
      <c r="EH20" s="150">
        <v>0</v>
      </c>
      <c r="EI20" s="150">
        <v>0</v>
      </c>
      <c r="EJ20" s="150">
        <v>0</v>
      </c>
      <c r="EK20" s="150">
        <v>0</v>
      </c>
      <c r="EL20" s="150">
        <v>0</v>
      </c>
      <c r="EM20" s="150">
        <v>0</v>
      </c>
      <c r="EN20" s="150">
        <v>0</v>
      </c>
      <c r="EO20" s="150">
        <v>0</v>
      </c>
      <c r="EP20" s="150">
        <v>0</v>
      </c>
      <c r="EQ20" s="150">
        <v>0</v>
      </c>
      <c r="ER20" s="150">
        <v>0</v>
      </c>
      <c r="ES20" s="150">
        <v>0</v>
      </c>
      <c r="ET20" s="150">
        <v>0</v>
      </c>
      <c r="EU20" s="150">
        <v>0</v>
      </c>
      <c r="EV20" s="150">
        <v>0</v>
      </c>
      <c r="EW20" s="150">
        <v>0</v>
      </c>
      <c r="EX20" s="150">
        <v>0</v>
      </c>
      <c r="EY20" s="150">
        <v>0</v>
      </c>
      <c r="EZ20" s="255" t="s">
        <v>89</v>
      </c>
      <c r="FA20" s="255" t="s">
        <v>89</v>
      </c>
      <c r="FB20" s="255" t="s">
        <v>89</v>
      </c>
      <c r="FC20" s="66" t="s">
        <v>215</v>
      </c>
      <c r="FE20" s="66">
        <v>0</v>
      </c>
      <c r="FF20" s="66">
        <v>0</v>
      </c>
      <c r="FG20" s="66">
        <v>0</v>
      </c>
      <c r="FH20" s="66">
        <v>0</v>
      </c>
      <c r="FI20" s="66">
        <v>0</v>
      </c>
      <c r="FJ20" s="66">
        <v>0</v>
      </c>
      <c r="FK20" s="66">
        <v>0</v>
      </c>
      <c r="FL20" s="66">
        <v>0</v>
      </c>
      <c r="FM20" s="66">
        <v>0</v>
      </c>
      <c r="FN20" s="66">
        <v>0</v>
      </c>
      <c r="FO20" s="66">
        <v>0</v>
      </c>
      <c r="FP20" s="66">
        <v>0</v>
      </c>
      <c r="FQ20" s="66">
        <v>0</v>
      </c>
      <c r="FR20" s="152">
        <v>0</v>
      </c>
      <c r="FS20" s="152">
        <v>0</v>
      </c>
      <c r="FT20" s="152">
        <v>0</v>
      </c>
      <c r="FU20" s="152">
        <v>0</v>
      </c>
      <c r="FV20" s="152">
        <v>0</v>
      </c>
    </row>
    <row r="21" spans="2:178">
      <c r="B21" s="218">
        <v>7625131</v>
      </c>
      <c r="C21" s="180">
        <v>3167404</v>
      </c>
      <c r="D21" s="72" t="s">
        <v>216</v>
      </c>
      <c r="E21" s="66">
        <v>17735</v>
      </c>
      <c r="F21" s="66">
        <v>17505</v>
      </c>
      <c r="G21" s="66">
        <v>17251</v>
      </c>
      <c r="H21" s="66">
        <v>15294</v>
      </c>
      <c r="I21" s="66">
        <v>14470</v>
      </c>
      <c r="J21" s="66">
        <v>12700</v>
      </c>
      <c r="K21" s="66">
        <v>11978</v>
      </c>
      <c r="L21" s="66">
        <v>11584</v>
      </c>
      <c r="M21" s="66">
        <v>11893</v>
      </c>
      <c r="N21" s="66">
        <v>15555</v>
      </c>
      <c r="O21" s="66">
        <v>15381</v>
      </c>
      <c r="P21" s="66">
        <v>16943</v>
      </c>
      <c r="Q21" s="78">
        <v>17573</v>
      </c>
      <c r="R21" s="78">
        <v>16741</v>
      </c>
      <c r="S21" s="78">
        <v>18440</v>
      </c>
      <c r="T21" s="78">
        <v>15382</v>
      </c>
      <c r="U21" s="78">
        <v>13879</v>
      </c>
      <c r="V21" s="78">
        <v>12892</v>
      </c>
      <c r="W21" s="78">
        <v>12327</v>
      </c>
      <c r="X21" s="78">
        <v>11466</v>
      </c>
      <c r="Y21" s="78">
        <v>13724</v>
      </c>
      <c r="Z21" s="78">
        <v>14443</v>
      </c>
      <c r="AA21" s="78">
        <v>14550</v>
      </c>
      <c r="AB21" s="78">
        <v>17110</v>
      </c>
      <c r="AC21" s="67">
        <v>15319</v>
      </c>
      <c r="AD21" s="67">
        <v>15724</v>
      </c>
      <c r="AE21" s="67">
        <v>17551</v>
      </c>
      <c r="AF21" s="67">
        <v>15304</v>
      </c>
      <c r="AG21" s="67">
        <v>15113</v>
      </c>
      <c r="AH21" s="67">
        <v>12921</v>
      </c>
      <c r="AI21" s="67">
        <v>12143</v>
      </c>
      <c r="AJ21" s="67">
        <v>12464</v>
      </c>
      <c r="AK21" s="67">
        <v>12823</v>
      </c>
      <c r="AL21" s="67">
        <v>14318</v>
      </c>
      <c r="AM21" s="67">
        <v>15955</v>
      </c>
      <c r="AN21" s="67">
        <v>16834</v>
      </c>
      <c r="AO21" s="67">
        <v>16156</v>
      </c>
      <c r="AP21" s="67">
        <v>17575</v>
      </c>
      <c r="AQ21" s="67">
        <v>17316</v>
      </c>
      <c r="AR21" s="66">
        <v>15136</v>
      </c>
      <c r="AS21" s="67">
        <v>16739</v>
      </c>
      <c r="AT21" s="67">
        <v>13953</v>
      </c>
      <c r="AU21" s="67">
        <v>11868</v>
      </c>
      <c r="AV21" s="67">
        <v>14252</v>
      </c>
      <c r="AW21" s="67">
        <v>14347</v>
      </c>
      <c r="AX21" s="67">
        <v>13932</v>
      </c>
      <c r="AY21" s="67">
        <v>16348</v>
      </c>
      <c r="AZ21" s="67">
        <v>16371</v>
      </c>
      <c r="BA21" s="77">
        <v>1604</v>
      </c>
      <c r="BB21" s="76">
        <v>0</v>
      </c>
      <c r="BC21" s="76">
        <v>0</v>
      </c>
      <c r="BD21" s="76">
        <v>1636</v>
      </c>
      <c r="BE21" s="76">
        <v>5951</v>
      </c>
      <c r="BF21" s="76">
        <v>5731</v>
      </c>
      <c r="BG21" s="77">
        <v>12627</v>
      </c>
      <c r="BH21" s="77">
        <v>12485</v>
      </c>
      <c r="BI21" s="77">
        <v>15149</v>
      </c>
      <c r="BJ21" s="77">
        <v>17770</v>
      </c>
      <c r="BK21" s="77">
        <v>18753</v>
      </c>
      <c r="BL21" s="77">
        <v>17109</v>
      </c>
      <c r="BM21" s="75">
        <v>18722</v>
      </c>
      <c r="BN21" s="75">
        <v>18685</v>
      </c>
      <c r="BO21" s="75">
        <v>17324</v>
      </c>
      <c r="BP21" s="75">
        <v>18275</v>
      </c>
      <c r="BQ21" s="75">
        <v>17243</v>
      </c>
      <c r="BR21" s="75">
        <v>14737</v>
      </c>
      <c r="BS21" s="75">
        <v>15715</v>
      </c>
      <c r="BT21" s="75">
        <v>15327</v>
      </c>
      <c r="BU21" s="75">
        <v>15895</v>
      </c>
      <c r="BV21" s="75">
        <v>18613</v>
      </c>
      <c r="BW21" s="75">
        <v>18601</v>
      </c>
      <c r="BX21" s="75">
        <v>18751</v>
      </c>
      <c r="BY21" s="77">
        <v>21548</v>
      </c>
      <c r="BZ21" s="77">
        <v>20868</v>
      </c>
      <c r="CA21" s="77">
        <v>20681</v>
      </c>
      <c r="CB21" s="77">
        <v>19591</v>
      </c>
      <c r="CC21" s="77">
        <v>16680</v>
      </c>
      <c r="CD21" s="77">
        <v>16528</v>
      </c>
      <c r="CE21" s="77">
        <v>16402</v>
      </c>
      <c r="CF21" s="77">
        <v>14988</v>
      </c>
      <c r="CG21" s="77">
        <v>17137</v>
      </c>
      <c r="CH21" s="77">
        <v>15626</v>
      </c>
      <c r="CI21" s="77">
        <v>17620</v>
      </c>
      <c r="CJ21" s="77">
        <v>19753</v>
      </c>
      <c r="CK21" s="79">
        <v>18756</v>
      </c>
      <c r="CL21" s="79">
        <v>16899</v>
      </c>
      <c r="CM21" s="79">
        <v>19331</v>
      </c>
      <c r="CN21" s="79">
        <v>16006</v>
      </c>
      <c r="CO21" s="134">
        <v>16101</v>
      </c>
      <c r="CP21" s="134">
        <v>13963</v>
      </c>
      <c r="CQ21" s="134">
        <v>13206</v>
      </c>
      <c r="CR21" s="134">
        <v>13218</v>
      </c>
      <c r="CS21" s="134">
        <v>16101</v>
      </c>
      <c r="CT21" s="134">
        <v>16353</v>
      </c>
      <c r="CU21" s="134">
        <v>18428</v>
      </c>
      <c r="CV21" s="134">
        <v>17021</v>
      </c>
      <c r="CW21" s="117">
        <v>17778</v>
      </c>
      <c r="CX21" s="117">
        <v>18621</v>
      </c>
      <c r="CY21" s="117">
        <v>19105</v>
      </c>
      <c r="CZ21" s="117">
        <v>17545</v>
      </c>
      <c r="DA21" s="117">
        <v>17514</v>
      </c>
      <c r="DB21" s="117">
        <v>5113</v>
      </c>
      <c r="DC21" s="117">
        <v>15263</v>
      </c>
      <c r="DD21" s="117">
        <v>15470</v>
      </c>
      <c r="DE21" s="117">
        <v>15820</v>
      </c>
      <c r="DF21" s="151">
        <v>16660</v>
      </c>
      <c r="DG21" s="151">
        <v>17668</v>
      </c>
      <c r="DH21" s="159">
        <v>18458</v>
      </c>
      <c r="DI21" s="159">
        <v>16725</v>
      </c>
      <c r="DJ21" s="159">
        <v>19188</v>
      </c>
      <c r="DK21" s="159">
        <v>18918</v>
      </c>
      <c r="DL21" s="159">
        <v>17431</v>
      </c>
      <c r="DM21" s="159">
        <v>19441</v>
      </c>
      <c r="DN21" s="162">
        <f t="shared" si="1"/>
        <v>16788</v>
      </c>
      <c r="DO21" s="162">
        <f t="shared" si="2"/>
        <v>16072</v>
      </c>
      <c r="DP21" s="162">
        <f t="shared" si="0"/>
        <v>15951</v>
      </c>
      <c r="DQ21" s="162">
        <f t="shared" si="3"/>
        <v>18063</v>
      </c>
      <c r="DR21" s="162">
        <f t="shared" si="4"/>
        <v>18051</v>
      </c>
      <c r="DS21" s="162">
        <f t="shared" si="5"/>
        <v>20748</v>
      </c>
      <c r="DT21" s="162">
        <f t="shared" si="6"/>
        <v>19861</v>
      </c>
      <c r="DU21" s="162">
        <f t="shared" si="10"/>
        <v>19593</v>
      </c>
      <c r="DV21" s="162">
        <f t="shared" si="11"/>
        <v>22555</v>
      </c>
      <c r="DW21" s="162">
        <f t="shared" si="12"/>
        <v>20582</v>
      </c>
      <c r="DX21" s="162">
        <f t="shared" si="13"/>
        <v>20566</v>
      </c>
      <c r="DY21" s="150">
        <f t="shared" si="7"/>
        <v>20001</v>
      </c>
      <c r="DZ21" s="150">
        <f t="shared" si="14"/>
        <v>16583</v>
      </c>
      <c r="EA21" s="150">
        <f t="shared" si="8"/>
        <v>17493</v>
      </c>
      <c r="EB21" s="150">
        <f t="shared" si="9"/>
        <v>16974</v>
      </c>
      <c r="EC21" s="150">
        <f t="shared" si="15"/>
        <v>16373</v>
      </c>
      <c r="ED21" s="150">
        <f t="shared" si="16"/>
        <v>20954</v>
      </c>
      <c r="EE21" s="150">
        <v>19483</v>
      </c>
      <c r="EF21" s="150">
        <v>19433</v>
      </c>
      <c r="EG21" s="150">
        <v>21895</v>
      </c>
      <c r="EH21" s="150">
        <v>20950</v>
      </c>
      <c r="EI21" s="150">
        <v>21732</v>
      </c>
      <c r="EJ21" s="150">
        <v>19935</v>
      </c>
      <c r="EK21" s="150">
        <v>18848</v>
      </c>
      <c r="EL21" s="150">
        <v>17452</v>
      </c>
      <c r="EM21" s="150">
        <v>14938</v>
      </c>
      <c r="EN21" s="150">
        <v>17526</v>
      </c>
      <c r="EO21" s="150">
        <v>16734</v>
      </c>
      <c r="EP21" s="150">
        <v>20550</v>
      </c>
      <c r="EQ21" s="150">
        <v>19993</v>
      </c>
      <c r="ER21" s="150">
        <v>20538</v>
      </c>
      <c r="ES21" s="150">
        <v>20508</v>
      </c>
      <c r="ET21" s="150">
        <v>20444</v>
      </c>
      <c r="EU21" s="150">
        <v>23595</v>
      </c>
      <c r="EV21" s="150">
        <v>21374</v>
      </c>
      <c r="EW21" s="150">
        <v>18499</v>
      </c>
      <c r="EX21" s="204">
        <v>18700</v>
      </c>
      <c r="EY21" s="204">
        <v>16827</v>
      </c>
      <c r="EZ21" s="204">
        <v>16719</v>
      </c>
      <c r="FA21" s="204">
        <v>19261</v>
      </c>
      <c r="FB21" s="204">
        <v>20553</v>
      </c>
      <c r="FC21" s="72" t="s">
        <v>216</v>
      </c>
      <c r="FE21" s="66">
        <v>518904</v>
      </c>
      <c r="FF21" s="66">
        <v>497950</v>
      </c>
      <c r="FG21" s="66">
        <v>481577</v>
      </c>
      <c r="FH21" s="66">
        <v>464603</v>
      </c>
      <c r="FI21" s="66">
        <v>447110</v>
      </c>
      <c r="FJ21" s="66">
        <v>430527</v>
      </c>
      <c r="FK21" s="66">
        <v>410526</v>
      </c>
      <c r="FL21" s="66">
        <v>389960</v>
      </c>
      <c r="FM21" s="66">
        <v>369378</v>
      </c>
      <c r="FN21" s="66">
        <v>346823</v>
      </c>
      <c r="FO21" s="66">
        <v>327230</v>
      </c>
      <c r="FP21" s="66">
        <v>307369</v>
      </c>
      <c r="FQ21" s="66">
        <v>286621</v>
      </c>
      <c r="FR21" s="159">
        <v>268570</v>
      </c>
      <c r="FS21" s="159">
        <v>250507</v>
      </c>
      <c r="FT21" s="159">
        <v>234556</v>
      </c>
      <c r="FU21" s="159">
        <v>218484</v>
      </c>
      <c r="FV21" s="159">
        <v>201696</v>
      </c>
    </row>
    <row r="22" spans="2:178">
      <c r="B22" s="220">
        <v>7625835</v>
      </c>
      <c r="C22" s="181">
        <v>3170792</v>
      </c>
      <c r="D22" s="66" t="s">
        <v>217</v>
      </c>
      <c r="E22" s="66">
        <v>16554</v>
      </c>
      <c r="F22" s="66">
        <v>16430</v>
      </c>
      <c r="G22" s="66">
        <v>16505</v>
      </c>
      <c r="H22" s="66">
        <v>15987</v>
      </c>
      <c r="I22" s="66">
        <v>16892</v>
      </c>
      <c r="J22" s="66">
        <v>15726</v>
      </c>
      <c r="K22" s="66">
        <v>15389</v>
      </c>
      <c r="L22" s="66">
        <v>12992</v>
      </c>
      <c r="M22" s="66">
        <v>14535</v>
      </c>
      <c r="N22" s="66">
        <v>17526</v>
      </c>
      <c r="O22" s="66">
        <v>15530</v>
      </c>
      <c r="P22" s="66">
        <v>15425</v>
      </c>
      <c r="Q22" s="79">
        <v>15338</v>
      </c>
      <c r="R22" s="79">
        <v>14006</v>
      </c>
      <c r="S22" s="79">
        <v>16252</v>
      </c>
      <c r="T22" s="79">
        <v>15275</v>
      </c>
      <c r="U22" s="79">
        <v>15602</v>
      </c>
      <c r="V22" s="79">
        <v>16823</v>
      </c>
      <c r="W22" s="79">
        <v>13320</v>
      </c>
      <c r="X22" s="79">
        <v>10913</v>
      </c>
      <c r="Y22" s="79">
        <v>14390</v>
      </c>
      <c r="Z22" s="79">
        <v>14360</v>
      </c>
      <c r="AA22" s="79">
        <v>13759</v>
      </c>
      <c r="AB22" s="79">
        <v>14062</v>
      </c>
      <c r="AC22" s="66">
        <v>13103</v>
      </c>
      <c r="AD22" s="66">
        <v>13291</v>
      </c>
      <c r="AE22" s="66">
        <v>15921</v>
      </c>
      <c r="AF22" s="66">
        <v>14848</v>
      </c>
      <c r="AG22" s="66">
        <v>15664</v>
      </c>
      <c r="AH22" s="66">
        <v>14529</v>
      </c>
      <c r="AI22" s="66">
        <v>12667</v>
      </c>
      <c r="AJ22" s="66">
        <v>12592</v>
      </c>
      <c r="AK22" s="66">
        <v>13755</v>
      </c>
      <c r="AL22" s="66">
        <v>13672</v>
      </c>
      <c r="AM22" s="66">
        <v>14582</v>
      </c>
      <c r="AN22" s="66">
        <v>13270</v>
      </c>
      <c r="AO22" s="66">
        <v>12640</v>
      </c>
      <c r="AP22" s="66">
        <v>13892</v>
      </c>
      <c r="AQ22" s="66">
        <v>13859</v>
      </c>
      <c r="AR22" s="66">
        <v>11928</v>
      </c>
      <c r="AS22" s="66">
        <v>14809</v>
      </c>
      <c r="AT22" s="66">
        <v>13317</v>
      </c>
      <c r="AU22" s="66">
        <v>10709</v>
      </c>
      <c r="AV22" s="66">
        <v>12376</v>
      </c>
      <c r="AW22" s="66">
        <v>12244</v>
      </c>
      <c r="AX22" s="66">
        <v>11519</v>
      </c>
      <c r="AY22" s="66">
        <v>12572</v>
      </c>
      <c r="AZ22" s="66">
        <v>12102</v>
      </c>
      <c r="BA22" s="77">
        <v>837</v>
      </c>
      <c r="BB22" s="77">
        <v>0</v>
      </c>
      <c r="BC22" s="77">
        <v>14</v>
      </c>
      <c r="BD22" s="77">
        <v>2542</v>
      </c>
      <c r="BE22" s="77">
        <v>11162</v>
      </c>
      <c r="BF22" s="77">
        <v>11356</v>
      </c>
      <c r="BG22" s="77">
        <v>11216</v>
      </c>
      <c r="BH22" s="77">
        <v>8911</v>
      </c>
      <c r="BI22" s="77">
        <v>10596</v>
      </c>
      <c r="BJ22" s="77">
        <v>11559</v>
      </c>
      <c r="BK22" s="77">
        <v>12319</v>
      </c>
      <c r="BL22" s="77">
        <v>14596</v>
      </c>
      <c r="BM22" s="75">
        <v>11639</v>
      </c>
      <c r="BN22" s="75">
        <v>11825</v>
      </c>
      <c r="BO22" s="75">
        <v>14677</v>
      </c>
      <c r="BP22" s="75">
        <v>11936</v>
      </c>
      <c r="BQ22" s="75">
        <v>12085</v>
      </c>
      <c r="BR22" s="75">
        <v>13971</v>
      </c>
      <c r="BS22" s="75">
        <v>10293</v>
      </c>
      <c r="BT22" s="75">
        <v>10218</v>
      </c>
      <c r="BU22" s="75">
        <v>12832</v>
      </c>
      <c r="BV22" s="75">
        <v>10731</v>
      </c>
      <c r="BW22" s="75">
        <v>13206</v>
      </c>
      <c r="BX22" s="75">
        <v>3687</v>
      </c>
      <c r="BY22" s="77">
        <v>833</v>
      </c>
      <c r="BZ22" s="77">
        <v>3614</v>
      </c>
      <c r="CA22" s="77">
        <v>10586</v>
      </c>
      <c r="CB22" s="77">
        <v>12164</v>
      </c>
      <c r="CC22" s="77">
        <v>10163</v>
      </c>
      <c r="CD22" s="77">
        <v>10652</v>
      </c>
      <c r="CE22" s="77">
        <v>8254</v>
      </c>
      <c r="CF22" s="77">
        <v>8486</v>
      </c>
      <c r="CG22" s="77">
        <v>9838</v>
      </c>
      <c r="CH22" s="77">
        <v>10177</v>
      </c>
      <c r="CI22" s="77">
        <v>11625</v>
      </c>
      <c r="CJ22" s="77">
        <v>12424</v>
      </c>
      <c r="CK22" s="79">
        <v>10786</v>
      </c>
      <c r="CL22" s="79">
        <v>9408</v>
      </c>
      <c r="CM22" s="79">
        <v>11967</v>
      </c>
      <c r="CN22" s="79">
        <v>11109</v>
      </c>
      <c r="CO22" s="134">
        <v>11408</v>
      </c>
      <c r="CP22" s="134">
        <v>10392</v>
      </c>
      <c r="CQ22" s="134">
        <v>9312</v>
      </c>
      <c r="CR22" s="134">
        <v>10663</v>
      </c>
      <c r="CS22" s="134">
        <v>12646</v>
      </c>
      <c r="CT22" s="134">
        <v>12375</v>
      </c>
      <c r="CU22" s="134">
        <v>12652</v>
      </c>
      <c r="CV22" s="134">
        <v>10688</v>
      </c>
      <c r="CW22" s="117">
        <v>10084</v>
      </c>
      <c r="CX22" s="117">
        <v>11166</v>
      </c>
      <c r="CY22" s="117">
        <v>12809</v>
      </c>
      <c r="CZ22" s="117">
        <v>10514</v>
      </c>
      <c r="DA22" s="117">
        <v>11883</v>
      </c>
      <c r="DB22" s="117">
        <v>10366</v>
      </c>
      <c r="DC22" s="117">
        <v>8740</v>
      </c>
      <c r="DD22" s="117">
        <v>7690</v>
      </c>
      <c r="DE22" s="117">
        <v>8292</v>
      </c>
      <c r="DF22" s="151">
        <v>9576</v>
      </c>
      <c r="DG22" s="151">
        <v>11608</v>
      </c>
      <c r="DH22" s="159">
        <v>11328</v>
      </c>
      <c r="DI22" s="159">
        <f>3620+6190</f>
        <v>9810</v>
      </c>
      <c r="DJ22" s="159">
        <v>8886</v>
      </c>
      <c r="DK22" s="159">
        <v>10370</v>
      </c>
      <c r="DL22" s="159">
        <v>7949</v>
      </c>
      <c r="DM22" s="159">
        <v>9255</v>
      </c>
      <c r="DN22" s="162">
        <f t="shared" si="1"/>
        <v>9199</v>
      </c>
      <c r="DO22" s="162">
        <f t="shared" si="2"/>
        <v>7578</v>
      </c>
      <c r="DP22" s="162">
        <f t="shared" si="0"/>
        <v>8145</v>
      </c>
      <c r="DQ22" s="162">
        <f t="shared" si="3"/>
        <v>9214</v>
      </c>
      <c r="DR22" s="162">
        <f t="shared" si="4"/>
        <v>9542</v>
      </c>
      <c r="DS22" s="162">
        <f t="shared" si="5"/>
        <v>12672</v>
      </c>
      <c r="DT22" s="162">
        <f t="shared" si="6"/>
        <v>12389</v>
      </c>
      <c r="DU22" s="162">
        <f t="shared" si="10"/>
        <v>10790</v>
      </c>
      <c r="DV22" s="162">
        <f t="shared" si="11"/>
        <v>13068</v>
      </c>
      <c r="DW22" s="162">
        <f t="shared" si="12"/>
        <v>11442</v>
      </c>
      <c r="DX22" s="162">
        <f t="shared" si="13"/>
        <v>12040</v>
      </c>
      <c r="DY22" s="150">
        <f t="shared" si="7"/>
        <v>12160</v>
      </c>
      <c r="DZ22" s="150">
        <f t="shared" si="14"/>
        <v>11060</v>
      </c>
      <c r="EA22" s="150">
        <f t="shared" si="8"/>
        <v>11615</v>
      </c>
      <c r="EB22" s="150">
        <f t="shared" si="9"/>
        <v>11842</v>
      </c>
      <c r="EC22" s="150">
        <f t="shared" si="15"/>
        <v>9515</v>
      </c>
      <c r="ED22" s="150">
        <f t="shared" si="16"/>
        <v>11141</v>
      </c>
      <c r="EE22" s="150">
        <v>11287</v>
      </c>
      <c r="EF22" s="150">
        <v>11459</v>
      </c>
      <c r="EG22" s="150">
        <v>12888</v>
      </c>
      <c r="EH22" s="150">
        <v>12162</v>
      </c>
      <c r="EI22" s="150">
        <v>10455</v>
      </c>
      <c r="EJ22" s="150">
        <v>9987</v>
      </c>
      <c r="EK22" s="150">
        <v>10178</v>
      </c>
      <c r="EL22" s="150">
        <v>9895</v>
      </c>
      <c r="EM22" s="150">
        <v>8892</v>
      </c>
      <c r="EN22" s="150">
        <v>9230</v>
      </c>
      <c r="EO22" s="150">
        <v>9202</v>
      </c>
      <c r="EP22" s="150">
        <v>10601</v>
      </c>
      <c r="EQ22" s="150">
        <v>10308</v>
      </c>
      <c r="ER22" s="150">
        <v>10420</v>
      </c>
      <c r="ES22" s="150">
        <v>11165</v>
      </c>
      <c r="ET22" s="150">
        <v>11841</v>
      </c>
      <c r="EU22" s="150">
        <v>12611</v>
      </c>
      <c r="EV22" s="150">
        <v>11700</v>
      </c>
      <c r="EW22" s="150">
        <v>10729</v>
      </c>
      <c r="EX22" s="204">
        <v>10741</v>
      </c>
      <c r="EY22" s="204">
        <v>9213</v>
      </c>
      <c r="EZ22" s="204">
        <v>9108</v>
      </c>
      <c r="FA22" s="204">
        <v>10166</v>
      </c>
      <c r="FB22" s="204">
        <v>10533</v>
      </c>
      <c r="FC22" s="66" t="s">
        <v>217</v>
      </c>
      <c r="FE22" s="66">
        <v>227048</v>
      </c>
      <c r="FF22" s="66">
        <v>215907</v>
      </c>
      <c r="FG22" s="66">
        <v>206392</v>
      </c>
      <c r="FH22" s="66">
        <v>194550</v>
      </c>
      <c r="FI22" s="66">
        <v>182935</v>
      </c>
      <c r="FJ22" s="66">
        <v>171875</v>
      </c>
      <c r="FK22" s="66">
        <v>159715</v>
      </c>
      <c r="FL22" s="66">
        <v>147675</v>
      </c>
      <c r="FM22" s="66">
        <v>136233</v>
      </c>
      <c r="FN22" s="66">
        <v>123165</v>
      </c>
      <c r="FO22" s="66">
        <v>112375</v>
      </c>
      <c r="FP22" s="66">
        <v>99986</v>
      </c>
      <c r="FQ22" s="66">
        <v>87314</v>
      </c>
      <c r="FR22" s="159">
        <v>77772</v>
      </c>
      <c r="FS22" s="159">
        <v>68558</v>
      </c>
      <c r="FT22" s="159">
        <v>60413</v>
      </c>
      <c r="FU22" s="159">
        <v>52835</v>
      </c>
      <c r="FV22" s="159">
        <v>43636</v>
      </c>
    </row>
    <row r="23" spans="2:178">
      <c r="B23" s="259">
        <v>7629917</v>
      </c>
      <c r="C23" s="181">
        <v>3183476</v>
      </c>
      <c r="D23" s="66" t="s">
        <v>215</v>
      </c>
      <c r="E23" s="66">
        <v>1759</v>
      </c>
      <c r="F23" s="66">
        <v>1709</v>
      </c>
      <c r="G23" s="66">
        <v>1716</v>
      </c>
      <c r="H23" s="66">
        <v>1660</v>
      </c>
      <c r="I23" s="66">
        <v>1656</v>
      </c>
      <c r="J23" s="66">
        <v>1706</v>
      </c>
      <c r="K23" s="66">
        <v>1683</v>
      </c>
      <c r="L23" s="66">
        <v>1607</v>
      </c>
      <c r="M23" s="66">
        <v>1556</v>
      </c>
      <c r="N23" s="66">
        <v>1838</v>
      </c>
      <c r="O23" s="66">
        <v>1684</v>
      </c>
      <c r="P23" s="66">
        <v>1739</v>
      </c>
      <c r="Q23" s="78">
        <v>1740</v>
      </c>
      <c r="R23" s="78">
        <v>1630</v>
      </c>
      <c r="S23" s="78">
        <v>1814</v>
      </c>
      <c r="T23" s="78">
        <v>1680</v>
      </c>
      <c r="U23" s="78">
        <v>1630</v>
      </c>
      <c r="V23" s="78">
        <v>1756</v>
      </c>
      <c r="W23" s="78">
        <v>1695</v>
      </c>
      <c r="X23" s="78">
        <v>2294</v>
      </c>
      <c r="Y23" s="78">
        <v>2747</v>
      </c>
      <c r="Z23" s="78">
        <v>2746</v>
      </c>
      <c r="AA23" s="78">
        <v>2630</v>
      </c>
      <c r="AB23" s="78">
        <v>3018</v>
      </c>
      <c r="AC23" s="67">
        <v>2862</v>
      </c>
      <c r="AD23" s="67">
        <v>2774</v>
      </c>
      <c r="AE23" s="67">
        <v>3175</v>
      </c>
      <c r="AF23" s="67">
        <v>2851</v>
      </c>
      <c r="AG23" s="67">
        <v>2941</v>
      </c>
      <c r="AH23" s="67">
        <v>2791</v>
      </c>
      <c r="AI23" s="67">
        <v>2775</v>
      </c>
      <c r="AJ23" s="67">
        <v>2892</v>
      </c>
      <c r="AK23" s="67">
        <v>2804</v>
      </c>
      <c r="AL23" s="67">
        <v>2851</v>
      </c>
      <c r="AM23" s="67">
        <v>2963</v>
      </c>
      <c r="AN23" s="67">
        <v>2962</v>
      </c>
      <c r="AO23" s="67">
        <v>2789</v>
      </c>
      <c r="AP23" s="67">
        <v>3066</v>
      </c>
      <c r="AQ23" s="67">
        <v>2973</v>
      </c>
      <c r="AR23" s="67">
        <v>2673</v>
      </c>
      <c r="AS23" s="67">
        <v>3099</v>
      </c>
      <c r="AT23" s="67">
        <v>2787</v>
      </c>
      <c r="AU23" s="67">
        <v>2506</v>
      </c>
      <c r="AV23" s="67">
        <v>3060</v>
      </c>
      <c r="AW23" s="67">
        <v>2905</v>
      </c>
      <c r="AX23" s="67">
        <v>2651</v>
      </c>
      <c r="AY23" s="67">
        <v>2955</v>
      </c>
      <c r="AZ23" s="67">
        <v>3002</v>
      </c>
      <c r="BA23" s="76">
        <v>2635</v>
      </c>
      <c r="BB23" s="76">
        <v>3121</v>
      </c>
      <c r="BC23" s="76">
        <v>2903</v>
      </c>
      <c r="BD23" s="76">
        <v>2965</v>
      </c>
      <c r="BE23" s="76">
        <v>2939</v>
      </c>
      <c r="BF23" s="76">
        <v>2711</v>
      </c>
      <c r="BG23" s="77">
        <v>2991</v>
      </c>
      <c r="BH23" s="77">
        <v>2726</v>
      </c>
      <c r="BI23" s="77">
        <v>2766</v>
      </c>
      <c r="BJ23" s="77">
        <v>3072</v>
      </c>
      <c r="BK23" s="77">
        <v>3028</v>
      </c>
      <c r="BL23" s="77">
        <v>2779</v>
      </c>
      <c r="BM23" s="75">
        <v>2981</v>
      </c>
      <c r="BN23" s="75">
        <v>2993</v>
      </c>
      <c r="BO23" s="75">
        <v>2797</v>
      </c>
      <c r="BP23" s="75">
        <v>3060</v>
      </c>
      <c r="BQ23" s="75">
        <v>2868</v>
      </c>
      <c r="BR23" s="75">
        <v>2595</v>
      </c>
      <c r="BS23" s="75">
        <v>3034</v>
      </c>
      <c r="BT23" s="75">
        <v>2695</v>
      </c>
      <c r="BU23" s="75">
        <v>2616</v>
      </c>
      <c r="BV23" s="75">
        <v>2893</v>
      </c>
      <c r="BW23" s="75">
        <v>2708</v>
      </c>
      <c r="BX23" s="75">
        <v>2544</v>
      </c>
      <c r="BY23" s="77">
        <v>2824</v>
      </c>
      <c r="BZ23" s="77">
        <v>2717</v>
      </c>
      <c r="CA23" s="77">
        <v>2771</v>
      </c>
      <c r="CB23" s="77">
        <v>2665</v>
      </c>
      <c r="CC23" s="77">
        <v>2618</v>
      </c>
      <c r="CD23" s="77">
        <v>2666</v>
      </c>
      <c r="CE23" s="77">
        <v>2651</v>
      </c>
      <c r="CF23" s="77">
        <v>2466</v>
      </c>
      <c r="CG23" s="77">
        <v>2647</v>
      </c>
      <c r="CH23" s="77">
        <v>2552</v>
      </c>
      <c r="CI23" s="77">
        <v>2688</v>
      </c>
      <c r="CJ23" s="77">
        <v>2900</v>
      </c>
      <c r="CK23" s="79">
        <v>2740</v>
      </c>
      <c r="CL23" s="79">
        <v>2626</v>
      </c>
      <c r="CM23" s="79">
        <v>2999</v>
      </c>
      <c r="CN23" s="79">
        <v>2701</v>
      </c>
      <c r="CO23" s="134">
        <v>2739</v>
      </c>
      <c r="CP23" s="134">
        <v>2615</v>
      </c>
      <c r="CQ23" s="134">
        <v>2569</v>
      </c>
      <c r="CR23" s="134">
        <v>2446</v>
      </c>
      <c r="CS23" s="134">
        <v>2825</v>
      </c>
      <c r="CT23" s="134">
        <v>2423</v>
      </c>
      <c r="CU23" s="134">
        <v>2357</v>
      </c>
      <c r="CV23" s="134">
        <v>2076</v>
      </c>
      <c r="CW23" s="117">
        <v>2240</v>
      </c>
      <c r="CX23" s="117">
        <v>2246</v>
      </c>
      <c r="CY23" s="117">
        <f>1690+595</f>
        <v>2285</v>
      </c>
      <c r="CZ23" s="117">
        <v>2082</v>
      </c>
      <c r="DA23" s="117">
        <v>2274</v>
      </c>
      <c r="DB23" s="117">
        <v>2090</v>
      </c>
      <c r="DC23" s="117">
        <v>2012</v>
      </c>
      <c r="DD23" s="117">
        <v>2131</v>
      </c>
      <c r="DE23" s="117">
        <v>2050</v>
      </c>
      <c r="DF23" s="151">
        <v>2058</v>
      </c>
      <c r="DG23" s="151">
        <v>2104</v>
      </c>
      <c r="DH23" s="159">
        <v>2086</v>
      </c>
      <c r="DI23" s="159">
        <v>1774</v>
      </c>
      <c r="DJ23" s="159">
        <v>2059</v>
      </c>
      <c r="DK23" s="159">
        <v>2159</v>
      </c>
      <c r="DL23" s="159">
        <v>1923</v>
      </c>
      <c r="DM23" s="159">
        <v>2230</v>
      </c>
      <c r="DN23" s="162">
        <f t="shared" si="1"/>
        <v>1984</v>
      </c>
      <c r="DO23" s="162">
        <f t="shared" si="2"/>
        <v>2018</v>
      </c>
      <c r="DP23" s="162">
        <f t="shared" si="0"/>
        <v>1861</v>
      </c>
      <c r="DQ23" s="162">
        <f t="shared" si="3"/>
        <v>1938</v>
      </c>
      <c r="DR23" s="162">
        <f t="shared" si="4"/>
        <v>1813</v>
      </c>
      <c r="DS23" s="162">
        <f t="shared" si="5"/>
        <v>2048</v>
      </c>
      <c r="DT23" s="162">
        <f t="shared" si="6"/>
        <v>1936</v>
      </c>
      <c r="DU23" s="162">
        <f t="shared" si="10"/>
        <v>1757</v>
      </c>
      <c r="DV23" s="162">
        <f t="shared" si="11"/>
        <v>2050</v>
      </c>
      <c r="DW23" s="162">
        <f t="shared" si="12"/>
        <v>1895</v>
      </c>
      <c r="DX23" s="162">
        <f t="shared" si="13"/>
        <v>1928</v>
      </c>
      <c r="DY23" s="150">
        <f t="shared" si="7"/>
        <v>1979</v>
      </c>
      <c r="DZ23" s="150">
        <f t="shared" si="14"/>
        <v>1813</v>
      </c>
      <c r="EA23" s="150">
        <f t="shared" si="8"/>
        <v>1955</v>
      </c>
      <c r="EB23" s="150">
        <f t="shared" si="9"/>
        <v>1892</v>
      </c>
      <c r="EC23" s="150">
        <f t="shared" si="15"/>
        <v>1768</v>
      </c>
      <c r="ED23" s="150">
        <f t="shared" si="16"/>
        <v>1896</v>
      </c>
      <c r="EE23" s="150">
        <v>1666</v>
      </c>
      <c r="EF23" s="150">
        <v>1597</v>
      </c>
      <c r="EG23" s="150">
        <v>1850</v>
      </c>
      <c r="EH23" s="150">
        <v>1798</v>
      </c>
      <c r="EI23" s="150">
        <v>1890</v>
      </c>
      <c r="EJ23" s="150">
        <v>1891</v>
      </c>
      <c r="EK23" s="150">
        <v>1904</v>
      </c>
      <c r="EL23" s="150">
        <v>1912</v>
      </c>
      <c r="EM23" s="150">
        <v>1763</v>
      </c>
      <c r="EN23" s="150">
        <v>1934</v>
      </c>
      <c r="EO23" s="150">
        <v>1734</v>
      </c>
      <c r="EP23" s="150">
        <v>2008</v>
      </c>
      <c r="EQ23" s="150">
        <v>1822</v>
      </c>
      <c r="ER23" s="150">
        <v>1840</v>
      </c>
      <c r="ES23" s="150">
        <v>1786</v>
      </c>
      <c r="ET23" s="150">
        <v>1741</v>
      </c>
      <c r="EU23" s="150">
        <v>1950</v>
      </c>
      <c r="EV23" s="150">
        <v>1836</v>
      </c>
      <c r="EW23" s="150">
        <v>1795</v>
      </c>
      <c r="EX23" s="204">
        <v>1929</v>
      </c>
      <c r="EY23" s="204">
        <v>1830</v>
      </c>
      <c r="EZ23" s="204">
        <v>1700</v>
      </c>
      <c r="FA23" s="204">
        <v>1901</v>
      </c>
      <c r="FB23" s="204">
        <v>1914</v>
      </c>
      <c r="FC23" s="66" t="s">
        <v>215</v>
      </c>
      <c r="FE23" s="66">
        <v>63265</v>
      </c>
      <c r="FF23" s="66">
        <v>61369</v>
      </c>
      <c r="FG23" s="66">
        <v>59601</v>
      </c>
      <c r="FH23" s="66">
        <v>57709</v>
      </c>
      <c r="FI23" s="66">
        <v>55754</v>
      </c>
      <c r="FJ23" s="66">
        <v>53941</v>
      </c>
      <c r="FK23" s="66">
        <v>51962</v>
      </c>
      <c r="FL23" s="66">
        <v>50034</v>
      </c>
      <c r="FM23" s="66">
        <v>48139</v>
      </c>
      <c r="FN23" s="66">
        <v>46089</v>
      </c>
      <c r="FO23" s="66">
        <v>44332</v>
      </c>
      <c r="FP23" s="66">
        <v>42396</v>
      </c>
      <c r="FQ23" s="66">
        <v>40348</v>
      </c>
      <c r="FR23" s="159">
        <v>38535</v>
      </c>
      <c r="FS23" s="159">
        <v>36597</v>
      </c>
      <c r="FT23" s="159">
        <v>34736</v>
      </c>
      <c r="FU23" s="159">
        <v>32718</v>
      </c>
      <c r="FV23" s="159">
        <v>30734</v>
      </c>
    </row>
    <row r="24" spans="2:178">
      <c r="B24" s="259">
        <v>7631006</v>
      </c>
      <c r="C24" s="181">
        <v>3202495</v>
      </c>
      <c r="D24" s="66" t="s">
        <v>213</v>
      </c>
      <c r="E24" s="66">
        <v>2588</v>
      </c>
      <c r="F24" s="66">
        <v>2465</v>
      </c>
      <c r="G24" s="66">
        <v>2403</v>
      </c>
      <c r="H24" s="66">
        <v>2456</v>
      </c>
      <c r="I24" s="66">
        <v>2594</v>
      </c>
      <c r="J24" s="66">
        <v>2529</v>
      </c>
      <c r="K24" s="66">
        <v>2205</v>
      </c>
      <c r="L24" s="66">
        <v>2067</v>
      </c>
      <c r="M24" s="66">
        <v>2014</v>
      </c>
      <c r="N24" s="66">
        <v>2371</v>
      </c>
      <c r="O24" s="66">
        <v>2199</v>
      </c>
      <c r="P24" s="66">
        <v>2216</v>
      </c>
      <c r="Q24" s="78">
        <v>2224</v>
      </c>
      <c r="R24" s="79">
        <v>2071</v>
      </c>
      <c r="S24" s="78">
        <v>2307</v>
      </c>
      <c r="T24" s="78">
        <v>2151</v>
      </c>
      <c r="U24" s="78">
        <v>2062</v>
      </c>
      <c r="V24" s="78">
        <v>2249</v>
      </c>
      <c r="W24" s="78">
        <v>2175</v>
      </c>
      <c r="X24" s="78">
        <v>1981</v>
      </c>
      <c r="Y24" s="78">
        <v>2230</v>
      </c>
      <c r="Z24" s="78">
        <v>2235</v>
      </c>
      <c r="AA24" s="78">
        <v>2230</v>
      </c>
      <c r="AB24" s="78">
        <v>2076</v>
      </c>
      <c r="AC24" s="67">
        <v>2115</v>
      </c>
      <c r="AD24" s="67">
        <v>2073</v>
      </c>
      <c r="AE24" s="67">
        <v>2396</v>
      </c>
      <c r="AF24" s="67">
        <v>2187</v>
      </c>
      <c r="AG24" s="67">
        <v>2254</v>
      </c>
      <c r="AH24" s="67">
        <v>2167</v>
      </c>
      <c r="AI24" s="67">
        <v>2152</v>
      </c>
      <c r="AJ24" s="67">
        <v>2233</v>
      </c>
      <c r="AK24" s="67">
        <v>2177</v>
      </c>
      <c r="AL24" s="66">
        <v>2158</v>
      </c>
      <c r="AM24" s="67">
        <v>2201</v>
      </c>
      <c r="AN24" s="67">
        <v>2188</v>
      </c>
      <c r="AO24" s="67">
        <v>2049</v>
      </c>
      <c r="AP24" s="67">
        <v>2258</v>
      </c>
      <c r="AQ24" s="67">
        <v>1884</v>
      </c>
      <c r="AR24" s="67">
        <v>1497</v>
      </c>
      <c r="AS24" s="67">
        <v>1732</v>
      </c>
      <c r="AT24" s="67">
        <v>1600</v>
      </c>
      <c r="AU24" s="67">
        <v>1474</v>
      </c>
      <c r="AV24" s="67">
        <v>1804</v>
      </c>
      <c r="AW24" s="67">
        <v>1721</v>
      </c>
      <c r="AX24" s="67">
        <v>1681</v>
      </c>
      <c r="AY24" s="67">
        <v>1904</v>
      </c>
      <c r="AZ24" s="67">
        <v>1800</v>
      </c>
      <c r="BA24" s="76">
        <v>1685</v>
      </c>
      <c r="BB24" s="76">
        <v>2194</v>
      </c>
      <c r="BC24" s="77">
        <v>1992</v>
      </c>
      <c r="BD24" s="76">
        <v>1941</v>
      </c>
      <c r="BE24" s="76">
        <v>1801</v>
      </c>
      <c r="BF24" s="76">
        <v>1671</v>
      </c>
      <c r="BG24" s="77">
        <v>1799</v>
      </c>
      <c r="BH24" s="77">
        <v>1670</v>
      </c>
      <c r="BI24" s="77">
        <v>1670</v>
      </c>
      <c r="BJ24" s="77">
        <v>1835</v>
      </c>
      <c r="BK24" s="77">
        <v>1785</v>
      </c>
      <c r="BL24" s="77">
        <v>1702</v>
      </c>
      <c r="BM24" s="75">
        <v>1829</v>
      </c>
      <c r="BN24" s="75">
        <v>1853</v>
      </c>
      <c r="BO24" s="75">
        <v>1756</v>
      </c>
      <c r="BP24" s="75">
        <v>1921</v>
      </c>
      <c r="BQ24" s="75">
        <v>1876</v>
      </c>
      <c r="BR24" s="75">
        <v>1693</v>
      </c>
      <c r="BS24" s="75">
        <v>1987</v>
      </c>
      <c r="BT24" s="75">
        <v>1740</v>
      </c>
      <c r="BU24" s="75">
        <v>1772</v>
      </c>
      <c r="BV24" s="75">
        <v>2001</v>
      </c>
      <c r="BW24" s="75">
        <v>1857</v>
      </c>
      <c r="BX24" s="75">
        <v>1798</v>
      </c>
      <c r="BY24" s="77">
        <v>1997</v>
      </c>
      <c r="BZ24" s="77">
        <v>1934</v>
      </c>
      <c r="CA24" s="77">
        <v>1941</v>
      </c>
      <c r="CB24" s="77">
        <v>1878</v>
      </c>
      <c r="CC24" s="77">
        <v>1859</v>
      </c>
      <c r="CD24" s="77">
        <v>1914</v>
      </c>
      <c r="CE24" s="77">
        <v>1839</v>
      </c>
      <c r="CF24" s="77">
        <v>1613</v>
      </c>
      <c r="CG24" s="77">
        <v>1670</v>
      </c>
      <c r="CH24" s="77">
        <v>1625</v>
      </c>
      <c r="CI24" s="77">
        <v>1646</v>
      </c>
      <c r="CJ24" s="77">
        <v>1759</v>
      </c>
      <c r="CK24" s="79">
        <v>1670</v>
      </c>
      <c r="CL24" s="79">
        <v>1639</v>
      </c>
      <c r="CM24" s="79">
        <v>1898</v>
      </c>
      <c r="CN24" s="79">
        <v>1677</v>
      </c>
      <c r="CO24" s="134">
        <v>1872</v>
      </c>
      <c r="CP24" s="134">
        <v>2312</v>
      </c>
      <c r="CQ24" s="134">
        <v>2383</v>
      </c>
      <c r="CR24" s="134">
        <v>2260</v>
      </c>
      <c r="CS24" s="134">
        <v>2601</v>
      </c>
      <c r="CT24" s="134">
        <v>2437</v>
      </c>
      <c r="CU24" s="134">
        <v>2673</v>
      </c>
      <c r="CV24" s="134">
        <v>2415</v>
      </c>
      <c r="CW24" s="117">
        <v>2587</v>
      </c>
      <c r="CX24" s="117">
        <v>2573</v>
      </c>
      <c r="CY24" s="117">
        <f>1518+973</f>
        <v>2491</v>
      </c>
      <c r="CZ24" s="117">
        <v>2256</v>
      </c>
      <c r="DA24" s="117">
        <v>2549</v>
      </c>
      <c r="DB24" s="117">
        <v>2386</v>
      </c>
      <c r="DC24" s="117">
        <v>2263</v>
      </c>
      <c r="DD24" s="117">
        <v>2360</v>
      </c>
      <c r="DE24" s="117">
        <v>2293</v>
      </c>
      <c r="DF24" s="151">
        <v>2383</v>
      </c>
      <c r="DG24" s="151">
        <v>2446</v>
      </c>
      <c r="DH24" s="159">
        <v>2461</v>
      </c>
      <c r="DI24" s="159">
        <v>2248</v>
      </c>
      <c r="DJ24" s="159">
        <v>2683</v>
      </c>
      <c r="DK24" s="159">
        <v>2478</v>
      </c>
      <c r="DL24" s="159">
        <v>2383</v>
      </c>
      <c r="DM24" s="159">
        <v>2627</v>
      </c>
      <c r="DN24" s="162">
        <f t="shared" si="1"/>
        <v>2488</v>
      </c>
      <c r="DO24" s="162">
        <f t="shared" si="2"/>
        <v>2458</v>
      </c>
      <c r="DP24" s="162">
        <f t="shared" si="0"/>
        <v>2384</v>
      </c>
      <c r="DQ24" s="162">
        <f t="shared" si="3"/>
        <v>2506</v>
      </c>
      <c r="DR24" s="162">
        <f t="shared" si="4"/>
        <v>2388</v>
      </c>
      <c r="DS24" s="162">
        <f t="shared" si="5"/>
        <v>2650</v>
      </c>
      <c r="DT24" s="162">
        <f t="shared" si="6"/>
        <v>2478</v>
      </c>
      <c r="DU24" s="162">
        <f t="shared" si="10"/>
        <v>2372</v>
      </c>
      <c r="DV24" s="162">
        <f t="shared" si="11"/>
        <v>2721</v>
      </c>
      <c r="DW24" s="162">
        <f t="shared" si="12"/>
        <v>2520</v>
      </c>
      <c r="DX24" s="162">
        <f t="shared" si="13"/>
        <v>2584</v>
      </c>
      <c r="DY24" s="150">
        <f t="shared" si="7"/>
        <v>2625</v>
      </c>
      <c r="DZ24" s="150">
        <f t="shared" si="14"/>
        <v>2390</v>
      </c>
      <c r="EA24" s="150">
        <f t="shared" si="8"/>
        <v>2668</v>
      </c>
      <c r="EB24" s="150">
        <f t="shared" si="9"/>
        <v>2512</v>
      </c>
      <c r="EC24" s="150">
        <f t="shared" si="15"/>
        <v>2385</v>
      </c>
      <c r="ED24" s="150">
        <f t="shared" si="16"/>
        <v>2809</v>
      </c>
      <c r="EE24" s="150">
        <v>2428</v>
      </c>
      <c r="EF24" s="150">
        <v>2539</v>
      </c>
      <c r="EG24" s="150">
        <v>2694</v>
      </c>
      <c r="EH24" s="150">
        <v>2618</v>
      </c>
      <c r="EI24" s="150">
        <v>2683</v>
      </c>
      <c r="EJ24" s="150">
        <v>2587</v>
      </c>
      <c r="EK24" s="150">
        <v>2631</v>
      </c>
      <c r="EL24" s="150">
        <v>2622</v>
      </c>
      <c r="EM24" s="150">
        <v>2461</v>
      </c>
      <c r="EN24" s="150">
        <v>2636</v>
      </c>
      <c r="EO24" s="150">
        <v>2417</v>
      </c>
      <c r="EP24" s="150">
        <v>2824</v>
      </c>
      <c r="EQ24" s="150">
        <v>2578</v>
      </c>
      <c r="ER24" s="150">
        <v>2578</v>
      </c>
      <c r="ES24" s="150">
        <v>2561</v>
      </c>
      <c r="ET24" s="150">
        <v>2546</v>
      </c>
      <c r="EU24" s="150">
        <v>2760</v>
      </c>
      <c r="EV24" s="150">
        <v>2582</v>
      </c>
      <c r="EW24" s="150">
        <v>2494</v>
      </c>
      <c r="EX24" s="204">
        <v>2680</v>
      </c>
      <c r="EY24" s="204">
        <v>2570</v>
      </c>
      <c r="EZ24" s="204">
        <v>2323</v>
      </c>
      <c r="FA24" s="204">
        <v>2638</v>
      </c>
      <c r="FB24" s="204">
        <v>2616</v>
      </c>
      <c r="FC24" s="66" t="s">
        <v>213</v>
      </c>
      <c r="FE24" s="66">
        <v>78284</v>
      </c>
      <c r="FF24" s="66">
        <v>75475</v>
      </c>
      <c r="FG24" s="66">
        <v>73090</v>
      </c>
      <c r="FH24" s="66">
        <v>70578</v>
      </c>
      <c r="FI24" s="66">
        <v>67910</v>
      </c>
      <c r="FJ24" s="66">
        <v>65520</v>
      </c>
      <c r="FK24" s="66">
        <v>62895</v>
      </c>
      <c r="FL24" s="66">
        <v>60311</v>
      </c>
      <c r="FM24" s="66">
        <v>57791</v>
      </c>
      <c r="FN24" s="66">
        <v>55070</v>
      </c>
      <c r="FO24" s="66">
        <v>52698</v>
      </c>
      <c r="FP24" s="66">
        <v>50220</v>
      </c>
      <c r="FQ24" s="66">
        <v>47570</v>
      </c>
      <c r="FR24" s="159">
        <v>45182</v>
      </c>
      <c r="FS24" s="159">
        <v>42676</v>
      </c>
      <c r="FT24" s="159">
        <v>40292</v>
      </c>
      <c r="FU24" s="159">
        <v>37834</v>
      </c>
      <c r="FV24" s="159">
        <v>35346</v>
      </c>
    </row>
    <row r="25" spans="2:178">
      <c r="B25" s="258">
        <v>7631014</v>
      </c>
      <c r="C25" s="181">
        <v>3330656</v>
      </c>
      <c r="D25" s="72" t="s">
        <v>218</v>
      </c>
      <c r="E25" s="66">
        <v>3447</v>
      </c>
      <c r="F25" s="66">
        <v>4123</v>
      </c>
      <c r="G25" s="66">
        <v>3649</v>
      </c>
      <c r="H25" s="66">
        <v>3663</v>
      </c>
      <c r="I25" s="66">
        <v>3714</v>
      </c>
      <c r="J25" s="66">
        <v>2873</v>
      </c>
      <c r="K25" s="66">
        <v>2804</v>
      </c>
      <c r="L25" s="66">
        <v>2514</v>
      </c>
      <c r="M25" s="66">
        <v>2487</v>
      </c>
      <c r="N25" s="66">
        <v>2857</v>
      </c>
      <c r="O25" s="66">
        <v>3491</v>
      </c>
      <c r="P25" s="66">
        <v>3805</v>
      </c>
      <c r="Q25" s="78">
        <v>4034</v>
      </c>
      <c r="R25" s="78">
        <v>4297</v>
      </c>
      <c r="S25" s="78">
        <v>4322</v>
      </c>
      <c r="T25" s="78">
        <v>3991</v>
      </c>
      <c r="U25" s="78">
        <v>3825</v>
      </c>
      <c r="V25" s="78">
        <v>3005</v>
      </c>
      <c r="W25" s="78">
        <v>2870</v>
      </c>
      <c r="X25" s="78">
        <v>2573</v>
      </c>
      <c r="Y25" s="78">
        <v>3027</v>
      </c>
      <c r="Z25" s="78">
        <v>3157</v>
      </c>
      <c r="AA25" s="78">
        <v>2876</v>
      </c>
      <c r="AB25" s="78">
        <v>3545</v>
      </c>
      <c r="AC25" s="67">
        <v>2973</v>
      </c>
      <c r="AD25" s="67">
        <v>3096</v>
      </c>
      <c r="AE25" s="67">
        <v>3037</v>
      </c>
      <c r="AF25" s="67">
        <v>3133</v>
      </c>
      <c r="AG25" s="67">
        <v>2884</v>
      </c>
      <c r="AH25" s="67">
        <v>2870</v>
      </c>
      <c r="AI25" s="67">
        <v>2861</v>
      </c>
      <c r="AJ25" s="67">
        <v>2393</v>
      </c>
      <c r="AK25" s="67">
        <v>2486</v>
      </c>
      <c r="AL25" s="67">
        <v>2684</v>
      </c>
      <c r="AM25" s="67">
        <v>2863</v>
      </c>
      <c r="AN25" s="67">
        <v>2984</v>
      </c>
      <c r="AO25" s="67">
        <v>1736</v>
      </c>
      <c r="AP25" s="67">
        <v>2196</v>
      </c>
      <c r="AQ25" s="67">
        <v>2598</v>
      </c>
      <c r="AR25" s="67">
        <v>2345</v>
      </c>
      <c r="AS25" s="67">
        <v>2857</v>
      </c>
      <c r="AT25" s="67">
        <v>2525</v>
      </c>
      <c r="AU25" s="67">
        <v>2306</v>
      </c>
      <c r="AV25" s="67">
        <v>2763</v>
      </c>
      <c r="AW25" s="67">
        <v>2633</v>
      </c>
      <c r="AX25" s="67">
        <v>2364</v>
      </c>
      <c r="AY25" s="67">
        <v>2590</v>
      </c>
      <c r="AZ25" s="67">
        <v>2743</v>
      </c>
      <c r="BA25" s="76">
        <v>2404</v>
      </c>
      <c r="BB25" s="76">
        <v>2764</v>
      </c>
      <c r="BC25" s="76">
        <v>2596</v>
      </c>
      <c r="BD25" s="76">
        <v>2540</v>
      </c>
      <c r="BE25" s="76">
        <v>2569</v>
      </c>
      <c r="BF25" s="76">
        <v>2315</v>
      </c>
      <c r="BG25" s="77">
        <v>2563</v>
      </c>
      <c r="BH25" s="77">
        <v>2272</v>
      </c>
      <c r="BI25" s="77">
        <v>2388</v>
      </c>
      <c r="BJ25" s="77">
        <v>2575</v>
      </c>
      <c r="BK25" s="77">
        <v>2579</v>
      </c>
      <c r="BL25" s="77">
        <v>2484</v>
      </c>
      <c r="BM25" s="75">
        <v>2612</v>
      </c>
      <c r="BN25" s="75">
        <v>2669</v>
      </c>
      <c r="BO25" s="75">
        <v>2480</v>
      </c>
      <c r="BP25" s="75">
        <v>2610</v>
      </c>
      <c r="BQ25" s="75">
        <v>2540</v>
      </c>
      <c r="BR25" s="75">
        <v>2175</v>
      </c>
      <c r="BS25" s="75">
        <v>2474</v>
      </c>
      <c r="BT25" s="75">
        <v>2050</v>
      </c>
      <c r="BU25" s="75">
        <v>2197</v>
      </c>
      <c r="BV25" s="75">
        <v>2426</v>
      </c>
      <c r="BW25" s="75">
        <v>2338</v>
      </c>
      <c r="BX25" s="75">
        <v>2274</v>
      </c>
      <c r="BY25" s="77">
        <v>2431</v>
      </c>
      <c r="BZ25" s="77">
        <v>2454</v>
      </c>
      <c r="CA25" s="77">
        <v>2256</v>
      </c>
      <c r="CB25" s="77">
        <v>1945</v>
      </c>
      <c r="CC25" s="77">
        <v>1783</v>
      </c>
      <c r="CD25" s="77">
        <v>1861</v>
      </c>
      <c r="CE25" s="77">
        <v>1763</v>
      </c>
      <c r="CF25" s="77">
        <v>1155</v>
      </c>
      <c r="CG25" s="77">
        <v>1419</v>
      </c>
      <c r="CH25" s="77">
        <v>1207</v>
      </c>
      <c r="CI25" s="77">
        <v>1703</v>
      </c>
      <c r="CJ25" s="77">
        <v>1959</v>
      </c>
      <c r="CK25" s="79">
        <v>1655</v>
      </c>
      <c r="CL25" s="79">
        <v>1207</v>
      </c>
      <c r="CM25" s="79">
        <v>1898</v>
      </c>
      <c r="CN25" s="79">
        <v>1755</v>
      </c>
      <c r="CO25" s="134">
        <v>1813</v>
      </c>
      <c r="CP25" s="134">
        <v>1663</v>
      </c>
      <c r="CQ25" s="134">
        <v>1626</v>
      </c>
      <c r="CR25" s="134">
        <v>1525</v>
      </c>
      <c r="CS25" s="134">
        <v>1741</v>
      </c>
      <c r="CT25" s="134">
        <v>1678</v>
      </c>
      <c r="CU25" s="134">
        <v>1886</v>
      </c>
      <c r="CV25" s="134">
        <v>1714</v>
      </c>
      <c r="CW25" s="117">
        <v>1854</v>
      </c>
      <c r="CX25" s="117">
        <v>1857</v>
      </c>
      <c r="CY25" s="117">
        <f>1139+778</f>
        <v>1917</v>
      </c>
      <c r="CZ25" s="117">
        <v>1774</v>
      </c>
      <c r="DA25" s="117">
        <v>2125</v>
      </c>
      <c r="DB25" s="117">
        <v>1985</v>
      </c>
      <c r="DC25" s="117">
        <v>1910</v>
      </c>
      <c r="DD25" s="117">
        <v>1385</v>
      </c>
      <c r="DE25" s="117">
        <v>1118</v>
      </c>
      <c r="DF25" s="151">
        <v>1339</v>
      </c>
      <c r="DG25" s="151">
        <v>3054</v>
      </c>
      <c r="DH25" s="151">
        <v>0</v>
      </c>
      <c r="DI25" s="151">
        <v>0</v>
      </c>
      <c r="DJ25" s="151">
        <v>0</v>
      </c>
      <c r="DK25" s="151">
        <v>0</v>
      </c>
      <c r="DL25" s="151">
        <v>0</v>
      </c>
      <c r="DM25" s="151">
        <v>0</v>
      </c>
      <c r="DN25" s="151">
        <v>0</v>
      </c>
      <c r="DO25" s="176">
        <f t="shared" si="2"/>
        <v>0</v>
      </c>
      <c r="DP25" s="162">
        <f t="shared" si="0"/>
        <v>0</v>
      </c>
      <c r="DQ25" s="162">
        <f t="shared" si="3"/>
        <v>0</v>
      </c>
      <c r="DR25" s="162">
        <f t="shared" si="4"/>
        <v>0</v>
      </c>
      <c r="DS25" s="162">
        <f t="shared" si="5"/>
        <v>0</v>
      </c>
      <c r="DT25" s="162">
        <f t="shared" si="6"/>
        <v>0</v>
      </c>
      <c r="DU25" s="162">
        <f t="shared" si="10"/>
        <v>0</v>
      </c>
      <c r="DV25" s="162">
        <f t="shared" si="11"/>
        <v>0</v>
      </c>
      <c r="DW25" s="162">
        <f t="shared" si="12"/>
        <v>0</v>
      </c>
      <c r="DX25" s="162">
        <f t="shared" si="13"/>
        <v>0</v>
      </c>
      <c r="DY25" s="150">
        <f t="shared" si="7"/>
        <v>0</v>
      </c>
      <c r="DZ25" s="150">
        <f t="shared" si="14"/>
        <v>0</v>
      </c>
      <c r="EA25" s="150">
        <f t="shared" si="8"/>
        <v>0</v>
      </c>
      <c r="EB25" s="150">
        <f t="shared" si="9"/>
        <v>0</v>
      </c>
      <c r="EC25" s="150">
        <f t="shared" si="15"/>
        <v>0</v>
      </c>
      <c r="ED25" s="150">
        <f t="shared" si="16"/>
        <v>0</v>
      </c>
      <c r="EE25" s="150">
        <v>0</v>
      </c>
      <c r="EF25" s="150">
        <v>0</v>
      </c>
      <c r="EG25" s="150">
        <v>0</v>
      </c>
      <c r="EH25" s="150">
        <v>0</v>
      </c>
      <c r="EI25" s="150">
        <v>0</v>
      </c>
      <c r="EJ25" s="150">
        <v>0</v>
      </c>
      <c r="EK25" s="150">
        <v>0</v>
      </c>
      <c r="EL25" s="150">
        <v>0</v>
      </c>
      <c r="EM25" s="150">
        <v>0</v>
      </c>
      <c r="EN25" s="150">
        <v>0</v>
      </c>
      <c r="EO25" s="150">
        <v>0</v>
      </c>
      <c r="EP25" s="150">
        <v>0</v>
      </c>
      <c r="EQ25" s="150">
        <v>0</v>
      </c>
      <c r="ER25" s="150">
        <v>0</v>
      </c>
      <c r="ES25" s="150">
        <v>0</v>
      </c>
      <c r="ET25" s="150">
        <v>0</v>
      </c>
      <c r="EU25" s="150">
        <v>0</v>
      </c>
      <c r="EV25" s="150">
        <v>0</v>
      </c>
      <c r="EW25" s="150">
        <v>0</v>
      </c>
      <c r="EX25" s="150">
        <v>0</v>
      </c>
      <c r="EY25" s="150">
        <v>0</v>
      </c>
      <c r="EZ25" s="255" t="s">
        <v>89</v>
      </c>
      <c r="FA25" s="255" t="s">
        <v>89</v>
      </c>
      <c r="FB25" s="255" t="s">
        <v>89</v>
      </c>
      <c r="FC25" s="72" t="s">
        <v>218</v>
      </c>
      <c r="FE25" s="66">
        <v>0</v>
      </c>
      <c r="FF25" s="66">
        <v>0</v>
      </c>
      <c r="FG25" s="66">
        <v>0</v>
      </c>
      <c r="FH25" s="66">
        <v>0</v>
      </c>
      <c r="FI25" s="66">
        <v>0</v>
      </c>
      <c r="FJ25" s="66">
        <v>0</v>
      </c>
      <c r="FK25" s="66">
        <v>0</v>
      </c>
      <c r="FL25" s="66">
        <v>0</v>
      </c>
      <c r="FM25" s="66">
        <v>0</v>
      </c>
      <c r="FN25" s="66">
        <v>0</v>
      </c>
      <c r="FO25" s="66">
        <v>0</v>
      </c>
      <c r="FP25" s="66">
        <v>0</v>
      </c>
      <c r="FQ25" s="66">
        <v>0</v>
      </c>
      <c r="FR25" s="151">
        <v>0</v>
      </c>
      <c r="FS25" s="151">
        <v>0</v>
      </c>
      <c r="FT25" s="151">
        <v>0</v>
      </c>
      <c r="FU25" s="151">
        <v>0</v>
      </c>
      <c r="FV25" s="151">
        <v>0</v>
      </c>
    </row>
    <row r="26" spans="2:178">
      <c r="B26" s="259">
        <v>7612017</v>
      </c>
      <c r="C26" s="181">
        <v>3567683</v>
      </c>
      <c r="D26" s="73" t="s">
        <v>219</v>
      </c>
      <c r="E26" s="66">
        <v>25900</v>
      </c>
      <c r="F26" s="66">
        <v>25910</v>
      </c>
      <c r="G26" s="66">
        <v>27050</v>
      </c>
      <c r="H26" s="66">
        <v>23110</v>
      </c>
      <c r="I26" s="66">
        <v>20510</v>
      </c>
      <c r="J26" s="66">
        <v>17090</v>
      </c>
      <c r="K26" s="66">
        <v>16560</v>
      </c>
      <c r="L26" s="66">
        <v>16340</v>
      </c>
      <c r="M26" s="66">
        <v>16990</v>
      </c>
      <c r="N26" s="66">
        <v>22420</v>
      </c>
      <c r="O26" s="66">
        <v>23310</v>
      </c>
      <c r="P26" s="66">
        <v>25500</v>
      </c>
      <c r="Q26" s="78">
        <v>28020</v>
      </c>
      <c r="R26" s="78">
        <v>25550</v>
      </c>
      <c r="S26" s="78">
        <v>29350</v>
      </c>
      <c r="T26" s="78">
        <v>24900</v>
      </c>
      <c r="U26" s="78">
        <v>20070</v>
      </c>
      <c r="V26" s="78">
        <v>19010</v>
      </c>
      <c r="W26" s="78">
        <v>17080</v>
      </c>
      <c r="X26" s="78">
        <v>15980</v>
      </c>
      <c r="Y26" s="78">
        <v>19420</v>
      </c>
      <c r="Z26" s="78">
        <v>21620</v>
      </c>
      <c r="AA26" s="78">
        <v>23010</v>
      </c>
      <c r="AB26" s="78">
        <v>26920</v>
      </c>
      <c r="AC26" s="67">
        <v>24500</v>
      </c>
      <c r="AD26" s="67">
        <v>24020</v>
      </c>
      <c r="AE26" s="67">
        <v>27830</v>
      </c>
      <c r="AF26" s="67">
        <v>23980</v>
      </c>
      <c r="AG26" s="67">
        <v>23460</v>
      </c>
      <c r="AH26" s="67">
        <v>19020</v>
      </c>
      <c r="AI26" s="67">
        <v>17290</v>
      </c>
      <c r="AJ26" s="67">
        <v>17010</v>
      </c>
      <c r="AK26" s="67">
        <v>17930</v>
      </c>
      <c r="AL26" s="67">
        <v>21980</v>
      </c>
      <c r="AM26" s="67">
        <v>25150</v>
      </c>
      <c r="AN26" s="67">
        <v>27240</v>
      </c>
      <c r="AO26" s="67">
        <v>25900</v>
      </c>
      <c r="AP26" s="67">
        <v>28350</v>
      </c>
      <c r="AQ26" s="67">
        <v>28590</v>
      </c>
      <c r="AR26" s="67">
        <v>24360</v>
      </c>
      <c r="AS26" s="67">
        <v>25500</v>
      </c>
      <c r="AT26" s="67">
        <v>20800</v>
      </c>
      <c r="AU26" s="67">
        <v>17700</v>
      </c>
      <c r="AV26" s="67">
        <v>20870</v>
      </c>
      <c r="AW26" s="67">
        <v>21480</v>
      </c>
      <c r="AX26" s="67">
        <v>20870</v>
      </c>
      <c r="AY26" s="67">
        <v>24970</v>
      </c>
      <c r="AZ26" s="67">
        <v>28350</v>
      </c>
      <c r="BA26" s="76">
        <v>25040</v>
      </c>
      <c r="BB26" s="76">
        <v>26830</v>
      </c>
      <c r="BC26" s="76">
        <v>28110</v>
      </c>
      <c r="BD26" s="76">
        <v>27160</v>
      </c>
      <c r="BE26" s="76">
        <v>21500</v>
      </c>
      <c r="BF26" s="76">
        <v>16340</v>
      </c>
      <c r="BG26" s="77">
        <v>17240</v>
      </c>
      <c r="BH26" s="77">
        <v>15090</v>
      </c>
      <c r="BI26" s="77">
        <v>18720</v>
      </c>
      <c r="BJ26" s="77">
        <v>23670</v>
      </c>
      <c r="BK26" s="77">
        <v>29060</v>
      </c>
      <c r="BL26" s="77">
        <v>26760</v>
      </c>
      <c r="BM26" s="75">
        <v>28410</v>
      </c>
      <c r="BN26" s="75">
        <v>29210</v>
      </c>
      <c r="BO26" s="75">
        <v>28780</v>
      </c>
      <c r="BP26" s="75">
        <v>27860</v>
      </c>
      <c r="BQ26" s="75">
        <v>24770</v>
      </c>
      <c r="BR26" s="75">
        <v>18930</v>
      </c>
      <c r="BS26" s="75">
        <v>19030</v>
      </c>
      <c r="BT26" s="75">
        <v>19720</v>
      </c>
      <c r="BU26" s="75">
        <v>20790</v>
      </c>
      <c r="BV26" s="75">
        <v>26750</v>
      </c>
      <c r="BW26" s="75">
        <v>26960</v>
      </c>
      <c r="BX26" s="75">
        <v>26380</v>
      </c>
      <c r="BY26" s="77">
        <v>31260</v>
      </c>
      <c r="BZ26" s="77">
        <v>30490</v>
      </c>
      <c r="CA26" s="77">
        <v>32220</v>
      </c>
      <c r="CB26" s="77">
        <v>26090</v>
      </c>
      <c r="CC26" s="77">
        <v>19480</v>
      </c>
      <c r="CD26" s="77">
        <v>16680</v>
      </c>
      <c r="CE26" s="77">
        <v>16030</v>
      </c>
      <c r="CF26" s="77">
        <v>14930</v>
      </c>
      <c r="CG26" s="77">
        <v>19910</v>
      </c>
      <c r="CH26" s="77">
        <v>19460</v>
      </c>
      <c r="CI26" s="77">
        <v>25320</v>
      </c>
      <c r="CJ26" s="77">
        <v>29370</v>
      </c>
      <c r="CK26" s="79">
        <v>28870</v>
      </c>
      <c r="CL26" s="79">
        <v>27070</v>
      </c>
      <c r="CM26" s="79">
        <v>30190</v>
      </c>
      <c r="CN26" s="79">
        <v>23570</v>
      </c>
      <c r="CO26" s="134">
        <v>22160</v>
      </c>
      <c r="CP26" s="134">
        <v>17500</v>
      </c>
      <c r="CQ26" s="134">
        <v>15960</v>
      </c>
      <c r="CR26" s="134">
        <v>17040</v>
      </c>
      <c r="CS26" s="134">
        <v>21690</v>
      </c>
      <c r="CT26" s="134">
        <v>21650</v>
      </c>
      <c r="CU26" s="134">
        <v>29320</v>
      </c>
      <c r="CV26" s="134">
        <v>26760</v>
      </c>
      <c r="CW26" s="117">
        <v>29400</v>
      </c>
      <c r="CX26" s="117">
        <v>29060</v>
      </c>
      <c r="CY26" s="117">
        <f>20876+12880</f>
        <v>33756</v>
      </c>
      <c r="CZ26" s="117">
        <v>26139</v>
      </c>
      <c r="DA26" s="117">
        <v>23821</v>
      </c>
      <c r="DB26" s="117">
        <v>18852</v>
      </c>
      <c r="DC26" s="117">
        <v>238</v>
      </c>
      <c r="DD26" s="117">
        <v>16885</v>
      </c>
      <c r="DE26" s="117">
        <v>19642</v>
      </c>
      <c r="DF26" s="151">
        <v>21472</v>
      </c>
      <c r="DG26" s="151">
        <v>23968</v>
      </c>
      <c r="DH26" s="159">
        <v>28713</v>
      </c>
      <c r="DI26" s="159">
        <v>28633</v>
      </c>
      <c r="DJ26" s="159">
        <v>32962</v>
      </c>
      <c r="DK26" s="159">
        <v>31717</v>
      </c>
      <c r="DL26" s="159">
        <v>26087</v>
      </c>
      <c r="DM26" s="159">
        <v>25410</v>
      </c>
      <c r="DN26" s="162">
        <f t="shared" si="1"/>
        <v>18971</v>
      </c>
      <c r="DO26" s="162">
        <f t="shared" si="2"/>
        <v>18164</v>
      </c>
      <c r="DP26" s="162">
        <f t="shared" si="0"/>
        <v>18426</v>
      </c>
      <c r="DQ26" s="162">
        <f t="shared" si="3"/>
        <v>21145</v>
      </c>
      <c r="DR26" s="162">
        <f t="shared" si="4"/>
        <v>22482</v>
      </c>
      <c r="DS26" s="162">
        <f t="shared" si="5"/>
        <v>28676</v>
      </c>
      <c r="DT26" s="162">
        <f t="shared" si="6"/>
        <v>32023</v>
      </c>
      <c r="DU26" s="162">
        <f t="shared" si="10"/>
        <v>30739</v>
      </c>
      <c r="DV26" s="162">
        <f t="shared" si="11"/>
        <v>34084</v>
      </c>
      <c r="DW26" s="162">
        <f t="shared" si="12"/>
        <v>30595</v>
      </c>
      <c r="DX26" s="162">
        <f t="shared" si="13"/>
        <v>28552</v>
      </c>
      <c r="DY26" s="150">
        <f t="shared" si="7"/>
        <v>24748</v>
      </c>
      <c r="DZ26" s="150">
        <f t="shared" si="14"/>
        <v>19701</v>
      </c>
      <c r="EA26" s="150">
        <f t="shared" si="8"/>
        <v>19583</v>
      </c>
      <c r="EB26" s="150">
        <f t="shared" si="9"/>
        <v>20808</v>
      </c>
      <c r="EC26" s="150">
        <f t="shared" si="15"/>
        <v>19657</v>
      </c>
      <c r="ED26" s="150">
        <f t="shared" si="16"/>
        <v>30915</v>
      </c>
      <c r="EE26" s="150">
        <v>27380</v>
      </c>
      <c r="EF26" s="150">
        <v>30120</v>
      </c>
      <c r="EG26" s="150">
        <v>35681</v>
      </c>
      <c r="EH26" s="150">
        <v>35024</v>
      </c>
      <c r="EI26" s="150">
        <v>35438</v>
      </c>
      <c r="EJ26" s="150">
        <v>29832</v>
      </c>
      <c r="EK26" s="150">
        <v>24723</v>
      </c>
      <c r="EL26" s="150">
        <v>20095</v>
      </c>
      <c r="EM26" s="150">
        <v>16837</v>
      </c>
      <c r="EN26" s="150">
        <v>19154</v>
      </c>
      <c r="EO26" s="150">
        <v>20456</v>
      </c>
      <c r="EP26" s="150">
        <v>26962</v>
      </c>
      <c r="EQ26" s="150">
        <v>31825</v>
      </c>
      <c r="ER26" s="150">
        <v>33529</v>
      </c>
      <c r="ES26" s="150">
        <v>33491</v>
      </c>
      <c r="ET26" s="150">
        <v>33916</v>
      </c>
      <c r="EU26" s="150">
        <v>37916</v>
      </c>
      <c r="EV26" s="150">
        <v>31825</v>
      </c>
      <c r="EW26" s="150">
        <v>23518</v>
      </c>
      <c r="EX26" s="204">
        <v>22839</v>
      </c>
      <c r="EY26" s="204">
        <v>19406</v>
      </c>
      <c r="EZ26" s="204">
        <v>367</v>
      </c>
      <c r="FA26" s="204">
        <v>25144</v>
      </c>
      <c r="FB26" s="204">
        <v>31481</v>
      </c>
      <c r="FC26" s="73" t="s">
        <v>219</v>
      </c>
      <c r="FE26" s="66">
        <v>781290</v>
      </c>
      <c r="FF26" s="66">
        <v>750375</v>
      </c>
      <c r="FG26" s="66">
        <v>730718</v>
      </c>
      <c r="FH26" s="66">
        <v>709910</v>
      </c>
      <c r="FI26" s="66">
        <v>690327</v>
      </c>
      <c r="FJ26" s="66">
        <v>670626</v>
      </c>
      <c r="FK26" s="66">
        <v>645878</v>
      </c>
      <c r="FL26" s="66">
        <v>617326</v>
      </c>
      <c r="FM26" s="66">
        <v>586731</v>
      </c>
      <c r="FN26" s="66">
        <v>552647</v>
      </c>
      <c r="FO26" s="66">
        <v>521908</v>
      </c>
      <c r="FP26" s="66">
        <v>489885</v>
      </c>
      <c r="FQ26" s="66">
        <v>461209</v>
      </c>
      <c r="FR26" s="159">
        <v>438727</v>
      </c>
      <c r="FS26" s="159">
        <v>417582</v>
      </c>
      <c r="FT26" s="159">
        <v>399156</v>
      </c>
      <c r="FU26" s="159">
        <v>380992</v>
      </c>
      <c r="FV26" s="159">
        <v>362021</v>
      </c>
    </row>
    <row r="27" spans="2:178">
      <c r="B27" s="261">
        <v>10279754</v>
      </c>
      <c r="C27" s="181">
        <v>3576372</v>
      </c>
      <c r="D27" s="66" t="s">
        <v>213</v>
      </c>
      <c r="E27" s="66">
        <v>2521</v>
      </c>
      <c r="F27" s="66">
        <v>2456</v>
      </c>
      <c r="G27" s="66">
        <v>2437</v>
      </c>
      <c r="H27" s="66">
        <v>2296</v>
      </c>
      <c r="I27" s="66">
        <v>2412</v>
      </c>
      <c r="J27" s="66">
        <v>2376</v>
      </c>
      <c r="K27" s="66">
        <v>2356</v>
      </c>
      <c r="L27" s="66">
        <v>2212</v>
      </c>
      <c r="M27" s="66">
        <v>2180</v>
      </c>
      <c r="N27" s="66">
        <v>2675</v>
      </c>
      <c r="O27" s="66">
        <v>2522</v>
      </c>
      <c r="P27" s="66">
        <v>2713</v>
      </c>
      <c r="Q27" s="78">
        <v>2720</v>
      </c>
      <c r="R27" s="78">
        <v>2522</v>
      </c>
      <c r="S27" s="78">
        <v>2802</v>
      </c>
      <c r="T27" s="78">
        <v>2541</v>
      </c>
      <c r="U27" s="78">
        <v>2384</v>
      </c>
      <c r="V27" s="78">
        <v>2500</v>
      </c>
      <c r="W27" s="78">
        <v>2422</v>
      </c>
      <c r="X27" s="78">
        <v>2207</v>
      </c>
      <c r="Y27" s="78">
        <v>2490</v>
      </c>
      <c r="Z27" s="78">
        <v>2583</v>
      </c>
      <c r="AA27" s="79">
        <v>2472</v>
      </c>
      <c r="AB27" s="78">
        <v>2804</v>
      </c>
      <c r="AC27" s="67">
        <v>2635</v>
      </c>
      <c r="AD27" s="67">
        <v>2566</v>
      </c>
      <c r="AE27" s="67">
        <v>2872</v>
      </c>
      <c r="AF27" s="67">
        <v>2550</v>
      </c>
      <c r="AG27" s="67">
        <v>2607</v>
      </c>
      <c r="AH27" s="67">
        <v>2407</v>
      </c>
      <c r="AI27" s="66">
        <v>2348</v>
      </c>
      <c r="AJ27" s="67">
        <v>2478</v>
      </c>
      <c r="AK27" s="67">
        <v>2408</v>
      </c>
      <c r="AL27" s="67">
        <v>2515</v>
      </c>
      <c r="AM27" s="67">
        <v>2736</v>
      </c>
      <c r="AN27" s="67">
        <v>2729</v>
      </c>
      <c r="AO27" s="67">
        <v>2612</v>
      </c>
      <c r="AP27" s="67">
        <v>2834</v>
      </c>
      <c r="AQ27" s="67">
        <v>2721</v>
      </c>
      <c r="AR27" s="67">
        <v>2121</v>
      </c>
      <c r="AS27" s="67">
        <v>1966</v>
      </c>
      <c r="AT27" s="67">
        <v>1748</v>
      </c>
      <c r="AU27" s="67">
        <v>1619</v>
      </c>
      <c r="AV27" s="67">
        <v>2001</v>
      </c>
      <c r="AW27" s="67">
        <v>1973</v>
      </c>
      <c r="AX27" s="67">
        <v>1887</v>
      </c>
      <c r="AY27" s="67">
        <v>2135</v>
      </c>
      <c r="AZ27" s="67">
        <v>2231</v>
      </c>
      <c r="BA27" s="76">
        <v>1848</v>
      </c>
      <c r="BB27" s="76">
        <v>1843</v>
      </c>
      <c r="BC27" s="76">
        <v>1631</v>
      </c>
      <c r="BD27" s="76">
        <v>1570</v>
      </c>
      <c r="BE27" s="76">
        <v>1467</v>
      </c>
      <c r="BF27" s="76">
        <v>1311</v>
      </c>
      <c r="BG27" s="77">
        <v>1418</v>
      </c>
      <c r="BH27" s="77">
        <v>1304</v>
      </c>
      <c r="BI27" s="77">
        <v>1321</v>
      </c>
      <c r="BJ27" s="77">
        <v>1493</v>
      </c>
      <c r="BK27" s="77">
        <v>1513</v>
      </c>
      <c r="BL27" s="77">
        <v>1402</v>
      </c>
      <c r="BM27" s="75">
        <v>1547</v>
      </c>
      <c r="BN27" s="75">
        <v>1541</v>
      </c>
      <c r="BO27" s="75">
        <v>1550</v>
      </c>
      <c r="BP27" s="75">
        <v>1751</v>
      </c>
      <c r="BQ27" s="75">
        <v>1682</v>
      </c>
      <c r="BR27" s="75">
        <v>1496</v>
      </c>
      <c r="BS27" s="75">
        <v>1742</v>
      </c>
      <c r="BT27" s="75">
        <v>1539</v>
      </c>
      <c r="BU27" s="75">
        <v>1569</v>
      </c>
      <c r="BV27" s="75">
        <v>1754</v>
      </c>
      <c r="BW27" s="75">
        <v>1651</v>
      </c>
      <c r="BX27" s="75">
        <v>1651</v>
      </c>
      <c r="BY27" s="77">
        <v>1820</v>
      </c>
      <c r="BZ27" s="77">
        <v>1770</v>
      </c>
      <c r="CA27" s="77">
        <v>1853</v>
      </c>
      <c r="CB27" s="77">
        <v>1759</v>
      </c>
      <c r="CC27" s="77">
        <v>1688</v>
      </c>
      <c r="CD27" s="77">
        <v>1607</v>
      </c>
      <c r="CE27" s="77">
        <v>1600</v>
      </c>
      <c r="CF27" s="77">
        <v>1483</v>
      </c>
      <c r="CG27" s="77">
        <v>1617</v>
      </c>
      <c r="CH27" s="77">
        <v>1563</v>
      </c>
      <c r="CI27" s="77">
        <v>1650</v>
      </c>
      <c r="CJ27" s="77">
        <v>1819</v>
      </c>
      <c r="CK27" s="79">
        <v>1623</v>
      </c>
      <c r="CL27" s="79">
        <v>1406</v>
      </c>
      <c r="CM27" s="79">
        <v>1606</v>
      </c>
      <c r="CN27" s="79">
        <v>1455</v>
      </c>
      <c r="CO27" s="134">
        <v>1559</v>
      </c>
      <c r="CP27" s="134">
        <v>1549</v>
      </c>
      <c r="CQ27" s="134">
        <v>1547</v>
      </c>
      <c r="CR27" s="134">
        <v>1481</v>
      </c>
      <c r="CS27" s="134">
        <v>1706</v>
      </c>
      <c r="CT27" s="134">
        <v>1652</v>
      </c>
      <c r="CU27" s="134">
        <v>1869</v>
      </c>
      <c r="CV27" s="134">
        <v>1627</v>
      </c>
      <c r="CW27" s="117">
        <v>1816</v>
      </c>
      <c r="CX27" s="117">
        <v>578</v>
      </c>
      <c r="CY27" s="117">
        <v>1749</v>
      </c>
      <c r="CZ27" s="117">
        <v>1572</v>
      </c>
      <c r="DA27" s="117">
        <v>1715</v>
      </c>
      <c r="DB27" s="117">
        <v>1570</v>
      </c>
      <c r="DC27" s="117">
        <v>1493</v>
      </c>
      <c r="DD27" s="117">
        <v>1568</v>
      </c>
      <c r="DE27" s="117">
        <v>1529</v>
      </c>
      <c r="DF27" s="151">
        <v>1553</v>
      </c>
      <c r="DG27" s="151">
        <v>1592</v>
      </c>
      <c r="DH27" s="159">
        <v>1612</v>
      </c>
      <c r="DI27" s="159">
        <v>1535</v>
      </c>
      <c r="DJ27" s="159">
        <v>2495</v>
      </c>
      <c r="DK27" s="159">
        <v>2871</v>
      </c>
      <c r="DL27" s="159">
        <v>2606</v>
      </c>
      <c r="DM27" s="159">
        <v>3049</v>
      </c>
      <c r="DN27" s="162">
        <f t="shared" si="1"/>
        <v>2719</v>
      </c>
      <c r="DO27" s="162">
        <f t="shared" si="2"/>
        <v>2796</v>
      </c>
      <c r="DP27" s="162">
        <f t="shared" si="0"/>
        <v>2740</v>
      </c>
      <c r="DQ27" s="162">
        <f t="shared" si="3"/>
        <v>2902</v>
      </c>
      <c r="DR27" s="162">
        <f t="shared" si="4"/>
        <v>2751</v>
      </c>
      <c r="DS27" s="162">
        <f t="shared" si="5"/>
        <v>3110</v>
      </c>
      <c r="DT27" s="162">
        <f t="shared" si="6"/>
        <v>3052</v>
      </c>
      <c r="DU27" s="162">
        <f t="shared" si="10"/>
        <v>2863</v>
      </c>
      <c r="DV27" s="162">
        <f t="shared" si="11"/>
        <v>3351</v>
      </c>
      <c r="DW27" s="162">
        <f t="shared" si="12"/>
        <v>3107</v>
      </c>
      <c r="DX27" s="162">
        <f t="shared" si="13"/>
        <v>3197</v>
      </c>
      <c r="DY27" s="150">
        <f t="shared" si="7"/>
        <v>3163</v>
      </c>
      <c r="DZ27" s="150">
        <f t="shared" si="14"/>
        <v>2951</v>
      </c>
      <c r="EA27" s="150">
        <f t="shared" si="8"/>
        <v>3251</v>
      </c>
      <c r="EB27" s="150">
        <f t="shared" si="9"/>
        <v>3045</v>
      </c>
      <c r="EC27" s="150">
        <f t="shared" si="15"/>
        <v>2935</v>
      </c>
      <c r="ED27" s="150">
        <f t="shared" si="16"/>
        <v>3468</v>
      </c>
      <c r="EE27" s="150">
        <v>3152</v>
      </c>
      <c r="EF27" s="150">
        <v>3028</v>
      </c>
      <c r="EG27" s="150">
        <v>3386</v>
      </c>
      <c r="EH27" s="150">
        <v>3272</v>
      </c>
      <c r="EI27" s="150">
        <v>3343</v>
      </c>
      <c r="EJ27" s="150">
        <v>3215</v>
      </c>
      <c r="EK27" s="150">
        <v>3157</v>
      </c>
      <c r="EL27" s="150">
        <v>3182</v>
      </c>
      <c r="EM27" s="150">
        <v>2942</v>
      </c>
      <c r="EN27" s="150">
        <v>3219</v>
      </c>
      <c r="EO27" s="150">
        <v>2945</v>
      </c>
      <c r="EP27" s="150">
        <v>3514</v>
      </c>
      <c r="EQ27" s="150">
        <v>2870</v>
      </c>
      <c r="ER27" s="150">
        <v>3335</v>
      </c>
      <c r="ES27" s="150">
        <v>3265</v>
      </c>
      <c r="ET27" s="150">
        <v>3262</v>
      </c>
      <c r="EU27" s="150">
        <v>3503</v>
      </c>
      <c r="EV27" s="150">
        <v>3314</v>
      </c>
      <c r="EW27" s="150">
        <v>3170</v>
      </c>
      <c r="EX27" s="204">
        <v>3471</v>
      </c>
      <c r="EY27" s="204">
        <v>3360</v>
      </c>
      <c r="EZ27" s="204">
        <v>3094</v>
      </c>
      <c r="FA27" s="204">
        <v>3558</v>
      </c>
      <c r="FB27" s="204">
        <v>3565</v>
      </c>
      <c r="FC27" s="66" t="s">
        <v>213</v>
      </c>
      <c r="FE27" s="66">
        <v>81171</v>
      </c>
      <c r="FF27" s="66">
        <v>77703</v>
      </c>
      <c r="FG27" s="66">
        <v>74768</v>
      </c>
      <c r="FH27" s="66">
        <v>71723</v>
      </c>
      <c r="FI27" s="66">
        <v>68472</v>
      </c>
      <c r="FJ27" s="66">
        <v>65521</v>
      </c>
      <c r="FK27" s="66">
        <v>62358</v>
      </c>
      <c r="FL27" s="66">
        <v>59161</v>
      </c>
      <c r="FM27" s="66">
        <v>56054</v>
      </c>
      <c r="FN27" s="66">
        <v>52703</v>
      </c>
      <c r="FO27" s="66">
        <v>49840</v>
      </c>
      <c r="FP27" s="66">
        <v>46788</v>
      </c>
      <c r="FQ27" s="66">
        <v>43678</v>
      </c>
      <c r="FR27" s="159">
        <v>40927</v>
      </c>
      <c r="FS27" s="159">
        <v>38025</v>
      </c>
      <c r="FT27" s="159">
        <v>35285</v>
      </c>
      <c r="FU27" s="159">
        <v>32489</v>
      </c>
      <c r="FV27" s="159">
        <v>29770</v>
      </c>
    </row>
    <row r="28" spans="2:178">
      <c r="B28" s="259">
        <v>7629950</v>
      </c>
      <c r="C28" s="181">
        <v>3617397</v>
      </c>
      <c r="D28" s="66" t="s">
        <v>214</v>
      </c>
      <c r="E28" s="66">
        <v>2862</v>
      </c>
      <c r="F28" s="66">
        <v>2802</v>
      </c>
      <c r="G28" s="66">
        <v>2748</v>
      </c>
      <c r="H28" s="66">
        <v>2594</v>
      </c>
      <c r="I28" s="66">
        <v>2487</v>
      </c>
      <c r="J28" s="66">
        <v>2445</v>
      </c>
      <c r="K28" s="66">
        <v>2465</v>
      </c>
      <c r="L28" s="66">
        <v>2318</v>
      </c>
      <c r="M28" s="66">
        <v>2284</v>
      </c>
      <c r="N28" s="66">
        <v>2809</v>
      </c>
      <c r="O28" s="66">
        <v>2808</v>
      </c>
      <c r="P28" s="66">
        <v>3075</v>
      </c>
      <c r="Q28" s="78">
        <v>3028</v>
      </c>
      <c r="R28" s="78">
        <v>2679</v>
      </c>
      <c r="S28" s="78">
        <v>2983</v>
      </c>
      <c r="T28" s="78">
        <v>2854</v>
      </c>
      <c r="U28" s="78">
        <v>2785</v>
      </c>
      <c r="V28" s="78">
        <v>2873</v>
      </c>
      <c r="W28" s="78">
        <v>2790</v>
      </c>
      <c r="X28" s="78">
        <v>2616</v>
      </c>
      <c r="Y28" s="78">
        <v>2982</v>
      </c>
      <c r="Z28" s="78">
        <v>3305</v>
      </c>
      <c r="AA28" s="78">
        <v>3226</v>
      </c>
      <c r="AB28" s="78">
        <v>3573</v>
      </c>
      <c r="AC28" s="67">
        <v>3298</v>
      </c>
      <c r="AD28" s="67">
        <v>3224</v>
      </c>
      <c r="AE28" s="67">
        <v>3563</v>
      </c>
      <c r="AF28" s="67">
        <v>3053</v>
      </c>
      <c r="AG28" s="67">
        <v>3132</v>
      </c>
      <c r="AH28" s="67">
        <v>2726</v>
      </c>
      <c r="AI28" s="66">
        <v>2568</v>
      </c>
      <c r="AJ28" s="67">
        <v>2677</v>
      </c>
      <c r="AK28" s="67">
        <v>2587</v>
      </c>
      <c r="AL28" s="67">
        <v>2699</v>
      </c>
      <c r="AM28" s="67">
        <v>2864</v>
      </c>
      <c r="AN28" s="67">
        <v>2992</v>
      </c>
      <c r="AO28" s="67">
        <v>2789</v>
      </c>
      <c r="AP28" s="67">
        <v>3040</v>
      </c>
      <c r="AQ28" s="67">
        <v>2912</v>
      </c>
      <c r="AR28" s="67">
        <v>2597</v>
      </c>
      <c r="AS28" s="67">
        <v>2952</v>
      </c>
      <c r="AT28" s="67">
        <v>2602</v>
      </c>
      <c r="AU28" s="67">
        <v>2293</v>
      </c>
      <c r="AV28" s="67">
        <v>2771</v>
      </c>
      <c r="AW28" s="67">
        <v>2636</v>
      </c>
      <c r="AX28" s="67">
        <v>2469</v>
      </c>
      <c r="AY28" s="67">
        <v>2799</v>
      </c>
      <c r="AZ28" s="67">
        <v>2978</v>
      </c>
      <c r="BA28" s="76">
        <v>2639</v>
      </c>
      <c r="BB28" s="76">
        <v>3164</v>
      </c>
      <c r="BC28" s="76">
        <v>2839</v>
      </c>
      <c r="BD28" s="76">
        <v>2812</v>
      </c>
      <c r="BE28" s="76">
        <v>2709</v>
      </c>
      <c r="BF28" s="76">
        <v>2453</v>
      </c>
      <c r="BG28" s="77">
        <v>2679</v>
      </c>
      <c r="BH28" s="77">
        <v>2426</v>
      </c>
      <c r="BI28" s="77">
        <v>2501</v>
      </c>
      <c r="BJ28" s="77">
        <v>2851</v>
      </c>
      <c r="BK28" s="77">
        <v>2936</v>
      </c>
      <c r="BL28" s="77">
        <v>2765</v>
      </c>
      <c r="BM28" s="75">
        <v>2971</v>
      </c>
      <c r="BN28" s="75">
        <v>2835</v>
      </c>
      <c r="BO28" s="75">
        <v>2571</v>
      </c>
      <c r="BP28" s="75">
        <v>2724</v>
      </c>
      <c r="BQ28" s="75">
        <v>2552</v>
      </c>
      <c r="BR28" s="75">
        <v>2239</v>
      </c>
      <c r="BS28" s="75">
        <v>2586</v>
      </c>
      <c r="BT28" s="75">
        <v>2320</v>
      </c>
      <c r="BU28" s="75">
        <v>2337</v>
      </c>
      <c r="BV28" s="75">
        <v>2688</v>
      </c>
      <c r="BW28" s="75">
        <v>2555</v>
      </c>
      <c r="BX28" s="75">
        <v>2606</v>
      </c>
      <c r="BY28" s="77">
        <v>2911</v>
      </c>
      <c r="BZ28" s="77">
        <v>2814</v>
      </c>
      <c r="CA28" s="77">
        <v>2758</v>
      </c>
      <c r="CB28" s="77">
        <v>2481</v>
      </c>
      <c r="CC28" s="77">
        <v>2415</v>
      </c>
      <c r="CD28" s="77">
        <v>2432</v>
      </c>
      <c r="CE28" s="77">
        <v>2424</v>
      </c>
      <c r="CF28" s="77">
        <v>2261</v>
      </c>
      <c r="CG28" s="77">
        <v>2456</v>
      </c>
      <c r="CH28" s="77">
        <v>2395</v>
      </c>
      <c r="CI28" s="77">
        <v>2530</v>
      </c>
      <c r="CJ28" s="77">
        <v>2763</v>
      </c>
      <c r="CK28" s="79">
        <v>2637</v>
      </c>
      <c r="CL28" s="79">
        <v>2486</v>
      </c>
      <c r="CM28" s="79">
        <v>2649</v>
      </c>
      <c r="CN28" s="79">
        <v>1616</v>
      </c>
      <c r="CO28" s="134">
        <v>1744</v>
      </c>
      <c r="CP28" s="134">
        <v>1654</v>
      </c>
      <c r="CQ28" s="134">
        <v>1686</v>
      </c>
      <c r="CR28" s="134">
        <v>3422</v>
      </c>
      <c r="CS28" s="134">
        <v>34</v>
      </c>
      <c r="CT28" s="134">
        <v>1735</v>
      </c>
      <c r="CU28" s="134">
        <v>1970</v>
      </c>
      <c r="CV28" s="134">
        <v>1750</v>
      </c>
      <c r="CW28" s="117">
        <v>1909</v>
      </c>
      <c r="CX28" s="117">
        <v>1878</v>
      </c>
      <c r="CY28" s="117">
        <f>1416+489</f>
        <v>1905</v>
      </c>
      <c r="CZ28" s="117">
        <v>1711</v>
      </c>
      <c r="DA28" s="117">
        <v>1878</v>
      </c>
      <c r="DB28" s="117">
        <v>1746</v>
      </c>
      <c r="DC28" s="117">
        <v>1663</v>
      </c>
      <c r="DD28" s="117">
        <v>1744</v>
      </c>
      <c r="DE28" s="117">
        <v>1801</v>
      </c>
      <c r="DF28" s="151">
        <v>1860</v>
      </c>
      <c r="DG28" s="151">
        <v>1964</v>
      </c>
      <c r="DH28" s="159">
        <v>2082</v>
      </c>
      <c r="DI28" s="159">
        <v>2010</v>
      </c>
      <c r="DJ28" s="159">
        <v>2212</v>
      </c>
      <c r="DK28" s="159">
        <v>3335</v>
      </c>
      <c r="DL28" s="159">
        <v>3362</v>
      </c>
      <c r="DM28" s="159">
        <v>3810</v>
      </c>
      <c r="DN28" s="159">
        <f>FU28-FV28</f>
        <v>3314</v>
      </c>
      <c r="DO28" s="162">
        <f t="shared" si="2"/>
        <v>3409</v>
      </c>
      <c r="DP28" s="162">
        <f t="shared" si="0"/>
        <v>3308</v>
      </c>
      <c r="DQ28" s="162">
        <f t="shared" si="3"/>
        <v>3479</v>
      </c>
      <c r="DR28" s="162">
        <f t="shared" si="4"/>
        <v>3296</v>
      </c>
      <c r="DS28" s="162">
        <f t="shared" si="5"/>
        <v>3688</v>
      </c>
      <c r="DT28" s="162">
        <f t="shared" si="6"/>
        <v>3644</v>
      </c>
      <c r="DU28" s="162">
        <f t="shared" si="10"/>
        <v>3315</v>
      </c>
      <c r="DV28" s="162">
        <f t="shared" si="11"/>
        <v>3881</v>
      </c>
      <c r="DW28" s="162">
        <f t="shared" si="12"/>
        <v>3545</v>
      </c>
      <c r="DX28" s="162">
        <f t="shared" si="13"/>
        <v>3620</v>
      </c>
      <c r="DY28" s="150">
        <f t="shared" si="7"/>
        <v>3489</v>
      </c>
      <c r="DZ28" s="150">
        <f t="shared" si="14"/>
        <v>3062</v>
      </c>
      <c r="EA28" s="150">
        <f t="shared" si="8"/>
        <v>3374</v>
      </c>
      <c r="EB28" s="150">
        <f t="shared" si="9"/>
        <v>3183</v>
      </c>
      <c r="EC28" s="150">
        <f t="shared" si="15"/>
        <v>2970</v>
      </c>
      <c r="ED28" s="150">
        <f t="shared" si="16"/>
        <v>3704</v>
      </c>
      <c r="EE28" s="150">
        <v>3318</v>
      </c>
      <c r="EF28" s="150">
        <v>3332</v>
      </c>
      <c r="EG28" s="150">
        <v>3818</v>
      </c>
      <c r="EH28" s="150">
        <v>3685</v>
      </c>
      <c r="EI28" s="150">
        <v>3607</v>
      </c>
      <c r="EJ28" s="150">
        <v>3383</v>
      </c>
      <c r="EK28" s="150">
        <v>3305</v>
      </c>
      <c r="EL28" s="150">
        <v>3250</v>
      </c>
      <c r="EM28" s="150">
        <v>3056</v>
      </c>
      <c r="EN28" s="150">
        <v>3323</v>
      </c>
      <c r="EO28" s="150">
        <v>3111</v>
      </c>
      <c r="EP28" s="150">
        <v>3716</v>
      </c>
      <c r="EQ28" s="150">
        <v>3516</v>
      </c>
      <c r="ER28" s="150">
        <v>3605</v>
      </c>
      <c r="ES28" s="150">
        <v>3579</v>
      </c>
      <c r="ET28" s="150">
        <v>3427</v>
      </c>
      <c r="EU28" s="150">
        <v>3722</v>
      </c>
      <c r="EV28" s="150">
        <v>3416</v>
      </c>
      <c r="EW28" s="150">
        <v>3171</v>
      </c>
      <c r="EX28" s="204">
        <v>3479</v>
      </c>
      <c r="EY28" s="204">
        <v>3355</v>
      </c>
      <c r="EZ28" s="204">
        <v>3145</v>
      </c>
      <c r="FA28" s="204">
        <v>3507</v>
      </c>
      <c r="FB28" s="204">
        <v>3537</v>
      </c>
      <c r="FC28" s="66" t="s">
        <v>214</v>
      </c>
      <c r="FE28" s="66">
        <v>90887</v>
      </c>
      <c r="FF28" s="66">
        <v>87183</v>
      </c>
      <c r="FG28" s="66">
        <v>84213</v>
      </c>
      <c r="FH28" s="66">
        <v>81030</v>
      </c>
      <c r="FI28" s="66">
        <v>77656</v>
      </c>
      <c r="FJ28" s="66">
        <v>74594</v>
      </c>
      <c r="FK28" s="66">
        <v>71105</v>
      </c>
      <c r="FL28" s="66">
        <v>67485</v>
      </c>
      <c r="FM28" s="66">
        <v>63940</v>
      </c>
      <c r="FN28" s="66">
        <v>60059</v>
      </c>
      <c r="FO28" s="66">
        <v>56744</v>
      </c>
      <c r="FP28" s="66">
        <v>53100</v>
      </c>
      <c r="FQ28" s="66">
        <v>49412</v>
      </c>
      <c r="FR28" s="159">
        <v>46116</v>
      </c>
      <c r="FS28" s="159">
        <v>42637</v>
      </c>
      <c r="FT28" s="159">
        <v>39329</v>
      </c>
      <c r="FU28" s="159">
        <v>35920</v>
      </c>
      <c r="FV28" s="159">
        <v>32606</v>
      </c>
    </row>
    <row r="29" spans="2:178">
      <c r="B29" s="259">
        <v>7618717</v>
      </c>
      <c r="C29" s="181">
        <v>3619127</v>
      </c>
      <c r="D29" s="72" t="s">
        <v>220</v>
      </c>
      <c r="Q29" s="79"/>
      <c r="R29" s="79"/>
      <c r="S29" s="79"/>
      <c r="T29" s="79"/>
      <c r="U29" s="79"/>
      <c r="V29" s="78">
        <v>516</v>
      </c>
      <c r="W29" s="78">
        <v>5574</v>
      </c>
      <c r="X29" s="78">
        <v>5439</v>
      </c>
      <c r="Y29" s="78">
        <v>6832</v>
      </c>
      <c r="Z29" s="78">
        <v>6765</v>
      </c>
      <c r="AA29" s="78">
        <v>6025</v>
      </c>
      <c r="AB29" s="78">
        <v>5749</v>
      </c>
      <c r="AC29" s="67">
        <v>5103</v>
      </c>
      <c r="AD29" s="67">
        <v>4024</v>
      </c>
      <c r="AE29" s="67">
        <v>6950</v>
      </c>
      <c r="AF29" s="67">
        <v>7022</v>
      </c>
      <c r="AG29" s="67">
        <v>7354</v>
      </c>
      <c r="AH29" s="67">
        <v>7291</v>
      </c>
      <c r="AI29" s="66">
        <v>6900</v>
      </c>
      <c r="AJ29" s="67">
        <v>7777</v>
      </c>
      <c r="AK29" s="66">
        <v>8179</v>
      </c>
      <c r="AL29" s="67">
        <v>7860</v>
      </c>
      <c r="AM29" s="67">
        <v>8142</v>
      </c>
      <c r="AN29" s="67">
        <v>6912</v>
      </c>
      <c r="AO29" s="67">
        <v>6447</v>
      </c>
      <c r="AP29" s="67">
        <v>6933</v>
      </c>
      <c r="AQ29" s="67">
        <v>7761</v>
      </c>
      <c r="AR29" s="67">
        <v>7352</v>
      </c>
      <c r="AS29" s="67">
        <v>9007</v>
      </c>
      <c r="AT29" s="67">
        <v>7235</v>
      </c>
      <c r="AU29" s="67">
        <v>5511</v>
      </c>
      <c r="AV29" s="67">
        <v>7587</v>
      </c>
      <c r="AW29" s="67">
        <v>7995</v>
      </c>
      <c r="AX29" s="67">
        <v>6084</v>
      </c>
      <c r="AY29" s="67">
        <v>6639</v>
      </c>
      <c r="AZ29" s="67">
        <v>6342</v>
      </c>
      <c r="BA29" s="76">
        <v>5401</v>
      </c>
      <c r="BB29" s="76">
        <v>6722</v>
      </c>
      <c r="BC29" s="76">
        <v>7178</v>
      </c>
      <c r="BD29" s="76">
        <v>7616</v>
      </c>
      <c r="BE29" s="76">
        <v>8056</v>
      </c>
      <c r="BF29" s="76">
        <v>7432</v>
      </c>
      <c r="BG29" s="77">
        <v>7213</v>
      </c>
      <c r="BH29" s="77">
        <v>6824</v>
      </c>
      <c r="BI29" s="77">
        <v>7584</v>
      </c>
      <c r="BJ29" s="77">
        <v>7661</v>
      </c>
      <c r="BK29" s="77">
        <v>7818</v>
      </c>
      <c r="BL29" s="77">
        <v>6644</v>
      </c>
      <c r="BM29" s="75">
        <v>6650</v>
      </c>
      <c r="BN29" s="75">
        <v>6193</v>
      </c>
      <c r="BO29" s="75">
        <v>6325</v>
      </c>
      <c r="BP29" s="75">
        <v>6770</v>
      </c>
      <c r="BQ29" s="75">
        <v>6599</v>
      </c>
      <c r="BR29" s="75">
        <v>5750</v>
      </c>
      <c r="BS29" s="75">
        <v>5760</v>
      </c>
      <c r="BT29" s="75">
        <v>5638</v>
      </c>
      <c r="BU29" s="75">
        <v>6256</v>
      </c>
      <c r="BV29" s="75">
        <v>6648</v>
      </c>
      <c r="BW29" s="75">
        <v>5794</v>
      </c>
      <c r="BX29" s="75">
        <v>5095</v>
      </c>
      <c r="BY29" s="77">
        <v>5646</v>
      </c>
      <c r="BZ29" s="77">
        <v>5723</v>
      </c>
      <c r="CA29" s="77">
        <v>6516</v>
      </c>
      <c r="CB29" s="77">
        <v>6542</v>
      </c>
      <c r="CC29" s="77">
        <v>4130</v>
      </c>
      <c r="CD29" s="77">
        <v>4231</v>
      </c>
      <c r="CE29" s="77">
        <v>3594</v>
      </c>
      <c r="CF29" s="77">
        <v>3340</v>
      </c>
      <c r="CG29" s="77">
        <v>3901</v>
      </c>
      <c r="CH29" s="77">
        <v>3661</v>
      </c>
      <c r="CI29" s="77">
        <v>4041</v>
      </c>
      <c r="CJ29" s="77">
        <v>4434</v>
      </c>
      <c r="CK29" s="79">
        <v>4167</v>
      </c>
      <c r="CL29" s="79">
        <v>3963</v>
      </c>
      <c r="CM29" s="79">
        <v>4999</v>
      </c>
      <c r="CN29" s="79">
        <v>4168</v>
      </c>
      <c r="CO29" s="134">
        <v>4613</v>
      </c>
      <c r="CP29" s="134">
        <v>4389</v>
      </c>
      <c r="CQ29" s="134">
        <v>4186</v>
      </c>
      <c r="CR29" s="134">
        <v>4085</v>
      </c>
      <c r="CS29" s="134">
        <v>4841</v>
      </c>
      <c r="CT29" s="134">
        <v>4526</v>
      </c>
      <c r="CU29" s="134">
        <v>5248</v>
      </c>
      <c r="CV29" s="134">
        <v>4511</v>
      </c>
      <c r="CW29" s="117">
        <v>4738</v>
      </c>
      <c r="CX29" s="117">
        <v>4863</v>
      </c>
      <c r="CY29" s="117">
        <f>3152+1967</f>
        <v>5119</v>
      </c>
      <c r="CZ29" s="117">
        <v>4710</v>
      </c>
      <c r="DA29" s="117">
        <v>6029</v>
      </c>
      <c r="DB29" s="117">
        <v>5658</v>
      </c>
      <c r="DC29" s="117">
        <v>4515</v>
      </c>
      <c r="DD29" s="117">
        <v>3689</v>
      </c>
      <c r="DE29" s="117">
        <v>4149</v>
      </c>
      <c r="DF29" s="151">
        <v>4585</v>
      </c>
      <c r="DG29" s="151">
        <v>4749</v>
      </c>
      <c r="DH29" s="159">
        <v>4079</v>
      </c>
      <c r="DI29" s="159">
        <v>3683</v>
      </c>
      <c r="DJ29" s="159">
        <v>4586</v>
      </c>
      <c r="DK29" s="159">
        <v>5191</v>
      </c>
      <c r="DL29" s="159">
        <v>5258</v>
      </c>
      <c r="DM29" s="159">
        <v>5764</v>
      </c>
      <c r="DN29" s="162">
        <f t="shared" si="1"/>
        <v>5012</v>
      </c>
      <c r="DO29" s="162">
        <f t="shared" si="2"/>
        <v>3851</v>
      </c>
      <c r="DP29" s="162">
        <f t="shared" si="0"/>
        <v>4984</v>
      </c>
      <c r="DQ29" s="162">
        <f t="shared" si="3"/>
        <v>5273</v>
      </c>
      <c r="DR29" s="162">
        <f t="shared" si="4"/>
        <v>5226</v>
      </c>
      <c r="DS29" s="162">
        <f t="shared" si="5"/>
        <v>5426</v>
      </c>
      <c r="DT29" s="162">
        <f t="shared" si="6"/>
        <v>4534</v>
      </c>
      <c r="DU29" s="162">
        <f t="shared" si="10"/>
        <v>4588</v>
      </c>
      <c r="DV29" s="162">
        <f t="shared" si="11"/>
        <v>5541</v>
      </c>
      <c r="DW29" s="162">
        <f t="shared" si="12"/>
        <v>6129</v>
      </c>
      <c r="DX29" s="162">
        <f t="shared" si="13"/>
        <v>6584</v>
      </c>
      <c r="DY29" s="150">
        <f t="shared" si="7"/>
        <v>6928</v>
      </c>
      <c r="DZ29" s="150">
        <f t="shared" si="14"/>
        <v>6417</v>
      </c>
      <c r="EA29" s="150">
        <f t="shared" si="8"/>
        <v>6683</v>
      </c>
      <c r="EB29" s="150">
        <f t="shared" si="9"/>
        <v>7010</v>
      </c>
      <c r="EC29" s="150">
        <f t="shared" si="15"/>
        <v>7188</v>
      </c>
      <c r="ED29" s="150">
        <f t="shared" si="16"/>
        <v>8108</v>
      </c>
      <c r="EE29" s="150">
        <v>7616</v>
      </c>
      <c r="EF29" s="150">
        <v>6090</v>
      </c>
      <c r="EG29" s="150">
        <v>6469</v>
      </c>
      <c r="EH29" s="150">
        <v>6335</v>
      </c>
      <c r="EI29" s="150">
        <v>7888</v>
      </c>
      <c r="EJ29" s="150">
        <v>8110</v>
      </c>
      <c r="EK29" s="150">
        <v>7805</v>
      </c>
      <c r="EL29" s="150">
        <v>7439</v>
      </c>
      <c r="EM29" s="150">
        <v>6001</v>
      </c>
      <c r="EN29" s="150">
        <v>7334</v>
      </c>
      <c r="EO29" s="150">
        <v>6925</v>
      </c>
      <c r="EP29" s="150">
        <v>7681</v>
      </c>
      <c r="EQ29" s="150">
        <v>7297</v>
      </c>
      <c r="ER29" s="150">
        <v>6932</v>
      </c>
      <c r="ES29" s="150">
        <v>6688</v>
      </c>
      <c r="ET29" s="150">
        <v>7037</v>
      </c>
      <c r="EU29" s="150">
        <v>7955</v>
      </c>
      <c r="EV29" s="150">
        <v>7548</v>
      </c>
      <c r="EW29" s="150">
        <v>7397</v>
      </c>
      <c r="EX29" s="204">
        <v>7247</v>
      </c>
      <c r="EY29" s="204">
        <v>5707</v>
      </c>
      <c r="EZ29" s="204">
        <v>5730</v>
      </c>
      <c r="FA29" s="204">
        <v>7610</v>
      </c>
      <c r="FB29" s="204">
        <v>7190</v>
      </c>
      <c r="FC29" s="72" t="s">
        <v>220</v>
      </c>
      <c r="FE29" s="66">
        <v>169319</v>
      </c>
      <c r="FF29" s="66">
        <v>161211</v>
      </c>
      <c r="FG29" s="66">
        <v>154023</v>
      </c>
      <c r="FH29" s="66">
        <v>147013</v>
      </c>
      <c r="FI29" s="66">
        <v>140330</v>
      </c>
      <c r="FJ29" s="66">
        <v>133913</v>
      </c>
      <c r="FK29" s="66">
        <v>126985</v>
      </c>
      <c r="FL29" s="66">
        <v>120401</v>
      </c>
      <c r="FM29" s="66">
        <v>114272</v>
      </c>
      <c r="FN29" s="66">
        <v>108731</v>
      </c>
      <c r="FO29" s="66">
        <v>104143</v>
      </c>
      <c r="FP29" s="66">
        <v>99609</v>
      </c>
      <c r="FQ29" s="66">
        <v>94183</v>
      </c>
      <c r="FR29" s="159">
        <v>88957</v>
      </c>
      <c r="FS29" s="159">
        <v>83684</v>
      </c>
      <c r="FT29" s="159">
        <v>78700</v>
      </c>
      <c r="FU29" s="159">
        <v>74849</v>
      </c>
      <c r="FV29" s="159">
        <v>69837</v>
      </c>
    </row>
    <row r="30" spans="2:178" ht="17">
      <c r="B30" s="259">
        <v>7631016</v>
      </c>
      <c r="C30" s="181">
        <v>3627139</v>
      </c>
      <c r="D30" s="74" t="s">
        <v>221</v>
      </c>
      <c r="Q30" s="79"/>
      <c r="R30" s="79"/>
      <c r="S30" s="79"/>
      <c r="T30" s="79"/>
      <c r="U30" s="79"/>
      <c r="V30" s="79"/>
      <c r="W30" s="79"/>
      <c r="X30" s="79"/>
      <c r="Y30" s="79"/>
      <c r="Z30" s="78">
        <v>3143</v>
      </c>
      <c r="AA30" s="78">
        <v>3010</v>
      </c>
      <c r="AB30" s="78">
        <v>3409</v>
      </c>
      <c r="AC30" s="67">
        <v>3160</v>
      </c>
      <c r="AD30" s="67">
        <v>3852</v>
      </c>
      <c r="AE30" s="67">
        <v>4413</v>
      </c>
      <c r="AF30" s="67">
        <v>3888</v>
      </c>
      <c r="AG30" s="67">
        <v>3931</v>
      </c>
      <c r="AH30" s="67">
        <v>3573</v>
      </c>
      <c r="AI30" s="66">
        <v>3365</v>
      </c>
      <c r="AJ30" s="67">
        <v>3734</v>
      </c>
      <c r="AK30" s="67">
        <v>3550</v>
      </c>
      <c r="AL30" s="67">
        <v>3745</v>
      </c>
      <c r="AM30" s="67">
        <v>4005</v>
      </c>
      <c r="AN30" s="67">
        <v>4248</v>
      </c>
      <c r="AO30" s="67">
        <v>3934</v>
      </c>
      <c r="AP30" s="67">
        <v>4194</v>
      </c>
      <c r="AQ30" s="67">
        <v>3797</v>
      </c>
      <c r="AR30" s="67">
        <v>3329</v>
      </c>
      <c r="AS30" s="67">
        <v>4016</v>
      </c>
      <c r="AT30" s="67">
        <v>3572</v>
      </c>
      <c r="AU30" s="67">
        <v>3182</v>
      </c>
      <c r="AV30" s="67">
        <v>3863</v>
      </c>
      <c r="AW30" s="67">
        <v>3651</v>
      </c>
      <c r="AX30" s="67">
        <v>3209</v>
      </c>
      <c r="AY30" s="67">
        <v>3802</v>
      </c>
      <c r="AZ30" s="67">
        <v>3812</v>
      </c>
      <c r="BA30" s="76">
        <v>3338</v>
      </c>
      <c r="BB30" s="76">
        <v>4005</v>
      </c>
      <c r="BC30" s="76">
        <v>3740</v>
      </c>
      <c r="BD30" s="76">
        <v>3789</v>
      </c>
      <c r="BE30" s="76">
        <v>3511</v>
      </c>
      <c r="BF30" s="76">
        <v>3450</v>
      </c>
      <c r="BG30" s="77">
        <v>3647</v>
      </c>
      <c r="BH30" s="77">
        <v>3375</v>
      </c>
      <c r="BI30" s="77">
        <v>3502</v>
      </c>
      <c r="BJ30" s="77">
        <v>3917</v>
      </c>
      <c r="BK30" s="77">
        <v>3978</v>
      </c>
      <c r="BL30" s="77">
        <v>3733</v>
      </c>
      <c r="BM30" s="75">
        <v>3977</v>
      </c>
      <c r="BN30" s="75">
        <v>3956</v>
      </c>
      <c r="BO30" s="75">
        <v>3703</v>
      </c>
      <c r="BP30" s="75">
        <v>3928</v>
      </c>
      <c r="BQ30" s="75">
        <v>3687</v>
      </c>
      <c r="BR30" s="75">
        <v>3290</v>
      </c>
      <c r="BS30" s="75">
        <v>3830</v>
      </c>
      <c r="BT30" s="75">
        <v>3433</v>
      </c>
      <c r="BU30" s="75">
        <v>2377</v>
      </c>
      <c r="BV30" s="75">
        <v>3083</v>
      </c>
      <c r="BW30" s="75">
        <v>2732</v>
      </c>
      <c r="BX30" s="75">
        <v>2761</v>
      </c>
      <c r="BY30" s="77">
        <v>3151</v>
      </c>
      <c r="BZ30" s="77">
        <v>3115</v>
      </c>
      <c r="CA30" s="77">
        <v>3153</v>
      </c>
      <c r="CB30" s="77">
        <v>3033</v>
      </c>
      <c r="CC30" s="77">
        <v>2879</v>
      </c>
      <c r="CD30" s="77">
        <v>2744</v>
      </c>
      <c r="CE30" s="77">
        <v>2722</v>
      </c>
      <c r="CF30" s="77">
        <v>2468</v>
      </c>
      <c r="CG30" s="77">
        <v>2957</v>
      </c>
      <c r="CH30" s="77">
        <v>2852</v>
      </c>
      <c r="CI30" s="77">
        <v>3281</v>
      </c>
      <c r="CJ30" s="77">
        <v>3567</v>
      </c>
      <c r="CK30" s="79">
        <v>3391</v>
      </c>
      <c r="CL30" s="79">
        <v>3213</v>
      </c>
      <c r="CM30" s="79">
        <v>3651</v>
      </c>
      <c r="CN30" s="79">
        <v>3216</v>
      </c>
      <c r="CO30" s="134">
        <v>3172</v>
      </c>
      <c r="CP30" s="134">
        <v>2782</v>
      </c>
      <c r="CQ30" s="134">
        <v>2723</v>
      </c>
      <c r="CR30" s="134">
        <v>2699</v>
      </c>
      <c r="CS30" s="134">
        <v>2982</v>
      </c>
      <c r="CT30" s="134">
        <v>2911</v>
      </c>
      <c r="CU30" s="134">
        <v>3141</v>
      </c>
      <c r="CV30" s="134">
        <v>2802</v>
      </c>
      <c r="CW30" s="117">
        <v>3040</v>
      </c>
      <c r="CX30" s="117">
        <v>3071</v>
      </c>
      <c r="CY30" s="117">
        <f>1883+1187</f>
        <v>3070</v>
      </c>
      <c r="CZ30" s="117">
        <v>2721</v>
      </c>
      <c r="DA30" s="117">
        <v>2899</v>
      </c>
      <c r="DB30" s="117">
        <v>2486</v>
      </c>
      <c r="DC30" s="117">
        <v>2265</v>
      </c>
      <c r="DD30" s="117">
        <v>2254</v>
      </c>
      <c r="DE30" s="117">
        <v>2316</v>
      </c>
      <c r="DF30" s="151">
        <v>2322</v>
      </c>
      <c r="DG30" s="151">
        <v>2483</v>
      </c>
      <c r="DH30" s="159">
        <v>2597</v>
      </c>
      <c r="DI30" s="159">
        <v>2441</v>
      </c>
      <c r="DJ30" s="159">
        <v>2692</v>
      </c>
      <c r="DK30" s="159">
        <v>2586</v>
      </c>
      <c r="DL30" s="159">
        <v>2455</v>
      </c>
      <c r="DM30" s="159">
        <v>2720</v>
      </c>
      <c r="DN30" s="162">
        <f t="shared" si="1"/>
        <v>2522</v>
      </c>
      <c r="DO30" s="162">
        <f t="shared" si="2"/>
        <v>2557</v>
      </c>
      <c r="DP30" s="162">
        <f t="shared" si="0"/>
        <v>2283</v>
      </c>
      <c r="DQ30" s="162">
        <f t="shared" si="3"/>
        <v>2934</v>
      </c>
      <c r="DR30" s="162">
        <f t="shared" si="4"/>
        <v>2877</v>
      </c>
      <c r="DS30" s="162">
        <f t="shared" si="5"/>
        <v>3240</v>
      </c>
      <c r="DT30" s="162">
        <f t="shared" si="6"/>
        <v>3047</v>
      </c>
      <c r="DU30" s="162">
        <f t="shared" si="10"/>
        <v>3032</v>
      </c>
      <c r="DV30" s="162">
        <f t="shared" si="11"/>
        <v>3452</v>
      </c>
      <c r="DW30" s="162">
        <f t="shared" si="12"/>
        <v>3067</v>
      </c>
      <c r="DX30" s="162">
        <f t="shared" si="13"/>
        <v>3094</v>
      </c>
      <c r="DY30" s="150">
        <f t="shared" si="7"/>
        <v>3088</v>
      </c>
      <c r="DZ30" s="150">
        <f t="shared" si="14"/>
        <v>2887</v>
      </c>
      <c r="EA30" s="150">
        <f t="shared" si="8"/>
        <v>3149</v>
      </c>
      <c r="EB30" s="150">
        <f t="shared" si="9"/>
        <v>2937</v>
      </c>
      <c r="EC30" s="150">
        <f t="shared" si="15"/>
        <v>2800</v>
      </c>
      <c r="ED30" s="150">
        <f t="shared" si="16"/>
        <v>3054</v>
      </c>
      <c r="EE30" s="150">
        <v>2741</v>
      </c>
      <c r="EF30" s="150">
        <v>2675</v>
      </c>
      <c r="EG30" s="150">
        <v>2949</v>
      </c>
      <c r="EH30" s="150">
        <v>2872</v>
      </c>
      <c r="EI30" s="150">
        <v>2886</v>
      </c>
      <c r="EJ30" s="150">
        <v>2848</v>
      </c>
      <c r="EK30" s="150">
        <v>2850</v>
      </c>
      <c r="EL30" s="150">
        <v>2934</v>
      </c>
      <c r="EM30" s="150">
        <v>2631</v>
      </c>
      <c r="EN30" s="150">
        <v>3001</v>
      </c>
      <c r="EO30" s="150">
        <v>2657</v>
      </c>
      <c r="EP30" s="150">
        <v>3117</v>
      </c>
      <c r="EQ30" s="150">
        <v>2870</v>
      </c>
      <c r="ER30" s="150">
        <v>2956</v>
      </c>
      <c r="ES30" s="150">
        <v>2895</v>
      </c>
      <c r="ET30" s="150">
        <v>2904</v>
      </c>
      <c r="EU30" s="150">
        <v>3128</v>
      </c>
      <c r="EV30" s="150">
        <v>5392</v>
      </c>
      <c r="EW30" s="150">
        <v>2817</v>
      </c>
      <c r="EX30" s="204">
        <v>3060</v>
      </c>
      <c r="EY30" s="204">
        <v>2945</v>
      </c>
      <c r="EZ30" s="204">
        <v>2609</v>
      </c>
      <c r="FA30" s="204">
        <v>3110</v>
      </c>
      <c r="FB30" s="204">
        <v>3050</v>
      </c>
      <c r="FC30" s="74" t="s">
        <v>221</v>
      </c>
      <c r="FE30" s="66">
        <v>87152</v>
      </c>
      <c r="FF30" s="66">
        <v>84098</v>
      </c>
      <c r="FG30" s="66">
        <v>81298</v>
      </c>
      <c r="FH30" s="66">
        <v>78361</v>
      </c>
      <c r="FI30" s="66">
        <v>75212</v>
      </c>
      <c r="FJ30" s="66">
        <v>72325</v>
      </c>
      <c r="FK30" s="66">
        <v>69237</v>
      </c>
      <c r="FL30" s="66">
        <v>66143</v>
      </c>
      <c r="FM30" s="66">
        <v>63076</v>
      </c>
      <c r="FN30" s="66">
        <v>59624</v>
      </c>
      <c r="FO30" s="66">
        <v>56592</v>
      </c>
      <c r="FP30" s="66">
        <v>53545</v>
      </c>
      <c r="FQ30" s="66">
        <v>50305</v>
      </c>
      <c r="FR30" s="159">
        <v>47428</v>
      </c>
      <c r="FS30" s="159">
        <v>44494</v>
      </c>
      <c r="FT30" s="159">
        <v>42211</v>
      </c>
      <c r="FU30" s="159">
        <v>39654</v>
      </c>
      <c r="FV30" s="159">
        <v>37132</v>
      </c>
    </row>
    <row r="31" spans="2:178">
      <c r="B31" s="259">
        <v>7631013</v>
      </c>
      <c r="C31" s="181">
        <v>3635632</v>
      </c>
      <c r="D31" s="72" t="s">
        <v>222</v>
      </c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K31" s="67">
        <v>565</v>
      </c>
      <c r="AL31" s="67">
        <v>1796</v>
      </c>
      <c r="AM31" s="67">
        <v>1871</v>
      </c>
      <c r="AN31" s="67">
        <v>2309</v>
      </c>
      <c r="AO31" s="67">
        <v>2128</v>
      </c>
      <c r="AP31" s="67">
        <v>2486</v>
      </c>
      <c r="AQ31" s="67">
        <v>2328</v>
      </c>
      <c r="AR31" s="67">
        <v>2115</v>
      </c>
      <c r="AS31" s="66">
        <v>2510</v>
      </c>
      <c r="AT31" s="67">
        <v>2735</v>
      </c>
      <c r="AU31" s="67">
        <v>2525</v>
      </c>
      <c r="AV31" s="67">
        <v>3130</v>
      </c>
      <c r="AW31" s="67">
        <v>3054</v>
      </c>
      <c r="AX31" s="67">
        <v>2696</v>
      </c>
      <c r="AY31" s="67">
        <v>3019</v>
      </c>
      <c r="AZ31" s="67">
        <v>2845</v>
      </c>
      <c r="BA31" s="76">
        <v>2587</v>
      </c>
      <c r="BB31" s="76">
        <v>3185</v>
      </c>
      <c r="BC31" s="76">
        <v>2992</v>
      </c>
      <c r="BD31" s="76">
        <v>2982</v>
      </c>
      <c r="BE31" s="76">
        <v>2729</v>
      </c>
      <c r="BF31" s="76">
        <v>2685</v>
      </c>
      <c r="BG31" s="77">
        <v>2829</v>
      </c>
      <c r="BH31" s="77">
        <v>2604</v>
      </c>
      <c r="BI31" s="77">
        <v>2690</v>
      </c>
      <c r="BJ31" s="77">
        <v>3321</v>
      </c>
      <c r="BK31" s="77">
        <v>3267</v>
      </c>
      <c r="BL31" s="77">
        <v>3129</v>
      </c>
      <c r="BM31" s="75">
        <v>3407</v>
      </c>
      <c r="BN31" s="75">
        <v>3431</v>
      </c>
      <c r="BO31" s="75">
        <v>3277</v>
      </c>
      <c r="BP31" s="75">
        <v>3604</v>
      </c>
      <c r="BQ31" s="75">
        <v>3565</v>
      </c>
      <c r="BR31" s="75">
        <v>3173</v>
      </c>
      <c r="BS31" s="75">
        <v>3696</v>
      </c>
      <c r="BT31" s="75">
        <v>3312</v>
      </c>
      <c r="BU31" s="75">
        <v>3391</v>
      </c>
      <c r="BV31" s="75">
        <v>3679</v>
      </c>
      <c r="BW31" s="75">
        <v>3483</v>
      </c>
      <c r="BX31" s="75">
        <v>3320</v>
      </c>
      <c r="BY31" s="77">
        <v>3696</v>
      </c>
      <c r="BZ31" s="77">
        <v>3604</v>
      </c>
      <c r="CA31" s="77">
        <v>3671</v>
      </c>
      <c r="CB31" s="77">
        <v>3539</v>
      </c>
      <c r="CC31" s="77">
        <v>3499</v>
      </c>
      <c r="CD31" s="77">
        <v>3563</v>
      </c>
      <c r="CE31" s="77">
        <v>3511</v>
      </c>
      <c r="CF31" s="77">
        <v>3126</v>
      </c>
      <c r="CG31" s="77">
        <v>3500</v>
      </c>
      <c r="CH31" s="77">
        <v>3294</v>
      </c>
      <c r="CI31" s="77">
        <v>3351</v>
      </c>
      <c r="CJ31" s="77">
        <v>3560</v>
      </c>
      <c r="CK31" s="79">
        <v>3385</v>
      </c>
      <c r="CL31" s="79">
        <v>3248</v>
      </c>
      <c r="CM31" s="79">
        <v>3743</v>
      </c>
      <c r="CN31" s="79">
        <v>3359</v>
      </c>
      <c r="CO31" s="134">
        <v>3549</v>
      </c>
      <c r="CP31" s="134">
        <v>3408</v>
      </c>
      <c r="CQ31" s="134">
        <v>3415</v>
      </c>
      <c r="CR31" s="134">
        <v>3183</v>
      </c>
      <c r="CS31" s="134">
        <v>3662</v>
      </c>
      <c r="CT31" s="134">
        <v>3462</v>
      </c>
      <c r="CU31" s="134">
        <v>3763</v>
      </c>
      <c r="CV31" s="134">
        <v>3352</v>
      </c>
      <c r="CW31" s="117">
        <v>3599</v>
      </c>
      <c r="CX31" s="117">
        <v>3597</v>
      </c>
      <c r="CY31" s="117">
        <f>2200+1431</f>
        <v>3631</v>
      </c>
      <c r="CZ31" s="117">
        <v>3222</v>
      </c>
      <c r="DA31" s="117">
        <v>3618</v>
      </c>
      <c r="DB31" s="117">
        <v>3269</v>
      </c>
      <c r="DC31" s="117">
        <v>3085</v>
      </c>
      <c r="DD31" s="117">
        <v>3279</v>
      </c>
      <c r="DE31" s="117">
        <v>3189</v>
      </c>
      <c r="DF31" s="151">
        <v>3165</v>
      </c>
      <c r="DG31" s="151">
        <v>3556</v>
      </c>
      <c r="DH31" s="159">
        <v>5699</v>
      </c>
      <c r="DI31" s="159">
        <v>5172</v>
      </c>
      <c r="DJ31" s="159">
        <v>5805</v>
      </c>
      <c r="DK31" s="159">
        <v>5627</v>
      </c>
      <c r="DL31" s="159">
        <v>5378</v>
      </c>
      <c r="DM31" s="159">
        <v>5955</v>
      </c>
      <c r="DN31" s="162">
        <f t="shared" si="1"/>
        <v>2660</v>
      </c>
      <c r="DO31" s="162">
        <f t="shared" si="2"/>
        <v>8578</v>
      </c>
      <c r="DP31" s="162">
        <f t="shared" si="0"/>
        <v>5472</v>
      </c>
      <c r="DQ31" s="162">
        <f t="shared" si="3"/>
        <v>5762</v>
      </c>
      <c r="DR31" s="162">
        <f t="shared" si="4"/>
        <v>5621</v>
      </c>
      <c r="DS31" s="162">
        <f t="shared" si="5"/>
        <v>6144</v>
      </c>
      <c r="DT31" s="162">
        <f t="shared" si="6"/>
        <v>5988</v>
      </c>
      <c r="DU31" s="162">
        <f t="shared" si="10"/>
        <v>5510</v>
      </c>
      <c r="DV31" s="162">
        <f t="shared" si="11"/>
        <v>6511</v>
      </c>
      <c r="DW31" s="162">
        <f t="shared" si="12"/>
        <v>6106</v>
      </c>
      <c r="DX31" s="162">
        <f t="shared" si="13"/>
        <v>6266</v>
      </c>
      <c r="DY31" s="150">
        <f t="shared" si="7"/>
        <v>6332</v>
      </c>
      <c r="DZ31" s="150">
        <f t="shared" si="14"/>
        <v>5768</v>
      </c>
      <c r="EA31" s="150">
        <f t="shared" si="8"/>
        <v>6286</v>
      </c>
      <c r="EB31" s="150">
        <f t="shared" si="9"/>
        <v>6023</v>
      </c>
      <c r="EC31" s="150">
        <f t="shared" si="15"/>
        <v>5728</v>
      </c>
      <c r="ED31" s="150">
        <f t="shared" si="16"/>
        <v>6759</v>
      </c>
      <c r="EE31" s="150">
        <v>5831</v>
      </c>
      <c r="EF31" s="150">
        <v>6188</v>
      </c>
      <c r="EG31" s="150">
        <v>6375</v>
      </c>
      <c r="EH31" s="150">
        <v>6119</v>
      </c>
      <c r="EI31" s="150">
        <v>6349</v>
      </c>
      <c r="EJ31" s="150">
        <v>6158</v>
      </c>
      <c r="EK31" s="150">
        <v>6113</v>
      </c>
      <c r="EL31" s="150">
        <v>6030</v>
      </c>
      <c r="EM31" s="150">
        <v>5468</v>
      </c>
      <c r="EN31" s="150">
        <v>6042</v>
      </c>
      <c r="EO31" s="150">
        <v>5576</v>
      </c>
      <c r="EP31" s="150">
        <v>6526</v>
      </c>
      <c r="EQ31" s="150">
        <v>5998</v>
      </c>
      <c r="ER31" s="150">
        <v>6520</v>
      </c>
      <c r="ES31" s="150">
        <v>5911</v>
      </c>
      <c r="ET31" s="150">
        <v>5867</v>
      </c>
      <c r="EU31" s="150">
        <v>6576</v>
      </c>
      <c r="EV31" s="150">
        <v>6181</v>
      </c>
      <c r="EW31" s="150">
        <v>6077</v>
      </c>
      <c r="EX31" s="204">
        <v>6627</v>
      </c>
      <c r="EY31" s="204">
        <v>6337</v>
      </c>
      <c r="EZ31" s="204">
        <v>5967</v>
      </c>
      <c r="FA31" s="204">
        <v>6861</v>
      </c>
      <c r="FB31" s="204">
        <v>6793</v>
      </c>
      <c r="FC31" s="72" t="s">
        <v>222</v>
      </c>
      <c r="FE31" s="66">
        <v>163775</v>
      </c>
      <c r="FF31" s="66">
        <v>157016</v>
      </c>
      <c r="FG31" s="66">
        <v>151288</v>
      </c>
      <c r="FH31" s="66">
        <v>145265</v>
      </c>
      <c r="FI31" s="66">
        <v>138979</v>
      </c>
      <c r="FJ31" s="66">
        <v>133211</v>
      </c>
      <c r="FK31" s="66">
        <v>126879</v>
      </c>
      <c r="FL31" s="66">
        <v>120613</v>
      </c>
      <c r="FM31" s="66">
        <v>114507</v>
      </c>
      <c r="FN31" s="66">
        <v>107996</v>
      </c>
      <c r="FO31" s="66">
        <v>102486</v>
      </c>
      <c r="FP31" s="66">
        <v>96498</v>
      </c>
      <c r="FQ31" s="66">
        <v>90354</v>
      </c>
      <c r="FR31" s="159">
        <v>84733</v>
      </c>
      <c r="FS31" s="159">
        <v>78971</v>
      </c>
      <c r="FT31" s="159">
        <v>73499</v>
      </c>
      <c r="FU31" s="159">
        <v>64921</v>
      </c>
      <c r="FV31" s="159">
        <v>62261</v>
      </c>
    </row>
    <row r="32" spans="2:178">
      <c r="B32" s="262">
        <v>7631009</v>
      </c>
      <c r="C32" s="181">
        <v>3636372</v>
      </c>
      <c r="D32" s="66" t="s">
        <v>213</v>
      </c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8"/>
      <c r="AC32" s="67"/>
      <c r="AD32" s="67"/>
      <c r="AE32" s="67"/>
      <c r="AF32" s="67"/>
      <c r="AG32" s="67"/>
      <c r="AH32" s="67"/>
      <c r="AJ32" s="67"/>
      <c r="AK32" s="67"/>
      <c r="AL32" s="67">
        <v>2088</v>
      </c>
      <c r="AM32" s="67">
        <v>3298</v>
      </c>
      <c r="AN32" s="67">
        <v>3258</v>
      </c>
      <c r="AO32" s="67">
        <v>3632</v>
      </c>
      <c r="AP32" s="67">
        <v>4627</v>
      </c>
      <c r="AQ32" s="67">
        <v>4447</v>
      </c>
      <c r="AR32" s="67">
        <v>4021</v>
      </c>
      <c r="AS32" s="67">
        <v>4430</v>
      </c>
      <c r="AT32" s="67">
        <v>3969</v>
      </c>
      <c r="AU32" s="67">
        <v>3618</v>
      </c>
      <c r="AV32" s="67">
        <v>4417</v>
      </c>
      <c r="AW32" s="67">
        <v>3420</v>
      </c>
      <c r="AX32" s="67">
        <v>2693</v>
      </c>
      <c r="AY32" s="67">
        <v>3030</v>
      </c>
      <c r="AZ32" s="67">
        <v>3174</v>
      </c>
      <c r="BA32" s="76">
        <v>2915</v>
      </c>
      <c r="BB32" s="76">
        <v>3450</v>
      </c>
      <c r="BC32" s="76">
        <v>3153</v>
      </c>
      <c r="BD32" s="76">
        <v>3215</v>
      </c>
      <c r="BE32" s="76">
        <v>3160</v>
      </c>
      <c r="BF32" s="76">
        <v>2893</v>
      </c>
      <c r="BG32" s="77">
        <v>3158</v>
      </c>
      <c r="BH32" s="77">
        <v>2841</v>
      </c>
      <c r="BI32" s="77">
        <v>2870</v>
      </c>
      <c r="BJ32" s="77">
        <v>3191</v>
      </c>
      <c r="BK32" s="77">
        <v>3068</v>
      </c>
      <c r="BL32" s="77">
        <v>2941</v>
      </c>
      <c r="BM32" s="75">
        <v>3157</v>
      </c>
      <c r="BN32" s="75">
        <v>3194</v>
      </c>
      <c r="BO32" s="75">
        <v>2984</v>
      </c>
      <c r="BP32" s="75">
        <v>3311</v>
      </c>
      <c r="BQ32" s="75">
        <v>3263</v>
      </c>
      <c r="BR32" s="75">
        <v>2927</v>
      </c>
      <c r="BS32" s="75">
        <v>3423</v>
      </c>
      <c r="BT32" s="75">
        <v>3049</v>
      </c>
      <c r="BU32" s="75">
        <v>3080</v>
      </c>
      <c r="BV32" s="75">
        <v>3407</v>
      </c>
      <c r="BW32" s="75">
        <v>3180</v>
      </c>
      <c r="BX32" s="75">
        <v>3129</v>
      </c>
      <c r="BY32" s="77">
        <v>3464</v>
      </c>
      <c r="BZ32" s="77">
        <v>3369</v>
      </c>
      <c r="CA32" s="77">
        <v>3399</v>
      </c>
      <c r="CB32" s="77">
        <v>3222</v>
      </c>
      <c r="CC32" s="77">
        <v>3230</v>
      </c>
      <c r="CD32" s="77">
        <v>3261</v>
      </c>
      <c r="CE32" s="77">
        <v>3287</v>
      </c>
      <c r="CF32" s="77">
        <v>3122</v>
      </c>
      <c r="CG32" s="77">
        <v>3343</v>
      </c>
      <c r="CH32" s="77">
        <v>3218</v>
      </c>
      <c r="CI32" s="77">
        <v>3234</v>
      </c>
      <c r="CJ32" s="77">
        <v>3436</v>
      </c>
      <c r="CK32" s="79">
        <v>3268</v>
      </c>
      <c r="CL32" s="79">
        <v>3162</v>
      </c>
      <c r="CM32" s="79">
        <v>3582</v>
      </c>
      <c r="CN32" s="79">
        <v>3149</v>
      </c>
      <c r="CO32" s="134">
        <v>3286</v>
      </c>
      <c r="CP32" s="134">
        <v>3312</v>
      </c>
      <c r="CQ32" s="134">
        <v>3305</v>
      </c>
      <c r="CR32" s="134">
        <v>3120</v>
      </c>
      <c r="CS32" s="134">
        <v>3601</v>
      </c>
      <c r="CT32" s="134">
        <v>3399</v>
      </c>
      <c r="CU32" s="134">
        <v>3622</v>
      </c>
      <c r="CV32" s="134">
        <v>3322</v>
      </c>
      <c r="CW32" s="117">
        <v>3494</v>
      </c>
      <c r="CX32" s="117">
        <v>3461</v>
      </c>
      <c r="CY32" s="117">
        <f>2125+1360</f>
        <v>3485</v>
      </c>
      <c r="CZ32" s="117">
        <v>3111</v>
      </c>
      <c r="DA32" s="117">
        <v>3436</v>
      </c>
      <c r="DB32" s="117">
        <v>3188</v>
      </c>
      <c r="DC32" s="117">
        <v>3102</v>
      </c>
      <c r="DD32" s="117">
        <v>3362</v>
      </c>
      <c r="DE32" s="117">
        <v>3257</v>
      </c>
      <c r="DF32" s="151">
        <v>3242</v>
      </c>
      <c r="DG32" s="151">
        <v>3362</v>
      </c>
      <c r="DH32" s="159">
        <v>3347</v>
      </c>
      <c r="DI32" s="159">
        <v>3201</v>
      </c>
      <c r="DJ32" s="159">
        <v>3391</v>
      </c>
      <c r="DK32" s="159">
        <v>3394</v>
      </c>
      <c r="DL32" s="159">
        <v>3066</v>
      </c>
      <c r="DM32" s="159">
        <v>3502</v>
      </c>
      <c r="DN32" s="162">
        <f t="shared" si="1"/>
        <v>3329</v>
      </c>
      <c r="DO32" s="162">
        <f t="shared" si="2"/>
        <v>3266</v>
      </c>
      <c r="DP32" s="162">
        <f t="shared" si="0"/>
        <v>3124</v>
      </c>
      <c r="DQ32" s="162">
        <f t="shared" si="3"/>
        <v>3277</v>
      </c>
      <c r="DR32" s="162">
        <f t="shared" si="4"/>
        <v>3087</v>
      </c>
      <c r="DS32" s="162">
        <f t="shared" si="5"/>
        <v>3469</v>
      </c>
      <c r="DT32" s="162">
        <f t="shared" si="6"/>
        <v>9211</v>
      </c>
      <c r="DU32" s="162">
        <f t="shared" si="10"/>
        <v>637</v>
      </c>
      <c r="DV32" s="162">
        <f>FM32-FN32</f>
        <v>0</v>
      </c>
      <c r="DW32" s="162">
        <f t="shared" si="12"/>
        <v>3260</v>
      </c>
      <c r="DX32" s="162">
        <f t="shared" si="13"/>
        <v>3351</v>
      </c>
      <c r="DY32" s="150">
        <f t="shared" si="7"/>
        <v>3396</v>
      </c>
      <c r="DZ32" s="150">
        <f t="shared" si="14"/>
        <v>3104</v>
      </c>
      <c r="EA32" s="150">
        <f t="shared" si="8"/>
        <v>3488</v>
      </c>
      <c r="EB32" s="150">
        <f t="shared" si="9"/>
        <v>3223</v>
      </c>
      <c r="EC32" s="150">
        <f t="shared" si="15"/>
        <v>3033</v>
      </c>
      <c r="ED32" s="150">
        <f t="shared" si="16"/>
        <v>3610</v>
      </c>
      <c r="EE32" s="150">
        <v>3259</v>
      </c>
      <c r="EF32" s="150">
        <v>3142</v>
      </c>
      <c r="EG32" s="150">
        <v>3477</v>
      </c>
      <c r="EH32" s="150">
        <v>3396</v>
      </c>
      <c r="EI32" s="150">
        <v>3418</v>
      </c>
      <c r="EJ32" s="150">
        <v>3474</v>
      </c>
      <c r="EK32" s="150">
        <v>6333</v>
      </c>
      <c r="EL32" s="150">
        <v>6427</v>
      </c>
      <c r="EM32" s="150">
        <v>6006</v>
      </c>
      <c r="EN32" s="150">
        <v>6556</v>
      </c>
      <c r="EO32" s="150">
        <v>6040</v>
      </c>
      <c r="EP32" s="150">
        <v>7032</v>
      </c>
      <c r="EQ32" s="150">
        <v>6388</v>
      </c>
      <c r="ER32" s="150">
        <v>6520</v>
      </c>
      <c r="ES32" s="150">
        <v>6331</v>
      </c>
      <c r="ET32" s="150">
        <v>6313</v>
      </c>
      <c r="EU32" s="150">
        <v>6819</v>
      </c>
      <c r="EV32" s="150">
        <v>6380</v>
      </c>
      <c r="EW32" s="150">
        <v>6023</v>
      </c>
      <c r="EX32" s="204">
        <v>6802</v>
      </c>
      <c r="EY32" s="204">
        <v>6547</v>
      </c>
      <c r="EZ32" s="204">
        <v>6003</v>
      </c>
      <c r="FA32" s="204">
        <v>6851</v>
      </c>
      <c r="FB32" s="204">
        <v>7086</v>
      </c>
      <c r="FC32" s="66" t="s">
        <v>213</v>
      </c>
      <c r="FE32" s="66">
        <v>103963</v>
      </c>
      <c r="FF32" s="66">
        <v>100353</v>
      </c>
      <c r="FG32" s="66">
        <v>97320</v>
      </c>
      <c r="FH32" s="66">
        <v>94097</v>
      </c>
      <c r="FI32" s="66">
        <v>90609</v>
      </c>
      <c r="FJ32" s="66">
        <v>87505</v>
      </c>
      <c r="FK32" s="66">
        <v>84109</v>
      </c>
      <c r="FL32" s="66">
        <v>80758</v>
      </c>
      <c r="FM32" s="66">
        <v>77498</v>
      </c>
      <c r="FN32" s="66">
        <v>77498</v>
      </c>
      <c r="FO32" s="66">
        <v>76861</v>
      </c>
      <c r="FP32" s="66">
        <v>67650</v>
      </c>
      <c r="FQ32" s="66">
        <v>64181</v>
      </c>
      <c r="FR32" s="159">
        <v>61094</v>
      </c>
      <c r="FS32" s="159">
        <v>57817</v>
      </c>
      <c r="FT32" s="159">
        <v>54693</v>
      </c>
      <c r="FU32" s="159">
        <v>51427</v>
      </c>
      <c r="FV32" s="159">
        <v>48098</v>
      </c>
    </row>
    <row r="33" spans="1:178">
      <c r="B33" s="259">
        <v>7631008</v>
      </c>
      <c r="C33" s="181">
        <v>3637425</v>
      </c>
      <c r="D33" s="66" t="s">
        <v>215</v>
      </c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M33" s="67">
        <v>26</v>
      </c>
      <c r="AN33" s="67">
        <v>21</v>
      </c>
      <c r="AO33" s="67">
        <v>13</v>
      </c>
      <c r="AP33" s="67">
        <v>2046</v>
      </c>
      <c r="AQ33" s="67">
        <v>3257</v>
      </c>
      <c r="AR33" s="67">
        <v>2943</v>
      </c>
      <c r="AS33" s="67">
        <v>3420</v>
      </c>
      <c r="AT33" s="67">
        <v>3093</v>
      </c>
      <c r="AU33" s="67">
        <v>2777</v>
      </c>
      <c r="AV33" s="67">
        <v>3372</v>
      </c>
      <c r="AW33" s="67">
        <v>3202</v>
      </c>
      <c r="AX33" s="67">
        <v>2897</v>
      </c>
      <c r="AY33" s="67">
        <v>2704</v>
      </c>
      <c r="AZ33" s="67">
        <v>5661</v>
      </c>
      <c r="BA33" s="76">
        <v>5636</v>
      </c>
      <c r="BB33" s="76">
        <v>6303</v>
      </c>
      <c r="BC33" s="76">
        <v>5963</v>
      </c>
      <c r="BD33" s="76">
        <v>6094</v>
      </c>
      <c r="BE33" s="76">
        <v>6014</v>
      </c>
      <c r="BF33" s="76">
        <v>5582</v>
      </c>
      <c r="BG33" s="77">
        <v>6213</v>
      </c>
      <c r="BH33" s="77">
        <v>5572</v>
      </c>
      <c r="BI33" s="77">
        <v>5666</v>
      </c>
      <c r="BJ33" s="77">
        <v>6331</v>
      </c>
      <c r="BK33" s="77">
        <v>6154</v>
      </c>
      <c r="BL33" s="77">
        <v>5709</v>
      </c>
      <c r="BM33" s="75">
        <v>6145</v>
      </c>
      <c r="BN33" s="75">
        <v>6246</v>
      </c>
      <c r="BO33" s="75">
        <v>5763</v>
      </c>
      <c r="BP33" s="75">
        <v>6304</v>
      </c>
      <c r="BQ33" s="75">
        <v>5915</v>
      </c>
      <c r="BR33" s="75">
        <v>5293</v>
      </c>
      <c r="BS33" s="75">
        <v>6193</v>
      </c>
      <c r="BT33" s="75">
        <v>5523</v>
      </c>
      <c r="BU33" s="75">
        <v>5385</v>
      </c>
      <c r="BV33" s="75">
        <v>6019</v>
      </c>
      <c r="BW33" s="75">
        <v>5597</v>
      </c>
      <c r="BX33" s="75">
        <v>5425</v>
      </c>
      <c r="BY33" s="77">
        <v>6035</v>
      </c>
      <c r="BZ33" s="77">
        <v>5738</v>
      </c>
      <c r="CA33" s="77">
        <v>5835</v>
      </c>
      <c r="CB33" s="77">
        <v>5583</v>
      </c>
      <c r="CC33" s="77">
        <v>5558</v>
      </c>
      <c r="CD33" s="77">
        <v>5636</v>
      </c>
      <c r="CE33" s="77">
        <v>5663</v>
      </c>
      <c r="CF33" s="77">
        <v>5329</v>
      </c>
      <c r="CG33" s="77">
        <v>5733</v>
      </c>
      <c r="CH33" s="77">
        <v>5543</v>
      </c>
      <c r="CI33" s="77">
        <v>5674</v>
      </c>
      <c r="CJ33" s="77">
        <v>5936</v>
      </c>
      <c r="CK33" s="79">
        <v>5751</v>
      </c>
      <c r="CL33" s="79">
        <v>5536</v>
      </c>
      <c r="CM33" s="79">
        <v>6129</v>
      </c>
      <c r="CN33" s="79">
        <v>5293</v>
      </c>
      <c r="CO33" s="134">
        <v>5421</v>
      </c>
      <c r="CP33" s="134">
        <v>5248</v>
      </c>
      <c r="CQ33" s="134">
        <v>5258</v>
      </c>
      <c r="CR33" s="134">
        <v>4963</v>
      </c>
      <c r="CS33" s="134">
        <v>5164</v>
      </c>
      <c r="CT33" s="134">
        <v>4793</v>
      </c>
      <c r="CU33" s="134">
        <v>5132</v>
      </c>
      <c r="CV33" s="134">
        <v>4781</v>
      </c>
      <c r="CW33" s="117">
        <v>4878</v>
      </c>
      <c r="CX33" s="117">
        <v>5018</v>
      </c>
      <c r="CY33" s="117">
        <f>2912+1947</f>
        <v>4859</v>
      </c>
      <c r="CZ33" s="117">
        <v>4773</v>
      </c>
      <c r="DA33" s="117">
        <v>4980</v>
      </c>
      <c r="DB33" s="117">
        <v>4568</v>
      </c>
      <c r="DC33" s="117">
        <v>4442</v>
      </c>
      <c r="DD33" s="117">
        <v>4774</v>
      </c>
      <c r="DE33" s="117">
        <v>4647</v>
      </c>
      <c r="DF33" s="151">
        <v>4677</v>
      </c>
      <c r="DG33" s="151">
        <v>4799</v>
      </c>
      <c r="DH33" s="159">
        <v>4829</v>
      </c>
      <c r="DI33" s="159">
        <v>4337</v>
      </c>
      <c r="DJ33" s="159">
        <v>5198</v>
      </c>
      <c r="DK33" s="159">
        <v>4912</v>
      </c>
      <c r="DL33" s="159">
        <v>4399</v>
      </c>
      <c r="DM33" s="159">
        <v>4921</v>
      </c>
      <c r="DN33" s="162">
        <f t="shared" si="1"/>
        <v>4660</v>
      </c>
      <c r="DO33" s="162">
        <f t="shared" si="2"/>
        <v>4610</v>
      </c>
      <c r="DP33" s="162">
        <f t="shared" si="0"/>
        <v>4371</v>
      </c>
      <c r="DQ33" s="162">
        <f t="shared" si="3"/>
        <v>4554</v>
      </c>
      <c r="DR33" s="162">
        <f t="shared" si="4"/>
        <v>4381</v>
      </c>
      <c r="DS33" s="162">
        <f t="shared" si="5"/>
        <v>4855</v>
      </c>
      <c r="DT33" s="162">
        <f t="shared" si="6"/>
        <v>4735</v>
      </c>
      <c r="DU33" s="162">
        <f t="shared" si="10"/>
        <v>4592</v>
      </c>
      <c r="DV33" s="162">
        <f t="shared" si="11"/>
        <v>5241</v>
      </c>
      <c r="DW33" s="162">
        <f t="shared" si="12"/>
        <v>4740</v>
      </c>
      <c r="DX33" s="162">
        <f t="shared" si="13"/>
        <v>4825</v>
      </c>
      <c r="DY33" s="150">
        <f t="shared" si="7"/>
        <v>4814</v>
      </c>
      <c r="DZ33" s="150">
        <f t="shared" si="14"/>
        <v>4409</v>
      </c>
      <c r="EA33" s="150">
        <f t="shared" si="8"/>
        <v>4815</v>
      </c>
      <c r="EB33" s="150">
        <f t="shared" si="9"/>
        <v>4508</v>
      </c>
      <c r="EC33" s="150">
        <f t="shared" si="15"/>
        <v>4176</v>
      </c>
      <c r="ED33" s="150">
        <f t="shared" si="16"/>
        <v>4817</v>
      </c>
      <c r="EE33" s="150">
        <v>4466</v>
      </c>
      <c r="EF33" s="150">
        <v>4339</v>
      </c>
      <c r="EG33" s="150">
        <v>4766</v>
      </c>
      <c r="EH33" s="150">
        <v>4796</v>
      </c>
      <c r="EI33" s="150">
        <v>4805</v>
      </c>
      <c r="EJ33" s="150">
        <v>4588</v>
      </c>
      <c r="EK33" s="150">
        <v>4604</v>
      </c>
      <c r="EL33" s="150">
        <v>4642</v>
      </c>
      <c r="EM33" s="150">
        <v>4168</v>
      </c>
      <c r="EN33" s="150">
        <v>4748</v>
      </c>
      <c r="EO33" s="150">
        <v>4251</v>
      </c>
      <c r="EP33" s="150">
        <v>4996</v>
      </c>
      <c r="EQ33" s="150">
        <v>4631</v>
      </c>
      <c r="ER33" s="150">
        <v>4773</v>
      </c>
      <c r="ES33" s="150">
        <v>4630</v>
      </c>
      <c r="ET33" s="150">
        <v>4520</v>
      </c>
      <c r="EU33" s="150">
        <v>4849</v>
      </c>
      <c r="EV33" s="150">
        <v>4455</v>
      </c>
      <c r="EW33" s="150">
        <v>4214</v>
      </c>
      <c r="EX33" s="204">
        <v>4658</v>
      </c>
      <c r="EY33" s="204">
        <v>4448</v>
      </c>
      <c r="EZ33" s="204">
        <v>3933</v>
      </c>
      <c r="FA33" s="204">
        <v>4693</v>
      </c>
      <c r="FB33" s="204">
        <v>4670</v>
      </c>
      <c r="FC33" s="66" t="s">
        <v>215</v>
      </c>
      <c r="FE33" s="66">
        <v>148283</v>
      </c>
      <c r="FF33" s="66">
        <v>143466</v>
      </c>
      <c r="FG33" s="66">
        <v>139290</v>
      </c>
      <c r="FH33" s="66">
        <v>134782</v>
      </c>
      <c r="FI33" s="66">
        <v>129967</v>
      </c>
      <c r="FJ33" s="66">
        <v>125558</v>
      </c>
      <c r="FK33" s="66">
        <v>120744</v>
      </c>
      <c r="FL33" s="66">
        <v>115919</v>
      </c>
      <c r="FM33" s="66">
        <v>111179</v>
      </c>
      <c r="FN33" s="66">
        <v>105938</v>
      </c>
      <c r="FO33" s="66">
        <v>101346</v>
      </c>
      <c r="FP33" s="66">
        <v>96611</v>
      </c>
      <c r="FQ33" s="66">
        <v>91756</v>
      </c>
      <c r="FR33" s="159">
        <v>87375</v>
      </c>
      <c r="FS33" s="159">
        <v>82821</v>
      </c>
      <c r="FT33" s="159">
        <v>78450</v>
      </c>
      <c r="FU33" s="159">
        <v>73840</v>
      </c>
      <c r="FV33" s="159">
        <v>69180</v>
      </c>
    </row>
    <row r="34" spans="1:178">
      <c r="B34" s="220">
        <v>7633635</v>
      </c>
      <c r="C34" s="181">
        <v>5643250</v>
      </c>
      <c r="D34" s="66" t="s">
        <v>204</v>
      </c>
      <c r="E34" s="66">
        <v>161</v>
      </c>
      <c r="F34" s="66">
        <v>157</v>
      </c>
      <c r="G34" s="66">
        <v>157</v>
      </c>
      <c r="H34" s="66">
        <v>152</v>
      </c>
      <c r="I34" s="66">
        <v>78</v>
      </c>
      <c r="J34" s="66">
        <v>228</v>
      </c>
      <c r="K34" s="66">
        <v>155</v>
      </c>
      <c r="L34" s="66">
        <v>145</v>
      </c>
      <c r="M34" s="66">
        <v>141</v>
      </c>
      <c r="N34" s="66">
        <v>166</v>
      </c>
      <c r="O34" s="66">
        <v>152</v>
      </c>
      <c r="P34" s="66">
        <v>158</v>
      </c>
      <c r="Q34" s="79">
        <v>160</v>
      </c>
      <c r="R34" s="78">
        <v>151</v>
      </c>
      <c r="S34" s="78">
        <v>164</v>
      </c>
      <c r="T34" s="78">
        <v>153</v>
      </c>
      <c r="U34" s="79">
        <v>148</v>
      </c>
      <c r="V34" s="78">
        <v>162</v>
      </c>
      <c r="W34" s="79">
        <v>158</v>
      </c>
      <c r="X34" s="78">
        <v>143</v>
      </c>
      <c r="Y34" s="79">
        <v>159</v>
      </c>
      <c r="Z34" s="79">
        <v>159</v>
      </c>
      <c r="AA34" s="79">
        <v>149</v>
      </c>
      <c r="AB34" s="79">
        <v>166</v>
      </c>
      <c r="AC34" s="66">
        <v>154</v>
      </c>
      <c r="AD34" s="66">
        <v>150</v>
      </c>
      <c r="AE34" s="66">
        <v>170</v>
      </c>
      <c r="AF34" s="66">
        <v>154</v>
      </c>
      <c r="AG34" s="66">
        <v>160</v>
      </c>
      <c r="AH34" s="66">
        <v>153</v>
      </c>
      <c r="AI34" s="66">
        <v>153</v>
      </c>
      <c r="AJ34" s="66">
        <v>156</v>
      </c>
      <c r="AK34" s="66">
        <v>152</v>
      </c>
      <c r="AL34" s="66">
        <v>153</v>
      </c>
      <c r="AM34" s="66">
        <v>157</v>
      </c>
      <c r="AN34" s="66">
        <v>157</v>
      </c>
      <c r="AO34" s="66">
        <v>147</v>
      </c>
      <c r="AP34" s="66">
        <v>162</v>
      </c>
      <c r="AQ34" s="66">
        <v>156</v>
      </c>
      <c r="AR34" s="66">
        <v>140</v>
      </c>
      <c r="AS34" s="66">
        <v>164</v>
      </c>
      <c r="AT34" s="66">
        <v>147</v>
      </c>
      <c r="AU34" s="67">
        <v>131</v>
      </c>
      <c r="AV34" s="66">
        <v>159</v>
      </c>
      <c r="AW34" s="66">
        <v>150</v>
      </c>
      <c r="AX34" s="66">
        <v>136</v>
      </c>
      <c r="AY34" s="66">
        <v>150</v>
      </c>
      <c r="AZ34" s="66">
        <v>155</v>
      </c>
      <c r="BA34" s="76">
        <v>137</v>
      </c>
      <c r="BB34" s="77">
        <v>159</v>
      </c>
      <c r="BC34" s="77">
        <v>145</v>
      </c>
      <c r="BD34" s="77">
        <v>148</v>
      </c>
      <c r="BE34" s="77">
        <v>149</v>
      </c>
      <c r="BF34" s="77">
        <v>139</v>
      </c>
      <c r="BG34" s="77">
        <v>154</v>
      </c>
      <c r="BH34" s="77">
        <v>139</v>
      </c>
      <c r="BI34" s="77">
        <v>139</v>
      </c>
      <c r="BJ34" s="77">
        <v>154</v>
      </c>
      <c r="BK34" s="77">
        <v>149</v>
      </c>
      <c r="BL34" s="77">
        <v>140</v>
      </c>
      <c r="BM34" s="75">
        <v>152</v>
      </c>
      <c r="BN34" s="75">
        <v>152</v>
      </c>
      <c r="BO34" s="75">
        <v>141</v>
      </c>
      <c r="BP34" s="75">
        <v>154</v>
      </c>
      <c r="BQ34" s="75">
        <v>149</v>
      </c>
      <c r="BR34" s="75">
        <v>133</v>
      </c>
      <c r="BS34" s="75">
        <v>158</v>
      </c>
      <c r="BT34" s="75">
        <v>140</v>
      </c>
      <c r="BU34" s="75">
        <v>135</v>
      </c>
      <c r="BV34" s="75">
        <v>150</v>
      </c>
      <c r="BW34" s="75">
        <v>142</v>
      </c>
      <c r="BX34" s="75">
        <v>139</v>
      </c>
      <c r="BY34" s="77">
        <v>155</v>
      </c>
      <c r="BZ34" s="77">
        <v>150</v>
      </c>
      <c r="CA34" s="77">
        <v>148</v>
      </c>
      <c r="CB34" s="77">
        <v>143</v>
      </c>
      <c r="CC34" s="77">
        <v>140</v>
      </c>
      <c r="CD34" s="77">
        <v>146</v>
      </c>
      <c r="CE34" s="77">
        <v>146</v>
      </c>
      <c r="CF34" s="77">
        <v>136</v>
      </c>
      <c r="CG34" s="77">
        <v>147</v>
      </c>
      <c r="CH34" s="77">
        <v>143</v>
      </c>
      <c r="CI34" s="77">
        <v>147</v>
      </c>
      <c r="CJ34" s="77">
        <v>156</v>
      </c>
      <c r="CK34" s="79">
        <v>143</v>
      </c>
      <c r="CL34" s="79">
        <v>139</v>
      </c>
      <c r="CM34" s="79">
        <v>159</v>
      </c>
      <c r="CN34" s="79">
        <v>139</v>
      </c>
      <c r="CO34" s="79">
        <v>164</v>
      </c>
      <c r="CP34" s="79">
        <v>119</v>
      </c>
      <c r="CQ34" s="79">
        <v>139</v>
      </c>
      <c r="CR34" s="79">
        <v>129</v>
      </c>
      <c r="CS34" s="79">
        <v>150</v>
      </c>
      <c r="CT34" s="79">
        <v>140</v>
      </c>
      <c r="CU34" s="79">
        <v>152</v>
      </c>
      <c r="CV34" s="79">
        <v>137</v>
      </c>
      <c r="CW34" s="77">
        <v>63</v>
      </c>
      <c r="CX34" s="77">
        <v>164</v>
      </c>
      <c r="CY34" s="77">
        <v>146</v>
      </c>
      <c r="CZ34" s="77">
        <v>137</v>
      </c>
      <c r="DA34" s="77">
        <v>151</v>
      </c>
      <c r="DB34" s="77">
        <v>140</v>
      </c>
      <c r="DC34" s="77">
        <v>136</v>
      </c>
      <c r="DD34" s="77">
        <v>146</v>
      </c>
      <c r="DE34" s="77">
        <v>141</v>
      </c>
      <c r="DF34" s="150">
        <v>142</v>
      </c>
      <c r="DG34" s="150">
        <v>147</v>
      </c>
      <c r="DH34" s="162">
        <v>147</v>
      </c>
      <c r="DI34" s="162">
        <v>138</v>
      </c>
      <c r="DJ34" s="162">
        <v>152</v>
      </c>
      <c r="DK34" s="162">
        <v>148</v>
      </c>
      <c r="DL34" s="162">
        <v>133</v>
      </c>
      <c r="DM34" s="162">
        <v>157</v>
      </c>
      <c r="DN34" s="162">
        <f t="shared" si="1"/>
        <v>141</v>
      </c>
      <c r="DO34" s="162">
        <f t="shared" si="2"/>
        <v>148</v>
      </c>
      <c r="DP34" s="162">
        <f t="shared" si="0"/>
        <v>138</v>
      </c>
      <c r="DQ34" s="162">
        <f t="shared" si="3"/>
        <v>144</v>
      </c>
      <c r="DR34" s="162">
        <f t="shared" si="4"/>
        <v>137</v>
      </c>
      <c r="DS34" s="162">
        <f t="shared" si="5"/>
        <v>157</v>
      </c>
      <c r="DT34" s="162">
        <f t="shared" si="6"/>
        <v>152</v>
      </c>
      <c r="DU34" s="162">
        <f t="shared" si="10"/>
        <v>137</v>
      </c>
      <c r="DV34" s="162">
        <f t="shared" si="11"/>
        <v>161</v>
      </c>
      <c r="DW34" s="162">
        <f t="shared" si="12"/>
        <v>146</v>
      </c>
      <c r="DX34" s="162">
        <f t="shared" si="13"/>
        <v>148</v>
      </c>
      <c r="DY34" s="150">
        <f t="shared" si="7"/>
        <v>150</v>
      </c>
      <c r="DZ34" s="150">
        <f t="shared" si="14"/>
        <v>139</v>
      </c>
      <c r="EA34" s="150">
        <f t="shared" si="8"/>
        <v>154</v>
      </c>
      <c r="EB34" s="150">
        <f t="shared" si="9"/>
        <v>144</v>
      </c>
      <c r="EC34" s="150">
        <f t="shared" si="15"/>
        <v>134</v>
      </c>
      <c r="ED34" s="150">
        <f t="shared" si="16"/>
        <v>159</v>
      </c>
      <c r="EE34" s="150">
        <v>144</v>
      </c>
      <c r="EF34" s="150">
        <v>140</v>
      </c>
      <c r="EG34" s="150">
        <v>157</v>
      </c>
      <c r="EH34" s="150">
        <v>151</v>
      </c>
      <c r="EI34" s="150">
        <v>150</v>
      </c>
      <c r="EJ34" s="150">
        <v>144</v>
      </c>
      <c r="EK34" s="150">
        <v>144</v>
      </c>
      <c r="EL34" s="150">
        <v>148</v>
      </c>
      <c r="EM34" s="150">
        <v>139</v>
      </c>
      <c r="EN34" s="150">
        <v>148</v>
      </c>
      <c r="EO34" s="150">
        <v>134</v>
      </c>
      <c r="EP34" s="150">
        <v>159</v>
      </c>
      <c r="EQ34" s="150">
        <v>143</v>
      </c>
      <c r="ER34" s="150">
        <v>149</v>
      </c>
      <c r="ES34" s="150">
        <v>145</v>
      </c>
      <c r="ET34" s="150">
        <v>144</v>
      </c>
      <c r="EU34" s="150">
        <v>153</v>
      </c>
      <c r="EV34" s="150">
        <v>144</v>
      </c>
      <c r="EW34" s="150">
        <v>140</v>
      </c>
      <c r="EX34" s="204">
        <v>153</v>
      </c>
      <c r="EY34" s="204">
        <v>148</v>
      </c>
      <c r="EZ34" s="204">
        <v>133</v>
      </c>
      <c r="FA34" s="204">
        <v>147</v>
      </c>
      <c r="FB34" s="204">
        <v>148</v>
      </c>
      <c r="FC34" s="66" t="s">
        <v>204</v>
      </c>
      <c r="FE34" s="66">
        <v>4887</v>
      </c>
      <c r="FF34" s="66">
        <v>4728</v>
      </c>
      <c r="FG34" s="66">
        <v>4594</v>
      </c>
      <c r="FH34" s="66">
        <v>4450</v>
      </c>
      <c r="FI34" s="66">
        <v>4296</v>
      </c>
      <c r="FJ34" s="66">
        <v>4157</v>
      </c>
      <c r="FK34" s="66">
        <v>4007</v>
      </c>
      <c r="FL34" s="66">
        <v>3859</v>
      </c>
      <c r="FM34" s="66">
        <v>3713</v>
      </c>
      <c r="FN34" s="66">
        <v>3552</v>
      </c>
      <c r="FO34" s="66">
        <v>3415</v>
      </c>
      <c r="FP34" s="66">
        <v>3263</v>
      </c>
      <c r="FQ34" s="66">
        <v>3106</v>
      </c>
      <c r="FR34" s="162">
        <v>2969</v>
      </c>
      <c r="FS34" s="162">
        <v>2825</v>
      </c>
      <c r="FT34" s="162">
        <v>2687</v>
      </c>
      <c r="FU34" s="162">
        <v>2539</v>
      </c>
      <c r="FV34" s="162">
        <v>2398</v>
      </c>
    </row>
    <row r="35" spans="1:178">
      <c r="B35" s="220">
        <v>7633631</v>
      </c>
      <c r="C35" s="181">
        <v>5643251</v>
      </c>
      <c r="D35" s="66" t="s">
        <v>204</v>
      </c>
      <c r="E35" s="66">
        <v>143</v>
      </c>
      <c r="F35" s="66">
        <v>139</v>
      </c>
      <c r="G35" s="66">
        <v>140</v>
      </c>
      <c r="H35" s="66">
        <v>134</v>
      </c>
      <c r="I35" s="66">
        <v>133</v>
      </c>
      <c r="J35" s="66">
        <v>137</v>
      </c>
      <c r="K35" s="66">
        <v>136</v>
      </c>
      <c r="L35" s="66">
        <v>127</v>
      </c>
      <c r="M35" s="66">
        <v>123</v>
      </c>
      <c r="N35" s="66">
        <v>147</v>
      </c>
      <c r="O35" s="66">
        <v>133</v>
      </c>
      <c r="P35" s="66">
        <v>140</v>
      </c>
      <c r="Q35" s="79">
        <v>138</v>
      </c>
      <c r="R35" s="79">
        <v>130</v>
      </c>
      <c r="S35" s="79">
        <v>143</v>
      </c>
      <c r="T35" s="79">
        <v>134</v>
      </c>
      <c r="U35" s="79">
        <v>129</v>
      </c>
      <c r="V35" s="78">
        <v>141</v>
      </c>
      <c r="W35" s="79">
        <v>136</v>
      </c>
      <c r="X35" s="79">
        <v>123</v>
      </c>
      <c r="Y35" s="79">
        <v>138</v>
      </c>
      <c r="Z35" s="79">
        <v>140</v>
      </c>
      <c r="AA35" s="79">
        <v>130</v>
      </c>
      <c r="AB35" s="79">
        <v>145</v>
      </c>
      <c r="AC35" s="66">
        <v>134</v>
      </c>
      <c r="AD35" s="66">
        <v>131</v>
      </c>
      <c r="AE35" s="66">
        <v>149</v>
      </c>
      <c r="AF35" s="66">
        <v>134</v>
      </c>
      <c r="AG35" s="66">
        <v>138</v>
      </c>
      <c r="AH35" s="66">
        <v>132</v>
      </c>
      <c r="AI35" s="66">
        <v>132</v>
      </c>
      <c r="AJ35" s="66">
        <v>135</v>
      </c>
      <c r="AK35" s="66">
        <v>132</v>
      </c>
      <c r="AL35" s="66">
        <v>133</v>
      </c>
      <c r="AM35" s="66">
        <v>141</v>
      </c>
      <c r="AN35" s="66">
        <v>139</v>
      </c>
      <c r="AO35" s="66">
        <v>129</v>
      </c>
      <c r="AP35" s="66">
        <v>144</v>
      </c>
      <c r="AQ35" s="66">
        <v>141</v>
      </c>
      <c r="AR35" s="66">
        <v>125</v>
      </c>
      <c r="AS35" s="66">
        <v>150</v>
      </c>
      <c r="AT35" s="66">
        <v>135</v>
      </c>
      <c r="AU35" s="66">
        <v>121</v>
      </c>
      <c r="AV35" s="66">
        <v>148</v>
      </c>
      <c r="AW35" s="66">
        <v>138</v>
      </c>
      <c r="AX35" s="66">
        <v>127</v>
      </c>
      <c r="AY35" s="66">
        <v>140</v>
      </c>
      <c r="AZ35" s="66">
        <v>147</v>
      </c>
      <c r="BA35" s="77">
        <v>127</v>
      </c>
      <c r="BB35" s="77">
        <v>151</v>
      </c>
      <c r="BC35" s="77">
        <v>137</v>
      </c>
      <c r="BD35" s="77">
        <v>140</v>
      </c>
      <c r="BE35" s="77">
        <v>141</v>
      </c>
      <c r="BF35" s="77">
        <v>132</v>
      </c>
      <c r="BG35" s="77">
        <v>146</v>
      </c>
      <c r="BH35" s="77">
        <v>133</v>
      </c>
      <c r="BI35" s="77">
        <v>134</v>
      </c>
      <c r="BJ35" s="77">
        <v>149</v>
      </c>
      <c r="BK35" s="77">
        <v>144</v>
      </c>
      <c r="BL35" s="77">
        <v>134</v>
      </c>
      <c r="BM35" s="75">
        <v>148</v>
      </c>
      <c r="BN35" s="75">
        <v>151</v>
      </c>
      <c r="BO35" s="75">
        <v>141</v>
      </c>
      <c r="BP35" s="75">
        <v>154</v>
      </c>
      <c r="BQ35" s="75">
        <v>151</v>
      </c>
      <c r="BR35" s="75">
        <v>134</v>
      </c>
      <c r="BS35" s="75">
        <v>159</v>
      </c>
      <c r="BT35" s="75">
        <v>140</v>
      </c>
      <c r="BU35" s="75">
        <v>139</v>
      </c>
      <c r="BV35" s="75">
        <v>156</v>
      </c>
      <c r="BW35" s="75">
        <v>146</v>
      </c>
      <c r="BX35" s="75">
        <v>140</v>
      </c>
      <c r="BY35" s="77">
        <v>153</v>
      </c>
      <c r="BZ35" s="77">
        <v>145</v>
      </c>
      <c r="CA35" s="77">
        <v>145</v>
      </c>
      <c r="CB35" s="77">
        <v>141</v>
      </c>
      <c r="CC35" s="77">
        <v>140</v>
      </c>
      <c r="CD35" s="77">
        <v>145</v>
      </c>
      <c r="CE35" s="77">
        <v>147</v>
      </c>
      <c r="CF35" s="77">
        <v>136</v>
      </c>
      <c r="CG35" s="77">
        <v>147</v>
      </c>
      <c r="CH35" s="77">
        <v>142</v>
      </c>
      <c r="CI35" s="77">
        <v>142</v>
      </c>
      <c r="CJ35" s="77">
        <v>152</v>
      </c>
      <c r="CK35" s="79">
        <v>141</v>
      </c>
      <c r="CL35" s="79">
        <v>138</v>
      </c>
      <c r="CM35" s="79">
        <v>156</v>
      </c>
      <c r="CN35" s="79">
        <v>141</v>
      </c>
      <c r="CO35" s="79">
        <v>145</v>
      </c>
      <c r="CP35" s="79">
        <v>146</v>
      </c>
      <c r="CQ35" s="79">
        <v>148</v>
      </c>
      <c r="CR35" s="79">
        <v>137</v>
      </c>
      <c r="CS35" s="79">
        <v>159</v>
      </c>
      <c r="CT35" s="79">
        <v>149</v>
      </c>
      <c r="CU35" s="79">
        <v>159</v>
      </c>
      <c r="CV35" s="79">
        <v>144</v>
      </c>
      <c r="CW35" s="77">
        <v>70</v>
      </c>
      <c r="CX35" s="77">
        <v>88</v>
      </c>
      <c r="CY35" s="77">
        <v>153</v>
      </c>
      <c r="CZ35" s="77">
        <v>145</v>
      </c>
      <c r="DA35" s="77">
        <v>158</v>
      </c>
      <c r="DB35" s="77">
        <v>148</v>
      </c>
      <c r="DC35" s="77">
        <v>143</v>
      </c>
      <c r="DD35" s="77">
        <v>152</v>
      </c>
      <c r="DE35" s="77">
        <v>146</v>
      </c>
      <c r="DF35" s="150">
        <v>149</v>
      </c>
      <c r="DG35" s="150">
        <v>153</v>
      </c>
      <c r="DH35" s="162">
        <v>153</v>
      </c>
      <c r="DI35" s="162">
        <v>144</v>
      </c>
      <c r="DJ35" s="162">
        <v>158</v>
      </c>
      <c r="DK35" s="162">
        <v>154</v>
      </c>
      <c r="DL35" s="162">
        <v>139</v>
      </c>
      <c r="DM35" s="162">
        <v>162</v>
      </c>
      <c r="DN35" s="162">
        <f t="shared" si="1"/>
        <v>147</v>
      </c>
      <c r="DO35" s="162">
        <f t="shared" si="2"/>
        <v>152</v>
      </c>
      <c r="DP35" s="162">
        <f t="shared" si="0"/>
        <v>141</v>
      </c>
      <c r="DQ35" s="162">
        <f t="shared" si="3"/>
        <v>148</v>
      </c>
      <c r="DR35" s="162">
        <f t="shared" si="4"/>
        <v>142</v>
      </c>
      <c r="DS35" s="162">
        <f t="shared" si="5"/>
        <v>158</v>
      </c>
      <c r="DT35" s="162">
        <f t="shared" si="6"/>
        <v>154</v>
      </c>
      <c r="DU35" s="162">
        <f t="shared" si="10"/>
        <v>140</v>
      </c>
      <c r="DV35" s="162">
        <f t="shared" si="11"/>
        <v>163</v>
      </c>
      <c r="DW35" s="162">
        <f t="shared" si="12"/>
        <v>149</v>
      </c>
      <c r="DX35" s="162">
        <f t="shared" si="13"/>
        <v>153</v>
      </c>
      <c r="DY35" s="150">
        <f t="shared" si="7"/>
        <v>153</v>
      </c>
      <c r="DZ35" s="150">
        <f t="shared" si="14"/>
        <v>142</v>
      </c>
      <c r="EA35" s="150">
        <f t="shared" si="8"/>
        <v>157</v>
      </c>
      <c r="EB35" s="150">
        <f t="shared" si="9"/>
        <v>147</v>
      </c>
      <c r="EC35" s="150">
        <f t="shared" si="15"/>
        <v>137</v>
      </c>
      <c r="ED35" s="150">
        <f t="shared" si="16"/>
        <v>163</v>
      </c>
      <c r="EE35" s="150">
        <v>148</v>
      </c>
      <c r="EF35" s="150">
        <v>144</v>
      </c>
      <c r="EG35" s="150">
        <v>159</v>
      </c>
      <c r="EH35" s="150">
        <v>153</v>
      </c>
      <c r="EI35" s="150">
        <v>154</v>
      </c>
      <c r="EJ35" s="150">
        <v>149</v>
      </c>
      <c r="EK35" s="150">
        <v>148</v>
      </c>
      <c r="EL35" s="150">
        <v>153</v>
      </c>
      <c r="EM35" s="150">
        <v>142</v>
      </c>
      <c r="EN35" s="150">
        <v>152</v>
      </c>
      <c r="EO35" s="150">
        <v>139</v>
      </c>
      <c r="EP35" s="150">
        <v>162</v>
      </c>
      <c r="EQ35" s="150">
        <v>149</v>
      </c>
      <c r="ER35" s="150">
        <v>154</v>
      </c>
      <c r="ES35" s="150">
        <v>149</v>
      </c>
      <c r="ET35" s="150">
        <v>148</v>
      </c>
      <c r="EU35" s="150">
        <v>159</v>
      </c>
      <c r="EV35" s="150">
        <v>149</v>
      </c>
      <c r="EW35" s="150">
        <v>143</v>
      </c>
      <c r="EX35" s="204">
        <v>157</v>
      </c>
      <c r="EY35" s="204">
        <v>152</v>
      </c>
      <c r="EZ35" s="204">
        <v>138</v>
      </c>
      <c r="FA35" s="204">
        <v>151</v>
      </c>
      <c r="FB35" s="204">
        <v>153</v>
      </c>
      <c r="FC35" s="66" t="s">
        <v>204</v>
      </c>
      <c r="FE35" s="66">
        <v>5045</v>
      </c>
      <c r="FF35" s="66">
        <v>4882</v>
      </c>
      <c r="FG35" s="66">
        <v>4745</v>
      </c>
      <c r="FH35" s="66">
        <v>4598</v>
      </c>
      <c r="FI35" s="66">
        <v>4441</v>
      </c>
      <c r="FJ35" s="66">
        <v>4299</v>
      </c>
      <c r="FK35" s="66">
        <v>4146</v>
      </c>
      <c r="FL35" s="66">
        <v>3993</v>
      </c>
      <c r="FM35" s="66">
        <v>3844</v>
      </c>
      <c r="FN35" s="66">
        <v>3681</v>
      </c>
      <c r="FO35" s="66">
        <v>3541</v>
      </c>
      <c r="FP35" s="66">
        <v>3387</v>
      </c>
      <c r="FQ35" s="66">
        <v>3229</v>
      </c>
      <c r="FR35" s="162">
        <v>3087</v>
      </c>
      <c r="FS35" s="162">
        <v>2939</v>
      </c>
      <c r="FT35" s="162">
        <v>2798</v>
      </c>
      <c r="FU35" s="162">
        <v>2646</v>
      </c>
      <c r="FV35" s="162">
        <v>2499</v>
      </c>
    </row>
    <row r="36" spans="1:178">
      <c r="B36" s="218">
        <v>7633632</v>
      </c>
      <c r="C36" s="181">
        <v>5643253</v>
      </c>
      <c r="D36" s="66" t="s">
        <v>204</v>
      </c>
      <c r="E36" s="66">
        <v>220</v>
      </c>
      <c r="F36" s="66">
        <v>216</v>
      </c>
      <c r="G36" s="66">
        <v>216</v>
      </c>
      <c r="H36" s="66">
        <v>209</v>
      </c>
      <c r="I36" s="66">
        <v>211</v>
      </c>
      <c r="J36" s="66">
        <v>216</v>
      </c>
      <c r="K36" s="66">
        <v>213</v>
      </c>
      <c r="L36" s="66">
        <v>193</v>
      </c>
      <c r="M36" s="66">
        <v>146</v>
      </c>
      <c r="N36" s="66">
        <v>171</v>
      </c>
      <c r="O36" s="66">
        <v>158</v>
      </c>
      <c r="P36" s="66">
        <v>163</v>
      </c>
      <c r="Q36" s="79">
        <v>164</v>
      </c>
      <c r="R36" s="78">
        <v>153</v>
      </c>
      <c r="S36" s="79">
        <v>167</v>
      </c>
      <c r="T36" s="79">
        <v>153</v>
      </c>
      <c r="U36" s="79">
        <v>162</v>
      </c>
      <c r="V36" s="78">
        <v>176</v>
      </c>
      <c r="W36" s="79">
        <v>171</v>
      </c>
      <c r="X36" s="79">
        <v>156</v>
      </c>
      <c r="Y36" s="79">
        <v>172</v>
      </c>
      <c r="Z36" s="79">
        <v>173</v>
      </c>
      <c r="AA36" s="79">
        <v>162</v>
      </c>
      <c r="AB36" s="79">
        <v>180</v>
      </c>
      <c r="AC36" s="66">
        <v>167</v>
      </c>
      <c r="AD36" s="66">
        <v>163</v>
      </c>
      <c r="AE36" s="66">
        <v>185</v>
      </c>
      <c r="AF36" s="66">
        <v>167</v>
      </c>
      <c r="AG36" s="66">
        <v>173</v>
      </c>
      <c r="AH36" s="66">
        <v>166</v>
      </c>
      <c r="AI36" s="66">
        <v>167</v>
      </c>
      <c r="AJ36" s="66">
        <v>171</v>
      </c>
      <c r="AK36" s="66">
        <v>166</v>
      </c>
      <c r="AL36" s="66">
        <v>167</v>
      </c>
      <c r="AM36" s="66">
        <v>174</v>
      </c>
      <c r="AN36" s="66">
        <v>173</v>
      </c>
      <c r="AO36" s="66">
        <v>163</v>
      </c>
      <c r="AP36" s="66">
        <v>179</v>
      </c>
      <c r="AQ36" s="66">
        <v>174</v>
      </c>
      <c r="AR36" s="66">
        <v>158</v>
      </c>
      <c r="AS36" s="66">
        <v>185</v>
      </c>
      <c r="AT36" s="66">
        <v>168</v>
      </c>
      <c r="AU36" s="66">
        <v>151</v>
      </c>
      <c r="AV36" s="66">
        <v>184</v>
      </c>
      <c r="AW36" s="66">
        <v>173</v>
      </c>
      <c r="AX36" s="66">
        <v>157</v>
      </c>
      <c r="AY36" s="66">
        <v>175</v>
      </c>
      <c r="AZ36" s="66">
        <v>182</v>
      </c>
      <c r="BA36" s="77">
        <v>159</v>
      </c>
      <c r="BB36" s="77">
        <v>188</v>
      </c>
      <c r="BC36" s="77">
        <v>172</v>
      </c>
      <c r="BD36" s="77">
        <v>175</v>
      </c>
      <c r="BE36" s="77">
        <v>176</v>
      </c>
      <c r="BF36" s="77">
        <v>164</v>
      </c>
      <c r="BG36" s="77">
        <v>182</v>
      </c>
      <c r="BH36" s="77">
        <v>165</v>
      </c>
      <c r="BI36" s="77">
        <v>160</v>
      </c>
      <c r="BJ36" s="77">
        <v>176</v>
      </c>
      <c r="BK36" s="77">
        <v>171</v>
      </c>
      <c r="BL36" s="77">
        <v>160</v>
      </c>
      <c r="BM36" s="75">
        <v>169</v>
      </c>
      <c r="BN36" s="75">
        <v>168</v>
      </c>
      <c r="BO36" s="75">
        <v>157</v>
      </c>
      <c r="BP36" s="75">
        <v>175</v>
      </c>
      <c r="BQ36" s="75">
        <v>169</v>
      </c>
      <c r="BR36" s="75">
        <v>153</v>
      </c>
      <c r="BS36" s="75">
        <v>178</v>
      </c>
      <c r="BT36" s="75">
        <v>157</v>
      </c>
      <c r="BU36" s="75">
        <v>157</v>
      </c>
      <c r="BV36" s="75">
        <v>176</v>
      </c>
      <c r="BW36" s="75">
        <v>166</v>
      </c>
      <c r="BX36" s="75">
        <v>159</v>
      </c>
      <c r="BY36" s="77">
        <v>178</v>
      </c>
      <c r="BZ36" s="77">
        <v>168</v>
      </c>
      <c r="CA36" s="77">
        <v>169</v>
      </c>
      <c r="CB36" s="77">
        <v>164</v>
      </c>
      <c r="CC36" s="77">
        <v>162</v>
      </c>
      <c r="CD36" s="77">
        <v>169</v>
      </c>
      <c r="CE36" s="77">
        <v>168</v>
      </c>
      <c r="CF36" s="77">
        <v>160</v>
      </c>
      <c r="CG36" s="77">
        <v>176</v>
      </c>
      <c r="CH36" s="77">
        <v>167</v>
      </c>
      <c r="CI36" s="77">
        <v>175</v>
      </c>
      <c r="CJ36" s="77">
        <v>192</v>
      </c>
      <c r="CK36" s="79">
        <v>174</v>
      </c>
      <c r="CL36" s="79">
        <v>176</v>
      </c>
      <c r="CM36" s="79">
        <v>202</v>
      </c>
      <c r="CN36" s="79">
        <v>184</v>
      </c>
      <c r="CO36" s="79">
        <v>192</v>
      </c>
      <c r="CP36" s="79">
        <v>176</v>
      </c>
      <c r="CQ36" s="79">
        <v>168</v>
      </c>
      <c r="CR36" s="79">
        <v>157</v>
      </c>
      <c r="CS36" s="79">
        <v>185</v>
      </c>
      <c r="CT36" s="79">
        <v>182</v>
      </c>
      <c r="CU36" s="79">
        <v>205</v>
      </c>
      <c r="CV36" s="79">
        <v>190</v>
      </c>
      <c r="CW36" s="77">
        <v>85</v>
      </c>
      <c r="CX36" s="77">
        <v>91</v>
      </c>
      <c r="CY36" s="77">
        <v>146</v>
      </c>
      <c r="CZ36" s="77">
        <v>137</v>
      </c>
      <c r="DA36" s="77">
        <v>179</v>
      </c>
      <c r="DB36" s="77">
        <v>167</v>
      </c>
      <c r="DC36" s="77">
        <v>162</v>
      </c>
      <c r="DD36" s="77">
        <v>172</v>
      </c>
      <c r="DE36" s="77">
        <v>167</v>
      </c>
      <c r="DF36" s="150">
        <v>167</v>
      </c>
      <c r="DG36" s="150">
        <v>172</v>
      </c>
      <c r="DH36" s="162">
        <v>173</v>
      </c>
      <c r="DI36" s="162">
        <v>162</v>
      </c>
      <c r="DJ36" s="162">
        <v>177</v>
      </c>
      <c r="DK36" s="162">
        <v>173</v>
      </c>
      <c r="DL36" s="162">
        <v>156</v>
      </c>
      <c r="DM36" s="162">
        <v>185</v>
      </c>
      <c r="DN36" s="162">
        <f t="shared" si="1"/>
        <v>166</v>
      </c>
      <c r="DO36" s="162">
        <f t="shared" si="2"/>
        <v>172</v>
      </c>
      <c r="DP36" s="162">
        <f t="shared" si="0"/>
        <v>171</v>
      </c>
      <c r="DQ36" s="162">
        <f t="shared" si="3"/>
        <v>158</v>
      </c>
      <c r="DR36" s="162">
        <f t="shared" si="4"/>
        <v>161</v>
      </c>
      <c r="DS36" s="162">
        <f t="shared" si="5"/>
        <v>179</v>
      </c>
      <c r="DT36" s="162">
        <f t="shared" si="6"/>
        <v>173</v>
      </c>
      <c r="DU36" s="162">
        <f t="shared" si="10"/>
        <v>158</v>
      </c>
      <c r="DV36" s="162">
        <f t="shared" si="11"/>
        <v>185</v>
      </c>
      <c r="DW36" s="162">
        <f t="shared" si="12"/>
        <v>167</v>
      </c>
      <c r="DX36" s="162">
        <f t="shared" si="13"/>
        <v>172</v>
      </c>
      <c r="DY36" s="150">
        <f t="shared" si="7"/>
        <v>172</v>
      </c>
      <c r="DZ36" s="150">
        <f t="shared" si="14"/>
        <v>161</v>
      </c>
      <c r="EA36" s="150">
        <f t="shared" si="8"/>
        <v>177</v>
      </c>
      <c r="EB36" s="150">
        <f t="shared" si="9"/>
        <v>166</v>
      </c>
      <c r="EC36" s="150">
        <f t="shared" si="15"/>
        <v>155</v>
      </c>
      <c r="ED36" s="150">
        <f t="shared" si="16"/>
        <v>183</v>
      </c>
      <c r="EE36" s="150">
        <v>167</v>
      </c>
      <c r="EF36" s="150">
        <v>161</v>
      </c>
      <c r="EG36" s="150">
        <v>179</v>
      </c>
      <c r="EH36" s="150">
        <v>172</v>
      </c>
      <c r="EI36" s="150">
        <v>289</v>
      </c>
      <c r="EJ36" s="150">
        <v>167</v>
      </c>
      <c r="EK36" s="150">
        <v>167</v>
      </c>
      <c r="EL36" s="150">
        <v>172</v>
      </c>
      <c r="EM36" s="150">
        <v>161</v>
      </c>
      <c r="EN36" s="150">
        <v>153</v>
      </c>
      <c r="EO36" s="150">
        <v>134</v>
      </c>
      <c r="EP36" s="150">
        <v>158</v>
      </c>
      <c r="EQ36" s="150">
        <v>143</v>
      </c>
      <c r="ER36" s="150">
        <v>149</v>
      </c>
      <c r="ES36" s="150">
        <v>144</v>
      </c>
      <c r="ET36" s="150">
        <v>144</v>
      </c>
      <c r="EU36" s="150">
        <v>154</v>
      </c>
      <c r="EV36" s="150">
        <v>144</v>
      </c>
      <c r="EW36" s="150">
        <v>138</v>
      </c>
      <c r="EX36" s="204">
        <v>153</v>
      </c>
      <c r="EY36" s="204">
        <v>148</v>
      </c>
      <c r="EZ36" s="204">
        <v>134</v>
      </c>
      <c r="FA36" s="204">
        <v>148</v>
      </c>
      <c r="FB36" s="204">
        <v>148</v>
      </c>
      <c r="FC36" s="66" t="s">
        <v>204</v>
      </c>
      <c r="FE36" s="66">
        <v>5699</v>
      </c>
      <c r="FF36" s="66">
        <v>5516</v>
      </c>
      <c r="FG36" s="66">
        <v>5361</v>
      </c>
      <c r="FH36" s="66">
        <v>5195</v>
      </c>
      <c r="FI36" s="66">
        <v>5018</v>
      </c>
      <c r="FJ36" s="66">
        <v>4857</v>
      </c>
      <c r="FK36" s="66">
        <v>4685</v>
      </c>
      <c r="FL36" s="66">
        <v>4513</v>
      </c>
      <c r="FM36" s="66">
        <v>4346</v>
      </c>
      <c r="FN36" s="66">
        <v>4161</v>
      </c>
      <c r="FO36" s="66">
        <v>4003</v>
      </c>
      <c r="FP36" s="66">
        <v>3830</v>
      </c>
      <c r="FQ36" s="66">
        <v>3651</v>
      </c>
      <c r="FR36" s="162">
        <v>3490</v>
      </c>
      <c r="FS36" s="162">
        <v>3332</v>
      </c>
      <c r="FT36" s="162">
        <v>3161</v>
      </c>
      <c r="FU36" s="162">
        <v>2989</v>
      </c>
      <c r="FV36" s="162">
        <v>2823</v>
      </c>
    </row>
    <row r="37" spans="1:178">
      <c r="B37" s="259">
        <v>7634226</v>
      </c>
      <c r="C37" s="181">
        <v>5643329</v>
      </c>
      <c r="D37" s="66" t="s">
        <v>204</v>
      </c>
      <c r="E37" s="66">
        <v>287</v>
      </c>
      <c r="F37" s="66">
        <v>295</v>
      </c>
      <c r="G37" s="66">
        <v>302</v>
      </c>
      <c r="H37" s="66">
        <v>293</v>
      </c>
      <c r="I37" s="66">
        <v>291</v>
      </c>
      <c r="J37" s="66">
        <v>299</v>
      </c>
      <c r="K37" s="66">
        <v>297</v>
      </c>
      <c r="L37" s="66">
        <v>279</v>
      </c>
      <c r="M37" s="66">
        <v>270</v>
      </c>
      <c r="N37" s="66">
        <v>320</v>
      </c>
      <c r="O37" s="66">
        <v>292</v>
      </c>
      <c r="P37" s="66">
        <v>302</v>
      </c>
      <c r="Q37" s="79">
        <v>299</v>
      </c>
      <c r="R37" s="78">
        <v>282</v>
      </c>
      <c r="S37" s="79">
        <v>313</v>
      </c>
      <c r="T37" s="79">
        <v>292</v>
      </c>
      <c r="U37" s="79">
        <v>282</v>
      </c>
      <c r="V37" s="78">
        <v>308</v>
      </c>
      <c r="W37" s="79">
        <v>298</v>
      </c>
      <c r="X37" s="79">
        <v>271</v>
      </c>
      <c r="Y37" s="79">
        <v>299</v>
      </c>
      <c r="Z37" s="79">
        <v>302</v>
      </c>
      <c r="AA37" s="79">
        <v>283</v>
      </c>
      <c r="AB37" s="79">
        <v>313</v>
      </c>
      <c r="AC37" s="66">
        <v>293</v>
      </c>
      <c r="AD37" s="66">
        <v>282</v>
      </c>
      <c r="AE37" s="66">
        <v>323</v>
      </c>
      <c r="AF37" s="66">
        <v>292</v>
      </c>
      <c r="AG37" s="66">
        <v>302</v>
      </c>
      <c r="AH37" s="66">
        <v>289</v>
      </c>
      <c r="AI37" s="66">
        <v>288</v>
      </c>
      <c r="AJ37" s="66">
        <v>297</v>
      </c>
      <c r="AK37" s="66">
        <v>287</v>
      </c>
      <c r="AL37" s="66">
        <v>290</v>
      </c>
      <c r="AM37" s="66">
        <v>301</v>
      </c>
      <c r="AN37" s="66">
        <v>300</v>
      </c>
      <c r="AO37" s="66">
        <v>280</v>
      </c>
      <c r="AP37" s="66">
        <v>309</v>
      </c>
      <c r="AQ37" s="66">
        <v>299</v>
      </c>
      <c r="AR37" s="66">
        <v>269</v>
      </c>
      <c r="AS37" s="66">
        <v>316</v>
      </c>
      <c r="AT37" s="66">
        <v>286</v>
      </c>
      <c r="AU37" s="66">
        <v>257</v>
      </c>
      <c r="AV37" s="66">
        <v>312</v>
      </c>
      <c r="AW37" s="66">
        <v>293</v>
      </c>
      <c r="AX37" s="66">
        <v>267</v>
      </c>
      <c r="AY37" s="66">
        <v>296</v>
      </c>
      <c r="AZ37" s="66">
        <v>302</v>
      </c>
      <c r="BA37" s="77">
        <v>267</v>
      </c>
      <c r="BB37" s="77">
        <v>316</v>
      </c>
      <c r="BC37" s="77">
        <v>287</v>
      </c>
      <c r="BD37" s="77">
        <v>296</v>
      </c>
      <c r="BE37" s="77">
        <v>294</v>
      </c>
      <c r="BF37" s="77">
        <v>274</v>
      </c>
      <c r="BG37" s="77">
        <v>301</v>
      </c>
      <c r="BH37" s="77">
        <v>272</v>
      </c>
      <c r="BI37" s="77">
        <v>274</v>
      </c>
      <c r="BJ37" s="77">
        <v>303</v>
      </c>
      <c r="BK37" s="77">
        <v>295</v>
      </c>
      <c r="BL37" s="77">
        <v>276</v>
      </c>
      <c r="BM37" s="75">
        <v>295</v>
      </c>
      <c r="BN37" s="75">
        <v>296</v>
      </c>
      <c r="BO37" s="75">
        <v>276</v>
      </c>
      <c r="BP37" s="75">
        <v>304</v>
      </c>
      <c r="BQ37" s="75">
        <v>293</v>
      </c>
      <c r="BR37" s="75">
        <v>263</v>
      </c>
      <c r="BS37" s="75">
        <v>311</v>
      </c>
      <c r="BT37" s="75">
        <v>274</v>
      </c>
      <c r="BU37" s="75">
        <v>274</v>
      </c>
      <c r="BV37" s="75">
        <v>303</v>
      </c>
      <c r="BW37" s="75">
        <v>283</v>
      </c>
      <c r="BX37" s="75">
        <v>276</v>
      </c>
      <c r="BY37" s="77">
        <v>305</v>
      </c>
      <c r="BZ37" s="77">
        <v>297</v>
      </c>
      <c r="CA37" s="77">
        <v>297</v>
      </c>
      <c r="CB37" s="77">
        <v>284</v>
      </c>
      <c r="CC37" s="77">
        <v>285</v>
      </c>
      <c r="CD37" s="77">
        <v>294</v>
      </c>
      <c r="CE37" s="77">
        <v>293</v>
      </c>
      <c r="CF37" s="77">
        <v>275</v>
      </c>
      <c r="CG37" s="77">
        <v>293</v>
      </c>
      <c r="CH37" s="77">
        <v>283</v>
      </c>
      <c r="CI37" s="77">
        <v>285</v>
      </c>
      <c r="CJ37" s="77">
        <v>304</v>
      </c>
      <c r="CK37" s="79">
        <v>286</v>
      </c>
      <c r="CL37" s="79">
        <v>275</v>
      </c>
      <c r="CM37" s="79">
        <v>311</v>
      </c>
      <c r="CN37" s="79">
        <v>281</v>
      </c>
      <c r="CO37" s="79">
        <v>290</v>
      </c>
      <c r="CP37" s="79">
        <v>279</v>
      </c>
      <c r="CQ37" s="79">
        <v>282</v>
      </c>
      <c r="CR37" s="79">
        <v>266</v>
      </c>
      <c r="CS37" s="79">
        <v>306</v>
      </c>
      <c r="CT37" s="79">
        <v>283</v>
      </c>
      <c r="CU37" s="79">
        <v>306</v>
      </c>
      <c r="CV37" s="79">
        <v>276</v>
      </c>
      <c r="CW37" s="77">
        <v>297</v>
      </c>
      <c r="CX37" s="77">
        <v>300</v>
      </c>
      <c r="CY37" s="77">
        <f>214+77</f>
        <v>291</v>
      </c>
      <c r="CZ37" s="77">
        <v>270</v>
      </c>
      <c r="DA37" s="77">
        <v>297</v>
      </c>
      <c r="DB37" s="77">
        <v>278</v>
      </c>
      <c r="DC37" s="77">
        <v>268</v>
      </c>
      <c r="DD37" s="77">
        <v>287</v>
      </c>
      <c r="DE37" s="77">
        <v>278</v>
      </c>
      <c r="DF37" s="150">
        <v>279</v>
      </c>
      <c r="DG37" s="150">
        <v>290</v>
      </c>
      <c r="DH37" s="162">
        <v>291</v>
      </c>
      <c r="DI37" s="162">
        <v>269</v>
      </c>
      <c r="DJ37" s="162">
        <v>298</v>
      </c>
      <c r="DK37" s="162">
        <v>289</v>
      </c>
      <c r="DL37" s="162">
        <v>260</v>
      </c>
      <c r="DM37" s="162">
        <v>306</v>
      </c>
      <c r="DN37" s="162">
        <f t="shared" si="1"/>
        <v>278</v>
      </c>
      <c r="DO37" s="162">
        <f t="shared" si="2"/>
        <v>287</v>
      </c>
      <c r="DP37" s="162">
        <f t="shared" si="0"/>
        <v>269</v>
      </c>
      <c r="DQ37" s="162">
        <f t="shared" si="3"/>
        <v>278</v>
      </c>
      <c r="DR37" s="162">
        <f t="shared" si="4"/>
        <v>269</v>
      </c>
      <c r="DS37" s="162">
        <f t="shared" si="5"/>
        <v>296</v>
      </c>
      <c r="DT37" s="162">
        <f t="shared" si="6"/>
        <v>288</v>
      </c>
      <c r="DU37" s="162">
        <f t="shared" si="10"/>
        <v>261</v>
      </c>
      <c r="DV37" s="162">
        <f t="shared" si="11"/>
        <v>307</v>
      </c>
      <c r="DW37" s="162">
        <f t="shared" si="12"/>
        <v>279</v>
      </c>
      <c r="DX37" s="162">
        <f t="shared" si="13"/>
        <v>289</v>
      </c>
      <c r="DY37" s="150">
        <f t="shared" si="7"/>
        <v>288</v>
      </c>
      <c r="DZ37" s="150">
        <f t="shared" si="14"/>
        <v>269</v>
      </c>
      <c r="EA37" s="150">
        <f t="shared" si="8"/>
        <v>296</v>
      </c>
      <c r="EB37" s="150">
        <f t="shared" si="9"/>
        <v>278</v>
      </c>
      <c r="EC37" s="150">
        <f t="shared" si="15"/>
        <v>260</v>
      </c>
      <c r="ED37" s="150">
        <f t="shared" si="16"/>
        <v>306</v>
      </c>
      <c r="EE37" s="150">
        <v>279</v>
      </c>
      <c r="EF37" s="150">
        <v>270</v>
      </c>
      <c r="EG37" s="150">
        <v>299</v>
      </c>
      <c r="EH37" s="150">
        <v>288</v>
      </c>
      <c r="EI37" s="150">
        <v>289</v>
      </c>
      <c r="EJ37" s="150">
        <v>280</v>
      </c>
      <c r="EK37" s="150">
        <v>278</v>
      </c>
      <c r="EL37" s="150">
        <v>286</v>
      </c>
      <c r="EM37" s="150">
        <v>267</v>
      </c>
      <c r="EN37" s="150">
        <v>287</v>
      </c>
      <c r="EO37" s="150">
        <v>260</v>
      </c>
      <c r="EP37" s="150">
        <v>305</v>
      </c>
      <c r="EQ37" s="150">
        <v>278</v>
      </c>
      <c r="ER37" s="150">
        <v>288</v>
      </c>
      <c r="ES37" s="150">
        <v>279</v>
      </c>
      <c r="ET37" s="150">
        <v>279</v>
      </c>
      <c r="EU37" s="150">
        <v>298</v>
      </c>
      <c r="EV37" s="150">
        <v>278</v>
      </c>
      <c r="EW37" s="150">
        <v>270</v>
      </c>
      <c r="EX37" s="204">
        <v>296</v>
      </c>
      <c r="EY37" s="204">
        <v>287</v>
      </c>
      <c r="EZ37" s="204">
        <v>259</v>
      </c>
      <c r="FA37" s="204">
        <v>285</v>
      </c>
      <c r="FB37" s="204">
        <v>288</v>
      </c>
      <c r="FC37" s="66" t="s">
        <v>223</v>
      </c>
      <c r="FE37" s="66">
        <v>8976</v>
      </c>
      <c r="FF37" s="66">
        <v>8670</v>
      </c>
      <c r="FG37" s="66">
        <v>8410</v>
      </c>
      <c r="FH37" s="66">
        <v>8132</v>
      </c>
      <c r="FI37" s="66">
        <v>7836</v>
      </c>
      <c r="FJ37" s="66">
        <v>7567</v>
      </c>
      <c r="FK37" s="66">
        <v>7279</v>
      </c>
      <c r="FL37" s="66">
        <v>6990</v>
      </c>
      <c r="FM37" s="66">
        <v>6711</v>
      </c>
      <c r="FN37" s="66">
        <v>6404</v>
      </c>
      <c r="FO37" s="66">
        <v>6143</v>
      </c>
      <c r="FP37" s="66">
        <v>5855</v>
      </c>
      <c r="FQ37" s="66">
        <v>5559</v>
      </c>
      <c r="FR37" s="162">
        <v>5290</v>
      </c>
      <c r="FS37" s="162">
        <v>5012</v>
      </c>
      <c r="FT37" s="162">
        <v>4743</v>
      </c>
      <c r="FU37" s="162">
        <v>4456</v>
      </c>
      <c r="FV37" s="162">
        <v>4178</v>
      </c>
    </row>
    <row r="38" spans="1:178">
      <c r="B38" s="259">
        <v>7634228</v>
      </c>
      <c r="C38" s="181">
        <v>5643333</v>
      </c>
      <c r="D38" s="66" t="s">
        <v>204</v>
      </c>
      <c r="E38" s="66">
        <v>275</v>
      </c>
      <c r="F38" s="66">
        <v>268</v>
      </c>
      <c r="G38" s="66">
        <v>267</v>
      </c>
      <c r="H38" s="66">
        <v>259</v>
      </c>
      <c r="I38" s="66">
        <v>258</v>
      </c>
      <c r="J38" s="66">
        <v>265</v>
      </c>
      <c r="K38" s="66">
        <v>248</v>
      </c>
      <c r="L38" s="66">
        <v>221</v>
      </c>
      <c r="M38" s="66">
        <v>223</v>
      </c>
      <c r="N38" s="66">
        <v>295</v>
      </c>
      <c r="O38" s="66">
        <v>268</v>
      </c>
      <c r="P38" s="66">
        <v>279</v>
      </c>
      <c r="Q38" s="79">
        <v>280</v>
      </c>
      <c r="R38" s="79">
        <v>261</v>
      </c>
      <c r="S38" s="79">
        <v>288</v>
      </c>
      <c r="T38" s="79">
        <v>269</v>
      </c>
      <c r="U38" s="79">
        <v>259</v>
      </c>
      <c r="V38" s="79">
        <v>283</v>
      </c>
      <c r="W38" s="79">
        <v>274</v>
      </c>
      <c r="X38" s="79">
        <v>249</v>
      </c>
      <c r="Y38" s="79">
        <v>275</v>
      </c>
      <c r="Z38" s="79">
        <v>276</v>
      </c>
      <c r="AA38" s="79">
        <v>260</v>
      </c>
      <c r="AB38" s="79">
        <v>287</v>
      </c>
      <c r="AC38" s="66">
        <v>270</v>
      </c>
      <c r="AD38" s="66">
        <v>260</v>
      </c>
      <c r="AE38" s="66">
        <v>296</v>
      </c>
      <c r="AF38" s="66">
        <v>268</v>
      </c>
      <c r="AG38" s="66">
        <v>278</v>
      </c>
      <c r="AH38" s="66">
        <v>265</v>
      </c>
      <c r="AI38" s="66">
        <v>265</v>
      </c>
      <c r="AJ38" s="66">
        <v>274</v>
      </c>
      <c r="AK38" s="66">
        <v>265</v>
      </c>
      <c r="AL38" s="66">
        <v>267</v>
      </c>
      <c r="AM38" s="66">
        <v>277</v>
      </c>
      <c r="AN38" s="66">
        <v>278</v>
      </c>
      <c r="AO38" s="66">
        <v>261</v>
      </c>
      <c r="AP38" s="66">
        <v>289</v>
      </c>
      <c r="AQ38" s="66">
        <v>276</v>
      </c>
      <c r="AR38" s="66">
        <v>251</v>
      </c>
      <c r="AS38" s="66">
        <v>294</v>
      </c>
      <c r="AT38" s="66">
        <v>267</v>
      </c>
      <c r="AU38" s="66">
        <v>239</v>
      </c>
      <c r="AV38" s="66">
        <v>293</v>
      </c>
      <c r="AW38" s="66">
        <v>274</v>
      </c>
      <c r="AX38" s="66">
        <v>251</v>
      </c>
      <c r="AY38" s="66">
        <v>278</v>
      </c>
      <c r="AZ38" s="66">
        <v>286</v>
      </c>
      <c r="BA38" s="77">
        <v>251</v>
      </c>
      <c r="BB38" s="77">
        <v>296</v>
      </c>
      <c r="BC38" s="77">
        <v>269</v>
      </c>
      <c r="BD38" s="77">
        <v>277</v>
      </c>
      <c r="BE38" s="77">
        <v>277</v>
      </c>
      <c r="BF38" s="77">
        <v>258</v>
      </c>
      <c r="BG38" s="77">
        <v>283</v>
      </c>
      <c r="BH38" s="77">
        <v>257</v>
      </c>
      <c r="BI38" s="77">
        <v>257</v>
      </c>
      <c r="BJ38" s="77">
        <v>286</v>
      </c>
      <c r="BK38" s="77">
        <v>269</v>
      </c>
      <c r="BL38" s="77">
        <v>267</v>
      </c>
      <c r="BM38" s="75">
        <v>281</v>
      </c>
      <c r="BN38" s="75">
        <v>258</v>
      </c>
      <c r="BO38" s="75">
        <v>238</v>
      </c>
      <c r="BP38" s="75">
        <v>261</v>
      </c>
      <c r="BQ38" s="75">
        <v>253</v>
      </c>
      <c r="BR38" s="75">
        <v>244</v>
      </c>
      <c r="BS38" s="75">
        <v>291</v>
      </c>
      <c r="BT38" s="75">
        <v>257</v>
      </c>
      <c r="BU38" s="75">
        <v>255</v>
      </c>
      <c r="BV38" s="75">
        <v>283</v>
      </c>
      <c r="BW38" s="75">
        <v>265</v>
      </c>
      <c r="BX38" s="75">
        <v>255</v>
      </c>
      <c r="BY38" s="77">
        <v>284</v>
      </c>
      <c r="BZ38" s="77">
        <v>275</v>
      </c>
      <c r="CA38" s="77">
        <v>276</v>
      </c>
      <c r="CB38" s="77">
        <v>265</v>
      </c>
      <c r="CC38" s="77">
        <v>265</v>
      </c>
      <c r="CD38" s="77">
        <v>273</v>
      </c>
      <c r="CE38" s="77">
        <v>273</v>
      </c>
      <c r="CF38" s="77">
        <v>254</v>
      </c>
      <c r="CG38" s="77">
        <v>273</v>
      </c>
      <c r="CH38" s="77">
        <v>266</v>
      </c>
      <c r="CI38" s="77">
        <v>267</v>
      </c>
      <c r="CJ38" s="77">
        <v>284</v>
      </c>
      <c r="CK38" s="79">
        <v>269</v>
      </c>
      <c r="CL38" s="79">
        <v>255</v>
      </c>
      <c r="CM38" s="79">
        <v>290</v>
      </c>
      <c r="CN38" s="79">
        <v>266</v>
      </c>
      <c r="CO38" s="79">
        <v>278</v>
      </c>
      <c r="CP38" s="79">
        <v>271</v>
      </c>
      <c r="CQ38" s="79">
        <v>271</v>
      </c>
      <c r="CR38" s="79">
        <v>254</v>
      </c>
      <c r="CS38" s="79">
        <v>293</v>
      </c>
      <c r="CT38" s="79">
        <v>273</v>
      </c>
      <c r="CU38" s="79">
        <v>293</v>
      </c>
      <c r="CV38" s="79">
        <v>266</v>
      </c>
      <c r="CW38" s="77">
        <v>284</v>
      </c>
      <c r="CX38" s="77">
        <v>285</v>
      </c>
      <c r="CY38" s="77">
        <f>272+73</f>
        <v>345</v>
      </c>
      <c r="CZ38" s="77">
        <v>210</v>
      </c>
      <c r="DA38" s="77">
        <v>299</v>
      </c>
      <c r="DB38" s="77">
        <v>279</v>
      </c>
      <c r="DC38" s="77">
        <v>3</v>
      </c>
      <c r="DD38" s="77">
        <v>257</v>
      </c>
      <c r="DE38" s="77">
        <v>249</v>
      </c>
      <c r="DF38" s="150">
        <v>249</v>
      </c>
      <c r="DG38" s="150">
        <v>257</v>
      </c>
      <c r="DH38" s="162">
        <v>259</v>
      </c>
      <c r="DI38" s="162">
        <v>242</v>
      </c>
      <c r="DJ38" s="162">
        <v>266</v>
      </c>
      <c r="DK38" s="162">
        <v>257</v>
      </c>
      <c r="DL38" s="162">
        <v>231</v>
      </c>
      <c r="DM38" s="162">
        <v>270</v>
      </c>
      <c r="DN38" s="162">
        <f t="shared" si="1"/>
        <v>243</v>
      </c>
      <c r="DO38" s="162">
        <f t="shared" si="2"/>
        <v>251</v>
      </c>
      <c r="DP38" s="162">
        <f t="shared" si="0"/>
        <v>234</v>
      </c>
      <c r="DQ38" s="162">
        <f t="shared" si="3"/>
        <v>243</v>
      </c>
      <c r="DR38" s="162">
        <f t="shared" si="4"/>
        <v>234</v>
      </c>
      <c r="DS38" s="162">
        <f t="shared" si="5"/>
        <v>260</v>
      </c>
      <c r="DT38" s="162">
        <f t="shared" si="6"/>
        <v>255</v>
      </c>
      <c r="DU38" s="162">
        <f t="shared" si="10"/>
        <v>233</v>
      </c>
      <c r="DV38" s="162">
        <f t="shared" si="11"/>
        <v>273</v>
      </c>
      <c r="DW38" s="162">
        <f t="shared" si="12"/>
        <v>248</v>
      </c>
      <c r="DX38" s="162">
        <f t="shared" si="13"/>
        <v>257</v>
      </c>
      <c r="DY38" s="150">
        <f t="shared" si="7"/>
        <v>256</v>
      </c>
      <c r="DZ38" s="150">
        <f t="shared" si="14"/>
        <v>240</v>
      </c>
      <c r="EA38" s="150">
        <f t="shared" si="8"/>
        <v>267</v>
      </c>
      <c r="EB38" s="150">
        <f t="shared" si="9"/>
        <v>253</v>
      </c>
      <c r="EC38" s="150">
        <f t="shared" si="15"/>
        <v>237</v>
      </c>
      <c r="ED38" s="150">
        <f t="shared" si="16"/>
        <v>278</v>
      </c>
      <c r="EE38" s="150">
        <v>254</v>
      </c>
      <c r="EF38" s="150">
        <v>245</v>
      </c>
      <c r="EG38" s="150">
        <v>273</v>
      </c>
      <c r="EH38" s="150">
        <v>264</v>
      </c>
      <c r="EI38" s="150">
        <v>265</v>
      </c>
      <c r="EJ38" s="150">
        <v>255</v>
      </c>
      <c r="EK38" s="150">
        <v>255</v>
      </c>
      <c r="EL38" s="150">
        <v>262</v>
      </c>
      <c r="EM38" s="150">
        <v>247</v>
      </c>
      <c r="EN38" s="150">
        <v>263</v>
      </c>
      <c r="EO38" s="150">
        <v>239</v>
      </c>
      <c r="EP38" s="150">
        <v>278</v>
      </c>
      <c r="EQ38" s="150">
        <v>254</v>
      </c>
      <c r="ER38" s="150">
        <v>262</v>
      </c>
      <c r="ES38" s="150">
        <v>253</v>
      </c>
      <c r="ET38" s="150">
        <v>254</v>
      </c>
      <c r="EU38" s="150">
        <v>271</v>
      </c>
      <c r="EV38" s="150">
        <v>253</v>
      </c>
      <c r="EW38" s="150">
        <v>245</v>
      </c>
      <c r="EX38" s="204">
        <v>261</v>
      </c>
      <c r="EY38" s="204">
        <v>236</v>
      </c>
      <c r="EZ38" s="204">
        <v>217</v>
      </c>
      <c r="FA38" s="204">
        <v>256</v>
      </c>
      <c r="FB38" s="204">
        <v>259</v>
      </c>
      <c r="FC38" s="66" t="s">
        <v>204</v>
      </c>
      <c r="FE38" s="66">
        <v>8123</v>
      </c>
      <c r="FF38" s="66">
        <v>7845</v>
      </c>
      <c r="FG38" s="66">
        <v>7608</v>
      </c>
      <c r="FH38" s="66">
        <v>7355</v>
      </c>
      <c r="FI38" s="66">
        <v>7088</v>
      </c>
      <c r="FJ38" s="66">
        <v>6848</v>
      </c>
      <c r="FK38" s="66">
        <v>6592</v>
      </c>
      <c r="FL38" s="66">
        <v>6335</v>
      </c>
      <c r="FM38" s="66">
        <v>6087</v>
      </c>
      <c r="FN38" s="66">
        <v>5814</v>
      </c>
      <c r="FO38" s="66">
        <v>5581</v>
      </c>
      <c r="FP38" s="66">
        <v>5326</v>
      </c>
      <c r="FQ38" s="66">
        <v>5066</v>
      </c>
      <c r="FR38" s="162">
        <v>4832</v>
      </c>
      <c r="FS38" s="162">
        <v>4589</v>
      </c>
      <c r="FT38" s="162">
        <v>4355</v>
      </c>
      <c r="FU38" s="162">
        <v>4104</v>
      </c>
      <c r="FV38" s="162">
        <v>3861</v>
      </c>
    </row>
    <row r="39" spans="1:178">
      <c r="B39" s="260">
        <v>5643334</v>
      </c>
      <c r="C39" s="181"/>
      <c r="D39" s="66" t="s">
        <v>204</v>
      </c>
      <c r="E39" s="66">
        <v>128</v>
      </c>
      <c r="F39" s="66">
        <v>122</v>
      </c>
      <c r="G39" s="66">
        <v>124</v>
      </c>
      <c r="H39" s="66">
        <v>119</v>
      </c>
      <c r="I39" s="66">
        <v>119</v>
      </c>
      <c r="J39" s="66">
        <v>123</v>
      </c>
      <c r="K39" s="66">
        <v>121</v>
      </c>
      <c r="L39" s="66">
        <v>114</v>
      </c>
      <c r="M39" s="66">
        <v>110</v>
      </c>
      <c r="N39" s="66">
        <v>129</v>
      </c>
      <c r="O39" s="66">
        <v>117</v>
      </c>
      <c r="P39" s="66">
        <v>122</v>
      </c>
      <c r="Q39" s="79">
        <v>122</v>
      </c>
      <c r="R39" s="78">
        <v>114</v>
      </c>
      <c r="S39" s="79">
        <v>126</v>
      </c>
      <c r="T39" s="79">
        <v>118</v>
      </c>
      <c r="U39" s="79">
        <v>115</v>
      </c>
      <c r="V39" s="79">
        <v>125</v>
      </c>
      <c r="W39" s="79">
        <v>121</v>
      </c>
      <c r="X39" s="79">
        <v>110</v>
      </c>
      <c r="Y39" s="79">
        <v>121</v>
      </c>
      <c r="Z39" s="79">
        <v>121</v>
      </c>
      <c r="AA39" s="79">
        <v>115</v>
      </c>
      <c r="AB39" s="79">
        <v>126</v>
      </c>
      <c r="AC39" s="66">
        <v>118</v>
      </c>
      <c r="AD39" s="66">
        <v>115</v>
      </c>
      <c r="AE39" s="66">
        <v>131</v>
      </c>
      <c r="AF39" s="66">
        <v>118</v>
      </c>
      <c r="AG39" s="66">
        <v>123</v>
      </c>
      <c r="AH39" s="66">
        <v>118</v>
      </c>
      <c r="AI39" s="66">
        <v>119</v>
      </c>
      <c r="AJ39" s="66">
        <v>121</v>
      </c>
      <c r="AK39" s="66">
        <v>119</v>
      </c>
      <c r="AL39" s="66">
        <v>117</v>
      </c>
      <c r="AM39" s="66">
        <v>123</v>
      </c>
      <c r="AN39" s="66">
        <v>122</v>
      </c>
      <c r="AO39" s="66">
        <v>115</v>
      </c>
      <c r="AP39" s="66">
        <v>128</v>
      </c>
      <c r="AQ39" s="66">
        <v>124</v>
      </c>
      <c r="AR39" s="66">
        <v>111</v>
      </c>
      <c r="AS39" s="66">
        <v>131</v>
      </c>
      <c r="AT39" s="66">
        <v>119</v>
      </c>
      <c r="AU39" s="66">
        <v>107</v>
      </c>
      <c r="AV39" s="66">
        <v>131</v>
      </c>
      <c r="AW39" s="66">
        <v>123</v>
      </c>
      <c r="AX39" s="66">
        <v>111</v>
      </c>
      <c r="AY39" s="66">
        <v>124</v>
      </c>
      <c r="AZ39" s="66">
        <v>127</v>
      </c>
      <c r="BA39" s="77">
        <v>112</v>
      </c>
      <c r="BB39" s="77">
        <v>131</v>
      </c>
      <c r="BC39" s="77">
        <v>119</v>
      </c>
      <c r="BD39" s="77">
        <v>124</v>
      </c>
      <c r="BE39" s="77">
        <v>123</v>
      </c>
      <c r="BF39" s="77">
        <v>115</v>
      </c>
      <c r="BG39" s="77">
        <v>126</v>
      </c>
      <c r="BH39" s="77">
        <v>114</v>
      </c>
      <c r="BI39" s="77">
        <v>116</v>
      </c>
      <c r="BJ39" s="77">
        <v>127</v>
      </c>
      <c r="BK39" s="77">
        <v>124</v>
      </c>
      <c r="BL39" s="77">
        <v>115</v>
      </c>
      <c r="BM39" s="75">
        <v>123</v>
      </c>
      <c r="BN39" s="75">
        <v>123</v>
      </c>
      <c r="BO39" s="75">
        <v>116</v>
      </c>
      <c r="BP39" s="75">
        <v>127</v>
      </c>
      <c r="BQ39" s="75">
        <v>123</v>
      </c>
      <c r="BR39" s="75">
        <v>111</v>
      </c>
      <c r="BS39" s="75">
        <v>129</v>
      </c>
      <c r="BT39" s="75">
        <v>114</v>
      </c>
      <c r="BU39" s="75">
        <v>115</v>
      </c>
      <c r="BV39" s="75">
        <v>126</v>
      </c>
      <c r="BW39" s="75">
        <v>119</v>
      </c>
      <c r="BX39" s="75">
        <v>115</v>
      </c>
      <c r="BY39" s="77">
        <v>126</v>
      </c>
      <c r="BZ39" s="77">
        <v>123</v>
      </c>
      <c r="CA39" s="77">
        <v>122</v>
      </c>
      <c r="CB39" s="77">
        <v>118</v>
      </c>
      <c r="CC39" s="77">
        <v>118</v>
      </c>
      <c r="CD39" s="77">
        <v>122</v>
      </c>
      <c r="CE39" s="77">
        <v>121</v>
      </c>
      <c r="CF39" s="77">
        <v>114</v>
      </c>
      <c r="CG39" s="77">
        <v>122</v>
      </c>
      <c r="CH39" s="77">
        <v>117</v>
      </c>
      <c r="CI39" s="77">
        <v>121</v>
      </c>
      <c r="CJ39" s="77">
        <v>133</v>
      </c>
      <c r="CK39" s="79">
        <v>123</v>
      </c>
      <c r="CL39" s="79">
        <v>116</v>
      </c>
      <c r="CM39" s="79">
        <v>135</v>
      </c>
      <c r="CN39" s="79">
        <v>121</v>
      </c>
      <c r="CO39" s="79">
        <v>124</v>
      </c>
      <c r="CP39" s="79">
        <v>119</v>
      </c>
      <c r="CQ39" s="79">
        <v>119</v>
      </c>
      <c r="CR39" s="79">
        <v>109</v>
      </c>
      <c r="CS39" s="79">
        <v>126</v>
      </c>
      <c r="CT39" s="79">
        <v>121</v>
      </c>
      <c r="CU39" s="79">
        <v>129</v>
      </c>
      <c r="CV39" s="79">
        <v>116</v>
      </c>
      <c r="CW39" s="77">
        <v>124</v>
      </c>
      <c r="CX39" s="77">
        <v>124</v>
      </c>
      <c r="CY39" s="77">
        <v>125</v>
      </c>
      <c r="CZ39" s="77">
        <v>46</v>
      </c>
      <c r="DA39" s="77">
        <v>0</v>
      </c>
      <c r="DB39" s="77">
        <v>0</v>
      </c>
      <c r="DC39" s="77">
        <v>0</v>
      </c>
      <c r="DD39" s="77">
        <v>0</v>
      </c>
      <c r="DE39" s="92">
        <v>0</v>
      </c>
      <c r="DF39" s="153">
        <v>0</v>
      </c>
      <c r="DG39" s="153">
        <v>0</v>
      </c>
      <c r="DH39" s="153">
        <v>0</v>
      </c>
      <c r="DI39" s="153">
        <v>0</v>
      </c>
      <c r="DJ39" s="153">
        <v>0</v>
      </c>
      <c r="DK39" s="153">
        <v>0</v>
      </c>
      <c r="DL39" s="153">
        <v>0</v>
      </c>
      <c r="DM39" s="153">
        <v>0</v>
      </c>
      <c r="DN39" s="153">
        <v>0</v>
      </c>
      <c r="DO39" s="162">
        <f t="shared" si="2"/>
        <v>0</v>
      </c>
      <c r="DP39" s="162">
        <f t="shared" si="0"/>
        <v>0</v>
      </c>
      <c r="DQ39" s="162">
        <f t="shared" si="3"/>
        <v>0</v>
      </c>
      <c r="DR39" s="162">
        <f t="shared" si="4"/>
        <v>0</v>
      </c>
      <c r="DS39" s="162">
        <f t="shared" si="5"/>
        <v>0</v>
      </c>
      <c r="DT39" s="162">
        <f t="shared" si="6"/>
        <v>0</v>
      </c>
      <c r="DU39" s="162">
        <f t="shared" si="10"/>
        <v>0</v>
      </c>
      <c r="DV39" s="162">
        <f t="shared" si="11"/>
        <v>0</v>
      </c>
      <c r="DW39" s="162">
        <f t="shared" si="12"/>
        <v>0</v>
      </c>
      <c r="DX39" s="162">
        <f t="shared" si="13"/>
        <v>0</v>
      </c>
      <c r="DY39" s="150">
        <f t="shared" si="7"/>
        <v>0</v>
      </c>
      <c r="DZ39" s="150">
        <f t="shared" si="14"/>
        <v>0</v>
      </c>
      <c r="EA39" s="150">
        <f t="shared" si="8"/>
        <v>0</v>
      </c>
      <c r="EB39" s="150">
        <f t="shared" si="9"/>
        <v>0</v>
      </c>
      <c r="EC39" s="150">
        <f t="shared" si="15"/>
        <v>0</v>
      </c>
      <c r="ED39" s="150">
        <f t="shared" si="16"/>
        <v>0</v>
      </c>
      <c r="EE39" s="150">
        <v>0</v>
      </c>
      <c r="EF39" s="150">
        <v>0</v>
      </c>
      <c r="EG39" s="150">
        <v>0</v>
      </c>
      <c r="EH39" s="150">
        <v>0</v>
      </c>
      <c r="EI39" s="150">
        <v>0</v>
      </c>
      <c r="EJ39" s="150">
        <v>0</v>
      </c>
      <c r="EK39" s="150">
        <v>0</v>
      </c>
      <c r="EL39" s="150">
        <v>0</v>
      </c>
      <c r="EM39" s="150">
        <v>0</v>
      </c>
      <c r="EN39" s="150">
        <v>0</v>
      </c>
      <c r="EO39" s="150">
        <v>0</v>
      </c>
      <c r="EP39" s="150">
        <v>0</v>
      </c>
      <c r="EQ39" s="150">
        <v>0</v>
      </c>
      <c r="ER39" s="150">
        <v>0</v>
      </c>
      <c r="ES39" s="150">
        <v>0</v>
      </c>
      <c r="ET39" s="150">
        <v>0</v>
      </c>
      <c r="EU39" s="150">
        <v>0</v>
      </c>
      <c r="EV39" s="150">
        <v>0</v>
      </c>
      <c r="EW39" s="150">
        <v>0</v>
      </c>
      <c r="EX39" s="150">
        <v>0</v>
      </c>
      <c r="EY39" s="150">
        <v>0</v>
      </c>
      <c r="EZ39" s="255" t="s">
        <v>89</v>
      </c>
      <c r="FA39" s="255" t="s">
        <v>89</v>
      </c>
      <c r="FB39" s="255" t="s">
        <v>89</v>
      </c>
      <c r="FC39" s="66" t="s">
        <v>204</v>
      </c>
      <c r="FE39" s="66">
        <v>0</v>
      </c>
      <c r="FF39" s="66">
        <v>0</v>
      </c>
      <c r="FG39" s="66">
        <v>0</v>
      </c>
      <c r="FH39" s="66">
        <v>0</v>
      </c>
      <c r="FI39" s="66">
        <v>0</v>
      </c>
      <c r="FJ39" s="66">
        <v>0</v>
      </c>
      <c r="FL39" s="66">
        <v>0</v>
      </c>
      <c r="FM39" s="66">
        <v>0</v>
      </c>
      <c r="FN39" s="66">
        <v>0</v>
      </c>
      <c r="FO39" s="66">
        <v>0</v>
      </c>
      <c r="FP39" s="66">
        <v>0</v>
      </c>
      <c r="FQ39" s="66">
        <v>0</v>
      </c>
      <c r="FR39" s="153">
        <v>0</v>
      </c>
      <c r="FS39" s="153">
        <v>0</v>
      </c>
      <c r="FT39" s="153">
        <v>0</v>
      </c>
      <c r="FU39" s="153">
        <v>0</v>
      </c>
      <c r="FV39" s="153">
        <v>0</v>
      </c>
    </row>
    <row r="40" spans="1:178">
      <c r="B40" s="259">
        <v>7633533</v>
      </c>
      <c r="C40" s="181">
        <v>5643336</v>
      </c>
      <c r="D40" s="66" t="s">
        <v>204</v>
      </c>
      <c r="E40" s="66">
        <v>97</v>
      </c>
      <c r="F40" s="66">
        <v>92</v>
      </c>
      <c r="G40" s="66">
        <v>93</v>
      </c>
      <c r="H40" s="66">
        <v>90</v>
      </c>
      <c r="I40" s="66">
        <v>90</v>
      </c>
      <c r="J40" s="66">
        <v>92</v>
      </c>
      <c r="K40" s="66">
        <v>92</v>
      </c>
      <c r="L40" s="66">
        <v>87</v>
      </c>
      <c r="M40" s="66">
        <v>83</v>
      </c>
      <c r="N40" s="66">
        <v>100</v>
      </c>
      <c r="O40" s="66">
        <v>89</v>
      </c>
      <c r="P40" s="66">
        <v>92</v>
      </c>
      <c r="Q40" s="79">
        <v>91</v>
      </c>
      <c r="R40" s="79">
        <v>86</v>
      </c>
      <c r="S40" s="79">
        <v>96</v>
      </c>
      <c r="T40" s="79">
        <v>89</v>
      </c>
      <c r="U40" s="79">
        <v>85</v>
      </c>
      <c r="V40" s="79">
        <v>95</v>
      </c>
      <c r="W40" s="79">
        <v>89</v>
      </c>
      <c r="X40" s="79">
        <v>82</v>
      </c>
      <c r="Y40" s="79">
        <v>90</v>
      </c>
      <c r="Z40" s="79">
        <v>89</v>
      </c>
      <c r="AA40" s="79">
        <v>84</v>
      </c>
      <c r="AB40" s="79">
        <v>93</v>
      </c>
      <c r="AC40" s="66">
        <v>87</v>
      </c>
      <c r="AD40" s="66">
        <v>84</v>
      </c>
      <c r="AE40" s="66">
        <v>96</v>
      </c>
      <c r="AF40" s="66">
        <v>87</v>
      </c>
      <c r="AG40" s="66">
        <v>90</v>
      </c>
      <c r="AH40" s="66">
        <v>87</v>
      </c>
      <c r="AI40" s="66">
        <v>87</v>
      </c>
      <c r="AJ40" s="66">
        <v>89</v>
      </c>
      <c r="AK40" s="66">
        <v>86</v>
      </c>
      <c r="AL40" s="66">
        <v>86</v>
      </c>
      <c r="AM40" s="66">
        <v>89</v>
      </c>
      <c r="AN40" s="66">
        <v>89</v>
      </c>
      <c r="AO40" s="66">
        <v>83</v>
      </c>
      <c r="AP40" s="66">
        <v>91</v>
      </c>
      <c r="AQ40" s="66">
        <v>88</v>
      </c>
      <c r="AR40" s="66">
        <v>80</v>
      </c>
      <c r="AS40" s="66">
        <v>95</v>
      </c>
      <c r="AT40" s="66">
        <v>86</v>
      </c>
      <c r="AU40" s="66">
        <v>78</v>
      </c>
      <c r="AV40" s="66">
        <v>94</v>
      </c>
      <c r="AW40" s="66">
        <v>90</v>
      </c>
      <c r="AX40" s="66">
        <v>80</v>
      </c>
      <c r="AY40" s="66">
        <v>90</v>
      </c>
      <c r="AZ40" s="66">
        <v>91</v>
      </c>
      <c r="BA40" s="77">
        <v>81</v>
      </c>
      <c r="BB40" s="77">
        <v>95</v>
      </c>
      <c r="BC40" s="77">
        <v>87</v>
      </c>
      <c r="BD40" s="77">
        <v>88</v>
      </c>
      <c r="BE40" s="77">
        <v>89</v>
      </c>
      <c r="BF40" s="77">
        <v>84</v>
      </c>
      <c r="BG40" s="77">
        <v>91</v>
      </c>
      <c r="BH40" s="77">
        <v>83</v>
      </c>
      <c r="BI40" s="77">
        <v>82</v>
      </c>
      <c r="BJ40" s="77">
        <v>88</v>
      </c>
      <c r="BK40" s="77">
        <v>85</v>
      </c>
      <c r="BL40" s="77">
        <v>79</v>
      </c>
      <c r="BM40" s="75">
        <v>85</v>
      </c>
      <c r="BN40" s="75">
        <v>85</v>
      </c>
      <c r="BO40" s="75">
        <v>79</v>
      </c>
      <c r="BP40" s="75">
        <v>87</v>
      </c>
      <c r="BQ40" s="75">
        <v>85</v>
      </c>
      <c r="BR40" s="75">
        <v>77</v>
      </c>
      <c r="BS40" s="75">
        <v>91</v>
      </c>
      <c r="BT40" s="75">
        <v>79</v>
      </c>
      <c r="BU40" s="75">
        <v>80</v>
      </c>
      <c r="BV40" s="75">
        <v>88</v>
      </c>
      <c r="BW40" s="75">
        <v>83</v>
      </c>
      <c r="BX40" s="75">
        <v>80</v>
      </c>
      <c r="BY40" s="77">
        <v>87</v>
      </c>
      <c r="BZ40" s="77">
        <v>86</v>
      </c>
      <c r="CA40" s="77">
        <v>85</v>
      </c>
      <c r="CB40" s="77">
        <v>82</v>
      </c>
      <c r="CC40" s="77">
        <v>82</v>
      </c>
      <c r="CD40" s="77">
        <v>85</v>
      </c>
      <c r="CE40" s="77">
        <v>85</v>
      </c>
      <c r="CF40" s="77">
        <v>80</v>
      </c>
      <c r="CG40" s="77">
        <v>85</v>
      </c>
      <c r="CH40" s="77">
        <v>82</v>
      </c>
      <c r="CI40" s="77">
        <v>83</v>
      </c>
      <c r="CJ40" s="77">
        <v>87</v>
      </c>
      <c r="CK40" s="79">
        <v>82</v>
      </c>
      <c r="CL40" s="79">
        <v>79</v>
      </c>
      <c r="CM40" s="79">
        <v>89</v>
      </c>
      <c r="CN40" s="79">
        <v>82</v>
      </c>
      <c r="CO40" s="79">
        <v>85</v>
      </c>
      <c r="CP40" s="79">
        <v>82</v>
      </c>
      <c r="CQ40" s="79">
        <v>82</v>
      </c>
      <c r="CR40" s="79">
        <v>76</v>
      </c>
      <c r="CS40" s="79">
        <v>88</v>
      </c>
      <c r="CT40" s="79">
        <v>82</v>
      </c>
      <c r="CU40" s="79">
        <v>87</v>
      </c>
      <c r="CV40" s="79">
        <v>79</v>
      </c>
      <c r="CW40" s="77">
        <v>84</v>
      </c>
      <c r="CX40" s="77">
        <v>30</v>
      </c>
      <c r="CY40" s="77">
        <v>84</v>
      </c>
      <c r="CZ40" s="77">
        <v>78</v>
      </c>
      <c r="DA40" s="77">
        <v>87</v>
      </c>
      <c r="DB40" s="77">
        <v>82</v>
      </c>
      <c r="DC40" s="77">
        <v>79</v>
      </c>
      <c r="DD40" s="77">
        <v>83</v>
      </c>
      <c r="DE40" s="77">
        <v>81</v>
      </c>
      <c r="DF40" s="150">
        <v>81</v>
      </c>
      <c r="DG40" s="150">
        <v>81</v>
      </c>
      <c r="DH40" s="162">
        <v>83</v>
      </c>
      <c r="DI40" s="162">
        <v>79</v>
      </c>
      <c r="DJ40" s="162">
        <v>86</v>
      </c>
      <c r="DK40" s="162">
        <v>83</v>
      </c>
      <c r="DL40" s="162">
        <v>76</v>
      </c>
      <c r="DM40" s="162">
        <v>89</v>
      </c>
      <c r="DN40" s="162">
        <f t="shared" si="1"/>
        <v>80</v>
      </c>
      <c r="DO40" s="162">
        <f t="shared" si="2"/>
        <v>84</v>
      </c>
      <c r="DP40" s="162">
        <f t="shared" si="0"/>
        <v>77</v>
      </c>
      <c r="DQ40" s="162">
        <f t="shared" si="3"/>
        <v>82</v>
      </c>
      <c r="DR40" s="162">
        <f t="shared" si="4"/>
        <v>78</v>
      </c>
      <c r="DS40" s="162">
        <f t="shared" si="5"/>
        <v>86</v>
      </c>
      <c r="DT40" s="162">
        <f t="shared" si="6"/>
        <v>83</v>
      </c>
      <c r="DU40" s="162">
        <f t="shared" si="10"/>
        <v>76</v>
      </c>
      <c r="DV40" s="162">
        <f t="shared" si="11"/>
        <v>89</v>
      </c>
      <c r="DW40" s="162">
        <f t="shared" si="12"/>
        <v>81</v>
      </c>
      <c r="DX40" s="162">
        <f t="shared" si="13"/>
        <v>83</v>
      </c>
      <c r="DY40" s="150">
        <f t="shared" si="7"/>
        <v>84</v>
      </c>
      <c r="DZ40" s="150">
        <f t="shared" si="14"/>
        <v>78</v>
      </c>
      <c r="EA40" s="150">
        <f t="shared" si="8"/>
        <v>86</v>
      </c>
      <c r="EB40" s="150">
        <f t="shared" si="9"/>
        <v>80</v>
      </c>
      <c r="EC40" s="150">
        <f t="shared" si="15"/>
        <v>75</v>
      </c>
      <c r="ED40" s="150">
        <f t="shared" si="16"/>
        <v>88</v>
      </c>
      <c r="EE40" s="150">
        <v>81</v>
      </c>
      <c r="EF40" s="150">
        <v>78</v>
      </c>
      <c r="EG40" s="150">
        <v>78</v>
      </c>
      <c r="EH40" s="150">
        <v>83</v>
      </c>
      <c r="EI40" s="150">
        <v>84</v>
      </c>
      <c r="EJ40" s="150">
        <v>80</v>
      </c>
      <c r="EK40" s="150">
        <v>81</v>
      </c>
      <c r="EL40" s="150">
        <v>83</v>
      </c>
      <c r="EM40" s="150">
        <v>77</v>
      </c>
      <c r="EN40" s="150">
        <v>83</v>
      </c>
      <c r="EO40" s="150">
        <v>62</v>
      </c>
      <c r="EP40" s="150">
        <v>89</v>
      </c>
      <c r="EQ40" s="150">
        <v>80</v>
      </c>
      <c r="ER40" s="150">
        <v>83</v>
      </c>
      <c r="ES40" s="150">
        <v>81</v>
      </c>
      <c r="ET40" s="150">
        <v>81</v>
      </c>
      <c r="EU40" s="150">
        <v>86</v>
      </c>
      <c r="EV40" s="150">
        <v>80</v>
      </c>
      <c r="EW40" s="150">
        <v>78</v>
      </c>
      <c r="EX40" s="204">
        <v>87</v>
      </c>
      <c r="EY40" s="204">
        <v>83</v>
      </c>
      <c r="EZ40" s="204">
        <v>75</v>
      </c>
      <c r="FA40" s="204">
        <v>83</v>
      </c>
      <c r="FB40" s="204">
        <v>84</v>
      </c>
      <c r="FC40" s="66" t="s">
        <v>204</v>
      </c>
      <c r="FE40" s="66">
        <v>2684</v>
      </c>
      <c r="FF40" s="66">
        <v>2596</v>
      </c>
      <c r="FG40" s="66">
        <v>2521</v>
      </c>
      <c r="FH40" s="66">
        <v>2441</v>
      </c>
      <c r="FI40" s="66">
        <v>2355</v>
      </c>
      <c r="FJ40" s="66">
        <v>2277</v>
      </c>
      <c r="FK40" s="66">
        <v>2193</v>
      </c>
      <c r="FL40" s="66">
        <v>2110</v>
      </c>
      <c r="FM40" s="66">
        <v>2029</v>
      </c>
      <c r="FN40" s="66">
        <v>1940</v>
      </c>
      <c r="FO40" s="66">
        <v>1864</v>
      </c>
      <c r="FP40" s="66">
        <v>1781</v>
      </c>
      <c r="FQ40" s="66">
        <v>1695</v>
      </c>
      <c r="FR40" s="162">
        <v>1617</v>
      </c>
      <c r="FS40" s="162">
        <v>1535</v>
      </c>
      <c r="FT40" s="162">
        <v>1458</v>
      </c>
      <c r="FU40" s="162">
        <v>1374</v>
      </c>
      <c r="FV40" s="162">
        <v>1294</v>
      </c>
    </row>
    <row r="41" spans="1:178" ht="15" customHeight="1">
      <c r="B41" s="220">
        <v>9077628</v>
      </c>
      <c r="C41" s="181"/>
      <c r="D41" s="72" t="s">
        <v>224</v>
      </c>
      <c r="E41" s="66">
        <v>61658</v>
      </c>
      <c r="F41" s="66">
        <v>60738</v>
      </c>
      <c r="G41" s="66">
        <v>63371</v>
      </c>
      <c r="H41" s="66">
        <v>60114</v>
      </c>
      <c r="I41" s="66">
        <v>60384</v>
      </c>
      <c r="J41" s="66">
        <v>62020</v>
      </c>
      <c r="K41" s="66">
        <v>57878</v>
      </c>
      <c r="L41" s="66">
        <v>56997</v>
      </c>
      <c r="M41" s="66">
        <v>54050</v>
      </c>
      <c r="N41" s="66">
        <v>62418</v>
      </c>
      <c r="O41" s="66">
        <v>56726</v>
      </c>
      <c r="P41" s="66">
        <v>55225</v>
      </c>
      <c r="Q41" s="78">
        <v>54948</v>
      </c>
      <c r="R41" s="78">
        <v>54396</v>
      </c>
      <c r="S41" s="78">
        <v>66121</v>
      </c>
      <c r="T41" s="78">
        <v>64981</v>
      </c>
      <c r="U41" s="78">
        <v>59396</v>
      </c>
      <c r="V41" s="78">
        <v>64780</v>
      </c>
      <c r="W41" s="79">
        <v>58986</v>
      </c>
      <c r="X41" s="78">
        <v>57048</v>
      </c>
      <c r="Y41" s="79">
        <v>65019</v>
      </c>
      <c r="Z41" s="78">
        <v>64062</v>
      </c>
      <c r="AA41" s="78">
        <v>60438</v>
      </c>
      <c r="AB41" s="78">
        <v>60626</v>
      </c>
      <c r="AC41" s="67">
        <v>56140</v>
      </c>
      <c r="AD41" s="67">
        <v>54859</v>
      </c>
      <c r="AE41" s="67">
        <v>67976</v>
      </c>
      <c r="AF41" s="67">
        <v>60346</v>
      </c>
      <c r="AG41" s="67">
        <v>63000</v>
      </c>
      <c r="AH41" s="67">
        <v>58576</v>
      </c>
      <c r="AI41" s="67">
        <v>55699</v>
      </c>
      <c r="AJ41" s="67">
        <v>58208</v>
      </c>
      <c r="AK41" s="67">
        <v>58781</v>
      </c>
      <c r="AL41" s="67">
        <v>59434</v>
      </c>
      <c r="AM41" s="67">
        <v>62675</v>
      </c>
      <c r="AN41" s="67">
        <v>56547</v>
      </c>
      <c r="AO41" s="67">
        <v>53876</v>
      </c>
      <c r="AP41" s="67">
        <v>56992</v>
      </c>
      <c r="AQ41" s="67">
        <v>63243</v>
      </c>
      <c r="AR41" s="67">
        <v>54506</v>
      </c>
      <c r="AS41" s="67">
        <v>69445</v>
      </c>
      <c r="AT41" s="67">
        <v>58460</v>
      </c>
      <c r="AU41" s="67">
        <v>48216</v>
      </c>
      <c r="AV41" s="67">
        <v>63482</v>
      </c>
      <c r="AW41" s="67">
        <v>61656</v>
      </c>
      <c r="AX41" s="67">
        <v>53134</v>
      </c>
      <c r="AY41" s="67">
        <v>59979</v>
      </c>
      <c r="AZ41" s="67">
        <v>54990</v>
      </c>
      <c r="BA41" s="76">
        <v>3864</v>
      </c>
      <c r="BB41" s="76">
        <v>2145</v>
      </c>
      <c r="BC41" s="76">
        <v>1717</v>
      </c>
      <c r="BD41" s="76">
        <v>1056</v>
      </c>
      <c r="BE41" s="76">
        <v>13513</v>
      </c>
      <c r="BF41" s="76">
        <v>16554</v>
      </c>
      <c r="BG41" s="77">
        <v>36557</v>
      </c>
      <c r="BH41" s="77">
        <v>61403</v>
      </c>
      <c r="BI41" s="77">
        <v>63745</v>
      </c>
      <c r="BJ41" s="77">
        <v>69951</v>
      </c>
      <c r="BK41" s="77">
        <v>69414</v>
      </c>
      <c r="BL41" s="77">
        <v>57233</v>
      </c>
      <c r="BM41" s="75">
        <v>59522</v>
      </c>
      <c r="BN41" s="75">
        <v>62767</v>
      </c>
      <c r="BO41" s="75">
        <v>66713</v>
      </c>
      <c r="BP41" s="75">
        <v>73238</v>
      </c>
      <c r="BQ41" s="75">
        <v>70988</v>
      </c>
      <c r="BR41" s="75">
        <v>61989</v>
      </c>
      <c r="BS41" s="75">
        <v>69847</v>
      </c>
      <c r="BT41" s="75">
        <v>63751</v>
      </c>
      <c r="BU41" s="75">
        <v>68910</v>
      </c>
      <c r="BV41" s="75">
        <v>71448</v>
      </c>
      <c r="BW41" s="75">
        <v>70924</v>
      </c>
      <c r="BX41" s="75">
        <v>65941</v>
      </c>
      <c r="BY41" s="77">
        <v>72843</v>
      </c>
      <c r="BZ41" s="77">
        <v>70789</v>
      </c>
      <c r="CA41" s="77">
        <v>73962</v>
      </c>
      <c r="CB41" s="77">
        <v>64860</v>
      </c>
      <c r="CC41" s="77">
        <v>46130</v>
      </c>
      <c r="CD41" s="77">
        <v>59464</v>
      </c>
      <c r="CE41" s="77">
        <v>54246</v>
      </c>
      <c r="CF41" s="77">
        <v>46363</v>
      </c>
      <c r="CG41" s="77">
        <v>53171</v>
      </c>
      <c r="CH41" s="77">
        <v>42651</v>
      </c>
      <c r="CI41" s="77">
        <v>46127</v>
      </c>
      <c r="CJ41" s="77">
        <v>52227</v>
      </c>
      <c r="CK41" s="79">
        <v>47115</v>
      </c>
      <c r="CL41" s="79">
        <v>38362</v>
      </c>
      <c r="CM41" s="79">
        <v>52074</v>
      </c>
      <c r="CN41" s="79">
        <v>48988</v>
      </c>
      <c r="CO41" s="134">
        <v>54415</v>
      </c>
      <c r="CP41" s="134">
        <v>51468</v>
      </c>
      <c r="CQ41" s="134">
        <v>50635</v>
      </c>
      <c r="CR41" s="134">
        <v>45731</v>
      </c>
      <c r="CS41" s="134">
        <v>54625</v>
      </c>
      <c r="CT41" s="134">
        <v>54425</v>
      </c>
      <c r="CU41" s="134">
        <v>53485</v>
      </c>
      <c r="CV41" s="134">
        <v>52472</v>
      </c>
      <c r="CW41" s="117">
        <v>54858</v>
      </c>
      <c r="CX41" s="117">
        <v>56625</v>
      </c>
      <c r="CY41" s="117">
        <v>62102</v>
      </c>
      <c r="CZ41" s="117">
        <v>55555</v>
      </c>
      <c r="DA41" s="117">
        <v>64408</v>
      </c>
      <c r="DB41" s="117">
        <v>60716</v>
      </c>
      <c r="DC41" s="117">
        <v>49597</v>
      </c>
      <c r="DD41" s="117">
        <v>42986</v>
      </c>
      <c r="DE41" s="117">
        <v>38734</v>
      </c>
      <c r="DF41" s="151">
        <v>45371</v>
      </c>
      <c r="DG41" s="151">
        <v>52805</v>
      </c>
      <c r="DH41" s="159">
        <v>52200</v>
      </c>
      <c r="DI41" s="159">
        <v>48693</v>
      </c>
      <c r="DJ41" s="159">
        <v>55851</v>
      </c>
      <c r="DK41" s="159">
        <v>65915</v>
      </c>
      <c r="DL41" s="159">
        <v>60758</v>
      </c>
      <c r="DM41" s="159">
        <v>73826</v>
      </c>
      <c r="DN41" s="162">
        <f t="shared" si="1"/>
        <v>64184</v>
      </c>
      <c r="DO41" s="162">
        <f t="shared" si="2"/>
        <v>55925</v>
      </c>
      <c r="DP41" s="162">
        <f t="shared" si="0"/>
        <v>63098</v>
      </c>
      <c r="DQ41" s="162">
        <f t="shared" si="3"/>
        <v>72023</v>
      </c>
      <c r="DR41" s="162">
        <f t="shared" si="4"/>
        <v>64798</v>
      </c>
      <c r="DS41" s="162">
        <f t="shared" si="5"/>
        <v>71964</v>
      </c>
      <c r="DT41" s="162">
        <f t="shared" si="6"/>
        <v>64971</v>
      </c>
      <c r="DU41" s="162">
        <f t="shared" si="10"/>
        <v>56846</v>
      </c>
      <c r="DV41" s="162">
        <f t="shared" si="11"/>
        <v>69570</v>
      </c>
      <c r="DW41" s="162">
        <f t="shared" si="12"/>
        <v>66698</v>
      </c>
      <c r="DX41" s="162">
        <f t="shared" si="13"/>
        <v>70974</v>
      </c>
      <c r="DY41" s="150">
        <f t="shared" si="7"/>
        <v>75641</v>
      </c>
      <c r="DZ41" s="150">
        <f t="shared" si="14"/>
        <v>67335</v>
      </c>
      <c r="EA41" s="150">
        <f t="shared" si="8"/>
        <v>71080</v>
      </c>
      <c r="EB41" s="150">
        <f t="shared" si="9"/>
        <v>70965</v>
      </c>
      <c r="EC41" s="150">
        <f t="shared" si="15"/>
        <v>69985</v>
      </c>
      <c r="ED41" s="150">
        <f t="shared" si="16"/>
        <v>74597</v>
      </c>
      <c r="EE41" s="150">
        <v>69808</v>
      </c>
      <c r="EF41" s="150">
        <v>62355</v>
      </c>
      <c r="EG41" s="150">
        <v>68214</v>
      </c>
      <c r="EH41" s="150">
        <v>66418</v>
      </c>
      <c r="EI41" s="150">
        <v>76445</v>
      </c>
      <c r="EJ41" s="150">
        <v>78061</v>
      </c>
      <c r="EK41" s="150">
        <v>74157</v>
      </c>
      <c r="EL41" s="150">
        <v>80613</v>
      </c>
      <c r="EM41" s="150">
        <v>73305</v>
      </c>
      <c r="EN41" s="150">
        <v>81151</v>
      </c>
      <c r="EO41" s="150">
        <v>77281</v>
      </c>
      <c r="EP41" s="150">
        <v>86027</v>
      </c>
      <c r="EQ41" s="150">
        <v>78781</v>
      </c>
      <c r="ER41" s="150">
        <v>69611</v>
      </c>
      <c r="ES41" s="150">
        <v>63894</v>
      </c>
      <c r="ET41" s="150">
        <v>70788</v>
      </c>
      <c r="EU41" s="150">
        <v>74571</v>
      </c>
      <c r="EV41" s="150">
        <v>71103</v>
      </c>
      <c r="EW41" s="150">
        <v>69639</v>
      </c>
      <c r="EX41" s="204">
        <v>70054</v>
      </c>
      <c r="EY41" s="204">
        <v>63353</v>
      </c>
      <c r="EZ41" s="204">
        <v>61443</v>
      </c>
      <c r="FA41" s="204">
        <v>73562</v>
      </c>
      <c r="FB41" s="204">
        <v>70182</v>
      </c>
      <c r="FC41" s="72" t="s">
        <v>224</v>
      </c>
      <c r="FE41" s="66">
        <v>9170565</v>
      </c>
      <c r="FF41" s="66">
        <v>9095968</v>
      </c>
      <c r="FG41" s="66">
        <v>9025983</v>
      </c>
      <c r="FH41" s="66">
        <v>8955018</v>
      </c>
      <c r="FI41" s="66">
        <v>8883938</v>
      </c>
      <c r="FJ41" s="66">
        <v>8816603</v>
      </c>
      <c r="FK41" s="66">
        <v>8740962</v>
      </c>
      <c r="FL41" s="66">
        <v>8669988</v>
      </c>
      <c r="FM41" s="66">
        <v>8603290</v>
      </c>
      <c r="FN41" s="66">
        <v>8533720</v>
      </c>
      <c r="FO41" s="66">
        <v>8476874</v>
      </c>
      <c r="FP41" s="66">
        <v>8411903</v>
      </c>
      <c r="FQ41" s="66">
        <v>8339939</v>
      </c>
      <c r="FR41" s="159">
        <v>8275141</v>
      </c>
      <c r="FS41" s="159">
        <v>8203118</v>
      </c>
      <c r="FT41" s="159">
        <v>8140020</v>
      </c>
      <c r="FU41" s="159">
        <v>8084095</v>
      </c>
      <c r="FV41" s="159">
        <v>8019911</v>
      </c>
    </row>
    <row r="42" spans="1:178">
      <c r="B42" s="220">
        <v>9078557</v>
      </c>
      <c r="C42" s="181"/>
      <c r="D42" s="72" t="s">
        <v>225</v>
      </c>
      <c r="M42" s="66">
        <v>14118</v>
      </c>
      <c r="N42" s="66">
        <v>31904</v>
      </c>
      <c r="O42" s="66">
        <v>29094</v>
      </c>
      <c r="P42" s="66">
        <v>26723</v>
      </c>
      <c r="Q42" s="78">
        <v>24934</v>
      </c>
      <c r="R42" s="78">
        <v>24186</v>
      </c>
      <c r="S42" s="78">
        <v>29735</v>
      </c>
      <c r="T42" s="79">
        <v>30187</v>
      </c>
      <c r="U42" s="78">
        <v>27813</v>
      </c>
      <c r="V42" s="78">
        <v>27782</v>
      </c>
      <c r="W42" s="78">
        <v>24671</v>
      </c>
      <c r="X42" s="78">
        <v>25712</v>
      </c>
      <c r="Y42" s="78">
        <v>29844</v>
      </c>
      <c r="Z42" s="78">
        <v>29660</v>
      </c>
      <c r="AA42" s="78">
        <v>27977</v>
      </c>
      <c r="AB42" s="78">
        <v>27565</v>
      </c>
      <c r="AC42" s="67">
        <v>26011</v>
      </c>
      <c r="AD42" s="67">
        <v>26159</v>
      </c>
      <c r="AE42" s="67">
        <v>32446</v>
      </c>
      <c r="AF42" s="67">
        <v>30254</v>
      </c>
      <c r="AG42" s="67">
        <v>31474</v>
      </c>
      <c r="AH42" s="67">
        <v>27530</v>
      </c>
      <c r="AI42" s="67">
        <v>25919</v>
      </c>
      <c r="AJ42" s="67">
        <v>29050</v>
      </c>
      <c r="AK42" s="67">
        <v>30279</v>
      </c>
      <c r="AL42" s="67">
        <v>31078</v>
      </c>
      <c r="AM42" s="67">
        <v>30493</v>
      </c>
      <c r="AN42" s="67">
        <v>27064</v>
      </c>
      <c r="AO42" s="67">
        <v>25729</v>
      </c>
      <c r="AP42" s="67">
        <v>28226</v>
      </c>
      <c r="AQ42" s="67">
        <v>29970</v>
      </c>
      <c r="AR42" s="67">
        <v>30312</v>
      </c>
      <c r="AS42" s="67">
        <v>34292</v>
      </c>
      <c r="AT42" s="67">
        <v>29099</v>
      </c>
      <c r="AU42" s="67">
        <v>24150</v>
      </c>
      <c r="AV42" s="67">
        <v>32482</v>
      </c>
      <c r="AW42" s="67">
        <v>33381</v>
      </c>
      <c r="AX42" s="67">
        <v>28307</v>
      </c>
      <c r="AY42" s="66">
        <v>31709</v>
      </c>
      <c r="AZ42" s="67">
        <v>28785</v>
      </c>
      <c r="BA42" s="76">
        <v>25483</v>
      </c>
      <c r="BB42" s="76">
        <v>31229</v>
      </c>
      <c r="BC42" s="76">
        <v>32136</v>
      </c>
      <c r="BD42" s="76">
        <v>32852</v>
      </c>
      <c r="BE42" s="76">
        <v>33596</v>
      </c>
      <c r="BF42" s="76">
        <v>28785</v>
      </c>
      <c r="BG42" s="77">
        <v>29954</v>
      </c>
      <c r="BH42" s="77">
        <v>29877</v>
      </c>
      <c r="BI42" s="77">
        <v>31526</v>
      </c>
      <c r="BJ42" s="77">
        <v>33315</v>
      </c>
      <c r="BK42" s="77">
        <v>32335</v>
      </c>
      <c r="BL42" s="77">
        <v>26811</v>
      </c>
      <c r="BM42" s="75">
        <v>28750</v>
      </c>
      <c r="BN42" s="75">
        <v>30018</v>
      </c>
      <c r="BO42" s="75">
        <v>29903</v>
      </c>
      <c r="BP42" s="75">
        <v>34084</v>
      </c>
      <c r="BQ42" s="75">
        <v>33020</v>
      </c>
      <c r="BR42" s="75">
        <v>28025</v>
      </c>
      <c r="BS42" s="75">
        <v>31228</v>
      </c>
      <c r="BT42" s="75">
        <v>29712</v>
      </c>
      <c r="BU42" s="75">
        <v>31683</v>
      </c>
      <c r="BV42" s="75">
        <v>33197</v>
      </c>
      <c r="BW42" s="75">
        <v>31928</v>
      </c>
      <c r="BX42" s="75">
        <v>27837</v>
      </c>
      <c r="BY42" s="77">
        <v>30254</v>
      </c>
      <c r="BZ42" s="77">
        <v>29779</v>
      </c>
      <c r="CA42" s="77">
        <v>31057</v>
      </c>
      <c r="CB42" s="77">
        <v>30449</v>
      </c>
      <c r="CC42" s="77">
        <v>25404</v>
      </c>
      <c r="CD42" s="77">
        <v>27934</v>
      </c>
      <c r="CE42" s="77">
        <v>28249</v>
      </c>
      <c r="CF42" s="77">
        <v>26094</v>
      </c>
      <c r="CG42" s="77">
        <v>26808</v>
      </c>
      <c r="CH42" s="77">
        <v>25949</v>
      </c>
      <c r="CI42" s="77">
        <v>25963</v>
      </c>
      <c r="CJ42" s="77">
        <v>27692</v>
      </c>
      <c r="CK42" s="79">
        <v>24987</v>
      </c>
      <c r="CL42" s="79">
        <v>23401</v>
      </c>
      <c r="CM42" s="79">
        <v>28756</v>
      </c>
      <c r="CN42" s="79">
        <v>26731</v>
      </c>
      <c r="CO42" s="134">
        <v>28397</v>
      </c>
      <c r="CP42" s="134">
        <v>28244</v>
      </c>
      <c r="CQ42" s="134">
        <v>27200</v>
      </c>
      <c r="CR42" s="134">
        <v>26296</v>
      </c>
      <c r="CS42" s="134">
        <v>28601</v>
      </c>
      <c r="CT42" s="134">
        <v>30660</v>
      </c>
      <c r="CU42" s="134">
        <v>31796</v>
      </c>
      <c r="CV42" s="134">
        <v>29044</v>
      </c>
      <c r="CW42" s="117">
        <v>28068</v>
      </c>
      <c r="CX42" s="117">
        <v>28334</v>
      </c>
      <c r="CY42" s="117">
        <v>31724</v>
      </c>
      <c r="CZ42" s="117">
        <v>31382</v>
      </c>
      <c r="DA42" s="117">
        <v>34708</v>
      </c>
      <c r="DB42" s="117">
        <v>31314</v>
      </c>
      <c r="DC42" s="117">
        <v>28966</v>
      </c>
      <c r="DD42" s="117">
        <v>28579</v>
      </c>
      <c r="DE42" s="117">
        <v>24961</v>
      </c>
      <c r="DF42" s="151">
        <v>28504</v>
      </c>
      <c r="DG42" s="151">
        <v>29513</v>
      </c>
      <c r="DH42" s="159">
        <v>27949</v>
      </c>
      <c r="DI42" s="159">
        <v>26630</v>
      </c>
      <c r="DJ42" s="159">
        <v>30077</v>
      </c>
      <c r="DK42" s="159">
        <v>32852</v>
      </c>
      <c r="DL42" s="159">
        <v>30314</v>
      </c>
      <c r="DM42" s="159">
        <v>34928</v>
      </c>
      <c r="DN42" s="162">
        <f t="shared" si="1"/>
        <v>29869</v>
      </c>
      <c r="DO42" s="162">
        <f t="shared" si="2"/>
        <v>28504</v>
      </c>
      <c r="DP42" s="162">
        <f t="shared" si="0"/>
        <v>30285</v>
      </c>
      <c r="DQ42" s="162">
        <f t="shared" si="3"/>
        <v>32495</v>
      </c>
      <c r="DR42" s="162">
        <f t="shared" si="4"/>
        <v>30416</v>
      </c>
      <c r="DS42" s="162">
        <f t="shared" si="5"/>
        <v>32445</v>
      </c>
      <c r="DT42" s="162">
        <f t="shared" si="6"/>
        <v>16738</v>
      </c>
      <c r="DU42" s="162">
        <f t="shared" si="10"/>
        <v>12101</v>
      </c>
      <c r="DV42" s="162">
        <f t="shared" si="11"/>
        <v>14690</v>
      </c>
      <c r="DW42" s="162">
        <f t="shared" si="12"/>
        <v>34747</v>
      </c>
      <c r="DX42" s="162">
        <f t="shared" si="13"/>
        <v>36523</v>
      </c>
      <c r="DY42" s="150">
        <f t="shared" si="7"/>
        <v>37534</v>
      </c>
      <c r="DZ42" s="150">
        <f t="shared" si="14"/>
        <v>32979</v>
      </c>
      <c r="EA42" s="150">
        <f t="shared" si="8"/>
        <v>33689</v>
      </c>
      <c r="EB42" s="150">
        <f t="shared" si="9"/>
        <v>34031</v>
      </c>
      <c r="EC42" s="150">
        <f t="shared" si="15"/>
        <v>35063</v>
      </c>
      <c r="ED42" s="150">
        <f t="shared" si="16"/>
        <v>38543</v>
      </c>
      <c r="EE42" s="150">
        <v>34662</v>
      </c>
      <c r="EF42" s="150">
        <v>29340</v>
      </c>
      <c r="EG42" s="150">
        <v>33228</v>
      </c>
      <c r="EH42" s="150">
        <v>33105</v>
      </c>
      <c r="EI42" s="150">
        <v>37913</v>
      </c>
      <c r="EJ42" s="150">
        <v>38230</v>
      </c>
      <c r="EK42" s="150">
        <v>38095</v>
      </c>
      <c r="EL42" s="150">
        <v>36842</v>
      </c>
      <c r="EM42" s="150">
        <v>30871</v>
      </c>
      <c r="EN42" s="150">
        <v>35494</v>
      </c>
      <c r="EO42" s="150">
        <v>34827</v>
      </c>
      <c r="EP42" s="150">
        <v>40708</v>
      </c>
      <c r="EQ42" s="150">
        <v>37274</v>
      </c>
      <c r="ER42" s="150">
        <v>34063</v>
      </c>
      <c r="ES42" s="150">
        <v>32820</v>
      </c>
      <c r="ET42" s="150">
        <v>32542</v>
      </c>
      <c r="EU42" s="150">
        <v>39371</v>
      </c>
      <c r="EV42" s="150">
        <v>39264</v>
      </c>
      <c r="EW42" s="150">
        <v>37079</v>
      </c>
      <c r="EX42" s="204">
        <v>38664</v>
      </c>
      <c r="EY42" s="204">
        <v>35112</v>
      </c>
      <c r="EZ42" s="204">
        <v>34245</v>
      </c>
      <c r="FA42" s="204">
        <v>39789</v>
      </c>
      <c r="FB42" s="204">
        <v>37967</v>
      </c>
      <c r="FC42" s="72" t="s">
        <v>225</v>
      </c>
      <c r="FE42" s="66">
        <v>3562808</v>
      </c>
      <c r="FF42" s="66">
        <v>3524265</v>
      </c>
      <c r="FG42" s="66">
        <v>3489202</v>
      </c>
      <c r="FH42" s="66">
        <v>3455171</v>
      </c>
      <c r="FI42" s="66">
        <v>3421482</v>
      </c>
      <c r="FJ42" s="66">
        <v>3388503</v>
      </c>
      <c r="FK42" s="66">
        <v>3350969</v>
      </c>
      <c r="FL42" s="66">
        <v>3314446</v>
      </c>
      <c r="FM42" s="66">
        <v>3279699</v>
      </c>
      <c r="FN42" s="66">
        <v>3265009</v>
      </c>
      <c r="FO42" s="66">
        <v>3252908</v>
      </c>
      <c r="FP42" s="66">
        <v>3236170</v>
      </c>
      <c r="FQ42" s="66">
        <v>3203725</v>
      </c>
      <c r="FR42" s="159">
        <v>3173309</v>
      </c>
      <c r="FS42" s="159">
        <v>3140814</v>
      </c>
      <c r="FT42" s="159">
        <v>3110529</v>
      </c>
      <c r="FU42" s="159">
        <v>3082025</v>
      </c>
      <c r="FV42" s="159">
        <v>3052156</v>
      </c>
    </row>
    <row r="43" spans="1:178">
      <c r="B43" s="220">
        <v>7389365</v>
      </c>
      <c r="C43" s="181"/>
      <c r="D43" s="72" t="s">
        <v>226</v>
      </c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Y43" s="67">
        <v>1391</v>
      </c>
      <c r="AZ43" s="67">
        <v>1217</v>
      </c>
      <c r="BA43" s="76">
        <v>916</v>
      </c>
      <c r="BB43" s="76">
        <v>1032</v>
      </c>
      <c r="BC43" s="76">
        <v>1158</v>
      </c>
      <c r="BD43" s="76">
        <v>1133</v>
      </c>
      <c r="BE43" s="77">
        <v>1400</v>
      </c>
      <c r="BF43" s="76">
        <v>1267</v>
      </c>
      <c r="BG43" s="77">
        <v>1340</v>
      </c>
      <c r="BH43" s="77">
        <v>1438</v>
      </c>
      <c r="BI43" s="77">
        <v>1569</v>
      </c>
      <c r="BJ43" s="77">
        <v>1347</v>
      </c>
      <c r="BK43" s="77">
        <v>1246</v>
      </c>
      <c r="BL43" s="77">
        <v>1168</v>
      </c>
      <c r="BM43" s="75">
        <v>1137</v>
      </c>
      <c r="BN43" s="75">
        <v>1143</v>
      </c>
      <c r="BO43" s="75">
        <v>1195</v>
      </c>
      <c r="BP43" s="75">
        <v>1325</v>
      </c>
      <c r="BQ43" s="75">
        <v>1482</v>
      </c>
      <c r="BR43" s="75">
        <v>1358</v>
      </c>
      <c r="BS43" s="75">
        <v>1642</v>
      </c>
      <c r="BT43" s="75">
        <v>1366</v>
      </c>
      <c r="BU43" s="75">
        <v>1590</v>
      </c>
      <c r="BV43" s="75">
        <v>7521</v>
      </c>
      <c r="BW43" s="75">
        <v>1360</v>
      </c>
      <c r="BX43" s="75">
        <v>1169</v>
      </c>
      <c r="BY43" s="77">
        <v>1118</v>
      </c>
      <c r="BZ43" s="77">
        <v>1067</v>
      </c>
      <c r="CA43" s="77">
        <v>1219</v>
      </c>
      <c r="CB43" s="77">
        <v>1136</v>
      </c>
      <c r="CC43" s="77">
        <v>1139</v>
      </c>
      <c r="CD43" s="77">
        <v>1372</v>
      </c>
      <c r="CE43" s="77">
        <v>1137</v>
      </c>
      <c r="CF43" s="77">
        <v>740</v>
      </c>
      <c r="CG43" s="77">
        <v>1269</v>
      </c>
      <c r="CH43" s="77">
        <v>995</v>
      </c>
      <c r="CI43" s="77">
        <v>1111</v>
      </c>
      <c r="CJ43" s="77">
        <v>1215</v>
      </c>
      <c r="CK43" s="79">
        <v>910</v>
      </c>
      <c r="CL43" s="79">
        <v>882</v>
      </c>
      <c r="CM43" s="79">
        <v>1221</v>
      </c>
      <c r="CN43" s="79">
        <v>1042</v>
      </c>
      <c r="CO43" s="134">
        <v>1332</v>
      </c>
      <c r="CP43" s="134">
        <v>1317</v>
      </c>
      <c r="CQ43" s="134">
        <v>1556</v>
      </c>
      <c r="CR43" s="134">
        <v>1308</v>
      </c>
      <c r="CS43" s="134">
        <v>1229</v>
      </c>
      <c r="CT43" s="134">
        <v>1376</v>
      </c>
      <c r="CU43" s="134">
        <v>1354</v>
      </c>
      <c r="CV43" s="134">
        <v>1140</v>
      </c>
      <c r="CW43" s="117">
        <v>1185</v>
      </c>
      <c r="CX43" s="117">
        <v>1190</v>
      </c>
      <c r="CY43" s="117">
        <v>1131</v>
      </c>
      <c r="CZ43" s="117">
        <v>1048</v>
      </c>
      <c r="DA43" s="117">
        <v>1473</v>
      </c>
      <c r="DB43" s="117">
        <v>1453</v>
      </c>
      <c r="DC43" s="117">
        <v>1539</v>
      </c>
      <c r="DD43" s="117">
        <v>552</v>
      </c>
      <c r="DE43" s="117">
        <v>1059</v>
      </c>
      <c r="DF43" s="151">
        <v>1265</v>
      </c>
      <c r="DG43" s="151">
        <v>1106</v>
      </c>
      <c r="DH43" s="159">
        <v>1023</v>
      </c>
      <c r="DI43" s="159">
        <v>895</v>
      </c>
      <c r="DJ43" s="159">
        <v>1179</v>
      </c>
      <c r="DK43" s="159">
        <v>1219</v>
      </c>
      <c r="DL43" s="159">
        <v>1211</v>
      </c>
      <c r="DM43" s="159">
        <v>1564</v>
      </c>
      <c r="DN43" s="162">
        <f t="shared" si="1"/>
        <v>1555</v>
      </c>
      <c r="DO43" s="162">
        <f t="shared" si="2"/>
        <v>1404</v>
      </c>
      <c r="DP43" s="162">
        <f t="shared" si="0"/>
        <v>1524</v>
      </c>
      <c r="DQ43" s="162">
        <f t="shared" si="3"/>
        <v>1373</v>
      </c>
      <c r="DR43" s="162">
        <f t="shared" si="4"/>
        <v>1154</v>
      </c>
      <c r="DS43" s="162">
        <f t="shared" si="5"/>
        <v>1156</v>
      </c>
      <c r="DT43" s="162">
        <f t="shared" si="6"/>
        <v>969</v>
      </c>
      <c r="DU43" s="162">
        <f t="shared" si="10"/>
        <v>759</v>
      </c>
      <c r="DV43" s="162">
        <f t="shared" si="11"/>
        <v>957</v>
      </c>
      <c r="DW43" s="162">
        <f t="shared" si="12"/>
        <v>878</v>
      </c>
      <c r="DX43" s="162">
        <f t="shared" si="13"/>
        <v>948</v>
      </c>
      <c r="DY43" s="150">
        <f t="shared" si="7"/>
        <v>1142</v>
      </c>
      <c r="DZ43" s="150">
        <f t="shared" si="14"/>
        <v>1067</v>
      </c>
      <c r="EA43" s="150">
        <f t="shared" si="8"/>
        <v>1249</v>
      </c>
      <c r="EB43" s="150">
        <f t="shared" si="9"/>
        <v>1073</v>
      </c>
      <c r="EC43" s="150">
        <f t="shared" si="15"/>
        <v>1283</v>
      </c>
      <c r="ED43" s="150">
        <f t="shared" si="16"/>
        <v>1193</v>
      </c>
      <c r="EE43" s="150">
        <v>1093</v>
      </c>
      <c r="EF43" s="150">
        <v>886</v>
      </c>
      <c r="EG43" s="150">
        <v>775</v>
      </c>
      <c r="EH43" s="150">
        <v>815</v>
      </c>
      <c r="EI43" s="150">
        <v>823</v>
      </c>
      <c r="EJ43" s="150">
        <v>883</v>
      </c>
      <c r="EK43" s="150">
        <v>998</v>
      </c>
      <c r="EL43" s="150">
        <v>1017</v>
      </c>
      <c r="EM43" s="150">
        <v>1050</v>
      </c>
      <c r="EN43" s="150">
        <v>981</v>
      </c>
      <c r="EO43" s="150">
        <v>1072</v>
      </c>
      <c r="EP43" s="150">
        <v>1079</v>
      </c>
      <c r="EQ43" s="150">
        <v>896</v>
      </c>
      <c r="ER43" s="150">
        <v>843</v>
      </c>
      <c r="ES43" s="150">
        <v>736</v>
      </c>
      <c r="ET43" s="162">
        <v>775</v>
      </c>
      <c r="EU43" s="162">
        <v>916</v>
      </c>
      <c r="EV43" s="150">
        <v>911</v>
      </c>
      <c r="EW43" s="150">
        <v>8539</v>
      </c>
      <c r="EX43" s="204">
        <v>1104</v>
      </c>
      <c r="EY43" s="204">
        <v>1081</v>
      </c>
      <c r="EZ43" s="204">
        <v>884</v>
      </c>
      <c r="FA43" s="204">
        <v>1177</v>
      </c>
      <c r="FB43" s="204">
        <v>1002</v>
      </c>
      <c r="FC43" s="72" t="s">
        <v>226</v>
      </c>
      <c r="FE43" s="66">
        <v>102068</v>
      </c>
      <c r="FF43" s="66">
        <v>100875</v>
      </c>
      <c r="FG43" s="66">
        <v>99592</v>
      </c>
      <c r="FH43" s="66">
        <v>98519</v>
      </c>
      <c r="FI43" s="66">
        <v>97270</v>
      </c>
      <c r="FJ43" s="66">
        <v>96203</v>
      </c>
      <c r="FK43" s="66">
        <v>95061</v>
      </c>
      <c r="FL43" s="66">
        <v>94113</v>
      </c>
      <c r="FM43" s="66">
        <v>93235</v>
      </c>
      <c r="FN43" s="66">
        <v>92278</v>
      </c>
      <c r="FO43" s="66">
        <v>91519</v>
      </c>
      <c r="FP43" s="66">
        <v>90550</v>
      </c>
      <c r="FQ43" s="66">
        <v>89394</v>
      </c>
      <c r="FR43" s="175">
        <v>88240</v>
      </c>
      <c r="FS43" s="175">
        <v>86867</v>
      </c>
      <c r="FT43" s="175">
        <v>85343</v>
      </c>
      <c r="FU43" s="175">
        <v>83939</v>
      </c>
      <c r="FV43" s="175">
        <v>82384</v>
      </c>
    </row>
    <row r="44" spans="1:178">
      <c r="B44" s="220">
        <v>7399804</v>
      </c>
      <c r="C44" s="181"/>
      <c r="D44" s="72" t="s">
        <v>222</v>
      </c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N44" s="67"/>
      <c r="BA44" s="77"/>
      <c r="BB44" s="77"/>
      <c r="BC44" s="77"/>
      <c r="BD44" s="77"/>
      <c r="BE44" s="76"/>
      <c r="BF44" s="77"/>
      <c r="BG44" s="77">
        <v>45</v>
      </c>
      <c r="BH44" s="77">
        <v>5</v>
      </c>
      <c r="BI44" s="77">
        <v>0</v>
      </c>
      <c r="BJ44" s="77">
        <v>1357</v>
      </c>
      <c r="BK44" s="77">
        <v>5404</v>
      </c>
      <c r="BL44" s="77">
        <v>5143</v>
      </c>
      <c r="BM44" s="75">
        <v>5473</v>
      </c>
      <c r="BN44" s="75">
        <v>5504</v>
      </c>
      <c r="BO44" s="75">
        <v>4764</v>
      </c>
      <c r="BP44" s="75">
        <v>5520</v>
      </c>
      <c r="BQ44" s="75">
        <v>5540</v>
      </c>
      <c r="BR44" s="75">
        <v>4956</v>
      </c>
      <c r="BS44" s="75">
        <v>7326</v>
      </c>
      <c r="BT44" s="75">
        <v>7211</v>
      </c>
      <c r="BU44" s="75">
        <v>7316</v>
      </c>
      <c r="BV44" s="75">
        <v>7777</v>
      </c>
      <c r="BW44" s="75">
        <v>7672</v>
      </c>
      <c r="BX44" s="75">
        <v>7420</v>
      </c>
      <c r="BY44" s="77">
        <v>8237</v>
      </c>
      <c r="BZ44" s="77">
        <v>7937</v>
      </c>
      <c r="CA44" s="77">
        <v>8037</v>
      </c>
      <c r="CB44" s="77">
        <v>7687</v>
      </c>
      <c r="CC44" s="77">
        <v>7625</v>
      </c>
      <c r="CD44" s="77">
        <v>7798</v>
      </c>
      <c r="CE44" s="77">
        <v>7737</v>
      </c>
      <c r="CF44" s="77">
        <v>7001</v>
      </c>
      <c r="CG44" s="77">
        <v>7939</v>
      </c>
      <c r="CH44" s="77">
        <v>7557</v>
      </c>
      <c r="CI44" s="77">
        <v>7730</v>
      </c>
      <c r="CJ44" s="77">
        <v>8228</v>
      </c>
      <c r="CK44" s="79">
        <v>7767</v>
      </c>
      <c r="CL44" s="79">
        <v>7489</v>
      </c>
      <c r="CM44" s="79">
        <v>8539</v>
      </c>
      <c r="CN44" s="79">
        <v>7604</v>
      </c>
      <c r="CO44" s="134">
        <v>8085</v>
      </c>
      <c r="CP44" s="134">
        <v>7582</v>
      </c>
      <c r="CQ44" s="134">
        <v>8246</v>
      </c>
      <c r="CR44" s="134">
        <v>7148</v>
      </c>
      <c r="CS44" s="134">
        <v>8875</v>
      </c>
      <c r="CT44" s="134">
        <v>8054</v>
      </c>
      <c r="CU44" s="134">
        <v>9761</v>
      </c>
      <c r="CV44" s="134">
        <v>9237</v>
      </c>
      <c r="CW44" s="117">
        <v>9587</v>
      </c>
      <c r="CX44" s="117">
        <v>9570</v>
      </c>
      <c r="CY44" s="117">
        <v>9159</v>
      </c>
      <c r="CZ44" s="117">
        <v>8937</v>
      </c>
      <c r="DA44" s="117">
        <v>9483</v>
      </c>
      <c r="DB44" s="117">
        <v>8567</v>
      </c>
      <c r="DC44" s="117">
        <v>0</v>
      </c>
      <c r="DD44" s="117">
        <v>17175</v>
      </c>
      <c r="DE44" s="117">
        <v>8700</v>
      </c>
      <c r="DF44" s="151">
        <v>8716</v>
      </c>
      <c r="DG44" s="151">
        <v>9027</v>
      </c>
      <c r="DH44" s="159">
        <v>8973</v>
      </c>
      <c r="DI44" s="159">
        <v>8375</v>
      </c>
      <c r="DJ44" s="159">
        <v>9744</v>
      </c>
      <c r="DK44" s="159">
        <v>9209</v>
      </c>
      <c r="DL44" s="159">
        <v>8219</v>
      </c>
      <c r="DM44" s="159">
        <v>9329</v>
      </c>
      <c r="DN44" s="162">
        <f t="shared" si="1"/>
        <v>8932</v>
      </c>
      <c r="DO44" s="162">
        <f t="shared" si="2"/>
        <v>8840</v>
      </c>
      <c r="DP44" s="162">
        <f t="shared" si="0"/>
        <v>8530</v>
      </c>
      <c r="DQ44" s="162">
        <f t="shared" si="3"/>
        <v>8865</v>
      </c>
      <c r="DR44" s="162">
        <f t="shared" si="4"/>
        <v>8319</v>
      </c>
      <c r="DS44" s="162">
        <f t="shared" si="5"/>
        <v>8967</v>
      </c>
      <c r="DT44" s="162">
        <f>FO44-FP44</f>
        <v>8547</v>
      </c>
      <c r="DU44" s="162">
        <f t="shared" si="10"/>
        <v>8265</v>
      </c>
      <c r="DV44" s="162">
        <f t="shared" si="11"/>
        <v>9444</v>
      </c>
      <c r="DW44" s="162">
        <f t="shared" si="12"/>
        <v>8274</v>
      </c>
      <c r="DX44" s="162">
        <f t="shared" si="13"/>
        <v>8730</v>
      </c>
      <c r="DY44" s="150">
        <f t="shared" si="7"/>
        <v>8792</v>
      </c>
      <c r="DZ44" s="150">
        <f t="shared" si="14"/>
        <v>8053</v>
      </c>
      <c r="EA44" s="150">
        <f t="shared" si="8"/>
        <v>8809</v>
      </c>
      <c r="EB44" s="150">
        <f t="shared" si="9"/>
        <v>7870</v>
      </c>
      <c r="EC44" s="150">
        <f t="shared" si="15"/>
        <v>7547</v>
      </c>
      <c r="ED44" s="150">
        <f t="shared" si="16"/>
        <v>9214</v>
      </c>
      <c r="EE44" s="150">
        <v>8213</v>
      </c>
      <c r="EF44" s="150">
        <v>8429</v>
      </c>
      <c r="EG44" s="150">
        <v>9061</v>
      </c>
      <c r="EH44" s="150">
        <v>9428</v>
      </c>
      <c r="EI44" s="150">
        <v>9454</v>
      </c>
      <c r="EJ44" s="150">
        <v>8935</v>
      </c>
      <c r="EK44" s="150">
        <v>9067</v>
      </c>
      <c r="EL44" s="150">
        <v>9034</v>
      </c>
      <c r="EM44" s="150">
        <v>8210</v>
      </c>
      <c r="EN44" s="150">
        <v>9615</v>
      </c>
      <c r="EO44" s="150">
        <v>8353</v>
      </c>
      <c r="EP44" s="150">
        <v>9782</v>
      </c>
      <c r="EQ44" s="150">
        <v>8952</v>
      </c>
      <c r="ER44" s="150">
        <v>9081</v>
      </c>
      <c r="ES44" s="150">
        <v>8811</v>
      </c>
      <c r="ET44" s="150">
        <v>8846</v>
      </c>
      <c r="EU44" s="150">
        <v>9014</v>
      </c>
      <c r="EV44" s="150">
        <v>8795</v>
      </c>
      <c r="EW44" s="150">
        <v>8239</v>
      </c>
      <c r="EX44" s="204">
        <v>9750</v>
      </c>
      <c r="EY44" s="204">
        <v>9286</v>
      </c>
      <c r="EZ44" s="204">
        <v>8457</v>
      </c>
      <c r="FA44" s="204">
        <v>9505</v>
      </c>
      <c r="FB44" s="204">
        <v>8616</v>
      </c>
      <c r="FC44" s="72" t="s">
        <v>222</v>
      </c>
      <c r="FE44" s="66">
        <v>579113</v>
      </c>
      <c r="FF44" s="66">
        <v>569899</v>
      </c>
      <c r="FG44" s="66">
        <v>562352</v>
      </c>
      <c r="FH44" s="66">
        <v>554482</v>
      </c>
      <c r="FI44" s="66">
        <v>545673</v>
      </c>
      <c r="FJ44" s="66">
        <v>537620</v>
      </c>
      <c r="FK44" s="66">
        <v>528828</v>
      </c>
      <c r="FL44" s="66">
        <v>520098</v>
      </c>
      <c r="FM44" s="66">
        <v>511824</v>
      </c>
      <c r="FN44" s="66">
        <v>502380</v>
      </c>
      <c r="FO44" s="66">
        <v>494115</v>
      </c>
      <c r="FP44" s="66">
        <v>485568</v>
      </c>
      <c r="FQ44" s="66">
        <v>476601</v>
      </c>
      <c r="FR44" s="159">
        <v>468282</v>
      </c>
      <c r="FS44" s="159">
        <v>459417</v>
      </c>
      <c r="FT44" s="159">
        <v>450887</v>
      </c>
      <c r="FU44" s="159">
        <v>442047</v>
      </c>
      <c r="FV44" s="159">
        <v>433115</v>
      </c>
    </row>
    <row r="45" spans="1:178">
      <c r="B45" s="263" t="s">
        <v>227</v>
      </c>
      <c r="C45" s="183"/>
      <c r="D45" s="72" t="s">
        <v>228</v>
      </c>
      <c r="Q45" s="79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Z45" s="89"/>
      <c r="BA45" s="90"/>
      <c r="BB45" s="90"/>
      <c r="BC45" s="90"/>
      <c r="BD45" s="90"/>
      <c r="BE45" s="90"/>
      <c r="BF45" s="90"/>
      <c r="BG45" s="77"/>
      <c r="BH45" s="77"/>
      <c r="BI45" s="77"/>
      <c r="BJ45" s="77"/>
      <c r="BK45" s="77"/>
      <c r="BL45" s="77">
        <v>446</v>
      </c>
      <c r="BM45" s="75">
        <v>993</v>
      </c>
      <c r="BN45" s="75">
        <v>6068</v>
      </c>
      <c r="BO45" s="75">
        <v>6659</v>
      </c>
      <c r="BP45" s="75">
        <v>7613</v>
      </c>
      <c r="BQ45" s="75">
        <v>8154</v>
      </c>
      <c r="BR45" s="75">
        <v>6047</v>
      </c>
      <c r="BS45" s="75">
        <v>5512</v>
      </c>
      <c r="BT45" s="75">
        <v>5934</v>
      </c>
      <c r="BU45" s="75">
        <v>7561</v>
      </c>
      <c r="BV45" s="75">
        <v>7348</v>
      </c>
      <c r="BW45" s="75">
        <v>7442</v>
      </c>
      <c r="BX45" s="75">
        <v>4761</v>
      </c>
      <c r="BY45" s="92">
        <v>5250</v>
      </c>
      <c r="BZ45" s="92">
        <v>5418</v>
      </c>
      <c r="CA45" s="92">
        <v>7319</v>
      </c>
      <c r="CB45" s="92">
        <v>7364</v>
      </c>
      <c r="CC45" s="92">
        <v>5965</v>
      </c>
      <c r="CD45" s="92">
        <v>4912</v>
      </c>
      <c r="CE45" s="92">
        <v>3911</v>
      </c>
      <c r="CF45" s="92">
        <v>2038</v>
      </c>
      <c r="CG45" s="92">
        <v>4651</v>
      </c>
      <c r="CH45" s="92">
        <v>4518</v>
      </c>
      <c r="CI45" s="92">
        <v>4584</v>
      </c>
      <c r="CJ45" s="92">
        <v>4649</v>
      </c>
      <c r="CK45" s="132">
        <v>4287</v>
      </c>
      <c r="CL45" s="132">
        <v>3848</v>
      </c>
      <c r="CM45" s="132">
        <v>5507</v>
      </c>
      <c r="CN45" s="132">
        <v>5048</v>
      </c>
      <c r="CO45" s="135">
        <v>5720</v>
      </c>
      <c r="CP45" s="135">
        <v>4498</v>
      </c>
      <c r="CQ45" s="135">
        <v>4135</v>
      </c>
      <c r="CR45" s="135">
        <v>4458</v>
      </c>
      <c r="CS45" s="135">
        <v>6183</v>
      </c>
      <c r="CT45" s="135">
        <v>5427</v>
      </c>
      <c r="CU45" s="135">
        <v>6380</v>
      </c>
      <c r="CV45" s="135">
        <v>4627</v>
      </c>
      <c r="CW45" s="118">
        <v>5238</v>
      </c>
      <c r="CX45" s="118">
        <v>5192</v>
      </c>
      <c r="CY45" s="118">
        <v>6871</v>
      </c>
      <c r="CZ45" s="118">
        <v>6272</v>
      </c>
      <c r="DA45" s="118">
        <v>7603</v>
      </c>
      <c r="DB45" s="118">
        <v>6324</v>
      </c>
      <c r="DC45" s="118">
        <v>5440</v>
      </c>
      <c r="DD45" s="118">
        <v>5140</v>
      </c>
      <c r="DE45" s="118">
        <v>5631</v>
      </c>
      <c r="DF45" s="154">
        <v>5108</v>
      </c>
      <c r="DG45" s="154">
        <v>5339</v>
      </c>
      <c r="DH45" s="161">
        <v>5033</v>
      </c>
      <c r="DI45" s="161">
        <v>4590</v>
      </c>
      <c r="DJ45" s="161">
        <v>5118</v>
      </c>
      <c r="DK45" s="161">
        <v>7041</v>
      </c>
      <c r="DL45" s="161">
        <v>6452</v>
      </c>
      <c r="DM45" s="161">
        <v>7319</v>
      </c>
      <c r="DN45" s="162">
        <f t="shared" si="1"/>
        <v>5696</v>
      </c>
      <c r="DO45" s="162">
        <f t="shared" si="2"/>
        <v>4571</v>
      </c>
      <c r="DP45" s="162">
        <f t="shared" si="0"/>
        <v>6670</v>
      </c>
      <c r="DQ45" s="162">
        <f t="shared" si="3"/>
        <v>7144</v>
      </c>
      <c r="DR45" s="162">
        <f t="shared" si="4"/>
        <v>6199</v>
      </c>
      <c r="DS45" s="162">
        <f t="shared" si="5"/>
        <v>7136</v>
      </c>
      <c r="DT45" s="162">
        <f t="shared" si="6"/>
        <v>3608</v>
      </c>
      <c r="DU45" s="162">
        <f t="shared" si="10"/>
        <v>1106</v>
      </c>
      <c r="DV45" s="162">
        <f t="shared" si="11"/>
        <v>4077</v>
      </c>
      <c r="DW45" s="162">
        <f t="shared" si="12"/>
        <v>6239</v>
      </c>
      <c r="DX45" s="162">
        <f t="shared" si="13"/>
        <v>5912</v>
      </c>
      <c r="DY45" s="150">
        <f t="shared" si="7"/>
        <v>6705</v>
      </c>
      <c r="DZ45" s="150">
        <f t="shared" si="14"/>
        <v>5206</v>
      </c>
      <c r="EA45" s="150">
        <f t="shared" si="8"/>
        <v>4762</v>
      </c>
      <c r="EB45" s="150">
        <f t="shared" si="9"/>
        <v>5777</v>
      </c>
      <c r="EC45" s="150">
        <v>6866</v>
      </c>
      <c r="ED45" s="150">
        <v>6439</v>
      </c>
      <c r="EE45" s="150">
        <v>6139</v>
      </c>
      <c r="EF45" s="150">
        <v>4608</v>
      </c>
      <c r="EG45" s="150">
        <v>4517</v>
      </c>
      <c r="EH45" s="204">
        <v>5189</v>
      </c>
      <c r="EI45" s="204">
        <v>5311</v>
      </c>
      <c r="EJ45" s="204">
        <v>6119</v>
      </c>
      <c r="EK45" s="204">
        <v>7413</v>
      </c>
      <c r="EL45" s="204">
        <v>5369</v>
      </c>
      <c r="EM45" s="204">
        <v>4663</v>
      </c>
      <c r="EN45" s="204">
        <v>5776</v>
      </c>
      <c r="EO45" s="204">
        <v>5843</v>
      </c>
      <c r="EP45" s="204">
        <v>5928</v>
      </c>
      <c r="EQ45" s="204">
        <v>5601</v>
      </c>
      <c r="ER45" s="204">
        <v>4636</v>
      </c>
      <c r="ES45" s="204">
        <v>4492</v>
      </c>
      <c r="ET45" s="204">
        <v>4843</v>
      </c>
      <c r="EU45" s="204">
        <v>6087</v>
      </c>
      <c r="EV45" s="204">
        <v>5490</v>
      </c>
      <c r="EW45" s="204">
        <v>5903</v>
      </c>
      <c r="EX45" s="204">
        <v>5237</v>
      </c>
      <c r="EY45" s="204">
        <v>4190</v>
      </c>
      <c r="EZ45" s="204">
        <v>4539</v>
      </c>
      <c r="FA45" s="204">
        <v>5848</v>
      </c>
      <c r="FB45" s="204">
        <v>5463</v>
      </c>
      <c r="FC45" s="72" t="s">
        <v>228</v>
      </c>
      <c r="FE45" s="178"/>
      <c r="FF45" s="178" t="s">
        <v>229</v>
      </c>
      <c r="FG45" s="66">
        <v>374315</v>
      </c>
      <c r="FH45" s="66">
        <v>368538</v>
      </c>
      <c r="FI45" s="66">
        <v>363776</v>
      </c>
      <c r="FJ45" s="66">
        <v>358570</v>
      </c>
      <c r="FK45" s="66">
        <v>351865</v>
      </c>
      <c r="FL45" s="66">
        <v>345953</v>
      </c>
      <c r="FM45" s="66">
        <v>339714</v>
      </c>
      <c r="FN45" s="66">
        <v>335637</v>
      </c>
      <c r="FO45" s="66">
        <v>334531</v>
      </c>
      <c r="FP45" s="66">
        <v>330923</v>
      </c>
      <c r="FQ45" s="66">
        <v>323787</v>
      </c>
      <c r="FR45" s="161">
        <v>317588</v>
      </c>
      <c r="FS45" s="161">
        <v>310444</v>
      </c>
      <c r="FT45" s="161">
        <v>303774</v>
      </c>
      <c r="FU45" s="161">
        <v>299203</v>
      </c>
      <c r="FV45" s="161">
        <v>293507</v>
      </c>
    </row>
    <row r="46" spans="1:178">
      <c r="A46"/>
      <c r="B46" s="264">
        <v>9078046</v>
      </c>
      <c r="C46" s="182">
        <v>7241221</v>
      </c>
      <c r="D46" s="11" t="s">
        <v>230</v>
      </c>
      <c r="Q46" s="79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>
        <v>1030</v>
      </c>
      <c r="AT46" s="89">
        <v>2613</v>
      </c>
      <c r="AU46" s="89">
        <v>2027</v>
      </c>
      <c r="AV46" s="89">
        <v>3254</v>
      </c>
      <c r="AW46" s="89">
        <v>3599</v>
      </c>
      <c r="AX46" s="89">
        <v>2914</v>
      </c>
      <c r="AY46" s="66">
        <v>3228</v>
      </c>
      <c r="AZ46" s="89">
        <v>2795</v>
      </c>
      <c r="BA46" s="90">
        <v>2488</v>
      </c>
      <c r="BB46" s="90">
        <v>3006</v>
      </c>
      <c r="BC46" s="90">
        <v>3520</v>
      </c>
      <c r="BD46" s="90">
        <v>3470</v>
      </c>
      <c r="BE46" s="90">
        <v>3709</v>
      </c>
      <c r="BF46" s="90">
        <v>2688</v>
      </c>
      <c r="BG46" s="77">
        <v>2900</v>
      </c>
      <c r="BH46" s="77">
        <v>2870</v>
      </c>
      <c r="BI46" s="77">
        <v>3113</v>
      </c>
      <c r="BJ46" s="77">
        <v>3125</v>
      </c>
      <c r="BK46" s="77">
        <v>3111</v>
      </c>
      <c r="BL46" s="77">
        <v>2211</v>
      </c>
      <c r="BM46" s="75">
        <v>2463</v>
      </c>
      <c r="BN46" s="75">
        <v>2708</v>
      </c>
      <c r="BO46" s="75">
        <v>3403</v>
      </c>
      <c r="BP46" s="75">
        <v>3683</v>
      </c>
      <c r="BQ46" s="75">
        <v>3676</v>
      </c>
      <c r="BR46" s="75">
        <v>2665</v>
      </c>
      <c r="BS46" s="75">
        <v>2922</v>
      </c>
      <c r="BT46" s="75">
        <v>2947</v>
      </c>
      <c r="BU46" s="91">
        <v>3479</v>
      </c>
      <c r="BV46" s="91">
        <v>3576</v>
      </c>
      <c r="BW46" s="91">
        <v>3077</v>
      </c>
      <c r="BX46" s="91">
        <v>2301</v>
      </c>
      <c r="BY46" s="92">
        <v>2360</v>
      </c>
      <c r="BZ46" s="92">
        <v>2385</v>
      </c>
      <c r="CA46" s="92">
        <v>3491</v>
      </c>
      <c r="CB46" s="92">
        <v>3520</v>
      </c>
      <c r="CC46" s="92">
        <v>2682</v>
      </c>
      <c r="CD46" s="92">
        <v>2081</v>
      </c>
      <c r="CE46" s="92">
        <v>2175</v>
      </c>
      <c r="CF46" s="92">
        <v>2014</v>
      </c>
      <c r="CG46" s="92">
        <v>2148</v>
      </c>
      <c r="CH46" s="92">
        <v>1901</v>
      </c>
      <c r="CI46" s="92">
        <v>2034</v>
      </c>
      <c r="CJ46" s="92">
        <v>2170</v>
      </c>
      <c r="CK46" s="132">
        <v>1996</v>
      </c>
      <c r="CL46" s="132">
        <v>1766</v>
      </c>
      <c r="CM46" s="132">
        <v>2364</v>
      </c>
      <c r="CN46" s="132">
        <v>2154</v>
      </c>
      <c r="CO46" s="132">
        <v>2456</v>
      </c>
      <c r="CP46" s="132">
        <v>1852</v>
      </c>
      <c r="CQ46" s="132">
        <v>2107</v>
      </c>
      <c r="CR46" s="132">
        <v>2078</v>
      </c>
      <c r="CS46" s="132">
        <v>2607</v>
      </c>
      <c r="CT46" s="132">
        <v>2367</v>
      </c>
      <c r="CU46" s="132">
        <v>2392</v>
      </c>
      <c r="CV46" s="132">
        <v>2216</v>
      </c>
      <c r="CW46" s="92">
        <v>2242</v>
      </c>
      <c r="CX46" s="92">
        <v>2377</v>
      </c>
      <c r="CY46" s="92">
        <v>3182</v>
      </c>
      <c r="CZ46" s="92">
        <v>2761</v>
      </c>
      <c r="DA46" s="92">
        <v>3344</v>
      </c>
      <c r="DB46" s="92">
        <v>2652</v>
      </c>
      <c r="DC46" s="92">
        <v>2241</v>
      </c>
      <c r="DD46" s="92">
        <v>1518</v>
      </c>
      <c r="DE46" s="92">
        <v>2107</v>
      </c>
      <c r="DF46" s="155">
        <v>2138</v>
      </c>
      <c r="DG46" s="155">
        <v>2254</v>
      </c>
      <c r="DH46" s="160">
        <v>2365</v>
      </c>
      <c r="DI46" s="160">
        <v>2115</v>
      </c>
      <c r="DJ46" s="160">
        <v>2440</v>
      </c>
      <c r="DK46" s="160">
        <v>3464</v>
      </c>
      <c r="DL46" s="160">
        <v>2965</v>
      </c>
      <c r="DM46" s="160">
        <v>3474</v>
      </c>
      <c r="DN46" s="162">
        <f t="shared" si="1"/>
        <v>2486</v>
      </c>
      <c r="DO46" s="162">
        <f t="shared" si="2"/>
        <v>2031</v>
      </c>
      <c r="DP46" s="162">
        <f t="shared" si="0"/>
        <v>3401</v>
      </c>
      <c r="DQ46" s="162">
        <f t="shared" si="3"/>
        <v>3727</v>
      </c>
      <c r="DR46" s="162">
        <f t="shared" si="4"/>
        <v>3195</v>
      </c>
      <c r="DS46" s="162">
        <f t="shared" si="5"/>
        <v>3575</v>
      </c>
      <c r="DT46" s="162">
        <f t="shared" si="6"/>
        <v>3323</v>
      </c>
      <c r="DU46" s="162">
        <f t="shared" si="10"/>
        <v>2752</v>
      </c>
      <c r="DV46" s="162">
        <f t="shared" si="11"/>
        <v>3362</v>
      </c>
      <c r="DW46" s="162">
        <f t="shared" si="12"/>
        <v>3788</v>
      </c>
      <c r="DX46" s="162">
        <f t="shared" si="13"/>
        <v>4002</v>
      </c>
      <c r="DY46" s="150">
        <f t="shared" si="7"/>
        <v>4117</v>
      </c>
      <c r="DZ46" s="150">
        <f t="shared" si="14"/>
        <v>3186</v>
      </c>
      <c r="EA46" s="150">
        <f t="shared" si="8"/>
        <v>3183</v>
      </c>
      <c r="EB46" s="150">
        <f t="shared" si="9"/>
        <v>3495</v>
      </c>
      <c r="EC46" s="150">
        <f t="shared" si="15"/>
        <v>3593</v>
      </c>
      <c r="ED46" s="150">
        <f t="shared" si="16"/>
        <v>3933</v>
      </c>
      <c r="EE46" s="150">
        <v>3629</v>
      </c>
      <c r="EF46" s="150">
        <v>2893</v>
      </c>
      <c r="EG46" s="150">
        <v>3196</v>
      </c>
      <c r="EH46" s="150">
        <v>3107</v>
      </c>
      <c r="EI46" s="150">
        <v>4020</v>
      </c>
      <c r="EJ46" s="150">
        <v>4127</v>
      </c>
      <c r="EK46" s="150">
        <v>4209</v>
      </c>
      <c r="EL46" s="150">
        <v>3643</v>
      </c>
      <c r="EM46" s="150">
        <v>3040</v>
      </c>
      <c r="EN46" s="150">
        <v>3967</v>
      </c>
      <c r="EO46" s="150">
        <v>3800</v>
      </c>
      <c r="EP46" s="150">
        <v>4191</v>
      </c>
      <c r="EQ46" s="150">
        <v>3840</v>
      </c>
      <c r="ER46" s="150">
        <v>3324</v>
      </c>
      <c r="ES46" s="150">
        <v>3150</v>
      </c>
      <c r="ET46" s="150">
        <v>3170</v>
      </c>
      <c r="EU46" s="150">
        <v>4419</v>
      </c>
      <c r="EV46" s="150">
        <v>4208</v>
      </c>
      <c r="EW46" s="150">
        <v>3839</v>
      </c>
      <c r="EX46" s="150">
        <v>3405</v>
      </c>
      <c r="EY46" s="150">
        <v>3384</v>
      </c>
      <c r="EZ46" s="150">
        <v>3223</v>
      </c>
      <c r="FA46" s="150">
        <v>4357</v>
      </c>
      <c r="FB46" s="150">
        <v>4362</v>
      </c>
      <c r="FC46" s="11" t="s">
        <v>230</v>
      </c>
      <c r="FE46" s="66">
        <v>251328</v>
      </c>
      <c r="FF46" s="66">
        <v>247395</v>
      </c>
      <c r="FG46" s="66">
        <v>243802</v>
      </c>
      <c r="FH46" s="66">
        <v>240307</v>
      </c>
      <c r="FI46" s="66">
        <v>237124</v>
      </c>
      <c r="FJ46" s="66">
        <v>233938</v>
      </c>
      <c r="FK46" s="66">
        <v>229821</v>
      </c>
      <c r="FL46" s="66">
        <v>225819</v>
      </c>
      <c r="FM46" s="66">
        <v>222031</v>
      </c>
      <c r="FN46" s="66">
        <v>218669</v>
      </c>
      <c r="FO46" s="66">
        <v>215917</v>
      </c>
      <c r="FP46" s="66">
        <v>212594</v>
      </c>
      <c r="FQ46" s="66">
        <v>209019</v>
      </c>
      <c r="FR46" s="160">
        <v>205824</v>
      </c>
      <c r="FS46" s="160">
        <v>202097</v>
      </c>
      <c r="FT46" s="160">
        <v>198696</v>
      </c>
      <c r="FU46" s="160">
        <v>196665</v>
      </c>
      <c r="FV46" s="160">
        <v>194179</v>
      </c>
    </row>
    <row r="47" spans="1:178">
      <c r="A47" s="279"/>
      <c r="B47" s="265">
        <v>460823</v>
      </c>
      <c r="C47" s="183" t="s">
        <v>231</v>
      </c>
      <c r="D47" s="163" t="s">
        <v>232</v>
      </c>
      <c r="E47" s="275">
        <v>0</v>
      </c>
      <c r="F47" s="275">
        <v>5475</v>
      </c>
      <c r="G47" s="275">
        <v>16458</v>
      </c>
      <c r="H47" s="275">
        <v>17218</v>
      </c>
      <c r="I47" s="275">
        <v>17679</v>
      </c>
      <c r="J47" s="275">
        <v>13495</v>
      </c>
      <c r="K47" s="275">
        <v>13403</v>
      </c>
      <c r="L47" s="275">
        <v>12981</v>
      </c>
      <c r="M47" s="275">
        <v>14555</v>
      </c>
      <c r="N47" s="275">
        <v>15328</v>
      </c>
      <c r="O47" s="275">
        <v>14210</v>
      </c>
      <c r="P47" s="275">
        <v>10325</v>
      </c>
      <c r="Q47" s="276">
        <v>12420</v>
      </c>
      <c r="R47" s="276">
        <v>12770</v>
      </c>
      <c r="S47" s="276">
        <v>17157</v>
      </c>
      <c r="T47" s="276">
        <v>20679</v>
      </c>
      <c r="U47" s="276">
        <v>21661</v>
      </c>
      <c r="V47" s="276">
        <v>19687</v>
      </c>
      <c r="W47" s="276">
        <v>19598</v>
      </c>
      <c r="X47" s="276">
        <v>19579</v>
      </c>
      <c r="Y47" s="276">
        <v>23913</v>
      </c>
      <c r="Z47" s="276">
        <v>22106</v>
      </c>
      <c r="AA47" s="276">
        <v>20839</v>
      </c>
      <c r="AB47" s="276">
        <v>20632</v>
      </c>
      <c r="AC47" s="275">
        <v>18836</v>
      </c>
      <c r="AD47" s="275">
        <v>19648</v>
      </c>
      <c r="AE47" s="275">
        <v>26799</v>
      </c>
      <c r="AF47" s="275">
        <v>25388</v>
      </c>
      <c r="AG47" s="275">
        <v>25624</v>
      </c>
      <c r="AH47" s="275">
        <v>20185</v>
      </c>
      <c r="AI47" s="275">
        <v>19159</v>
      </c>
      <c r="AJ47" s="275">
        <v>21519</v>
      </c>
      <c r="AK47" s="275">
        <v>22215</v>
      </c>
      <c r="AL47" s="275">
        <v>23960</v>
      </c>
      <c r="AM47" s="275">
        <v>22515</v>
      </c>
      <c r="AN47" s="275">
        <v>20719</v>
      </c>
      <c r="AO47" s="275">
        <v>19031</v>
      </c>
      <c r="AP47" s="275">
        <v>21295</v>
      </c>
      <c r="AQ47" s="275">
        <v>23525</v>
      </c>
      <c r="AR47" s="275">
        <v>20195</v>
      </c>
      <c r="AS47" s="275">
        <v>24888</v>
      </c>
      <c r="AT47" s="275">
        <v>28896</v>
      </c>
      <c r="AU47" s="275">
        <v>15637</v>
      </c>
      <c r="AV47" s="275">
        <v>19983</v>
      </c>
      <c r="AW47" s="275">
        <v>21545</v>
      </c>
      <c r="AX47" s="275">
        <v>17673</v>
      </c>
      <c r="AY47" s="275">
        <v>19565</v>
      </c>
      <c r="AZ47" s="278">
        <v>19146</v>
      </c>
      <c r="BA47" s="277">
        <v>17196</v>
      </c>
      <c r="BB47" s="277">
        <v>19835</v>
      </c>
      <c r="BC47" s="277">
        <v>22668</v>
      </c>
      <c r="BD47" s="277">
        <v>21855</v>
      </c>
      <c r="BE47" s="277">
        <v>24327</v>
      </c>
      <c r="BF47" s="277">
        <v>17958</v>
      </c>
      <c r="BG47" s="277">
        <v>18208</v>
      </c>
      <c r="BH47" s="277">
        <v>17880</v>
      </c>
      <c r="BI47" s="277">
        <v>20944</v>
      </c>
      <c r="BJ47" s="277">
        <v>21100</v>
      </c>
      <c r="BK47" s="277">
        <v>20305</v>
      </c>
      <c r="BL47" s="77">
        <v>11050</v>
      </c>
      <c r="BM47" s="75">
        <v>4393</v>
      </c>
      <c r="BN47" s="75">
        <v>5529</v>
      </c>
      <c r="BO47" s="75">
        <v>14808</v>
      </c>
      <c r="BP47" s="75">
        <v>16537</v>
      </c>
      <c r="BQ47" s="75">
        <v>15364</v>
      </c>
      <c r="BR47" s="75">
        <v>13774</v>
      </c>
      <c r="BS47" s="75">
        <v>13499</v>
      </c>
      <c r="BT47" s="75">
        <v>13829</v>
      </c>
      <c r="BU47" s="75">
        <v>14328</v>
      </c>
      <c r="BV47" s="75">
        <v>14484</v>
      </c>
      <c r="BW47" s="75">
        <v>14981</v>
      </c>
      <c r="BX47" s="75">
        <v>11945</v>
      </c>
      <c r="BY47" s="92">
        <v>14477</v>
      </c>
      <c r="BZ47" s="92">
        <v>13985</v>
      </c>
      <c r="CA47" s="92">
        <v>14137</v>
      </c>
      <c r="CB47" s="106">
        <v>15152</v>
      </c>
      <c r="CC47" s="106">
        <v>7575</v>
      </c>
      <c r="CD47" s="106">
        <v>3440</v>
      </c>
      <c r="CE47" s="106">
        <v>11183</v>
      </c>
      <c r="CF47" s="106">
        <v>2364</v>
      </c>
      <c r="CG47" s="106">
        <v>5459</v>
      </c>
      <c r="CH47" s="106">
        <v>2955</v>
      </c>
      <c r="CI47" s="106">
        <v>3332</v>
      </c>
      <c r="CJ47" s="106">
        <v>8702</v>
      </c>
      <c r="CK47" s="136">
        <v>5640</v>
      </c>
      <c r="CL47" s="136">
        <v>410</v>
      </c>
      <c r="CM47" s="136">
        <v>6613</v>
      </c>
      <c r="CN47" s="136">
        <v>6607</v>
      </c>
      <c r="CO47" s="136">
        <v>7319</v>
      </c>
      <c r="CP47" s="136">
        <v>1110</v>
      </c>
      <c r="CQ47" s="136">
        <v>260</v>
      </c>
      <c r="CR47" s="136">
        <v>208</v>
      </c>
      <c r="CS47" s="136">
        <v>240</v>
      </c>
      <c r="CT47" s="136">
        <v>1869</v>
      </c>
      <c r="CU47" s="136">
        <v>2144</v>
      </c>
      <c r="CV47" s="136">
        <v>2097</v>
      </c>
      <c r="CW47" s="106">
        <v>2198</v>
      </c>
      <c r="CX47" s="106">
        <v>1935</v>
      </c>
      <c r="CY47" s="106">
        <v>9037</v>
      </c>
      <c r="CZ47" s="106">
        <v>8818</v>
      </c>
      <c r="DA47" s="106">
        <v>11392</v>
      </c>
      <c r="DB47" s="106">
        <v>9161</v>
      </c>
      <c r="DC47" s="106">
        <v>6869</v>
      </c>
      <c r="DD47" s="106">
        <v>2799</v>
      </c>
      <c r="DE47" s="106">
        <v>2596</v>
      </c>
      <c r="DF47" s="156">
        <v>651</v>
      </c>
      <c r="DG47" s="156">
        <v>401</v>
      </c>
      <c r="DH47" s="160">
        <v>525</v>
      </c>
      <c r="DI47" s="160">
        <v>502</v>
      </c>
      <c r="DJ47" s="160">
        <v>5398</v>
      </c>
      <c r="DK47" s="160">
        <v>10979</v>
      </c>
      <c r="DL47" s="160">
        <v>9932</v>
      </c>
      <c r="DM47" s="160">
        <v>12250</v>
      </c>
      <c r="DN47" s="162">
        <f t="shared" si="1"/>
        <v>10508</v>
      </c>
      <c r="DO47" s="162">
        <f t="shared" si="2"/>
        <v>7441</v>
      </c>
      <c r="DP47" s="177">
        <v>11458</v>
      </c>
      <c r="DQ47" s="162">
        <f t="shared" si="3"/>
        <v>12547</v>
      </c>
      <c r="DR47" s="162">
        <f t="shared" si="4"/>
        <v>10614</v>
      </c>
      <c r="DS47" s="162">
        <f t="shared" si="5"/>
        <v>12093</v>
      </c>
      <c r="DT47" s="162">
        <f t="shared" si="6"/>
        <v>11176</v>
      </c>
      <c r="DU47" s="162">
        <f t="shared" si="10"/>
        <v>11059</v>
      </c>
      <c r="DV47" s="162">
        <f t="shared" si="11"/>
        <v>10980</v>
      </c>
      <c r="DW47" s="162">
        <f t="shared" si="12"/>
        <v>11177</v>
      </c>
      <c r="DX47" s="162">
        <f t="shared" si="13"/>
        <v>11018</v>
      </c>
      <c r="DY47" s="150">
        <f t="shared" si="7"/>
        <v>12530</v>
      </c>
      <c r="DZ47" s="150">
        <f t="shared" si="14"/>
        <v>10233</v>
      </c>
      <c r="EA47" s="150">
        <f t="shared" si="8"/>
        <v>10963</v>
      </c>
      <c r="EB47" s="150">
        <f t="shared" si="9"/>
        <v>10504</v>
      </c>
      <c r="EC47" s="150">
        <f t="shared" si="15"/>
        <v>11215</v>
      </c>
      <c r="ED47" s="150">
        <v>11813</v>
      </c>
      <c r="EE47" s="150">
        <v>11241</v>
      </c>
      <c r="EF47" s="150">
        <v>10294</v>
      </c>
      <c r="EG47" s="150">
        <v>11293</v>
      </c>
      <c r="EH47" s="150">
        <v>11369</v>
      </c>
      <c r="EI47" s="150">
        <v>11616</v>
      </c>
      <c r="EJ47" s="150">
        <v>11688</v>
      </c>
      <c r="EK47" s="150">
        <v>12536</v>
      </c>
      <c r="EL47" s="150">
        <v>10982</v>
      </c>
      <c r="EM47" s="150">
        <v>9835</v>
      </c>
      <c r="EN47" s="150">
        <v>11389</v>
      </c>
      <c r="EO47" s="150">
        <v>11601</v>
      </c>
      <c r="EP47" s="150">
        <v>12461</v>
      </c>
      <c r="EQ47" s="150">
        <v>12193</v>
      </c>
      <c r="ER47" s="150">
        <v>12082</v>
      </c>
      <c r="ES47" s="150">
        <v>12360</v>
      </c>
      <c r="ET47" s="150">
        <v>12972</v>
      </c>
      <c r="EU47" s="150">
        <v>12958</v>
      </c>
      <c r="EV47" s="150">
        <v>12204</v>
      </c>
      <c r="EW47" s="150">
        <v>12791</v>
      </c>
      <c r="EX47" s="150">
        <v>13192</v>
      </c>
      <c r="EY47" s="150">
        <v>12963</v>
      </c>
      <c r="EZ47" s="150">
        <v>12776</v>
      </c>
      <c r="FA47" s="150">
        <v>17637</v>
      </c>
      <c r="FB47" s="150">
        <v>17061</v>
      </c>
      <c r="FC47" s="163" t="s">
        <v>232</v>
      </c>
      <c r="FF47" s="66">
        <v>151516</v>
      </c>
      <c r="FG47" s="66">
        <v>140301</v>
      </c>
      <c r="FH47" s="66">
        <v>129797</v>
      </c>
      <c r="FI47" s="66">
        <v>118834</v>
      </c>
      <c r="FJ47" s="66">
        <v>108601</v>
      </c>
      <c r="FK47" s="66">
        <v>96071</v>
      </c>
      <c r="FL47" s="66">
        <v>85053</v>
      </c>
      <c r="FM47" s="66">
        <v>73876</v>
      </c>
      <c r="FN47" s="66">
        <v>62896</v>
      </c>
      <c r="FO47" s="66">
        <v>51837</v>
      </c>
      <c r="FP47" s="66">
        <v>40661</v>
      </c>
      <c r="FQ47" s="66">
        <v>28568</v>
      </c>
      <c r="FR47" s="160">
        <v>17954</v>
      </c>
      <c r="FS47" s="160">
        <v>5407</v>
      </c>
      <c r="FT47" s="160">
        <v>1222202</v>
      </c>
      <c r="FU47" s="160">
        <v>1214761</v>
      </c>
      <c r="FV47" s="160">
        <v>1204253</v>
      </c>
    </row>
    <row r="48" spans="1:178" customFormat="1" ht="17">
      <c r="A48" s="279"/>
      <c r="B48" s="265">
        <v>205337</v>
      </c>
      <c r="C48" s="232" t="s">
        <v>233</v>
      </c>
      <c r="D48" s="72" t="s">
        <v>234</v>
      </c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6"/>
      <c r="R48" s="276"/>
      <c r="S48" s="276"/>
      <c r="T48" s="276"/>
      <c r="U48" s="276"/>
      <c r="V48" s="276"/>
      <c r="W48" s="276"/>
      <c r="X48" s="276"/>
      <c r="Y48" s="276"/>
      <c r="Z48" s="276"/>
      <c r="AA48" s="276"/>
      <c r="AB48" s="276"/>
      <c r="AC48" s="275"/>
      <c r="AD48" s="275"/>
      <c r="AE48" s="275"/>
      <c r="AF48" s="275"/>
      <c r="AG48" s="275"/>
      <c r="AH48" s="275"/>
      <c r="AI48" s="275"/>
      <c r="AJ48" s="275"/>
      <c r="AK48" s="275"/>
      <c r="AL48" s="275"/>
      <c r="AM48" s="275"/>
      <c r="AN48" s="275"/>
      <c r="AO48" s="275"/>
      <c r="AP48" s="275"/>
      <c r="AQ48" s="275"/>
      <c r="AR48" s="275"/>
      <c r="AS48" s="275"/>
      <c r="AT48" s="275"/>
      <c r="AU48" s="275"/>
      <c r="AV48" s="275"/>
      <c r="AW48" s="275"/>
      <c r="AX48" s="275"/>
      <c r="AY48" s="275"/>
      <c r="AZ48" s="278"/>
      <c r="BA48" s="277"/>
      <c r="BB48" s="277"/>
      <c r="BC48" s="277"/>
      <c r="BD48" s="277"/>
      <c r="BE48" s="277"/>
      <c r="BF48" s="277"/>
      <c r="BG48" s="277"/>
      <c r="BH48" s="277"/>
      <c r="BI48" s="277"/>
      <c r="BJ48" s="277"/>
      <c r="BK48" s="277"/>
      <c r="BL48" s="233">
        <v>4656</v>
      </c>
      <c r="BM48" s="234">
        <v>4950</v>
      </c>
      <c r="BN48" s="234">
        <v>5392</v>
      </c>
      <c r="BO48" s="234">
        <v>5644</v>
      </c>
      <c r="BP48" s="234">
        <v>6929</v>
      </c>
      <c r="BQ48" s="234">
        <v>6159</v>
      </c>
      <c r="BR48" s="234">
        <v>5422</v>
      </c>
      <c r="BS48" s="234">
        <v>5426</v>
      </c>
      <c r="BT48" s="234">
        <v>5957</v>
      </c>
      <c r="BU48" s="234">
        <v>6411</v>
      </c>
      <c r="BV48" s="234">
        <v>5922</v>
      </c>
      <c r="BW48" s="234">
        <v>5547</v>
      </c>
      <c r="BX48" s="234">
        <v>4500</v>
      </c>
      <c r="BY48" s="235">
        <v>5699</v>
      </c>
      <c r="BZ48" s="235">
        <v>6366</v>
      </c>
      <c r="CA48" s="235">
        <v>5568</v>
      </c>
      <c r="CB48" s="236">
        <v>6928</v>
      </c>
      <c r="CC48" s="236">
        <v>5283</v>
      </c>
      <c r="CD48" s="236">
        <v>5151</v>
      </c>
      <c r="CE48" s="236">
        <v>5373</v>
      </c>
      <c r="CF48" s="236">
        <v>3921</v>
      </c>
      <c r="CG48" s="236">
        <v>5245</v>
      </c>
      <c r="CH48" s="236">
        <v>4164</v>
      </c>
      <c r="CI48" s="236">
        <v>4939</v>
      </c>
      <c r="CJ48" s="236">
        <v>5255</v>
      </c>
      <c r="CK48" s="237">
        <v>5728</v>
      </c>
      <c r="CL48" s="237">
        <v>4758</v>
      </c>
      <c r="CM48" s="237">
        <v>6621</v>
      </c>
      <c r="CN48" s="237">
        <v>5123</v>
      </c>
      <c r="CO48" s="237">
        <v>5496</v>
      </c>
      <c r="CP48" s="237">
        <v>5379</v>
      </c>
      <c r="CQ48" s="237">
        <v>5323</v>
      </c>
      <c r="CR48" s="237">
        <v>4725</v>
      </c>
      <c r="CS48" s="237">
        <v>6202</v>
      </c>
      <c r="CT48" s="237">
        <v>5534</v>
      </c>
      <c r="CU48" s="237">
        <v>4987</v>
      </c>
      <c r="CV48" s="237">
        <v>5107</v>
      </c>
      <c r="CW48" s="236">
        <v>4732</v>
      </c>
      <c r="CX48" s="236">
        <v>4434</v>
      </c>
      <c r="CY48" s="236">
        <v>5988</v>
      </c>
      <c r="CZ48" s="236">
        <v>5103</v>
      </c>
      <c r="DA48" s="236">
        <v>5922</v>
      </c>
      <c r="DB48" s="236">
        <v>4814</v>
      </c>
      <c r="DC48" s="236">
        <v>4200</v>
      </c>
      <c r="DD48" s="236">
        <v>4092</v>
      </c>
      <c r="DE48" s="236">
        <v>4273</v>
      </c>
      <c r="DF48" s="238">
        <v>3713</v>
      </c>
      <c r="DG48" s="238">
        <v>4576</v>
      </c>
      <c r="DH48" s="238">
        <v>4794</v>
      </c>
      <c r="DI48" s="238">
        <v>4020</v>
      </c>
      <c r="DJ48" s="238">
        <v>4522</v>
      </c>
      <c r="DK48" s="238">
        <v>5078</v>
      </c>
      <c r="DL48" s="238">
        <v>4391</v>
      </c>
      <c r="DM48" s="238">
        <v>5094</v>
      </c>
      <c r="DN48" s="239">
        <f t="shared" si="1"/>
        <v>4591</v>
      </c>
      <c r="DO48" s="239">
        <f t="shared" si="2"/>
        <v>3954</v>
      </c>
      <c r="DP48" s="240">
        <v>5330</v>
      </c>
      <c r="DQ48" s="239">
        <f t="shared" si="3"/>
        <v>5125</v>
      </c>
      <c r="DR48" s="239">
        <f t="shared" si="4"/>
        <v>4285</v>
      </c>
      <c r="DS48" s="239">
        <f t="shared" si="5"/>
        <v>4805</v>
      </c>
      <c r="DT48" s="239">
        <f t="shared" si="6"/>
        <v>4203</v>
      </c>
      <c r="DU48" s="239">
        <f t="shared" si="10"/>
        <v>4382</v>
      </c>
      <c r="DV48" s="239">
        <f t="shared" si="11"/>
        <v>4499</v>
      </c>
      <c r="DW48" s="239">
        <f t="shared" si="12"/>
        <v>5590</v>
      </c>
      <c r="DX48" s="239">
        <f t="shared" si="13"/>
        <v>5767</v>
      </c>
      <c r="DY48" s="241">
        <f t="shared" si="7"/>
        <v>6182</v>
      </c>
      <c r="DZ48" s="241">
        <f>FI48-FJ48</f>
        <v>4633</v>
      </c>
      <c r="EA48" s="241">
        <f t="shared" si="8"/>
        <v>5102</v>
      </c>
      <c r="EB48" s="241">
        <f t="shared" ref="EB48:EB71" si="17">FG48-FH48</f>
        <v>6147</v>
      </c>
      <c r="EC48" s="241">
        <f t="shared" si="15"/>
        <v>6385</v>
      </c>
      <c r="ED48" s="241">
        <v>6294</v>
      </c>
      <c r="EE48" s="241">
        <v>5637</v>
      </c>
      <c r="EF48" s="241">
        <v>4942</v>
      </c>
      <c r="EG48" s="241">
        <v>5735</v>
      </c>
      <c r="EH48" s="241">
        <v>5551</v>
      </c>
      <c r="EI48" s="241">
        <v>5852</v>
      </c>
      <c r="EJ48" s="241">
        <v>5323</v>
      </c>
      <c r="EK48" s="241">
        <v>5650</v>
      </c>
      <c r="EL48" s="241">
        <v>5140</v>
      </c>
      <c r="EM48" s="241">
        <v>4262</v>
      </c>
      <c r="EN48" s="241">
        <v>5463</v>
      </c>
      <c r="EO48" s="241">
        <v>5010</v>
      </c>
      <c r="EP48" s="241">
        <v>5432</v>
      </c>
      <c r="EQ48" s="241">
        <v>4990</v>
      </c>
      <c r="ER48" s="241">
        <v>4485</v>
      </c>
      <c r="ES48" s="241">
        <v>4246</v>
      </c>
      <c r="ET48" s="241">
        <v>4321</v>
      </c>
      <c r="EU48" s="241">
        <v>5384</v>
      </c>
      <c r="EV48" s="241">
        <v>5231</v>
      </c>
      <c r="EW48" s="241">
        <v>6205</v>
      </c>
      <c r="EX48" s="241">
        <v>6210</v>
      </c>
      <c r="EY48" s="241">
        <v>5005</v>
      </c>
      <c r="EZ48" s="241">
        <v>5120</v>
      </c>
      <c r="FA48" s="241">
        <v>6876</v>
      </c>
      <c r="FB48" s="241">
        <v>7357</v>
      </c>
      <c r="FC48" s="72" t="s">
        <v>234</v>
      </c>
      <c r="FF48">
        <v>69616</v>
      </c>
      <c r="FG48">
        <v>63231</v>
      </c>
      <c r="FH48">
        <v>57084</v>
      </c>
      <c r="FI48">
        <v>51982</v>
      </c>
      <c r="FJ48">
        <v>47349</v>
      </c>
      <c r="FK48">
        <v>41167</v>
      </c>
      <c r="FL48">
        <v>35400</v>
      </c>
      <c r="FM48">
        <v>29810</v>
      </c>
      <c r="FN48">
        <v>25311</v>
      </c>
      <c r="FO48">
        <v>20929</v>
      </c>
      <c r="FP48">
        <v>16726</v>
      </c>
      <c r="FQ48">
        <v>11921</v>
      </c>
      <c r="FR48" s="238">
        <v>7636</v>
      </c>
      <c r="FS48" s="238">
        <v>2511</v>
      </c>
      <c r="FT48" s="238">
        <v>590880</v>
      </c>
      <c r="FU48" s="238">
        <v>586926</v>
      </c>
      <c r="FV48" s="238">
        <v>582335</v>
      </c>
    </row>
    <row r="49" spans="1:178" customFormat="1" ht="34">
      <c r="A49" s="279"/>
      <c r="B49" s="265">
        <v>229155</v>
      </c>
      <c r="C49" s="247" t="s">
        <v>235</v>
      </c>
      <c r="D49" s="242" t="s">
        <v>236</v>
      </c>
      <c r="Q49" s="243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Z49" s="11"/>
      <c r="BA49" s="245"/>
      <c r="BB49" s="245"/>
      <c r="BC49" s="245"/>
      <c r="BD49" s="245"/>
      <c r="BE49" s="245"/>
      <c r="BF49" s="245"/>
      <c r="BG49" s="233"/>
      <c r="BH49" s="233"/>
      <c r="BI49" s="233"/>
      <c r="BJ49" s="233"/>
      <c r="BK49" s="233"/>
      <c r="BL49" s="233"/>
      <c r="BM49" s="234"/>
      <c r="BN49" s="234"/>
      <c r="BO49" s="234"/>
      <c r="BP49" s="234"/>
      <c r="BQ49" s="234"/>
      <c r="BR49" s="234"/>
      <c r="BS49" s="234"/>
      <c r="BT49" s="234"/>
      <c r="BU49" s="234"/>
      <c r="BV49" s="234"/>
      <c r="BW49" s="234"/>
      <c r="BX49" s="234"/>
      <c r="BY49" s="233"/>
      <c r="BZ49" s="233"/>
      <c r="CA49" s="233">
        <v>3682</v>
      </c>
      <c r="CB49" s="245">
        <v>3904</v>
      </c>
      <c r="CC49" s="245">
        <v>2953</v>
      </c>
      <c r="CD49" s="245">
        <v>2991</v>
      </c>
      <c r="CE49" s="245">
        <v>2853</v>
      </c>
      <c r="CF49" s="245">
        <v>997</v>
      </c>
      <c r="CG49" s="245">
        <v>1811</v>
      </c>
      <c r="CH49" s="245">
        <v>237</v>
      </c>
      <c r="CI49" s="245">
        <v>1666</v>
      </c>
      <c r="CJ49" s="245">
        <v>1984</v>
      </c>
      <c r="CK49" s="244">
        <v>946</v>
      </c>
      <c r="CL49" s="244">
        <v>1600</v>
      </c>
      <c r="CM49" s="244">
        <v>1962</v>
      </c>
      <c r="CN49" s="244">
        <v>1830</v>
      </c>
      <c r="CO49" s="244">
        <v>2039</v>
      </c>
      <c r="CP49" s="244">
        <v>780</v>
      </c>
      <c r="CQ49" s="244">
        <v>329</v>
      </c>
      <c r="CR49" s="244">
        <v>1648</v>
      </c>
      <c r="CS49" s="244">
        <v>2283</v>
      </c>
      <c r="CT49" s="244">
        <v>2048</v>
      </c>
      <c r="CU49" s="244">
        <v>2045</v>
      </c>
      <c r="CV49" s="244">
        <v>2017</v>
      </c>
      <c r="CW49" s="245">
        <v>2021</v>
      </c>
      <c r="CX49" s="245">
        <v>1842</v>
      </c>
      <c r="CY49" s="245">
        <v>3396</v>
      </c>
      <c r="CZ49" s="245">
        <v>3218</v>
      </c>
      <c r="DA49" s="245">
        <v>3699</v>
      </c>
      <c r="DB49" s="245">
        <v>2961</v>
      </c>
      <c r="DC49" s="245">
        <v>2488</v>
      </c>
      <c r="DD49" s="245">
        <v>1921</v>
      </c>
      <c r="DE49" s="245">
        <v>2100</v>
      </c>
      <c r="DF49" s="246">
        <v>3713</v>
      </c>
      <c r="DG49" s="246">
        <v>2901</v>
      </c>
      <c r="DH49" s="239">
        <v>2734</v>
      </c>
      <c r="DI49" s="239">
        <v>2323</v>
      </c>
      <c r="DJ49" s="239">
        <v>2904</v>
      </c>
      <c r="DK49" s="239">
        <v>3465</v>
      </c>
      <c r="DL49" s="239">
        <v>3064</v>
      </c>
      <c r="DM49" s="239">
        <v>3606</v>
      </c>
      <c r="DN49" s="239">
        <f t="shared" si="1"/>
        <v>3007</v>
      </c>
      <c r="DO49" s="239">
        <f t="shared" si="2"/>
        <v>2576</v>
      </c>
      <c r="DP49" s="239">
        <f t="shared" ref="DP49:DP71" si="18">FS49-FT49</f>
        <v>3131</v>
      </c>
      <c r="DQ49" s="239">
        <f t="shared" si="3"/>
        <v>3487</v>
      </c>
      <c r="DR49" s="239">
        <f t="shared" si="4"/>
        <v>3125</v>
      </c>
      <c r="DS49" s="239">
        <f t="shared" si="5"/>
        <v>3352</v>
      </c>
      <c r="DT49" s="239">
        <f t="shared" si="6"/>
        <v>2775</v>
      </c>
      <c r="DU49" s="239">
        <f t="shared" si="10"/>
        <v>2879</v>
      </c>
      <c r="DV49" s="239">
        <f t="shared" si="11"/>
        <v>2978</v>
      </c>
      <c r="DW49" s="239">
        <f t="shared" si="12"/>
        <v>3243</v>
      </c>
      <c r="DX49" s="239">
        <f t="shared" si="13"/>
        <v>3332</v>
      </c>
      <c r="DY49" s="241">
        <f t="shared" si="7"/>
        <v>3745</v>
      </c>
      <c r="DZ49" s="241">
        <f t="shared" si="14"/>
        <v>3210</v>
      </c>
      <c r="EA49" s="241">
        <f t="shared" si="8"/>
        <v>3297</v>
      </c>
      <c r="EB49" s="241">
        <f t="shared" si="17"/>
        <v>3477</v>
      </c>
      <c r="EC49" s="241">
        <f t="shared" si="15"/>
        <v>3348</v>
      </c>
      <c r="ED49" s="241">
        <v>3719</v>
      </c>
      <c r="EE49" s="241">
        <v>3365</v>
      </c>
      <c r="EF49" s="241">
        <v>3157</v>
      </c>
      <c r="EG49" s="241">
        <v>3487</v>
      </c>
      <c r="EH49" s="241">
        <v>3691</v>
      </c>
      <c r="EI49" s="241">
        <v>3862</v>
      </c>
      <c r="EJ49" s="241">
        <v>3802</v>
      </c>
      <c r="EK49" s="241">
        <v>4117</v>
      </c>
      <c r="EL49" s="241">
        <v>3440</v>
      </c>
      <c r="EM49" s="241">
        <v>2995</v>
      </c>
      <c r="EN49" s="241">
        <v>3874</v>
      </c>
      <c r="EO49" s="241">
        <v>3562</v>
      </c>
      <c r="EP49" s="241">
        <v>3922</v>
      </c>
      <c r="EQ49" s="241">
        <v>3585</v>
      </c>
      <c r="ER49" s="241">
        <v>3344</v>
      </c>
      <c r="ES49" s="241">
        <v>3173</v>
      </c>
      <c r="ET49" s="241">
        <v>3277</v>
      </c>
      <c r="EU49" s="241">
        <v>3827</v>
      </c>
      <c r="EV49" s="241">
        <v>3777</v>
      </c>
      <c r="EW49" s="241">
        <v>3714</v>
      </c>
      <c r="EX49" s="241">
        <v>3602</v>
      </c>
      <c r="EY49" s="241">
        <v>3052</v>
      </c>
      <c r="EZ49" s="241">
        <v>3003</v>
      </c>
      <c r="FA49" s="241">
        <v>4061</v>
      </c>
      <c r="FB49" s="241">
        <v>3452</v>
      </c>
      <c r="FC49" s="242" t="s">
        <v>236</v>
      </c>
      <c r="FF49">
        <v>140295</v>
      </c>
      <c r="FG49">
        <v>136947</v>
      </c>
      <c r="FH49">
        <v>133470</v>
      </c>
      <c r="FI49">
        <v>130173</v>
      </c>
      <c r="FJ49">
        <v>126963</v>
      </c>
      <c r="FK49">
        <v>123218</v>
      </c>
      <c r="FL49">
        <v>119886</v>
      </c>
      <c r="FM49">
        <v>116643</v>
      </c>
      <c r="FN49">
        <v>113665</v>
      </c>
      <c r="FO49">
        <v>110786</v>
      </c>
      <c r="FP49">
        <v>108011</v>
      </c>
      <c r="FQ49">
        <v>104659</v>
      </c>
      <c r="FR49" s="239">
        <v>101534</v>
      </c>
      <c r="FS49" s="239">
        <v>98047</v>
      </c>
      <c r="FT49" s="239">
        <v>94916</v>
      </c>
      <c r="FU49" s="239">
        <v>92340</v>
      </c>
      <c r="FV49" s="239">
        <v>89333</v>
      </c>
    </row>
    <row r="50" spans="1:178">
      <c r="B50" s="265">
        <v>7647872</v>
      </c>
      <c r="C50" s="184">
        <v>9124616</v>
      </c>
      <c r="D50" s="72" t="s">
        <v>237</v>
      </c>
      <c r="Q50" s="79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Z50" s="89"/>
      <c r="BA50" s="90"/>
      <c r="BB50" s="90"/>
      <c r="BC50" s="90"/>
      <c r="BD50" s="90"/>
      <c r="BE50" s="90"/>
      <c r="BF50" s="90"/>
      <c r="BG50" s="77"/>
      <c r="BH50" s="77"/>
      <c r="BI50" s="77"/>
      <c r="BJ50" s="77"/>
      <c r="BK50" s="77"/>
      <c r="BL50" s="77"/>
      <c r="BM50" s="75"/>
      <c r="BN50" s="75"/>
      <c r="BO50" s="75"/>
      <c r="BP50" s="75">
        <v>1527</v>
      </c>
      <c r="BQ50" s="75">
        <v>19447</v>
      </c>
      <c r="BR50" s="75">
        <v>33190</v>
      </c>
      <c r="BS50" s="75">
        <v>16097</v>
      </c>
      <c r="BT50" s="75">
        <v>15443</v>
      </c>
      <c r="BU50" s="75">
        <v>17624</v>
      </c>
      <c r="BV50" s="75">
        <v>18284</v>
      </c>
      <c r="BW50" s="75">
        <v>16910</v>
      </c>
      <c r="BX50" s="75">
        <v>14617</v>
      </c>
      <c r="BY50" s="77">
        <v>14241</v>
      </c>
      <c r="BZ50" s="77">
        <v>14312</v>
      </c>
      <c r="CA50" s="77">
        <v>16641</v>
      </c>
      <c r="CB50" s="77">
        <v>16460</v>
      </c>
      <c r="CC50" s="77">
        <v>13888</v>
      </c>
      <c r="CD50" s="77">
        <v>11813</v>
      </c>
      <c r="CE50" s="77">
        <v>10698</v>
      </c>
      <c r="CF50" s="77">
        <v>7157</v>
      </c>
      <c r="CG50" s="77">
        <v>9879</v>
      </c>
      <c r="CH50" s="77">
        <v>7731</v>
      </c>
      <c r="CI50" s="77">
        <v>8319</v>
      </c>
      <c r="CJ50" s="77">
        <v>9164</v>
      </c>
      <c r="CK50" s="79">
        <v>6207</v>
      </c>
      <c r="CL50" s="79">
        <v>3278</v>
      </c>
      <c r="CM50" s="79">
        <v>5527</v>
      </c>
      <c r="CN50" s="79">
        <v>1918</v>
      </c>
      <c r="CO50" s="134">
        <v>8175</v>
      </c>
      <c r="CP50" s="134">
        <v>7838</v>
      </c>
      <c r="CQ50" s="134">
        <v>6845</v>
      </c>
      <c r="CR50" s="134">
        <v>7810</v>
      </c>
      <c r="CS50" s="134">
        <v>10165</v>
      </c>
      <c r="CT50" s="134">
        <v>9491</v>
      </c>
      <c r="CU50" s="134">
        <v>10698</v>
      </c>
      <c r="CV50" s="134">
        <v>8842</v>
      </c>
      <c r="CW50" s="117">
        <v>9457</v>
      </c>
      <c r="CX50" s="117">
        <v>11047</v>
      </c>
      <c r="CY50" s="117">
        <v>13706</v>
      </c>
      <c r="CZ50" s="117">
        <v>12413</v>
      </c>
      <c r="DA50" s="117">
        <v>14211</v>
      </c>
      <c r="DB50" s="117">
        <v>12837</v>
      </c>
      <c r="DC50" s="117">
        <v>10715</v>
      </c>
      <c r="DD50" s="117">
        <v>7636</v>
      </c>
      <c r="DE50" s="117">
        <v>4619</v>
      </c>
      <c r="DF50" s="151">
        <v>4335</v>
      </c>
      <c r="DG50" s="151">
        <v>8437</v>
      </c>
      <c r="DH50" s="159">
        <v>11366</v>
      </c>
      <c r="DI50" s="159">
        <v>9377</v>
      </c>
      <c r="DJ50" s="159">
        <v>10829</v>
      </c>
      <c r="DK50" s="159">
        <v>10630</v>
      </c>
      <c r="DL50" s="159">
        <v>10225</v>
      </c>
      <c r="DM50" s="159">
        <v>12341</v>
      </c>
      <c r="DN50" s="162">
        <f t="shared" si="1"/>
        <v>10402</v>
      </c>
      <c r="DO50" s="162">
        <f t="shared" si="2"/>
        <v>8406</v>
      </c>
      <c r="DP50" s="162">
        <f t="shared" si="18"/>
        <v>10288</v>
      </c>
      <c r="DQ50" s="162">
        <f t="shared" si="3"/>
        <v>11461</v>
      </c>
      <c r="DR50" s="162">
        <f t="shared" si="4"/>
        <v>10245</v>
      </c>
      <c r="DS50" s="162">
        <f t="shared" si="5"/>
        <v>11669</v>
      </c>
      <c r="DT50" s="162">
        <f t="shared" si="6"/>
        <v>11267</v>
      </c>
      <c r="DU50" s="162">
        <f t="shared" si="10"/>
        <v>9734</v>
      </c>
      <c r="DV50" s="162">
        <f t="shared" si="11"/>
        <v>11770</v>
      </c>
      <c r="DW50" s="162">
        <f t="shared" si="12"/>
        <v>11982</v>
      </c>
      <c r="DX50" s="162">
        <f t="shared" si="13"/>
        <v>11977</v>
      </c>
      <c r="DY50" s="150">
        <f t="shared" si="7"/>
        <v>12939</v>
      </c>
      <c r="DZ50" s="150">
        <f t="shared" si="14"/>
        <v>10630</v>
      </c>
      <c r="EA50" s="150">
        <f t="shared" si="8"/>
        <v>11238</v>
      </c>
      <c r="EB50" s="150">
        <f t="shared" si="17"/>
        <v>11464</v>
      </c>
      <c r="EC50" s="150">
        <v>12073</v>
      </c>
      <c r="ED50" s="150">
        <v>13528</v>
      </c>
      <c r="EE50" s="150">
        <v>12500</v>
      </c>
      <c r="EF50" s="150">
        <v>11258</v>
      </c>
      <c r="EG50" s="150">
        <v>11960</v>
      </c>
      <c r="EH50" s="204">
        <v>11567</v>
      </c>
      <c r="EI50" s="204">
        <v>15127</v>
      </c>
      <c r="EJ50" s="204">
        <v>15694</v>
      </c>
      <c r="EK50" s="204">
        <v>10631</v>
      </c>
      <c r="EL50" s="150">
        <v>12068</v>
      </c>
      <c r="EM50" s="150">
        <v>10631</v>
      </c>
      <c r="EN50" s="150">
        <v>12150</v>
      </c>
      <c r="EO50" s="204">
        <v>11718</v>
      </c>
      <c r="EP50" s="204">
        <v>12449</v>
      </c>
      <c r="EQ50" s="204">
        <v>11385</v>
      </c>
      <c r="ER50" s="204">
        <v>10745</v>
      </c>
      <c r="ES50" s="204">
        <v>10637</v>
      </c>
      <c r="ET50" s="204">
        <v>11481</v>
      </c>
      <c r="EU50" s="204">
        <v>14837</v>
      </c>
      <c r="EV50" s="204">
        <v>14278</v>
      </c>
      <c r="EW50" s="204">
        <v>15402</v>
      </c>
      <c r="EX50" s="204">
        <v>12056</v>
      </c>
      <c r="EY50" s="204">
        <v>10702</v>
      </c>
      <c r="EZ50" s="204">
        <v>11499</v>
      </c>
      <c r="FA50" s="204">
        <v>14987</v>
      </c>
      <c r="FB50" s="204">
        <v>13368</v>
      </c>
      <c r="FC50" s="72" t="s">
        <v>237</v>
      </c>
      <c r="FE50" s="178"/>
      <c r="FF50" s="178" t="s">
        <v>229</v>
      </c>
      <c r="FG50" s="66">
        <v>698915</v>
      </c>
      <c r="FH50" s="66">
        <v>687451</v>
      </c>
      <c r="FI50" s="66">
        <v>676213</v>
      </c>
      <c r="FJ50" s="66">
        <v>665583</v>
      </c>
      <c r="FK50" s="66">
        <v>652644</v>
      </c>
      <c r="FL50" s="66">
        <v>640667</v>
      </c>
      <c r="FM50" s="66">
        <v>628685</v>
      </c>
      <c r="FN50" s="66">
        <v>616915</v>
      </c>
      <c r="FO50" s="66">
        <v>607181</v>
      </c>
      <c r="FP50" s="66">
        <v>595914</v>
      </c>
      <c r="FQ50" s="66">
        <v>584245</v>
      </c>
      <c r="FR50" s="160">
        <v>574000</v>
      </c>
      <c r="FS50" s="160">
        <v>562539</v>
      </c>
      <c r="FT50" s="160">
        <v>552251</v>
      </c>
      <c r="FU50" s="160">
        <v>543845</v>
      </c>
      <c r="FV50" s="174">
        <v>533443</v>
      </c>
    </row>
    <row r="51" spans="1:178">
      <c r="B51" s="265">
        <v>7647876</v>
      </c>
      <c r="C51" s="184">
        <v>9126450</v>
      </c>
      <c r="D51" s="72" t="s">
        <v>238</v>
      </c>
      <c r="Q51" s="79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Z51" s="89"/>
      <c r="BA51" s="90"/>
      <c r="BB51" s="90"/>
      <c r="BC51" s="90"/>
      <c r="BD51" s="90"/>
      <c r="BE51" s="90"/>
      <c r="BF51" s="90"/>
      <c r="BG51" s="77"/>
      <c r="BH51" s="77"/>
      <c r="BI51" s="77"/>
      <c r="BJ51" s="77"/>
      <c r="BK51" s="77"/>
      <c r="BL51" s="77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7"/>
      <c r="BZ51" s="77"/>
      <c r="CA51" s="77">
        <v>7612</v>
      </c>
      <c r="CB51" s="77">
        <v>6584</v>
      </c>
      <c r="CC51" s="77">
        <v>4852</v>
      </c>
      <c r="CD51" s="77">
        <v>3904</v>
      </c>
      <c r="CE51" s="77">
        <v>3699</v>
      </c>
      <c r="CF51" s="77">
        <v>4257</v>
      </c>
      <c r="CG51" s="77">
        <v>4968</v>
      </c>
      <c r="CH51" s="77">
        <v>4631</v>
      </c>
      <c r="CI51" s="77">
        <v>5397</v>
      </c>
      <c r="CJ51" s="77">
        <v>5369</v>
      </c>
      <c r="CK51" s="79">
        <v>4761</v>
      </c>
      <c r="CL51" s="79">
        <v>4146</v>
      </c>
      <c r="CM51" s="79">
        <v>5692</v>
      </c>
      <c r="CN51" s="79">
        <v>4777</v>
      </c>
      <c r="CO51" s="134">
        <v>6019</v>
      </c>
      <c r="CP51" s="134">
        <v>5151</v>
      </c>
      <c r="CQ51" s="134">
        <v>4648</v>
      </c>
      <c r="CR51" s="134">
        <v>4945</v>
      </c>
      <c r="CS51" s="134">
        <v>6867</v>
      </c>
      <c r="CT51" s="134">
        <v>6842</v>
      </c>
      <c r="CU51" s="134">
        <v>6928</v>
      </c>
      <c r="CV51" s="134">
        <v>5260</v>
      </c>
      <c r="CW51" s="117">
        <v>5847</v>
      </c>
      <c r="CX51" s="117">
        <v>5702</v>
      </c>
      <c r="CY51" s="117">
        <v>6126</v>
      </c>
      <c r="CZ51" s="117">
        <v>5145</v>
      </c>
      <c r="DA51" s="117">
        <v>6254</v>
      </c>
      <c r="DB51" s="117">
        <v>4991</v>
      </c>
      <c r="DC51" s="117">
        <v>4527</v>
      </c>
      <c r="DD51" s="117">
        <v>2581</v>
      </c>
      <c r="DE51" s="117">
        <v>3237</v>
      </c>
      <c r="DF51" s="151">
        <v>3224</v>
      </c>
      <c r="DG51" s="151">
        <v>4193</v>
      </c>
      <c r="DH51" s="159">
        <v>4697</v>
      </c>
      <c r="DI51" s="159">
        <v>4116</v>
      </c>
      <c r="DJ51" s="159">
        <v>5023</v>
      </c>
      <c r="DK51" s="159">
        <v>6537</v>
      </c>
      <c r="DL51" s="159">
        <v>6088</v>
      </c>
      <c r="DM51" s="159">
        <v>6403</v>
      </c>
      <c r="DN51" s="162">
        <f t="shared" si="1"/>
        <v>5414</v>
      </c>
      <c r="DO51" s="162">
        <f t="shared" si="2"/>
        <v>3913</v>
      </c>
      <c r="DP51" s="162">
        <f t="shared" si="18"/>
        <v>5825</v>
      </c>
      <c r="DQ51" s="162">
        <f t="shared" si="3"/>
        <v>6472</v>
      </c>
      <c r="DR51" s="162">
        <f t="shared" si="4"/>
        <v>5222</v>
      </c>
      <c r="DS51" s="162">
        <f t="shared" si="5"/>
        <v>5634</v>
      </c>
      <c r="DT51" s="162">
        <f t="shared" si="6"/>
        <v>4818</v>
      </c>
      <c r="DU51" s="162">
        <f t="shared" si="10"/>
        <v>4326</v>
      </c>
      <c r="DV51" s="162">
        <f t="shared" si="11"/>
        <v>5219</v>
      </c>
      <c r="DW51" s="162">
        <f t="shared" si="12"/>
        <v>5967</v>
      </c>
      <c r="DX51" s="162">
        <f t="shared" si="13"/>
        <v>5650</v>
      </c>
      <c r="DY51" s="150">
        <f t="shared" si="7"/>
        <v>6836</v>
      </c>
      <c r="DZ51" s="150">
        <f t="shared" si="14"/>
        <v>4962</v>
      </c>
      <c r="EA51" s="150">
        <f t="shared" si="8"/>
        <v>4867</v>
      </c>
      <c r="EB51" s="150">
        <f t="shared" si="17"/>
        <v>5676</v>
      </c>
      <c r="EC51" s="150">
        <v>5563</v>
      </c>
      <c r="ED51" s="150">
        <v>5842</v>
      </c>
      <c r="EE51" s="150">
        <v>5436</v>
      </c>
      <c r="EF51" s="150">
        <v>4404</v>
      </c>
      <c r="EG51" s="150">
        <v>4759</v>
      </c>
      <c r="EH51" s="204">
        <v>4734</v>
      </c>
      <c r="EI51" s="204">
        <v>6064</v>
      </c>
      <c r="EJ51" s="204">
        <v>6795</v>
      </c>
      <c r="EK51" s="204">
        <v>6768</v>
      </c>
      <c r="EL51" s="204">
        <v>4129</v>
      </c>
      <c r="EM51" s="204">
        <v>4231</v>
      </c>
      <c r="EN51" s="204">
        <v>6280</v>
      </c>
      <c r="EO51" s="204">
        <v>6438</v>
      </c>
      <c r="EP51" s="204">
        <v>6400</v>
      </c>
      <c r="EQ51" s="204">
        <v>6102</v>
      </c>
      <c r="ER51" s="204">
        <v>4907</v>
      </c>
      <c r="ES51" s="204">
        <v>4599</v>
      </c>
      <c r="ET51" s="204">
        <v>4880</v>
      </c>
      <c r="EU51" s="204">
        <v>6615</v>
      </c>
      <c r="EV51" s="204">
        <v>6268</v>
      </c>
      <c r="EW51" s="204">
        <v>6650</v>
      </c>
      <c r="EX51" s="204">
        <v>5204</v>
      </c>
      <c r="EY51" s="204">
        <v>4669</v>
      </c>
      <c r="EZ51" s="204">
        <v>5158</v>
      </c>
      <c r="FA51" s="204">
        <v>6734</v>
      </c>
      <c r="FB51" s="204">
        <v>6294</v>
      </c>
      <c r="FC51" s="72" t="s">
        <v>238</v>
      </c>
      <c r="FE51" s="178"/>
      <c r="FF51" s="178" t="s">
        <v>229</v>
      </c>
      <c r="FG51" s="66">
        <v>282801</v>
      </c>
      <c r="FH51" s="66">
        <v>277125</v>
      </c>
      <c r="FI51" s="66">
        <v>272258</v>
      </c>
      <c r="FJ51" s="66">
        <v>267296</v>
      </c>
      <c r="FK51" s="66">
        <v>260460</v>
      </c>
      <c r="FL51" s="66">
        <v>254810</v>
      </c>
      <c r="FM51" s="66">
        <v>248843</v>
      </c>
      <c r="FN51" s="66">
        <v>243624</v>
      </c>
      <c r="FO51" s="66">
        <v>239298</v>
      </c>
      <c r="FP51" s="66">
        <v>234480</v>
      </c>
      <c r="FQ51" s="66">
        <v>228846</v>
      </c>
      <c r="FR51" s="159">
        <v>223624</v>
      </c>
      <c r="FS51" s="159">
        <v>217152</v>
      </c>
      <c r="FT51" s="159">
        <v>211327</v>
      </c>
      <c r="FU51" s="159">
        <v>207414</v>
      </c>
      <c r="FV51" s="159">
        <v>202000</v>
      </c>
    </row>
    <row r="52" spans="1:178">
      <c r="B52" s="265">
        <v>7647872</v>
      </c>
      <c r="C52" s="184">
        <v>9126441</v>
      </c>
      <c r="D52" s="72" t="s">
        <v>239</v>
      </c>
      <c r="Q52" s="79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Z52" s="89"/>
      <c r="BA52" s="90"/>
      <c r="BB52" s="90"/>
      <c r="BC52" s="90"/>
      <c r="BD52" s="90"/>
      <c r="BE52" s="90"/>
      <c r="BF52" s="90"/>
      <c r="BG52" s="77"/>
      <c r="BH52" s="77"/>
      <c r="BI52" s="77"/>
      <c r="BJ52" s="77"/>
      <c r="BK52" s="77"/>
      <c r="BL52" s="77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7"/>
      <c r="BZ52" s="77"/>
      <c r="CA52" s="77">
        <v>16959</v>
      </c>
      <c r="CB52" s="77">
        <v>14796</v>
      </c>
      <c r="CC52" s="77">
        <v>11302</v>
      </c>
      <c r="CD52" s="77">
        <v>9998</v>
      </c>
      <c r="CE52" s="77">
        <v>7727</v>
      </c>
      <c r="CF52" s="77">
        <v>6251</v>
      </c>
      <c r="CG52" s="77">
        <v>8582</v>
      </c>
      <c r="CH52" s="77">
        <v>7555</v>
      </c>
      <c r="CI52" s="77">
        <v>8734</v>
      </c>
      <c r="CJ52" s="77">
        <v>9463</v>
      </c>
      <c r="CK52" s="79">
        <v>8867</v>
      </c>
      <c r="CL52" s="79">
        <v>7314</v>
      </c>
      <c r="CM52" s="79">
        <v>10016</v>
      </c>
      <c r="CN52" s="79">
        <v>8479</v>
      </c>
      <c r="CO52" s="134">
        <v>9565</v>
      </c>
      <c r="CP52" s="134">
        <v>8630</v>
      </c>
      <c r="CQ52" s="134">
        <v>9049</v>
      </c>
      <c r="CR52" s="134">
        <v>7637</v>
      </c>
      <c r="CS52" s="134">
        <v>9836</v>
      </c>
      <c r="CT52" s="134">
        <v>9491</v>
      </c>
      <c r="CU52" s="134">
        <v>10123</v>
      </c>
      <c r="CV52" s="134">
        <v>8637</v>
      </c>
      <c r="CW52" s="117">
        <v>10058</v>
      </c>
      <c r="CX52" s="117">
        <v>9981</v>
      </c>
      <c r="CY52" s="117">
        <v>12532</v>
      </c>
      <c r="CZ52" s="117">
        <v>10805</v>
      </c>
      <c r="DA52" s="117">
        <v>13234</v>
      </c>
      <c r="DB52" s="117">
        <v>10969</v>
      </c>
      <c r="DC52" s="117">
        <v>8795</v>
      </c>
      <c r="DD52" s="117">
        <v>5918</v>
      </c>
      <c r="DE52" s="117">
        <v>8629</v>
      </c>
      <c r="DF52" s="151">
        <v>8033</v>
      </c>
      <c r="DG52" s="151">
        <v>8609</v>
      </c>
      <c r="DH52" s="159">
        <v>9032</v>
      </c>
      <c r="DI52" s="159">
        <v>7823</v>
      </c>
      <c r="DJ52" s="159">
        <v>9497</v>
      </c>
      <c r="DK52" s="159">
        <v>13725</v>
      </c>
      <c r="DL52" s="159">
        <v>12547</v>
      </c>
      <c r="DM52" s="159">
        <v>13751</v>
      </c>
      <c r="DN52" s="162">
        <f t="shared" si="1"/>
        <v>11441</v>
      </c>
      <c r="DO52" s="162">
        <f t="shared" si="2"/>
        <v>7969</v>
      </c>
      <c r="DP52" s="162">
        <f t="shared" si="18"/>
        <v>11614</v>
      </c>
      <c r="DQ52" s="162">
        <f t="shared" si="3"/>
        <v>13331</v>
      </c>
      <c r="DR52" s="162">
        <f t="shared" si="4"/>
        <v>10379</v>
      </c>
      <c r="DS52" s="162">
        <f t="shared" si="5"/>
        <v>11868</v>
      </c>
      <c r="DT52" s="162">
        <f t="shared" si="6"/>
        <v>10523</v>
      </c>
      <c r="DU52" s="162">
        <f t="shared" si="10"/>
        <v>8570</v>
      </c>
      <c r="DV52" s="162">
        <f t="shared" si="11"/>
        <v>10836</v>
      </c>
      <c r="DW52" s="162">
        <f t="shared" si="12"/>
        <v>12116</v>
      </c>
      <c r="DX52" s="162">
        <f t="shared" si="13"/>
        <v>11863</v>
      </c>
      <c r="DY52" s="150">
        <f t="shared" si="7"/>
        <v>13927</v>
      </c>
      <c r="DZ52" s="150">
        <f t="shared" si="14"/>
        <v>10439</v>
      </c>
      <c r="EA52" s="150">
        <f t="shared" si="8"/>
        <v>10658</v>
      </c>
      <c r="EB52" s="150">
        <f t="shared" si="17"/>
        <v>12065</v>
      </c>
      <c r="EC52" s="150">
        <v>12427</v>
      </c>
      <c r="ED52" s="150">
        <v>12005</v>
      </c>
      <c r="EE52" s="150">
        <v>11778</v>
      </c>
      <c r="EF52" s="150">
        <v>9385</v>
      </c>
      <c r="EG52" s="150">
        <v>8038</v>
      </c>
      <c r="EH52" s="204">
        <v>11149</v>
      </c>
      <c r="EI52" s="204">
        <v>15062</v>
      </c>
      <c r="EJ52" s="204">
        <v>15823</v>
      </c>
      <c r="EK52" s="204">
        <v>16052</v>
      </c>
      <c r="EL52" s="204">
        <v>13608</v>
      </c>
      <c r="EM52" s="204">
        <v>9456</v>
      </c>
      <c r="EN52" s="204">
        <v>14239</v>
      </c>
      <c r="EO52" s="204">
        <v>14881</v>
      </c>
      <c r="EP52" s="204">
        <v>15315</v>
      </c>
      <c r="EQ52" s="204">
        <v>13449</v>
      </c>
      <c r="ER52" s="204">
        <v>10619</v>
      </c>
      <c r="ES52" s="204">
        <v>10384</v>
      </c>
      <c r="ET52" s="204">
        <v>11372</v>
      </c>
      <c r="EU52" s="204">
        <v>14837</v>
      </c>
      <c r="EV52" s="204">
        <v>14278</v>
      </c>
      <c r="EW52" s="204">
        <v>15402</v>
      </c>
      <c r="EX52" s="204">
        <v>12056</v>
      </c>
      <c r="EY52" s="204">
        <v>10702</v>
      </c>
      <c r="EZ52" s="204">
        <v>11499</v>
      </c>
      <c r="FA52" s="204">
        <v>14987</v>
      </c>
      <c r="FB52" s="204">
        <v>13368</v>
      </c>
      <c r="FC52" s="72" t="s">
        <v>239</v>
      </c>
      <c r="FE52" s="178"/>
      <c r="FF52" s="178" t="s">
        <v>229</v>
      </c>
      <c r="FG52" s="66">
        <v>550298</v>
      </c>
      <c r="FH52" s="66">
        <v>538233</v>
      </c>
      <c r="FI52" s="66">
        <v>527575</v>
      </c>
      <c r="FJ52" s="66">
        <v>517136</v>
      </c>
      <c r="FK52" s="66">
        <v>503209</v>
      </c>
      <c r="FL52" s="66">
        <v>491346</v>
      </c>
      <c r="FM52" s="66">
        <v>479230</v>
      </c>
      <c r="FN52" s="66">
        <v>468394</v>
      </c>
      <c r="FO52" s="66">
        <v>459824</v>
      </c>
      <c r="FP52" s="66">
        <v>449301</v>
      </c>
      <c r="FQ52" s="66">
        <v>437433</v>
      </c>
      <c r="FR52" s="159">
        <v>427054</v>
      </c>
      <c r="FS52" s="159">
        <v>413723</v>
      </c>
      <c r="FT52" s="159">
        <v>402109</v>
      </c>
      <c r="FU52" s="159">
        <v>394140</v>
      </c>
      <c r="FV52" s="159">
        <v>382699</v>
      </c>
    </row>
    <row r="53" spans="1:178">
      <c r="B53" s="265">
        <v>7654261</v>
      </c>
      <c r="C53" s="184">
        <v>9123311</v>
      </c>
      <c r="D53" s="72" t="s">
        <v>240</v>
      </c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S53" s="89"/>
      <c r="AW53" s="89"/>
      <c r="AX53" s="89"/>
      <c r="AY53" s="89"/>
      <c r="AZ53" s="89"/>
      <c r="BA53" s="90"/>
      <c r="BB53" s="90"/>
      <c r="BC53" s="90"/>
      <c r="BD53" s="90"/>
      <c r="BE53" s="90"/>
      <c r="BF53" s="90"/>
      <c r="BG53" s="77"/>
      <c r="BH53" s="77"/>
      <c r="BI53" s="77"/>
      <c r="BJ53" s="77"/>
      <c r="BK53" s="77"/>
      <c r="BL53" s="77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7"/>
      <c r="BZ53" s="77"/>
      <c r="CA53" s="77">
        <v>39203</v>
      </c>
      <c r="CB53" s="77">
        <v>30573</v>
      </c>
      <c r="CC53" s="77">
        <v>28477</v>
      </c>
      <c r="CD53" s="77">
        <v>22300</v>
      </c>
      <c r="CE53" s="77">
        <v>17722</v>
      </c>
      <c r="CF53" s="77">
        <v>9650</v>
      </c>
      <c r="CG53" s="77">
        <v>17945</v>
      </c>
      <c r="CH53" s="77">
        <v>15903</v>
      </c>
      <c r="CI53" s="77">
        <v>19922</v>
      </c>
      <c r="CJ53" s="77">
        <v>20703</v>
      </c>
      <c r="CK53" s="79">
        <v>19450</v>
      </c>
      <c r="CL53" s="79">
        <v>17690</v>
      </c>
      <c r="CM53" s="79">
        <v>28691</v>
      </c>
      <c r="CN53" s="79">
        <v>26282</v>
      </c>
      <c r="CO53" s="134">
        <v>29157</v>
      </c>
      <c r="CP53" s="134">
        <v>25129</v>
      </c>
      <c r="CQ53" s="134">
        <v>24466</v>
      </c>
      <c r="CR53" s="134">
        <v>21487</v>
      </c>
      <c r="CS53" s="134">
        <v>29264</v>
      </c>
      <c r="CT53" s="134">
        <v>27936</v>
      </c>
      <c r="CU53" s="134">
        <v>30623</v>
      </c>
      <c r="CV53" s="134">
        <v>25985</v>
      </c>
      <c r="CW53" s="117">
        <v>27130</v>
      </c>
      <c r="CX53" s="117">
        <v>27198</v>
      </c>
      <c r="CY53" s="117">
        <v>30727</v>
      </c>
      <c r="CZ53" s="117">
        <v>27172</v>
      </c>
      <c r="DA53" s="117">
        <v>32773</v>
      </c>
      <c r="DB53" s="117">
        <v>29784</v>
      </c>
      <c r="DC53" s="117">
        <v>26378</v>
      </c>
      <c r="DD53" s="117">
        <v>22021</v>
      </c>
      <c r="DE53" s="117">
        <v>19667</v>
      </c>
      <c r="DF53" s="151">
        <v>18675</v>
      </c>
      <c r="DG53" s="151">
        <v>26856</v>
      </c>
      <c r="DH53" s="159">
        <v>25899</v>
      </c>
      <c r="DI53" s="159">
        <v>22352</v>
      </c>
      <c r="DJ53" s="159">
        <v>27449</v>
      </c>
      <c r="DK53" s="159">
        <v>29868</v>
      </c>
      <c r="DL53" s="159">
        <v>27941</v>
      </c>
      <c r="DM53" s="159">
        <v>30802</v>
      </c>
      <c r="DN53" s="162">
        <f t="shared" si="1"/>
        <v>27142</v>
      </c>
      <c r="DO53" s="162">
        <f t="shared" si="2"/>
        <v>20799</v>
      </c>
      <c r="DP53" s="162">
        <f t="shared" si="18"/>
        <v>26810</v>
      </c>
      <c r="DQ53" s="162">
        <f t="shared" si="3"/>
        <v>28180</v>
      </c>
      <c r="DR53" s="162">
        <f t="shared" si="4"/>
        <v>25612</v>
      </c>
      <c r="DS53" s="162">
        <f t="shared" si="5"/>
        <v>28503</v>
      </c>
      <c r="DT53" s="162">
        <f t="shared" si="6"/>
        <v>23980</v>
      </c>
      <c r="DU53" s="162">
        <f t="shared" si="10"/>
        <v>23404</v>
      </c>
      <c r="DV53" s="162">
        <f t="shared" si="11"/>
        <v>27887</v>
      </c>
      <c r="DW53" s="162">
        <f t="shared" si="12"/>
        <v>28055</v>
      </c>
      <c r="DX53" s="162">
        <f t="shared" si="13"/>
        <v>26804</v>
      </c>
      <c r="DY53" s="150">
        <f t="shared" si="7"/>
        <v>27937</v>
      </c>
      <c r="DZ53" s="150">
        <f t="shared" si="14"/>
        <v>22277</v>
      </c>
      <c r="EA53" s="150">
        <f t="shared" si="8"/>
        <v>25568</v>
      </c>
      <c r="EB53" s="150">
        <f t="shared" si="17"/>
        <v>24420</v>
      </c>
      <c r="EC53" s="150">
        <v>25232</v>
      </c>
      <c r="ED53" s="150">
        <v>27355</v>
      </c>
      <c r="EE53" s="150">
        <v>36246</v>
      </c>
      <c r="EF53" s="150">
        <v>24747</v>
      </c>
      <c r="EG53" s="150">
        <v>26039</v>
      </c>
      <c r="EH53" s="204">
        <v>26519</v>
      </c>
      <c r="EI53" s="204">
        <v>29363</v>
      </c>
      <c r="EJ53" s="204">
        <v>29926</v>
      </c>
      <c r="EK53" s="204">
        <v>30476</v>
      </c>
      <c r="EL53" s="204">
        <v>30547</v>
      </c>
      <c r="EM53" s="204">
        <v>26465</v>
      </c>
      <c r="EN53" s="204">
        <v>29166</v>
      </c>
      <c r="EO53" s="204">
        <v>29544</v>
      </c>
      <c r="EP53" s="204">
        <v>31954</v>
      </c>
      <c r="EQ53" s="204">
        <v>30056</v>
      </c>
      <c r="ER53" s="204">
        <v>25064</v>
      </c>
      <c r="ES53" s="204">
        <v>23805</v>
      </c>
      <c r="ET53" s="204">
        <v>25661</v>
      </c>
      <c r="EU53" s="204">
        <v>32150</v>
      </c>
      <c r="EV53" s="204">
        <v>33047</v>
      </c>
      <c r="EW53" s="204">
        <v>31363</v>
      </c>
      <c r="EX53" s="204">
        <v>30126</v>
      </c>
      <c r="EY53" s="204">
        <v>16548</v>
      </c>
      <c r="EZ53" s="204">
        <v>24159</v>
      </c>
      <c r="FA53" s="204">
        <v>32694</v>
      </c>
      <c r="FB53" s="204">
        <v>28799</v>
      </c>
      <c r="FC53" s="72" t="s">
        <v>240</v>
      </c>
      <c r="FE53" s="178"/>
      <c r="FF53" s="178" t="s">
        <v>229</v>
      </c>
      <c r="FG53" s="66">
        <v>1368628</v>
      </c>
      <c r="FH53" s="66">
        <v>1344208</v>
      </c>
      <c r="FI53" s="66">
        <v>1318640</v>
      </c>
      <c r="FJ53" s="66">
        <v>1296363</v>
      </c>
      <c r="FK53" s="66">
        <v>1268426</v>
      </c>
      <c r="FL53" s="66">
        <v>1241622</v>
      </c>
      <c r="FM53" s="66">
        <v>1213567</v>
      </c>
      <c r="FN53" s="66">
        <v>1185680</v>
      </c>
      <c r="FO53" s="66">
        <v>1162276</v>
      </c>
      <c r="FP53" s="66">
        <v>1138296</v>
      </c>
      <c r="FQ53" s="66">
        <v>1109793</v>
      </c>
      <c r="FR53" s="159">
        <v>1084181</v>
      </c>
      <c r="FS53" s="159">
        <v>1056001</v>
      </c>
      <c r="FT53" s="159">
        <v>1029191</v>
      </c>
      <c r="FU53" s="159">
        <v>1008392</v>
      </c>
      <c r="FV53" s="159">
        <v>981250</v>
      </c>
    </row>
    <row r="54" spans="1:178">
      <c r="B54" s="265">
        <v>7647877</v>
      </c>
      <c r="C54" s="184">
        <v>9126443</v>
      </c>
      <c r="D54" s="72" t="s">
        <v>241</v>
      </c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S54" s="89"/>
      <c r="AW54" s="89"/>
      <c r="AX54" s="89"/>
      <c r="AY54" s="89"/>
      <c r="AZ54" s="89"/>
      <c r="BA54" s="90"/>
      <c r="BB54" s="90"/>
      <c r="BC54" s="90"/>
      <c r="BD54" s="90"/>
      <c r="BE54" s="90"/>
      <c r="BF54" s="90"/>
      <c r="BG54" s="77"/>
      <c r="BH54" s="77"/>
      <c r="BI54" s="77"/>
      <c r="BJ54" s="77"/>
      <c r="BK54" s="77"/>
      <c r="BL54" s="77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7"/>
      <c r="BZ54" s="77"/>
      <c r="CA54" s="77">
        <v>31000</v>
      </c>
      <c r="CB54" s="77">
        <v>25464</v>
      </c>
      <c r="CC54" s="77">
        <v>23951</v>
      </c>
      <c r="CD54" s="77">
        <v>22163</v>
      </c>
      <c r="CE54" s="77">
        <v>14821</v>
      </c>
      <c r="CF54" s="77">
        <v>8207</v>
      </c>
      <c r="CG54" s="77">
        <v>16431</v>
      </c>
      <c r="CH54" s="77">
        <v>14908</v>
      </c>
      <c r="CI54" s="77">
        <v>17961</v>
      </c>
      <c r="CJ54" s="77">
        <v>20085</v>
      </c>
      <c r="CK54" s="79">
        <v>18394</v>
      </c>
      <c r="CL54" s="79">
        <v>17669</v>
      </c>
      <c r="CM54" s="79">
        <v>21640</v>
      </c>
      <c r="CN54" s="79">
        <v>18838</v>
      </c>
      <c r="CO54" s="134">
        <v>21077</v>
      </c>
      <c r="CP54" s="134">
        <v>16530</v>
      </c>
      <c r="CQ54" s="134">
        <v>13769</v>
      </c>
      <c r="CR54" s="134">
        <v>10924</v>
      </c>
      <c r="CS54" s="134">
        <v>16019</v>
      </c>
      <c r="CT54" s="134">
        <v>14345</v>
      </c>
      <c r="CU54" s="134">
        <v>15793</v>
      </c>
      <c r="CV54" s="134">
        <v>13823</v>
      </c>
      <c r="CW54" s="117">
        <v>14010</v>
      </c>
      <c r="CX54" s="117">
        <v>14873</v>
      </c>
      <c r="CY54" s="117">
        <v>21381</v>
      </c>
      <c r="CZ54" s="117">
        <v>18481</v>
      </c>
      <c r="DA54" s="117">
        <v>21188</v>
      </c>
      <c r="DB54" s="117">
        <v>18211</v>
      </c>
      <c r="DC54" s="117">
        <v>17084</v>
      </c>
      <c r="DD54" s="117">
        <v>14783</v>
      </c>
      <c r="DE54" s="117">
        <v>14451</v>
      </c>
      <c r="DF54" s="151">
        <v>15394</v>
      </c>
      <c r="DG54" s="151">
        <v>15955</v>
      </c>
      <c r="DH54" s="159">
        <v>17058</v>
      </c>
      <c r="DI54" s="159">
        <v>14914</v>
      </c>
      <c r="DJ54" s="159">
        <v>18459</v>
      </c>
      <c r="DK54" s="159">
        <v>18955</v>
      </c>
      <c r="DL54" s="159">
        <v>17518</v>
      </c>
      <c r="DM54" s="159">
        <v>19879</v>
      </c>
      <c r="DN54" s="162">
        <f t="shared" si="1"/>
        <v>18058</v>
      </c>
      <c r="DO54" s="162">
        <f t="shared" si="2"/>
        <v>12685</v>
      </c>
      <c r="DP54" s="162">
        <f t="shared" si="18"/>
        <v>18049</v>
      </c>
      <c r="DQ54" s="162">
        <f t="shared" si="3"/>
        <v>19215</v>
      </c>
      <c r="DR54" s="162">
        <f t="shared" si="4"/>
        <v>17762</v>
      </c>
      <c r="DS54" s="162">
        <f t="shared" si="5"/>
        <v>19908</v>
      </c>
      <c r="DT54" s="162">
        <f t="shared" si="6"/>
        <v>17145</v>
      </c>
      <c r="DU54" s="162">
        <f t="shared" si="10"/>
        <v>17373</v>
      </c>
      <c r="DV54" s="162">
        <f t="shared" si="11"/>
        <v>17764</v>
      </c>
      <c r="DW54" s="162">
        <f t="shared" si="12"/>
        <v>18624</v>
      </c>
      <c r="DX54" s="162">
        <f t="shared" si="13"/>
        <v>19842</v>
      </c>
      <c r="DY54" s="150">
        <f t="shared" si="7"/>
        <v>20600</v>
      </c>
      <c r="DZ54" s="150">
        <f t="shared" si="14"/>
        <v>17472</v>
      </c>
      <c r="EA54" s="150">
        <f t="shared" si="8"/>
        <v>17417</v>
      </c>
      <c r="EB54" s="150">
        <f t="shared" si="17"/>
        <v>16271</v>
      </c>
      <c r="EC54" s="150">
        <v>17534</v>
      </c>
      <c r="ED54" s="150">
        <v>21170</v>
      </c>
      <c r="EE54" s="150">
        <v>19761</v>
      </c>
      <c r="EF54" s="150">
        <v>16655</v>
      </c>
      <c r="EG54" s="150">
        <v>19159</v>
      </c>
      <c r="EH54" s="204">
        <v>20310</v>
      </c>
      <c r="EI54" s="204">
        <v>20064</v>
      </c>
      <c r="EJ54" s="204">
        <v>19928</v>
      </c>
      <c r="EK54" s="204">
        <v>20463</v>
      </c>
      <c r="EL54" s="204">
        <v>19199</v>
      </c>
      <c r="EM54" s="204">
        <v>16367</v>
      </c>
      <c r="EN54" s="204">
        <v>18225</v>
      </c>
      <c r="EO54" s="204">
        <v>18375</v>
      </c>
      <c r="EP54" s="204">
        <v>21104</v>
      </c>
      <c r="EQ54" s="204">
        <v>19931</v>
      </c>
      <c r="ER54" s="204">
        <v>17948</v>
      </c>
      <c r="ES54" s="204">
        <v>18038</v>
      </c>
      <c r="ET54" s="204">
        <v>18834</v>
      </c>
      <c r="EU54" s="204">
        <v>22120</v>
      </c>
      <c r="EV54" s="204">
        <v>20842</v>
      </c>
      <c r="EW54" s="204">
        <v>20333</v>
      </c>
      <c r="EX54" s="204">
        <v>18603</v>
      </c>
      <c r="EY54" s="204">
        <v>16548</v>
      </c>
      <c r="EZ54" s="204">
        <v>15852</v>
      </c>
      <c r="FA54" s="204">
        <v>20352</v>
      </c>
      <c r="FB54" s="204">
        <v>20844</v>
      </c>
      <c r="FC54" s="72" t="s">
        <v>241</v>
      </c>
      <c r="FE54" s="178"/>
      <c r="FF54" s="178" t="s">
        <v>229</v>
      </c>
      <c r="FG54" s="66">
        <v>954591</v>
      </c>
      <c r="FH54" s="66">
        <v>938320</v>
      </c>
      <c r="FI54" s="66">
        <v>920903</v>
      </c>
      <c r="FJ54" s="66">
        <v>903431</v>
      </c>
      <c r="FK54" s="66">
        <v>882831</v>
      </c>
      <c r="FL54" s="66">
        <v>862989</v>
      </c>
      <c r="FM54" s="66">
        <v>844365</v>
      </c>
      <c r="FN54" s="66">
        <v>826601</v>
      </c>
      <c r="FO54" s="66">
        <v>809228</v>
      </c>
      <c r="FP54" s="66">
        <v>792083</v>
      </c>
      <c r="FQ54" s="66">
        <v>772175</v>
      </c>
      <c r="FR54" s="159">
        <v>754413</v>
      </c>
      <c r="FS54" s="159">
        <v>735198</v>
      </c>
      <c r="FT54" s="159">
        <v>717149</v>
      </c>
      <c r="FU54" s="159">
        <v>704464</v>
      </c>
      <c r="FV54" s="159">
        <v>686406</v>
      </c>
    </row>
    <row r="55" spans="1:178">
      <c r="B55" s="266">
        <v>7051047</v>
      </c>
      <c r="C55" s="184"/>
      <c r="D55" s="72" t="s">
        <v>242</v>
      </c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S55" s="89"/>
      <c r="AW55" s="89"/>
      <c r="AX55" s="89"/>
      <c r="AY55" s="89"/>
      <c r="AZ55" s="89"/>
      <c r="BA55" s="90"/>
      <c r="BB55" s="90"/>
      <c r="BC55" s="90"/>
      <c r="BD55" s="90"/>
      <c r="BE55" s="90"/>
      <c r="BF55" s="90"/>
      <c r="BG55" s="77"/>
      <c r="BH55" s="77"/>
      <c r="BI55" s="77"/>
      <c r="BJ55" s="77"/>
      <c r="BK55" s="77"/>
      <c r="BL55" s="77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7"/>
      <c r="BZ55" s="77"/>
      <c r="CA55" s="77">
        <v>270</v>
      </c>
      <c r="CB55" s="77">
        <v>4689</v>
      </c>
      <c r="CC55" s="77">
        <v>4747</v>
      </c>
      <c r="CD55" s="77">
        <v>4730</v>
      </c>
      <c r="CE55" s="77">
        <v>4248</v>
      </c>
      <c r="CF55" s="77">
        <v>1915</v>
      </c>
      <c r="CG55" s="77">
        <v>2836</v>
      </c>
      <c r="CH55" s="77">
        <v>827</v>
      </c>
      <c r="CI55" s="77">
        <v>701</v>
      </c>
      <c r="CJ55" s="77">
        <v>709</v>
      </c>
      <c r="CK55" s="79">
        <v>706</v>
      </c>
      <c r="CL55" s="79">
        <v>697</v>
      </c>
      <c r="CM55" s="79">
        <v>2197</v>
      </c>
      <c r="CN55" s="79">
        <v>4224</v>
      </c>
      <c r="CO55" s="134">
        <v>5288</v>
      </c>
      <c r="CP55" s="134">
        <v>4803</v>
      </c>
      <c r="CQ55" s="134">
        <v>5147</v>
      </c>
      <c r="CR55" s="134">
        <v>4545</v>
      </c>
      <c r="CS55" s="134">
        <v>5898</v>
      </c>
      <c r="CT55" s="134">
        <v>5125</v>
      </c>
      <c r="CU55" s="134">
        <v>5758</v>
      </c>
      <c r="CV55" s="134">
        <v>5157</v>
      </c>
      <c r="CW55" s="117">
        <v>5336</v>
      </c>
      <c r="CX55" s="117">
        <v>5304</v>
      </c>
      <c r="CY55" s="117">
        <v>6206</v>
      </c>
      <c r="CZ55" s="117">
        <v>5178</v>
      </c>
      <c r="DA55" s="117">
        <v>4745</v>
      </c>
      <c r="DB55" s="117">
        <v>3689</v>
      </c>
      <c r="DC55" s="117">
        <v>3630</v>
      </c>
      <c r="DD55" s="117">
        <v>946</v>
      </c>
      <c r="DE55" s="117">
        <v>631</v>
      </c>
      <c r="DF55" s="151">
        <v>519</v>
      </c>
      <c r="DG55" s="151">
        <v>476</v>
      </c>
      <c r="DH55" s="159">
        <v>501</v>
      </c>
      <c r="DI55" s="159">
        <v>487</v>
      </c>
      <c r="DJ55" s="159">
        <v>993</v>
      </c>
      <c r="DK55" s="159">
        <v>5130</v>
      </c>
      <c r="DL55" s="159">
        <v>4498</v>
      </c>
      <c r="DM55" s="159">
        <v>1564</v>
      </c>
      <c r="DN55" s="162">
        <f t="shared" si="1"/>
        <v>5059</v>
      </c>
      <c r="DO55" s="162">
        <f t="shared" si="2"/>
        <v>4658</v>
      </c>
      <c r="DP55" s="162">
        <f t="shared" si="18"/>
        <v>5487</v>
      </c>
      <c r="DQ55" s="162">
        <f t="shared" si="3"/>
        <v>5820</v>
      </c>
      <c r="DR55" s="162">
        <f t="shared" si="4"/>
        <v>5499</v>
      </c>
      <c r="DS55" s="162">
        <f t="shared" si="5"/>
        <v>6190</v>
      </c>
      <c r="DT55" s="162">
        <f t="shared" si="6"/>
        <v>5574</v>
      </c>
      <c r="DU55" s="162">
        <f t="shared" si="10"/>
        <v>5313</v>
      </c>
      <c r="DV55" s="162">
        <f t="shared" si="11"/>
        <v>6792</v>
      </c>
      <c r="DW55" s="162">
        <f t="shared" si="12"/>
        <v>5746</v>
      </c>
      <c r="DX55" s="162">
        <f t="shared" si="13"/>
        <v>5464</v>
      </c>
      <c r="DY55" s="150">
        <f t="shared" si="7"/>
        <v>5941</v>
      </c>
      <c r="DZ55" s="150">
        <f t="shared" si="14"/>
        <v>4960</v>
      </c>
      <c r="EA55" s="150">
        <f t="shared" si="8"/>
        <v>5437</v>
      </c>
      <c r="EB55" s="150">
        <f t="shared" si="17"/>
        <v>5514</v>
      </c>
      <c r="EC55" s="150">
        <f t="shared" si="15"/>
        <v>5357</v>
      </c>
      <c r="ED55" s="150">
        <f t="shared" si="16"/>
        <v>5403</v>
      </c>
      <c r="EE55" s="150">
        <v>5204</v>
      </c>
      <c r="EF55" s="150">
        <v>160</v>
      </c>
      <c r="EG55" s="150">
        <v>167</v>
      </c>
      <c r="EH55" s="150">
        <v>3958</v>
      </c>
      <c r="EI55" s="150">
        <v>19874</v>
      </c>
      <c r="EJ55" s="150">
        <v>19063</v>
      </c>
      <c r="EK55" s="150">
        <v>17881</v>
      </c>
      <c r="EL55" s="150">
        <v>16124</v>
      </c>
      <c r="EM55" s="150">
        <v>12759</v>
      </c>
      <c r="EN55" s="150">
        <v>16267</v>
      </c>
      <c r="EO55" s="150">
        <v>15761</v>
      </c>
      <c r="EP55" s="150">
        <v>16379</v>
      </c>
      <c r="EQ55" s="150">
        <v>14500</v>
      </c>
      <c r="ER55" s="150">
        <v>11908</v>
      </c>
      <c r="ES55" s="150">
        <v>11622</v>
      </c>
      <c r="ET55" s="150">
        <v>12316</v>
      </c>
      <c r="EU55" s="150">
        <v>16937</v>
      </c>
      <c r="EV55" s="150">
        <v>16611</v>
      </c>
      <c r="EW55" s="150">
        <v>16889</v>
      </c>
      <c r="EX55" s="204">
        <v>15557</v>
      </c>
      <c r="EY55" s="204">
        <v>12960</v>
      </c>
      <c r="EZ55" s="204">
        <v>12586</v>
      </c>
      <c r="FA55" s="204">
        <v>16327</v>
      </c>
      <c r="FB55" s="204">
        <v>28799</v>
      </c>
      <c r="FC55" s="72" t="s">
        <v>243</v>
      </c>
      <c r="FE55" s="66">
        <v>223693</v>
      </c>
      <c r="FF55" s="66">
        <v>218290</v>
      </c>
      <c r="FG55" s="66">
        <v>212933</v>
      </c>
      <c r="FH55" s="66">
        <v>207419</v>
      </c>
      <c r="FI55" s="66">
        <v>201982</v>
      </c>
      <c r="FJ55" s="66">
        <v>197022</v>
      </c>
      <c r="FK55" s="66">
        <v>191081</v>
      </c>
      <c r="FL55" s="66">
        <v>185617</v>
      </c>
      <c r="FM55" s="66">
        <v>179871</v>
      </c>
      <c r="FN55" s="66">
        <v>173079</v>
      </c>
      <c r="FO55" s="66">
        <v>167766</v>
      </c>
      <c r="FP55" s="66">
        <v>162192</v>
      </c>
      <c r="FQ55" s="66">
        <v>156002</v>
      </c>
      <c r="FR55" s="159">
        <v>150503</v>
      </c>
      <c r="FS55" s="159">
        <v>144683</v>
      </c>
      <c r="FT55" s="159">
        <v>139196</v>
      </c>
      <c r="FU55" s="159">
        <v>134538</v>
      </c>
      <c r="FV55" s="159">
        <v>129479</v>
      </c>
    </row>
    <row r="56" spans="1:178">
      <c r="B56" s="266">
        <v>10332983</v>
      </c>
      <c r="C56" s="184"/>
      <c r="D56" s="72" t="s">
        <v>244</v>
      </c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S56" s="89"/>
      <c r="AW56" s="89"/>
      <c r="AX56" s="89"/>
      <c r="AY56" s="89"/>
      <c r="AZ56" s="89"/>
      <c r="BA56" s="90"/>
      <c r="BB56" s="90"/>
      <c r="BC56" s="90"/>
      <c r="BD56" s="90"/>
      <c r="BE56" s="90"/>
      <c r="BF56" s="90"/>
      <c r="BG56" s="77"/>
      <c r="BH56" s="77"/>
      <c r="BI56" s="77"/>
      <c r="BJ56" s="77"/>
      <c r="BK56" s="77"/>
      <c r="BL56" s="77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7"/>
      <c r="BZ56" s="77"/>
      <c r="CA56" s="77"/>
      <c r="CB56" s="77"/>
      <c r="CC56" s="77"/>
      <c r="CD56" s="77"/>
      <c r="CE56" s="77"/>
      <c r="CF56" s="77"/>
      <c r="CG56" s="77"/>
      <c r="CH56" s="77"/>
      <c r="CI56" s="77"/>
      <c r="CJ56" s="77"/>
      <c r="CK56" s="79"/>
      <c r="CL56" s="79"/>
      <c r="CM56" s="79"/>
      <c r="CN56" s="79"/>
      <c r="CO56" s="134"/>
      <c r="CP56" s="134"/>
      <c r="CQ56" s="134"/>
      <c r="CR56" s="134"/>
      <c r="CS56" s="134"/>
      <c r="CT56" s="134"/>
      <c r="CU56" s="134"/>
      <c r="CV56" s="134"/>
      <c r="CW56" s="117"/>
      <c r="CX56" s="117"/>
      <c r="CY56" s="117"/>
      <c r="CZ56" s="117"/>
      <c r="DA56" s="117"/>
      <c r="DB56" s="117"/>
      <c r="DC56" s="117"/>
      <c r="DD56" s="117"/>
      <c r="DE56" s="117"/>
      <c r="DF56" s="151"/>
      <c r="DG56" s="151"/>
      <c r="DH56" s="159"/>
      <c r="DI56" s="159"/>
      <c r="DJ56" s="159">
        <v>206</v>
      </c>
      <c r="DK56" s="159">
        <v>4340</v>
      </c>
      <c r="DL56" s="159">
        <v>4423</v>
      </c>
      <c r="DM56" s="159">
        <v>5888</v>
      </c>
      <c r="DN56" s="162">
        <f t="shared" si="1"/>
        <v>5018</v>
      </c>
      <c r="DO56" s="162">
        <f t="shared" si="2"/>
        <v>4283</v>
      </c>
      <c r="DP56" s="162">
        <f t="shared" si="18"/>
        <v>4671</v>
      </c>
      <c r="DQ56" s="162">
        <f t="shared" si="3"/>
        <v>4979</v>
      </c>
      <c r="DR56" s="162">
        <f t="shared" si="4"/>
        <v>4453</v>
      </c>
      <c r="DS56" s="162">
        <f t="shared" si="5"/>
        <v>4995</v>
      </c>
      <c r="DT56" s="162">
        <f t="shared" si="6"/>
        <v>4515</v>
      </c>
      <c r="DU56" s="162">
        <f t="shared" si="10"/>
        <v>4691</v>
      </c>
      <c r="DV56" s="162">
        <f t="shared" si="11"/>
        <v>4556</v>
      </c>
      <c r="DW56" s="162">
        <f t="shared" si="12"/>
        <v>4571</v>
      </c>
      <c r="DX56" s="162">
        <f t="shared" si="13"/>
        <v>5070</v>
      </c>
      <c r="DY56" s="150">
        <f t="shared" si="7"/>
        <v>5138</v>
      </c>
      <c r="DZ56" s="150">
        <f t="shared" si="14"/>
        <v>4285</v>
      </c>
      <c r="EA56" s="150">
        <f>FH56-FI56</f>
        <v>4631</v>
      </c>
      <c r="EB56" s="150">
        <f t="shared" si="17"/>
        <v>4547</v>
      </c>
      <c r="EC56" s="150">
        <f t="shared" si="15"/>
        <v>4344</v>
      </c>
      <c r="ED56" s="150">
        <f t="shared" si="16"/>
        <v>4989</v>
      </c>
      <c r="EE56" s="150">
        <v>4494</v>
      </c>
      <c r="EF56" s="150">
        <v>4176</v>
      </c>
      <c r="EG56" s="150">
        <v>4405</v>
      </c>
      <c r="EH56" s="150">
        <v>4322</v>
      </c>
      <c r="EI56" s="150">
        <v>4478</v>
      </c>
      <c r="EJ56" s="150">
        <v>4422</v>
      </c>
      <c r="EK56" s="150">
        <v>4562</v>
      </c>
      <c r="EL56" s="150">
        <v>4335</v>
      </c>
      <c r="EM56" s="150">
        <v>3848</v>
      </c>
      <c r="EN56" s="150">
        <v>4607</v>
      </c>
      <c r="EO56" s="150">
        <v>4351</v>
      </c>
      <c r="EP56" s="150">
        <v>4866</v>
      </c>
      <c r="EQ56" s="150">
        <v>4155</v>
      </c>
      <c r="ER56" s="150">
        <v>4383</v>
      </c>
      <c r="ES56" s="150">
        <v>4080</v>
      </c>
      <c r="ET56" s="150">
        <v>4139</v>
      </c>
      <c r="EU56" s="150">
        <v>4644</v>
      </c>
      <c r="EV56" s="150">
        <v>4475</v>
      </c>
      <c r="EW56" s="150">
        <v>4531</v>
      </c>
      <c r="EX56" s="204">
        <v>4524</v>
      </c>
      <c r="EY56" s="204">
        <v>4333</v>
      </c>
      <c r="EZ56" s="204">
        <v>3764</v>
      </c>
      <c r="FA56" s="204">
        <v>4815</v>
      </c>
      <c r="FB56" s="204">
        <v>14998</v>
      </c>
      <c r="FC56" s="72" t="s">
        <v>244</v>
      </c>
      <c r="FE56" s="66">
        <v>93766</v>
      </c>
      <c r="FF56" s="66">
        <v>88777</v>
      </c>
      <c r="FG56" s="66">
        <v>84433</v>
      </c>
      <c r="FH56" s="66">
        <v>79886</v>
      </c>
      <c r="FI56" s="66">
        <v>75255</v>
      </c>
      <c r="FJ56" s="66">
        <v>70970</v>
      </c>
      <c r="FK56" s="66">
        <v>65832</v>
      </c>
      <c r="FL56" s="66">
        <v>60762</v>
      </c>
      <c r="FM56" s="66">
        <v>56191</v>
      </c>
      <c r="FN56" s="66">
        <v>51635</v>
      </c>
      <c r="FO56" s="66">
        <v>46944</v>
      </c>
      <c r="FP56" s="66">
        <v>42429</v>
      </c>
      <c r="FQ56" s="66">
        <v>37434</v>
      </c>
      <c r="FR56" s="159">
        <v>32981</v>
      </c>
      <c r="FS56" s="159">
        <v>28002</v>
      </c>
      <c r="FT56" s="159">
        <v>23331</v>
      </c>
      <c r="FU56" s="159">
        <v>19048</v>
      </c>
      <c r="FV56" s="159">
        <v>14030</v>
      </c>
    </row>
    <row r="57" spans="1:178">
      <c r="B57" s="266">
        <v>15016415</v>
      </c>
      <c r="C57" s="184"/>
      <c r="D57" s="72" t="s">
        <v>245</v>
      </c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S57" s="89"/>
      <c r="AW57" s="89"/>
      <c r="AX57" s="89"/>
      <c r="AY57" s="89"/>
      <c r="AZ57" s="89"/>
      <c r="BA57" s="90"/>
      <c r="BB57" s="90"/>
      <c r="BC57" s="90"/>
      <c r="BD57" s="90"/>
      <c r="BE57" s="90"/>
      <c r="BF57" s="90"/>
      <c r="BG57" s="77"/>
      <c r="BH57" s="77"/>
      <c r="BI57" s="77"/>
      <c r="BJ57" s="77"/>
      <c r="BK57" s="77"/>
      <c r="BL57" s="77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  <c r="CK57" s="79"/>
      <c r="CL57" s="79"/>
      <c r="CM57" s="79"/>
      <c r="CN57" s="79"/>
      <c r="CO57" s="134"/>
      <c r="CP57" s="134"/>
      <c r="CQ57" s="134"/>
      <c r="CR57" s="134"/>
      <c r="CS57" s="134"/>
      <c r="CT57" s="134"/>
      <c r="CU57" s="134"/>
      <c r="CV57" s="134"/>
      <c r="CW57" s="117"/>
      <c r="CX57" s="117"/>
      <c r="CY57" s="117"/>
      <c r="CZ57" s="117"/>
      <c r="DA57" s="117"/>
      <c r="DB57" s="117"/>
      <c r="DC57" s="117"/>
      <c r="DD57" s="117"/>
      <c r="DE57" s="117"/>
      <c r="DF57" s="151"/>
      <c r="DG57" s="151"/>
      <c r="DH57" s="159"/>
      <c r="DI57" s="159"/>
      <c r="DJ57" s="159"/>
      <c r="DK57" s="159"/>
      <c r="DL57" s="159"/>
      <c r="DM57" s="159"/>
      <c r="DN57" s="162"/>
      <c r="DO57" s="162"/>
      <c r="DP57" s="162"/>
      <c r="DQ57" s="162"/>
      <c r="DR57" s="162"/>
      <c r="DS57" s="162"/>
      <c r="DT57" s="162"/>
      <c r="DU57" s="162"/>
      <c r="DV57" s="162"/>
      <c r="DW57" s="162"/>
      <c r="DX57" s="162"/>
      <c r="DY57" s="150"/>
      <c r="DZ57" s="150"/>
      <c r="EA57" s="150"/>
      <c r="EB57" s="150"/>
      <c r="EC57" s="150"/>
      <c r="ED57" s="150"/>
      <c r="EE57" s="150"/>
      <c r="EF57" s="150"/>
      <c r="EG57" s="150"/>
      <c r="EH57" s="150"/>
      <c r="EI57" s="150"/>
      <c r="EJ57" s="150"/>
      <c r="EK57" s="150"/>
      <c r="EL57" s="150"/>
      <c r="EM57" s="150"/>
      <c r="EN57" s="150"/>
      <c r="EO57" s="150"/>
      <c r="EP57" s="150"/>
      <c r="EQ57" s="150"/>
      <c r="ER57" s="150"/>
      <c r="ES57" s="150"/>
      <c r="ET57" s="150"/>
      <c r="EU57" s="150"/>
      <c r="EV57" s="150"/>
      <c r="EW57" s="150"/>
      <c r="EX57" s="270"/>
      <c r="EY57" s="270"/>
      <c r="EZ57" s="270"/>
      <c r="FA57" s="271">
        <v>2627</v>
      </c>
      <c r="FB57" s="271">
        <v>2353</v>
      </c>
      <c r="FC57" s="72" t="s">
        <v>245</v>
      </c>
      <c r="FR57" s="159"/>
      <c r="FS57" s="159"/>
      <c r="FT57" s="159"/>
      <c r="FU57" s="159"/>
      <c r="FV57" s="159"/>
    </row>
    <row r="58" spans="1:178">
      <c r="B58" s="266">
        <v>10256324</v>
      </c>
      <c r="C58" s="184"/>
      <c r="D58" s="72" t="s">
        <v>246</v>
      </c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S58" s="89"/>
      <c r="AW58" s="89"/>
      <c r="AX58" s="89"/>
      <c r="AY58" s="89"/>
      <c r="AZ58" s="89"/>
      <c r="BA58" s="90"/>
      <c r="BB58" s="90"/>
      <c r="BC58" s="90"/>
      <c r="BD58" s="90"/>
      <c r="BE58" s="90"/>
      <c r="BF58" s="90"/>
      <c r="BG58" s="77"/>
      <c r="BH58" s="77"/>
      <c r="BI58" s="77"/>
      <c r="BJ58" s="77"/>
      <c r="BK58" s="77"/>
      <c r="BL58" s="77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7"/>
      <c r="BZ58" s="77"/>
      <c r="CA58" s="77"/>
      <c r="CB58" s="77"/>
      <c r="CC58" s="77"/>
      <c r="CD58" s="77"/>
      <c r="CE58" s="77"/>
      <c r="CF58" s="77"/>
      <c r="CG58" s="77"/>
      <c r="CH58" s="77"/>
      <c r="CI58" s="77"/>
      <c r="CJ58" s="77"/>
      <c r="CK58" s="79"/>
      <c r="CL58" s="79"/>
      <c r="CM58" s="79"/>
      <c r="CN58" s="79"/>
      <c r="CO58" s="134"/>
      <c r="CP58" s="134"/>
      <c r="CQ58" s="134"/>
      <c r="CR58" s="134"/>
      <c r="CS58" s="134"/>
      <c r="CT58" s="134"/>
      <c r="CU58" s="134"/>
      <c r="CV58" s="134"/>
      <c r="CW58" s="117"/>
      <c r="CX58" s="117"/>
      <c r="CY58" s="117"/>
      <c r="CZ58" s="117"/>
      <c r="DA58" s="117"/>
      <c r="DB58" s="117"/>
      <c r="DC58" s="117"/>
      <c r="DD58" s="117"/>
      <c r="DE58" s="117"/>
      <c r="DF58" s="151"/>
      <c r="DG58" s="151"/>
      <c r="DH58" s="159"/>
      <c r="DI58" s="159"/>
      <c r="DJ58" s="159"/>
      <c r="DK58" s="159"/>
      <c r="DL58" s="159"/>
      <c r="DM58" s="159"/>
      <c r="DN58" s="162"/>
      <c r="DO58" s="162"/>
      <c r="DP58" s="162"/>
      <c r="DQ58" s="162"/>
      <c r="DR58" s="162"/>
      <c r="DS58" s="162"/>
      <c r="DT58" s="162"/>
      <c r="DU58" s="162"/>
      <c r="DV58" s="162"/>
      <c r="DW58" s="162"/>
      <c r="DX58" s="162"/>
      <c r="DY58" s="150"/>
      <c r="DZ58" s="150"/>
      <c r="EA58" s="150"/>
      <c r="EB58" s="150"/>
      <c r="EC58" s="150"/>
      <c r="ED58" s="150"/>
      <c r="EE58" s="150"/>
      <c r="EF58" s="150"/>
      <c r="EG58" s="150"/>
      <c r="EH58" s="150"/>
      <c r="EI58" s="150"/>
      <c r="EJ58" s="150"/>
      <c r="EK58" s="150"/>
      <c r="EL58" s="150"/>
      <c r="EM58" s="150"/>
      <c r="EN58" s="150"/>
      <c r="EO58" s="150"/>
      <c r="EP58" s="150"/>
      <c r="EQ58" s="150"/>
      <c r="ER58" s="150"/>
      <c r="ES58" s="150"/>
      <c r="ET58" s="150"/>
      <c r="EU58" s="150"/>
      <c r="EV58" s="150"/>
      <c r="EW58" s="150"/>
      <c r="EX58" s="204"/>
      <c r="EY58" s="204"/>
      <c r="EZ58" s="204"/>
      <c r="FA58" s="204">
        <v>12196</v>
      </c>
      <c r="FB58" s="204">
        <v>12692</v>
      </c>
      <c r="FC58" s="72" t="s">
        <v>246</v>
      </c>
      <c r="FR58" s="159"/>
      <c r="FS58" s="159"/>
      <c r="FT58" s="159"/>
      <c r="FU58" s="159"/>
      <c r="FV58" s="159"/>
    </row>
    <row r="59" spans="1:178">
      <c r="B59" s="266">
        <v>7676560</v>
      </c>
      <c r="C59" s="184"/>
      <c r="D59" s="72" t="s">
        <v>247</v>
      </c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S59" s="89"/>
      <c r="AW59" s="89"/>
      <c r="AX59" s="89"/>
      <c r="AY59" s="89"/>
      <c r="AZ59" s="89"/>
      <c r="BA59" s="90"/>
      <c r="BB59" s="90"/>
      <c r="BC59" s="90"/>
      <c r="BD59" s="90"/>
      <c r="BE59" s="90"/>
      <c r="BF59" s="90"/>
      <c r="BG59" s="77"/>
      <c r="BH59" s="77"/>
      <c r="BI59" s="77"/>
      <c r="BJ59" s="77"/>
      <c r="BK59" s="77"/>
      <c r="BL59" s="77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  <c r="CK59" s="79"/>
      <c r="CL59" s="79"/>
      <c r="CM59" s="79"/>
      <c r="CN59" s="79"/>
      <c r="CO59" s="134"/>
      <c r="CP59" s="134"/>
      <c r="CQ59" s="134"/>
      <c r="CR59" s="134"/>
      <c r="CS59" s="134"/>
      <c r="CT59" s="134"/>
      <c r="CU59" s="134"/>
      <c r="CV59" s="134"/>
      <c r="CW59" s="117"/>
      <c r="CX59" s="117"/>
      <c r="CY59" s="117"/>
      <c r="CZ59" s="117"/>
      <c r="DA59" s="117"/>
      <c r="DB59" s="117"/>
      <c r="DC59" s="117"/>
      <c r="DD59" s="117"/>
      <c r="DE59" s="117"/>
      <c r="DF59" s="151"/>
      <c r="DG59" s="151"/>
      <c r="DH59" s="159"/>
      <c r="DI59" s="159"/>
      <c r="DJ59" s="159"/>
      <c r="DK59" s="159"/>
      <c r="DL59" s="159"/>
      <c r="DM59" s="159"/>
      <c r="DN59" s="162"/>
      <c r="DO59" s="162"/>
      <c r="DP59" s="162"/>
      <c r="DQ59" s="162"/>
      <c r="DR59" s="162"/>
      <c r="DS59" s="162"/>
      <c r="DT59" s="162"/>
      <c r="DU59" s="162"/>
      <c r="DV59" s="162"/>
      <c r="DW59" s="162"/>
      <c r="DX59" s="162"/>
      <c r="DY59" s="150"/>
      <c r="DZ59" s="150"/>
      <c r="EA59" s="150"/>
      <c r="EB59" s="150"/>
      <c r="EC59" s="150"/>
      <c r="ED59" s="150"/>
      <c r="EE59" s="150"/>
      <c r="EF59" s="150"/>
      <c r="EG59" s="150"/>
      <c r="EH59" s="150"/>
      <c r="EI59" s="150"/>
      <c r="EJ59" s="150"/>
      <c r="EK59" s="150"/>
      <c r="EL59" s="150"/>
      <c r="EM59" s="150"/>
      <c r="EN59" s="150"/>
      <c r="EO59" s="150"/>
      <c r="EP59" s="150"/>
      <c r="EQ59" s="150"/>
      <c r="ER59" s="150"/>
      <c r="ES59" s="150"/>
      <c r="ET59" s="150"/>
      <c r="EU59" s="150"/>
      <c r="EV59" s="150"/>
      <c r="EW59" s="150"/>
      <c r="EX59" s="204"/>
      <c r="EY59" s="204"/>
      <c r="EZ59" s="204"/>
      <c r="FA59" s="204">
        <v>7995</v>
      </c>
      <c r="FB59" s="204">
        <v>2813</v>
      </c>
      <c r="FC59" s="72" t="s">
        <v>247</v>
      </c>
      <c r="FR59" s="159"/>
      <c r="FS59" s="159"/>
      <c r="FT59" s="159"/>
      <c r="FU59" s="159"/>
      <c r="FV59" s="159"/>
    </row>
    <row r="60" spans="1:178">
      <c r="B60" s="267">
        <v>10209372</v>
      </c>
      <c r="C60" s="184"/>
      <c r="D60" s="72" t="s">
        <v>248</v>
      </c>
      <c r="Q60" s="79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Z60" s="89"/>
      <c r="BA60" s="90"/>
      <c r="BB60" s="90"/>
      <c r="BC60" s="90"/>
      <c r="BD60" s="90"/>
      <c r="BE60" s="90"/>
      <c r="BF60" s="90"/>
      <c r="BG60" s="77"/>
      <c r="BH60" s="77"/>
      <c r="BI60" s="77"/>
      <c r="BJ60" s="77"/>
      <c r="BK60" s="77"/>
      <c r="BL60" s="77"/>
      <c r="BM60" s="75"/>
      <c r="BN60" s="75"/>
      <c r="BO60" s="75"/>
      <c r="BP60" s="75"/>
      <c r="BQ60" s="75"/>
      <c r="BR60" s="75"/>
      <c r="BS60" s="75"/>
      <c r="BT60" s="75"/>
      <c r="BU60" s="91"/>
      <c r="BV60" s="91"/>
      <c r="BW60" s="91"/>
      <c r="BX60" s="91"/>
      <c r="BY60" s="92"/>
      <c r="BZ60" s="92"/>
      <c r="CA60" s="92">
        <v>1834</v>
      </c>
      <c r="CB60" s="92">
        <v>2205</v>
      </c>
      <c r="CC60" s="92">
        <v>2228</v>
      </c>
      <c r="CD60" s="92">
        <v>2260</v>
      </c>
      <c r="CE60" s="92">
        <v>2262</v>
      </c>
      <c r="CF60" s="92">
        <v>2056</v>
      </c>
      <c r="CG60" s="92">
        <v>2352</v>
      </c>
      <c r="CH60" s="92">
        <v>2144</v>
      </c>
      <c r="CI60" s="92">
        <v>2160</v>
      </c>
      <c r="CJ60" s="92">
        <v>2287</v>
      </c>
      <c r="CK60" s="132">
        <v>2244</v>
      </c>
      <c r="CL60" s="132">
        <v>2257</v>
      </c>
      <c r="CM60" s="132">
        <v>2548</v>
      </c>
      <c r="CN60" s="132">
        <v>2215</v>
      </c>
      <c r="CO60" s="135">
        <v>2313</v>
      </c>
      <c r="CP60" s="135">
        <v>2180</v>
      </c>
      <c r="CQ60" s="135">
        <v>2190</v>
      </c>
      <c r="CR60" s="135">
        <v>2069</v>
      </c>
      <c r="CS60" s="135">
        <v>2371</v>
      </c>
      <c r="CT60" s="135">
        <v>2218</v>
      </c>
      <c r="CU60" s="135">
        <v>2378</v>
      </c>
      <c r="CV60" s="135">
        <v>2146</v>
      </c>
      <c r="CW60" s="118">
        <v>2319</v>
      </c>
      <c r="CX60" s="118">
        <v>2246</v>
      </c>
      <c r="CY60" s="118">
        <v>2290</v>
      </c>
      <c r="CZ60" s="118">
        <v>2184</v>
      </c>
      <c r="DA60" s="118">
        <v>2281</v>
      </c>
      <c r="DB60" s="118">
        <v>2112</v>
      </c>
      <c r="DC60" s="118">
        <v>2039</v>
      </c>
      <c r="DD60" s="118">
        <v>2169</v>
      </c>
      <c r="DE60" s="118">
        <v>2112</v>
      </c>
      <c r="DF60" s="154">
        <v>2117</v>
      </c>
      <c r="DG60" s="154">
        <v>2190</v>
      </c>
      <c r="DH60" s="161">
        <v>2196</v>
      </c>
      <c r="DI60" s="161">
        <v>1983</v>
      </c>
      <c r="DJ60" s="161">
        <v>2364</v>
      </c>
      <c r="DK60" s="161">
        <v>1890</v>
      </c>
      <c r="DL60" s="161">
        <v>1791</v>
      </c>
      <c r="DM60" s="161">
        <v>2254</v>
      </c>
      <c r="DN60" s="162">
        <f t="shared" si="1"/>
        <v>3061</v>
      </c>
      <c r="DO60" s="162">
        <f t="shared" si="2"/>
        <v>2149</v>
      </c>
      <c r="DP60" s="162">
        <f t="shared" si="18"/>
        <v>2036</v>
      </c>
      <c r="DQ60" s="162">
        <f t="shared" si="3"/>
        <v>2103</v>
      </c>
      <c r="DR60" s="162">
        <f t="shared" si="4"/>
        <v>1998</v>
      </c>
      <c r="DS60" s="162">
        <f t="shared" si="5"/>
        <v>2230</v>
      </c>
      <c r="DT60" s="162">
        <f t="shared" si="6"/>
        <v>2114</v>
      </c>
      <c r="DU60" s="162">
        <f t="shared" si="10"/>
        <v>2030</v>
      </c>
      <c r="DV60" s="162">
        <f t="shared" si="11"/>
        <v>2618</v>
      </c>
      <c r="DW60" s="162">
        <f t="shared" si="12"/>
        <v>2846</v>
      </c>
      <c r="DX60" s="162">
        <f t="shared" si="13"/>
        <v>2880</v>
      </c>
      <c r="DY60" s="150">
        <f t="shared" si="7"/>
        <v>2893</v>
      </c>
      <c r="DZ60" s="150">
        <f t="shared" si="14"/>
        <v>2680</v>
      </c>
      <c r="EA60" s="150">
        <f>FH60-FI60</f>
        <v>2847</v>
      </c>
      <c r="EB60" s="150">
        <f t="shared" si="17"/>
        <v>2645</v>
      </c>
      <c r="EC60" s="150">
        <f t="shared" si="15"/>
        <v>2511</v>
      </c>
      <c r="ED60" s="150">
        <f t="shared" si="16"/>
        <v>2997</v>
      </c>
      <c r="EE60" s="150">
        <v>2710</v>
      </c>
      <c r="EF60" s="150">
        <v>2651</v>
      </c>
      <c r="EG60" s="150">
        <v>2853</v>
      </c>
      <c r="EH60" s="150">
        <v>2778</v>
      </c>
      <c r="EI60" s="150">
        <v>2796</v>
      </c>
      <c r="EJ60" s="150">
        <v>2644</v>
      </c>
      <c r="EK60" s="150">
        <v>2677</v>
      </c>
      <c r="EL60" s="150">
        <v>2709</v>
      </c>
      <c r="EM60" s="150">
        <v>37272</v>
      </c>
      <c r="EN60" s="150">
        <v>2787</v>
      </c>
      <c r="EO60" s="150">
        <v>2484</v>
      </c>
      <c r="EP60" s="150">
        <v>2949</v>
      </c>
      <c r="EQ60" s="150">
        <v>2713</v>
      </c>
      <c r="ER60" s="150">
        <v>2793</v>
      </c>
      <c r="ES60" s="150">
        <v>2733</v>
      </c>
      <c r="ET60" s="150">
        <v>2763</v>
      </c>
      <c r="EU60" s="150">
        <v>2938</v>
      </c>
      <c r="EV60" s="150">
        <v>2734</v>
      </c>
      <c r="EW60" s="150">
        <v>2605</v>
      </c>
      <c r="EX60" s="204">
        <v>2849</v>
      </c>
      <c r="EY60" s="204">
        <v>2789</v>
      </c>
      <c r="EZ60" s="204">
        <v>2423</v>
      </c>
      <c r="FA60" s="204">
        <v>2923</v>
      </c>
      <c r="FB60" s="204">
        <v>2813</v>
      </c>
      <c r="FC60" s="72" t="s">
        <v>248</v>
      </c>
      <c r="FE60" s="66">
        <v>127183</v>
      </c>
      <c r="FF60" s="66">
        <v>124186</v>
      </c>
      <c r="FG60" s="66">
        <v>121675</v>
      </c>
      <c r="FH60" s="66">
        <v>119030</v>
      </c>
      <c r="FI60" s="66">
        <v>116183</v>
      </c>
      <c r="FJ60" s="66">
        <v>113503</v>
      </c>
      <c r="FK60" s="66">
        <v>110610</v>
      </c>
      <c r="FL60" s="66">
        <v>107730</v>
      </c>
      <c r="FM60" s="66">
        <v>104884</v>
      </c>
      <c r="FN60" s="66">
        <v>102266</v>
      </c>
      <c r="FO60" s="66">
        <v>100236</v>
      </c>
      <c r="FP60" s="66">
        <v>98122</v>
      </c>
      <c r="FQ60" s="66">
        <v>95892</v>
      </c>
      <c r="FR60" s="161">
        <v>93894</v>
      </c>
      <c r="FS60" s="161">
        <v>91791</v>
      </c>
      <c r="FT60" s="161">
        <v>89755</v>
      </c>
      <c r="FU60" s="161">
        <v>87606</v>
      </c>
      <c r="FV60" s="161">
        <v>84545</v>
      </c>
    </row>
    <row r="61" spans="1:178">
      <c r="B61" s="268">
        <v>10279381</v>
      </c>
      <c r="C61" s="184"/>
      <c r="D61" s="72" t="s">
        <v>215</v>
      </c>
      <c r="CW61" s="77">
        <v>34</v>
      </c>
      <c r="CX61" s="77">
        <v>74</v>
      </c>
      <c r="CY61" s="77">
        <v>64</v>
      </c>
      <c r="CZ61" s="77">
        <v>387</v>
      </c>
      <c r="DA61" s="77">
        <v>217</v>
      </c>
      <c r="DB61" s="77">
        <v>1020</v>
      </c>
      <c r="DC61" s="77">
        <v>1257</v>
      </c>
      <c r="DD61" s="77">
        <v>2193</v>
      </c>
      <c r="DE61" s="77">
        <v>2245</v>
      </c>
      <c r="DF61" s="150">
        <v>2601</v>
      </c>
      <c r="DG61" s="150">
        <v>3250</v>
      </c>
      <c r="DH61" s="162">
        <v>3029</v>
      </c>
      <c r="DI61" s="162">
        <v>2829</v>
      </c>
      <c r="DJ61" s="162">
        <v>3376</v>
      </c>
      <c r="DK61" s="162">
        <v>3491</v>
      </c>
      <c r="DL61" s="162">
        <v>3334</v>
      </c>
      <c r="DM61" s="162">
        <v>3610</v>
      </c>
      <c r="DN61" s="162">
        <f t="shared" si="1"/>
        <v>3383</v>
      </c>
      <c r="DO61" s="162">
        <f t="shared" si="2"/>
        <v>3283</v>
      </c>
      <c r="DP61" s="162">
        <f t="shared" si="18"/>
        <v>3128</v>
      </c>
      <c r="DQ61" s="162">
        <f t="shared" si="3"/>
        <v>3268</v>
      </c>
      <c r="DR61" s="162">
        <f t="shared" si="4"/>
        <v>3124</v>
      </c>
      <c r="DS61" s="162">
        <f t="shared" si="5"/>
        <v>3441</v>
      </c>
      <c r="DT61" s="162">
        <f t="shared" si="6"/>
        <v>3189</v>
      </c>
      <c r="DU61" s="162">
        <f t="shared" si="10"/>
        <v>3090</v>
      </c>
      <c r="DV61" s="162">
        <f t="shared" si="11"/>
        <v>3545</v>
      </c>
      <c r="DW61" s="162">
        <f t="shared" si="12"/>
        <v>3284</v>
      </c>
      <c r="DX61" s="162">
        <f t="shared" si="13"/>
        <v>3439</v>
      </c>
      <c r="DY61" s="150">
        <f t="shared" si="7"/>
        <v>3724</v>
      </c>
      <c r="DZ61" s="150">
        <f t="shared" si="14"/>
        <v>3425</v>
      </c>
      <c r="EA61" s="150">
        <f t="shared" si="8"/>
        <v>3966</v>
      </c>
      <c r="EB61" s="150">
        <f t="shared" si="17"/>
        <v>3757</v>
      </c>
      <c r="EC61" s="150">
        <f t="shared" si="15"/>
        <v>3543</v>
      </c>
      <c r="ED61" s="150">
        <f t="shared" si="16"/>
        <v>3928</v>
      </c>
      <c r="EE61" s="150">
        <v>3577</v>
      </c>
      <c r="EF61" s="150">
        <v>3415</v>
      </c>
      <c r="EG61" s="150">
        <v>3780</v>
      </c>
      <c r="EH61" s="150">
        <v>3892</v>
      </c>
      <c r="EI61" s="150">
        <v>3781</v>
      </c>
      <c r="EJ61" s="150">
        <v>3621</v>
      </c>
      <c r="EK61" s="150">
        <v>3642</v>
      </c>
      <c r="EL61" s="150">
        <v>3674</v>
      </c>
      <c r="EM61" s="150">
        <v>3311</v>
      </c>
      <c r="EN61" s="150">
        <v>3792</v>
      </c>
      <c r="EO61" s="150">
        <v>3375</v>
      </c>
      <c r="EP61" s="150">
        <v>3955</v>
      </c>
      <c r="EQ61" s="150">
        <v>3624</v>
      </c>
      <c r="ER61" s="150">
        <v>3687</v>
      </c>
      <c r="ES61" s="150">
        <v>2839</v>
      </c>
      <c r="ET61" s="150">
        <v>3586</v>
      </c>
      <c r="EU61" s="150">
        <v>3900</v>
      </c>
      <c r="EV61" s="150">
        <v>3876</v>
      </c>
      <c r="EW61" s="150">
        <v>3760</v>
      </c>
      <c r="EX61" s="204">
        <v>4075</v>
      </c>
      <c r="EY61" s="204">
        <v>3614</v>
      </c>
      <c r="EZ61" s="204">
        <v>3209</v>
      </c>
      <c r="FA61" s="204">
        <v>2868</v>
      </c>
      <c r="FB61" s="204">
        <v>3725</v>
      </c>
      <c r="FC61" s="72" t="s">
        <v>215</v>
      </c>
      <c r="FE61" s="66">
        <v>92088</v>
      </c>
      <c r="FF61" s="66">
        <v>88160</v>
      </c>
      <c r="FG61" s="66">
        <v>84617</v>
      </c>
      <c r="FH61" s="66">
        <v>80860</v>
      </c>
      <c r="FI61" s="66">
        <v>76894</v>
      </c>
      <c r="FJ61" s="66">
        <v>73469</v>
      </c>
      <c r="FK61" s="66">
        <v>69745</v>
      </c>
      <c r="FL61" s="66">
        <v>66306</v>
      </c>
      <c r="FM61" s="66">
        <v>63022</v>
      </c>
      <c r="FN61" s="66">
        <v>59477</v>
      </c>
      <c r="FO61" s="66">
        <v>56387</v>
      </c>
      <c r="FP61" s="66">
        <v>53198</v>
      </c>
      <c r="FQ61" s="66">
        <v>49757</v>
      </c>
      <c r="FR61" s="162">
        <v>46633</v>
      </c>
      <c r="FS61" s="162">
        <v>43365</v>
      </c>
      <c r="FT61" s="162">
        <v>40237</v>
      </c>
      <c r="FU61" s="162">
        <v>36954</v>
      </c>
      <c r="FV61" s="162">
        <v>33571</v>
      </c>
    </row>
    <row r="62" spans="1:178">
      <c r="B62" s="220">
        <v>10279196</v>
      </c>
      <c r="C62" s="181"/>
      <c r="D62" s="66" t="s">
        <v>215</v>
      </c>
      <c r="CW62" s="77">
        <v>2287</v>
      </c>
      <c r="CX62" s="77">
        <v>3438</v>
      </c>
      <c r="CY62" s="77">
        <v>3519</v>
      </c>
      <c r="CZ62" s="77">
        <v>3258</v>
      </c>
      <c r="DA62" s="77">
        <v>3547</v>
      </c>
      <c r="DB62" s="77">
        <v>3286</v>
      </c>
      <c r="DC62" s="77">
        <v>3181</v>
      </c>
      <c r="DD62" s="77">
        <v>3269</v>
      </c>
      <c r="DE62" s="77">
        <v>3164</v>
      </c>
      <c r="DF62" s="150">
        <v>3118</v>
      </c>
      <c r="DG62" s="150">
        <v>3246</v>
      </c>
      <c r="DH62" s="162">
        <v>3285</v>
      </c>
      <c r="DI62" s="162">
        <v>3087</v>
      </c>
      <c r="DJ62" s="162">
        <v>3404</v>
      </c>
      <c r="DK62" s="162">
        <v>3333</v>
      </c>
      <c r="DL62" s="162">
        <v>2962</v>
      </c>
      <c r="DM62" s="162">
        <v>3510</v>
      </c>
      <c r="DN62" s="162">
        <f t="shared" si="1"/>
        <v>3171</v>
      </c>
      <c r="DO62" s="162">
        <f t="shared" si="2"/>
        <v>3322</v>
      </c>
      <c r="DP62" s="162">
        <f t="shared" si="18"/>
        <v>3104</v>
      </c>
      <c r="DQ62" s="162">
        <f t="shared" si="3"/>
        <v>3257</v>
      </c>
      <c r="DR62" s="162">
        <f t="shared" si="4"/>
        <v>3068</v>
      </c>
      <c r="DS62" s="162">
        <f t="shared" si="5"/>
        <v>3447</v>
      </c>
      <c r="DT62" s="162">
        <f t="shared" si="6"/>
        <v>3187</v>
      </c>
      <c r="DU62" s="162">
        <f t="shared" si="10"/>
        <v>2772</v>
      </c>
      <c r="DV62" s="162">
        <f t="shared" si="11"/>
        <v>3124</v>
      </c>
      <c r="DW62" s="162">
        <f t="shared" si="12"/>
        <v>2822</v>
      </c>
      <c r="DX62" s="162">
        <f t="shared" si="13"/>
        <v>2840</v>
      </c>
      <c r="DY62" s="150">
        <f t="shared" si="7"/>
        <v>2856</v>
      </c>
      <c r="DZ62" s="150">
        <f t="shared" si="14"/>
        <v>2760</v>
      </c>
      <c r="EA62" s="150">
        <f t="shared" si="8"/>
        <v>3023</v>
      </c>
      <c r="EB62" s="150">
        <f t="shared" si="17"/>
        <v>2710</v>
      </c>
      <c r="EC62" s="150">
        <f t="shared" si="15"/>
        <v>2542</v>
      </c>
      <c r="ED62" s="150">
        <f t="shared" si="16"/>
        <v>2935</v>
      </c>
      <c r="EE62" s="150">
        <v>2649</v>
      </c>
      <c r="EF62" s="150">
        <v>2561</v>
      </c>
      <c r="EG62" s="150">
        <v>2869</v>
      </c>
      <c r="EH62" s="150">
        <v>2796</v>
      </c>
      <c r="EI62" s="150">
        <v>2800</v>
      </c>
      <c r="EJ62" s="150">
        <v>2742</v>
      </c>
      <c r="EK62" s="150">
        <v>2848</v>
      </c>
      <c r="EL62" s="150">
        <v>2924</v>
      </c>
      <c r="EM62" s="150">
        <v>2741</v>
      </c>
      <c r="EN62" s="150">
        <v>2887</v>
      </c>
      <c r="EO62" s="150">
        <v>2629</v>
      </c>
      <c r="EP62" s="150">
        <v>3114</v>
      </c>
      <c r="EQ62" s="150">
        <v>2840</v>
      </c>
      <c r="ER62" s="150">
        <v>2934</v>
      </c>
      <c r="ES62" s="150">
        <v>2839</v>
      </c>
      <c r="ET62" s="150">
        <v>2861</v>
      </c>
      <c r="EU62" s="150">
        <v>3045</v>
      </c>
      <c r="EV62" s="150">
        <v>2815</v>
      </c>
      <c r="EW62" s="150">
        <v>2732</v>
      </c>
      <c r="EX62" s="204">
        <v>3051</v>
      </c>
      <c r="EY62" s="204">
        <v>2907</v>
      </c>
      <c r="EZ62" s="204">
        <v>2641</v>
      </c>
      <c r="FA62" s="204">
        <v>2917</v>
      </c>
      <c r="FB62" s="204">
        <v>2936</v>
      </c>
      <c r="FC62" s="66" t="s">
        <v>215</v>
      </c>
      <c r="FE62" s="66">
        <v>105846</v>
      </c>
      <c r="FF62" s="66">
        <v>102911</v>
      </c>
      <c r="FG62" s="66">
        <v>100369</v>
      </c>
      <c r="FH62" s="66">
        <v>97659</v>
      </c>
      <c r="FI62" s="66">
        <v>94636</v>
      </c>
      <c r="FJ62" s="66">
        <v>91876</v>
      </c>
      <c r="FK62" s="66">
        <v>89020</v>
      </c>
      <c r="FL62" s="66">
        <v>86180</v>
      </c>
      <c r="FM62" s="66">
        <v>83358</v>
      </c>
      <c r="FN62" s="66">
        <v>80234</v>
      </c>
      <c r="FO62" s="66">
        <v>77462</v>
      </c>
      <c r="FP62" s="66">
        <v>74275</v>
      </c>
      <c r="FQ62" s="66">
        <v>70828</v>
      </c>
      <c r="FR62" s="162">
        <v>67760</v>
      </c>
      <c r="FS62" s="162">
        <v>64503</v>
      </c>
      <c r="FT62" s="162">
        <v>61399</v>
      </c>
      <c r="FU62" s="162">
        <v>58077</v>
      </c>
      <c r="FV62" s="162">
        <v>54906</v>
      </c>
    </row>
    <row r="63" spans="1:178">
      <c r="B63" s="220">
        <v>7622939</v>
      </c>
      <c r="C63" s="181"/>
      <c r="D63" s="66" t="s">
        <v>249</v>
      </c>
      <c r="CW63" s="77"/>
      <c r="CX63" s="77">
        <v>4328</v>
      </c>
      <c r="CY63" s="77">
        <v>11881</v>
      </c>
      <c r="CZ63" s="77">
        <v>9354</v>
      </c>
      <c r="DA63" s="77">
        <v>11449</v>
      </c>
      <c r="DB63" s="77">
        <v>8923</v>
      </c>
      <c r="DC63" s="77">
        <v>6378</v>
      </c>
      <c r="DD63" s="77">
        <v>5778</v>
      </c>
      <c r="DE63" s="77">
        <v>1710</v>
      </c>
      <c r="DF63" s="150">
        <v>1116</v>
      </c>
      <c r="DG63" s="150">
        <v>1174</v>
      </c>
      <c r="DH63" s="162">
        <v>1190</v>
      </c>
      <c r="DI63" s="162">
        <v>1028</v>
      </c>
      <c r="DJ63" s="162">
        <v>7701</v>
      </c>
      <c r="DK63" s="162">
        <v>10593</v>
      </c>
      <c r="DL63" s="162">
        <v>9816</v>
      </c>
      <c r="DM63" s="162">
        <v>11027</v>
      </c>
      <c r="DN63" s="162">
        <f t="shared" si="1"/>
        <v>8198</v>
      </c>
      <c r="DO63" s="162">
        <f t="shared" si="2"/>
        <v>5628</v>
      </c>
      <c r="DP63" s="162">
        <f t="shared" si="18"/>
        <v>9571</v>
      </c>
      <c r="DQ63" s="162">
        <f t="shared" si="3"/>
        <v>11055</v>
      </c>
      <c r="DR63" s="162">
        <f t="shared" si="4"/>
        <v>9330</v>
      </c>
      <c r="DS63" s="162">
        <f t="shared" si="5"/>
        <v>10788</v>
      </c>
      <c r="DT63" s="162">
        <f t="shared" si="6"/>
        <v>8390</v>
      </c>
      <c r="DU63" s="162">
        <f t="shared" si="10"/>
        <v>7406</v>
      </c>
      <c r="DV63" s="162">
        <f t="shared" si="11"/>
        <v>9302</v>
      </c>
      <c r="DW63" s="162">
        <f t="shared" si="12"/>
        <v>10668</v>
      </c>
      <c r="DX63" s="162">
        <f t="shared" si="13"/>
        <v>10426</v>
      </c>
      <c r="DY63" s="150">
        <f t="shared" si="7"/>
        <v>11371</v>
      </c>
      <c r="DZ63" s="150">
        <f t="shared" si="14"/>
        <v>8325</v>
      </c>
      <c r="EA63" s="150">
        <f t="shared" si="8"/>
        <v>7650</v>
      </c>
      <c r="EB63" s="150">
        <f t="shared" si="17"/>
        <v>10247</v>
      </c>
      <c r="EC63" s="150">
        <f t="shared" si="15"/>
        <v>10685</v>
      </c>
      <c r="ED63" s="150">
        <f t="shared" si="16"/>
        <v>10826</v>
      </c>
      <c r="EE63" s="150">
        <v>10645</v>
      </c>
      <c r="EF63" s="150">
        <v>7147</v>
      </c>
      <c r="EG63" s="150">
        <v>7451</v>
      </c>
      <c r="EH63" s="150">
        <v>8451</v>
      </c>
      <c r="EI63" s="150">
        <v>10809</v>
      </c>
      <c r="EJ63" s="150">
        <v>13020</v>
      </c>
      <c r="EK63" s="150">
        <v>12504</v>
      </c>
      <c r="EL63" s="150">
        <v>9600</v>
      </c>
      <c r="EM63" s="150">
        <v>5836</v>
      </c>
      <c r="EN63" s="150">
        <v>10269</v>
      </c>
      <c r="EO63" s="150">
        <v>10503</v>
      </c>
      <c r="EP63" s="150">
        <v>10891</v>
      </c>
      <c r="EQ63" s="150">
        <v>10812</v>
      </c>
      <c r="ER63" s="150">
        <v>6883</v>
      </c>
      <c r="ES63" s="150">
        <v>6838</v>
      </c>
      <c r="ET63" s="150">
        <v>7407</v>
      </c>
      <c r="EU63" s="150">
        <v>12563</v>
      </c>
      <c r="EV63" s="150">
        <v>12092</v>
      </c>
      <c r="EW63" s="150">
        <v>12146</v>
      </c>
      <c r="EX63" s="204">
        <v>10170</v>
      </c>
      <c r="EY63" s="204">
        <v>6873</v>
      </c>
      <c r="EZ63" s="204">
        <v>8204</v>
      </c>
      <c r="FA63" s="204">
        <v>12409</v>
      </c>
      <c r="FB63" s="204">
        <v>7190</v>
      </c>
      <c r="FC63" s="137" t="s">
        <v>249</v>
      </c>
      <c r="FE63" s="66">
        <v>263381</v>
      </c>
      <c r="FF63" s="66">
        <v>252555</v>
      </c>
      <c r="FG63" s="66">
        <v>241870</v>
      </c>
      <c r="FH63" s="66">
        <v>231623</v>
      </c>
      <c r="FI63" s="66">
        <v>223973</v>
      </c>
      <c r="FJ63" s="66">
        <v>215648</v>
      </c>
      <c r="FK63" s="66">
        <v>204277</v>
      </c>
      <c r="FL63" s="66">
        <v>193851</v>
      </c>
      <c r="FM63" s="66">
        <v>183183</v>
      </c>
      <c r="FN63" s="66">
        <v>173881</v>
      </c>
      <c r="FO63" s="66">
        <v>166475</v>
      </c>
      <c r="FP63" s="66">
        <v>158085</v>
      </c>
      <c r="FQ63" s="66">
        <v>147297</v>
      </c>
      <c r="FR63" s="162">
        <v>137967</v>
      </c>
      <c r="FS63" s="162">
        <v>126912</v>
      </c>
      <c r="FT63" s="162">
        <v>117341</v>
      </c>
      <c r="FU63" s="162">
        <v>111713</v>
      </c>
      <c r="FV63" s="162">
        <v>103515</v>
      </c>
    </row>
    <row r="64" spans="1:178">
      <c r="B64" s="220">
        <v>10256324</v>
      </c>
      <c r="C64" s="181"/>
      <c r="D64" s="66" t="s">
        <v>250</v>
      </c>
      <c r="CW64" s="77"/>
      <c r="CX64" s="77"/>
      <c r="CY64" s="77">
        <v>238</v>
      </c>
      <c r="CZ64" s="77">
        <v>38</v>
      </c>
      <c r="DA64" s="77">
        <v>16</v>
      </c>
      <c r="DB64" s="77">
        <v>4075</v>
      </c>
      <c r="DC64" s="77">
        <v>8596</v>
      </c>
      <c r="DD64" s="77">
        <v>8882</v>
      </c>
      <c r="DE64" s="77">
        <v>9272</v>
      </c>
      <c r="DF64" s="150">
        <v>10371</v>
      </c>
      <c r="DG64" s="150">
        <v>10406</v>
      </c>
      <c r="DH64" s="162">
        <v>11887</v>
      </c>
      <c r="DI64" s="162">
        <v>10961</v>
      </c>
      <c r="DJ64" s="162">
        <v>11681</v>
      </c>
      <c r="DK64" s="162">
        <v>13242</v>
      </c>
      <c r="DL64" s="162">
        <v>11132</v>
      </c>
      <c r="DM64" s="162">
        <v>10806</v>
      </c>
      <c r="DN64" s="162">
        <f t="shared" si="1"/>
        <v>9063</v>
      </c>
      <c r="DO64" s="162">
        <f t="shared" si="2"/>
        <v>9023</v>
      </c>
      <c r="DP64" s="162">
        <f t="shared" si="18"/>
        <v>8797</v>
      </c>
      <c r="DQ64" s="162">
        <f t="shared" si="3"/>
        <v>8648</v>
      </c>
      <c r="DR64" s="162">
        <f t="shared" si="4"/>
        <v>8385</v>
      </c>
      <c r="DS64" s="162">
        <f t="shared" si="5"/>
        <v>9542</v>
      </c>
      <c r="DT64" s="162">
        <f t="shared" si="6"/>
        <v>8805</v>
      </c>
      <c r="DU64" s="162">
        <f t="shared" si="10"/>
        <v>8243</v>
      </c>
      <c r="DV64" s="162">
        <f t="shared" si="11"/>
        <v>10127</v>
      </c>
      <c r="DW64" s="162">
        <f t="shared" si="12"/>
        <v>11310</v>
      </c>
      <c r="DX64" s="162">
        <f t="shared" si="13"/>
        <v>12205</v>
      </c>
      <c r="DY64" s="150">
        <f t="shared" si="7"/>
        <v>10668</v>
      </c>
      <c r="DZ64" s="150">
        <f t="shared" si="14"/>
        <v>8890</v>
      </c>
      <c r="EA64" s="150">
        <f t="shared" si="8"/>
        <v>8867</v>
      </c>
      <c r="EB64" s="150">
        <f t="shared" si="17"/>
        <v>9254</v>
      </c>
      <c r="EC64" s="150">
        <f t="shared" si="15"/>
        <v>9459</v>
      </c>
      <c r="ED64" s="150">
        <f t="shared" si="16"/>
        <v>13709</v>
      </c>
      <c r="EE64" s="150">
        <v>13114</v>
      </c>
      <c r="EF64" s="150">
        <v>12053</v>
      </c>
      <c r="EG64" s="150">
        <v>12818</v>
      </c>
      <c r="EH64" s="150">
        <v>10640</v>
      </c>
      <c r="EI64" s="150">
        <v>11216</v>
      </c>
      <c r="EJ64" s="150">
        <v>10068</v>
      </c>
      <c r="EK64" s="150">
        <v>9549</v>
      </c>
      <c r="EL64" s="150">
        <v>9217</v>
      </c>
      <c r="EM64" s="150">
        <v>8145</v>
      </c>
      <c r="EN64" s="150">
        <v>9154</v>
      </c>
      <c r="EO64" s="150">
        <v>8684</v>
      </c>
      <c r="EP64" s="150">
        <v>10967</v>
      </c>
      <c r="EQ64" s="150">
        <v>12258</v>
      </c>
      <c r="ER64" s="150">
        <v>12272</v>
      </c>
      <c r="ES64" s="150">
        <v>11165</v>
      </c>
      <c r="ET64" s="150">
        <v>11547</v>
      </c>
      <c r="EU64" s="150">
        <v>12753</v>
      </c>
      <c r="EV64" s="150">
        <v>12460</v>
      </c>
      <c r="EW64" s="150">
        <v>9602</v>
      </c>
      <c r="EX64" s="204">
        <v>9925</v>
      </c>
      <c r="EY64" s="204">
        <v>9723</v>
      </c>
      <c r="EZ64" s="204">
        <v>9956</v>
      </c>
      <c r="FA64" s="204">
        <v>11865</v>
      </c>
      <c r="FB64" s="204">
        <v>12692</v>
      </c>
      <c r="FC64" s="66" t="s">
        <v>250</v>
      </c>
      <c r="FE64" s="66">
        <v>286610</v>
      </c>
      <c r="FF64" s="66">
        <v>272901</v>
      </c>
      <c r="FG64" s="66">
        <v>263442</v>
      </c>
      <c r="FH64" s="66">
        <v>254188</v>
      </c>
      <c r="FI64" s="66">
        <v>245321</v>
      </c>
      <c r="FJ64" s="66">
        <v>236431</v>
      </c>
      <c r="FK64" s="66">
        <v>225763</v>
      </c>
      <c r="FL64" s="66">
        <v>213558</v>
      </c>
      <c r="FM64" s="66">
        <v>202248</v>
      </c>
      <c r="FN64" s="66">
        <v>192121</v>
      </c>
      <c r="FO64" s="66">
        <v>183878</v>
      </c>
      <c r="FP64" s="66">
        <v>175073</v>
      </c>
      <c r="FQ64" s="66">
        <v>165531</v>
      </c>
      <c r="FR64" s="166">
        <v>157146</v>
      </c>
      <c r="FS64" s="166">
        <v>148498</v>
      </c>
      <c r="FT64" s="166">
        <v>139701</v>
      </c>
      <c r="FU64" s="166">
        <v>130678</v>
      </c>
      <c r="FV64" s="166">
        <v>121615</v>
      </c>
    </row>
    <row r="65" spans="2:178">
      <c r="B65" s="220">
        <v>12370123</v>
      </c>
      <c r="C65" s="181">
        <v>11015373</v>
      </c>
      <c r="D65" s="72" t="s">
        <v>215</v>
      </c>
      <c r="CW65" s="77"/>
      <c r="CX65" s="77"/>
      <c r="CY65" s="77"/>
      <c r="CZ65" s="77">
        <v>0</v>
      </c>
      <c r="DA65" s="77">
        <v>0</v>
      </c>
      <c r="DB65" s="77">
        <v>88</v>
      </c>
      <c r="DC65" s="77">
        <v>321</v>
      </c>
      <c r="DD65" s="77">
        <v>346</v>
      </c>
      <c r="DE65" s="77">
        <v>334</v>
      </c>
      <c r="DF65" s="150">
        <v>336</v>
      </c>
      <c r="DG65" s="150">
        <v>347</v>
      </c>
      <c r="DH65" s="162">
        <v>346</v>
      </c>
      <c r="DI65" s="162">
        <v>315</v>
      </c>
      <c r="DJ65" s="162">
        <v>368</v>
      </c>
      <c r="DK65" s="162">
        <v>351</v>
      </c>
      <c r="DL65" s="162">
        <v>331</v>
      </c>
      <c r="DM65" s="162">
        <v>366</v>
      </c>
      <c r="DN65" s="162">
        <f t="shared" si="1"/>
        <v>350</v>
      </c>
      <c r="DO65" s="162">
        <f t="shared" si="2"/>
        <v>351</v>
      </c>
      <c r="DP65" s="162">
        <f t="shared" si="18"/>
        <v>329</v>
      </c>
      <c r="DQ65" s="162">
        <f t="shared" si="3"/>
        <v>342</v>
      </c>
      <c r="DR65" s="162">
        <f t="shared" si="4"/>
        <v>329</v>
      </c>
      <c r="DS65" s="162">
        <f t="shared" si="5"/>
        <v>363</v>
      </c>
      <c r="DT65" s="162">
        <f t="shared" si="6"/>
        <v>337</v>
      </c>
      <c r="DU65" s="162">
        <f t="shared" si="10"/>
        <v>326</v>
      </c>
      <c r="DV65" s="162">
        <f t="shared" si="11"/>
        <v>375</v>
      </c>
      <c r="DW65" s="162">
        <f t="shared" si="12"/>
        <v>341</v>
      </c>
      <c r="DX65" s="162">
        <f t="shared" si="13"/>
        <v>352</v>
      </c>
      <c r="DY65" s="150">
        <f t="shared" si="7"/>
        <v>352</v>
      </c>
      <c r="DZ65" s="150">
        <f t="shared" si="14"/>
        <v>325</v>
      </c>
      <c r="EA65" s="150">
        <f t="shared" si="8"/>
        <v>358</v>
      </c>
      <c r="EB65" s="150">
        <f t="shared" si="17"/>
        <v>337</v>
      </c>
      <c r="EC65" s="150">
        <f t="shared" si="15"/>
        <v>316</v>
      </c>
      <c r="ED65" s="150">
        <f t="shared" si="16"/>
        <v>372</v>
      </c>
      <c r="EE65" s="150">
        <v>338</v>
      </c>
      <c r="EF65" s="150">
        <v>325</v>
      </c>
      <c r="EG65" s="150">
        <v>361</v>
      </c>
      <c r="EH65" s="150">
        <v>351</v>
      </c>
      <c r="EI65" s="150">
        <v>352</v>
      </c>
      <c r="EJ65" s="150">
        <v>340</v>
      </c>
      <c r="EK65" s="150">
        <v>79</v>
      </c>
      <c r="EL65" s="150">
        <f>259+347</f>
        <v>606</v>
      </c>
      <c r="EM65" s="150">
        <v>310</v>
      </c>
      <c r="EN65" s="150">
        <v>356</v>
      </c>
      <c r="EO65" s="150">
        <v>312</v>
      </c>
      <c r="EP65" s="150">
        <v>368</v>
      </c>
      <c r="EQ65" s="150">
        <v>333</v>
      </c>
      <c r="ER65" s="150">
        <v>342</v>
      </c>
      <c r="ES65" s="150">
        <v>330</v>
      </c>
      <c r="ET65" s="150">
        <v>329</v>
      </c>
      <c r="EU65" s="150">
        <v>353</v>
      </c>
      <c r="EV65" s="150">
        <v>329</v>
      </c>
      <c r="EW65" s="150">
        <v>318</v>
      </c>
      <c r="EX65" s="204">
        <v>352</v>
      </c>
      <c r="EY65" s="204">
        <v>335</v>
      </c>
      <c r="EZ65" s="204">
        <v>294</v>
      </c>
      <c r="FA65" s="204">
        <v>348</v>
      </c>
      <c r="FB65" s="204">
        <v>338</v>
      </c>
      <c r="FC65" s="72" t="s">
        <v>215</v>
      </c>
      <c r="FE65" s="66">
        <v>9704</v>
      </c>
      <c r="FF65" s="66">
        <v>9332</v>
      </c>
      <c r="FG65" s="66">
        <v>9016</v>
      </c>
      <c r="FH65" s="66">
        <v>8679</v>
      </c>
      <c r="FI65" s="66">
        <v>8321</v>
      </c>
      <c r="FJ65" s="66">
        <v>7996</v>
      </c>
      <c r="FK65" s="66">
        <v>7644</v>
      </c>
      <c r="FL65" s="66">
        <v>7292</v>
      </c>
      <c r="FM65" s="66">
        <v>6951</v>
      </c>
      <c r="FN65" s="66">
        <v>6576</v>
      </c>
      <c r="FO65" s="66">
        <v>6250</v>
      </c>
      <c r="FP65" s="66">
        <v>5913</v>
      </c>
      <c r="FQ65" s="66">
        <v>5550</v>
      </c>
      <c r="FR65" s="162">
        <v>5221</v>
      </c>
      <c r="FS65" s="162">
        <v>4879</v>
      </c>
      <c r="FT65" s="162">
        <v>4550</v>
      </c>
      <c r="FU65" s="162">
        <v>4199</v>
      </c>
      <c r="FV65" s="162">
        <v>3849</v>
      </c>
    </row>
    <row r="66" spans="2:178">
      <c r="B66" s="220">
        <v>10988966</v>
      </c>
      <c r="C66" s="181"/>
      <c r="D66" s="72" t="s">
        <v>215</v>
      </c>
      <c r="CW66" s="77"/>
      <c r="CX66" s="77"/>
      <c r="CY66" s="77"/>
      <c r="CZ66" s="77">
        <v>0</v>
      </c>
      <c r="DA66" s="77">
        <v>0</v>
      </c>
      <c r="DB66" s="77">
        <v>0</v>
      </c>
      <c r="DC66" s="77">
        <v>98</v>
      </c>
      <c r="DD66" s="77">
        <v>389</v>
      </c>
      <c r="DE66" s="77">
        <v>375</v>
      </c>
      <c r="DF66" s="150">
        <v>379</v>
      </c>
      <c r="DG66" s="150">
        <v>390</v>
      </c>
      <c r="DH66" s="162">
        <v>390</v>
      </c>
      <c r="DI66" s="162">
        <v>352</v>
      </c>
      <c r="DJ66" s="162">
        <v>372</v>
      </c>
      <c r="DK66" s="162">
        <v>352</v>
      </c>
      <c r="DL66" s="162">
        <v>366</v>
      </c>
      <c r="DM66" s="162">
        <v>347</v>
      </c>
      <c r="DN66" s="162">
        <f t="shared" si="1"/>
        <v>360</v>
      </c>
      <c r="DO66" s="162">
        <f t="shared" si="2"/>
        <v>358</v>
      </c>
      <c r="DP66" s="162">
        <f t="shared" si="18"/>
        <v>337</v>
      </c>
      <c r="DQ66" s="162">
        <f t="shared" si="3"/>
        <v>351</v>
      </c>
      <c r="DR66" s="162">
        <f t="shared" si="4"/>
        <v>343</v>
      </c>
      <c r="DS66" s="162">
        <f t="shared" si="5"/>
        <v>372</v>
      </c>
      <c r="DT66" s="162">
        <f t="shared" si="6"/>
        <v>356</v>
      </c>
      <c r="DU66" s="162">
        <f t="shared" si="10"/>
        <v>326</v>
      </c>
      <c r="DV66" s="162">
        <f t="shared" si="11"/>
        <v>381</v>
      </c>
      <c r="DW66" s="162">
        <f t="shared" si="12"/>
        <v>351</v>
      </c>
      <c r="DX66" s="162">
        <f t="shared" si="13"/>
        <v>359</v>
      </c>
      <c r="DY66" s="150">
        <f t="shared" si="7"/>
        <v>362</v>
      </c>
      <c r="DZ66" s="150">
        <f t="shared" si="14"/>
        <v>334</v>
      </c>
      <c r="EA66" s="150">
        <f t="shared" si="8"/>
        <v>362</v>
      </c>
      <c r="EB66" s="150">
        <f t="shared" si="17"/>
        <v>338</v>
      </c>
      <c r="EC66" s="150">
        <f t="shared" si="15"/>
        <v>318</v>
      </c>
      <c r="ED66" s="150">
        <f t="shared" si="16"/>
        <v>374</v>
      </c>
      <c r="EE66" s="150">
        <v>337</v>
      </c>
      <c r="EF66" s="150">
        <v>353</v>
      </c>
      <c r="EG66" s="150">
        <v>369</v>
      </c>
      <c r="EH66" s="150">
        <v>352</v>
      </c>
      <c r="EI66" s="150">
        <v>359</v>
      </c>
      <c r="EJ66" s="150">
        <v>336</v>
      </c>
      <c r="EK66" s="150">
        <v>340</v>
      </c>
      <c r="EL66" s="150">
        <v>344</v>
      </c>
      <c r="EM66" s="150">
        <v>329</v>
      </c>
      <c r="EN66" s="150">
        <v>357</v>
      </c>
      <c r="EO66" s="150">
        <v>323</v>
      </c>
      <c r="EP66" s="150">
        <v>378</v>
      </c>
      <c r="EQ66" s="150">
        <v>298</v>
      </c>
      <c r="ER66" s="150">
        <v>356</v>
      </c>
      <c r="ES66" s="150">
        <v>347</v>
      </c>
      <c r="ET66" s="150">
        <v>344</v>
      </c>
      <c r="EU66" s="150">
        <v>370</v>
      </c>
      <c r="EV66" s="150">
        <v>344</v>
      </c>
      <c r="EW66" s="150">
        <v>334</v>
      </c>
      <c r="EX66" s="204">
        <v>365</v>
      </c>
      <c r="EY66" s="204">
        <v>353</v>
      </c>
      <c r="EZ66" s="204">
        <v>308</v>
      </c>
      <c r="FA66" s="204">
        <v>368</v>
      </c>
      <c r="FB66" s="204">
        <v>356</v>
      </c>
      <c r="FC66" s="72" t="s">
        <v>215</v>
      </c>
      <c r="FE66" s="66">
        <v>9792</v>
      </c>
      <c r="FF66" s="66">
        <v>9418</v>
      </c>
      <c r="FG66" s="66">
        <v>9100</v>
      </c>
      <c r="FH66" s="66">
        <v>8762</v>
      </c>
      <c r="FI66" s="66">
        <v>8400</v>
      </c>
      <c r="FJ66" s="66">
        <v>8066</v>
      </c>
      <c r="FK66" s="66">
        <v>7704</v>
      </c>
      <c r="FL66" s="66">
        <v>7345</v>
      </c>
      <c r="FM66" s="66">
        <v>6994</v>
      </c>
      <c r="FN66" s="66">
        <v>6613</v>
      </c>
      <c r="FO66" s="66">
        <v>6287</v>
      </c>
      <c r="FP66" s="66">
        <v>5931</v>
      </c>
      <c r="FQ66" s="66">
        <v>5559</v>
      </c>
      <c r="FR66" s="162">
        <v>5216</v>
      </c>
      <c r="FS66" s="162">
        <v>4865</v>
      </c>
      <c r="FT66" s="162">
        <v>4528</v>
      </c>
      <c r="FU66" s="162">
        <v>4170</v>
      </c>
      <c r="FV66" s="162">
        <v>3810</v>
      </c>
    </row>
    <row r="67" spans="2:178">
      <c r="B67" s="219">
        <v>10988974</v>
      </c>
      <c r="C67" s="181"/>
      <c r="D67" s="72" t="s">
        <v>215</v>
      </c>
      <c r="CW67" s="77"/>
      <c r="CX67" s="77"/>
      <c r="CY67" s="77"/>
      <c r="CZ67" s="77">
        <v>0</v>
      </c>
      <c r="DA67" s="77">
        <v>0</v>
      </c>
      <c r="DB67" s="77">
        <v>69</v>
      </c>
      <c r="DC67" s="77">
        <v>237</v>
      </c>
      <c r="DD67" s="77">
        <v>254</v>
      </c>
      <c r="DE67" s="77">
        <v>246</v>
      </c>
      <c r="DF67" s="150">
        <v>247</v>
      </c>
      <c r="DG67" s="150">
        <v>255</v>
      </c>
      <c r="DH67" s="162">
        <v>256</v>
      </c>
      <c r="DI67" s="162">
        <v>242</v>
      </c>
      <c r="DJ67" s="162">
        <v>273</v>
      </c>
      <c r="DK67" s="162">
        <v>251</v>
      </c>
      <c r="DL67" s="162">
        <v>247</v>
      </c>
      <c r="DM67" s="162">
        <v>346</v>
      </c>
      <c r="DN67" s="162">
        <f t="shared" si="1"/>
        <v>260</v>
      </c>
      <c r="DO67" s="162">
        <f t="shared" si="2"/>
        <v>259</v>
      </c>
      <c r="DP67" s="162">
        <f t="shared" si="18"/>
        <v>246</v>
      </c>
      <c r="DQ67" s="162">
        <f t="shared" si="3"/>
        <v>254</v>
      </c>
      <c r="DR67" s="162">
        <f t="shared" si="4"/>
        <v>250</v>
      </c>
      <c r="DS67" s="162">
        <f t="shared" si="5"/>
        <v>271</v>
      </c>
      <c r="DT67" s="162">
        <f t="shared" si="6"/>
        <v>261</v>
      </c>
      <c r="DU67" s="162">
        <f t="shared" si="10"/>
        <v>236</v>
      </c>
      <c r="DV67" s="162">
        <f t="shared" si="11"/>
        <v>279</v>
      </c>
      <c r="DW67" s="162">
        <f t="shared" si="12"/>
        <v>256</v>
      </c>
      <c r="DX67" s="162">
        <f t="shared" si="13"/>
        <v>264</v>
      </c>
      <c r="DY67" s="150">
        <f t="shared" si="7"/>
        <v>265</v>
      </c>
      <c r="DZ67" s="150">
        <f t="shared" si="14"/>
        <v>244</v>
      </c>
      <c r="EA67" s="150">
        <f t="shared" si="8"/>
        <v>269</v>
      </c>
      <c r="EB67" s="150">
        <f t="shared" si="17"/>
        <v>254</v>
      </c>
      <c r="EC67" s="150">
        <f t="shared" si="15"/>
        <v>238</v>
      </c>
      <c r="ED67" s="150">
        <f t="shared" si="16"/>
        <v>280</v>
      </c>
      <c r="EE67" s="150">
        <v>255</v>
      </c>
      <c r="EF67" s="150">
        <v>243</v>
      </c>
      <c r="EG67" s="150">
        <v>273</v>
      </c>
      <c r="EH67" s="150">
        <v>264</v>
      </c>
      <c r="EI67" s="150">
        <v>267</v>
      </c>
      <c r="EJ67" s="150">
        <v>257</v>
      </c>
      <c r="EK67" s="150">
        <v>257</v>
      </c>
      <c r="EL67" s="150">
        <v>260</v>
      </c>
      <c r="EM67" s="150">
        <v>243</v>
      </c>
      <c r="EN67" s="150">
        <v>263</v>
      </c>
      <c r="EO67" s="150">
        <v>238</v>
      </c>
      <c r="EP67" s="150">
        <v>280</v>
      </c>
      <c r="EQ67" s="150">
        <v>249</v>
      </c>
      <c r="ER67" s="150">
        <v>262</v>
      </c>
      <c r="ES67" s="150">
        <v>254</v>
      </c>
      <c r="ET67" s="150">
        <v>254</v>
      </c>
      <c r="EU67" s="150">
        <v>272</v>
      </c>
      <c r="EV67" s="150">
        <v>254</v>
      </c>
      <c r="EW67" s="150">
        <v>246</v>
      </c>
      <c r="EX67" s="204">
        <v>268</v>
      </c>
      <c r="EY67" s="204">
        <v>353</v>
      </c>
      <c r="EZ67" s="204">
        <v>227</v>
      </c>
      <c r="FA67" s="204">
        <v>272</v>
      </c>
      <c r="FB67" s="204">
        <v>262</v>
      </c>
      <c r="FC67" s="72" t="s">
        <v>215</v>
      </c>
      <c r="FE67" s="66">
        <v>7235</v>
      </c>
      <c r="FF67" s="66">
        <v>6955</v>
      </c>
      <c r="FG67" s="66">
        <v>6717</v>
      </c>
      <c r="FH67" s="66">
        <v>6463</v>
      </c>
      <c r="FI67" s="66">
        <v>6194</v>
      </c>
      <c r="FJ67" s="66">
        <v>5950</v>
      </c>
      <c r="FK67" s="66">
        <v>5685</v>
      </c>
      <c r="FL67" s="66">
        <v>5421</v>
      </c>
      <c r="FM67" s="66">
        <v>5165</v>
      </c>
      <c r="FN67" s="66">
        <v>4886</v>
      </c>
      <c r="FO67" s="66">
        <v>4650</v>
      </c>
      <c r="FP67" s="66">
        <v>4389</v>
      </c>
      <c r="FQ67" s="66">
        <v>4118</v>
      </c>
      <c r="FR67" s="162">
        <v>3868</v>
      </c>
      <c r="FS67" s="162">
        <v>3614</v>
      </c>
      <c r="FT67" s="162">
        <v>3368</v>
      </c>
      <c r="FU67" s="162">
        <v>3109</v>
      </c>
      <c r="FV67" s="162">
        <v>2849</v>
      </c>
    </row>
    <row r="68" spans="2:178">
      <c r="B68" s="219">
        <v>10988969</v>
      </c>
      <c r="C68" s="181"/>
      <c r="D68" s="72" t="s">
        <v>215</v>
      </c>
      <c r="CW68" s="77"/>
      <c r="CX68" s="77"/>
      <c r="CY68" s="77"/>
      <c r="CZ68" s="77">
        <v>0</v>
      </c>
      <c r="DA68" s="77">
        <v>0</v>
      </c>
      <c r="DB68" s="77">
        <v>97</v>
      </c>
      <c r="DC68" s="77">
        <v>365</v>
      </c>
      <c r="DD68" s="77">
        <v>391</v>
      </c>
      <c r="DE68" s="77">
        <v>379</v>
      </c>
      <c r="DF68" s="150">
        <v>382</v>
      </c>
      <c r="DG68" s="150">
        <v>394</v>
      </c>
      <c r="DH68" s="162">
        <v>378</v>
      </c>
      <c r="DI68" s="162">
        <v>343</v>
      </c>
      <c r="DJ68" s="162">
        <v>409</v>
      </c>
      <c r="DK68" s="162">
        <v>378</v>
      </c>
      <c r="DL68" s="162">
        <v>360</v>
      </c>
      <c r="DM68" s="162">
        <v>400</v>
      </c>
      <c r="DN68" s="162">
        <f t="shared" si="1"/>
        <v>385</v>
      </c>
      <c r="DO68" s="162">
        <f t="shared" si="2"/>
        <v>381</v>
      </c>
      <c r="DP68" s="162">
        <f t="shared" si="18"/>
        <v>360</v>
      </c>
      <c r="DQ68" s="162">
        <f t="shared" si="3"/>
        <v>373</v>
      </c>
      <c r="DR68" s="162">
        <f t="shared" si="4"/>
        <v>367</v>
      </c>
      <c r="DS68" s="162">
        <f t="shared" si="5"/>
        <v>395</v>
      </c>
      <c r="DT68" s="162">
        <f t="shared" si="6"/>
        <v>365</v>
      </c>
      <c r="DU68" s="162">
        <f t="shared" si="10"/>
        <v>328</v>
      </c>
      <c r="DV68" s="162">
        <f t="shared" si="11"/>
        <v>387</v>
      </c>
      <c r="DW68" s="162">
        <f t="shared" si="12"/>
        <v>355</v>
      </c>
      <c r="DX68" s="162">
        <f t="shared" si="13"/>
        <v>366</v>
      </c>
      <c r="DY68" s="150">
        <f t="shared" si="7"/>
        <v>368</v>
      </c>
      <c r="DZ68" s="150">
        <f t="shared" si="14"/>
        <v>340</v>
      </c>
      <c r="EA68" s="150">
        <f t="shared" si="8"/>
        <v>371</v>
      </c>
      <c r="EB68" s="150">
        <f t="shared" si="17"/>
        <v>351</v>
      </c>
      <c r="EC68" s="150">
        <f t="shared" si="15"/>
        <v>330</v>
      </c>
      <c r="ED68" s="150">
        <f t="shared" si="16"/>
        <v>388</v>
      </c>
      <c r="EE68" s="150">
        <v>354</v>
      </c>
      <c r="EF68" s="150">
        <v>383</v>
      </c>
      <c r="EG68" s="150">
        <v>374</v>
      </c>
      <c r="EH68" s="150">
        <v>364</v>
      </c>
      <c r="EI68" s="150">
        <v>366</v>
      </c>
      <c r="EJ68" s="150">
        <v>354</v>
      </c>
      <c r="EK68" s="150">
        <v>354</v>
      </c>
      <c r="EL68" s="150">
        <v>361</v>
      </c>
      <c r="EM68" s="150">
        <v>335</v>
      </c>
      <c r="EN68" s="150">
        <v>360</v>
      </c>
      <c r="EO68" s="150">
        <v>328</v>
      </c>
      <c r="EP68" s="150">
        <v>385</v>
      </c>
      <c r="EQ68" s="150">
        <v>345</v>
      </c>
      <c r="ER68" s="150">
        <v>360</v>
      </c>
      <c r="ES68" s="150">
        <v>348</v>
      </c>
      <c r="ET68" s="150">
        <v>349</v>
      </c>
      <c r="EU68" s="150">
        <v>376</v>
      </c>
      <c r="EV68" s="150">
        <v>354</v>
      </c>
      <c r="EW68" s="150">
        <v>340</v>
      </c>
      <c r="EX68" s="204">
        <v>374</v>
      </c>
      <c r="EY68" s="204">
        <v>356</v>
      </c>
      <c r="EZ68" s="204">
        <v>313</v>
      </c>
      <c r="FA68" s="204">
        <v>377</v>
      </c>
      <c r="FB68" s="204">
        <v>360</v>
      </c>
      <c r="FC68" s="72" t="s">
        <v>215</v>
      </c>
      <c r="FE68" s="66">
        <v>10486</v>
      </c>
      <c r="FF68" s="66">
        <v>10098</v>
      </c>
      <c r="FG68" s="66">
        <v>9768</v>
      </c>
      <c r="FH68" s="66">
        <v>9417</v>
      </c>
      <c r="FI68" s="66">
        <v>9046</v>
      </c>
      <c r="FJ68" s="66">
        <v>8706</v>
      </c>
      <c r="FK68" s="66">
        <v>8338</v>
      </c>
      <c r="FL68" s="66">
        <v>7972</v>
      </c>
      <c r="FM68" s="66">
        <v>7617</v>
      </c>
      <c r="FN68" s="66">
        <v>7230</v>
      </c>
      <c r="FO68" s="66">
        <v>6902</v>
      </c>
      <c r="FP68" s="66">
        <v>6537</v>
      </c>
      <c r="FQ68" s="66">
        <v>6142</v>
      </c>
      <c r="FR68" s="162">
        <v>5775</v>
      </c>
      <c r="FS68" s="162">
        <v>5402</v>
      </c>
      <c r="FT68" s="162">
        <v>5042</v>
      </c>
      <c r="FU68" s="162">
        <v>4661</v>
      </c>
      <c r="FV68" s="162">
        <v>4276</v>
      </c>
    </row>
    <row r="69" spans="2:178">
      <c r="B69" s="219">
        <v>10988975</v>
      </c>
      <c r="C69" s="181"/>
      <c r="D69" s="72" t="s">
        <v>215</v>
      </c>
      <c r="CW69" s="77"/>
      <c r="CX69" s="77"/>
      <c r="CY69" s="77"/>
      <c r="CZ69" s="77">
        <v>0</v>
      </c>
      <c r="DA69" s="77">
        <v>0</v>
      </c>
      <c r="DB69" s="77">
        <v>68</v>
      </c>
      <c r="DC69" s="77">
        <v>242</v>
      </c>
      <c r="DD69" s="77">
        <v>262</v>
      </c>
      <c r="DE69" s="77">
        <v>252</v>
      </c>
      <c r="DF69" s="150">
        <v>256</v>
      </c>
      <c r="DG69" s="150">
        <v>264</v>
      </c>
      <c r="DH69" s="162">
        <v>267</v>
      </c>
      <c r="DI69" s="162">
        <v>241</v>
      </c>
      <c r="DJ69" s="162">
        <v>291</v>
      </c>
      <c r="DK69" s="162">
        <v>270</v>
      </c>
      <c r="DL69" s="162">
        <v>257</v>
      </c>
      <c r="DM69" s="162">
        <v>285</v>
      </c>
      <c r="DN69" s="162">
        <f t="shared" si="1"/>
        <v>273</v>
      </c>
      <c r="DO69" s="162">
        <f t="shared" si="2"/>
        <v>269</v>
      </c>
      <c r="DP69" s="162">
        <f t="shared" si="18"/>
        <v>255</v>
      </c>
      <c r="DQ69" s="162">
        <f t="shared" si="3"/>
        <v>266</v>
      </c>
      <c r="DR69" s="162">
        <f t="shared" si="4"/>
        <v>261</v>
      </c>
      <c r="DS69" s="162">
        <f t="shared" si="5"/>
        <v>284</v>
      </c>
      <c r="DT69" s="162">
        <f t="shared" si="6"/>
        <v>272</v>
      </c>
      <c r="DU69" s="162">
        <f t="shared" si="10"/>
        <v>247</v>
      </c>
      <c r="DV69" s="162">
        <f t="shared" si="11"/>
        <v>291</v>
      </c>
      <c r="DW69" s="162">
        <f t="shared" si="12"/>
        <v>267</v>
      </c>
      <c r="DX69" s="162">
        <f t="shared" si="13"/>
        <v>276</v>
      </c>
      <c r="DY69" s="150">
        <f t="shared" si="7"/>
        <v>277</v>
      </c>
      <c r="DZ69" s="150">
        <f t="shared" si="14"/>
        <v>254</v>
      </c>
      <c r="EA69" s="150">
        <f t="shared" si="8"/>
        <v>277</v>
      </c>
      <c r="EB69" s="150">
        <f t="shared" si="17"/>
        <v>262</v>
      </c>
      <c r="EC69" s="150">
        <f t="shared" si="15"/>
        <v>248</v>
      </c>
      <c r="ED69" s="150">
        <f t="shared" si="16"/>
        <v>292</v>
      </c>
      <c r="EE69" s="150">
        <v>267</v>
      </c>
      <c r="EF69" s="150">
        <v>254</v>
      </c>
      <c r="EG69" s="150">
        <v>282</v>
      </c>
      <c r="EH69" s="150">
        <v>274</v>
      </c>
      <c r="EI69" s="150">
        <v>277</v>
      </c>
      <c r="EJ69" s="150">
        <v>268</v>
      </c>
      <c r="EK69" s="150">
        <v>266</v>
      </c>
      <c r="EL69" s="150">
        <v>272</v>
      </c>
      <c r="EM69" s="150">
        <v>250</v>
      </c>
      <c r="EN69" s="150">
        <v>270</v>
      </c>
      <c r="EO69" s="150">
        <v>247</v>
      </c>
      <c r="EP69" s="150">
        <v>291</v>
      </c>
      <c r="EQ69" s="150">
        <v>262</v>
      </c>
      <c r="ER69" s="150">
        <v>271</v>
      </c>
      <c r="ES69" s="150">
        <v>265</v>
      </c>
      <c r="ET69" s="150">
        <v>263</v>
      </c>
      <c r="EU69" s="150">
        <v>285</v>
      </c>
      <c r="EV69" s="150">
        <v>268</v>
      </c>
      <c r="EW69" s="150">
        <v>259</v>
      </c>
      <c r="EX69" s="204">
        <v>278</v>
      </c>
      <c r="EY69" s="204">
        <v>266</v>
      </c>
      <c r="EZ69" s="204">
        <v>235</v>
      </c>
      <c r="FA69" s="204">
        <v>283</v>
      </c>
      <c r="FB69" s="204">
        <v>275</v>
      </c>
      <c r="FC69" s="72" t="s">
        <v>215</v>
      </c>
      <c r="FE69" s="66">
        <v>7526</v>
      </c>
      <c r="FF69" s="66">
        <v>7234</v>
      </c>
      <c r="FG69" s="66">
        <v>6986</v>
      </c>
      <c r="FH69" s="66">
        <v>6724</v>
      </c>
      <c r="FI69" s="66">
        <v>6447</v>
      </c>
      <c r="FJ69" s="66">
        <v>6193</v>
      </c>
      <c r="FK69" s="66">
        <v>5916</v>
      </c>
      <c r="FL69" s="66">
        <v>5640</v>
      </c>
      <c r="FM69" s="66">
        <v>5373</v>
      </c>
      <c r="FN69" s="66">
        <v>5082</v>
      </c>
      <c r="FO69" s="66">
        <v>4835</v>
      </c>
      <c r="FP69" s="66">
        <v>4563</v>
      </c>
      <c r="FQ69" s="66">
        <v>4279</v>
      </c>
      <c r="FR69" s="162">
        <v>4018</v>
      </c>
      <c r="FS69" s="162">
        <v>3752</v>
      </c>
      <c r="FT69" s="162">
        <v>3497</v>
      </c>
      <c r="FU69" s="162">
        <v>3228</v>
      </c>
      <c r="FV69" s="162">
        <v>2955</v>
      </c>
    </row>
    <row r="70" spans="2:178">
      <c r="B70" s="219">
        <v>10988970</v>
      </c>
      <c r="C70" s="181"/>
      <c r="D70" s="72" t="s">
        <v>215</v>
      </c>
      <c r="CW70" s="77"/>
      <c r="CX70" s="77"/>
      <c r="CY70" s="77"/>
      <c r="CZ70" s="77">
        <v>0</v>
      </c>
      <c r="DA70" s="77">
        <v>0</v>
      </c>
      <c r="DB70" s="77">
        <v>77</v>
      </c>
      <c r="DC70" s="77">
        <v>288</v>
      </c>
      <c r="DD70" s="77">
        <v>321</v>
      </c>
      <c r="DE70" s="77">
        <v>311</v>
      </c>
      <c r="DF70" s="150">
        <v>318</v>
      </c>
      <c r="DG70" s="150">
        <v>325</v>
      </c>
      <c r="DH70" s="162">
        <v>329</v>
      </c>
      <c r="DI70" s="162">
        <v>299</v>
      </c>
      <c r="DJ70" s="162">
        <v>356</v>
      </c>
      <c r="DK70" s="162">
        <v>327</v>
      </c>
      <c r="DL70" s="162">
        <v>314</v>
      </c>
      <c r="DM70" s="162">
        <v>346</v>
      </c>
      <c r="DN70" s="162">
        <f t="shared" si="1"/>
        <v>333</v>
      </c>
      <c r="DO70" s="162">
        <f t="shared" si="2"/>
        <v>330</v>
      </c>
      <c r="DP70" s="162">
        <f t="shared" si="18"/>
        <v>310</v>
      </c>
      <c r="DQ70" s="162">
        <f t="shared" si="3"/>
        <v>324</v>
      </c>
      <c r="DR70" s="162">
        <f t="shared" si="4"/>
        <v>318</v>
      </c>
      <c r="DS70" s="162">
        <f t="shared" si="5"/>
        <v>345</v>
      </c>
      <c r="DT70" s="162">
        <f t="shared" si="6"/>
        <v>333</v>
      </c>
      <c r="DU70" s="162">
        <f t="shared" si="10"/>
        <v>302</v>
      </c>
      <c r="DV70" s="162">
        <f t="shared" si="11"/>
        <v>355</v>
      </c>
      <c r="DW70" s="162">
        <f t="shared" si="12"/>
        <v>325</v>
      </c>
      <c r="DX70" s="162">
        <f t="shared" si="13"/>
        <v>335</v>
      </c>
      <c r="DY70" s="150">
        <f t="shared" si="7"/>
        <v>335</v>
      </c>
      <c r="DZ70" s="150">
        <f t="shared" si="14"/>
        <v>310</v>
      </c>
      <c r="EA70" s="150">
        <f t="shared" si="8"/>
        <v>340</v>
      </c>
      <c r="EB70" s="150">
        <f t="shared" si="17"/>
        <v>324</v>
      </c>
      <c r="EC70" s="150">
        <f t="shared" si="15"/>
        <v>306</v>
      </c>
      <c r="ED70" s="150">
        <f t="shared" si="16"/>
        <v>359</v>
      </c>
      <c r="EE70" s="150">
        <v>326</v>
      </c>
      <c r="EF70" s="150">
        <v>311</v>
      </c>
      <c r="EG70" s="150">
        <v>343</v>
      </c>
      <c r="EH70" s="150">
        <v>334</v>
      </c>
      <c r="EI70" s="150">
        <v>337</v>
      </c>
      <c r="EJ70" s="150">
        <v>326</v>
      </c>
      <c r="EK70" s="150">
        <v>326</v>
      </c>
      <c r="EL70" s="150">
        <v>332</v>
      </c>
      <c r="EM70" s="150">
        <v>308</v>
      </c>
      <c r="EN70" s="150">
        <v>332</v>
      </c>
      <c r="EO70" s="150">
        <v>303</v>
      </c>
      <c r="EP70" s="150">
        <v>355</v>
      </c>
      <c r="EQ70" s="150">
        <v>320</v>
      </c>
      <c r="ER70" s="150">
        <v>332</v>
      </c>
      <c r="ES70" s="150">
        <v>321</v>
      </c>
      <c r="ET70" s="150">
        <v>321</v>
      </c>
      <c r="EU70" s="150">
        <v>347</v>
      </c>
      <c r="EV70" s="150">
        <v>326</v>
      </c>
      <c r="EW70" s="150">
        <v>315</v>
      </c>
      <c r="EX70" s="204">
        <v>340</v>
      </c>
      <c r="EY70" s="204">
        <v>326</v>
      </c>
      <c r="EZ70" s="204">
        <v>287</v>
      </c>
      <c r="FA70" s="204">
        <v>346</v>
      </c>
      <c r="FB70" s="204">
        <v>331</v>
      </c>
      <c r="FC70" s="72" t="s">
        <v>215</v>
      </c>
      <c r="FE70" s="66">
        <v>9193</v>
      </c>
      <c r="FF70" s="66">
        <v>8834</v>
      </c>
      <c r="FG70" s="66">
        <v>8528</v>
      </c>
      <c r="FH70" s="66">
        <v>8204</v>
      </c>
      <c r="FI70" s="66">
        <v>7864</v>
      </c>
      <c r="FJ70" s="66">
        <v>7554</v>
      </c>
      <c r="FK70" s="66">
        <v>7219</v>
      </c>
      <c r="FL70" s="66">
        <v>6884</v>
      </c>
      <c r="FM70" s="66">
        <v>6559</v>
      </c>
      <c r="FN70" s="66">
        <v>6204</v>
      </c>
      <c r="FO70" s="66">
        <v>5902</v>
      </c>
      <c r="FP70" s="66">
        <v>5569</v>
      </c>
      <c r="FQ70" s="66">
        <v>5224</v>
      </c>
      <c r="FR70" s="162">
        <v>4906</v>
      </c>
      <c r="FS70" s="162">
        <v>4582</v>
      </c>
      <c r="FT70" s="162">
        <v>4272</v>
      </c>
      <c r="FU70" s="162">
        <v>3942</v>
      </c>
      <c r="FV70" s="162">
        <v>3609</v>
      </c>
    </row>
    <row r="71" spans="2:178" s="68" customFormat="1">
      <c r="B71" s="220">
        <v>10988964</v>
      </c>
      <c r="C71" s="181"/>
      <c r="D71" s="93" t="s">
        <v>215</v>
      </c>
      <c r="CW71" s="98"/>
      <c r="CX71" s="98"/>
      <c r="CY71" s="98"/>
      <c r="CZ71" s="98">
        <v>0</v>
      </c>
      <c r="DA71" s="98">
        <v>0</v>
      </c>
      <c r="DB71" s="98">
        <v>94</v>
      </c>
      <c r="DC71" s="98">
        <v>341</v>
      </c>
      <c r="DD71" s="98">
        <v>362</v>
      </c>
      <c r="DE71" s="98">
        <v>359</v>
      </c>
      <c r="DF71" s="157">
        <v>345</v>
      </c>
      <c r="DG71" s="157">
        <v>368</v>
      </c>
      <c r="DH71" s="157">
        <v>363</v>
      </c>
      <c r="DI71" s="157">
        <v>325</v>
      </c>
      <c r="DJ71" s="157">
        <v>382</v>
      </c>
      <c r="DK71" s="157">
        <v>362</v>
      </c>
      <c r="DL71" s="157">
        <v>324</v>
      </c>
      <c r="DM71" s="157">
        <v>370</v>
      </c>
      <c r="DN71" s="162">
        <f t="shared" si="1"/>
        <v>358</v>
      </c>
      <c r="DO71" s="162">
        <f t="shared" si="2"/>
        <v>355</v>
      </c>
      <c r="DP71" s="162">
        <f t="shared" si="18"/>
        <v>336</v>
      </c>
      <c r="DQ71" s="162">
        <f t="shared" si="3"/>
        <v>347</v>
      </c>
      <c r="DR71" s="162">
        <f t="shared" si="4"/>
        <v>341</v>
      </c>
      <c r="DS71" s="162">
        <f t="shared" si="5"/>
        <v>368</v>
      </c>
      <c r="DT71" s="162">
        <f t="shared" si="6"/>
        <v>357</v>
      </c>
      <c r="DU71" s="162">
        <f t="shared" si="10"/>
        <v>323</v>
      </c>
      <c r="DV71" s="162">
        <f t="shared" si="11"/>
        <v>380</v>
      </c>
      <c r="DW71" s="162">
        <f t="shared" si="12"/>
        <v>348</v>
      </c>
      <c r="DX71" s="162">
        <f t="shared" si="13"/>
        <v>358</v>
      </c>
      <c r="DY71" s="150">
        <f t="shared" si="7"/>
        <v>359</v>
      </c>
      <c r="DZ71" s="150">
        <f t="shared" si="14"/>
        <v>333</v>
      </c>
      <c r="EA71" s="150">
        <f t="shared" si="8"/>
        <v>367</v>
      </c>
      <c r="EB71" s="150">
        <f t="shared" si="17"/>
        <v>350</v>
      </c>
      <c r="EC71" s="150">
        <f t="shared" si="15"/>
        <v>331</v>
      </c>
      <c r="ED71" s="150">
        <v>383</v>
      </c>
      <c r="EE71" s="150">
        <v>347</v>
      </c>
      <c r="EF71" s="150">
        <v>334</v>
      </c>
      <c r="EG71" s="150">
        <v>375</v>
      </c>
      <c r="EH71" s="150">
        <v>358</v>
      </c>
      <c r="EI71" s="150">
        <v>1047</v>
      </c>
      <c r="EJ71" s="150">
        <v>346</v>
      </c>
      <c r="EK71" s="150">
        <v>346</v>
      </c>
      <c r="EL71" s="150">
        <v>359</v>
      </c>
      <c r="EM71" s="150">
        <v>338</v>
      </c>
      <c r="EN71" s="150">
        <v>368</v>
      </c>
      <c r="EO71" s="150">
        <v>327</v>
      </c>
      <c r="EP71" s="150">
        <v>384</v>
      </c>
      <c r="EQ71" s="150">
        <v>338</v>
      </c>
      <c r="ER71" s="150">
        <v>356</v>
      </c>
      <c r="ES71" s="150">
        <v>345</v>
      </c>
      <c r="ET71" s="150">
        <v>345</v>
      </c>
      <c r="EU71" s="150">
        <v>367</v>
      </c>
      <c r="EV71" s="150">
        <v>344</v>
      </c>
      <c r="EW71" s="150">
        <v>331</v>
      </c>
      <c r="EX71" s="204">
        <v>364</v>
      </c>
      <c r="EY71" s="204">
        <v>354</v>
      </c>
      <c r="EZ71" s="204">
        <v>305</v>
      </c>
      <c r="FA71" s="204">
        <v>366</v>
      </c>
      <c r="FB71" s="204">
        <v>352</v>
      </c>
      <c r="FC71" s="93" t="s">
        <v>215</v>
      </c>
      <c r="FD71" s="66"/>
      <c r="FE71" s="66">
        <v>9606</v>
      </c>
      <c r="FF71" s="66">
        <v>9606</v>
      </c>
      <c r="FG71" s="66">
        <v>9275</v>
      </c>
      <c r="FH71" s="66">
        <v>8925</v>
      </c>
      <c r="FI71" s="68">
        <v>8558</v>
      </c>
      <c r="FJ71" s="68">
        <v>8225</v>
      </c>
      <c r="FK71" s="68">
        <v>7866</v>
      </c>
      <c r="FL71" s="68">
        <v>7508</v>
      </c>
      <c r="FM71" s="68">
        <v>7160</v>
      </c>
      <c r="FN71" s="68">
        <v>6780</v>
      </c>
      <c r="FO71" s="68">
        <v>6457</v>
      </c>
      <c r="FP71" s="68">
        <v>6100</v>
      </c>
      <c r="FQ71" s="68">
        <v>5732</v>
      </c>
      <c r="FR71" s="157">
        <v>5391</v>
      </c>
      <c r="FS71" s="157">
        <v>5044</v>
      </c>
      <c r="FT71" s="157">
        <v>4708</v>
      </c>
      <c r="FU71" s="157">
        <v>4353</v>
      </c>
      <c r="FV71" s="157">
        <v>3995</v>
      </c>
    </row>
    <row r="72" spans="2:178">
      <c r="D72" s="80" t="s">
        <v>68</v>
      </c>
      <c r="E72" s="77">
        <f t="shared" ref="E72:AJ72" si="19">SUM(E4:E61)</f>
        <v>252080</v>
      </c>
      <c r="F72" s="77">
        <f t="shared" si="19"/>
        <v>254755</v>
      </c>
      <c r="G72" s="77">
        <f t="shared" si="19"/>
        <v>278415</v>
      </c>
      <c r="H72" s="77">
        <f t="shared" si="19"/>
        <v>266011</v>
      </c>
      <c r="I72" s="77">
        <f t="shared" si="19"/>
        <v>265174</v>
      </c>
      <c r="J72" s="77">
        <f t="shared" si="19"/>
        <v>244388</v>
      </c>
      <c r="K72" s="77">
        <f t="shared" si="19"/>
        <v>229909</v>
      </c>
      <c r="L72" s="77">
        <f t="shared" si="19"/>
        <v>220164</v>
      </c>
      <c r="M72" s="77">
        <f t="shared" si="19"/>
        <v>247766</v>
      </c>
      <c r="N72" s="77">
        <f t="shared" si="19"/>
        <v>295835</v>
      </c>
      <c r="O72" s="77">
        <f t="shared" si="19"/>
        <v>281303</v>
      </c>
      <c r="P72" s="77">
        <f t="shared" si="19"/>
        <v>266840</v>
      </c>
      <c r="Q72" s="77">
        <f t="shared" si="19"/>
        <v>274134</v>
      </c>
      <c r="R72" s="77">
        <f t="shared" si="19"/>
        <v>264880</v>
      </c>
      <c r="S72" s="77">
        <f t="shared" si="19"/>
        <v>311968</v>
      </c>
      <c r="T72" s="77">
        <f t="shared" si="19"/>
        <v>297097</v>
      </c>
      <c r="U72" s="77">
        <f t="shared" si="19"/>
        <v>276436</v>
      </c>
      <c r="V72" s="77">
        <f t="shared" si="19"/>
        <v>281511</v>
      </c>
      <c r="W72" s="77">
        <f t="shared" si="19"/>
        <v>262207</v>
      </c>
      <c r="X72" s="77">
        <f t="shared" si="19"/>
        <v>247789</v>
      </c>
      <c r="Y72" s="77">
        <f t="shared" si="19"/>
        <v>302505</v>
      </c>
      <c r="Z72" s="77">
        <f t="shared" si="19"/>
        <v>303017</v>
      </c>
      <c r="AA72" s="77">
        <f t="shared" si="19"/>
        <v>293556</v>
      </c>
      <c r="AB72" s="77">
        <f t="shared" si="19"/>
        <v>302993</v>
      </c>
      <c r="AC72" s="77">
        <f t="shared" si="19"/>
        <v>277550</v>
      </c>
      <c r="AD72" s="77">
        <f t="shared" si="19"/>
        <v>278196</v>
      </c>
      <c r="AE72" s="77">
        <f t="shared" si="19"/>
        <v>338617</v>
      </c>
      <c r="AF72" s="77">
        <f t="shared" si="19"/>
        <v>309456</v>
      </c>
      <c r="AG72" s="77">
        <f t="shared" si="19"/>
        <v>318937</v>
      </c>
      <c r="AH72" s="77">
        <f t="shared" si="19"/>
        <v>282739</v>
      </c>
      <c r="AI72" s="77">
        <f t="shared" si="19"/>
        <v>259474</v>
      </c>
      <c r="AJ72" s="77">
        <f t="shared" si="19"/>
        <v>272882</v>
      </c>
      <c r="AK72" s="77">
        <f t="shared" ref="AK72:BP72" si="20">SUM(AK4:AK61)</f>
        <v>289377</v>
      </c>
      <c r="AL72" s="77">
        <f t="shared" si="20"/>
        <v>308674</v>
      </c>
      <c r="AM72" s="77">
        <f t="shared" si="20"/>
        <v>320173</v>
      </c>
      <c r="AN72" s="77">
        <f t="shared" si="20"/>
        <v>301989</v>
      </c>
      <c r="AO72" s="77">
        <f t="shared" si="20"/>
        <v>285596</v>
      </c>
      <c r="AP72" s="77">
        <f t="shared" si="20"/>
        <v>313559</v>
      </c>
      <c r="AQ72" s="77">
        <f t="shared" si="20"/>
        <v>333329</v>
      </c>
      <c r="AR72" s="77">
        <f t="shared" si="20"/>
        <v>295061</v>
      </c>
      <c r="AS72" s="77">
        <f t="shared" si="20"/>
        <v>351124</v>
      </c>
      <c r="AT72" s="77">
        <f t="shared" si="20"/>
        <v>303998</v>
      </c>
      <c r="AU72" s="77">
        <f t="shared" si="20"/>
        <v>243772</v>
      </c>
      <c r="AV72" s="77">
        <f t="shared" si="20"/>
        <v>308838</v>
      </c>
      <c r="AW72" s="77">
        <f t="shared" si="20"/>
        <v>317794</v>
      </c>
      <c r="AX72" s="77">
        <f t="shared" si="20"/>
        <v>278250</v>
      </c>
      <c r="AY72" s="77">
        <f t="shared" si="20"/>
        <v>318068</v>
      </c>
      <c r="AZ72" s="77">
        <f t="shared" si="20"/>
        <v>307686</v>
      </c>
      <c r="BA72" s="77">
        <f t="shared" si="20"/>
        <v>212800</v>
      </c>
      <c r="BB72" s="77">
        <f t="shared" si="20"/>
        <v>241411</v>
      </c>
      <c r="BC72" s="77">
        <f t="shared" si="20"/>
        <v>247909</v>
      </c>
      <c r="BD72" s="77">
        <f t="shared" si="20"/>
        <v>246432</v>
      </c>
      <c r="BE72" s="77">
        <f t="shared" si="20"/>
        <v>271273</v>
      </c>
      <c r="BF72" s="77">
        <f t="shared" si="20"/>
        <v>234655</v>
      </c>
      <c r="BG72" s="77">
        <f t="shared" si="20"/>
        <v>267046</v>
      </c>
      <c r="BH72" s="77">
        <f t="shared" si="20"/>
        <v>272614</v>
      </c>
      <c r="BI72" s="77">
        <f t="shared" si="20"/>
        <v>306197</v>
      </c>
      <c r="BJ72" s="77">
        <f t="shared" si="20"/>
        <v>333892</v>
      </c>
      <c r="BK72" s="77">
        <f t="shared" si="20"/>
        <v>342020</v>
      </c>
      <c r="BL72" s="77">
        <f t="shared" si="20"/>
        <v>296584</v>
      </c>
      <c r="BM72" s="77">
        <f t="shared" si="20"/>
        <v>301748</v>
      </c>
      <c r="BN72" s="77">
        <f t="shared" si="20"/>
        <v>314766</v>
      </c>
      <c r="BO72" s="77">
        <f t="shared" si="20"/>
        <v>322443</v>
      </c>
      <c r="BP72" s="77">
        <f t="shared" si="20"/>
        <v>351483</v>
      </c>
      <c r="BQ72" s="77">
        <f t="shared" ref="BQ72:CS72" si="21">SUM(BQ4:BQ61)</f>
        <v>356420</v>
      </c>
      <c r="BR72" s="77">
        <f t="shared" si="21"/>
        <v>321018</v>
      </c>
      <c r="BS72" s="77">
        <f t="shared" si="21"/>
        <v>326358</v>
      </c>
      <c r="BT72" s="77">
        <f t="shared" si="21"/>
        <v>301948</v>
      </c>
      <c r="BU72" s="77">
        <f t="shared" si="21"/>
        <v>329756</v>
      </c>
      <c r="BV72" s="77">
        <f t="shared" si="21"/>
        <v>354868</v>
      </c>
      <c r="BW72" s="77">
        <f t="shared" si="21"/>
        <v>332260</v>
      </c>
      <c r="BX72" s="77">
        <f t="shared" si="21"/>
        <v>242424</v>
      </c>
      <c r="BY72" s="77">
        <f t="shared" si="21"/>
        <v>260859</v>
      </c>
      <c r="BZ72" s="77">
        <f t="shared" si="21"/>
        <v>258945</v>
      </c>
      <c r="CA72" s="77">
        <f t="shared" si="21"/>
        <v>377836</v>
      </c>
      <c r="CB72" s="77">
        <f t="shared" si="21"/>
        <v>348709</v>
      </c>
      <c r="CC72" s="77">
        <f t="shared" si="21"/>
        <v>283909</v>
      </c>
      <c r="CD72" s="77">
        <f t="shared" si="21"/>
        <v>280873</v>
      </c>
      <c r="CE72" s="77">
        <f t="shared" si="21"/>
        <v>262219</v>
      </c>
      <c r="CF72" s="77">
        <f t="shared" si="21"/>
        <v>208348</v>
      </c>
      <c r="CG72" s="77">
        <f t="shared" si="21"/>
        <v>261289</v>
      </c>
      <c r="CH72" s="77">
        <f t="shared" si="21"/>
        <v>231032</v>
      </c>
      <c r="CI72" s="77">
        <f t="shared" si="21"/>
        <v>260510</v>
      </c>
      <c r="CJ72" s="77">
        <f t="shared" si="21"/>
        <v>291027</v>
      </c>
      <c r="CK72" s="79">
        <f t="shared" si="21"/>
        <v>265659</v>
      </c>
      <c r="CL72" s="79">
        <f t="shared" si="21"/>
        <v>232096</v>
      </c>
      <c r="CM72" s="79">
        <f t="shared" si="21"/>
        <v>303922</v>
      </c>
      <c r="CN72" s="79">
        <f t="shared" si="21"/>
        <v>267278</v>
      </c>
      <c r="CO72" s="79">
        <f t="shared" si="21"/>
        <v>293224</v>
      </c>
      <c r="CP72" s="79">
        <f t="shared" si="21"/>
        <v>259382</v>
      </c>
      <c r="CQ72" s="79">
        <f t="shared" si="21"/>
        <v>249052</v>
      </c>
      <c r="CR72" s="79">
        <f t="shared" si="21"/>
        <v>237507</v>
      </c>
      <c r="CS72" s="79">
        <f t="shared" si="21"/>
        <v>288377</v>
      </c>
      <c r="CT72" s="79">
        <f t="shared" ref="CT72:DA72" si="22">SUM(CT4:CT62)</f>
        <v>282594</v>
      </c>
      <c r="CU72" s="79">
        <f t="shared" si="22"/>
        <v>308231</v>
      </c>
      <c r="CV72" s="79">
        <f t="shared" si="22"/>
        <v>275823</v>
      </c>
      <c r="CW72" s="77">
        <f t="shared" si="22"/>
        <v>289890</v>
      </c>
      <c r="CX72" s="77">
        <f t="shared" si="22"/>
        <v>293783</v>
      </c>
      <c r="CY72" s="77">
        <f t="shared" si="22"/>
        <v>338691</v>
      </c>
      <c r="CZ72" s="77">
        <f t="shared" si="22"/>
        <v>302816</v>
      </c>
      <c r="DA72" s="77">
        <f t="shared" si="22"/>
        <v>338707</v>
      </c>
      <c r="DB72" s="77">
        <f t="shared" ref="DB72:DI72" si="23">SUM(DB4:DB71)</f>
        <v>304173</v>
      </c>
      <c r="DC72" s="77">
        <f t="shared" si="23"/>
        <v>258838</v>
      </c>
      <c r="DD72" s="77">
        <f t="shared" si="23"/>
        <v>261658</v>
      </c>
      <c r="DE72" s="77">
        <f t="shared" si="23"/>
        <v>242578</v>
      </c>
      <c r="DF72" s="77">
        <f t="shared" si="23"/>
        <v>257203</v>
      </c>
      <c r="DG72" s="77">
        <f t="shared" si="23"/>
        <v>291975</v>
      </c>
      <c r="DH72" s="77">
        <f t="shared" si="23"/>
        <v>299799</v>
      </c>
      <c r="DI72" s="77">
        <f t="shared" si="23"/>
        <v>274978</v>
      </c>
      <c r="DJ72" s="77">
        <f t="shared" ref="DJ72:DS72" si="24">SUM(DJ4:DJ71)</f>
        <v>328477</v>
      </c>
      <c r="DK72" s="77">
        <f t="shared" si="24"/>
        <v>371840</v>
      </c>
      <c r="DL72" s="77">
        <f t="shared" si="24"/>
        <v>337505</v>
      </c>
      <c r="DM72" s="77">
        <f t="shared" si="24"/>
        <v>378554</v>
      </c>
      <c r="DN72" s="77">
        <f t="shared" si="24"/>
        <v>330635</v>
      </c>
      <c r="DO72" s="77">
        <f t="shared" si="24"/>
        <v>291933</v>
      </c>
      <c r="DP72" s="77">
        <f t="shared" si="24"/>
        <v>330857</v>
      </c>
      <c r="DQ72" s="77">
        <f t="shared" si="24"/>
        <v>362033</v>
      </c>
      <c r="DR72" s="77">
        <f t="shared" si="24"/>
        <v>334481</v>
      </c>
      <c r="DS72" s="77">
        <f t="shared" si="24"/>
        <v>378813</v>
      </c>
      <c r="DT72" s="77">
        <f>SUM(DT4:DT71)</f>
        <v>338399</v>
      </c>
      <c r="DU72" s="77">
        <f>SUM(DU4:DU71)</f>
        <v>301258</v>
      </c>
      <c r="DV72" s="77">
        <f>SUM(DV4:DV71)</f>
        <v>353508</v>
      </c>
      <c r="DW72" s="77">
        <f t="shared" ref="DW72:EB72" si="25">SUM(DW4:DW71)</f>
        <v>370944</v>
      </c>
      <c r="DX72" s="77">
        <f t="shared" si="25"/>
        <v>377527</v>
      </c>
      <c r="DY72" s="77">
        <f t="shared" si="25"/>
        <v>389105</v>
      </c>
      <c r="DZ72" s="77">
        <f t="shared" si="25"/>
        <v>332453</v>
      </c>
      <c r="EA72" s="77">
        <f t="shared" si="25"/>
        <v>349422</v>
      </c>
      <c r="EB72" s="77">
        <f t="shared" si="25"/>
        <v>351548</v>
      </c>
      <c r="EC72" s="77">
        <f t="shared" ref="EC72:ED72" si="26">SUM(EC4:EC71)</f>
        <v>350051</v>
      </c>
      <c r="ED72" s="77">
        <f t="shared" si="26"/>
        <v>399926</v>
      </c>
      <c r="EE72" s="77">
        <f t="shared" ref="EE72:EF72" si="27">SUM(EE4:EE71)</f>
        <v>380344</v>
      </c>
      <c r="EF72" s="77">
        <f t="shared" si="27"/>
        <v>335002</v>
      </c>
      <c r="EG72" s="77">
        <f t="shared" ref="EG72:EH72" si="28">SUM(EG4:EG71)</f>
        <v>365544</v>
      </c>
      <c r="EH72" s="77">
        <f t="shared" si="28"/>
        <v>369772</v>
      </c>
      <c r="EI72" s="77">
        <f t="shared" ref="EI72:EJ72" si="29">SUM(EI4:EI71)</f>
        <v>418704</v>
      </c>
      <c r="EJ72" s="77">
        <f t="shared" si="29"/>
        <v>413057</v>
      </c>
      <c r="EK72" s="77">
        <f t="shared" ref="EK72:EL72" si="30">SUM(EK4:EK71)</f>
        <v>402470</v>
      </c>
      <c r="EL72" s="77">
        <f t="shared" si="30"/>
        <v>386220</v>
      </c>
      <c r="EM72" s="77">
        <f t="shared" ref="EM72:EN72" si="31">SUM(EM4:EM71)</f>
        <v>369287</v>
      </c>
      <c r="EN72" s="77">
        <f t="shared" si="31"/>
        <v>387630</v>
      </c>
      <c r="EO72" s="77">
        <f t="shared" ref="EO72:EP72" si="32">SUM(EO4:EO71)</f>
        <v>377349</v>
      </c>
      <c r="EP72" s="77">
        <f t="shared" si="32"/>
        <v>427060</v>
      </c>
      <c r="EQ72" s="77">
        <f t="shared" ref="EQ72:ER72" si="33">SUM(EQ4:EQ71)</f>
        <v>404853</v>
      </c>
      <c r="ER72" s="77">
        <f t="shared" si="33"/>
        <v>375997</v>
      </c>
      <c r="ES72" s="77">
        <f t="shared" ref="ES72:ET72" si="34">SUM(ES4:ES71)</f>
        <v>362265</v>
      </c>
      <c r="ET72" s="77">
        <f t="shared" si="34"/>
        <v>378878</v>
      </c>
      <c r="EU72" s="77">
        <f t="shared" ref="EU72:EV72" si="35">SUM(EU4:EU71)</f>
        <v>437109</v>
      </c>
      <c r="EV72" s="77">
        <f t="shared" si="35"/>
        <v>417169</v>
      </c>
      <c r="EW72" s="77">
        <f t="shared" ref="EW72:EX72" si="36">SUM(EW4:EW71)</f>
        <v>402881</v>
      </c>
      <c r="EX72" s="77">
        <f t="shared" si="36"/>
        <v>388825</v>
      </c>
      <c r="EY72" s="77">
        <f t="shared" ref="EY72" si="37">SUM(EY4:EY71)</f>
        <v>338985</v>
      </c>
      <c r="EZ72" s="77">
        <f>SUM(EZ4:EZ71)</f>
        <v>320308</v>
      </c>
      <c r="FA72" s="77">
        <f>SUM(FA4:FA71)</f>
        <v>442364</v>
      </c>
      <c r="FB72" s="77">
        <f>SUM(FB4:FB71)</f>
        <v>449653</v>
      </c>
      <c r="FC72" s="80" t="s">
        <v>68</v>
      </c>
      <c r="FQ72" s="77"/>
      <c r="FR72" s="77"/>
      <c r="FS72" s="77"/>
      <c r="FT72" s="77"/>
      <c r="FU72" s="77"/>
      <c r="FV72" s="77"/>
    </row>
    <row r="74" spans="2:178">
      <c r="D74" s="80"/>
      <c r="FC74" s="80"/>
    </row>
    <row r="75" spans="2:178">
      <c r="D75" s="80" t="s">
        <v>69</v>
      </c>
      <c r="K75" s="66">
        <f>'[1]CLP Tariff'!D9-'[1]Commercial &amp; Quarter'!K68</f>
        <v>331722</v>
      </c>
      <c r="L75" s="66">
        <f>'[1]CLP Tariff'!D10-'[1]Commercial &amp; Quarter'!L68</f>
        <v>373752</v>
      </c>
      <c r="M75" s="66">
        <f>'[1]CLP Tariff'!D11-'[1]Commercial &amp; Quarter'!M68</f>
        <v>291750</v>
      </c>
      <c r="N75" s="66">
        <f>'[1]CLP Tariff'!D12-'[1]Commercial &amp; Quarter'!N68</f>
        <v>284031</v>
      </c>
      <c r="O75" s="66">
        <f>'[1]CLP Tariff'!D13-'[1]Commercial &amp; Quarter'!O68</f>
        <v>431333</v>
      </c>
      <c r="P75" s="66">
        <f>'[1]CLP Tariff'!D14-'[1]Commercial &amp; Quarter'!P68</f>
        <v>620564</v>
      </c>
      <c r="Q75" s="66">
        <f>'[1]CLP Tariff'!D15-'[1]Commercial &amp; Quarter'!Q68</f>
        <v>624268</v>
      </c>
      <c r="R75" s="66">
        <f>'[1]CLP Tariff'!D16-'[1]Commercial &amp; Quarter'!R68</f>
        <v>525280</v>
      </c>
      <c r="S75" s="66">
        <f>'[1]CLP Tariff'!D17-'[1]Commercial &amp; Quarter'!S68</f>
        <v>614450</v>
      </c>
      <c r="T75" s="66">
        <f>'[1]CLP Tariff'!D18-'[1]Commercial &amp; Quarter'!T68</f>
        <v>336402</v>
      </c>
      <c r="U75" s="66">
        <f>'[1]CLP Tariff'!D19-'[1]Commercial &amp; Quarter'!U68</f>
        <v>200972</v>
      </c>
      <c r="V75" s="66">
        <f>'[1]CLP Tariff'!D20-'[1]Commercial &amp; Quarter'!V68</f>
        <v>297850</v>
      </c>
      <c r="W75" s="66">
        <f>'[1]CLP Tariff'!D21-'[1]Commercial &amp; Quarter'!W68</f>
        <v>285323</v>
      </c>
      <c r="X75" s="66">
        <f>'[1]CLP Tariff'!D22-'[1]Commercial &amp; Quarter'!X68</f>
        <v>239594</v>
      </c>
      <c r="Y75" s="66">
        <f>'[1]CLP Tariff'!D23-'[1]Commercial &amp; Quarter'!Y68</f>
        <v>258258</v>
      </c>
      <c r="Z75" s="66">
        <f>'[1]CLP Tariff'!D24-'[1]Commercial &amp; Quarter'!Z68</f>
        <v>247527</v>
      </c>
      <c r="AA75" s="66">
        <f>'[1]CLP Tariff'!D25-'[1]Commercial &amp; Quarter'!AA68</f>
        <v>382557</v>
      </c>
      <c r="AB75" s="66">
        <f>'[1]CLP Tariff'!D26-'[1]Commercial &amp; Quarter'!AB68</f>
        <v>649012</v>
      </c>
      <c r="BA75" s="66">
        <f>'[1]CLP Tariff'!D51-'[1]Commercial &amp; Quarter'!BA68</f>
        <v>364157</v>
      </c>
      <c r="BB75" s="66">
        <f>'[1]CLP Tariff'!D52-'[1]Commercial &amp; Quarter'!BB68</f>
        <v>546376</v>
      </c>
      <c r="BC75" s="66">
        <f>'[1]CLP Tariff'!D53-'[1]Commercial &amp; Quarter'!BC68</f>
        <v>507149</v>
      </c>
      <c r="BD75" s="66">
        <f>'[1]CLP Tariff'!D54-'[1]Commercial &amp; Quarter'!BD68</f>
        <v>358087</v>
      </c>
      <c r="BE75" s="66">
        <f>'[1]CLP Tariff'!D55-'[1]Commercial &amp; Quarter'!BE68</f>
        <v>171718</v>
      </c>
      <c r="BF75" s="66">
        <f>'[1]CLP Tariff'!D56-'[1]Commercial &amp; Quarter'!BF68</f>
        <v>177336</v>
      </c>
      <c r="BG75" s="66">
        <f>'[1]CLP Tariff'!D57-'[1]Commercial &amp; Quarter'!BG68</f>
        <v>265201</v>
      </c>
      <c r="BH75" s="66">
        <f>'[1]CLP Tariff'!D58-'[1]Commercial &amp; Quarter'!BH68</f>
        <v>316843</v>
      </c>
      <c r="BI75" s="66">
        <f>'[1]CLP Tariff'!D59-'[1]Commercial &amp; Quarter'!BI68</f>
        <v>181415</v>
      </c>
      <c r="BJ75" s="66">
        <f>'[1]CLP Tariff'!D60-'[1]Commercial &amp; Quarter'!BJ68</f>
        <v>204819</v>
      </c>
      <c r="BK75" s="66">
        <f>'[1]CLP Tariff'!D61-'[1]Commercial &amp; Quarter'!BK68</f>
        <v>453364</v>
      </c>
      <c r="BL75" s="66">
        <f>'[1]CLP Tariff'!D62-'[1]Commercial &amp; Quarter'!BL68</f>
        <v>453882</v>
      </c>
      <c r="BM75" s="66">
        <f>'[1]CLP Tariff'!D63-'[1]Commercial &amp; Quarter'!BM68</f>
        <v>506427</v>
      </c>
      <c r="BN75" s="66">
        <f>'[1]CLP Tariff'!D64-'[1]Commercial &amp; Quarter'!BN68</f>
        <v>505306</v>
      </c>
      <c r="BO75" s="66">
        <f>'[1]CLP Tariff'!D65-'[1]Commercial &amp; Quarter'!BO68</f>
        <v>456405</v>
      </c>
      <c r="BP75" s="66">
        <f>'[1]CLP Tariff'!D66-'[1]Commercial &amp; Quarter'!BP68</f>
        <v>284171</v>
      </c>
      <c r="BQ75" s="66">
        <f>'[1]CLP Tariff'!D67-'[1]Commercial &amp; Quarter'!BQ68</f>
        <v>197248</v>
      </c>
      <c r="BR75" s="66">
        <f>'[1]CLP Tariff'!D68-'[1]Commercial &amp; Quarter'!BR68</f>
        <v>161899</v>
      </c>
      <c r="BS75" s="66">
        <f>'[1]CLP Tariff'!D69-'[1]Commercial &amp; Quarter'!BS68</f>
        <v>260811</v>
      </c>
      <c r="BT75" s="66">
        <f>'[1]CLP Tariff'!D70-'[1]Commercial &amp; Quarter'!BT68</f>
        <v>187730</v>
      </c>
      <c r="BU75" s="66">
        <f>'[1]CLP Tariff'!D71-'[1]Commercial &amp; Quarter'!BU68</f>
        <v>212216</v>
      </c>
      <c r="BV75" s="66">
        <f>'[1]CLP Tariff'!D72-'[1]Commercial &amp; Quarter'!BV68</f>
        <v>301540</v>
      </c>
      <c r="BW75" s="66">
        <f>'[1]CLP Tariff'!D73-'[1]Commercial &amp; Quarter'!BW68</f>
        <v>353019</v>
      </c>
      <c r="BX75" s="66">
        <f>'[1]CLP Tariff'!D74-'[1]Commercial &amp; Quarter'!BX68</f>
        <v>512691</v>
      </c>
      <c r="BY75" s="66">
        <f>'[1]CLP Tariff'!D75-'[1]Commercial &amp; Quarter'!BY68</f>
        <v>604628</v>
      </c>
      <c r="BZ75" s="66">
        <f>'[1]CLP Tariff'!D76-'[1]Commercial &amp; Quarter'!BZ68</f>
        <v>628443</v>
      </c>
      <c r="CA75" s="66">
        <f>'[1]CLP Tariff'!D77-'[1]Commercial &amp; Quarter'!CA68</f>
        <v>558773</v>
      </c>
      <c r="CB75" s="66">
        <f>'[1]CLP Tariff'!D78-'[1]Commercial &amp; Quarter'!CB68</f>
        <v>401297</v>
      </c>
      <c r="CC75" s="66">
        <f>'[1]CLP Tariff'!D79-'[1]Commercial &amp; Quarter'!CC68</f>
        <v>202530</v>
      </c>
      <c r="CD75" s="66">
        <f>'[1]CLP Tariff'!D80-'[1]Commercial &amp; Quarter'!CD68</f>
        <v>204317</v>
      </c>
      <c r="CE75" s="66">
        <f>'[1]CLP Tariff'!D81-'[1]Commercial &amp; Quarter'!CE68</f>
        <v>221082</v>
      </c>
      <c r="CF75" s="66">
        <f>'[1]CLP Tariff'!D82-'[1]Commercial &amp; Quarter'!CF68</f>
        <v>259884</v>
      </c>
      <c r="CG75" s="66">
        <f>'[1]CLP Tariff'!D83-'[1]Commercial &amp; Quarter'!CG68</f>
        <v>236868</v>
      </c>
      <c r="CH75" s="66">
        <f>'[1]CLP Tariff'!D84-'[1]Commercial &amp; Quarter'!CH68</f>
        <v>245186</v>
      </c>
      <c r="CI75" s="66">
        <f>'[1]CLP Tariff'!D85-'[1]Commercial &amp; Quarter'!CI68</f>
        <v>466369</v>
      </c>
      <c r="CJ75" s="66">
        <f>'[1]CLP Tariff'!D86-'[1]Commercial &amp; Quarter'!CJ68</f>
        <v>678562</v>
      </c>
      <c r="CK75" s="66">
        <f>'[1]CLP Tariff'!D87-'[1]Commercial &amp; Quarter'!CK68</f>
        <v>760101</v>
      </c>
      <c r="CL75" s="66">
        <f>'[1]CLP Tariff'!D88-'[1]Commercial &amp; Quarter'!CL68</f>
        <v>598243</v>
      </c>
      <c r="CM75" s="66">
        <f>'[1]CLP Tariff'!D89-'[1]Commercial &amp; Quarter'!CM68</f>
        <v>623207</v>
      </c>
      <c r="CN75" s="66">
        <f>'[1]CLP Tariff'!D90-'[1]Commercial &amp; Quarter'!CN68</f>
        <v>320386</v>
      </c>
      <c r="CO75" s="66">
        <f>'[1]CLP Tariff'!D91-'[1]Commercial &amp; Quarter'!CO68</f>
        <v>232228</v>
      </c>
      <c r="CP75" s="66">
        <f>'[1]CLP Tariff'!D92-'[1]Commercial &amp; Quarter'!CP68</f>
        <v>250102</v>
      </c>
      <c r="CQ75" s="66">
        <f>'[1]CLP Tariff'!D93-'[1]Commercial &amp; Quarter'!CQ68</f>
        <v>337663</v>
      </c>
      <c r="CR75" s="66">
        <f>'[1]CLP Tariff'!D94-'[1]Commercial &amp; Quarter'!CR68</f>
        <v>185977</v>
      </c>
      <c r="CS75" s="66">
        <f>'[1]CLP Tariff'!D95-'[1]Commercial &amp; Quarter'!CS68</f>
        <v>236455</v>
      </c>
      <c r="CT75" s="66">
        <f>'[1]CLP Tariff'!D96-'[1]Commercial &amp; Quarter'!CT68</f>
        <v>271666</v>
      </c>
      <c r="CU75" s="66">
        <f>'[1]CLP Tariff'!D97-'[1]Commercial &amp; Quarter'!CU68</f>
        <v>579923</v>
      </c>
      <c r="CV75" s="66">
        <f>'[1]CLP Tariff'!D98-'[1]Commercial &amp; Quarter'!CV68</f>
        <v>535380</v>
      </c>
      <c r="CW75" s="66">
        <f>'[1]CLP Tariff'!D99-'[1]Commercial &amp; Quarter'!CW68</f>
        <v>640055</v>
      </c>
      <c r="CX75" s="66">
        <f>'[1]CLP Tariff'!D100-'[1]Commercial &amp; Quarter'!CX68</f>
        <v>560321</v>
      </c>
      <c r="CY75" s="66">
        <f>'[1]CLP Tariff'!D101-'[1]Commercial &amp; Quarter'!CY68</f>
        <v>641334</v>
      </c>
      <c r="CZ75" s="66">
        <f>'[1]CLP Tariff'!D102-'[1]Commercial &amp; Quarter'!CZ68</f>
        <v>384445</v>
      </c>
      <c r="DA75" s="66">
        <f>'[1]CLP Tariff'!D103-'[1]Commercial &amp; Quarter'!DA68</f>
        <v>242225</v>
      </c>
      <c r="DB75" s="66">
        <f>'[1]CLP Tariff'!D104-'[1]Commercial &amp; Quarter'!DB68</f>
        <v>221449</v>
      </c>
      <c r="DC75" s="66">
        <f>'[1]CLP Tariff'!D105-'[1]Commercial &amp; Quarter'!DC68</f>
        <v>252408</v>
      </c>
      <c r="DD75" s="66">
        <f>'[1]CLP Tariff'!D106-'[1]Commercial &amp; Quarter'!DD68</f>
        <v>388982</v>
      </c>
      <c r="DE75" s="66">
        <f>'CLP Tariff'!D107-'Commercial &amp; Quarter'!DE72</f>
        <v>227890</v>
      </c>
      <c r="DF75" s="66">
        <f>'CLP Tariff'!D108-'Commercial &amp; Quarter'!DF72</f>
        <v>262759</v>
      </c>
      <c r="DG75" s="66">
        <f>'CLP Tariff'!D109-'Commercial &amp; Quarter'!DG72</f>
        <v>308806</v>
      </c>
      <c r="DH75" s="66">
        <f>'CLP Tariff'!D110-'Commercial &amp; Quarter'!DH72</f>
        <v>522689</v>
      </c>
      <c r="DI75" s="66">
        <f>'CLP Tariff'!D111-'Commercial &amp; Quarter'!DI72</f>
        <v>592104</v>
      </c>
      <c r="DJ75" s="66">
        <f>'CLP Tariff'!D112-'Commercial &amp; Quarter'!DJ72</f>
        <v>614216</v>
      </c>
      <c r="DK75" s="66">
        <f>'CLP Tariff'!D113-'Commercial &amp; Quarter'!DK72</f>
        <v>585972</v>
      </c>
      <c r="DL75" s="66">
        <f>'CLP Tariff'!D114-'Commercial &amp; Quarter'!DL72</f>
        <v>319579</v>
      </c>
      <c r="DM75" s="66">
        <f>'CLP Tariff'!D115-'Commercial &amp; Quarter'!DM72</f>
        <v>276024</v>
      </c>
      <c r="DN75" s="66">
        <f>'CLP Tariff'!D116-'Commercial &amp; Quarter'!DN72</f>
        <v>275989</v>
      </c>
      <c r="DO75" s="66">
        <f>'CLP Tariff'!D117-'Commercial &amp; Quarter'!DO72</f>
        <v>267451</v>
      </c>
      <c r="DP75" s="66">
        <f>'CLP Tariff'!D118-'Commercial &amp; Quarter'!DP72</f>
        <v>215971</v>
      </c>
      <c r="DQ75" s="66">
        <f>'CLP Tariff'!D119-'Commercial &amp; Quarter'!DQ72</f>
        <v>201635</v>
      </c>
      <c r="DR75" s="66">
        <f>'CLP Tariff'!D120-'Commercial &amp; Quarter'!DR72</f>
        <v>258966</v>
      </c>
      <c r="DS75" s="66">
        <f>'CLP Tariff'!D121-'Commercial &amp; Quarter'!DS72</f>
        <v>396044</v>
      </c>
      <c r="DT75" s="66">
        <f>'CLP Tariff'!D122-'Commercial &amp; Quarter'!DT72</f>
        <v>581560</v>
      </c>
      <c r="DU75" s="66">
        <f>'CLP Tariff'!D123-'Commercial &amp; Quarter'!DU72</f>
        <v>553377</v>
      </c>
      <c r="DV75" s="66">
        <f>'CLP Tariff'!D124-'Commercial &amp; Quarter'!DV72</f>
        <v>670447</v>
      </c>
      <c r="DW75" s="66">
        <f>'CLP Tariff'!D125-'Commercial &amp; Quarter'!DW72</f>
        <v>554541</v>
      </c>
      <c r="DX75" s="66">
        <f>'CLP Tariff'!D126-'Commercial &amp; Quarter'!DX72</f>
        <v>421737</v>
      </c>
      <c r="DY75" s="66">
        <f>'CLP Tariff'!D127-'Commercial &amp; Quarter'!DY72</f>
        <v>276724</v>
      </c>
      <c r="DZ75" s="66">
        <f>'CLP Tariff'!D128-'Commercial &amp; Quarter'!DZ72</f>
        <v>248375</v>
      </c>
      <c r="EA75" s="66">
        <f>'CLP Tariff'!D129-'Commercial &amp; Quarter'!EA72</f>
        <v>268230</v>
      </c>
      <c r="EB75" s="66">
        <f>'CLP Tariff'!D130-'Commercial &amp; Quarter'!EB72</f>
        <v>252644</v>
      </c>
      <c r="EC75" s="66">
        <f>'CLP Tariff'!D131-'Commercial &amp; Quarter'!EC72</f>
        <v>269197</v>
      </c>
      <c r="ED75" s="66">
        <f>'CLP Tariff'!D132-'Commercial &amp; Quarter'!ED72</f>
        <v>440626</v>
      </c>
      <c r="EE75" s="66">
        <f>'CLP Tariff'!D133-'Commercial &amp; Quarter'!EE72</f>
        <v>389597</v>
      </c>
      <c r="EF75" s="66">
        <f>'CLP Tariff'!D134-'Commercial &amp; Quarter'!EF72</f>
        <v>545833</v>
      </c>
      <c r="EG75" s="66">
        <f>'CLP Tariff'!D135-'Commercial &amp; Quarter'!EG72</f>
        <v>698723</v>
      </c>
      <c r="EH75" s="66">
        <f>'CLP Tariff'!D136-'Commercial &amp; Quarter'!EH72</f>
        <v>655351</v>
      </c>
      <c r="EI75" s="66">
        <f>'CLP Tariff'!D137-'Commercial &amp; Quarter'!EI72</f>
        <v>638681</v>
      </c>
      <c r="EJ75" s="66">
        <f>'CLP Tariff'!D138-'Commercial &amp; Quarter'!EJ72</f>
        <v>422468</v>
      </c>
      <c r="EK75" s="66">
        <f>'CLP Tariff'!D139-'Commercial &amp; Quarter'!EK72</f>
        <v>294258</v>
      </c>
      <c r="EL75" s="66">
        <f>'CLP Tariff'!D140-'Commercial &amp; Quarter'!EL72</f>
        <v>248724</v>
      </c>
      <c r="EM75" s="66">
        <f>'CLP Tariff'!D141-'Commercial &amp; Quarter'!EM72</f>
        <v>211046</v>
      </c>
      <c r="EN75" s="66">
        <f>'CLP Tariff'!D142-'Commercial &amp; Quarter'!EN72</f>
        <v>290822</v>
      </c>
      <c r="EO75" s="66">
        <f>'CLP Tariff'!D143-'Commercial &amp; Quarter'!EO72</f>
        <v>260659</v>
      </c>
      <c r="EP75" s="66">
        <f>'CLP Tariff'!D144-'Commercial &amp; Quarter'!EP72</f>
        <v>347588</v>
      </c>
      <c r="EQ75" s="66">
        <f>'CLP Tariff'!D145-'Commercial &amp; Quarter'!EQ72</f>
        <v>465268</v>
      </c>
      <c r="ER75" s="66">
        <f>'CLP Tariff'!D146-'Commercial &amp; Quarter'!ER72</f>
        <v>585012</v>
      </c>
      <c r="ES75" s="66">
        <f>'CLP Tariff'!D147-'Commercial &amp; Quarter'!ES72</f>
        <v>617583</v>
      </c>
      <c r="ET75" s="66">
        <f>'CLP Tariff'!D148-'Commercial &amp; Quarter'!ET72</f>
        <v>567769</v>
      </c>
      <c r="EU75" s="66">
        <f>'CLP Tariff'!D149-'Commercial &amp; Quarter'!EU72</f>
        <v>642697</v>
      </c>
      <c r="EV75" s="66">
        <f>'CLP Tariff'!D150-'Commercial &amp; Quarter'!EV72</f>
        <v>468333</v>
      </c>
      <c r="EW75" s="66">
        <f>'CLP Tariff'!D151-'Commercial &amp; Quarter'!EW72</f>
        <v>243279</v>
      </c>
      <c r="EX75" s="66">
        <f>'CLP Tariff'!D152-'Commercial &amp; Quarter'!EX72</f>
        <v>237910</v>
      </c>
      <c r="EY75" s="66">
        <f>'CLP Tariff'!D153-'Commercial &amp; Quarter'!EY72</f>
        <v>281582</v>
      </c>
      <c r="EZ75" s="66">
        <f>'CLP Tariff'!D154-'Commercial &amp; Quarter'!EZ72</f>
        <v>239014</v>
      </c>
      <c r="FA75" s="66">
        <f>'CLP Tariff'!D155-'Commercial &amp; Quarter'!FA72</f>
        <v>248482</v>
      </c>
      <c r="FB75" s="66">
        <f>'CLP Tariff'!D156-'Commercial &amp; Quarter'!FB72</f>
        <v>343826</v>
      </c>
      <c r="FC75" s="80" t="s">
        <v>69</v>
      </c>
    </row>
    <row r="76" spans="2:178">
      <c r="D76" s="80"/>
      <c r="FC76" s="80"/>
    </row>
  </sheetData>
  <mergeCells count="60">
    <mergeCell ref="AE47:AE48"/>
    <mergeCell ref="A47:A49"/>
    <mergeCell ref="BK47:BK48"/>
    <mergeCell ref="S47:S48"/>
    <mergeCell ref="T47:T48"/>
    <mergeCell ref="U47:U48"/>
    <mergeCell ref="V47:V48"/>
    <mergeCell ref="W47:W48"/>
    <mergeCell ref="X47:X48"/>
    <mergeCell ref="Y47:Y48"/>
    <mergeCell ref="Z47:Z48"/>
    <mergeCell ref="AA47:AA48"/>
    <mergeCell ref="AB47:AB48"/>
    <mergeCell ref="AC47:AC48"/>
    <mergeCell ref="AD47:AD48"/>
    <mergeCell ref="AQ47:AQ48"/>
    <mergeCell ref="AF47:AF48"/>
    <mergeCell ref="AG47:AG48"/>
    <mergeCell ref="AH47:AH48"/>
    <mergeCell ref="AI47:AI48"/>
    <mergeCell ref="AJ47:AJ48"/>
    <mergeCell ref="AK47:AK48"/>
    <mergeCell ref="AL47:AL48"/>
    <mergeCell ref="AM47:AM48"/>
    <mergeCell ref="AN47:AN48"/>
    <mergeCell ref="AO47:AO48"/>
    <mergeCell ref="AP47:AP48"/>
    <mergeCell ref="BC47:BC48"/>
    <mergeCell ref="AR47:AR48"/>
    <mergeCell ref="AS47:AS48"/>
    <mergeCell ref="AT47:AT48"/>
    <mergeCell ref="AU47:AU48"/>
    <mergeCell ref="AV47:AV48"/>
    <mergeCell ref="AW47:AW48"/>
    <mergeCell ref="AX47:AX48"/>
    <mergeCell ref="AY47:AY48"/>
    <mergeCell ref="AZ47:AZ48"/>
    <mergeCell ref="BA47:BA48"/>
    <mergeCell ref="BB47:BB48"/>
    <mergeCell ref="BJ47:BJ48"/>
    <mergeCell ref="BD47:BD48"/>
    <mergeCell ref="BE47:BE48"/>
    <mergeCell ref="BF47:BF48"/>
    <mergeCell ref="BG47:BG48"/>
    <mergeCell ref="BH47:BH48"/>
    <mergeCell ref="BI47:BI48"/>
    <mergeCell ref="J47:J48"/>
    <mergeCell ref="Q47:Q48"/>
    <mergeCell ref="R47:R48"/>
    <mergeCell ref="E47:E48"/>
    <mergeCell ref="F47:F48"/>
    <mergeCell ref="G47:G48"/>
    <mergeCell ref="H47:H48"/>
    <mergeCell ref="I47:I48"/>
    <mergeCell ref="K47:K48"/>
    <mergeCell ref="L47:L48"/>
    <mergeCell ref="M47:M48"/>
    <mergeCell ref="N47:N48"/>
    <mergeCell ref="O47:O48"/>
    <mergeCell ref="P47:P48"/>
  </mergeCells>
  <phoneticPr fontId="5" type="noConversion"/>
  <hyperlinks>
    <hyperlink ref="D47" r:id="rId1" xr:uid="{00000000-0004-0000-0200-000000000000}"/>
    <hyperlink ref="FC47" r:id="rId2" xr:uid="{3D51B155-88A6-42FF-BC75-CC87D75A1999}"/>
  </hyperlinks>
  <pageMargins left="0.7" right="0.7" top="0.75" bottom="0.75" header="0.3" footer="0.3"/>
  <pageSetup paperSize="9" orientation="portrait"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9A70560454A24D9B372805159B7667" ma:contentTypeVersion="21" ma:contentTypeDescription="Create a new document." ma:contentTypeScope="" ma:versionID="14f976c721eda7b2b215a20b4d5a78d8">
  <xsd:schema xmlns:xsd="http://www.w3.org/2001/XMLSchema" xmlns:xs="http://www.w3.org/2001/XMLSchema" xmlns:p="http://schemas.microsoft.com/office/2006/metadata/properties" xmlns:ns2="bc76fe4c-a155-4cd4-b3ce-e749a30fe160" xmlns:ns3="be3055c3-5ee9-432b-9d2b-e9bb13d3524a" targetNamespace="http://schemas.microsoft.com/office/2006/metadata/properties" ma:root="true" ma:fieldsID="403c36ed6babb1ecd579e11e58fd3547" ns2:_="" ns3:_="">
    <xsd:import namespace="bc76fe4c-a155-4cd4-b3ce-e749a30fe160"/>
    <xsd:import namespace="be3055c3-5ee9-432b-9d2b-e9bb13d3524a"/>
    <xsd:element name="properties">
      <xsd:complexType>
        <xsd:sequence>
          <xsd:element name="documentManagement">
            <xsd:complexType>
              <xsd:all>
                <xsd:element ref="ns2:Marcusshortlist" minOccurs="0"/>
                <xsd:element ref="ns2:Skiee" minOccurs="0"/>
                <xsd:element ref="ns2:Loretta" minOccurs="0"/>
                <xsd:element ref="ns2:Note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6fe4c-a155-4cd4-b3ce-e749a30fe160" elementFormDefault="qualified">
    <xsd:import namespace="http://schemas.microsoft.com/office/2006/documentManagement/types"/>
    <xsd:import namespace="http://schemas.microsoft.com/office/infopath/2007/PartnerControls"/>
    <xsd:element name="Marcusshortlist" ma:index="1" nillable="true" ma:displayName="Marcus shortlist" ma:format="Dropdown" ma:internalName="Marcusshortlist" ma:readOnly="false">
      <xsd:simpleType>
        <xsd:restriction base="dms:Choice">
          <xsd:enumeration value="Yes"/>
          <xsd:enumeration value="Maybe"/>
          <xsd:enumeration value="No"/>
        </xsd:restriction>
      </xsd:simpleType>
    </xsd:element>
    <xsd:element name="Skiee" ma:index="2" nillable="true" ma:displayName="Skiee" ma:format="Dropdown" ma:internalName="Skiee" ma:readOnly="false">
      <xsd:simpleType>
        <xsd:restriction base="dms:Choice">
          <xsd:enumeration value="No"/>
          <xsd:enumeration value="Yes"/>
          <xsd:enumeration value="Maybe"/>
        </xsd:restriction>
      </xsd:simpleType>
    </xsd:element>
    <xsd:element name="Loretta" ma:index="3" nillable="true" ma:displayName="Loretta" ma:format="Dropdown" ma:internalName="Loretta" ma:readOnly="false">
      <xsd:simpleType>
        <xsd:restriction base="dms:Choice">
          <xsd:enumeration value="No"/>
          <xsd:enumeration value="Yes"/>
          <xsd:enumeration value="Maybe"/>
        </xsd:restriction>
      </xsd:simpleType>
    </xsd:element>
    <xsd:element name="Notes" ma:index="4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055c3-5ee9-432b-9d2b-e9bb13d352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04d644d6-ea8b-4050-b1ad-f9dfd9a46f14}" ma:internalName="TaxCatchAll" ma:readOnly="false" ma:showField="CatchAllData" ma:web="be3055c3-5ee9-432b-9d2b-e9bb13d352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oretta xmlns="bc76fe4c-a155-4cd4-b3ce-e749a30fe160" xsi:nil="true"/>
    <lcf76f155ced4ddcb4097134ff3c332f xmlns="bc76fe4c-a155-4cd4-b3ce-e749a30fe160">
      <Terms xmlns="http://schemas.microsoft.com/office/infopath/2007/PartnerControls"/>
    </lcf76f155ced4ddcb4097134ff3c332f>
    <Skiee xmlns="bc76fe4c-a155-4cd4-b3ce-e749a30fe160" xsi:nil="true"/>
    <Marcusshortlist xmlns="bc76fe4c-a155-4cd4-b3ce-e749a30fe160" xsi:nil="true"/>
    <Notes xmlns="bc76fe4c-a155-4cd4-b3ce-e749a30fe160" xsi:nil="true"/>
    <TaxCatchAll xmlns="be3055c3-5ee9-432b-9d2b-e9bb13d3524a" xsi:nil="true"/>
  </documentManagement>
</p:properties>
</file>

<file path=customXml/itemProps1.xml><?xml version="1.0" encoding="utf-8"?>
<ds:datastoreItem xmlns:ds="http://schemas.openxmlformats.org/officeDocument/2006/customXml" ds:itemID="{E4277783-1FC0-4518-9AC7-78441643C7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ED3412-BBCC-49D1-9BBB-563663F974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76fe4c-a155-4cd4-b3ce-e749a30fe160"/>
    <ds:schemaRef ds:uri="be3055c3-5ee9-432b-9d2b-e9bb13d352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1927D8-23AB-4166-821E-2FB8CF69E88F}">
  <ds:schemaRefs>
    <ds:schemaRef ds:uri="http://schemas.microsoft.com/office/2006/metadata/properties"/>
    <ds:schemaRef ds:uri="http://schemas.microsoft.com/office/infopath/2007/PartnerControls"/>
    <ds:schemaRef ds:uri="bc76fe4c-a155-4cd4-b3ce-e749a30fe160"/>
    <ds:schemaRef ds:uri="be3055c3-5ee9-432b-9d2b-e9bb13d352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CLP Tariff</vt:lpstr>
      <vt:lpstr>Breakdown</vt:lpstr>
      <vt:lpstr>Commercial &amp; Quarter</vt:lpstr>
      <vt:lpstr>Chart1</vt:lpstr>
      <vt:lpstr>Breakdown!Print_Area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CHOW, Wai Shan</dc:creator>
  <cp:keywords/>
  <dc:description/>
  <cp:lastModifiedBy>Chen Kai Xin Tiffany</cp:lastModifiedBy>
  <cp:revision/>
  <dcterms:created xsi:type="dcterms:W3CDTF">2016-05-18T04:41:07Z</dcterms:created>
  <dcterms:modified xsi:type="dcterms:W3CDTF">2026-07-10T03:59:49Z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0x010100A29A70560454A24D9B372805159B7667</vt:lpwstr>
  </property>
  <property fmtid="{D5CDD505-2E9C-101B-9397-08002B2CF9AE}" pid="3" name="MediaServiceImageTags">
    <vt:lpwstr/>
  </property>
</Properties>
</file>